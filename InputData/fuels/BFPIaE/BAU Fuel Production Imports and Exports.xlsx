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RobbieOrvis\Models\EPS Structure Research\eps-us-calibration\InputData\fuels\BFPIaE\"/>
    </mc:Choice>
  </mc:AlternateContent>
  <xr:revisionPtr revIDLastSave="0" documentId="13_ncr:1_{2C6D35FC-C9BA-4EA4-8118-77AFC2673AF2}" xr6:coauthVersionLast="47" xr6:coauthVersionMax="47" xr10:uidLastSave="{00000000-0000-0000-0000-000000000000}"/>
  <bookViews>
    <workbookView xWindow="768" yWindow="768" windowWidth="17280" windowHeight="10008" firstSheet="9" activeTab="11" xr2:uid="{0B401EEA-1EA8-48C0-BC95-9247B1533557}"/>
  </bookViews>
  <sheets>
    <sheet name="About" sheetId="4" r:id="rId1"/>
    <sheet name="Petroleum and Biofuel Data" sheetId="5" r:id="rId2"/>
    <sheet name="Petroleum and Biofuels " sheetId="32" r:id="rId3"/>
    <sheet name="Biomass Data" sheetId="6" r:id="rId4"/>
    <sheet name="Uranium, Coal, MSW, Hydrogen" sheetId="8" r:id="rId5"/>
    <sheet name="AEO Conversion Factors" sheetId="34" r:id="rId6"/>
    <sheet name="AEO 2026 Table 1" sheetId="35" r:id="rId7"/>
    <sheet name="AEO 2026 Table 19" sheetId="36" r:id="rId8"/>
    <sheet name="GREET1 Fuel_Specs" sheetId="16" r:id="rId9"/>
    <sheet name="Start Year Data" sheetId="9" r:id="rId10"/>
    <sheet name="Time Series Scaling Factors" sheetId="18" r:id="rId11"/>
    <sheet name="Calibration" sheetId="37" r:id="rId12"/>
    <sheet name="BFPIaE-production" sheetId="12" r:id="rId13"/>
    <sheet name="BFPIaE-imports" sheetId="19" r:id="rId14"/>
    <sheet name="BFPIaE-exports" sheetId="13" r:id="rId15"/>
  </sheets>
  <externalReferences>
    <externalReference r:id="rId16"/>
  </externalReferences>
  <definedNames>
    <definedName name="gal_per_barrel">[1]About!$A$63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9" i="37" l="1"/>
  <c r="Z29" i="37"/>
  <c r="Y29" i="37"/>
  <c r="X29" i="37"/>
  <c r="W29" i="37"/>
  <c r="V29" i="37"/>
  <c r="U29" i="37"/>
  <c r="T29" i="37"/>
  <c r="S29" i="37"/>
  <c r="R29" i="37"/>
  <c r="Q29" i="37"/>
  <c r="P29" i="37"/>
  <c r="O29" i="37"/>
  <c r="N29" i="37"/>
  <c r="M29" i="37"/>
  <c r="L29" i="37"/>
  <c r="K29" i="37"/>
  <c r="J29" i="37"/>
  <c r="I29" i="37"/>
  <c r="H29" i="37"/>
  <c r="G29" i="37"/>
  <c r="F29" i="37"/>
  <c r="E29" i="37"/>
  <c r="D29" i="37"/>
  <c r="C29" i="37"/>
  <c r="B29" i="37"/>
  <c r="AA28" i="37"/>
  <c r="Z28" i="37"/>
  <c r="Y28" i="37"/>
  <c r="X28" i="37"/>
  <c r="W28" i="37"/>
  <c r="V28" i="37"/>
  <c r="U28" i="37"/>
  <c r="T28" i="37"/>
  <c r="S28" i="37"/>
  <c r="R28" i="37"/>
  <c r="Q28" i="37"/>
  <c r="P28" i="37"/>
  <c r="O28" i="37"/>
  <c r="N28" i="37"/>
  <c r="M28" i="37"/>
  <c r="L28" i="37"/>
  <c r="K28" i="37"/>
  <c r="J28" i="37"/>
  <c r="I28" i="37"/>
  <c r="H28" i="37"/>
  <c r="G28" i="37"/>
  <c r="F28" i="37"/>
  <c r="E28" i="37"/>
  <c r="D28" i="37"/>
  <c r="C28" i="37"/>
  <c r="B28" i="37"/>
  <c r="AA27" i="37"/>
  <c r="Z27" i="37"/>
  <c r="Y27" i="37"/>
  <c r="X27" i="37"/>
  <c r="W27" i="37"/>
  <c r="V27" i="37"/>
  <c r="U27" i="37"/>
  <c r="T27" i="37"/>
  <c r="S27" i="37"/>
  <c r="R27" i="37"/>
  <c r="Q27" i="37"/>
  <c r="P27" i="37"/>
  <c r="O27" i="37"/>
  <c r="N27" i="37"/>
  <c r="M27" i="37"/>
  <c r="L27" i="37"/>
  <c r="K27" i="37"/>
  <c r="J27" i="37"/>
  <c r="I27" i="37"/>
  <c r="H27" i="37"/>
  <c r="G27" i="37"/>
  <c r="F27" i="37"/>
  <c r="E27" i="37"/>
  <c r="D27" i="37"/>
  <c r="C27" i="37"/>
  <c r="B27" i="37"/>
  <c r="AA26" i="37"/>
  <c r="Z26" i="37"/>
  <c r="Y26" i="37"/>
  <c r="X26" i="37"/>
  <c r="W26" i="37"/>
  <c r="V26" i="37"/>
  <c r="U26" i="37"/>
  <c r="T26" i="37"/>
  <c r="S26" i="37"/>
  <c r="R26" i="37"/>
  <c r="Q26" i="37"/>
  <c r="P26" i="37"/>
  <c r="O26" i="37"/>
  <c r="N26" i="37"/>
  <c r="M26" i="37"/>
  <c r="L26" i="37"/>
  <c r="K26" i="37"/>
  <c r="J26" i="37"/>
  <c r="I26" i="37"/>
  <c r="H26" i="37"/>
  <c r="G26" i="37"/>
  <c r="F26" i="37"/>
  <c r="E26" i="37"/>
  <c r="D26" i="37"/>
  <c r="C26" i="37"/>
  <c r="B26" i="37"/>
  <c r="AA25" i="37"/>
  <c r="Z25" i="37"/>
  <c r="Y25" i="37"/>
  <c r="X25" i="37"/>
  <c r="W25" i="37"/>
  <c r="V25" i="37"/>
  <c r="U25" i="37"/>
  <c r="T25" i="37"/>
  <c r="S25" i="37"/>
  <c r="R25" i="37"/>
  <c r="Q25" i="37"/>
  <c r="P25" i="37"/>
  <c r="O25" i="37"/>
  <c r="N25" i="37"/>
  <c r="M25" i="37"/>
  <c r="L25" i="37"/>
  <c r="K25" i="37"/>
  <c r="J25" i="37"/>
  <c r="I25" i="37"/>
  <c r="H25" i="37"/>
  <c r="G25" i="37"/>
  <c r="F25" i="37"/>
  <c r="E25" i="37"/>
  <c r="D25" i="37"/>
  <c r="C25" i="37"/>
  <c r="B25" i="37"/>
  <c r="AA24" i="37"/>
  <c r="Z24" i="37"/>
  <c r="Y24" i="37"/>
  <c r="X24" i="37"/>
  <c r="W24" i="37"/>
  <c r="V24" i="37"/>
  <c r="U24" i="37"/>
  <c r="T24" i="37"/>
  <c r="S24" i="37"/>
  <c r="R24" i="37"/>
  <c r="Q24" i="37"/>
  <c r="P24" i="37"/>
  <c r="O24" i="37"/>
  <c r="N24" i="37"/>
  <c r="M24" i="37"/>
  <c r="L24" i="37"/>
  <c r="K24" i="37"/>
  <c r="J24" i="37"/>
  <c r="I24" i="37"/>
  <c r="H24" i="37"/>
  <c r="G24" i="37"/>
  <c r="F24" i="37"/>
  <c r="E24" i="37"/>
  <c r="D24" i="37"/>
  <c r="C24" i="37"/>
  <c r="B24" i="37"/>
  <c r="AA23" i="37"/>
  <c r="Z23" i="37"/>
  <c r="Y23" i="37"/>
  <c r="X23" i="37"/>
  <c r="W23" i="37"/>
  <c r="V23" i="37"/>
  <c r="U23" i="37"/>
  <c r="T23" i="37"/>
  <c r="S23" i="37"/>
  <c r="R23" i="37"/>
  <c r="Q23" i="37"/>
  <c r="P23" i="37"/>
  <c r="O23" i="37"/>
  <c r="N23" i="37"/>
  <c r="M23" i="37"/>
  <c r="L23" i="37"/>
  <c r="K23" i="37"/>
  <c r="J23" i="37"/>
  <c r="I23" i="37"/>
  <c r="H23" i="37"/>
  <c r="G23" i="37"/>
  <c r="F23" i="37"/>
  <c r="E23" i="37"/>
  <c r="D23" i="37"/>
  <c r="C23" i="37"/>
  <c r="B23" i="37"/>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A4" i="12"/>
  <c r="Z4" i="12"/>
  <c r="Y4" i="12"/>
  <c r="X4" i="12"/>
  <c r="W4" i="12"/>
  <c r="V4" i="12"/>
  <c r="U4" i="12"/>
  <c r="T4" i="12"/>
  <c r="S4" i="12"/>
  <c r="R4" i="12"/>
  <c r="Q4" i="12"/>
  <c r="P4" i="12"/>
  <c r="O4" i="12"/>
  <c r="N4" i="12"/>
  <c r="M4" i="12"/>
  <c r="L4" i="12"/>
  <c r="K4" i="12"/>
  <c r="J4" i="12"/>
  <c r="I4" i="12"/>
  <c r="H4" i="12"/>
  <c r="G4" i="12"/>
  <c r="F4" i="12"/>
  <c r="E4" i="12"/>
  <c r="D4" i="12"/>
  <c r="C4" i="12"/>
  <c r="B4" i="12"/>
  <c r="AA3" i="12"/>
  <c r="Z3" i="12"/>
  <c r="Y3" i="12"/>
  <c r="X3" i="12"/>
  <c r="W3" i="12"/>
  <c r="V3" i="12"/>
  <c r="U3" i="12"/>
  <c r="T3" i="12"/>
  <c r="S3" i="12"/>
  <c r="R3" i="12"/>
  <c r="Q3" i="12"/>
  <c r="P3" i="12"/>
  <c r="O3" i="12"/>
  <c r="N3" i="12"/>
  <c r="M3" i="12"/>
  <c r="L3" i="12"/>
  <c r="K3" i="12"/>
  <c r="J3" i="12"/>
  <c r="I3" i="12"/>
  <c r="H3" i="12"/>
  <c r="G3" i="12"/>
  <c r="F3" i="12"/>
  <c r="E3" i="12"/>
  <c r="D3" i="12"/>
  <c r="C3" i="12"/>
  <c r="B3" i="12"/>
  <c r="D2" i="13"/>
  <c r="E2" i="13"/>
  <c r="F2" i="13"/>
  <c r="G2" i="13"/>
  <c r="H2" i="13"/>
  <c r="I2" i="13"/>
  <c r="J2" i="13"/>
  <c r="K2" i="13"/>
  <c r="L2" i="13"/>
  <c r="M2" i="13"/>
  <c r="N2" i="13"/>
  <c r="O2" i="13"/>
  <c r="P2" i="13"/>
  <c r="Q2" i="13"/>
  <c r="R2" i="13"/>
  <c r="S2" i="13"/>
  <c r="T2" i="13"/>
  <c r="U2" i="13"/>
  <c r="V2" i="13"/>
  <c r="W2" i="13"/>
  <c r="X2" i="13"/>
  <c r="Y2" i="13"/>
  <c r="Z2" i="13"/>
  <c r="AA2" i="13"/>
  <c r="D3" i="13"/>
  <c r="E3" i="13"/>
  <c r="F3" i="13"/>
  <c r="G3" i="13"/>
  <c r="H3" i="13"/>
  <c r="I3" i="13"/>
  <c r="J3" i="13"/>
  <c r="K3" i="13"/>
  <c r="L3" i="13"/>
  <c r="M3" i="13"/>
  <c r="N3" i="13"/>
  <c r="O3" i="13"/>
  <c r="P3" i="13"/>
  <c r="Q3" i="13"/>
  <c r="R3" i="13"/>
  <c r="S3" i="13"/>
  <c r="T3" i="13"/>
  <c r="U3" i="13"/>
  <c r="V3" i="13"/>
  <c r="W3" i="13"/>
  <c r="X3" i="13"/>
  <c r="Y3" i="13"/>
  <c r="Z3" i="13"/>
  <c r="AA3" i="13"/>
  <c r="D4" i="13"/>
  <c r="E4" i="13"/>
  <c r="F4" i="13"/>
  <c r="G4" i="13"/>
  <c r="H4" i="13"/>
  <c r="I4" i="13"/>
  <c r="J4" i="13"/>
  <c r="K4" i="13"/>
  <c r="L4" i="13"/>
  <c r="M4" i="13"/>
  <c r="N4" i="13"/>
  <c r="O4" i="13"/>
  <c r="P4" i="13"/>
  <c r="Q4" i="13"/>
  <c r="R4" i="13"/>
  <c r="S4" i="13"/>
  <c r="T4" i="13"/>
  <c r="U4" i="13"/>
  <c r="V4" i="13"/>
  <c r="W4" i="13"/>
  <c r="X4" i="13"/>
  <c r="Y4" i="13"/>
  <c r="Z4" i="13"/>
  <c r="AA4" i="13"/>
  <c r="D5" i="13"/>
  <c r="E5" i="13"/>
  <c r="F5" i="13"/>
  <c r="G5" i="13"/>
  <c r="H5" i="13"/>
  <c r="I5" i="13"/>
  <c r="J5" i="13"/>
  <c r="K5" i="13"/>
  <c r="L5" i="13"/>
  <c r="M5" i="13"/>
  <c r="N5" i="13"/>
  <c r="O5" i="13"/>
  <c r="P5" i="13"/>
  <c r="Q5" i="13"/>
  <c r="R5" i="13"/>
  <c r="S5" i="13"/>
  <c r="T5" i="13"/>
  <c r="U5" i="13"/>
  <c r="V5" i="13"/>
  <c r="W5" i="13"/>
  <c r="X5" i="13"/>
  <c r="Y5" i="13"/>
  <c r="Z5" i="13"/>
  <c r="AA5" i="13"/>
  <c r="D6" i="13"/>
  <c r="E6" i="13"/>
  <c r="F6" i="13"/>
  <c r="G6" i="13"/>
  <c r="H6" i="13"/>
  <c r="I6" i="13"/>
  <c r="J6" i="13"/>
  <c r="K6" i="13"/>
  <c r="L6" i="13"/>
  <c r="M6" i="13"/>
  <c r="N6" i="13"/>
  <c r="O6" i="13"/>
  <c r="P6" i="13"/>
  <c r="Q6" i="13"/>
  <c r="R6" i="13"/>
  <c r="S6" i="13"/>
  <c r="T6" i="13"/>
  <c r="U6" i="13"/>
  <c r="V6" i="13"/>
  <c r="W6" i="13"/>
  <c r="X6" i="13"/>
  <c r="Y6" i="13"/>
  <c r="Z6" i="13"/>
  <c r="AA6" i="13"/>
  <c r="D7" i="13"/>
  <c r="E7" i="13"/>
  <c r="F7" i="13"/>
  <c r="G7" i="13"/>
  <c r="H7" i="13"/>
  <c r="I7" i="13"/>
  <c r="J7" i="13"/>
  <c r="K7" i="13"/>
  <c r="L7" i="13"/>
  <c r="M7" i="13"/>
  <c r="N7" i="13"/>
  <c r="O7" i="13"/>
  <c r="P7" i="13"/>
  <c r="Q7" i="13"/>
  <c r="R7" i="13"/>
  <c r="S7" i="13"/>
  <c r="T7" i="13"/>
  <c r="U7" i="13"/>
  <c r="V7" i="13"/>
  <c r="W7" i="13"/>
  <c r="X7" i="13"/>
  <c r="Y7" i="13"/>
  <c r="Z7" i="13"/>
  <c r="AA7" i="13"/>
  <c r="D8" i="13"/>
  <c r="E8" i="13"/>
  <c r="F8" i="13"/>
  <c r="G8" i="13"/>
  <c r="H8" i="13"/>
  <c r="I8" i="13"/>
  <c r="J8" i="13"/>
  <c r="K8" i="13"/>
  <c r="L8" i="13"/>
  <c r="M8" i="13"/>
  <c r="N8" i="13"/>
  <c r="O8" i="13"/>
  <c r="P8" i="13"/>
  <c r="Q8" i="13"/>
  <c r="R8" i="13"/>
  <c r="S8" i="13"/>
  <c r="T8" i="13"/>
  <c r="U8" i="13"/>
  <c r="V8" i="13"/>
  <c r="W8" i="13"/>
  <c r="X8" i="13"/>
  <c r="Y8" i="13"/>
  <c r="Z8" i="13"/>
  <c r="AA8" i="13"/>
  <c r="D9" i="13"/>
  <c r="E9" i="13"/>
  <c r="F9" i="13"/>
  <c r="G9" i="13"/>
  <c r="H9" i="13"/>
  <c r="I9" i="13"/>
  <c r="J9" i="13"/>
  <c r="K9" i="13"/>
  <c r="L9" i="13"/>
  <c r="M9" i="13"/>
  <c r="N9" i="13"/>
  <c r="O9" i="13"/>
  <c r="P9" i="13"/>
  <c r="Q9" i="13"/>
  <c r="R9" i="13"/>
  <c r="S9" i="13"/>
  <c r="T9" i="13"/>
  <c r="U9" i="13"/>
  <c r="V9" i="13"/>
  <c r="W9" i="13"/>
  <c r="X9" i="13"/>
  <c r="Y9" i="13"/>
  <c r="Z9" i="13"/>
  <c r="AA9" i="13"/>
  <c r="D10" i="13"/>
  <c r="E10" i="13"/>
  <c r="F10" i="13"/>
  <c r="G10" i="13"/>
  <c r="H10" i="13"/>
  <c r="I10" i="13"/>
  <c r="J10" i="13"/>
  <c r="K10" i="13"/>
  <c r="L10" i="13"/>
  <c r="M10" i="13"/>
  <c r="N10" i="13"/>
  <c r="O10" i="13"/>
  <c r="P10" i="13"/>
  <c r="Q10" i="13"/>
  <c r="R10" i="13"/>
  <c r="S10" i="13"/>
  <c r="T10" i="13"/>
  <c r="U10" i="13"/>
  <c r="V10" i="13"/>
  <c r="W10" i="13"/>
  <c r="X10" i="13"/>
  <c r="Y10" i="13"/>
  <c r="Z10" i="13"/>
  <c r="AA10" i="13"/>
  <c r="D11" i="13"/>
  <c r="E11" i="13"/>
  <c r="F11" i="13"/>
  <c r="G11" i="13"/>
  <c r="H11" i="13"/>
  <c r="I11" i="13"/>
  <c r="J11" i="13"/>
  <c r="K11" i="13"/>
  <c r="L11" i="13"/>
  <c r="M11" i="13"/>
  <c r="N11" i="13"/>
  <c r="O11" i="13"/>
  <c r="P11" i="13"/>
  <c r="Q11" i="13"/>
  <c r="R11" i="13"/>
  <c r="S11" i="13"/>
  <c r="T11" i="13"/>
  <c r="U11" i="13"/>
  <c r="V11" i="13"/>
  <c r="W11" i="13"/>
  <c r="X11" i="13"/>
  <c r="Y11" i="13"/>
  <c r="Z11" i="13"/>
  <c r="AA11" i="13"/>
  <c r="D12" i="13"/>
  <c r="E12" i="13"/>
  <c r="F12" i="13"/>
  <c r="G12" i="13"/>
  <c r="H12" i="13"/>
  <c r="I12" i="13"/>
  <c r="J12" i="13"/>
  <c r="K12" i="13"/>
  <c r="L12" i="13"/>
  <c r="M12" i="13"/>
  <c r="N12" i="13"/>
  <c r="O12" i="13"/>
  <c r="P12" i="13"/>
  <c r="Q12" i="13"/>
  <c r="R12" i="13"/>
  <c r="S12" i="13"/>
  <c r="T12" i="13"/>
  <c r="U12" i="13"/>
  <c r="V12" i="13"/>
  <c r="W12" i="13"/>
  <c r="X12" i="13"/>
  <c r="Y12" i="13"/>
  <c r="Z12" i="13"/>
  <c r="AA12" i="13"/>
  <c r="D13" i="13"/>
  <c r="E13" i="13"/>
  <c r="F13" i="13"/>
  <c r="G13" i="13"/>
  <c r="H13" i="13"/>
  <c r="I13" i="13"/>
  <c r="J13" i="13"/>
  <c r="K13" i="13"/>
  <c r="L13" i="13"/>
  <c r="M13" i="13"/>
  <c r="N13" i="13"/>
  <c r="O13" i="13"/>
  <c r="P13" i="13"/>
  <c r="Q13" i="13"/>
  <c r="R13" i="13"/>
  <c r="S13" i="13"/>
  <c r="T13" i="13"/>
  <c r="U13" i="13"/>
  <c r="V13" i="13"/>
  <c r="W13" i="13"/>
  <c r="X13" i="13"/>
  <c r="Y13" i="13"/>
  <c r="Z13" i="13"/>
  <c r="AA13" i="13"/>
  <c r="D14" i="13"/>
  <c r="E14" i="13"/>
  <c r="F14" i="13"/>
  <c r="G14" i="13"/>
  <c r="H14" i="13"/>
  <c r="I14" i="13"/>
  <c r="J14" i="13"/>
  <c r="K14" i="13"/>
  <c r="L14" i="13"/>
  <c r="M14" i="13"/>
  <c r="N14" i="13"/>
  <c r="O14" i="13"/>
  <c r="P14" i="13"/>
  <c r="Q14" i="13"/>
  <c r="R14" i="13"/>
  <c r="S14" i="13"/>
  <c r="T14" i="13"/>
  <c r="U14" i="13"/>
  <c r="V14" i="13"/>
  <c r="W14" i="13"/>
  <c r="X14" i="13"/>
  <c r="Y14" i="13"/>
  <c r="Z14" i="13"/>
  <c r="AA14" i="13"/>
  <c r="D15" i="13"/>
  <c r="E15" i="13"/>
  <c r="F15" i="13"/>
  <c r="G15" i="13"/>
  <c r="H15" i="13"/>
  <c r="I15" i="13"/>
  <c r="J15" i="13"/>
  <c r="K15" i="13"/>
  <c r="L15" i="13"/>
  <c r="M15" i="13"/>
  <c r="N15" i="13"/>
  <c r="O15" i="13"/>
  <c r="P15" i="13"/>
  <c r="Q15" i="13"/>
  <c r="R15" i="13"/>
  <c r="S15" i="13"/>
  <c r="T15" i="13"/>
  <c r="U15" i="13"/>
  <c r="V15" i="13"/>
  <c r="W15" i="13"/>
  <c r="X15" i="13"/>
  <c r="Y15" i="13"/>
  <c r="Z15" i="13"/>
  <c r="AA15" i="13"/>
  <c r="D16" i="13"/>
  <c r="E16" i="13"/>
  <c r="F16" i="13"/>
  <c r="G16" i="13"/>
  <c r="H16" i="13"/>
  <c r="I16" i="13"/>
  <c r="J16" i="13"/>
  <c r="K16" i="13"/>
  <c r="L16" i="13"/>
  <c r="M16" i="13"/>
  <c r="N16" i="13"/>
  <c r="O16" i="13"/>
  <c r="P16" i="13"/>
  <c r="Q16" i="13"/>
  <c r="R16" i="13"/>
  <c r="S16" i="13"/>
  <c r="T16" i="13"/>
  <c r="U16" i="13"/>
  <c r="V16" i="13"/>
  <c r="W16" i="13"/>
  <c r="X16" i="13"/>
  <c r="Y16" i="13"/>
  <c r="Z16" i="13"/>
  <c r="AA16" i="13"/>
  <c r="D17" i="13"/>
  <c r="E17" i="13"/>
  <c r="F17" i="13"/>
  <c r="G17" i="13"/>
  <c r="H17" i="13"/>
  <c r="I17" i="13"/>
  <c r="J17" i="13"/>
  <c r="K17" i="13"/>
  <c r="L17" i="13"/>
  <c r="M17" i="13"/>
  <c r="N17" i="13"/>
  <c r="O17" i="13"/>
  <c r="P17" i="13"/>
  <c r="Q17" i="13"/>
  <c r="R17" i="13"/>
  <c r="S17" i="13"/>
  <c r="T17" i="13"/>
  <c r="U17" i="13"/>
  <c r="V17" i="13"/>
  <c r="W17" i="13"/>
  <c r="X17" i="13"/>
  <c r="Y17" i="13"/>
  <c r="Z17" i="13"/>
  <c r="AA17" i="13"/>
  <c r="D18" i="13"/>
  <c r="E18" i="13"/>
  <c r="F18" i="13"/>
  <c r="G18" i="13"/>
  <c r="H18" i="13"/>
  <c r="I18" i="13"/>
  <c r="J18" i="13"/>
  <c r="K18" i="13"/>
  <c r="L18" i="13"/>
  <c r="M18" i="13"/>
  <c r="N18" i="13"/>
  <c r="O18" i="13"/>
  <c r="P18" i="13"/>
  <c r="Q18" i="13"/>
  <c r="R18" i="13"/>
  <c r="S18" i="13"/>
  <c r="T18" i="13"/>
  <c r="U18" i="13"/>
  <c r="V18" i="13"/>
  <c r="W18" i="13"/>
  <c r="X18" i="13"/>
  <c r="Y18" i="13"/>
  <c r="Z18" i="13"/>
  <c r="AA18" i="13"/>
  <c r="D19" i="13"/>
  <c r="E19" i="13"/>
  <c r="F19" i="13"/>
  <c r="G19" i="13"/>
  <c r="H19" i="13"/>
  <c r="I19" i="13"/>
  <c r="J19" i="13"/>
  <c r="K19" i="13"/>
  <c r="L19" i="13"/>
  <c r="M19" i="13"/>
  <c r="N19" i="13"/>
  <c r="O19" i="13"/>
  <c r="P19" i="13"/>
  <c r="Q19" i="13"/>
  <c r="R19" i="13"/>
  <c r="S19" i="13"/>
  <c r="T19" i="13"/>
  <c r="U19" i="13"/>
  <c r="V19" i="13"/>
  <c r="W19" i="13"/>
  <c r="X19" i="13"/>
  <c r="Y19" i="13"/>
  <c r="Z19" i="13"/>
  <c r="AA19" i="13"/>
  <c r="D20" i="13"/>
  <c r="E20" i="13"/>
  <c r="F20" i="13"/>
  <c r="G20" i="13"/>
  <c r="H20" i="13"/>
  <c r="I20" i="13"/>
  <c r="J20" i="13"/>
  <c r="K20" i="13"/>
  <c r="L20" i="13"/>
  <c r="M20" i="13"/>
  <c r="N20" i="13"/>
  <c r="O20" i="13"/>
  <c r="P20" i="13"/>
  <c r="Q20" i="13"/>
  <c r="R20" i="13"/>
  <c r="S20" i="13"/>
  <c r="T20" i="13"/>
  <c r="U20" i="13"/>
  <c r="V20" i="13"/>
  <c r="W20" i="13"/>
  <c r="X20" i="13"/>
  <c r="Y20" i="13"/>
  <c r="Z20" i="13"/>
  <c r="AA20" i="13"/>
  <c r="D21" i="13"/>
  <c r="E21" i="13"/>
  <c r="F21" i="13"/>
  <c r="G21" i="13"/>
  <c r="H21" i="13"/>
  <c r="I21" i="13"/>
  <c r="J21" i="13"/>
  <c r="K21" i="13"/>
  <c r="L21" i="13"/>
  <c r="M21" i="13"/>
  <c r="N21" i="13"/>
  <c r="O21" i="13"/>
  <c r="P21" i="13"/>
  <c r="Q21" i="13"/>
  <c r="R21" i="13"/>
  <c r="S21" i="13"/>
  <c r="T21" i="13"/>
  <c r="U21" i="13"/>
  <c r="V21" i="13"/>
  <c r="W21" i="13"/>
  <c r="X21" i="13"/>
  <c r="Y21" i="13"/>
  <c r="Z21" i="13"/>
  <c r="AA21" i="13"/>
  <c r="D22" i="13"/>
  <c r="E22" i="13"/>
  <c r="F22" i="13"/>
  <c r="G22" i="13"/>
  <c r="H22" i="13"/>
  <c r="I22" i="13"/>
  <c r="J22" i="13"/>
  <c r="K22" i="13"/>
  <c r="L22" i="13"/>
  <c r="M22" i="13"/>
  <c r="N22" i="13"/>
  <c r="O22" i="13"/>
  <c r="P22" i="13"/>
  <c r="Q22" i="13"/>
  <c r="R22" i="13"/>
  <c r="S22" i="13"/>
  <c r="T22" i="13"/>
  <c r="U22" i="13"/>
  <c r="V22" i="13"/>
  <c r="W22" i="13"/>
  <c r="X22" i="13"/>
  <c r="Y22" i="13"/>
  <c r="Z22" i="13"/>
  <c r="AA22" i="13"/>
  <c r="C3" i="13"/>
  <c r="C4" i="13"/>
  <c r="C5" i="13"/>
  <c r="C6" i="13"/>
  <c r="C7" i="13"/>
  <c r="C8" i="13"/>
  <c r="C9" i="13"/>
  <c r="C10" i="13"/>
  <c r="C11" i="13"/>
  <c r="C12" i="13"/>
  <c r="C13" i="13"/>
  <c r="C14" i="13"/>
  <c r="C15" i="13"/>
  <c r="C16" i="13"/>
  <c r="C17" i="13"/>
  <c r="C18" i="13"/>
  <c r="C19" i="13"/>
  <c r="C20" i="13"/>
  <c r="C21" i="13"/>
  <c r="C22" i="13"/>
  <c r="C2" i="13"/>
  <c r="D2" i="19"/>
  <c r="E2" i="19"/>
  <c r="F2" i="19"/>
  <c r="G2" i="19"/>
  <c r="H2" i="19"/>
  <c r="I2" i="19"/>
  <c r="J2" i="19"/>
  <c r="K2" i="19"/>
  <c r="L2" i="19"/>
  <c r="M2" i="19"/>
  <c r="N2" i="19"/>
  <c r="O2" i="19"/>
  <c r="P2" i="19"/>
  <c r="Q2" i="19"/>
  <c r="R2" i="19"/>
  <c r="S2" i="19"/>
  <c r="T2" i="19"/>
  <c r="U2" i="19"/>
  <c r="V2" i="19"/>
  <c r="W2" i="19"/>
  <c r="X2" i="19"/>
  <c r="Y2" i="19"/>
  <c r="Z2" i="19"/>
  <c r="AA2" i="19"/>
  <c r="D3" i="19"/>
  <c r="E3" i="19"/>
  <c r="F3" i="19"/>
  <c r="G3" i="19"/>
  <c r="H3" i="19"/>
  <c r="I3" i="19"/>
  <c r="J3" i="19"/>
  <c r="K3" i="19"/>
  <c r="L3" i="19"/>
  <c r="M3" i="19"/>
  <c r="N3" i="19"/>
  <c r="O3" i="19"/>
  <c r="P3" i="19"/>
  <c r="Q3" i="19"/>
  <c r="R3" i="19"/>
  <c r="S3" i="19"/>
  <c r="T3" i="19"/>
  <c r="U3" i="19"/>
  <c r="V3" i="19"/>
  <c r="W3" i="19"/>
  <c r="X3" i="19"/>
  <c r="Y3" i="19"/>
  <c r="Z3" i="19"/>
  <c r="AA3" i="19"/>
  <c r="D4" i="19"/>
  <c r="E4" i="19"/>
  <c r="F4" i="19"/>
  <c r="G4" i="19"/>
  <c r="H4" i="19"/>
  <c r="I4" i="19"/>
  <c r="J4" i="19"/>
  <c r="K4" i="19"/>
  <c r="L4" i="19"/>
  <c r="M4" i="19"/>
  <c r="N4" i="19"/>
  <c r="O4" i="19"/>
  <c r="P4" i="19"/>
  <c r="Q4" i="19"/>
  <c r="R4" i="19"/>
  <c r="S4" i="19"/>
  <c r="T4" i="19"/>
  <c r="U4" i="19"/>
  <c r="V4" i="19"/>
  <c r="W4" i="19"/>
  <c r="X4" i="19"/>
  <c r="Y4" i="19"/>
  <c r="Z4" i="19"/>
  <c r="AA4" i="19"/>
  <c r="D5" i="19"/>
  <c r="E5" i="19"/>
  <c r="F5" i="19"/>
  <c r="G5" i="19"/>
  <c r="H5" i="19"/>
  <c r="I5" i="19"/>
  <c r="J5" i="19"/>
  <c r="K5" i="19"/>
  <c r="L5" i="19"/>
  <c r="M5" i="19"/>
  <c r="N5" i="19"/>
  <c r="O5" i="19"/>
  <c r="P5" i="19"/>
  <c r="Q5" i="19"/>
  <c r="R5" i="19"/>
  <c r="S5" i="19"/>
  <c r="T5" i="19"/>
  <c r="U5" i="19"/>
  <c r="V5" i="19"/>
  <c r="W5" i="19"/>
  <c r="X5" i="19"/>
  <c r="Y5" i="19"/>
  <c r="Z5" i="19"/>
  <c r="AA5" i="19"/>
  <c r="D6" i="19"/>
  <c r="E6" i="19"/>
  <c r="F6" i="19"/>
  <c r="G6" i="19"/>
  <c r="H6" i="19"/>
  <c r="I6" i="19"/>
  <c r="J6" i="19"/>
  <c r="K6" i="19"/>
  <c r="L6" i="19"/>
  <c r="M6" i="19"/>
  <c r="N6" i="19"/>
  <c r="O6" i="19"/>
  <c r="P6" i="19"/>
  <c r="Q6" i="19"/>
  <c r="R6" i="19"/>
  <c r="S6" i="19"/>
  <c r="T6" i="19"/>
  <c r="U6" i="19"/>
  <c r="V6" i="19"/>
  <c r="W6" i="19"/>
  <c r="X6" i="19"/>
  <c r="Y6" i="19"/>
  <c r="Z6" i="19"/>
  <c r="AA6" i="19"/>
  <c r="D7" i="19"/>
  <c r="E7" i="19"/>
  <c r="F7" i="19"/>
  <c r="G7" i="19"/>
  <c r="H7" i="19"/>
  <c r="I7" i="19"/>
  <c r="J7" i="19"/>
  <c r="K7" i="19"/>
  <c r="L7" i="19"/>
  <c r="M7" i="19"/>
  <c r="N7" i="19"/>
  <c r="O7" i="19"/>
  <c r="P7" i="19"/>
  <c r="Q7" i="19"/>
  <c r="R7" i="19"/>
  <c r="S7" i="19"/>
  <c r="T7" i="19"/>
  <c r="U7" i="19"/>
  <c r="V7" i="19"/>
  <c r="W7" i="19"/>
  <c r="X7" i="19"/>
  <c r="Y7" i="19"/>
  <c r="Z7" i="19"/>
  <c r="AA7" i="19"/>
  <c r="D8" i="19"/>
  <c r="E8" i="19"/>
  <c r="F8" i="19"/>
  <c r="G8" i="19"/>
  <c r="H8" i="19"/>
  <c r="I8" i="19"/>
  <c r="J8" i="19"/>
  <c r="K8" i="19"/>
  <c r="L8" i="19"/>
  <c r="M8" i="19"/>
  <c r="N8" i="19"/>
  <c r="O8" i="19"/>
  <c r="P8" i="19"/>
  <c r="Q8" i="19"/>
  <c r="R8" i="19"/>
  <c r="S8" i="19"/>
  <c r="T8" i="19"/>
  <c r="U8" i="19"/>
  <c r="V8" i="19"/>
  <c r="W8" i="19"/>
  <c r="X8" i="19"/>
  <c r="Y8" i="19"/>
  <c r="Z8" i="19"/>
  <c r="AA8" i="19"/>
  <c r="D9" i="19"/>
  <c r="E9" i="19"/>
  <c r="F9" i="19"/>
  <c r="G9" i="19"/>
  <c r="H9" i="19"/>
  <c r="I9" i="19"/>
  <c r="J9" i="19"/>
  <c r="K9" i="19"/>
  <c r="L9" i="19"/>
  <c r="M9" i="19"/>
  <c r="N9" i="19"/>
  <c r="O9" i="19"/>
  <c r="P9" i="19"/>
  <c r="Q9" i="19"/>
  <c r="R9" i="19"/>
  <c r="S9" i="19"/>
  <c r="T9" i="19"/>
  <c r="U9" i="19"/>
  <c r="V9" i="19"/>
  <c r="W9" i="19"/>
  <c r="X9" i="19"/>
  <c r="Y9" i="19"/>
  <c r="Z9" i="19"/>
  <c r="AA9" i="19"/>
  <c r="D10" i="19"/>
  <c r="E10" i="19"/>
  <c r="F10" i="19"/>
  <c r="G10" i="19"/>
  <c r="H10" i="19"/>
  <c r="I10" i="19"/>
  <c r="J10" i="19"/>
  <c r="K10" i="19"/>
  <c r="L10" i="19"/>
  <c r="M10" i="19"/>
  <c r="N10" i="19"/>
  <c r="O10" i="19"/>
  <c r="P10" i="19"/>
  <c r="Q10" i="19"/>
  <c r="R10" i="19"/>
  <c r="S10" i="19"/>
  <c r="T10" i="19"/>
  <c r="U10" i="19"/>
  <c r="V10" i="19"/>
  <c r="W10" i="19"/>
  <c r="X10" i="19"/>
  <c r="Y10" i="19"/>
  <c r="Z10" i="19"/>
  <c r="AA10" i="19"/>
  <c r="D11" i="19"/>
  <c r="E11" i="19"/>
  <c r="F11" i="19"/>
  <c r="G11" i="19"/>
  <c r="H11" i="19"/>
  <c r="I11" i="19"/>
  <c r="J11" i="19"/>
  <c r="K11" i="19"/>
  <c r="L11" i="19"/>
  <c r="M11" i="19"/>
  <c r="N11" i="19"/>
  <c r="O11" i="19"/>
  <c r="P11" i="19"/>
  <c r="Q11" i="19"/>
  <c r="R11" i="19"/>
  <c r="S11" i="19"/>
  <c r="T11" i="19"/>
  <c r="U11" i="19"/>
  <c r="V11" i="19"/>
  <c r="W11" i="19"/>
  <c r="X11" i="19"/>
  <c r="Y11" i="19"/>
  <c r="Z11" i="19"/>
  <c r="AA11" i="19"/>
  <c r="D12" i="19"/>
  <c r="E12" i="19"/>
  <c r="F12" i="19"/>
  <c r="G12" i="19"/>
  <c r="H12" i="19"/>
  <c r="I12" i="19"/>
  <c r="J12" i="19"/>
  <c r="K12" i="19"/>
  <c r="L12" i="19"/>
  <c r="M12" i="19"/>
  <c r="N12" i="19"/>
  <c r="O12" i="19"/>
  <c r="P12" i="19"/>
  <c r="Q12" i="19"/>
  <c r="R12" i="19"/>
  <c r="S12" i="19"/>
  <c r="T12" i="19"/>
  <c r="U12" i="19"/>
  <c r="V12" i="19"/>
  <c r="W12" i="19"/>
  <c r="X12" i="19"/>
  <c r="Y12" i="19"/>
  <c r="Z12" i="19"/>
  <c r="AA12" i="19"/>
  <c r="D13" i="19"/>
  <c r="E13" i="19"/>
  <c r="F13" i="19"/>
  <c r="G13" i="19"/>
  <c r="H13" i="19"/>
  <c r="I13" i="19"/>
  <c r="J13" i="19"/>
  <c r="K13" i="19"/>
  <c r="L13" i="19"/>
  <c r="M13" i="19"/>
  <c r="N13" i="19"/>
  <c r="O13" i="19"/>
  <c r="P13" i="19"/>
  <c r="Q13" i="19"/>
  <c r="R13" i="19"/>
  <c r="S13" i="19"/>
  <c r="T13" i="19"/>
  <c r="U13" i="19"/>
  <c r="V13" i="19"/>
  <c r="W13" i="19"/>
  <c r="X13" i="19"/>
  <c r="Y13" i="19"/>
  <c r="Z13" i="19"/>
  <c r="AA13" i="19"/>
  <c r="D14" i="19"/>
  <c r="E14" i="19"/>
  <c r="F14" i="19"/>
  <c r="G14" i="19"/>
  <c r="H14" i="19"/>
  <c r="I14" i="19"/>
  <c r="J14" i="19"/>
  <c r="K14" i="19"/>
  <c r="L14" i="19"/>
  <c r="M14" i="19"/>
  <c r="N14" i="19"/>
  <c r="O14" i="19"/>
  <c r="P14" i="19"/>
  <c r="Q14" i="19"/>
  <c r="R14" i="19"/>
  <c r="S14" i="19"/>
  <c r="T14" i="19"/>
  <c r="U14" i="19"/>
  <c r="V14" i="19"/>
  <c r="W14" i="19"/>
  <c r="X14" i="19"/>
  <c r="Y14" i="19"/>
  <c r="Z14" i="19"/>
  <c r="AA14" i="19"/>
  <c r="D15" i="19"/>
  <c r="E15" i="19"/>
  <c r="F15" i="19"/>
  <c r="G15" i="19"/>
  <c r="H15" i="19"/>
  <c r="I15" i="19"/>
  <c r="J15" i="19"/>
  <c r="K15" i="19"/>
  <c r="L15" i="19"/>
  <c r="M15" i="19"/>
  <c r="N15" i="19"/>
  <c r="O15" i="19"/>
  <c r="P15" i="19"/>
  <c r="Q15" i="19"/>
  <c r="R15" i="19"/>
  <c r="S15" i="19"/>
  <c r="T15" i="19"/>
  <c r="U15" i="19"/>
  <c r="V15" i="19"/>
  <c r="W15" i="19"/>
  <c r="X15" i="19"/>
  <c r="Y15" i="19"/>
  <c r="Z15" i="19"/>
  <c r="AA15" i="19"/>
  <c r="D16" i="19"/>
  <c r="E16" i="19"/>
  <c r="F16" i="19"/>
  <c r="G16" i="19"/>
  <c r="H16" i="19"/>
  <c r="I16" i="19"/>
  <c r="J16" i="19"/>
  <c r="K16" i="19"/>
  <c r="L16" i="19"/>
  <c r="M16" i="19"/>
  <c r="N16" i="19"/>
  <c r="O16" i="19"/>
  <c r="P16" i="19"/>
  <c r="Q16" i="19"/>
  <c r="R16" i="19"/>
  <c r="S16" i="19"/>
  <c r="T16" i="19"/>
  <c r="U16" i="19"/>
  <c r="V16" i="19"/>
  <c r="W16" i="19"/>
  <c r="X16" i="19"/>
  <c r="Y16" i="19"/>
  <c r="Z16" i="19"/>
  <c r="AA16" i="19"/>
  <c r="D17" i="19"/>
  <c r="E17" i="19"/>
  <c r="F17" i="19"/>
  <c r="G17" i="19"/>
  <c r="H17" i="19"/>
  <c r="I17" i="19"/>
  <c r="J17" i="19"/>
  <c r="K17" i="19"/>
  <c r="L17" i="19"/>
  <c r="M17" i="19"/>
  <c r="N17" i="19"/>
  <c r="O17" i="19"/>
  <c r="P17" i="19"/>
  <c r="Q17" i="19"/>
  <c r="R17" i="19"/>
  <c r="S17" i="19"/>
  <c r="T17" i="19"/>
  <c r="U17" i="19"/>
  <c r="V17" i="19"/>
  <c r="W17" i="19"/>
  <c r="X17" i="19"/>
  <c r="Y17" i="19"/>
  <c r="Z17" i="19"/>
  <c r="AA17" i="19"/>
  <c r="D18" i="19"/>
  <c r="E18" i="19"/>
  <c r="F18" i="19"/>
  <c r="G18" i="19"/>
  <c r="H18" i="19"/>
  <c r="I18" i="19"/>
  <c r="J18" i="19"/>
  <c r="K18" i="19"/>
  <c r="L18" i="19"/>
  <c r="M18" i="19"/>
  <c r="N18" i="19"/>
  <c r="O18" i="19"/>
  <c r="P18" i="19"/>
  <c r="Q18" i="19"/>
  <c r="R18" i="19"/>
  <c r="S18" i="19"/>
  <c r="T18" i="19"/>
  <c r="U18" i="19"/>
  <c r="V18" i="19"/>
  <c r="W18" i="19"/>
  <c r="X18" i="19"/>
  <c r="Y18" i="19"/>
  <c r="Z18" i="19"/>
  <c r="AA18" i="19"/>
  <c r="D19" i="19"/>
  <c r="E19" i="19"/>
  <c r="F19" i="19"/>
  <c r="G19" i="19"/>
  <c r="H19" i="19"/>
  <c r="I19" i="19"/>
  <c r="J19" i="19"/>
  <c r="K19" i="19"/>
  <c r="L19" i="19"/>
  <c r="M19" i="19"/>
  <c r="N19" i="19"/>
  <c r="O19" i="19"/>
  <c r="P19" i="19"/>
  <c r="Q19" i="19"/>
  <c r="R19" i="19"/>
  <c r="S19" i="19"/>
  <c r="T19" i="19"/>
  <c r="U19" i="19"/>
  <c r="V19" i="19"/>
  <c r="W19" i="19"/>
  <c r="X19" i="19"/>
  <c r="Y19" i="19"/>
  <c r="Z19" i="19"/>
  <c r="AA19" i="19"/>
  <c r="D20" i="19"/>
  <c r="E20" i="19"/>
  <c r="F20" i="19"/>
  <c r="G20" i="19"/>
  <c r="H20" i="19"/>
  <c r="I20" i="19"/>
  <c r="J20" i="19"/>
  <c r="K20" i="19"/>
  <c r="L20" i="19"/>
  <c r="M20" i="19"/>
  <c r="N20" i="19"/>
  <c r="O20" i="19"/>
  <c r="P20" i="19"/>
  <c r="Q20" i="19"/>
  <c r="R20" i="19"/>
  <c r="S20" i="19"/>
  <c r="T20" i="19"/>
  <c r="U20" i="19"/>
  <c r="V20" i="19"/>
  <c r="W20" i="19"/>
  <c r="X20" i="19"/>
  <c r="Y20" i="19"/>
  <c r="Z20" i="19"/>
  <c r="AA20" i="19"/>
  <c r="D21" i="19"/>
  <c r="E21" i="19"/>
  <c r="F21" i="19"/>
  <c r="G21" i="19"/>
  <c r="H21" i="19"/>
  <c r="I21" i="19"/>
  <c r="J21" i="19"/>
  <c r="K21" i="19"/>
  <c r="L21" i="19"/>
  <c r="M21" i="19"/>
  <c r="N21" i="19"/>
  <c r="O21" i="19"/>
  <c r="P21" i="19"/>
  <c r="Q21" i="19"/>
  <c r="R21" i="19"/>
  <c r="S21" i="19"/>
  <c r="T21" i="19"/>
  <c r="U21" i="19"/>
  <c r="V21" i="19"/>
  <c r="W21" i="19"/>
  <c r="X21" i="19"/>
  <c r="Y21" i="19"/>
  <c r="Z21" i="19"/>
  <c r="AA21" i="19"/>
  <c r="D22" i="19"/>
  <c r="E22" i="19"/>
  <c r="F22" i="19"/>
  <c r="G22" i="19"/>
  <c r="H22" i="19"/>
  <c r="I22" i="19"/>
  <c r="J22" i="19"/>
  <c r="K22" i="19"/>
  <c r="L22" i="19"/>
  <c r="M22" i="19"/>
  <c r="N22" i="19"/>
  <c r="O22" i="19"/>
  <c r="P22" i="19"/>
  <c r="Q22" i="19"/>
  <c r="R22" i="19"/>
  <c r="S22" i="19"/>
  <c r="T22" i="19"/>
  <c r="U22" i="19"/>
  <c r="V22" i="19"/>
  <c r="W22" i="19"/>
  <c r="X22" i="19"/>
  <c r="Y22" i="19"/>
  <c r="Z22" i="19"/>
  <c r="AA22" i="19"/>
  <c r="C3" i="19"/>
  <c r="C4" i="19"/>
  <c r="C5" i="19"/>
  <c r="C6" i="19"/>
  <c r="C7" i="19"/>
  <c r="C8" i="19"/>
  <c r="C9" i="19"/>
  <c r="C10" i="19"/>
  <c r="C11" i="19"/>
  <c r="C12" i="19"/>
  <c r="C13" i="19"/>
  <c r="C14" i="19"/>
  <c r="C15" i="19"/>
  <c r="C16" i="19"/>
  <c r="C17" i="19"/>
  <c r="C18" i="19"/>
  <c r="C19" i="19"/>
  <c r="C20" i="19"/>
  <c r="C21" i="19"/>
  <c r="C22" i="19"/>
  <c r="C2" i="19"/>
  <c r="D2" i="12"/>
  <c r="E2" i="12"/>
  <c r="F2" i="12"/>
  <c r="G2" i="12"/>
  <c r="H2" i="12"/>
  <c r="I2" i="12"/>
  <c r="J2" i="12"/>
  <c r="K2" i="12"/>
  <c r="L2" i="12"/>
  <c r="M2" i="12"/>
  <c r="N2" i="12"/>
  <c r="O2" i="12"/>
  <c r="P2" i="12"/>
  <c r="Q2" i="12"/>
  <c r="R2" i="12"/>
  <c r="S2" i="12"/>
  <c r="T2" i="12"/>
  <c r="U2" i="12"/>
  <c r="V2" i="12"/>
  <c r="W2" i="12"/>
  <c r="X2" i="12"/>
  <c r="Y2" i="12"/>
  <c r="Z2" i="12"/>
  <c r="AA2" i="12"/>
  <c r="D5" i="12"/>
  <c r="E5" i="12"/>
  <c r="F5" i="12"/>
  <c r="G5" i="12"/>
  <c r="H5" i="12"/>
  <c r="I5" i="12"/>
  <c r="J5" i="12"/>
  <c r="K5" i="12"/>
  <c r="L5" i="12"/>
  <c r="M5" i="12"/>
  <c r="N5" i="12"/>
  <c r="O5" i="12"/>
  <c r="P5" i="12"/>
  <c r="Q5" i="12"/>
  <c r="R5" i="12"/>
  <c r="S5" i="12"/>
  <c r="T5" i="12"/>
  <c r="U5" i="12"/>
  <c r="V5" i="12"/>
  <c r="W5" i="12"/>
  <c r="X5" i="12"/>
  <c r="Y5" i="12"/>
  <c r="Z5" i="12"/>
  <c r="AA5" i="12"/>
  <c r="D6" i="12"/>
  <c r="E6" i="12"/>
  <c r="F6" i="12"/>
  <c r="G6" i="12"/>
  <c r="H6" i="12"/>
  <c r="I6" i="12"/>
  <c r="J6" i="12"/>
  <c r="K6" i="12"/>
  <c r="L6" i="12"/>
  <c r="M6" i="12"/>
  <c r="N6" i="12"/>
  <c r="O6" i="12"/>
  <c r="P6" i="12"/>
  <c r="Q6" i="12"/>
  <c r="R6" i="12"/>
  <c r="S6" i="12"/>
  <c r="T6" i="12"/>
  <c r="U6" i="12"/>
  <c r="V6" i="12"/>
  <c r="W6" i="12"/>
  <c r="X6" i="12"/>
  <c r="Y6" i="12"/>
  <c r="Z6" i="12"/>
  <c r="AA6" i="12"/>
  <c r="D7" i="12"/>
  <c r="E7" i="12"/>
  <c r="F7" i="12"/>
  <c r="G7" i="12"/>
  <c r="H7" i="12"/>
  <c r="I7" i="12"/>
  <c r="J7" i="12"/>
  <c r="K7" i="12"/>
  <c r="L7" i="12"/>
  <c r="M7" i="12"/>
  <c r="N7" i="12"/>
  <c r="O7" i="12"/>
  <c r="P7" i="12"/>
  <c r="Q7" i="12"/>
  <c r="R7" i="12"/>
  <c r="S7" i="12"/>
  <c r="T7" i="12"/>
  <c r="U7" i="12"/>
  <c r="V7" i="12"/>
  <c r="W7" i="12"/>
  <c r="X7" i="12"/>
  <c r="Y7" i="12"/>
  <c r="Z7" i="12"/>
  <c r="AA7" i="12"/>
  <c r="D8" i="12"/>
  <c r="E8" i="12"/>
  <c r="F8" i="12"/>
  <c r="G8" i="12"/>
  <c r="H8" i="12"/>
  <c r="I8" i="12"/>
  <c r="J8" i="12"/>
  <c r="K8" i="12"/>
  <c r="L8" i="12"/>
  <c r="M8" i="12"/>
  <c r="N8" i="12"/>
  <c r="O8" i="12"/>
  <c r="P8" i="12"/>
  <c r="Q8" i="12"/>
  <c r="R8" i="12"/>
  <c r="S8" i="12"/>
  <c r="T8" i="12"/>
  <c r="U8" i="12"/>
  <c r="V8" i="12"/>
  <c r="W8" i="12"/>
  <c r="X8" i="12"/>
  <c r="Y8" i="12"/>
  <c r="Z8" i="12"/>
  <c r="AA8" i="12"/>
  <c r="D9" i="12"/>
  <c r="E9" i="12"/>
  <c r="F9" i="12"/>
  <c r="G9" i="12"/>
  <c r="H9" i="12"/>
  <c r="I9" i="12"/>
  <c r="J9" i="12"/>
  <c r="K9" i="12"/>
  <c r="L9" i="12"/>
  <c r="M9" i="12"/>
  <c r="N9" i="12"/>
  <c r="O9" i="12"/>
  <c r="P9" i="12"/>
  <c r="Q9" i="12"/>
  <c r="R9" i="12"/>
  <c r="S9" i="12"/>
  <c r="T9" i="12"/>
  <c r="U9" i="12"/>
  <c r="V9" i="12"/>
  <c r="W9" i="12"/>
  <c r="X9" i="12"/>
  <c r="Y9" i="12"/>
  <c r="Z9" i="12"/>
  <c r="AA9" i="12"/>
  <c r="D12" i="12"/>
  <c r="E12" i="12"/>
  <c r="F12" i="12"/>
  <c r="G12" i="12"/>
  <c r="H12" i="12"/>
  <c r="I12" i="12"/>
  <c r="J12" i="12"/>
  <c r="K12" i="12"/>
  <c r="L12" i="12"/>
  <c r="M12" i="12"/>
  <c r="N12" i="12"/>
  <c r="O12" i="12"/>
  <c r="P12" i="12"/>
  <c r="Q12" i="12"/>
  <c r="R12" i="12"/>
  <c r="S12" i="12"/>
  <c r="T12" i="12"/>
  <c r="U12" i="12"/>
  <c r="V12" i="12"/>
  <c r="W12" i="12"/>
  <c r="X12" i="12"/>
  <c r="Y12" i="12"/>
  <c r="Z12" i="12"/>
  <c r="AA12" i="12"/>
  <c r="D13" i="12"/>
  <c r="E13" i="12"/>
  <c r="F13" i="12"/>
  <c r="G13" i="12"/>
  <c r="H13" i="12"/>
  <c r="I13" i="12"/>
  <c r="J13" i="12"/>
  <c r="K13" i="12"/>
  <c r="L13" i="12"/>
  <c r="M13" i="12"/>
  <c r="N13" i="12"/>
  <c r="O13" i="12"/>
  <c r="P13" i="12"/>
  <c r="Q13" i="12"/>
  <c r="R13" i="12"/>
  <c r="S13" i="12"/>
  <c r="T13" i="12"/>
  <c r="U13" i="12"/>
  <c r="V13" i="12"/>
  <c r="W13" i="12"/>
  <c r="X13" i="12"/>
  <c r="Y13" i="12"/>
  <c r="Z13" i="12"/>
  <c r="AA13" i="12"/>
  <c r="D15" i="12"/>
  <c r="E15" i="12"/>
  <c r="F15" i="12"/>
  <c r="G15" i="12"/>
  <c r="H15" i="12"/>
  <c r="I15" i="12"/>
  <c r="J15" i="12"/>
  <c r="K15" i="12"/>
  <c r="L15" i="12"/>
  <c r="M15" i="12"/>
  <c r="N15" i="12"/>
  <c r="O15" i="12"/>
  <c r="P15" i="12"/>
  <c r="Q15" i="12"/>
  <c r="R15" i="12"/>
  <c r="S15" i="12"/>
  <c r="T15" i="12"/>
  <c r="U15" i="12"/>
  <c r="V15" i="12"/>
  <c r="W15" i="12"/>
  <c r="X15" i="12"/>
  <c r="Y15" i="12"/>
  <c r="Z15" i="12"/>
  <c r="AA15" i="12"/>
  <c r="D16" i="12"/>
  <c r="E16" i="12"/>
  <c r="F16" i="12"/>
  <c r="G16" i="12"/>
  <c r="H16" i="12"/>
  <c r="I16" i="12"/>
  <c r="J16" i="12"/>
  <c r="K16" i="12"/>
  <c r="L16" i="12"/>
  <c r="M16" i="12"/>
  <c r="N16" i="12"/>
  <c r="O16" i="12"/>
  <c r="P16" i="12"/>
  <c r="Q16" i="12"/>
  <c r="R16" i="12"/>
  <c r="S16" i="12"/>
  <c r="T16" i="12"/>
  <c r="U16" i="12"/>
  <c r="V16" i="12"/>
  <c r="W16" i="12"/>
  <c r="X16" i="12"/>
  <c r="Y16" i="12"/>
  <c r="Z16" i="12"/>
  <c r="AA16" i="12"/>
  <c r="D18" i="12"/>
  <c r="E18" i="12"/>
  <c r="F18" i="12"/>
  <c r="G18" i="12"/>
  <c r="H18" i="12"/>
  <c r="I18" i="12"/>
  <c r="J18" i="12"/>
  <c r="K18" i="12"/>
  <c r="L18" i="12"/>
  <c r="M18" i="12"/>
  <c r="N18" i="12"/>
  <c r="O18" i="12"/>
  <c r="P18" i="12"/>
  <c r="Q18" i="12"/>
  <c r="R18" i="12"/>
  <c r="S18" i="12"/>
  <c r="T18" i="12"/>
  <c r="U18" i="12"/>
  <c r="V18" i="12"/>
  <c r="W18" i="12"/>
  <c r="X18" i="12"/>
  <c r="Y18" i="12"/>
  <c r="Z18" i="12"/>
  <c r="AA18" i="12"/>
  <c r="D19" i="12"/>
  <c r="E19" i="12"/>
  <c r="F19" i="12"/>
  <c r="G19" i="12"/>
  <c r="H19" i="12"/>
  <c r="I19" i="12"/>
  <c r="J19" i="12"/>
  <c r="K19" i="12"/>
  <c r="L19" i="12"/>
  <c r="M19" i="12"/>
  <c r="N19" i="12"/>
  <c r="O19" i="12"/>
  <c r="P19" i="12"/>
  <c r="Q19" i="12"/>
  <c r="R19" i="12"/>
  <c r="S19" i="12"/>
  <c r="T19" i="12"/>
  <c r="U19" i="12"/>
  <c r="V19" i="12"/>
  <c r="W19" i="12"/>
  <c r="X19" i="12"/>
  <c r="Y19" i="12"/>
  <c r="Z19" i="12"/>
  <c r="AA19" i="12"/>
  <c r="D21" i="12"/>
  <c r="E21" i="12"/>
  <c r="F21" i="12"/>
  <c r="G21" i="12"/>
  <c r="H21" i="12"/>
  <c r="I21" i="12"/>
  <c r="J21" i="12"/>
  <c r="K21" i="12"/>
  <c r="L21" i="12"/>
  <c r="M21" i="12"/>
  <c r="N21" i="12"/>
  <c r="O21" i="12"/>
  <c r="P21" i="12"/>
  <c r="Q21" i="12"/>
  <c r="R21" i="12"/>
  <c r="S21" i="12"/>
  <c r="T21" i="12"/>
  <c r="U21" i="12"/>
  <c r="V21" i="12"/>
  <c r="W21" i="12"/>
  <c r="X21" i="12"/>
  <c r="Y21" i="12"/>
  <c r="Z21" i="12"/>
  <c r="AA21" i="12"/>
  <c r="D22" i="12"/>
  <c r="E22" i="12"/>
  <c r="F22" i="12"/>
  <c r="G22" i="12"/>
  <c r="H22" i="12"/>
  <c r="I22" i="12"/>
  <c r="J22" i="12"/>
  <c r="K22" i="12"/>
  <c r="L22" i="12"/>
  <c r="M22" i="12"/>
  <c r="N22" i="12"/>
  <c r="O22" i="12"/>
  <c r="P22" i="12"/>
  <c r="Q22" i="12"/>
  <c r="R22" i="12"/>
  <c r="S22" i="12"/>
  <c r="T22" i="12"/>
  <c r="U22" i="12"/>
  <c r="V22" i="12"/>
  <c r="W22" i="12"/>
  <c r="X22" i="12"/>
  <c r="Y22" i="12"/>
  <c r="Z22" i="12"/>
  <c r="AA22" i="12"/>
  <c r="C5" i="12"/>
  <c r="C6" i="12"/>
  <c r="C7" i="12"/>
  <c r="C8" i="12"/>
  <c r="C9" i="12"/>
  <c r="C12" i="12"/>
  <c r="C13" i="12"/>
  <c r="C15" i="12"/>
  <c r="C16" i="12"/>
  <c r="C18" i="12"/>
  <c r="C19" i="12"/>
  <c r="C21" i="12"/>
  <c r="C22" i="12"/>
  <c r="C2" i="12"/>
  <c r="C54" i="18"/>
  <c r="D54" i="18"/>
  <c r="E54" i="18"/>
  <c r="F54" i="18"/>
  <c r="G54" i="18"/>
  <c r="H54" i="18"/>
  <c r="I54" i="18"/>
  <c r="J54" i="18"/>
  <c r="K54" i="18"/>
  <c r="L54" i="18"/>
  <c r="M54" i="18"/>
  <c r="N54" i="18"/>
  <c r="O54" i="18"/>
  <c r="P54" i="18"/>
  <c r="Q54" i="18"/>
  <c r="R54" i="18"/>
  <c r="S54" i="18"/>
  <c r="T54" i="18"/>
  <c r="U54" i="18"/>
  <c r="V54" i="18"/>
  <c r="W54" i="18"/>
  <c r="X54" i="18"/>
  <c r="Y54" i="18"/>
  <c r="Z54" i="18"/>
  <c r="AA54" i="18"/>
  <c r="C55" i="18"/>
  <c r="D55" i="18"/>
  <c r="E55" i="18"/>
  <c r="F55" i="18"/>
  <c r="G55" i="18"/>
  <c r="H55" i="18"/>
  <c r="I55" i="18"/>
  <c r="J55" i="18"/>
  <c r="K55" i="18"/>
  <c r="L55" i="18"/>
  <c r="M55" i="18"/>
  <c r="N55" i="18"/>
  <c r="O55" i="18"/>
  <c r="P55" i="18"/>
  <c r="Q55" i="18"/>
  <c r="R55" i="18"/>
  <c r="S55" i="18"/>
  <c r="T55" i="18"/>
  <c r="U55" i="18"/>
  <c r="V55" i="18"/>
  <c r="W55" i="18"/>
  <c r="X55" i="18"/>
  <c r="Y55" i="18"/>
  <c r="Z55" i="18"/>
  <c r="AA55" i="18"/>
  <c r="C61" i="18"/>
  <c r="D61" i="18"/>
  <c r="E61" i="18"/>
  <c r="F61" i="18"/>
  <c r="G61" i="18"/>
  <c r="H61" i="18"/>
  <c r="I61" i="18"/>
  <c r="J61" i="18"/>
  <c r="K61" i="18"/>
  <c r="L61" i="18"/>
  <c r="M61" i="18"/>
  <c r="N61" i="18"/>
  <c r="O61" i="18"/>
  <c r="P61" i="18"/>
  <c r="Q61" i="18"/>
  <c r="R61" i="18"/>
  <c r="S61" i="18"/>
  <c r="T61" i="18"/>
  <c r="U61" i="18"/>
  <c r="V61" i="18"/>
  <c r="W61" i="18"/>
  <c r="X61" i="18"/>
  <c r="Y61" i="18"/>
  <c r="Z61" i="18"/>
  <c r="AA61" i="18"/>
  <c r="C62" i="18"/>
  <c r="D62" i="18"/>
  <c r="E62" i="18"/>
  <c r="F62" i="18"/>
  <c r="G62" i="18"/>
  <c r="H62" i="18"/>
  <c r="I62" i="18"/>
  <c r="J62" i="18"/>
  <c r="K62" i="18"/>
  <c r="L62" i="18"/>
  <c r="M62" i="18"/>
  <c r="N62" i="18"/>
  <c r="O62" i="18"/>
  <c r="P62" i="18"/>
  <c r="Q62" i="18"/>
  <c r="R62" i="18"/>
  <c r="S62" i="18"/>
  <c r="T62" i="18"/>
  <c r="U62" i="18"/>
  <c r="V62" i="18"/>
  <c r="W62" i="18"/>
  <c r="X62" i="18"/>
  <c r="Y62" i="18"/>
  <c r="Z62" i="18"/>
  <c r="AA62" i="18"/>
  <c r="C63" i="18"/>
  <c r="D63" i="18"/>
  <c r="E63" i="18"/>
  <c r="F63" i="18"/>
  <c r="G63" i="18"/>
  <c r="H63" i="18"/>
  <c r="I63" i="18"/>
  <c r="J63" i="18"/>
  <c r="K63" i="18"/>
  <c r="L63" i="18"/>
  <c r="M63" i="18"/>
  <c r="N63" i="18"/>
  <c r="O63" i="18"/>
  <c r="P63" i="18"/>
  <c r="Q63" i="18"/>
  <c r="R63" i="18"/>
  <c r="S63" i="18"/>
  <c r="T63" i="18"/>
  <c r="U63" i="18"/>
  <c r="V63" i="18"/>
  <c r="W63" i="18"/>
  <c r="X63" i="18"/>
  <c r="Y63" i="18"/>
  <c r="Z63" i="18"/>
  <c r="AA63" i="18"/>
  <c r="C64" i="18"/>
  <c r="D64" i="18"/>
  <c r="E64" i="18"/>
  <c r="F64" i="18"/>
  <c r="G64" i="18"/>
  <c r="H64" i="18"/>
  <c r="I64" i="18"/>
  <c r="J64" i="18"/>
  <c r="K64" i="18"/>
  <c r="L64" i="18"/>
  <c r="M64" i="18"/>
  <c r="N64" i="18"/>
  <c r="O64" i="18"/>
  <c r="P64" i="18"/>
  <c r="Q64" i="18"/>
  <c r="R64" i="18"/>
  <c r="S64" i="18"/>
  <c r="T64" i="18"/>
  <c r="U64" i="18"/>
  <c r="V64" i="18"/>
  <c r="W64" i="18"/>
  <c r="X64" i="18"/>
  <c r="Y64" i="18"/>
  <c r="Z64" i="18"/>
  <c r="AA64" i="18"/>
  <c r="C65" i="18"/>
  <c r="D65" i="18"/>
  <c r="E65" i="18"/>
  <c r="F65" i="18"/>
  <c r="G65" i="18"/>
  <c r="H65" i="18"/>
  <c r="I65" i="18"/>
  <c r="J65" i="18"/>
  <c r="K65" i="18"/>
  <c r="L65" i="18"/>
  <c r="M65" i="18"/>
  <c r="N65" i="18"/>
  <c r="O65" i="18"/>
  <c r="P65" i="18"/>
  <c r="Q65" i="18"/>
  <c r="R65" i="18"/>
  <c r="S65" i="18"/>
  <c r="T65" i="18"/>
  <c r="U65" i="18"/>
  <c r="V65" i="18"/>
  <c r="W65" i="18"/>
  <c r="X65" i="18"/>
  <c r="Y65" i="18"/>
  <c r="Z65" i="18"/>
  <c r="AA65" i="18"/>
  <c r="C68" i="18"/>
  <c r="D68" i="18"/>
  <c r="E68" i="18"/>
  <c r="F68" i="18"/>
  <c r="G68" i="18"/>
  <c r="H68" i="18"/>
  <c r="I68" i="18"/>
  <c r="J68" i="18"/>
  <c r="K68" i="18"/>
  <c r="L68" i="18"/>
  <c r="M68" i="18"/>
  <c r="N68" i="18"/>
  <c r="O68" i="18"/>
  <c r="P68" i="18"/>
  <c r="Q68" i="18"/>
  <c r="R68" i="18"/>
  <c r="S68" i="18"/>
  <c r="T68" i="18"/>
  <c r="U68" i="18"/>
  <c r="V68" i="18"/>
  <c r="W68" i="18"/>
  <c r="X68" i="18"/>
  <c r="Y68" i="18"/>
  <c r="Z68" i="18"/>
  <c r="AA68" i="18"/>
  <c r="C69" i="18"/>
  <c r="D69" i="18"/>
  <c r="E69" i="18"/>
  <c r="F69" i="18"/>
  <c r="G69" i="18"/>
  <c r="H69" i="18"/>
  <c r="I69" i="18"/>
  <c r="J69" i="18"/>
  <c r="K69" i="18"/>
  <c r="L69" i="18"/>
  <c r="M69" i="18"/>
  <c r="N69" i="18"/>
  <c r="O69" i="18"/>
  <c r="P69" i="18"/>
  <c r="Q69" i="18"/>
  <c r="R69" i="18"/>
  <c r="S69" i="18"/>
  <c r="T69" i="18"/>
  <c r="U69" i="18"/>
  <c r="V69" i="18"/>
  <c r="W69" i="18"/>
  <c r="X69" i="18"/>
  <c r="Y69" i="18"/>
  <c r="Z69" i="18"/>
  <c r="AA69" i="18"/>
  <c r="C70" i="18"/>
  <c r="D70" i="18"/>
  <c r="E70" i="18"/>
  <c r="F70" i="18"/>
  <c r="G70" i="18"/>
  <c r="H70" i="18"/>
  <c r="I70" i="18"/>
  <c r="J70" i="18"/>
  <c r="K70" i="18"/>
  <c r="L70" i="18"/>
  <c r="M70" i="18"/>
  <c r="N70" i="18"/>
  <c r="O70" i="18"/>
  <c r="P70" i="18"/>
  <c r="Q70" i="18"/>
  <c r="R70" i="18"/>
  <c r="S70" i="18"/>
  <c r="T70" i="18"/>
  <c r="U70" i="18"/>
  <c r="V70" i="18"/>
  <c r="W70" i="18"/>
  <c r="X70" i="18"/>
  <c r="Y70" i="18"/>
  <c r="Z70" i="18"/>
  <c r="AA70" i="18"/>
  <c r="C71" i="18"/>
  <c r="D71" i="18"/>
  <c r="E71" i="18"/>
  <c r="F71" i="18"/>
  <c r="G71" i="18"/>
  <c r="H71" i="18"/>
  <c r="I71" i="18"/>
  <c r="J71" i="18"/>
  <c r="K71" i="18"/>
  <c r="L71" i="18"/>
  <c r="M71" i="18"/>
  <c r="N71" i="18"/>
  <c r="O71" i="18"/>
  <c r="P71" i="18"/>
  <c r="Q71" i="18"/>
  <c r="R71" i="18"/>
  <c r="S71" i="18"/>
  <c r="T71" i="18"/>
  <c r="U71" i="18"/>
  <c r="V71" i="18"/>
  <c r="W71" i="18"/>
  <c r="X71" i="18"/>
  <c r="Y71" i="18"/>
  <c r="Z71" i="18"/>
  <c r="AA71" i="18"/>
  <c r="C29" i="18"/>
  <c r="D29" i="18"/>
  <c r="E29" i="18"/>
  <c r="F29" i="18"/>
  <c r="G29" i="18"/>
  <c r="H29" i="18"/>
  <c r="I29" i="18"/>
  <c r="J29" i="18"/>
  <c r="K29" i="18"/>
  <c r="L29" i="18"/>
  <c r="M29" i="18"/>
  <c r="N29" i="18"/>
  <c r="O29" i="18"/>
  <c r="P29" i="18"/>
  <c r="Q29" i="18"/>
  <c r="R29" i="18"/>
  <c r="S29" i="18"/>
  <c r="T29" i="18"/>
  <c r="U29" i="18"/>
  <c r="V29" i="18"/>
  <c r="W29" i="18"/>
  <c r="X29" i="18"/>
  <c r="Y29" i="18"/>
  <c r="Z29" i="18"/>
  <c r="AA29" i="18"/>
  <c r="C30" i="18"/>
  <c r="D30" i="18"/>
  <c r="E30" i="18"/>
  <c r="F30" i="18"/>
  <c r="G30" i="18"/>
  <c r="H30" i="18"/>
  <c r="I30" i="18"/>
  <c r="J30" i="18"/>
  <c r="K30" i="18"/>
  <c r="L30" i="18"/>
  <c r="M30" i="18"/>
  <c r="N30" i="18"/>
  <c r="O30" i="18"/>
  <c r="P30" i="18"/>
  <c r="Q30" i="18"/>
  <c r="R30" i="18"/>
  <c r="S30" i="18"/>
  <c r="T30" i="18"/>
  <c r="U30" i="18"/>
  <c r="V30" i="18"/>
  <c r="W30" i="18"/>
  <c r="X30" i="18"/>
  <c r="Y30" i="18"/>
  <c r="Z30" i="18"/>
  <c r="AA30" i="18"/>
  <c r="C36" i="18"/>
  <c r="D36" i="18"/>
  <c r="E36" i="18"/>
  <c r="F36" i="18"/>
  <c r="G36" i="18"/>
  <c r="H36" i="18"/>
  <c r="I36" i="18"/>
  <c r="J36" i="18"/>
  <c r="K36" i="18"/>
  <c r="L36" i="18"/>
  <c r="M36" i="18"/>
  <c r="N36" i="18"/>
  <c r="O36" i="18"/>
  <c r="P36" i="18"/>
  <c r="Q36" i="18"/>
  <c r="R36" i="18"/>
  <c r="S36" i="18"/>
  <c r="T36" i="18"/>
  <c r="U36" i="18"/>
  <c r="V36" i="18"/>
  <c r="W36" i="18"/>
  <c r="X36" i="18"/>
  <c r="Y36" i="18"/>
  <c r="Z36" i="18"/>
  <c r="AA36" i="18"/>
  <c r="C37" i="18"/>
  <c r="D37" i="18"/>
  <c r="E37" i="18"/>
  <c r="F37" i="18"/>
  <c r="G37" i="18"/>
  <c r="H37" i="18"/>
  <c r="I37" i="18"/>
  <c r="J37" i="18"/>
  <c r="K37" i="18"/>
  <c r="L37" i="18"/>
  <c r="M37" i="18"/>
  <c r="N37" i="18"/>
  <c r="O37" i="18"/>
  <c r="P37" i="18"/>
  <c r="Q37" i="18"/>
  <c r="R37" i="18"/>
  <c r="S37" i="18"/>
  <c r="T37" i="18"/>
  <c r="U37" i="18"/>
  <c r="V37" i="18"/>
  <c r="W37" i="18"/>
  <c r="X37" i="18"/>
  <c r="Y37" i="18"/>
  <c r="Z37" i="18"/>
  <c r="AA37" i="18"/>
  <c r="C38" i="18"/>
  <c r="D38" i="18"/>
  <c r="E38" i="18"/>
  <c r="F38" i="18"/>
  <c r="G38" i="18"/>
  <c r="H38" i="18"/>
  <c r="I38" i="18"/>
  <c r="J38" i="18"/>
  <c r="K38" i="18"/>
  <c r="L38" i="18"/>
  <c r="M38" i="18"/>
  <c r="N38" i="18"/>
  <c r="O38" i="18"/>
  <c r="P38" i="18"/>
  <c r="Q38" i="18"/>
  <c r="R38" i="18"/>
  <c r="S38" i="18"/>
  <c r="T38" i="18"/>
  <c r="U38" i="18"/>
  <c r="V38" i="18"/>
  <c r="W38" i="18"/>
  <c r="X38" i="18"/>
  <c r="Y38" i="18"/>
  <c r="Z38" i="18"/>
  <c r="AA38" i="18"/>
  <c r="C39" i="18"/>
  <c r="D39" i="18"/>
  <c r="E39" i="18"/>
  <c r="F39" i="18"/>
  <c r="G39" i="18"/>
  <c r="H39" i="18"/>
  <c r="I39" i="18"/>
  <c r="J39" i="18"/>
  <c r="K39" i="18"/>
  <c r="L39" i="18"/>
  <c r="M39" i="18"/>
  <c r="N39" i="18"/>
  <c r="O39" i="18"/>
  <c r="P39" i="18"/>
  <c r="Q39" i="18"/>
  <c r="R39" i="18"/>
  <c r="S39" i="18"/>
  <c r="T39" i="18"/>
  <c r="U39" i="18"/>
  <c r="V39" i="18"/>
  <c r="W39" i="18"/>
  <c r="X39" i="18"/>
  <c r="Y39" i="18"/>
  <c r="Z39" i="18"/>
  <c r="AA39" i="18"/>
  <c r="C40" i="18"/>
  <c r="D40" i="18"/>
  <c r="E40" i="18"/>
  <c r="F40" i="18"/>
  <c r="G40" i="18"/>
  <c r="H40" i="18"/>
  <c r="I40" i="18"/>
  <c r="J40" i="18"/>
  <c r="K40" i="18"/>
  <c r="L40" i="18"/>
  <c r="M40" i="18"/>
  <c r="N40" i="18"/>
  <c r="O40" i="18"/>
  <c r="P40" i="18"/>
  <c r="Q40" i="18"/>
  <c r="R40" i="18"/>
  <c r="S40" i="18"/>
  <c r="T40" i="18"/>
  <c r="U40" i="18"/>
  <c r="V40" i="18"/>
  <c r="W40" i="18"/>
  <c r="X40" i="18"/>
  <c r="Y40" i="18"/>
  <c r="Z40" i="18"/>
  <c r="AA40" i="18"/>
  <c r="C43" i="18"/>
  <c r="D43" i="18"/>
  <c r="E43" i="18"/>
  <c r="F43" i="18"/>
  <c r="G43" i="18"/>
  <c r="H43" i="18"/>
  <c r="I43" i="18"/>
  <c r="J43" i="18"/>
  <c r="K43" i="18"/>
  <c r="L43" i="18"/>
  <c r="M43" i="18"/>
  <c r="N43" i="18"/>
  <c r="O43" i="18"/>
  <c r="P43" i="18"/>
  <c r="Q43" i="18"/>
  <c r="R43" i="18"/>
  <c r="S43" i="18"/>
  <c r="T43" i="18"/>
  <c r="U43" i="18"/>
  <c r="V43" i="18"/>
  <c r="W43" i="18"/>
  <c r="X43" i="18"/>
  <c r="Y43" i="18"/>
  <c r="Z43" i="18"/>
  <c r="AA43"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C45" i="18"/>
  <c r="D45" i="18"/>
  <c r="E45" i="18"/>
  <c r="F45" i="18"/>
  <c r="G45" i="18"/>
  <c r="H45" i="18"/>
  <c r="I45" i="18"/>
  <c r="J45" i="18"/>
  <c r="K45" i="18"/>
  <c r="L45" i="18"/>
  <c r="M45" i="18"/>
  <c r="N45" i="18"/>
  <c r="O45" i="18"/>
  <c r="P45" i="18"/>
  <c r="Q45" i="18"/>
  <c r="R45" i="18"/>
  <c r="S45" i="18"/>
  <c r="T45" i="18"/>
  <c r="U45" i="18"/>
  <c r="V45" i="18"/>
  <c r="W45" i="18"/>
  <c r="X45" i="18"/>
  <c r="Y45" i="18"/>
  <c r="Z45" i="18"/>
  <c r="AA45" i="18"/>
  <c r="C46" i="18"/>
  <c r="D46" i="18"/>
  <c r="E46" i="18"/>
  <c r="F46" i="18"/>
  <c r="G46" i="18"/>
  <c r="H46" i="18"/>
  <c r="I46" i="18"/>
  <c r="J46" i="18"/>
  <c r="K46" i="18"/>
  <c r="L46" i="18"/>
  <c r="M46" i="18"/>
  <c r="N46" i="18"/>
  <c r="O46" i="18"/>
  <c r="P46" i="18"/>
  <c r="Q46" i="18"/>
  <c r="R46" i="18"/>
  <c r="S46" i="18"/>
  <c r="T46" i="18"/>
  <c r="U46" i="18"/>
  <c r="V46" i="18"/>
  <c r="W46" i="18"/>
  <c r="X46" i="18"/>
  <c r="Y46" i="18"/>
  <c r="Z46" i="18"/>
  <c r="AA46" i="18"/>
  <c r="C4" i="18"/>
  <c r="D4" i="18"/>
  <c r="E4" i="18"/>
  <c r="F4" i="18"/>
  <c r="G4" i="18"/>
  <c r="H4" i="18"/>
  <c r="I4" i="18"/>
  <c r="J4" i="18"/>
  <c r="K4" i="18"/>
  <c r="L4" i="18"/>
  <c r="M4" i="18"/>
  <c r="N4" i="18"/>
  <c r="O4" i="18"/>
  <c r="P4" i="18"/>
  <c r="Q4" i="18"/>
  <c r="R4" i="18"/>
  <c r="S4" i="18"/>
  <c r="T4" i="18"/>
  <c r="U4" i="18"/>
  <c r="V4" i="18"/>
  <c r="W4" i="18"/>
  <c r="X4" i="18"/>
  <c r="Y4" i="18"/>
  <c r="Z4" i="18"/>
  <c r="AA4" i="18"/>
  <c r="C5" i="18"/>
  <c r="D5" i="18"/>
  <c r="E5" i="18"/>
  <c r="F5" i="18"/>
  <c r="G5" i="18"/>
  <c r="H5" i="18"/>
  <c r="I5" i="18"/>
  <c r="J5" i="18"/>
  <c r="K5" i="18"/>
  <c r="L5" i="18"/>
  <c r="M5" i="18"/>
  <c r="N5" i="18"/>
  <c r="O5" i="18"/>
  <c r="P5" i="18"/>
  <c r="Q5" i="18"/>
  <c r="R5" i="18"/>
  <c r="S5" i="18"/>
  <c r="T5" i="18"/>
  <c r="U5" i="18"/>
  <c r="V5" i="18"/>
  <c r="W5" i="18"/>
  <c r="X5" i="18"/>
  <c r="Y5" i="18"/>
  <c r="Z5" i="18"/>
  <c r="AA5" i="18"/>
  <c r="C6" i="18"/>
  <c r="D6" i="18"/>
  <c r="E6" i="18"/>
  <c r="F6" i="18"/>
  <c r="G6" i="18"/>
  <c r="H6" i="18"/>
  <c r="I6" i="18"/>
  <c r="J6" i="18"/>
  <c r="K6" i="18"/>
  <c r="L6" i="18"/>
  <c r="M6" i="18"/>
  <c r="N6" i="18"/>
  <c r="O6" i="18"/>
  <c r="P6" i="18"/>
  <c r="Q6" i="18"/>
  <c r="R6" i="18"/>
  <c r="S6" i="18"/>
  <c r="T6" i="18"/>
  <c r="U6" i="18"/>
  <c r="V6" i="18"/>
  <c r="W6" i="18"/>
  <c r="X6" i="18"/>
  <c r="Y6" i="18"/>
  <c r="Z6" i="18"/>
  <c r="AA6" i="18"/>
  <c r="C10" i="18"/>
  <c r="D10" i="18"/>
  <c r="E10" i="18"/>
  <c r="F10" i="18"/>
  <c r="G10" i="18"/>
  <c r="H10" i="18"/>
  <c r="I10" i="18"/>
  <c r="J10" i="18"/>
  <c r="K10" i="18"/>
  <c r="L10" i="18"/>
  <c r="M10" i="18"/>
  <c r="N10" i="18"/>
  <c r="O10" i="18"/>
  <c r="P10" i="18"/>
  <c r="Q10" i="18"/>
  <c r="R10" i="18"/>
  <c r="S10" i="18"/>
  <c r="T10" i="18"/>
  <c r="U10" i="18"/>
  <c r="V10" i="18"/>
  <c r="W10" i="18"/>
  <c r="X10" i="18"/>
  <c r="Y10" i="18"/>
  <c r="Z10" i="18"/>
  <c r="AA10" i="18"/>
  <c r="C11" i="18"/>
  <c r="D11" i="18"/>
  <c r="E11" i="18"/>
  <c r="F11" i="18"/>
  <c r="G11" i="18"/>
  <c r="H11" i="18"/>
  <c r="I11" i="18"/>
  <c r="J11" i="18"/>
  <c r="K11" i="18"/>
  <c r="L11" i="18"/>
  <c r="M11" i="18"/>
  <c r="N11" i="18"/>
  <c r="O11" i="18"/>
  <c r="P11" i="18"/>
  <c r="Q11" i="18"/>
  <c r="R11" i="18"/>
  <c r="S11" i="18"/>
  <c r="T11" i="18"/>
  <c r="U11" i="18"/>
  <c r="V11" i="18"/>
  <c r="W11" i="18"/>
  <c r="X11" i="18"/>
  <c r="Y11" i="18"/>
  <c r="Z11" i="18"/>
  <c r="AA11" i="18"/>
  <c r="C12" i="18"/>
  <c r="D12" i="18"/>
  <c r="E12" i="18"/>
  <c r="F12" i="18"/>
  <c r="G12" i="18"/>
  <c r="H12" i="18"/>
  <c r="I12" i="18"/>
  <c r="J12" i="18"/>
  <c r="K12" i="18"/>
  <c r="L12" i="18"/>
  <c r="M12" i="18"/>
  <c r="N12" i="18"/>
  <c r="O12" i="18"/>
  <c r="P12" i="18"/>
  <c r="Q12" i="18"/>
  <c r="R12" i="18"/>
  <c r="S12" i="18"/>
  <c r="T12" i="18"/>
  <c r="U12" i="18"/>
  <c r="V12" i="18"/>
  <c r="W12" i="18"/>
  <c r="X12" i="18"/>
  <c r="Y12" i="18"/>
  <c r="Z12" i="18"/>
  <c r="AA12" i="18"/>
  <c r="C13" i="18"/>
  <c r="D13" i="18"/>
  <c r="E13" i="18"/>
  <c r="F13" i="18"/>
  <c r="G13" i="18"/>
  <c r="H13" i="18"/>
  <c r="I13" i="18"/>
  <c r="J13" i="18"/>
  <c r="K13" i="18"/>
  <c r="L13" i="18"/>
  <c r="M13" i="18"/>
  <c r="N13" i="18"/>
  <c r="O13" i="18"/>
  <c r="P13" i="18"/>
  <c r="Q13" i="18"/>
  <c r="R13" i="18"/>
  <c r="S13" i="18"/>
  <c r="T13" i="18"/>
  <c r="U13" i="18"/>
  <c r="V13" i="18"/>
  <c r="W13" i="18"/>
  <c r="X13" i="18"/>
  <c r="Y13" i="18"/>
  <c r="Z13" i="18"/>
  <c r="AA13" i="18"/>
  <c r="C14" i="18"/>
  <c r="D14" i="18"/>
  <c r="E14" i="18"/>
  <c r="F14" i="18"/>
  <c r="G14" i="18"/>
  <c r="H14" i="18"/>
  <c r="I14" i="18"/>
  <c r="J14" i="18"/>
  <c r="K14" i="18"/>
  <c r="L14" i="18"/>
  <c r="M14" i="18"/>
  <c r="N14" i="18"/>
  <c r="O14" i="18"/>
  <c r="P14" i="18"/>
  <c r="Q14" i="18"/>
  <c r="R14" i="18"/>
  <c r="S14" i="18"/>
  <c r="T14" i="18"/>
  <c r="U14" i="18"/>
  <c r="V14" i="18"/>
  <c r="W14" i="18"/>
  <c r="X14" i="18"/>
  <c r="Y14" i="18"/>
  <c r="Z14" i="18"/>
  <c r="AA14" i="18"/>
  <c r="C15" i="18"/>
  <c r="D15" i="18"/>
  <c r="E15" i="18"/>
  <c r="F15" i="18"/>
  <c r="G15" i="18"/>
  <c r="H15" i="18"/>
  <c r="I15" i="18"/>
  <c r="J15" i="18"/>
  <c r="K15" i="18"/>
  <c r="L15" i="18"/>
  <c r="M15" i="18"/>
  <c r="N15" i="18"/>
  <c r="O15" i="18"/>
  <c r="P15" i="18"/>
  <c r="Q15" i="18"/>
  <c r="R15" i="18"/>
  <c r="S15" i="18"/>
  <c r="T15" i="18"/>
  <c r="U15" i="18"/>
  <c r="V15" i="18"/>
  <c r="W15" i="18"/>
  <c r="X15" i="18"/>
  <c r="Y15" i="18"/>
  <c r="Z15" i="18"/>
  <c r="AA15" i="18"/>
  <c r="C18" i="18"/>
  <c r="D18" i="18"/>
  <c r="E18" i="18"/>
  <c r="F18" i="18"/>
  <c r="G18" i="18"/>
  <c r="H18" i="18"/>
  <c r="I18" i="18"/>
  <c r="J18" i="18"/>
  <c r="K18" i="18"/>
  <c r="L18" i="18"/>
  <c r="M18" i="18"/>
  <c r="N18" i="18"/>
  <c r="O18" i="18"/>
  <c r="P18" i="18"/>
  <c r="Q18" i="18"/>
  <c r="R18" i="18"/>
  <c r="S18" i="18"/>
  <c r="T18" i="18"/>
  <c r="U18" i="18"/>
  <c r="V18" i="18"/>
  <c r="W18" i="18"/>
  <c r="X18" i="18"/>
  <c r="Y18" i="18"/>
  <c r="Z18" i="18"/>
  <c r="AA18" i="18"/>
  <c r="C19" i="18"/>
  <c r="D19" i="18"/>
  <c r="E19" i="18"/>
  <c r="F19" i="18"/>
  <c r="G19" i="18"/>
  <c r="H19" i="18"/>
  <c r="I19" i="18"/>
  <c r="J19" i="18"/>
  <c r="K19" i="18"/>
  <c r="L19" i="18"/>
  <c r="M19" i="18"/>
  <c r="N19" i="18"/>
  <c r="O19" i="18"/>
  <c r="P19" i="18"/>
  <c r="Q19" i="18"/>
  <c r="R19" i="18"/>
  <c r="S19" i="18"/>
  <c r="T19" i="18"/>
  <c r="U19" i="18"/>
  <c r="V19" i="18"/>
  <c r="W19" i="18"/>
  <c r="X19" i="18"/>
  <c r="Y19" i="18"/>
  <c r="Z19" i="18"/>
  <c r="AA19" i="18"/>
  <c r="C20" i="18"/>
  <c r="D20" i="18"/>
  <c r="E20" i="18"/>
  <c r="F20" i="18"/>
  <c r="G20" i="18"/>
  <c r="H20" i="18"/>
  <c r="I20" i="18"/>
  <c r="J20" i="18"/>
  <c r="K20" i="18"/>
  <c r="L20" i="18"/>
  <c r="M20" i="18"/>
  <c r="N20" i="18"/>
  <c r="O20" i="18"/>
  <c r="P20" i="18"/>
  <c r="Q20" i="18"/>
  <c r="R20" i="18"/>
  <c r="S20" i="18"/>
  <c r="T20" i="18"/>
  <c r="U20" i="18"/>
  <c r="V20" i="18"/>
  <c r="W20" i="18"/>
  <c r="X20" i="18"/>
  <c r="Y20" i="18"/>
  <c r="Z20" i="18"/>
  <c r="AA20" i="18"/>
  <c r="C21" i="18"/>
  <c r="D21" i="18"/>
  <c r="E21" i="18"/>
  <c r="F21" i="18"/>
  <c r="G21" i="18"/>
  <c r="H21" i="18"/>
  <c r="I21" i="18"/>
  <c r="J21" i="18"/>
  <c r="K21" i="18"/>
  <c r="L21" i="18"/>
  <c r="M21" i="18"/>
  <c r="N21" i="18"/>
  <c r="O21" i="18"/>
  <c r="P21" i="18"/>
  <c r="Q21" i="18"/>
  <c r="R21" i="18"/>
  <c r="S21" i="18"/>
  <c r="T21" i="18"/>
  <c r="U21" i="18"/>
  <c r="V21" i="18"/>
  <c r="W21" i="18"/>
  <c r="X21" i="18"/>
  <c r="Y21" i="18"/>
  <c r="Z21" i="18"/>
  <c r="AA21" i="18"/>
  <c r="C22" i="18"/>
  <c r="D22" i="18"/>
  <c r="E22" i="18"/>
  <c r="F22" i="18"/>
  <c r="G22" i="18"/>
  <c r="H22" i="18"/>
  <c r="I22" i="18"/>
  <c r="J22" i="18"/>
  <c r="K22" i="18"/>
  <c r="L22" i="18"/>
  <c r="M22" i="18"/>
  <c r="N22" i="18"/>
  <c r="O22" i="18"/>
  <c r="P22" i="18"/>
  <c r="Q22" i="18"/>
  <c r="R22" i="18"/>
  <c r="S22" i="18"/>
  <c r="T22" i="18"/>
  <c r="U22" i="18"/>
  <c r="V22" i="18"/>
  <c r="W22" i="18"/>
  <c r="X22" i="18"/>
  <c r="Y22" i="18"/>
  <c r="Z22" i="18"/>
  <c r="AA22" i="18"/>
  <c r="C23" i="18"/>
  <c r="D23" i="18"/>
  <c r="E23" i="18"/>
  <c r="F23" i="18"/>
  <c r="G23" i="18"/>
  <c r="H23" i="18"/>
  <c r="I23" i="18"/>
  <c r="J23" i="18"/>
  <c r="K23" i="18"/>
  <c r="L23" i="18"/>
  <c r="M23" i="18"/>
  <c r="N23" i="18"/>
  <c r="O23" i="18"/>
  <c r="P23" i="18"/>
  <c r="Q23" i="18"/>
  <c r="R23" i="18"/>
  <c r="S23" i="18"/>
  <c r="T23" i="18"/>
  <c r="U23" i="18"/>
  <c r="V23" i="18"/>
  <c r="W23" i="18"/>
  <c r="X23" i="18"/>
  <c r="Y23" i="18"/>
  <c r="Z23" i="18"/>
  <c r="AA23" i="18"/>
  <c r="B55" i="18"/>
  <c r="B44" i="18"/>
  <c r="B30" i="18"/>
  <c r="B71" i="18"/>
  <c r="B70" i="18"/>
  <c r="B69" i="18"/>
  <c r="B68" i="18"/>
  <c r="B65" i="18"/>
  <c r="B64" i="18"/>
  <c r="B63" i="18"/>
  <c r="B62" i="18"/>
  <c r="B61" i="18"/>
  <c r="B54" i="18"/>
  <c r="B46" i="18"/>
  <c r="B45" i="18"/>
  <c r="B43" i="18"/>
  <c r="B40" i="18"/>
  <c r="B39" i="18"/>
  <c r="B38" i="18"/>
  <c r="B37" i="18"/>
  <c r="B36" i="18"/>
  <c r="B29" i="18"/>
  <c r="B23" i="18"/>
  <c r="B22" i="18"/>
  <c r="B21" i="18"/>
  <c r="B20" i="18"/>
  <c r="B19" i="18"/>
  <c r="B18" i="18"/>
  <c r="B15" i="18"/>
  <c r="B14" i="18"/>
  <c r="B13" i="18"/>
  <c r="B12" i="18"/>
  <c r="B11" i="18"/>
  <c r="B10" i="18"/>
  <c r="B6" i="18"/>
  <c r="B5" i="18"/>
  <c r="B4" i="18"/>
  <c r="B2" i="12"/>
  <c r="B5" i="12"/>
  <c r="B6" i="12"/>
  <c r="B7" i="12"/>
  <c r="B8" i="12"/>
  <c r="B9" i="12"/>
  <c r="B12" i="12"/>
  <c r="B13" i="12"/>
  <c r="B15" i="12"/>
  <c r="B16" i="12"/>
  <c r="B18" i="12"/>
  <c r="B19" i="12"/>
  <c r="B21" i="12"/>
  <c r="B22" i="12"/>
  <c r="D4" i="9"/>
  <c r="C4" i="9"/>
  <c r="B4" i="9"/>
  <c r="H48" i="9"/>
  <c r="H43" i="9"/>
  <c r="H42" i="9"/>
  <c r="H38" i="9"/>
  <c r="H37" i="9"/>
  <c r="H36" i="9"/>
  <c r="H35" i="9"/>
  <c r="H34" i="9"/>
  <c r="H27" i="9"/>
  <c r="A31" i="8"/>
  <c r="A21" i="6"/>
  <c r="B14" i="8"/>
  <c r="B13" i="8"/>
  <c r="B3" i="8"/>
  <c r="C3" i="8" s="1"/>
  <c r="B20" i="9"/>
  <c r="B19" i="9"/>
  <c r="D20" i="9" l="1"/>
  <c r="C20" i="9"/>
  <c r="D19" i="9"/>
  <c r="C19" i="9"/>
  <c r="C18" i="9"/>
  <c r="D18" i="9"/>
  <c r="B18" i="9"/>
  <c r="C12" i="9"/>
  <c r="E12" i="9" s="1"/>
  <c r="D14" i="9"/>
  <c r="C14" i="9"/>
  <c r="B14" i="9"/>
  <c r="D13" i="9"/>
  <c r="C13" i="9"/>
  <c r="B13" i="9"/>
  <c r="D12" i="9"/>
  <c r="B12" i="9"/>
  <c r="D11" i="9"/>
  <c r="C11" i="9"/>
  <c r="B11" i="9"/>
  <c r="D10" i="9"/>
  <c r="C10" i="9"/>
  <c r="B10" i="9"/>
  <c r="C13" i="8"/>
  <c r="B28" i="9"/>
  <c r="H46" i="9" l="1"/>
  <c r="B21" i="13" l="1"/>
  <c r="B16" i="13"/>
  <c r="B15" i="13"/>
  <c r="B8" i="13"/>
  <c r="B7" i="13"/>
  <c r="B6" i="13"/>
  <c r="B2" i="13"/>
  <c r="B21" i="19"/>
  <c r="B16" i="19"/>
  <c r="B15" i="19"/>
  <c r="B8" i="19"/>
  <c r="B7" i="19"/>
  <c r="B6" i="19"/>
  <c r="B2" i="19"/>
  <c r="H49" i="9"/>
  <c r="A4" i="5"/>
  <c r="A5" i="5"/>
  <c r="A6"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7" i="5"/>
  <c r="H50" i="9" l="1"/>
  <c r="H51" i="9" s="1"/>
  <c r="B52" i="18"/>
  <c r="C52" i="18"/>
  <c r="D52" i="18"/>
  <c r="E52" i="18"/>
  <c r="F52" i="18"/>
  <c r="G52" i="18"/>
  <c r="H52" i="18"/>
  <c r="I52" i="18"/>
  <c r="J52" i="18"/>
  <c r="K52" i="18"/>
  <c r="L52" i="18"/>
  <c r="M52" i="18"/>
  <c r="N52" i="18"/>
  <c r="O52" i="18"/>
  <c r="P52" i="18"/>
  <c r="Q52" i="18"/>
  <c r="R52" i="18"/>
  <c r="S52" i="18"/>
  <c r="T52" i="18"/>
  <c r="U52" i="18"/>
  <c r="V52" i="18"/>
  <c r="W52" i="18"/>
  <c r="X52" i="18"/>
  <c r="Y52" i="18"/>
  <c r="Z52" i="18"/>
  <c r="AA52" i="18"/>
  <c r="B27" i="18"/>
  <c r="C27" i="18"/>
  <c r="D27" i="18"/>
  <c r="E27" i="18"/>
  <c r="F27" i="18"/>
  <c r="G27" i="18"/>
  <c r="H27" i="18"/>
  <c r="I27" i="18"/>
  <c r="J27" i="18"/>
  <c r="K27" i="18"/>
  <c r="L27" i="18"/>
  <c r="M27" i="18"/>
  <c r="N27" i="18"/>
  <c r="O27" i="18"/>
  <c r="P27" i="18"/>
  <c r="Q27" i="18"/>
  <c r="R27" i="18"/>
  <c r="S27" i="18"/>
  <c r="T27" i="18"/>
  <c r="U27" i="18"/>
  <c r="V27" i="18"/>
  <c r="W27" i="18"/>
  <c r="X27" i="18"/>
  <c r="Y27" i="18"/>
  <c r="Z27" i="18"/>
  <c r="AA27" i="18"/>
  <c r="H45" i="9"/>
  <c r="H44" i="9"/>
  <c r="H41" i="9"/>
  <c r="H33" i="9"/>
  <c r="C45" i="9" l="1"/>
  <c r="C46" i="9"/>
  <c r="B22" i="19" s="1"/>
  <c r="H29" i="9"/>
  <c r="H28" i="9"/>
  <c r="D45" i="9" l="1"/>
  <c r="D46" i="9"/>
  <c r="B22" i="13" s="1"/>
  <c r="B37" i="9" l="1"/>
  <c r="C37" i="9"/>
  <c r="B13" i="19" s="1"/>
  <c r="D37" i="9"/>
  <c r="B13" i="13" s="1"/>
  <c r="D36" i="9"/>
  <c r="B12" i="13" s="1"/>
  <c r="C36" i="9"/>
  <c r="B12" i="19" s="1"/>
  <c r="B36" i="9"/>
  <c r="B22" i="9"/>
  <c r="E22" i="9" l="1"/>
  <c r="E46" i="9" s="1"/>
  <c r="B46" i="9"/>
  <c r="E13" i="9"/>
  <c r="E37" i="9" s="1"/>
  <c r="B21" i="9"/>
  <c r="E21" i="9" l="1"/>
  <c r="E45" i="9" s="1"/>
  <c r="B45" i="9"/>
  <c r="D17" i="9"/>
  <c r="D41" i="9" s="1"/>
  <c r="B17" i="13" s="1"/>
  <c r="C17" i="9"/>
  <c r="C41" i="9" s="1"/>
  <c r="B17" i="19" s="1"/>
  <c r="B17" i="9"/>
  <c r="B41" i="9" s="1"/>
  <c r="D13" i="8"/>
  <c r="E17" i="9" l="1"/>
  <c r="E41" i="9" s="1"/>
  <c r="D44" i="9"/>
  <c r="B20" i="13" s="1"/>
  <c r="C44" i="9"/>
  <c r="B20" i="19" s="1"/>
  <c r="B44" i="9"/>
  <c r="D43" i="9"/>
  <c r="B19" i="13" s="1"/>
  <c r="C43" i="9"/>
  <c r="B19" i="19" s="1"/>
  <c r="B43" i="9"/>
  <c r="D42" i="9"/>
  <c r="B18" i="13" s="1"/>
  <c r="C42" i="9"/>
  <c r="B18" i="19" s="1"/>
  <c r="B42" i="9"/>
  <c r="D38" i="9"/>
  <c r="B14" i="13" s="1"/>
  <c r="C38" i="9"/>
  <c r="B14" i="19" s="1"/>
  <c r="B38" i="9"/>
  <c r="D35" i="9"/>
  <c r="B11" i="13" s="1"/>
  <c r="C35" i="9"/>
  <c r="B11" i="19" s="1"/>
  <c r="B35" i="9"/>
  <c r="D34" i="9"/>
  <c r="B10" i="13" s="1"/>
  <c r="C34" i="9"/>
  <c r="B10" i="19" s="1"/>
  <c r="B34" i="9"/>
  <c r="D9" i="9"/>
  <c r="D33" i="9" s="1"/>
  <c r="B9" i="13" s="1"/>
  <c r="D5" i="9"/>
  <c r="D29" i="9" s="1"/>
  <c r="B5" i="13" s="1"/>
  <c r="C5" i="9"/>
  <c r="C29" i="9" s="1"/>
  <c r="B5" i="19" s="1"/>
  <c r="B5" i="9"/>
  <c r="B29" i="9" s="1"/>
  <c r="D28" i="9"/>
  <c r="B4" i="13" s="1"/>
  <c r="C28" i="9"/>
  <c r="B4" i="19" s="1"/>
  <c r="D3" i="9"/>
  <c r="D27" i="9" s="1"/>
  <c r="B3" i="13" s="1"/>
  <c r="C3" i="9"/>
  <c r="B3" i="9"/>
  <c r="B27" i="9" s="1"/>
  <c r="B9" i="9"/>
  <c r="B33" i="9" s="1"/>
  <c r="C27" i="9" l="1"/>
  <c r="B3" i="19" s="1"/>
  <c r="C9" i="9"/>
  <c r="C33" i="9" s="1"/>
  <c r="B9" i="19" s="1"/>
  <c r="E18" i="9"/>
  <c r="E42" i="9" s="1"/>
  <c r="E10" i="9"/>
  <c r="E14" i="9"/>
  <c r="E11" i="9"/>
  <c r="E19" i="9"/>
  <c r="E43" i="9" s="1"/>
  <c r="E3" i="9"/>
  <c r="E5" i="9"/>
  <c r="E4" i="9"/>
  <c r="E20" i="9"/>
  <c r="E44" i="9" s="1"/>
  <c r="E9" i="9" l="1"/>
  <c r="E33" i="9" s="1"/>
  <c r="E35" i="9"/>
  <c r="E36" i="9"/>
  <c r="E38" i="9"/>
  <c r="E27" i="9"/>
  <c r="E34" i="9"/>
  <c r="E28" i="9"/>
  <c r="E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6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6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6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6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6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6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6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600-000008000000}">
      <text>
        <r>
          <rPr>
            <sz val="9"/>
            <color indexed="81"/>
            <rFont val="Tahoma"/>
            <family val="2"/>
          </rPr>
          <t>For algae-based renewable diesel only</t>
        </r>
      </text>
    </comment>
    <comment ref="A63" authorId="3" shapeId="0" xr:uid="{00000000-0006-0000-06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600-00000A000000}">
      <text>
        <r>
          <rPr>
            <b/>
            <sz val="10"/>
            <color indexed="81"/>
            <rFont val="Tahoma"/>
            <family val="2"/>
          </rPr>
          <t>Btu per (short ton, as received)</t>
        </r>
        <r>
          <rPr>
            <sz val="10"/>
            <color indexed="81"/>
            <rFont val="Tahoma"/>
            <family val="2"/>
          </rPr>
          <t xml:space="preserve">
</t>
        </r>
      </text>
    </comment>
    <comment ref="A66" authorId="0" shapeId="0" xr:uid="{00000000-0006-0000-0600-00000B000000}">
      <text>
        <r>
          <rPr>
            <sz val="8"/>
            <color indexed="81"/>
            <rFont val="Tahoma"/>
            <family val="2"/>
          </rPr>
          <t xml:space="preserve">As feedstock for coal-based H2 and FTD production pathways.
</t>
        </r>
      </text>
    </comment>
    <comment ref="B66" authorId="4" shapeId="0" xr:uid="{00000000-0006-0000-06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600-00000D000000}">
      <text>
        <r>
          <rPr>
            <sz val="9"/>
            <color indexed="81"/>
            <rFont val="Tahoma"/>
            <family val="2"/>
          </rPr>
          <t>Based on EIA-423</t>
        </r>
      </text>
    </comment>
    <comment ref="F66" authorId="3" shapeId="0" xr:uid="{00000000-0006-0000-0600-00000E000000}">
      <text>
        <r>
          <rPr>
            <sz val="9"/>
            <color indexed="81"/>
            <rFont val="Tahoma"/>
            <family val="2"/>
          </rPr>
          <t>Calculated from the USGS database (2006)</t>
        </r>
      </text>
    </comment>
    <comment ref="G66" authorId="3" shapeId="0" xr:uid="{00000000-0006-0000-0600-00000F000000}">
      <text>
        <r>
          <rPr>
            <sz val="9"/>
            <color indexed="81"/>
            <rFont val="Tahoma"/>
            <family val="2"/>
          </rPr>
          <t>Based on EIA-423</t>
        </r>
      </text>
    </comment>
    <comment ref="I66" authorId="3" shapeId="0" xr:uid="{00000000-0006-0000-0600-000010000000}">
      <text>
        <r>
          <rPr>
            <sz val="9"/>
            <color indexed="81"/>
            <rFont val="Tahoma"/>
            <family val="2"/>
          </rPr>
          <t>Calculated from the USGS database (2006)</t>
        </r>
      </text>
    </comment>
    <comment ref="B67" authorId="4" shapeId="0" xr:uid="{00000000-0006-0000-06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600-000012000000}">
      <text>
        <r>
          <rPr>
            <sz val="9"/>
            <color indexed="81"/>
            <rFont val="Tahoma"/>
            <family val="2"/>
          </rPr>
          <t>Based on EIA-423</t>
        </r>
      </text>
    </comment>
    <comment ref="F67" authorId="3" shapeId="0" xr:uid="{00000000-0006-0000-0600-000013000000}">
      <text>
        <r>
          <rPr>
            <sz val="9"/>
            <color indexed="81"/>
            <rFont val="Tahoma"/>
            <family val="2"/>
          </rPr>
          <t>Calculated from the USGS database (2006)</t>
        </r>
      </text>
    </comment>
    <comment ref="G67" authorId="3" shapeId="0" xr:uid="{00000000-0006-0000-0600-000014000000}">
      <text>
        <r>
          <rPr>
            <sz val="9"/>
            <color indexed="81"/>
            <rFont val="Tahoma"/>
            <family val="2"/>
          </rPr>
          <t>Based on EIA-423</t>
        </r>
      </text>
    </comment>
    <comment ref="I67" authorId="3" shapeId="0" xr:uid="{00000000-0006-0000-0600-000015000000}">
      <text>
        <r>
          <rPr>
            <sz val="9"/>
            <color indexed="81"/>
            <rFont val="Tahoma"/>
            <family val="2"/>
          </rPr>
          <t>Calculated from the USGS database (2006)</t>
        </r>
      </text>
    </comment>
    <comment ref="B68" authorId="4" shapeId="0" xr:uid="{00000000-0006-0000-06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600-000017000000}">
      <text>
        <r>
          <rPr>
            <sz val="9"/>
            <color indexed="81"/>
            <rFont val="Tahoma"/>
            <family val="2"/>
          </rPr>
          <t>Based on EIA-423</t>
        </r>
      </text>
    </comment>
    <comment ref="F68" authorId="3" shapeId="0" xr:uid="{00000000-0006-0000-0600-000018000000}">
      <text>
        <r>
          <rPr>
            <sz val="9"/>
            <color indexed="81"/>
            <rFont val="Tahoma"/>
            <family val="2"/>
          </rPr>
          <t>Calculated from the USGS database (2006)</t>
        </r>
      </text>
    </comment>
    <comment ref="G68" authorId="3" shapeId="0" xr:uid="{00000000-0006-0000-0600-000019000000}">
      <text>
        <r>
          <rPr>
            <sz val="9"/>
            <color indexed="81"/>
            <rFont val="Tahoma"/>
            <family val="2"/>
          </rPr>
          <t>Based on EIA-423</t>
        </r>
      </text>
    </comment>
    <comment ref="I68" authorId="3" shapeId="0" xr:uid="{00000000-0006-0000-0600-00001A000000}">
      <text>
        <r>
          <rPr>
            <sz val="9"/>
            <color indexed="81"/>
            <rFont val="Tahoma"/>
            <family val="2"/>
          </rPr>
          <t>Calculated from the USGS database (2006)</t>
        </r>
      </text>
    </comment>
    <comment ref="B69" authorId="4" shapeId="0" xr:uid="{00000000-0006-0000-0600-00001B000000}">
      <text>
        <r>
          <rPr>
            <b/>
            <sz val="10"/>
            <color indexed="81"/>
            <rFont val="Tahoma"/>
            <family val="2"/>
          </rPr>
          <t>Btu per (short ton, as received)</t>
        </r>
        <r>
          <rPr>
            <sz val="10"/>
            <color indexed="81"/>
            <rFont val="Tahoma"/>
            <family val="2"/>
          </rPr>
          <t xml:space="preserve">
</t>
        </r>
      </text>
    </comment>
    <comment ref="D69" authorId="3" shapeId="0" xr:uid="{00000000-0006-0000-0600-00001C000000}">
      <text>
        <r>
          <rPr>
            <sz val="9"/>
            <color indexed="81"/>
            <rFont val="Tahoma"/>
            <family val="2"/>
          </rPr>
          <t>Assumed to be the same as bituminous coal</t>
        </r>
      </text>
    </comment>
    <comment ref="F69" authorId="3" shapeId="0" xr:uid="{00000000-0006-0000-0600-00001D000000}">
      <text>
        <r>
          <rPr>
            <sz val="9"/>
            <color indexed="81"/>
            <rFont val="Tahoma"/>
            <family val="2"/>
          </rPr>
          <t>Based on EIA-423</t>
        </r>
      </text>
    </comment>
    <comment ref="G69" authorId="3" shapeId="0" xr:uid="{00000000-0006-0000-0600-00001E000000}">
      <text>
        <r>
          <rPr>
            <sz val="9"/>
            <color indexed="81"/>
            <rFont val="Tahoma"/>
            <family val="2"/>
          </rPr>
          <t>Based on EIA-423</t>
        </r>
      </text>
    </comment>
    <comment ref="I69" authorId="3" shapeId="0" xr:uid="{00000000-0006-0000-0600-00001F000000}">
      <text>
        <r>
          <rPr>
            <sz val="9"/>
            <color indexed="81"/>
            <rFont val="Tahoma"/>
            <family val="2"/>
          </rPr>
          <t>Assumed to be the same as bituminous coal</t>
        </r>
      </text>
    </comment>
    <comment ref="B70" authorId="4" shapeId="0" xr:uid="{00000000-0006-0000-0600-000020000000}">
      <text>
        <r>
          <rPr>
            <b/>
            <sz val="10"/>
            <color indexed="81"/>
            <rFont val="Tahoma"/>
            <family val="2"/>
          </rPr>
          <t>Btu per (short ton, as received)</t>
        </r>
        <r>
          <rPr>
            <sz val="10"/>
            <color indexed="81"/>
            <rFont val="Tahoma"/>
            <family val="2"/>
          </rPr>
          <t xml:space="preserve">
</t>
        </r>
      </text>
    </comment>
    <comment ref="D70" authorId="3" shapeId="0" xr:uid="{00000000-0006-0000-0600-000021000000}">
      <text>
        <r>
          <rPr>
            <sz val="9"/>
            <color indexed="81"/>
            <rFont val="Tahoma"/>
            <family val="2"/>
          </rPr>
          <t>Based on EIA-423</t>
        </r>
      </text>
    </comment>
    <comment ref="F70" authorId="3" shapeId="0" xr:uid="{00000000-0006-0000-0600-000022000000}">
      <text>
        <r>
          <rPr>
            <sz val="9"/>
            <color indexed="81"/>
            <rFont val="Tahoma"/>
            <family val="2"/>
          </rPr>
          <t>Based on EIA-423</t>
        </r>
      </text>
    </comment>
    <comment ref="G70" authorId="3" shapeId="0" xr:uid="{00000000-0006-0000-0600-000023000000}">
      <text>
        <r>
          <rPr>
            <sz val="9"/>
            <color indexed="81"/>
            <rFont val="Tahoma"/>
            <family val="2"/>
          </rPr>
          <t>Assumed to be the same as lignite coal</t>
        </r>
      </text>
    </comment>
    <comment ref="I70" authorId="3" shapeId="0" xr:uid="{00000000-0006-0000-0600-000024000000}">
      <text>
        <r>
          <rPr>
            <sz val="9"/>
            <color indexed="81"/>
            <rFont val="Tahoma"/>
            <family val="2"/>
          </rPr>
          <t>Assumed to be the same as lignite coal</t>
        </r>
      </text>
    </comment>
    <comment ref="B71" authorId="4" shapeId="0" xr:uid="{00000000-0006-0000-0600-000025000000}">
      <text>
        <r>
          <rPr>
            <b/>
            <sz val="10"/>
            <color indexed="81"/>
            <rFont val="Tahoma"/>
            <family val="2"/>
          </rPr>
          <t>Btu per (short ton, as received)</t>
        </r>
        <r>
          <rPr>
            <sz val="10"/>
            <color indexed="81"/>
            <rFont val="Tahoma"/>
            <family val="2"/>
          </rPr>
          <t xml:space="preserve">
</t>
        </r>
      </text>
    </comment>
    <comment ref="D71" authorId="3" shapeId="0" xr:uid="{00000000-0006-0000-0600-000026000000}">
      <text>
        <r>
          <rPr>
            <sz val="9"/>
            <color indexed="81"/>
            <rFont val="Tahoma"/>
            <family val="2"/>
          </rPr>
          <t>Based on EIA-423</t>
        </r>
      </text>
    </comment>
    <comment ref="F71" authorId="3" shapeId="0" xr:uid="{00000000-0006-0000-06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600-000028000000}">
      <text>
        <r>
          <rPr>
            <sz val="9"/>
            <color indexed="81"/>
            <rFont val="Tahoma"/>
            <family val="2"/>
          </rPr>
          <t>Based on EIA-423</t>
        </r>
      </text>
    </comment>
    <comment ref="I71" authorId="3" shapeId="0" xr:uid="{00000000-0006-0000-0600-000029000000}">
      <text>
        <r>
          <rPr>
            <sz val="9"/>
            <color indexed="81"/>
            <rFont val="Tahoma"/>
            <family val="2"/>
          </rPr>
          <t>Based on the ratio in the previous GREET</t>
        </r>
      </text>
    </comment>
    <comment ref="B72" authorId="4" shapeId="0" xr:uid="{00000000-0006-0000-0600-00002A000000}">
      <text>
        <r>
          <rPr>
            <b/>
            <sz val="10"/>
            <color indexed="81"/>
            <rFont val="Tahoma"/>
            <family val="2"/>
          </rPr>
          <t>Btu per (short ton, as received)</t>
        </r>
        <r>
          <rPr>
            <sz val="10"/>
            <color indexed="81"/>
            <rFont val="Tahoma"/>
            <family val="2"/>
          </rPr>
          <t xml:space="preserve">
</t>
        </r>
      </text>
    </comment>
    <comment ref="D72" authorId="3" shapeId="0" xr:uid="{00000000-0006-0000-0600-00002B000000}">
      <text>
        <r>
          <rPr>
            <sz val="9"/>
            <color indexed="81"/>
            <rFont val="Tahoma"/>
            <family val="2"/>
          </rPr>
          <t>Based on EIA-423</t>
        </r>
      </text>
    </comment>
    <comment ref="F72" authorId="3" shapeId="0" xr:uid="{00000000-0006-0000-0600-00002C000000}">
      <text>
        <r>
          <rPr>
            <sz val="9"/>
            <color indexed="81"/>
            <rFont val="Tahoma"/>
            <family val="2"/>
          </rPr>
          <t>Based on EIA-423</t>
        </r>
      </text>
    </comment>
    <comment ref="G72" authorId="3" shapeId="0" xr:uid="{00000000-0006-0000-0600-00002D000000}">
      <text>
        <r>
          <rPr>
            <sz val="9"/>
            <color indexed="81"/>
            <rFont val="Tahoma"/>
            <family val="2"/>
          </rPr>
          <t>Assumed to be the same as pet coke</t>
        </r>
      </text>
    </comment>
    <comment ref="I72" authorId="3" shapeId="0" xr:uid="{00000000-0006-0000-0600-00002E000000}">
      <text>
        <r>
          <rPr>
            <sz val="9"/>
            <color indexed="81"/>
            <rFont val="Tahoma"/>
            <family val="2"/>
          </rPr>
          <t>Assumed to be the same as pet coke</t>
        </r>
      </text>
    </comment>
    <comment ref="B73" authorId="4" shapeId="0" xr:uid="{00000000-0006-0000-0600-00002F000000}">
      <text>
        <r>
          <rPr>
            <b/>
            <sz val="10"/>
            <color indexed="81"/>
            <rFont val="Tahoma"/>
            <family val="2"/>
          </rPr>
          <t>Btu per (short ton, as received)</t>
        </r>
        <r>
          <rPr>
            <sz val="10"/>
            <color indexed="81"/>
            <rFont val="Tahoma"/>
            <family val="2"/>
          </rPr>
          <t xml:space="preserve">
</t>
        </r>
      </text>
    </comment>
    <comment ref="B74" authorId="4" shapeId="0" xr:uid="{00000000-0006-0000-0600-000030000000}">
      <text>
        <r>
          <rPr>
            <b/>
            <sz val="10"/>
            <color indexed="81"/>
            <rFont val="Tahoma"/>
            <family val="2"/>
          </rPr>
          <t>Btu per (short ton, dry matter)</t>
        </r>
        <r>
          <rPr>
            <sz val="10"/>
            <color indexed="81"/>
            <rFont val="Tahoma"/>
            <family val="2"/>
          </rPr>
          <t xml:space="preserve">
</t>
        </r>
      </text>
    </comment>
    <comment ref="B76" authorId="4" shapeId="0" xr:uid="{00000000-0006-0000-0600-000031000000}">
      <text>
        <r>
          <rPr>
            <b/>
            <sz val="10"/>
            <color indexed="81"/>
            <rFont val="Tahoma"/>
            <family val="2"/>
          </rPr>
          <t>Btu per (short ton, dry matter)</t>
        </r>
        <r>
          <rPr>
            <sz val="10"/>
            <color indexed="81"/>
            <rFont val="Tahoma"/>
            <family val="2"/>
          </rPr>
          <t xml:space="preserve">
</t>
        </r>
      </text>
    </comment>
    <comment ref="B77" authorId="4" shapeId="0" xr:uid="{00000000-0006-0000-0600-000032000000}">
      <text>
        <r>
          <rPr>
            <b/>
            <sz val="10"/>
            <color indexed="81"/>
            <rFont val="Tahoma"/>
            <family val="2"/>
          </rPr>
          <t>Btu per (short ton, dry matter)</t>
        </r>
        <r>
          <rPr>
            <sz val="10"/>
            <color indexed="81"/>
            <rFont val="Tahoma"/>
            <family val="2"/>
          </rPr>
          <t xml:space="preserve">
</t>
        </r>
      </text>
    </comment>
    <comment ref="B78" authorId="4" shapeId="0" xr:uid="{00000000-0006-0000-0600-000033000000}">
      <text>
        <r>
          <rPr>
            <b/>
            <sz val="10"/>
            <color indexed="81"/>
            <rFont val="Tahoma"/>
            <family val="2"/>
          </rPr>
          <t>Btu per (short ton, dry matter)</t>
        </r>
        <r>
          <rPr>
            <sz val="10"/>
            <color indexed="81"/>
            <rFont val="Tahoma"/>
            <family val="2"/>
          </rPr>
          <t xml:space="preserve">
</t>
        </r>
      </text>
    </comment>
    <comment ref="B79" authorId="4" shapeId="0" xr:uid="{00000000-0006-0000-0600-000034000000}">
      <text>
        <r>
          <rPr>
            <b/>
            <sz val="10"/>
            <color indexed="81"/>
            <rFont val="Tahoma"/>
            <family val="2"/>
          </rPr>
          <t>Btu per (short ton, dry matter)</t>
        </r>
        <r>
          <rPr>
            <sz val="10"/>
            <color indexed="81"/>
            <rFont val="Tahoma"/>
            <family val="2"/>
          </rPr>
          <t xml:space="preserve">
</t>
        </r>
      </text>
    </comment>
    <comment ref="B80" authorId="4" shapeId="0" xr:uid="{00000000-0006-0000-0600-000035000000}">
      <text>
        <r>
          <rPr>
            <b/>
            <sz val="10"/>
            <color indexed="81"/>
            <rFont val="Tahoma"/>
            <family val="2"/>
          </rPr>
          <t>Btu per (short ton, dry matter)</t>
        </r>
        <r>
          <rPr>
            <sz val="10"/>
            <color indexed="81"/>
            <rFont val="Tahoma"/>
            <family val="2"/>
          </rPr>
          <t xml:space="preserve">
</t>
        </r>
      </text>
    </comment>
    <comment ref="B81" authorId="4" shapeId="0" xr:uid="{00000000-0006-0000-0600-000036000000}">
      <text>
        <r>
          <rPr>
            <b/>
            <sz val="10"/>
            <color indexed="81"/>
            <rFont val="Tahoma"/>
            <family val="2"/>
          </rPr>
          <t>Btu per (short ton, dry matter)</t>
        </r>
        <r>
          <rPr>
            <sz val="10"/>
            <color indexed="81"/>
            <rFont val="Tahoma"/>
            <family val="2"/>
          </rPr>
          <t xml:space="preserve">
</t>
        </r>
      </text>
    </comment>
    <comment ref="B82" authorId="4" shapeId="0" xr:uid="{00000000-0006-0000-0600-000037000000}">
      <text>
        <r>
          <rPr>
            <b/>
            <sz val="10"/>
            <color indexed="81"/>
            <rFont val="Tahoma"/>
            <family val="2"/>
          </rPr>
          <t>Btu per (short ton, dry matter)</t>
        </r>
        <r>
          <rPr>
            <sz val="10"/>
            <color indexed="81"/>
            <rFont val="Tahoma"/>
            <family val="2"/>
          </rPr>
          <t xml:space="preserve">
</t>
        </r>
      </text>
    </comment>
    <comment ref="B83" authorId="4" shapeId="0" xr:uid="{00000000-0006-0000-0600-000038000000}">
      <text>
        <r>
          <rPr>
            <b/>
            <sz val="10"/>
            <color indexed="81"/>
            <rFont val="Tahoma"/>
            <family val="2"/>
          </rPr>
          <t>Btu per (short ton, as received)</t>
        </r>
        <r>
          <rPr>
            <sz val="10"/>
            <color indexed="81"/>
            <rFont val="Tahoma"/>
            <family val="2"/>
          </rPr>
          <t xml:space="preserve">
</t>
        </r>
      </text>
    </comment>
    <comment ref="B84" authorId="4" shapeId="0" xr:uid="{00000000-0006-0000-0600-000039000000}">
      <text>
        <r>
          <rPr>
            <b/>
            <sz val="10"/>
            <color indexed="81"/>
            <rFont val="Tahoma"/>
            <family val="2"/>
          </rPr>
          <t>Btu per (short ton, as received)</t>
        </r>
        <r>
          <rPr>
            <sz val="10"/>
            <color indexed="81"/>
            <rFont val="Tahoma"/>
            <family val="2"/>
          </rPr>
          <t xml:space="preserve">
</t>
        </r>
      </text>
    </comment>
    <comment ref="B85" authorId="4" shapeId="0" xr:uid="{00000000-0006-0000-0600-00003A000000}">
      <text>
        <r>
          <rPr>
            <b/>
            <sz val="10"/>
            <color indexed="81"/>
            <rFont val="Tahoma"/>
            <family val="2"/>
          </rPr>
          <t>Btu per (short ton, as received)</t>
        </r>
        <r>
          <rPr>
            <sz val="10"/>
            <color indexed="81"/>
            <rFont val="Tahoma"/>
            <family val="2"/>
          </rPr>
          <t xml:space="preserve">
</t>
        </r>
      </text>
    </comment>
    <comment ref="B86" authorId="4" shapeId="0" xr:uid="{00000000-0006-0000-0600-00003B000000}">
      <text>
        <r>
          <rPr>
            <b/>
            <sz val="10"/>
            <color indexed="81"/>
            <rFont val="Tahoma"/>
            <family val="2"/>
          </rPr>
          <t>Btu per (short ton, as received)</t>
        </r>
        <r>
          <rPr>
            <sz val="10"/>
            <color indexed="81"/>
            <rFont val="Tahoma"/>
            <family val="2"/>
          </rPr>
          <t xml:space="preserve">
</t>
        </r>
      </text>
    </comment>
    <comment ref="B87" authorId="4" shapeId="0" xr:uid="{00000000-0006-0000-0600-00003C000000}">
      <text>
        <r>
          <rPr>
            <b/>
            <sz val="10"/>
            <color indexed="81"/>
            <rFont val="Tahoma"/>
            <family val="2"/>
          </rPr>
          <t>Btu per (short ton, dry matter)</t>
        </r>
        <r>
          <rPr>
            <sz val="10"/>
            <color indexed="81"/>
            <rFont val="Tahoma"/>
            <family val="2"/>
          </rPr>
          <t xml:space="preserve">
</t>
        </r>
      </text>
    </comment>
    <comment ref="B88" authorId="4" shapeId="0" xr:uid="{00000000-0006-0000-0600-00003D000000}">
      <text>
        <r>
          <rPr>
            <b/>
            <sz val="10"/>
            <color indexed="81"/>
            <rFont val="Tahoma"/>
            <family val="2"/>
          </rPr>
          <t>Btu per (short ton, dry matter)</t>
        </r>
        <r>
          <rPr>
            <sz val="10"/>
            <color indexed="81"/>
            <rFont val="Tahoma"/>
            <family val="2"/>
          </rPr>
          <t xml:space="preserve">
</t>
        </r>
      </text>
    </comment>
    <comment ref="A90" authorId="0" shapeId="0" xr:uid="{00000000-0006-0000-0600-00003E000000}">
      <text>
        <r>
          <rPr>
            <sz val="8"/>
            <color indexed="81"/>
            <rFont val="Tahoma"/>
            <family val="2"/>
          </rPr>
          <t>Different global warming potential values can be inputted here and GREET then takes the new values for calculations automatically.</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<sst xmlns="http://schemas.openxmlformats.org/spreadsheetml/2006/main" count="1713" uniqueCount="760">
  <si>
    <t>Source:</t>
  </si>
  <si>
    <t>Petroleum-based fuels, biofuels</t>
  </si>
  <si>
    <t>U.S. Energy Information Administration</t>
  </si>
  <si>
    <t>Petroleum &amp; Other Liquids: Supply and Disposition</t>
  </si>
  <si>
    <t>https://www.eia.gov/dnav/pet/pet_sum_snd_d_nus_mbbl_a_cur.htm</t>
  </si>
  <si>
    <t>Biomass Production and Exports</t>
  </si>
  <si>
    <t>https://www.eia.gov/outlooks/aeo/tables_ref.php</t>
  </si>
  <si>
    <t>Notes</t>
  </si>
  <si>
    <t>Hydro, wind, solar, and geothermal are neither fuels nor energy carriers</t>
  </si>
  <si>
    <t>and should always contain zeroes in this variable.</t>
  </si>
  <si>
    <t>Electricity and heat are energy carriers and are not handled in this</t>
  </si>
  <si>
    <t>part of the model.  (Electricity imports/exports are exogenous</t>
  </si>
  <si>
    <t>Hydrogen is an energy carrier, but can theoretically be imported</t>
  </si>
  <si>
    <t>Area: US</t>
  </si>
  <si>
    <t>Period: 2017 (Annual)</t>
  </si>
  <si>
    <t>Unit: Thousand Barrels</t>
  </si>
  <si>
    <t>Supply</t>
  </si>
  <si>
    <t>Disposition</t>
  </si>
  <si>
    <t>Ending Stocks</t>
  </si>
  <si>
    <t>Field Production</t>
  </si>
  <si>
    <t>Renewable Fuels &amp; Oxygenate Plant Net Production</t>
  </si>
  <si>
    <t>Refinery &amp; Blender Net Production</t>
  </si>
  <si>
    <t>Imports</t>
  </si>
  <si>
    <t>Net Receipts</t>
  </si>
  <si>
    <t>Adjust- ments</t>
  </si>
  <si>
    <t>Stock Change</t>
  </si>
  <si>
    <t>Refinery &amp; Blender Net Inputs</t>
  </si>
  <si>
    <t>Exports</t>
  </si>
  <si>
    <t>Products Supplied</t>
  </si>
  <si>
    <t>Crude Oil &amp; Petroleum Products</t>
  </si>
  <si>
    <t>Crude Oil</t>
  </si>
  <si>
    <t>- -</t>
  </si>
  <si>
    <t>Hydrocarbon Gas Liquids</t>
  </si>
  <si>
    <t>Natural Gas Liquids</t>
  </si>
  <si>
    <t>Ethane</t>
  </si>
  <si>
    <t>-</t>
  </si>
  <si>
    <t>Propane</t>
  </si>
  <si>
    <t>Normal Butane</t>
  </si>
  <si>
    <t>Isobutane</t>
  </si>
  <si>
    <t>Natural Gasoline</t>
  </si>
  <si>
    <t>Refinery Olefins</t>
  </si>
  <si>
    <t>Ethylene</t>
  </si>
  <si>
    <t>Propylene</t>
  </si>
  <si>
    <t>Normal Butylene</t>
  </si>
  <si>
    <t>Isobutylene</t>
  </si>
  <si>
    <t>Other Liquids</t>
  </si>
  <si>
    <t>Hydrogen/Oxygenates/Renewables/Other Hydrocarbons</t>
  </si>
  <si>
    <t>Hydrogen</t>
  </si>
  <si>
    <t>Oxygenates (excl. Fuel Ethanol)</t>
  </si>
  <si>
    <t>Renewable Fuels (incl. Fuel Ethanol)</t>
  </si>
  <si>
    <t>Fuel Ethanol</t>
  </si>
  <si>
    <t>Renewable Fuels Except Fuel Ethanol</t>
  </si>
  <si>
    <t>Other Hydrocarbons</t>
  </si>
  <si>
    <t>Unfinished Oils</t>
  </si>
  <si>
    <t>Motor Gasoline Blend. Comp.</t>
  </si>
  <si>
    <t>Reformulated</t>
  </si>
  <si>
    <t>Conventional</t>
  </si>
  <si>
    <t>Aviation Gasoline Blend. Comp.</t>
  </si>
  <si>
    <t>Finished Petroleum Products</t>
  </si>
  <si>
    <t>Finished Motor Gasoline</t>
  </si>
  <si>
    <t>Finished Aviation Gasoline</t>
  </si>
  <si>
    <t>Kerosene-Type Jet Fuel</t>
  </si>
  <si>
    <t>Kerosene</t>
  </si>
  <si>
    <t>Distillate Fuel Oil</t>
  </si>
  <si>
    <t>15 ppm Sulfur and Under</t>
  </si>
  <si>
    <t>Greater than 15 to 500 ppm Sulfur</t>
  </si>
  <si>
    <t>Greater than 500 ppm Sulfur</t>
  </si>
  <si>
    <t>Residual Fuel Oil</t>
  </si>
  <si>
    <t>Less than 0.31% Sulfur</t>
  </si>
  <si>
    <t>NA</t>
  </si>
  <si>
    <t>0.31 to 1.00% Sulfur</t>
  </si>
  <si>
    <t>Greater than 1.00% Sulfur</t>
  </si>
  <si>
    <t>Petrochemical Feedstocks</t>
  </si>
  <si>
    <t>Naphtha for Petro. Feed. Use</t>
  </si>
  <si>
    <t>Other Oils for Petro. Feed. Use</t>
  </si>
  <si>
    <t>Special Naphthas</t>
  </si>
  <si>
    <t>Lubricants</t>
  </si>
  <si>
    <t>Waxes</t>
  </si>
  <si>
    <t>Petroleum Coke</t>
  </si>
  <si>
    <t>Marketable</t>
  </si>
  <si>
    <t>Catalyst</t>
  </si>
  <si>
    <t>Asphalt and Road Oil</t>
  </si>
  <si>
    <t>Still Gas</t>
  </si>
  <si>
    <t>Miscellaneous Products</t>
  </si>
  <si>
    <t>Month</t>
  </si>
  <si>
    <t>Quantity (tons)</t>
  </si>
  <si>
    <t>Average Price (USD per ton)</t>
  </si>
  <si>
    <t>tons</t>
  </si>
  <si>
    <t>Total wood pellet exports</t>
  </si>
  <si>
    <t>Unit</t>
  </si>
  <si>
    <t>kg</t>
  </si>
  <si>
    <t>Total wood pellet imports</t>
  </si>
  <si>
    <t>Report</t>
  </si>
  <si>
    <t>Scenario</t>
  </si>
  <si>
    <t>Datekey</t>
  </si>
  <si>
    <t>Release Date</t>
  </si>
  <si>
    <t>Production</t>
  </si>
  <si>
    <t>- -</t>
  </si>
  <si>
    <t>Consumption</t>
  </si>
  <si>
    <t>Prices (nominal dollars per unit)</t>
  </si>
  <si>
    <t>Uranium</t>
  </si>
  <si>
    <t>million pounds U3O8</t>
  </si>
  <si>
    <t>million short tons</t>
  </si>
  <si>
    <t>Fuel</t>
  </si>
  <si>
    <t>Domestic Use</t>
  </si>
  <si>
    <t>Domestic use also includes change in domestic inventories, which should average to zero over multi-year timeframes.</t>
  </si>
  <si>
    <t>natural gas</t>
  </si>
  <si>
    <t>quads</t>
  </si>
  <si>
    <t>uranium</t>
  </si>
  <si>
    <t>biomass</t>
  </si>
  <si>
    <t>petroleum gasoline</t>
  </si>
  <si>
    <t>thousand barrels</t>
  </si>
  <si>
    <t>jet fuel or kerosene</t>
  </si>
  <si>
    <t>crude oil</t>
  </si>
  <si>
    <t>LPG propane or butane</t>
  </si>
  <si>
    <t>electricity (not used in this variable)</t>
  </si>
  <si>
    <t>hard coal</t>
  </si>
  <si>
    <t>nuclear</t>
  </si>
  <si>
    <t>hydro (is not a fuel)</t>
  </si>
  <si>
    <t>wind (is not a fuel)</t>
  </si>
  <si>
    <t>solar (is not a fuel)</t>
  </si>
  <si>
    <t>petroleum diesel</t>
  </si>
  <si>
    <t>biofuel gasoline</t>
  </si>
  <si>
    <t>biofuel diesel</t>
  </si>
  <si>
    <t>heat (energy carrier)</t>
  </si>
  <si>
    <t>geothermal (is not a fuel)</t>
  </si>
  <si>
    <t>lignite</t>
  </si>
  <si>
    <t>heavy fuel oil</t>
  </si>
  <si>
    <t>municipal solid waste</t>
  </si>
  <si>
    <t>hydrogen</t>
  </si>
  <si>
    <t>Hard Coal, Lignite</t>
  </si>
  <si>
    <t>Hard Coal</t>
  </si>
  <si>
    <t>Hard Coal and Lignite</t>
  </si>
  <si>
    <t>We assume that all imported and exported coal was hard coal, while all lignite produced was used domestically.</t>
  </si>
  <si>
    <t>Lignite</t>
  </si>
  <si>
    <t>Municipal Solid Waste</t>
  </si>
  <si>
    <t>MSW Tonnage Data for Year 2015</t>
  </si>
  <si>
    <t>U.S. MSW generated (million tons)</t>
  </si>
  <si>
    <t>Although the U.S. exports waste to other countries,</t>
  </si>
  <si>
    <t>it is difficult to find statistics for waste exports other than plastic waste.</t>
  </si>
  <si>
    <t>In this model, we are only concerned about MSW that is burned as a</t>
  </si>
  <si>
    <t>fuel.  We will assume that a negligible amount of exported waste</t>
  </si>
  <si>
    <t>is used as a fuel.</t>
  </si>
  <si>
    <t>million metric tons</t>
  </si>
  <si>
    <t>https://www.plasticpollutioncoalition.org/pft/2019/3/6/157000-shipping-containers-of-us-plastic-waste-exported-to-countries-with-poor-waste-management-in-2018</t>
  </si>
  <si>
    <t>(Plastic waste exports to other countries in 2018 were</t>
  </si>
  <si>
    <t>1.07 million metric tons in 2018.)</t>
  </si>
  <si>
    <t>We assume none was imported or exported.</t>
  </si>
  <si>
    <t>heat (not used in this variable)</t>
  </si>
  <si>
    <t>(from physical units to million Btu)</t>
  </si>
  <si>
    <t>Petroleum and Other Liquids</t>
  </si>
  <si>
    <t>(million Btu per barrel)</t>
  </si>
  <si>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</si>
  <si>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</si>
  <si>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</si>
  <si>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</si>
  <si>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</si>
  <si>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</si>
  <si>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</si>
  <si>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t>
  </si>
  <si>
    <t xml:space="preserve">    Electric Power</t>
  </si>
  <si>
    <t xml:space="preserve">      Total Distillate</t>
  </si>
  <si>
    <t xml:space="preserve">  Distillate Fuel Oil - Low Sulfur Diesel</t>
  </si>
  <si>
    <t xml:space="preserve">  Distillate Fuel Oil - Ultra Low Sulfur Diesel</t>
  </si>
  <si>
    <t xml:space="preserve">  Ethanol including denaturant</t>
  </si>
  <si>
    <t xml:space="preserve">  Jet Fuel - Kerosene</t>
  </si>
  <si>
    <t xml:space="preserve">  Lubricants</t>
  </si>
  <si>
    <t xml:space="preserve">  Motor Gasoline Average</t>
  </si>
  <si>
    <t xml:space="preserve">     Conventional Motor Gasoline</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</si>
  <si>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</si>
  <si>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</si>
  <si>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</si>
  <si>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</si>
  <si>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</si>
  <si>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</si>
  <si>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</si>
  <si>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</si>
  <si>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</si>
  <si>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</si>
  <si>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</si>
  <si>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</si>
  <si>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</si>
  <si>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</si>
  <si>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</si>
  <si>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</si>
  <si>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</si>
  <si>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</si>
  <si>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</si>
  <si>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</si>
  <si>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</si>
  <si>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</si>
  <si>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</si>
  <si>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</si>
  <si>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</si>
  <si>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</si>
  <si>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</si>
  <si>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</si>
  <si>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</si>
  <si>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</si>
  <si>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</si>
  <si>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</si>
  <si>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</si>
  <si>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</si>
  <si>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</si>
  <si>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</si>
  <si>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</si>
  <si>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</si>
  <si>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</si>
  <si>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</si>
  <si>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</si>
  <si>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</si>
  <si>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</si>
  <si>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</si>
  <si>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</si>
  <si>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</si>
  <si>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</si>
  <si>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</si>
  <si>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</si>
  <si>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</si>
  <si>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</si>
  <si>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</si>
  <si>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</si>
  <si>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</si>
  <si>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</si>
  <si>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</si>
  <si>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</si>
  <si>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</si>
  <si>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</si>
  <si>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</si>
  <si>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</si>
  <si>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</si>
  <si>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</si>
  <si>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</si>
  <si>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</si>
  <si>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</si>
  <si>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</si>
  <si>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</si>
  <si>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</si>
  <si>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</si>
  <si>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</si>
  <si>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Specifications of Fuels, Global Warming Potentials of Greenhouse Gases, and Carbon and Sulfur Ratios of Pollutants</t>
  </si>
  <si>
    <t>1) Specifications of Fuels</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</si>
  <si>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</si>
  <si>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</si>
  <si>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</si>
  <si>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</si>
  <si>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</si>
  <si>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</si>
  <si>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</si>
  <si>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</si>
  <si>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</si>
  <si>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</si>
  <si>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</si>
  <si>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</si>
  <si>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</si>
  <si>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</si>
  <si>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</si>
  <si>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</si>
  <si>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</si>
  <si>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</si>
  <si>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</si>
  <si>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</si>
  <si>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</si>
  <si>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</si>
  <si>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</si>
  <si>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</si>
  <si>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</si>
  <si>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</si>
  <si>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</si>
  <si>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</si>
  <si>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</si>
  <si>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</si>
  <si>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</si>
  <si>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</si>
  <si>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</si>
  <si>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</si>
  <si>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</si>
  <si>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</si>
  <si>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</si>
  <si>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</si>
  <si>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</si>
  <si>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</si>
  <si>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</si>
  <si>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</si>
  <si>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</si>
  <si>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</si>
  <si>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</si>
  <si>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</si>
  <si>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</si>
  <si>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</si>
  <si>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</si>
  <si>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</si>
  <si>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</si>
  <si>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</si>
  <si>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</si>
  <si>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</si>
  <si>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</si>
  <si>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</si>
  <si>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</si>
  <si>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</si>
  <si>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</si>
  <si>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</si>
  <si>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</si>
  <si>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</si>
  <si>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</si>
  <si>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</si>
  <si>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</si>
  <si>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</si>
  <si>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</si>
  <si>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</si>
  <si>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</si>
  <si>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</si>
  <si>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</si>
  <si>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</si>
  <si>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</si>
  <si>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</si>
  <si>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</si>
  <si>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</si>
  <si>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</si>
  <si>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</si>
  <si>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</si>
  <si>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</si>
  <si>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</si>
  <si>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</si>
  <si>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</si>
  <si>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</si>
  <si>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</si>
  <si>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</si>
  <si>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</si>
  <si>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</si>
  <si>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</si>
  <si>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</si>
  <si>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</si>
  <si>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</si>
  <si>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</si>
  <si>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</si>
  <si>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</si>
  <si>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</si>
  <si>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</si>
  <si>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</si>
  <si>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</si>
  <si>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</si>
  <si>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</si>
  <si>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</si>
  <si>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</si>
  <si>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</si>
  <si>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</si>
  <si>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</si>
  <si>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</si>
  <si>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</si>
  <si>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</si>
  <si>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</si>
  <si>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</si>
  <si>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</si>
  <si>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</si>
  <si>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</si>
  <si>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</si>
  <si>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</si>
  <si>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</si>
  <si>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</si>
  <si>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</si>
  <si>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</si>
  <si>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</si>
  <si>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</si>
  <si>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</si>
  <si>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</si>
  <si>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</si>
  <si>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</si>
  <si>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</si>
  <si>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</si>
  <si>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</si>
  <si>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</si>
  <si>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</si>
  <si>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</si>
  <si>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</si>
  <si>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</si>
  <si>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</si>
  <si>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</si>
  <si>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</si>
  <si>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</si>
  <si>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</si>
  <si>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</si>
  <si>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</si>
  <si>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</si>
  <si>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</si>
  <si>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</si>
  <si>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</si>
  <si>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</si>
  <si>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</si>
  <si>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</si>
  <si>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</si>
  <si>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</si>
  <si>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</si>
  <si>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</si>
  <si>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</si>
  <si>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</si>
  <si>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</si>
  <si>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</si>
  <si>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</si>
  <si>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</si>
  <si>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</si>
  <si>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</si>
  <si>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</si>
  <si>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</si>
  <si>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</si>
  <si>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</si>
  <si>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</si>
  <si>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</si>
  <si>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</si>
  <si>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</si>
  <si>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</si>
  <si>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</si>
  <si>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</si>
  <si>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</si>
  <si>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</si>
  <si>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Converted to BTU</t>
  </si>
  <si>
    <t>Energy Information Administration</t>
  </si>
  <si>
    <t>Argonne National Laboratory</t>
  </si>
  <si>
    <t>https://greet.es.anl.gov/</t>
  </si>
  <si>
    <t>Tab "Fuel_Specs"</t>
  </si>
  <si>
    <t>Unit Conversions for hard coal, natural gas, petroleum fuels, liquid biofuels</t>
  </si>
  <si>
    <t>Unit Conversions for Lignite, Biomass, LPG, municipal solid waste, hydrogen</t>
  </si>
  <si>
    <t>Unit Conversion for Uranium (U3O8)</t>
  </si>
  <si>
    <t>TradeTech</t>
  </si>
  <si>
    <t>https://www.uranium.info/unit_conversion_table.php</t>
  </si>
  <si>
    <t>Uranium Primer - Price &amp; Unit Conversion Calculator &amp; Table</t>
  </si>
  <si>
    <t>short tons</t>
  </si>
  <si>
    <t>BTU per</t>
  </si>
  <si>
    <t>Conversion Factors</t>
  </si>
  <si>
    <t>quad</t>
  </si>
  <si>
    <t>The consolidated data in this variable (production, imports, exports, and domestic use of each fuel)</t>
  </si>
  <si>
    <t>is used in the variable fuels/CiFIaEpUDFS.  Therefore, even though this variable only outputs</t>
  </si>
  <si>
    <t>production and exports, you should also collect data on fuel imports.  (Domestic use data</t>
  </si>
  <si>
    <t>can be calculated from production, imports, and exports.  We ignore changes in fuel stocks,</t>
  </si>
  <si>
    <t>which should average to zero over multi-year timeframes.)</t>
  </si>
  <si>
    <t>Collect Export, Import, and Production Data for Each Fuel</t>
  </si>
  <si>
    <t>Time Series</t>
  </si>
  <si>
    <t>Included Fuels</t>
  </si>
  <si>
    <t>and handled in the power sector.  District heat imports/exports are assumed to be negligible.)</t>
  </si>
  <si>
    <t>or exported in bulk, so is included here.</t>
  </si>
  <si>
    <t>Units</t>
  </si>
  <si>
    <t>In this variable, units are standardized to BTU, the internal working energy unit of the model.</t>
  </si>
  <si>
    <t>Variable fuels/CiFIaEpUDFS is not sensitive to the units used, as long as the same unit is used</t>
  </si>
  <si>
    <t>for all quantities associated with the same fuel (imports, exports, production, use).</t>
  </si>
  <si>
    <t>However, only data from the first year are used in variable fuels/CiFIaEpUDFS.</t>
  </si>
  <si>
    <t>Production Scaling Factors</t>
  </si>
  <si>
    <t>Exports Scaling Factors</t>
  </si>
  <si>
    <t>In the future, fuels/CiFIaEpUDFS may be replaced with internal Vensim calculations,</t>
  </si>
  <si>
    <t>making those values sensitive to changes over time.</t>
  </si>
  <si>
    <t>This variable contains time series data.</t>
  </si>
  <si>
    <t>BFPIaE BAU Fuel Production</t>
  </si>
  <si>
    <t>BFPIaE BAU Fuel Imports</t>
  </si>
  <si>
    <t>BFPIaE BAU Fuel Exports</t>
  </si>
  <si>
    <t>Imports Scaling Factors</t>
  </si>
  <si>
    <t>Fuel (BTU)</t>
  </si>
  <si>
    <t>GREET1 2019</t>
  </si>
  <si>
    <t>CA diesel</t>
  </si>
  <si>
    <t>Low Octane Gasoline-Like Fuel (LOF)</t>
  </si>
  <si>
    <t>Renewable Gasoline (Ex Situ CFP)</t>
  </si>
  <si>
    <t>Catalyst Coke</t>
  </si>
  <si>
    <t>Clean Pine</t>
  </si>
  <si>
    <t>Asphalt</t>
  </si>
  <si>
    <t>Length</t>
  </si>
  <si>
    <t>mm</t>
  </si>
  <si>
    <t>m</t>
  </si>
  <si>
    <t>km</t>
  </si>
  <si>
    <t>ft</t>
  </si>
  <si>
    <t>mi</t>
  </si>
  <si>
    <t>- - = Not applicable.</t>
  </si>
  <si>
    <t>Approximate Heat Rates and Heat Content</t>
  </si>
  <si>
    <t>(Btu per kilowatthour)</t>
  </si>
  <si>
    <t xml:space="preserve">  Electricity Heat Content</t>
  </si>
  <si>
    <t>CNV000:fossil_hr_us</t>
  </si>
  <si>
    <t xml:space="preserve">  Fossil Fuel Heat Rate</t>
  </si>
  <si>
    <t>Table 8. Export sales and average price of densified biomass fuel, 2020</t>
  </si>
  <si>
    <t>--</t>
  </si>
  <si>
    <t>Change</t>
  </si>
  <si>
    <t>Annual</t>
  </si>
  <si>
    <t>Average</t>
  </si>
  <si>
    <t>Reference</t>
  </si>
  <si>
    <t>68. Conversion Factors</t>
  </si>
  <si>
    <t>Source: U.S. Energy Information Administration</t>
  </si>
  <si>
    <t>full name</t>
  </si>
  <si>
    <t>api key</t>
  </si>
  <si>
    <t>units</t>
  </si>
  <si>
    <t>ref2023.d020623a</t>
  </si>
  <si>
    <t>Annual Energy Outlook 2023</t>
  </si>
  <si>
    <t>ref2023</t>
  </si>
  <si>
    <t>d020623a</t>
  </si>
  <si>
    <t xml:space="preserve"> March 2023</t>
  </si>
  <si>
    <t>2022–2050</t>
  </si>
  <si>
    <t xml:space="preserve">  E85 1/</t>
  </si>
  <si>
    <t>1/ E85 refers to a blend of 85 percent ethanol (renewable) and 15 percent motor gasoline (nonrenewable).  To address cold starting issues,</t>
  </si>
  <si>
    <t>the percentage of ethanol varies seasonally.  The annual average ethanol content of 74% is used for these projections.</t>
  </si>
  <si>
    <t>2/ Includes all electricity-only and combined-heat-and-power plants that have a regulatory status.</t>
  </si>
  <si>
    <t>3/ Includes combined-heat-and-power plants that have a non-regulatory status and small on-site generating systems.</t>
  </si>
  <si>
    <t>Btu = British Thermal Unit.</t>
  </si>
  <si>
    <t>Data source: 2022:  U.S. Energy Information Administration (EIA), Short-Term Energy Outlook, November 2022 and EIA,</t>
  </si>
  <si>
    <t>AEO2023 National Energy Modeling System run ref2023.d020623a. Projections:  EIA, AEO2023 National Energy Modeling System run ref2023.d020623a.</t>
  </si>
  <si>
    <t>PPC001</t>
  </si>
  <si>
    <t>PPC001:ba_End-UserPrice</t>
  </si>
  <si>
    <t>PPC001:ba_FederalTaxes</t>
  </si>
  <si>
    <t>PPC001:ba_StateTaxes</t>
  </si>
  <si>
    <t>PPC001:Diesel_Tax_Allow</t>
  </si>
  <si>
    <t>PPC001:ba_DistributionC</t>
  </si>
  <si>
    <t>PPC001:ba_WholesalePric</t>
  </si>
  <si>
    <t>PPC001:ca_End-UserPrice</t>
  </si>
  <si>
    <t>PPC001:ca_FederalTaxes</t>
  </si>
  <si>
    <t>PPC001:ca_StateTaxes</t>
  </si>
  <si>
    <t>PPC001:MoGas_Tax_Allow</t>
  </si>
  <si>
    <t>PPC001:ca_DistributionC</t>
  </si>
  <si>
    <t>PPC001:ca_WholesalePric</t>
  </si>
  <si>
    <t>PPC001:da_End-UserPrice</t>
  </si>
  <si>
    <t>PPC001:da_FederalTaxes</t>
  </si>
  <si>
    <t>PPC001:da_StateTaxes</t>
  </si>
  <si>
    <t>Total</t>
  </si>
  <si>
    <t>Coal</t>
  </si>
  <si>
    <t>Natural Gas</t>
  </si>
  <si>
    <t>nom cents/kWh</t>
  </si>
  <si>
    <t>Electricity (cents per kilowatthour)</t>
  </si>
  <si>
    <t>nom $/MMBtu</t>
  </si>
  <si>
    <t xml:space="preserve"> Delivered (dollars per MMBtu)</t>
  </si>
  <si>
    <t xml:space="preserve"> Minemouth (dollars per MMBtu)</t>
  </si>
  <si>
    <t>nom $/ton</t>
  </si>
  <si>
    <t xml:space="preserve"> Minemouth (dollars per ton)</t>
  </si>
  <si>
    <t>Natural Gas at Henry Hub (dollars per MMBtu)</t>
  </si>
  <si>
    <t>nom $/b</t>
  </si>
  <si>
    <t>West Texas Intermediate Spot Price (dollars per barrel)</t>
  </si>
  <si>
    <t>Brent Spot Price (dollars per barrel)</t>
  </si>
  <si>
    <t>Other</t>
  </si>
  <si>
    <t>Other Renewable Energy</t>
  </si>
  <si>
    <t>Biomass</t>
  </si>
  <si>
    <t>Conventional Hydroelectric Power</t>
  </si>
  <si>
    <t>Nuclear / Uranium</t>
  </si>
  <si>
    <t>Discrepancy</t>
  </si>
  <si>
    <t>Dry Natural Gas</t>
  </si>
  <si>
    <t>Natural Gas Plant Liquids</t>
  </si>
  <si>
    <t>Crude Oil and Lease Condensate</t>
  </si>
  <si>
    <t>Table 1.  Total Energy Supply, Disposition, and Price Summary</t>
  </si>
  <si>
    <t>Condensate and Scrubber Oil</t>
  </si>
  <si>
    <t>Biofuels (incl. Fuel Ethanol)</t>
  </si>
  <si>
    <t>Biofuels (excl. Fuel Ethanol)</t>
  </si>
  <si>
    <t>Biodiesel</t>
  </si>
  <si>
    <t>Renewable Diesel Fuel</t>
  </si>
  <si>
    <t>Other Biofuels</t>
  </si>
  <si>
    <t>Transfers to Crude Oil Supply</t>
  </si>
  <si>
    <t>Biofuels Plant Net Production</t>
  </si>
  <si>
    <t>2025 (with annual data for 2024)</t>
  </si>
  <si>
    <t>Area: US, Period: Annual 2024</t>
  </si>
  <si>
    <t>https://www.eia.gov/uranium/production/annual/umine.php</t>
  </si>
  <si>
    <t>Demand</t>
  </si>
  <si>
    <t>Nuclear Fuel (Uranium) Production</t>
  </si>
  <si>
    <t>Domestic Uranium Production Report - Annual</t>
  </si>
  <si>
    <t>Nuclear Fuel (Uranium) Domestic Demand</t>
  </si>
  <si>
    <t>Uranium Marketing Annual Report</t>
  </si>
  <si>
    <t>https://www.eia.gov/uranium/marketing/summarytable1a.php?</t>
  </si>
  <si>
    <t>https://www.eia.gov/coal/data/browser/</t>
  </si>
  <si>
    <t>million short tons of coal produced (of all types) in 2024</t>
  </si>
  <si>
    <t>https://www.eia.gov/coal/data/browser/#/topic/41?agg=0,2,1&amp;rank=g&amp;freq=A&amp;start=2001&amp;end=2024&amp;ctype=map&amp;ltype=pin&amp;rtype=s&amp;maptype=0&amp;rse=0&amp;pin=</t>
  </si>
  <si>
    <t>https://www.eia.gov/coal/data/browser/#/topic/39?agg=2,1,0&amp;rank=ok&amp;map=COAL.EXPORT_QTY.TOT-TOT-TOT.A&amp;freq=A&amp;start=2001&amp;end=2024&amp;ctype=map&amp;ltype=pin&amp;rtype=s&amp;pin=&amp;rse=0&amp;maptype=0</t>
  </si>
  <si>
    <t>million short tons of coal exported in 2024</t>
  </si>
  <si>
    <t>million short tons of coal imported in 2024</t>
  </si>
  <si>
    <t>million short tons of lignite produced in 2024</t>
  </si>
  <si>
    <t>https://www.eia.gov/coal/annual/pdf/tableES1.pdf</t>
  </si>
  <si>
    <t>Annual Coal Report and Browser Data</t>
  </si>
  <si>
    <t>We don't have biomass import data from EIA. Imports are assumed to be negligible.</t>
  </si>
  <si>
    <t>Total wood pellet production (Table 2)</t>
  </si>
  <si>
    <t>Tables 2 and 8</t>
  </si>
  <si>
    <t>https://www.eia.gov/biofuels/biomass/?year=2024&amp;month=12#table_data</t>
  </si>
  <si>
    <t>Monthly Densified Biomass Fuel Report, December 2024</t>
  </si>
  <si>
    <t>produced in 2024 (NOT including byproduct hydrogen)</t>
  </si>
  <si>
    <t>https://www.nationalacademies.org/read/27978/chapter/4</t>
  </si>
  <si>
    <t>Municipal Solid Waste Recycling in the United States: Analysis of Current and Alternative Approaches</t>
  </si>
  <si>
    <t>National Academies of Sciences</t>
  </si>
  <si>
    <t>Summary of Key Messages, first paragraph</t>
  </si>
  <si>
    <t>Prices ($/MMBtu)</t>
  </si>
  <si>
    <t>Delivered End-Use Prices ($/MMBtu)</t>
  </si>
  <si>
    <t>Natural Gas, Hydrogen, Time Series Scaling Factors</t>
  </si>
  <si>
    <t>AEO2023 Table 69</t>
  </si>
  <si>
    <t>https://www.eia.gov/outlooks/archive/aeo23/</t>
  </si>
  <si>
    <t>AEO.2026.ELECTRNP.PRCE_NOMP_TEN_NA_ELC_NA_USA_NCNTPKWH.A</t>
  </si>
  <si>
    <t>Total Energy: Nominal Prices: Electricity: Alternative Electricity and Transportation</t>
  </si>
  <si>
    <t>AEO.2026.ELECTRNP.PRCE_NOMP_TEN_NA_DCL_NA_USA_NDLRPMBTU.A</t>
  </si>
  <si>
    <t>Total Energy: Nominal Prices: Delivered Coal: Alternative Electricity and Transportation</t>
  </si>
  <si>
    <t>AEO.2026.ELECTRNP.PRCE_NOMP_TEN_NA_CMN_NA_USA_NDLRPMBTU.A</t>
  </si>
  <si>
    <t>Total Energy: Nominal Prices: Coal Minemouth: Alternative Electricity and Transportation</t>
  </si>
  <si>
    <t>AEO.2026.ELECTRNP.PRCE_NOMP_TEN_NA_CAM_NA_USA_NDLRPTON.A</t>
  </si>
  <si>
    <t>Total Energy: Nominal Prices: Coal at Minemouth: Alternative Electricity and Transportation</t>
  </si>
  <si>
    <t>AEO.2026.ELECTRNP.PRCE_NOMP_TEN_NA_HHP_NA_USA_NDLRPMBTU.A</t>
  </si>
  <si>
    <t>Total Energy: Nominal Prices: Gas Price at Henry Hub: Alternative Electricity and Transportation</t>
  </si>
  <si>
    <t>AEO.2026.ELECTRNP.PRCE_NOMP_TEN_NA_WTI_NA_USA_NDLRPBRL.A</t>
  </si>
  <si>
    <t>Total Energy: Nominal Prices: West Texas Intermediate: Alternative Electricity and Transportation</t>
  </si>
  <si>
    <t>AEO.2026.ELECTRNP.PRCE_NOMP_TEN_NA_BRN_NA_USA_NDLRPBRL.A</t>
  </si>
  <si>
    <t>Total Energy: Nominal Prices: Brent: Alternative Electricity and Transportation</t>
  </si>
  <si>
    <t>2025 cents/kWh</t>
  </si>
  <si>
    <t>AEO.2026.ELECTRNP.PRCE_RLP_TEN_NA_ELC_NA_USA_Y13CNTPKWH.A</t>
  </si>
  <si>
    <t>Total Energy: Real Prices: Electricity: Alternative Electricity and Transportation</t>
  </si>
  <si>
    <t>2025 $/MMBtu</t>
  </si>
  <si>
    <t>AEO.2026.ELECTRNP.PRCE_RLP_TEN_NA_DCL_NA_USA_Y13DLRPMMBTU.A</t>
  </si>
  <si>
    <t>Total Energy: Real Prices: Delivered Coal: Alternative Electricity and Transportation</t>
  </si>
  <si>
    <t>AEO.2026.ELECTRNP.PRCE_RLP_TEN_NA_CMN_NA_USA_Y13DLRPMMBTU.A</t>
  </si>
  <si>
    <t>Total Energy: Real Prices: Coal Minemouth: Alternative Electricity and Transportation</t>
  </si>
  <si>
    <t>2025 $/ton</t>
  </si>
  <si>
    <t>AEO.2026.ELECTRNP.PRCE_RLP_TEN_NA_CMN_NA_USA_Y13DLRPTN.A</t>
  </si>
  <si>
    <t>Total Energy: Real Prices: Coal at Minemouth: Alternative Electricity and Transportation</t>
  </si>
  <si>
    <t>AEO.2026.ELECTRNP.PRCE_RLP_TEN_NA_HHP_NA_USA_Y13DLRPMMBTU.A</t>
  </si>
  <si>
    <t>Total Energy: Real Prices: Gas Price at Henry Hub: Alternative Electricity and Transportation</t>
  </si>
  <si>
    <t>2025 $/b</t>
  </si>
  <si>
    <t>AEO.2026.ELECTRNP.PRCE_RLP_TEN_NA_WTI_NA_USA_Y13DLRPBBL.A</t>
  </si>
  <si>
    <t>Total Energy: Real Prices: West Texas Intermediate: Alternative Electricity and Transportation</t>
  </si>
  <si>
    <t>AEO.2026.ELECTRNP.PRCE_RLP_TEN_NA_BRN_NA_USA_Y13DLRPBBL.A</t>
  </si>
  <si>
    <t>Total Energy: Real Prices: Brent: Alternative Electricity and Transportation</t>
  </si>
  <si>
    <t>Prices (2025 dollars per unit)</t>
  </si>
  <si>
    <t>AEO.2026.ELECTRNP.CNSM_USE_TEN_NA_TOT_NA_USA_QBTU.A</t>
  </si>
  <si>
    <t>Total Energy: Use: Total: Alternative Electricity and Transportation</t>
  </si>
  <si>
    <t>AEO.2026.ELECTRNP.CNSM_USE_TEN_NA_OTH_NA_USA_QBTU.A</t>
  </si>
  <si>
    <t>Total Energy: Use: Other: Alternative Electricity and Transportation</t>
  </si>
  <si>
    <t>AEO.2026.ELECTRNP.CNSM_USE_TEN_NA_PRE_NA_USA_QBTU.A</t>
  </si>
  <si>
    <t>Total Energy: Use: Other Renewable Energy: Alternative Electricity and Transportation</t>
  </si>
  <si>
    <t>AEO.2026.ELECTRNP.CNSM_USE_TEN_NA_BMS_NA_USA_QBTU.A</t>
  </si>
  <si>
    <t>Total Energy: Use: Biomass: Alternative Electricity and Transportation</t>
  </si>
  <si>
    <t>AEO.2026.ELECTRNP.CNSM_USE_TEN_NA_HYD_CNV_USA_QBTU.A</t>
  </si>
  <si>
    <t>Total Energy: Use: Hydropower: Alternative Electricity and Transportation</t>
  </si>
  <si>
    <t>AEO.2026.ELECTRNP.CNSM_USE_TEN_NA_NUC_NA_USA_QBTU.A</t>
  </si>
  <si>
    <t>Total Energy: Use: Nuclear: Alternative Electricity and Transportation</t>
  </si>
  <si>
    <t>AEO.2026.ELECTRNP.CNSM_USE_TEN_NA_CL_NA_USA_QBTU.A</t>
  </si>
  <si>
    <t>Total Energy: Use: Coal: Alternative Electricity and Transportation</t>
  </si>
  <si>
    <t>AEO.2026.ELECTRNP.CNSM_USE_TEN_NA_NG_NA_USA_QBTU.A</t>
  </si>
  <si>
    <t>Total Energy: Use: Natural Gas: Alternative Electricity and Transportation</t>
  </si>
  <si>
    <t>AEO.2026.ELECTRNP.CNSM_USE_TEN_NA_LFL_NA_USA_QBTU.A</t>
  </si>
  <si>
    <t>Total Energy: Use: Liquid Fuels: Alternative Electricity and Transportation</t>
  </si>
  <si>
    <t>AEO.2026.ELECTRNP.UNC_NA_TEN_NA_DESCR_NA_USA_QBTU.A</t>
  </si>
  <si>
    <t>Total Energy: Discrepancy: Alternative Electricity and Transportation</t>
  </si>
  <si>
    <t>AEO.2026.ELECTRNP.TRAD_EXP_TEN_NA_TOT_NA_USA_QBTU.A</t>
  </si>
  <si>
    <t>Total Energy: Exports: Total: Alternative Electricity and Transportation</t>
  </si>
  <si>
    <t>AEO.2026.ELECTRNP.TRAD_EXP_TEN_NA_CL_NA_USA_QBTU.A</t>
  </si>
  <si>
    <t>Total Energy: Exports: Coal: Alternative Electricity and Transportation</t>
  </si>
  <si>
    <t>AEO.2026.ELECTRNP.TRAD_EXP_TEN_NA_NG_NA_USA_QBTU.A</t>
  </si>
  <si>
    <t>Total Energy: Exports: Natural Gas: Alternative Electricity and Transportation</t>
  </si>
  <si>
    <t>AEO.2026.ELECTRNP.TRAD_EXP_TEN_NA_PET_NA_USA_QBTU.A</t>
  </si>
  <si>
    <t>Total Energy: Exports: Petroleum: Alternative Electricity and Transportation</t>
  </si>
  <si>
    <t>AEO.2026.ELECTRNP.TRAD_IMP_TEN_NA_TOT_NA_USA_QBTU.A</t>
  </si>
  <si>
    <t>Total Energy: Imports: Total: Alternative Electricity and Transportation</t>
  </si>
  <si>
    <t>AEO.2026.ELECTRNP.TRAD_IMP_TEN_NA_OTH_NA_USA_QBTU.A</t>
  </si>
  <si>
    <t>Total Energy: Imports: Other: Alternative Electricity and Transportation</t>
  </si>
  <si>
    <t>AEO.2026.ELECTRNP.TRAD_IMP_TEN_NA_NG_NA_USA_QBTU.A</t>
  </si>
  <si>
    <t>Total Energy: Imports: Natural Gas: Alternative Electricity and Transportation</t>
  </si>
  <si>
    <t>AEO.2026.ELECTRNP.TRAD_IMP_TEN_NA_LFL_NA_USA_QBTU.A</t>
  </si>
  <si>
    <t>Total Energy: Imports: Liquid Fuels: Alternative Electricity and Transportation</t>
  </si>
  <si>
    <t>AEO.2026.ELECTRNP.TRAD_IMP_TEN_NA_CR_NA_USA_QBTU.A</t>
  </si>
  <si>
    <t>Total Energy: Imports: Crude Oil: Alternative Electricity and Transportation</t>
  </si>
  <si>
    <t>AEO.2026.ELECTRNP.SUP_PRD_TEN_NA_TOT_NA_USA_QBTU.A</t>
  </si>
  <si>
    <t>Total Energy: Production: Total: Alternative Electricity and Transportation</t>
  </si>
  <si>
    <t>AEO.2026.ELECTRNP.SUP_PRD_TEN_NA_OTH_NA_USA_QBTU.A</t>
  </si>
  <si>
    <t>Total Energy: Production: Other: Alternative Electricity and Transportation</t>
  </si>
  <si>
    <t>AEO.2026.ELECTRNP.SUP_PRD_TEN_NA_PRE_NA_USA_QBTU.A</t>
  </si>
  <si>
    <t>Total Energy: Production: Other Renewable Energy: Alternative Electricity and Transportation</t>
  </si>
  <si>
    <t>AEO.2026.ELECTRNP.SUP_PRD_TEN_NA_BMS_NA_USA_QBTU.A</t>
  </si>
  <si>
    <t>Total Energy: Production: Biomass: Alternative Electricity and Transportation</t>
  </si>
  <si>
    <t>AEO.2026.ELECTRNP.SUP_PRD_TEN_NA_HYD_CNV_USA_QBTU.A</t>
  </si>
  <si>
    <t>Total Energy: Production: Hydropower: Alternative Electricity and Transportation</t>
  </si>
  <si>
    <t>AEO.2026.ELECTRNP.SUP_PRD_TEN_NA_NUC_NA_USA_QBTU.A</t>
  </si>
  <si>
    <t>Total Energy: Production: Nuclear: Alternative Electricity and Transportation</t>
  </si>
  <si>
    <t>AEO.2026.ELECTRNP.SUP_PRD_TEN_NA_CL_NA_USA_QBTU.A</t>
  </si>
  <si>
    <t>Total Energy: Production: Coal: Alternative Electricity and Transportation</t>
  </si>
  <si>
    <t>AEO.2026.ELECTRNP.SUP_PRD_TEN_NA_DNG_NA_USA_QBTU.A</t>
  </si>
  <si>
    <t>Total Energy: Production: Dry Natural Gas: Alternative Electricity and Transportation</t>
  </si>
  <si>
    <t>AEO.2026.ELECTRNP.SUP_PRD_TEN_NA_NGP_NA_USA_QBTU.A</t>
  </si>
  <si>
    <t>Total Energy: Production: Natural Gas Plant Liquids: Alternative Electricity and Transportation</t>
  </si>
  <si>
    <t>AEO.2026.ELECTRNP.SUP_PRD_TEN_NA_CLC_NA_USA_QBTU.A</t>
  </si>
  <si>
    <t>Total Energy: Production: Crude Oil and Lease Condensate: Alternative Electricity and Transportation</t>
  </si>
  <si>
    <t>Growth (2025-2050)</t>
  </si>
  <si>
    <t>Thu Apr 23 2026 14:30:14 GMT-0700 (Pacific Daylight Time)</t>
  </si>
  <si>
    <t>https://www.eia.gov/outlooks/aeo/data/browser/#/?id=1-AEO2026&amp;region=0-0&amp;cases=electrnp&amp;start=2025&amp;end=2050&amp;f=A&amp;sourcekey=0</t>
  </si>
  <si>
    <t>MMmt</t>
  </si>
  <si>
    <t>AEO.2026.ELECTRNP.SUP_CAP_NA_NA_HDG_GRDELEC_USA_MMMT.A</t>
  </si>
  <si>
    <t>Hydrogen Market Projections: Production Capacity By Technology: Electrolysis: Alternative Electricity and Transportation</t>
  </si>
  <si>
    <t>Electrolysis</t>
  </si>
  <si>
    <t>AEO.2026.ELECTRNP.SUP_CAP_NA_NA_HDG_ATRCCS_USA_MMMT.A</t>
  </si>
  <si>
    <t>Hydrogen Market Projections: Production Capacity By Technology: Autothermal Reforming with CCS: Alternative Electricity and Transportation</t>
  </si>
  <si>
    <t>Autothermal Reforming with CCS</t>
  </si>
  <si>
    <t>AEO.2026.ELECTRNP.SUP_CAP_NA_NA_HDG_SMRCCS_USA_MMMT.A</t>
  </si>
  <si>
    <t>Hydrogen Market Projections: Production Capacity By Technology: Steam Methane Reforming with CCS: Alternative Electricity and Transportation</t>
  </si>
  <si>
    <t>Steam Methane Reforming with CCS</t>
  </si>
  <si>
    <t>AEO.2026.ELECTRNP.SUP_CAP_NA_NA_HDG_SMR_USA_MMMT.A</t>
  </si>
  <si>
    <t>Hydrogen Market Projections: Production Capacity By Technology: Steam Methane Reforming: Alternative Electricity and Transportation</t>
  </si>
  <si>
    <t>Steam Methane Reforming</t>
  </si>
  <si>
    <t>Production Capacity by Technology</t>
  </si>
  <si>
    <t>AEO.2026.ELECTRNP.PRCE_NA_ELEP_NA_HDG_NA_USA_Y13DLRPMMBTU.A</t>
  </si>
  <si>
    <t>Hydrogen Market Projections: Delivered End-Use prices: Electric Power: Alternative Electricity and Transportation</t>
  </si>
  <si>
    <t>Electric Power</t>
  </si>
  <si>
    <t>AEO.2026.ELECTRNP.PRCE_NA_TRN_NA_HDG_NA_USA_Y13DLRPMMBTU.A</t>
  </si>
  <si>
    <t>Hydrogen Market Projections: Delivered End-Use prices: Transportation: Alternative Electricity and Transportation</t>
  </si>
  <si>
    <t>Transportation</t>
  </si>
  <si>
    <t>AEO.2026.ELECTRNP.PRCE_NA_IDAL_NA_HDG_NA_USA_Y13DLRPMMBTU.A</t>
  </si>
  <si>
    <t>Hydrogen Market Projections: Delivered End-Use prices: Industrial: Alternative Electricity and Transportation</t>
  </si>
  <si>
    <t>Industrial</t>
  </si>
  <si>
    <t>AEO.2026.ELECTRNP.PRCE_HHP_NA_NA_HDG_NA_USA_Y13DLRPMMBTU.A</t>
  </si>
  <si>
    <t>Hydrogen Market Projections: Average hydrogen market spot price: Alternative Electricity and Transportation</t>
  </si>
  <si>
    <t>Hydrogen average market spot price</t>
  </si>
  <si>
    <t>AEO.2026.ELECTRNP.UNC_NA_NA_NA_HDG_NA_USA_MMMT.A</t>
  </si>
  <si>
    <t>Hydrogen Market Projections: Discrepancy: Alternative Electricity and Transportation</t>
  </si>
  <si>
    <t>AEO.2026.ELECTRNP.CNSM_NA_NA_NA_HDG_ELECPOWER_USA_MMMT.A</t>
  </si>
  <si>
    <t>Hydrogen Market Projections: Consumption: Electric: Alternative Electricity and Transportation</t>
  </si>
  <si>
    <t>AEO.2026.ELECTRNP.CNSM_NA_NA_NA_HDG_TRANBT_USA_MMMT.A</t>
  </si>
  <si>
    <t>Hydrogen Market Projections: Consumption: Transportation: Bus Transportation: Alternative Electricity and Transportation</t>
  </si>
  <si>
    <t>Bus Transportation</t>
  </si>
  <si>
    <t>AEO.2026.ELECTRNP.CNSM_NA_NA_NA_HDG_TRANFT_USA_MMMT.A</t>
  </si>
  <si>
    <t>Hydrogen Market Projections: Consumption: Transportation: Freight Trucks: Alternative Electricity and Transportation</t>
  </si>
  <si>
    <t>Freight Trucks</t>
  </si>
  <si>
    <t>AEO.2026.ELECTRNP.CNSM_NA_NA_NA_HDG_TRANCLT_USA_MMMT.A</t>
  </si>
  <si>
    <t>Hydrogen Market Projections: Consumption: Transportation: Commercial Light Trucks: Alternative Electricity and Transportation</t>
  </si>
  <si>
    <t>Commercial Light Trucks</t>
  </si>
  <si>
    <t>AEO.2026.ELECTRNP.CNSM_NA_NA_NA_HDG_TRANLDV_USA_MMMT.A</t>
  </si>
  <si>
    <t>Hydrogen Market Projections: Consumption: Transportation: Light Duty Vehicles: Alternative Electricity and Transportation</t>
  </si>
  <si>
    <t>Light-Duty Vehicles</t>
  </si>
  <si>
    <t>AEO.2026.ELECTRNP.CNSM_NA_NA_NA_HDG_TRAN_USA_MMMT.A</t>
  </si>
  <si>
    <t>Hydrogen Market Projections: Consumption: Transportation: Alternative Electricity and Transportation</t>
  </si>
  <si>
    <t>AEO.2026.ELECTRNP.CNSM_NA_NA_NA_HDG_OTHIND_USA_MMMT.A</t>
  </si>
  <si>
    <t>Hydrogen Market Projections: Consumption: Industrial feedstocks: Other industrial: Alternative Electricity and Transportation</t>
  </si>
  <si>
    <t>Other Industrial</t>
  </si>
  <si>
    <t>AEO.2026.ELECTRNP.CNSM_NA_NA_NA_HDG_REF_USA_MMMT.A</t>
  </si>
  <si>
    <t>Hydrogen Market Projections: Consumption: Industrial feedstocks: Refinery: Alternative Electricity and Transportation</t>
  </si>
  <si>
    <t>Refinery</t>
  </si>
  <si>
    <t>AEO.2026.ELECTRNP.CNSM_NA_NA_NA_HDG_BC_USA_MMMT.A</t>
  </si>
  <si>
    <t>Hydrogen Market Projections: Consumption: Industrial feedstocks: Bulk chemicals: Alternative Electricity and Transportation</t>
  </si>
  <si>
    <t>Bulk Chemicals</t>
  </si>
  <si>
    <t>AEO.2026.ELECTRNP.CNSM_NA_NA_NA_HDG_INDF_USA_MMMT.A</t>
  </si>
  <si>
    <t>Hydrogen Market Projections: Consumption: Industrial feedstocks: Alternative Electricity and Transportation</t>
  </si>
  <si>
    <t>Industrial feedstock</t>
  </si>
  <si>
    <t>AEO.2026.ELECTRNP.CNSM_NA_NA_NA_HDG_TOT_USA_MMMT.A</t>
  </si>
  <si>
    <t>Hydrogen Market Projections: Total Hydrogen Consumption: Alternative Electricity and Transportation</t>
  </si>
  <si>
    <t>AEO.2026.ELECTRNP.SUP_NA_NA_NA_HDG_TOT_USA_MMMT.A</t>
  </si>
  <si>
    <t>Hydrogen Market Projections: Total Hydrogen Supply: Alternative Electricity and Transportation</t>
  </si>
  <si>
    <t>Total Hydrogen Supply</t>
  </si>
  <si>
    <t>AEO.2026.ELECTRNP.SUP_PRD_NA_NA_HDG_BYPROD_USA_MMMT.A</t>
  </si>
  <si>
    <t>Hydrogen Market Projections: Byproduct hydrogen supply to market: Alternative Electricity and Transportation</t>
  </si>
  <si>
    <t>Byproduct Hydrogen Supply to Market</t>
  </si>
  <si>
    <t>AEO.2026.ELECTRNP.SUP_PRD_NA_NA_HDG_GRDELEC_USA_MMMT.A</t>
  </si>
  <si>
    <t>Hydrogen Market Projections: Production By Technology: Electrolysis: Alternative Electricity and Transportation</t>
  </si>
  <si>
    <t>AEO.2026.ELECTRNP.SUP_PRD_NA_NA_HDG_ATRCCS_USA_MMMT.A</t>
  </si>
  <si>
    <t>Hydrogen Market Projections: Production By Technology: Autothermal Reforming with CCS: Alternative Electricity and Transportation</t>
  </si>
  <si>
    <t>AEO.2026.ELECTRNP.SUP_PRD_NA_NA_HDG_SMRCCS_USA_MMMT.A</t>
  </si>
  <si>
    <t>Hydrogen Market Projections: Production By Technology: Steam Methane Reforming with CCS: Alternative Electricity and Transportation</t>
  </si>
  <si>
    <t>AEO.2026.ELECTRNP.SUP_PRD_NA_NA_HDG_SMR_USA_MMMT.A</t>
  </si>
  <si>
    <t>Hydrogen Market Projections: Production By Technology: Steam Methane Reforming: Alternative Electricity and Transportation</t>
  </si>
  <si>
    <t>Production By Technology</t>
  </si>
  <si>
    <t>Thu Apr 23 2026 15:00:15 GMT-0700 (Pacific Daylight Time)</t>
  </si>
  <si>
    <t>https://www.eia.gov/outlooks/aeo/data/browser/#/?id=23-AEO2026&amp;cases=electrnp&amp;sourcekey=0</t>
  </si>
  <si>
    <t>Table 19.  Hydrogen Supply, Disposition, and Prices</t>
  </si>
  <si>
    <t>Annual Energy Outlook 2026</t>
  </si>
  <si>
    <t>Alternative Electricity and Transportation, Tables 1, 19</t>
  </si>
  <si>
    <t>Calibrated BAU fuel production (BFPIaE-production) for fuels whose production the model balances</t>
  </si>
  <si>
    <t>calibration/steps/05-bfpiae/solve.py two-filter rule: for fuels the model produces domestically, the balanced production from the BAU run replaces the AEO-scaled path so the input is consistent with modelled demand; loop run -&gt; solve until the largest change in 'BAU Percent Change in Fuel Production from Calculated Fuel Demand' is within 2% (converged in two passes; see calibration/calibration-log.md). Fuels not listed keep the Start Year Data x Time Series Scaling Factors formulas in the output tab. Block 2 keeps the pre-calibration (AEO-scaled) values for comparison; block 3 is the ratio.</t>
  </si>
  <si>
    <t>CALIBRATED PRODUCTION USED IN THE OUTPUT TAB (BTU)</t>
  </si>
  <si>
    <t>Pre-calibration production (AEO-scaled formulas, as committed before this calibration)</t>
  </si>
  <si>
    <t>Calibrated / pre-calibration</t>
  </si>
  <si>
    <t>Calibration record (2026-09-22)</t>
  </si>
  <si>
    <t>BFPIaE-production rows for hard coal, natural gas, petroleum gasoline, petroleum diesel, jet fuel or kerosene, lignite, LPG propane or butane now reference the Calibration tab: balanced production from the</t>
  </si>
  <si>
    <t>BAU run (calibration/steps/05-bfpiae/solve.py, two passes, max change 1.2% &lt; 2%). Imports and exports tabs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</si>
</sst>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3" formatCode="_(* #,##0.00_);_(* \(#,##0.00\);_(* &quot;-&quot;??_);_(@_)"/>
    <numFmt numFmtId="164" formatCode="0.0%"/>
    <numFmt numFmtId="165" formatCode="#,##0.0"/>
    <numFmt numFmtId="166" formatCode="#,##0.0000"/>
    <numFmt numFmtId="167" formatCode="0.0000"/>
    <numFmt numFmtId="168" formatCode="0.0"/>
    <numFmt numFmtId="169" formatCode="#,##0.000"/>
    <numFmt numFmtId="170" formatCode="0.000"/>
    <numFmt numFmtId="171" formatCode="#,##0.000000"/>
    <numFmt numFmtId="172" formatCode="0.000000"/>
    <numFmt numFmtId="173" formatCode="#,##0.000000000"/>
    <numFmt numFmtId="174" formatCode="#,##0.0000000000"/>
    <numFmt numFmtId="175" formatCode="#,##0.0000000"/>
    <numFmt numFmtId="176" formatCode="0.0000E+00"/>
    <numFmt numFmtId="177" formatCode="_(* #,##0_);_(* \(#,##0\);_(* &quot;-&quot;??_);_(@_)"/>
  </numFmts>
  <fonts count="36">
    <font>
      <sz val="11"/>
      <color theme="1"/>
      <name val="Calibri"/>
      <family val="2"/>
      <scheme val="minor"/>
    </font>
    <font>
      <b/>
      <sz val="11"/>
      <color theme="1"/>
      <name val="Calibri"/>
      <family val="2"/>
      <scheme val="minor"/>
    </font>
    <font>
      <u/>
      <sz val="11"/>
      <color theme="10"/>
      <name val="Calibri"/>
      <family val="2"/>
      <scheme val="minor"/>
    </font>
    <font>
      <b/>
      <sz val="9"/>
      <color rgb="FFFFFFFF"/>
      <name val="Arial"/>
      <family val="2"/>
    </font>
    <font>
      <b/>
      <sz val="9"/>
      <color rgb="FF000000"/>
      <name val="Arial"/>
      <family val="2"/>
    </font>
    <font>
      <sz val="9"/>
      <color rgb="FF000000"/>
      <name val="Arial"/>
      <family val="2"/>
    </font>
    <font>
      <sz val="9"/>
      <color indexed="8"/>
      <name val="Calibri"/>
      <family val="2"/>
    </font>
    <font>
      <b/>
      <sz val="9"/>
      <color indexed="8"/>
      <name val="Calibri"/>
      <family val="2"/>
    </font>
    <font>
      <sz val="10"/>
      <color indexed="8"/>
      <name val="Arial"/>
      <family val="2"/>
    </font>
    <font>
      <sz val="8"/>
      <name val="Arial"/>
      <family val="2"/>
    </font>
    <font>
      <b/>
      <sz val="12"/>
      <color indexed="30"/>
      <name val="Calibri"/>
      <family val="2"/>
    </font>
    <font>
      <sz val="9"/>
      <name val="Calibri"/>
      <family val="2"/>
    </font>
    <font>
      <i/>
      <sz val="11"/>
      <color theme="1"/>
      <name val="Calibri"/>
      <family val="2"/>
      <scheme val="minor"/>
    </font>
    <font>
      <sz val="11"/>
      <color theme="1"/>
      <name val="Calibri"/>
      <family val="2"/>
      <scheme val="minor"/>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sz val="9"/>
      <color theme="1"/>
      <name val="Calibri"/>
      <family val="2"/>
      <scheme val="minor"/>
    </font>
    <font>
      <b/>
      <sz val="9"/>
      <color theme="1"/>
      <name val="Calibri"/>
      <family val="2"/>
      <scheme val="minor"/>
    </font>
    <font>
      <u/>
      <sz val="11"/>
      <color rgb="FF0070C0"/>
      <name val="Calibri"/>
      <family val="2"/>
      <scheme val="minor"/>
    </font>
    <font>
      <sz val="11"/>
      <name val="Calibri"/>
      <family val="2"/>
      <scheme val="minor"/>
    </font>
    <font>
      <sz val="10"/>
      <name val="Calibri"/>
      <family val="2"/>
    </font>
    <font>
      <b/>
      <sz val="9"/>
      <name val="Calibri"/>
      <family val="2"/>
    </font>
    <font>
      <b/>
      <sz val="12"/>
      <name val="Calibri"/>
      <family val="2"/>
    </font>
    <font>
      <sz val="9"/>
      <color rgb="FF333333"/>
      <name val="Arial"/>
      <family val="2"/>
    </font>
    <font>
      <b/>
      <sz val="9"/>
      <color rgb="FF333333"/>
      <name val="Arial"/>
      <family val="2"/>
    </font>
    <font>
      <sz val="11"/>
      <color rgb="FF000000"/>
      <name val="Arial"/>
      <family val="2"/>
    </font>
    <font>
      <sz val="11"/>
      <color rgb="FF007EB5"/>
      <name val="Arial"/>
      <family val="2"/>
    </font>
    <font>
      <b/>
      <sz val="8"/>
      <color rgb="FF000000"/>
      <name val="Arial"/>
      <family val="2"/>
    </font>
    <font>
      <sz val="6"/>
      <color rgb="FF333333"/>
      <name val="Inherit"/>
    </font>
  </fonts>
  <fills count="28">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3F74B6"/>
        <bgColor indexed="64"/>
      </patternFill>
    </fill>
    <fill>
      <patternFill patternType="solid">
        <fgColor rgb="FF7D7D7D"/>
        <bgColor indexed="64"/>
      </patternFill>
    </fill>
    <fill>
      <patternFill patternType="solid">
        <fgColor rgb="FFFFFFFF"/>
        <bgColor indexed="64"/>
      </patternFill>
    </fill>
    <fill>
      <patternFill patternType="solid">
        <fgColor rgb="FFD2E2F2"/>
        <bgColor indexed="64"/>
      </patternFill>
    </fill>
    <fill>
      <patternFill patternType="solid">
        <fgColor rgb="FFCFCFCF"/>
        <bgColor indexed="64"/>
      </patternFill>
    </fill>
    <fill>
      <patternFill patternType="solid">
        <fgColor rgb="FFFFFF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4" tint="0.39997558519241921"/>
        <bgColor indexed="64"/>
      </patternFill>
    </fill>
    <fill>
      <patternFill patternType="solid">
        <fgColor rgb="FFCC99FF"/>
        <bgColor indexed="64"/>
      </patternFill>
    </fill>
    <fill>
      <patternFill patternType="solid">
        <fgColor rgb="FFFF66FF"/>
        <bgColor indexed="64"/>
      </patternFill>
    </fill>
    <fill>
      <patternFill patternType="solid">
        <fgColor rgb="FFF7F7F7"/>
        <bgColor indexed="64"/>
      </patternFill>
    </fill>
    <fill>
      <patternFill patternType="solid">
        <fgColor theme="6" tint="0.59999389629810485"/>
        <bgColor indexed="64"/>
      </patternFill>
    </fill>
    <fill>
      <patternFill patternType="solid">
        <fgColor theme="9"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ck">
        <color theme="0"/>
      </left>
      <right style="thick">
        <color theme="0"/>
      </right>
      <top/>
      <bottom style="thin">
        <color theme="0" tint="-0.24994659260841701"/>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right/>
      <top/>
      <bottom style="mediumDashed">
        <color rgb="FFD8D8D8"/>
      </bottom>
      <diagonal/>
    </border>
    <border>
      <left/>
      <right/>
      <top/>
      <bottom style="medium">
        <color rgb="FF000000"/>
      </bottom>
      <diagonal/>
    </border>
    <border>
      <left/>
      <right style="thick">
        <color rgb="FFFFFFFF"/>
      </right>
      <top/>
      <bottom style="medium">
        <color rgb="FFD8D8D8"/>
      </bottom>
      <diagonal/>
    </border>
    <border>
      <left/>
      <right style="thick">
        <color rgb="FFFFFFFF"/>
      </right>
      <top/>
      <bottom/>
      <diagonal/>
    </border>
    <border>
      <left/>
      <right/>
      <top/>
      <bottom style="medium">
        <color rgb="FFD8D8D8"/>
      </bottom>
      <diagonal/>
    </border>
    <border>
      <left style="thick">
        <color rgb="FFFFFFFF"/>
      </left>
      <right/>
      <top/>
      <bottom/>
      <diagonal/>
    </border>
    <border>
      <left style="thick">
        <color rgb="FFFFFFFF"/>
      </left>
      <right/>
      <top/>
      <bottom style="medium">
        <color rgb="FFD8D8D8"/>
      </bottom>
      <diagonal/>
    </border>
  </borders>
  <cellStyleXfs count="37">
    <xf numFmtId="0" fontId="0" fillId="0" borderId="0"/>
    <xf numFmtId="0" fontId="2" fillId="0" borderId="0" applyNumberFormat="0" applyFill="0" applyBorder="0" applyAlignment="0" applyProtection="0"/>
    <xf numFmtId="0" fontId="6" fillId="0" borderId="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43" fontId="13" fillId="0" borderId="0" applyFont="0" applyFill="0" applyBorder="0" applyAlignment="0" applyProtection="0"/>
    <xf numFmtId="9" fontId="13" fillId="0" borderId="0" applyFont="0" applyFill="0" applyBorder="0" applyAlignment="0" applyProtection="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0" fontId="23" fillId="0" borderId="0" applyNumberFormat="0" applyProtection="0">
      <alignment vertical="top" wrapText="1"/>
    </xf>
    <xf numFmtId="0" fontId="24" fillId="0" borderId="20" applyNumberFormat="0" applyProtection="0">
      <alignment horizontal="left" wrapText="1"/>
    </xf>
    <xf numFmtId="0" fontId="23" fillId="0" borderId="21" applyNumberFormat="0" applyFont="0" applyFill="0" applyProtection="0">
      <alignment wrapText="1"/>
    </xf>
    <xf numFmtId="0" fontId="24" fillId="0" borderId="22" applyNumberFormat="0" applyFill="0" applyProtection="0">
      <alignment wrapText="1"/>
    </xf>
    <xf numFmtId="0" fontId="6" fillId="0" borderId="5">
      <alignment wrapText="1"/>
    </xf>
    <xf numFmtId="0" fontId="6" fillId="0" borderId="4">
      <alignment wrapText="1"/>
    </xf>
    <xf numFmtId="0" fontId="7" fillId="0" borderId="3">
      <alignment wrapText="1"/>
    </xf>
    <xf numFmtId="0" fontId="7" fillId="0" borderId="2">
      <alignment wrapText="1"/>
    </xf>
    <xf numFmtId="0" fontId="6" fillId="0" borderId="0"/>
    <xf numFmtId="0" fontId="10" fillId="0" borderId="0">
      <alignment horizontal="left"/>
    </xf>
    <xf numFmtId="9" fontId="6" fillId="0" borderId="0" applyFont="0" applyFill="0" applyBorder="0" applyAlignment="0" applyProtection="0"/>
    <xf numFmtId="0" fontId="13" fillId="0" borderId="0"/>
    <xf numFmtId="0" fontId="6" fillId="0" borderId="0"/>
    <xf numFmtId="0" fontId="13" fillId="0" borderId="0"/>
    <xf numFmtId="0" fontId="6" fillId="0" borderId="4">
      <alignment wrapText="1"/>
    </xf>
    <xf numFmtId="0" fontId="6" fillId="0" borderId="0"/>
    <xf numFmtId="0" fontId="6" fillId="0" borderId="5">
      <alignment wrapText="1"/>
    </xf>
    <xf numFmtId="0" fontId="7" fillId="0" borderId="2">
      <alignment wrapText="1"/>
    </xf>
    <xf numFmtId="0" fontId="7" fillId="0" borderId="3">
      <alignment wrapText="1"/>
    </xf>
    <xf numFmtId="0" fontId="10" fillId="0" borderId="0">
      <alignment horizontal="left"/>
    </xf>
  </cellStyleXfs>
  <cellXfs count="285">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3" borderId="0" xfId="0" applyFill="1"/>
    <xf numFmtId="0" fontId="0" fillId="4" borderId="0" xfId="0" applyFill="1"/>
    <xf numFmtId="0" fontId="0" fillId="2" borderId="0" xfId="0" applyFill="1"/>
    <xf numFmtId="0" fontId="4" fillId="8" borderId="1" xfId="0" applyFont="1" applyFill="1" applyBorder="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horizontal="left" vertical="center" wrapText="1"/>
    </xf>
    <xf numFmtId="0" fontId="0" fillId="0" borderId="1" xfId="0" applyBorder="1"/>
    <xf numFmtId="0" fontId="5" fillId="0" borderId="1" xfId="0" applyFont="1" applyBorder="1" applyAlignment="1">
      <alignment horizontal="right" vertical="center" wrapText="1"/>
    </xf>
    <xf numFmtId="0" fontId="0" fillId="11" borderId="1" xfId="0" applyFill="1" applyBorder="1"/>
    <xf numFmtId="0" fontId="5" fillId="10" borderId="1" xfId="0" applyFont="1" applyFill="1" applyBorder="1" applyAlignment="1">
      <alignment horizontal="left" vertical="center" wrapText="1" indent="1"/>
    </xf>
    <xf numFmtId="0" fontId="5" fillId="10" borderId="1" xfId="0" applyFont="1" applyFill="1" applyBorder="1" applyAlignment="1">
      <alignment horizontal="left" vertical="center" wrapText="1" indent="2"/>
    </xf>
    <xf numFmtId="0" fontId="5" fillId="11" borderId="1" xfId="0" applyFont="1" applyFill="1" applyBorder="1" applyAlignment="1">
      <alignment horizontal="right" vertical="center" wrapText="1"/>
    </xf>
    <xf numFmtId="0" fontId="5" fillId="10" borderId="1" xfId="0" applyFont="1" applyFill="1" applyBorder="1" applyAlignment="1">
      <alignment horizontal="left" vertical="center" wrapText="1" indent="3"/>
    </xf>
    <xf numFmtId="0" fontId="0" fillId="0" borderId="0" xfId="0" applyAlignment="1">
      <alignment horizontal="right"/>
    </xf>
    <xf numFmtId="1" fontId="0" fillId="3" borderId="0" xfId="0" applyNumberFormat="1" applyFill="1"/>
    <xf numFmtId="0" fontId="12" fillId="0" borderId="0" xfId="0" applyFont="1"/>
    <xf numFmtId="3" fontId="0" fillId="0" borderId="0" xfId="0" applyNumberFormat="1" applyAlignment="1">
      <alignment horizontal="right"/>
    </xf>
    <xf numFmtId="4" fontId="0" fillId="0" borderId="0" xfId="0" applyNumberFormat="1" applyAlignment="1">
      <alignment horizontal="right"/>
    </xf>
    <xf numFmtId="1" fontId="0" fillId="0" borderId="0" xfId="0" applyNumberFormat="1" applyAlignment="1">
      <alignment horizontal="right"/>
    </xf>
    <xf numFmtId="0" fontId="1" fillId="0" borderId="0" xfId="0" applyFont="1" applyAlignment="1">
      <alignment wrapText="1"/>
    </xf>
    <xf numFmtId="1" fontId="0" fillId="0" borderId="0" xfId="0" applyNumberFormat="1"/>
    <xf numFmtId="168" fontId="0" fillId="0" borderId="0" xfId="0" applyNumberFormat="1"/>
    <xf numFmtId="2" fontId="0" fillId="0" borderId="0" xfId="0" applyNumberFormat="1"/>
    <xf numFmtId="0" fontId="0" fillId="2" borderId="0" xfId="0" applyFill="1" applyAlignment="1">
      <alignment horizontal="right"/>
    </xf>
    <xf numFmtId="0" fontId="0" fillId="2" borderId="0" xfId="0" applyFill="1" applyAlignment="1">
      <alignment horizontal="left"/>
    </xf>
    <xf numFmtId="0" fontId="0" fillId="2" borderId="0" xfId="0" applyFill="1" applyAlignment="1">
      <alignment wrapText="1"/>
    </xf>
    <xf numFmtId="0" fontId="1" fillId="13" borderId="0" xfId="0" applyFont="1" applyFill="1"/>
    <xf numFmtId="0" fontId="1" fillId="13" borderId="0" xfId="0" applyFont="1" applyFill="1" applyAlignment="1">
      <alignment horizontal="right"/>
    </xf>
    <xf numFmtId="0" fontId="1" fillId="13" borderId="0" xfId="0" applyFont="1" applyFill="1" applyAlignment="1">
      <alignment horizontal="right" wrapText="1"/>
    </xf>
    <xf numFmtId="0" fontId="1" fillId="13" borderId="0" xfId="0" applyFont="1" applyFill="1" applyAlignment="1">
      <alignment horizontal="left"/>
    </xf>
    <xf numFmtId="0" fontId="14" fillId="0" borderId="0" xfId="0" applyFont="1"/>
    <xf numFmtId="0" fontId="15" fillId="0" borderId="0" xfId="0" applyFont="1"/>
    <xf numFmtId="0" fontId="16" fillId="0" borderId="6" xfId="0" applyFont="1" applyBorder="1" applyAlignment="1">
      <alignment horizontal="left"/>
    </xf>
    <xf numFmtId="0" fontId="16" fillId="0" borderId="6" xfId="0" applyFont="1" applyBorder="1" applyAlignment="1">
      <alignment horizontal="centerContinuous"/>
    </xf>
    <xf numFmtId="0" fontId="16" fillId="0" borderId="7" xfId="0" applyFont="1" applyBorder="1" applyAlignment="1">
      <alignment horizontal="centerContinuous"/>
    </xf>
    <xf numFmtId="0" fontId="16" fillId="0" borderId="7" xfId="0" applyFont="1" applyBorder="1" applyAlignment="1">
      <alignment horizontal="right"/>
    </xf>
    <xf numFmtId="170" fontId="16" fillId="0" borderId="8" xfId="0" applyNumberFormat="1" applyFont="1" applyBorder="1" applyAlignment="1">
      <alignment horizontal="right"/>
    </xf>
    <xf numFmtId="0" fontId="16" fillId="0" borderId="9" xfId="0" applyFont="1" applyBorder="1" applyAlignment="1">
      <alignment horizontal="right"/>
    </xf>
    <xf numFmtId="0" fontId="16" fillId="0" borderId="9" xfId="0" applyFont="1" applyBorder="1" applyAlignment="1">
      <alignment horizontal="right" wrapText="1"/>
    </xf>
    <xf numFmtId="0" fontId="16" fillId="0" borderId="0" xfId="0" applyFont="1" applyAlignment="1">
      <alignment horizontal="right"/>
    </xf>
    <xf numFmtId="0" fontId="16" fillId="0" borderId="0" xfId="0" applyFont="1" applyAlignment="1">
      <alignment horizontal="right" wrapText="1"/>
    </xf>
    <xf numFmtId="170" fontId="16" fillId="0" borderId="10" xfId="0" applyNumberFormat="1" applyFont="1" applyBorder="1" applyAlignment="1">
      <alignment horizontal="right" wrapText="1"/>
    </xf>
    <xf numFmtId="0" fontId="16" fillId="0" borderId="9" xfId="0" applyFont="1" applyBorder="1"/>
    <xf numFmtId="0" fontId="16" fillId="14" borderId="9" xfId="0" applyFont="1" applyFill="1" applyBorder="1"/>
    <xf numFmtId="0" fontId="17" fillId="0" borderId="0" xfId="0" applyFont="1"/>
    <xf numFmtId="0" fontId="16" fillId="0" borderId="0" xfId="0" applyFont="1"/>
    <xf numFmtId="170" fontId="16" fillId="0" borderId="10" xfId="0" applyNumberFormat="1" applyFont="1" applyBorder="1"/>
    <xf numFmtId="0" fontId="16" fillId="0" borderId="11" xfId="0" applyFont="1" applyBorder="1"/>
    <xf numFmtId="0" fontId="16" fillId="0" borderId="11" xfId="0" applyFont="1" applyBorder="1" applyAlignment="1">
      <alignment horizontal="right"/>
    </xf>
    <xf numFmtId="0" fontId="16" fillId="0" borderId="12" xfId="0" applyFont="1" applyBorder="1" applyAlignment="1">
      <alignment horizontal="right"/>
    </xf>
    <xf numFmtId="0" fontId="16" fillId="0" borderId="12" xfId="0" applyFont="1" applyBorder="1"/>
    <xf numFmtId="170" fontId="16" fillId="0" borderId="13" xfId="0" applyNumberFormat="1" applyFont="1" applyBorder="1"/>
    <xf numFmtId="0" fontId="0" fillId="0" borderId="9" xfId="0" applyBorder="1"/>
    <xf numFmtId="3" fontId="17" fillId="0" borderId="9" xfId="9" applyNumberFormat="1" applyFont="1" applyFill="1" applyBorder="1" applyAlignment="1"/>
    <xf numFmtId="3" fontId="17" fillId="15" borderId="0" xfId="9" applyNumberFormat="1" applyFont="1" applyFill="1" applyBorder="1" applyAlignment="1"/>
    <xf numFmtId="164" fontId="17" fillId="15" borderId="0" xfId="10" applyNumberFormat="1" applyFont="1" applyFill="1" applyBorder="1" applyAlignment="1"/>
    <xf numFmtId="3" fontId="17" fillId="16" borderId="0" xfId="9" applyNumberFormat="1" applyFont="1" applyFill="1" applyBorder="1" applyAlignment="1"/>
    <xf numFmtId="171" fontId="17" fillId="0" borderId="0" xfId="9" applyNumberFormat="1" applyFont="1" applyFill="1" applyBorder="1" applyAlignment="1"/>
    <xf numFmtId="170" fontId="17" fillId="0" borderId="10" xfId="9" applyNumberFormat="1" applyFont="1" applyFill="1" applyBorder="1" applyAlignment="1"/>
    <xf numFmtId="3" fontId="17" fillId="17" borderId="0" xfId="9" applyNumberFormat="1" applyFont="1" applyFill="1" applyBorder="1" applyAlignment="1"/>
    <xf numFmtId="164" fontId="17" fillId="17" borderId="0" xfId="10" applyNumberFormat="1" applyFont="1" applyFill="1" applyBorder="1" applyAlignment="1"/>
    <xf numFmtId="3" fontId="17" fillId="0" borderId="0" xfId="9" applyNumberFormat="1" applyFont="1" applyFill="1" applyBorder="1" applyAlignment="1"/>
    <xf numFmtId="164" fontId="17" fillId="0" borderId="0" xfId="10" applyNumberFormat="1" applyFont="1" applyFill="1" applyBorder="1" applyAlignment="1"/>
    <xf numFmtId="170" fontId="17" fillId="0" borderId="0" xfId="9" applyNumberFormat="1" applyFont="1" applyFill="1" applyBorder="1" applyAlignment="1"/>
    <xf numFmtId="3" fontId="0" fillId="0" borderId="0" xfId="0" applyNumberFormat="1"/>
    <xf numFmtId="3" fontId="17" fillId="0" borderId="0" xfId="0" applyNumberFormat="1" applyFont="1" applyAlignment="1">
      <alignment vertical="top"/>
    </xf>
    <xf numFmtId="0" fontId="0" fillId="18" borderId="0" xfId="0" applyFill="1"/>
    <xf numFmtId="164" fontId="0" fillId="0" borderId="0" xfId="0" applyNumberFormat="1"/>
    <xf numFmtId="1" fontId="17" fillId="0" borderId="0" xfId="10" applyNumberFormat="1" applyFont="1" applyFill="1" applyBorder="1" applyAlignment="1"/>
    <xf numFmtId="0" fontId="17" fillId="0" borderId="9" xfId="0" applyFont="1" applyBorder="1"/>
    <xf numFmtId="164" fontId="17" fillId="0" borderId="0" xfId="9" applyNumberFormat="1" applyFont="1" applyFill="1" applyBorder="1" applyAlignment="1"/>
    <xf numFmtId="3" fontId="17" fillId="12" borderId="0" xfId="9" applyNumberFormat="1" applyFont="1" applyFill="1" applyBorder="1" applyAlignment="1"/>
    <xf numFmtId="164" fontId="17" fillId="16" borderId="0" xfId="10" applyNumberFormat="1" applyFont="1" applyFill="1" applyBorder="1" applyAlignment="1"/>
    <xf numFmtId="3" fontId="0" fillId="12" borderId="0" xfId="0" applyNumberFormat="1" applyFill="1"/>
    <xf numFmtId="164" fontId="0" fillId="12" borderId="0" xfId="0" applyNumberFormat="1" applyFill="1"/>
    <xf numFmtId="164" fontId="17" fillId="12" borderId="0" xfId="10" applyNumberFormat="1" applyFont="1" applyFill="1" applyBorder="1" applyAlignment="1"/>
    <xf numFmtId="3" fontId="17" fillId="0" borderId="0" xfId="10" applyNumberFormat="1" applyFont="1" applyFill="1" applyBorder="1" applyAlignment="1"/>
    <xf numFmtId="3" fontId="17" fillId="0" borderId="0" xfId="9" applyNumberFormat="1" applyFont="1" applyBorder="1" applyAlignment="1"/>
    <xf numFmtId="164" fontId="17" fillId="0" borderId="0" xfId="10" applyNumberFormat="1" applyFont="1" applyBorder="1" applyAlignment="1"/>
    <xf numFmtId="3" fontId="16" fillId="0" borderId="11" xfId="9" applyNumberFormat="1" applyFont="1" applyFill="1" applyBorder="1" applyAlignment="1">
      <alignment horizontal="right"/>
    </xf>
    <xf numFmtId="3" fontId="16" fillId="0" borderId="12" xfId="9" applyNumberFormat="1" applyFont="1" applyFill="1" applyBorder="1" applyAlignment="1">
      <alignment horizontal="right"/>
    </xf>
    <xf numFmtId="164" fontId="16" fillId="0" borderId="12" xfId="10" applyNumberFormat="1" applyFont="1" applyFill="1" applyBorder="1" applyAlignment="1"/>
    <xf numFmtId="3" fontId="16" fillId="0" borderId="12" xfId="9" applyNumberFormat="1" applyFont="1" applyBorder="1" applyAlignment="1"/>
    <xf numFmtId="171" fontId="16" fillId="0" borderId="12" xfId="9" applyNumberFormat="1" applyFont="1" applyFill="1" applyBorder="1" applyAlignment="1"/>
    <xf numFmtId="170" fontId="16" fillId="0" borderId="13" xfId="9" applyNumberFormat="1" applyFont="1" applyFill="1" applyBorder="1" applyAlignment="1"/>
    <xf numFmtId="165" fontId="17" fillId="15" borderId="0" xfId="9" applyNumberFormat="1" applyFont="1" applyFill="1" applyBorder="1" applyAlignment="1"/>
    <xf numFmtId="3" fontId="17" fillId="19" borderId="0" xfId="9" applyNumberFormat="1" applyFont="1" applyFill="1" applyBorder="1" applyAlignment="1"/>
    <xf numFmtId="165" fontId="17" fillId="19" borderId="0" xfId="9" applyNumberFormat="1" applyFont="1" applyFill="1" applyBorder="1" applyAlignment="1"/>
    <xf numFmtId="165" fontId="17" fillId="12" borderId="0" xfId="9" applyNumberFormat="1" applyFont="1" applyFill="1" applyBorder="1" applyAlignment="1"/>
    <xf numFmtId="165" fontId="17" fillId="17" borderId="0" xfId="9" applyNumberFormat="1" applyFont="1" applyFill="1" applyBorder="1" applyAlignment="1"/>
    <xf numFmtId="3" fontId="16" fillId="0" borderId="12" xfId="9" applyNumberFormat="1" applyFont="1" applyBorder="1" applyAlignment="1">
      <alignment horizontal="right"/>
    </xf>
    <xf numFmtId="170" fontId="17" fillId="12" borderId="10" xfId="9" applyNumberFormat="1" applyFont="1" applyFill="1" applyBorder="1" applyAlignment="1"/>
    <xf numFmtId="10" fontId="0" fillId="0" borderId="0" xfId="0" applyNumberFormat="1"/>
    <xf numFmtId="3" fontId="17" fillId="20" borderId="0" xfId="9" applyNumberFormat="1" applyFont="1" applyFill="1" applyBorder="1" applyAlignment="1"/>
    <xf numFmtId="0" fontId="17" fillId="0" borderId="0" xfId="10" applyNumberFormat="1" applyFont="1" applyBorder="1" applyAlignment="1"/>
    <xf numFmtId="172" fontId="17" fillId="0" borderId="0" xfId="9" applyNumberFormat="1" applyFont="1" applyFill="1" applyBorder="1" applyAlignment="1"/>
    <xf numFmtId="164" fontId="17" fillId="16" borderId="0" xfId="0" applyNumberFormat="1" applyFont="1" applyFill="1"/>
    <xf numFmtId="171" fontId="0" fillId="0" borderId="0" xfId="0" applyNumberFormat="1"/>
    <xf numFmtId="170" fontId="0" fillId="0" borderId="10" xfId="0" applyNumberFormat="1" applyBorder="1"/>
    <xf numFmtId="0" fontId="17" fillId="0" borderId="14" xfId="0" applyFont="1" applyBorder="1"/>
    <xf numFmtId="164" fontId="17" fillId="12" borderId="0" xfId="0" applyNumberFormat="1" applyFont="1" applyFill="1"/>
    <xf numFmtId="164" fontId="17" fillId="0" borderId="0" xfId="0" applyNumberFormat="1" applyFont="1"/>
    <xf numFmtId="0" fontId="0" fillId="0" borderId="14" xfId="0" applyBorder="1"/>
    <xf numFmtId="0" fontId="0" fillId="0" borderId="15" xfId="0" applyBorder="1"/>
    <xf numFmtId="3" fontId="17" fillId="0" borderId="16" xfId="9" applyNumberFormat="1" applyFont="1" applyFill="1" applyBorder="1" applyAlignment="1"/>
    <xf numFmtId="3" fontId="17" fillId="12" borderId="16" xfId="9" applyNumberFormat="1" applyFont="1" applyFill="1" applyBorder="1" applyAlignment="1"/>
    <xf numFmtId="164" fontId="17" fillId="12" borderId="16" xfId="0" applyNumberFormat="1" applyFont="1" applyFill="1" applyBorder="1"/>
    <xf numFmtId="171" fontId="0" fillId="0" borderId="16" xfId="0" applyNumberFormat="1" applyBorder="1"/>
    <xf numFmtId="170" fontId="0" fillId="0" borderId="17" xfId="0" applyNumberFormat="1" applyBorder="1"/>
    <xf numFmtId="3" fontId="0" fillId="0" borderId="0" xfId="9" applyNumberFormat="1" applyFont="1" applyFill="1" applyBorder="1" applyAlignment="1"/>
    <xf numFmtId="0" fontId="0" fillId="0" borderId="0" xfId="9" applyNumberFormat="1" applyFont="1" applyFill="1" applyBorder="1" applyAlignment="1"/>
    <xf numFmtId="164" fontId="0" fillId="0" borderId="0" xfId="10" applyNumberFormat="1" applyFont="1" applyFill="1" applyBorder="1" applyAlignment="1"/>
    <xf numFmtId="170" fontId="0" fillId="0" borderId="0" xfId="0" applyNumberFormat="1"/>
    <xf numFmtId="0" fontId="17" fillId="0" borderId="0" xfId="9" applyNumberFormat="1" applyFont="1" applyBorder="1" applyAlignment="1"/>
    <xf numFmtId="0" fontId="0" fillId="0" borderId="6" xfId="0" applyBorder="1" applyAlignment="1">
      <alignment horizontal="right"/>
    </xf>
    <xf numFmtId="0" fontId="17" fillId="21" borderId="18" xfId="9" applyNumberFormat="1" applyFont="1" applyFill="1" applyBorder="1" applyAlignment="1">
      <alignment horizontal="right"/>
    </xf>
    <xf numFmtId="0" fontId="0" fillId="0" borderId="7" xfId="9" applyNumberFormat="1" applyFont="1" applyBorder="1" applyAlignment="1">
      <alignment horizontal="right"/>
    </xf>
    <xf numFmtId="0" fontId="0" fillId="0" borderId="7" xfId="9" applyNumberFormat="1" applyFont="1" applyFill="1" applyBorder="1" applyAlignment="1">
      <alignment horizontal="right"/>
    </xf>
    <xf numFmtId="0" fontId="0" fillId="0" borderId="8" xfId="9" applyNumberFormat="1" applyFont="1" applyFill="1" applyBorder="1" applyAlignment="1">
      <alignment horizontal="right"/>
    </xf>
    <xf numFmtId="0" fontId="0" fillId="0" borderId="19" xfId="0" applyBorder="1" applyAlignment="1">
      <alignment horizontal="right"/>
    </xf>
    <xf numFmtId="0" fontId="17" fillId="21" borderId="15" xfId="9" applyNumberFormat="1" applyFont="1" applyFill="1" applyBorder="1" applyAlignment="1">
      <alignment horizontal="right"/>
    </xf>
    <xf numFmtId="0" fontId="17" fillId="0" borderId="16" xfId="9" applyNumberFormat="1" applyFont="1" applyBorder="1" applyAlignment="1">
      <alignment horizontal="right"/>
    </xf>
    <xf numFmtId="0" fontId="17" fillId="0" borderId="17" xfId="9" applyNumberFormat="1" applyFont="1" applyBorder="1" applyAlignment="1">
      <alignment horizontal="right"/>
    </xf>
    <xf numFmtId="0" fontId="0" fillId="0" borderId="9" xfId="0" applyBorder="1" applyAlignment="1">
      <alignment horizontal="right"/>
    </xf>
    <xf numFmtId="3" fontId="0" fillId="0" borderId="14" xfId="0" applyNumberFormat="1" applyBorder="1"/>
    <xf numFmtId="0" fontId="0" fillId="0" borderId="10" xfId="0" applyBorder="1"/>
    <xf numFmtId="3" fontId="0" fillId="0" borderId="15" xfId="0" applyNumberFormat="1" applyBorder="1"/>
    <xf numFmtId="0" fontId="0" fillId="0" borderId="16" xfId="0" applyBorder="1"/>
    <xf numFmtId="0" fontId="0" fillId="0" borderId="17" xfId="0" applyBorder="1"/>
    <xf numFmtId="0" fontId="0" fillId="0" borderId="6" xfId="0" applyBorder="1" applyAlignment="1">
      <alignment horizontal="left"/>
    </xf>
    <xf numFmtId="3" fontId="0" fillId="21" borderId="18" xfId="0" applyNumberFormat="1" applyFill="1" applyBorder="1" applyAlignment="1">
      <alignment horizontal="right"/>
    </xf>
    <xf numFmtId="0" fontId="0" fillId="0" borderId="7" xfId="0" applyBorder="1" applyAlignment="1">
      <alignment horizontal="right"/>
    </xf>
    <xf numFmtId="0" fontId="0" fillId="0" borderId="8"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20" borderId="0" xfId="0" applyFill="1"/>
    <xf numFmtId="0" fontId="0" fillId="20" borderId="10" xfId="0" applyFill="1" applyBorder="1"/>
    <xf numFmtId="2" fontId="0" fillId="0" borderId="8" xfId="0" applyNumberFormat="1" applyBorder="1"/>
    <xf numFmtId="2" fontId="0" fillId="0" borderId="10" xfId="0" applyNumberFormat="1" applyBorder="1"/>
    <xf numFmtId="2" fontId="0" fillId="0" borderId="17" xfId="0" applyNumberFormat="1" applyBorder="1"/>
    <xf numFmtId="0" fontId="0" fillId="16" borderId="0" xfId="0" applyFill="1" applyAlignment="1">
      <alignment horizontal="center"/>
    </xf>
    <xf numFmtId="168" fontId="0" fillId="16" borderId="0" xfId="0" applyNumberFormat="1" applyFill="1" applyAlignment="1">
      <alignment horizontal="center"/>
    </xf>
    <xf numFmtId="165" fontId="0" fillId="16" borderId="0" xfId="0" applyNumberFormat="1" applyFill="1" applyAlignment="1">
      <alignment horizontal="center"/>
    </xf>
    <xf numFmtId="0" fontId="0" fillId="0" borderId="0" xfId="0" applyAlignment="1">
      <alignment horizontal="center"/>
    </xf>
    <xf numFmtId="168" fontId="0" fillId="0" borderId="0" xfId="0" applyNumberFormat="1" applyAlignment="1">
      <alignment horizontal="center"/>
    </xf>
    <xf numFmtId="165" fontId="0" fillId="0" borderId="0" xfId="0" applyNumberFormat="1" applyAlignment="1">
      <alignment horizontal="center"/>
    </xf>
    <xf numFmtId="0" fontId="16" fillId="0" borderId="11" xfId="0" applyFont="1" applyBorder="1" applyAlignment="1">
      <alignment horizontal="right" wrapText="1"/>
    </xf>
    <xf numFmtId="0" fontId="16" fillId="0" borderId="12" xfId="0" applyFont="1" applyBorder="1" applyAlignment="1">
      <alignment horizontal="center" wrapText="1"/>
    </xf>
    <xf numFmtId="0" fontId="16" fillId="0" borderId="13" xfId="0" applyFont="1" applyBorder="1" applyAlignment="1">
      <alignment horizontal="right" wrapText="1"/>
    </xf>
    <xf numFmtId="0" fontId="16" fillId="0" borderId="12" xfId="0" applyFont="1" applyBorder="1" applyAlignment="1">
      <alignment horizontal="right" wrapText="1"/>
    </xf>
    <xf numFmtId="0" fontId="0" fillId="0" borderId="6" xfId="0" applyBorder="1" applyAlignment="1">
      <alignment horizontal="center"/>
    </xf>
    <xf numFmtId="165" fontId="0" fillId="0" borderId="7" xfId="0" applyNumberFormat="1"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164" fontId="0" fillId="0" borderId="10" xfId="0" applyNumberFormat="1" applyBorder="1" applyAlignment="1">
      <alignment horizontal="center"/>
    </xf>
    <xf numFmtId="0" fontId="16" fillId="0" borderId="9" xfId="0" applyFont="1" applyBorder="1" applyAlignment="1">
      <alignment horizontal="center"/>
    </xf>
    <xf numFmtId="165" fontId="16" fillId="0" borderId="0" xfId="0" applyNumberFormat="1" applyFont="1" applyAlignment="1">
      <alignment horizontal="center"/>
    </xf>
    <xf numFmtId="164" fontId="16" fillId="0" borderId="10" xfId="0" applyNumberFormat="1" applyFont="1" applyBorder="1" applyAlignment="1">
      <alignment horizontal="center"/>
    </xf>
    <xf numFmtId="0" fontId="0" fillId="0" borderId="19" xfId="0" applyBorder="1" applyAlignment="1">
      <alignment horizontal="center"/>
    </xf>
    <xf numFmtId="165" fontId="0" fillId="0" borderId="16" xfId="0" applyNumberFormat="1" applyBorder="1" applyAlignment="1">
      <alignment horizontal="center"/>
    </xf>
    <xf numFmtId="164" fontId="0" fillId="0" borderId="17" xfId="0" applyNumberFormat="1" applyBorder="1" applyAlignment="1">
      <alignment horizontal="center"/>
    </xf>
    <xf numFmtId="0" fontId="16" fillId="0" borderId="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3" fontId="0" fillId="0" borderId="10" xfId="0" applyNumberFormat="1" applyBorder="1" applyAlignment="1">
      <alignment horizontal="center"/>
    </xf>
    <xf numFmtId="171" fontId="0" fillId="0" borderId="0" xfId="0" applyNumberFormat="1" applyAlignment="1">
      <alignment horizontal="center"/>
    </xf>
    <xf numFmtId="169" fontId="0" fillId="0" borderId="10" xfId="0" applyNumberFormat="1" applyBorder="1" applyAlignment="1">
      <alignment horizontal="center"/>
    </xf>
    <xf numFmtId="0" fontId="0" fillId="0" borderId="15" xfId="0" applyBorder="1" applyAlignment="1">
      <alignment horizontal="center"/>
    </xf>
    <xf numFmtId="171" fontId="0" fillId="0" borderId="16" xfId="0" applyNumberFormat="1" applyBorder="1" applyAlignment="1">
      <alignment horizontal="center"/>
    </xf>
    <xf numFmtId="169" fontId="0" fillId="0" borderId="16" xfId="0" applyNumberFormat="1" applyBorder="1" applyAlignment="1">
      <alignment horizontal="center"/>
    </xf>
    <xf numFmtId="3" fontId="0" fillId="0" borderId="17" xfId="0" applyNumberFormat="1" applyBorder="1" applyAlignment="1">
      <alignment horizontal="center"/>
    </xf>
    <xf numFmtId="172" fontId="0" fillId="0" borderId="0" xfId="0" applyNumberFormat="1" applyAlignment="1">
      <alignment horizontal="center"/>
    </xf>
    <xf numFmtId="170" fontId="0" fillId="0" borderId="0" xfId="0" applyNumberFormat="1" applyAlignment="1">
      <alignment horizontal="center"/>
    </xf>
    <xf numFmtId="167" fontId="0" fillId="0" borderId="0" xfId="0" applyNumberFormat="1" applyAlignment="1">
      <alignment horizontal="center"/>
    </xf>
    <xf numFmtId="167" fontId="0" fillId="0" borderId="10" xfId="0" applyNumberFormat="1" applyBorder="1" applyAlignment="1">
      <alignment horizontal="center"/>
    </xf>
    <xf numFmtId="166" fontId="0" fillId="0" borderId="0" xfId="0" applyNumberFormat="1" applyAlignment="1">
      <alignment horizontal="center"/>
    </xf>
    <xf numFmtId="173"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0" fontId="1" fillId="12" borderId="0" xfId="0" applyFont="1" applyFill="1"/>
    <xf numFmtId="0" fontId="0" fillId="12" borderId="0" xfId="0" applyFill="1" applyAlignment="1">
      <alignment horizontal="right"/>
    </xf>
    <xf numFmtId="0" fontId="0" fillId="12" borderId="0" xfId="0" applyFill="1" applyAlignment="1">
      <alignment horizontal="left"/>
    </xf>
    <xf numFmtId="176" fontId="0" fillId="0" borderId="0" xfId="0" applyNumberFormat="1" applyAlignment="1">
      <alignment horizontal="right"/>
    </xf>
    <xf numFmtId="176" fontId="0" fillId="2" borderId="0" xfId="0" applyNumberFormat="1" applyFill="1" applyAlignment="1">
      <alignment horizontal="right"/>
    </xf>
    <xf numFmtId="0" fontId="25" fillId="0" borderId="0" xfId="1" applyFont="1" applyAlignment="1" applyProtection="1"/>
    <xf numFmtId="11" fontId="0" fillId="0" borderId="0" xfId="0" applyNumberFormat="1"/>
    <xf numFmtId="0" fontId="1" fillId="4" borderId="0" xfId="0" applyFont="1" applyFill="1"/>
    <xf numFmtId="0" fontId="1" fillId="22" borderId="0" xfId="0" applyFont="1" applyFill="1"/>
    <xf numFmtId="0" fontId="0" fillId="22" borderId="0" xfId="0" applyFill="1"/>
    <xf numFmtId="0" fontId="26" fillId="0" borderId="0" xfId="1" applyFont="1"/>
    <xf numFmtId="0" fontId="9" fillId="0" borderId="0" xfId="0" applyFont="1"/>
    <xf numFmtId="0" fontId="6" fillId="0" borderId="0" xfId="2"/>
    <xf numFmtId="0" fontId="11" fillId="0" borderId="0" xfId="2" applyFont="1"/>
    <xf numFmtId="0" fontId="9" fillId="0" borderId="0" xfId="2" applyFont="1"/>
    <xf numFmtId="0" fontId="28" fillId="0" borderId="0" xfId="2" applyFont="1" applyAlignment="1">
      <alignment horizontal="right"/>
    </xf>
    <xf numFmtId="0" fontId="8" fillId="0" borderId="0" xfId="2" applyFont="1"/>
    <xf numFmtId="0" fontId="0" fillId="12" borderId="1" xfId="0" applyFill="1" applyBorder="1"/>
    <xf numFmtId="176" fontId="0" fillId="12" borderId="0" xfId="0" applyNumberFormat="1" applyFill="1" applyAlignment="1">
      <alignment horizontal="right"/>
    </xf>
    <xf numFmtId="0" fontId="5" fillId="12" borderId="1" xfId="0" applyFont="1" applyFill="1" applyBorder="1" applyAlignment="1">
      <alignment horizontal="right" vertical="center" wrapText="1"/>
    </xf>
    <xf numFmtId="0" fontId="27" fillId="0" borderId="0" xfId="2" applyFont="1"/>
    <xf numFmtId="9" fontId="0" fillId="0" borderId="0" xfId="10" applyFont="1"/>
    <xf numFmtId="0" fontId="11" fillId="0" borderId="0" xfId="2" applyFont="1" applyAlignment="1">
      <alignment horizontal="left"/>
    </xf>
    <xf numFmtId="0" fontId="6" fillId="0" borderId="0" xfId="32"/>
    <xf numFmtId="0" fontId="7" fillId="0" borderId="2" xfId="34" applyAlignment="1"/>
    <xf numFmtId="0" fontId="29" fillId="0" borderId="0" xfId="36" applyFont="1">
      <alignment horizontal="left"/>
    </xf>
    <xf numFmtId="0" fontId="11" fillId="0" borderId="0" xfId="32" applyFont="1"/>
    <xf numFmtId="0" fontId="28" fillId="0" borderId="2" xfId="34" applyFont="1" applyAlignment="1"/>
    <xf numFmtId="0" fontId="28" fillId="0" borderId="2" xfId="34" applyFont="1" applyAlignment="1">
      <alignment horizontal="right"/>
    </xf>
    <xf numFmtId="0" fontId="28" fillId="0" borderId="3" xfId="35" applyFont="1" applyAlignment="1"/>
    <xf numFmtId="0" fontId="11" fillId="0" borderId="4" xfId="31" applyFont="1" applyAlignment="1"/>
    <xf numFmtId="4" fontId="11" fillId="0" borderId="4" xfId="31" applyNumberFormat="1" applyFont="1" applyAlignment="1">
      <alignment horizontal="right"/>
    </xf>
    <xf numFmtId="164" fontId="11" fillId="0" borderId="4" xfId="31" applyNumberFormat="1" applyFont="1" applyAlignment="1">
      <alignment horizontal="right"/>
    </xf>
    <xf numFmtId="0" fontId="11" fillId="0" borderId="5" xfId="2" applyFont="1" applyBorder="1"/>
    <xf numFmtId="3" fontId="11" fillId="0" borderId="4" xfId="31" applyNumberFormat="1" applyFont="1" applyAlignment="1">
      <alignment horizontal="right"/>
    </xf>
    <xf numFmtId="169" fontId="11" fillId="0" borderId="4" xfId="31" applyNumberFormat="1" applyFont="1" applyAlignment="1">
      <alignment horizontal="right"/>
    </xf>
    <xf numFmtId="9" fontId="0" fillId="23" borderId="0" xfId="10" applyFont="1" applyFill="1"/>
    <xf numFmtId="0" fontId="0" fillId="24" borderId="0" xfId="0" applyFill="1"/>
    <xf numFmtId="9" fontId="0" fillId="2" borderId="0" xfId="10" applyFont="1" applyFill="1"/>
    <xf numFmtId="9" fontId="0" fillId="24" borderId="0" xfId="10" applyFont="1" applyFill="1"/>
    <xf numFmtId="0" fontId="31" fillId="0" borderId="23" xfId="0" applyFont="1" applyBorder="1" applyAlignment="1">
      <alignment horizontal="left" vertical="center" wrapText="1"/>
    </xf>
    <xf numFmtId="3" fontId="2" fillId="7" borderId="23" xfId="1" applyNumberFormat="1" applyFill="1" applyBorder="1" applyAlignment="1">
      <alignment horizontal="right" vertical="center" wrapText="1"/>
    </xf>
    <xf numFmtId="0" fontId="2" fillId="7" borderId="23" xfId="1" applyFill="1" applyBorder="1" applyAlignment="1">
      <alignment horizontal="right" vertical="center" wrapText="1"/>
    </xf>
    <xf numFmtId="0" fontId="5" fillId="7" borderId="23" xfId="0" applyFont="1" applyFill="1" applyBorder="1" applyAlignment="1">
      <alignment horizontal="right" vertical="center" wrapText="1"/>
    </xf>
    <xf numFmtId="3" fontId="2" fillId="25" borderId="23" xfId="1" applyNumberFormat="1" applyFill="1" applyBorder="1" applyAlignment="1">
      <alignment horizontal="right" vertical="center" wrapText="1"/>
    </xf>
    <xf numFmtId="0" fontId="32" fillId="0" borderId="0" xfId="0" applyFont="1" applyAlignment="1">
      <alignment horizontal="left" vertical="center" wrapText="1"/>
    </xf>
    <xf numFmtId="0" fontId="32" fillId="0" borderId="23" xfId="0" applyFont="1" applyBorder="1" applyAlignment="1">
      <alignment horizontal="left" vertical="center" wrapText="1"/>
    </xf>
    <xf numFmtId="0" fontId="2" fillId="25" borderId="23" xfId="1" applyFill="1" applyBorder="1" applyAlignment="1">
      <alignment horizontal="right" vertical="center" wrapText="1"/>
    </xf>
    <xf numFmtId="0" fontId="30" fillId="0" borderId="23" xfId="0" applyFont="1" applyBorder="1" applyAlignment="1">
      <alignment horizontal="left" vertical="center" wrapText="1"/>
    </xf>
    <xf numFmtId="0" fontId="5" fillId="25" borderId="23" xfId="0" applyFont="1" applyFill="1" applyBorder="1" applyAlignment="1">
      <alignment horizontal="right" vertical="center" wrapText="1"/>
    </xf>
    <xf numFmtId="0" fontId="32" fillId="0" borderId="24" xfId="0" applyFont="1" applyBorder="1" applyAlignment="1">
      <alignment horizontal="left" vertical="center" wrapText="1"/>
    </xf>
    <xf numFmtId="0" fontId="30" fillId="0" borderId="24" xfId="0" applyFont="1" applyBorder="1" applyAlignment="1">
      <alignment horizontal="left" vertical="center" wrapText="1"/>
    </xf>
    <xf numFmtId="0" fontId="5" fillId="7" borderId="24" xfId="0" applyFont="1" applyFill="1" applyBorder="1" applyAlignment="1">
      <alignment horizontal="right" vertical="center" wrapText="1"/>
    </xf>
    <xf numFmtId="3" fontId="2" fillId="7" borderId="24" xfId="1" applyNumberFormat="1" applyFill="1" applyBorder="1" applyAlignment="1">
      <alignment horizontal="right" vertical="center" wrapText="1"/>
    </xf>
    <xf numFmtId="0" fontId="2" fillId="7" borderId="24" xfId="1" applyFill="1" applyBorder="1" applyAlignment="1">
      <alignment horizontal="right" vertical="center" wrapText="1"/>
    </xf>
    <xf numFmtId="0" fontId="2" fillId="25" borderId="24" xfId="1" applyFill="1" applyBorder="1" applyAlignment="1">
      <alignment horizontal="right" vertical="center" wrapText="1"/>
    </xf>
    <xf numFmtId="0" fontId="5" fillId="25" borderId="24" xfId="0" applyFont="1" applyFill="1" applyBorder="1" applyAlignment="1">
      <alignment horizontal="right" vertical="center" wrapText="1"/>
    </xf>
    <xf numFmtId="3" fontId="2" fillId="25" borderId="24" xfId="1" applyNumberFormat="1" applyFill="1" applyBorder="1" applyAlignment="1">
      <alignment horizontal="right" vertical="center" wrapText="1"/>
    </xf>
    <xf numFmtId="0" fontId="33" fillId="0" borderId="0" xfId="0" applyFont="1" applyAlignment="1">
      <alignment horizontal="left" vertical="center" wrapText="1"/>
    </xf>
    <xf numFmtId="0" fontId="34" fillId="0" borderId="2" xfId="0" applyFont="1" applyBorder="1" applyAlignment="1">
      <alignment horizontal="right" wrapText="1"/>
    </xf>
    <xf numFmtId="0" fontId="34" fillId="25" borderId="2" xfId="0" applyFont="1" applyFill="1" applyBorder="1" applyAlignment="1">
      <alignment horizontal="right" wrapText="1"/>
    </xf>
    <xf numFmtId="3" fontId="0" fillId="26" borderId="0" xfId="0" applyNumberFormat="1" applyFill="1" applyAlignment="1">
      <alignment horizontal="right"/>
    </xf>
    <xf numFmtId="0" fontId="0" fillId="26" borderId="0" xfId="0" applyFill="1" applyAlignment="1">
      <alignment horizontal="right"/>
    </xf>
    <xf numFmtId="3" fontId="0" fillId="12" borderId="0" xfId="0" applyNumberFormat="1" applyFill="1" applyAlignment="1">
      <alignment horizontal="right"/>
    </xf>
    <xf numFmtId="3" fontId="2" fillId="0" borderId="23" xfId="1" applyNumberFormat="1" applyFill="1" applyBorder="1" applyAlignment="1">
      <alignment horizontal="right" vertical="center" wrapText="1"/>
    </xf>
    <xf numFmtId="0" fontId="5" fillId="0" borderId="23" xfId="0" applyFont="1" applyBorder="1" applyAlignment="1">
      <alignment horizontal="right" vertical="center" wrapText="1"/>
    </xf>
    <xf numFmtId="0" fontId="2" fillId="0" borderId="23" xfId="1" applyFill="1" applyBorder="1" applyAlignment="1">
      <alignment horizontal="right" vertical="center" wrapText="1"/>
    </xf>
    <xf numFmtId="0" fontId="5" fillId="0" borderId="24" xfId="0" applyFont="1" applyBorder="1" applyAlignment="1">
      <alignment horizontal="right" vertical="center" wrapText="1"/>
    </xf>
    <xf numFmtId="3" fontId="2" fillId="0" borderId="24" xfId="1" applyNumberFormat="1" applyFill="1" applyBorder="1" applyAlignment="1">
      <alignment horizontal="right" vertical="center" wrapText="1"/>
    </xf>
    <xf numFmtId="0" fontId="35" fillId="0" borderId="0" xfId="0" applyFont="1" applyAlignment="1">
      <alignment horizontal="left" vertical="top" wrapText="1"/>
    </xf>
    <xf numFmtId="3" fontId="35" fillId="0" borderId="0" xfId="0" applyNumberFormat="1" applyFont="1" applyAlignment="1">
      <alignment horizontal="right" vertical="top" wrapText="1"/>
    </xf>
    <xf numFmtId="8" fontId="35" fillId="0" borderId="0" xfId="0" applyNumberFormat="1" applyFont="1" applyAlignment="1">
      <alignment horizontal="right" vertical="top" wrapText="1"/>
    </xf>
    <xf numFmtId="0" fontId="0" fillId="12" borderId="0" xfId="0" applyFill="1"/>
    <xf numFmtId="10" fontId="0" fillId="12" borderId="0" xfId="0" applyNumberFormat="1" applyFill="1"/>
    <xf numFmtId="177" fontId="0" fillId="0" borderId="0" xfId="9" applyNumberFormat="1" applyFont="1" applyFill="1"/>
    <xf numFmtId="177" fontId="0" fillId="0" borderId="0" xfId="0" applyNumberFormat="1"/>
    <xf numFmtId="10" fontId="1" fillId="0" borderId="0" xfId="0" applyNumberFormat="1" applyFont="1"/>
    <xf numFmtId="0" fontId="0" fillId="27" borderId="0" xfId="0" applyFill="1"/>
    <xf numFmtId="10" fontId="0" fillId="27" borderId="0" xfId="0" applyNumberFormat="1" applyFill="1"/>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4" fillId="7" borderId="1" xfId="0" applyFont="1" applyFill="1" applyBorder="1" applyAlignment="1">
      <alignment horizontal="center" wrapText="1"/>
    </xf>
    <xf numFmtId="0" fontId="34" fillId="0" borderId="0" xfId="0" applyFont="1" applyAlignment="1">
      <alignment horizontal="right" wrapText="1"/>
    </xf>
    <xf numFmtId="0" fontId="34" fillId="0" borderId="2" xfId="0" applyFont="1" applyBorder="1" applyAlignment="1">
      <alignment horizontal="right" wrapText="1"/>
    </xf>
    <xf numFmtId="0" fontId="32" fillId="0" borderId="0" xfId="0" applyFont="1" applyAlignment="1">
      <alignment horizontal="left" vertical="center" wrapText="1"/>
    </xf>
    <xf numFmtId="0" fontId="32" fillId="0" borderId="2" xfId="0" applyFont="1" applyBorder="1" applyAlignment="1">
      <alignment horizontal="right" wrapText="1"/>
    </xf>
    <xf numFmtId="0" fontId="4" fillId="0" borderId="0" xfId="0" applyFont="1" applyAlignment="1">
      <alignment horizontal="left" wrapText="1"/>
    </xf>
    <xf numFmtId="0" fontId="4" fillId="0" borderId="26" xfId="0" applyFont="1" applyBorder="1" applyAlignment="1">
      <alignment horizontal="left" wrapText="1"/>
    </xf>
    <xf numFmtId="0" fontId="4" fillId="0" borderId="27" xfId="0" applyFont="1" applyBorder="1" applyAlignment="1">
      <alignment horizontal="left" wrapText="1"/>
    </xf>
    <xf numFmtId="0" fontId="4" fillId="0" borderId="25" xfId="0" applyFont="1" applyBorder="1" applyAlignment="1">
      <alignment horizontal="left" wrapText="1"/>
    </xf>
    <xf numFmtId="0" fontId="4" fillId="0" borderId="28" xfId="0" applyFont="1" applyBorder="1" applyAlignment="1">
      <alignment horizontal="left" wrapText="1"/>
    </xf>
    <xf numFmtId="0" fontId="4" fillId="0" borderId="29" xfId="0" applyFont="1" applyBorder="1" applyAlignment="1">
      <alignment horizontal="left" wrapText="1"/>
    </xf>
    <xf numFmtId="0" fontId="0" fillId="0" borderId="0" xfId="0"/>
    <xf numFmtId="0" fontId="6" fillId="0" borderId="0" xfId="2"/>
    <xf numFmtId="0" fontId="11" fillId="0" borderId="5" xfId="33" applyFont="1" applyAlignment="1"/>
    <xf numFmtId="0" fontId="6" fillId="0" borderId="5" xfId="2" applyBorder="1"/>
    <xf numFmtId="0" fontId="11" fillId="0" borderId="0" xfId="2" applyFont="1"/>
    <xf numFmtId="0" fontId="0" fillId="0" borderId="0" xfId="0" applyAlignment="1">
      <alignment wrapText="1"/>
    </xf>
  </cellXfs>
  <cellStyles count="37">
    <cellStyle name="Body: normal cell" xfId="7" xr:uid="{00000000-0005-0000-0000-000000000000}"/>
    <cellStyle name="Body: normal cell 2" xfId="15" xr:uid="{00000000-0005-0000-0000-000001000000}"/>
    <cellStyle name="Body: normal cell 2 2" xfId="31" xr:uid="{D1FE2E30-B1FC-481B-BE3D-09B590B78790}"/>
    <cellStyle name="Body: normal cell 3" xfId="22" xr:uid="{B1293A1F-F4C6-4A3E-BD91-9A34733FCCAD}"/>
    <cellStyle name="Comma" xfId="9" builtinId="3"/>
    <cellStyle name="Font: Calibri, 9pt regular" xfId="3" xr:uid="{00000000-0005-0000-0000-000003000000}"/>
    <cellStyle name="Font: Calibri, 9pt regular 2" xfId="11" xr:uid="{00000000-0005-0000-0000-000004000000}"/>
    <cellStyle name="Font: Calibri, 9pt regular 2 2" xfId="32" xr:uid="{273FFB9A-635C-481F-B917-E0F5D2D4C1A0}"/>
    <cellStyle name="Font: Calibri, 9pt regular 3" xfId="25" xr:uid="{8475CEE1-2C32-49A6-8FA4-42C33F4120AF}"/>
    <cellStyle name="Footnotes: all except top row" xfId="17" xr:uid="{00000000-0005-0000-0000-000005000000}"/>
    <cellStyle name="Footnotes: top row" xfId="8" xr:uid="{00000000-0005-0000-0000-000006000000}"/>
    <cellStyle name="Footnotes: top row 2" xfId="16" xr:uid="{00000000-0005-0000-0000-000007000000}"/>
    <cellStyle name="Footnotes: top row 2 2" xfId="33" xr:uid="{C078E2A6-F48A-4B2F-98AB-C95F058ED1A5}"/>
    <cellStyle name="Footnotes: top row 3" xfId="21" xr:uid="{8A775C82-5C61-4D7B-A6D8-70CEAAAC375B}"/>
    <cellStyle name="Header: bottom row" xfId="4" xr:uid="{00000000-0005-0000-0000-000008000000}"/>
    <cellStyle name="Header: bottom row 2" xfId="12" xr:uid="{00000000-0005-0000-0000-000009000000}"/>
    <cellStyle name="Header: bottom row 2 2" xfId="34" xr:uid="{DA5B4D03-0D24-46E5-AD61-7A4EA198A6CA}"/>
    <cellStyle name="Header: bottom row 3" xfId="24" xr:uid="{AE126B05-B4CF-4974-9AFE-DDCD45802937}"/>
    <cellStyle name="Header: top rows" xfId="18" xr:uid="{00000000-0005-0000-0000-00000A000000}"/>
    <cellStyle name="Hyperlink" xfId="1" builtinId="8"/>
    <cellStyle name="Normal" xfId="0" builtinId="0"/>
    <cellStyle name="Normal 2" xfId="2" xr:uid="{00000000-0005-0000-0000-00000D000000}"/>
    <cellStyle name="Normal 3" xfId="30" xr:uid="{AC580BE3-4547-48E9-99FD-938AB06B9F6E}"/>
    <cellStyle name="Normal 4" xfId="29" xr:uid="{DEF297B8-1C43-46DE-9267-A0FE6F009557}"/>
    <cellStyle name="Normal 5" xfId="28" xr:uid="{745BDA17-13E3-4571-908A-E0B9276F5358}"/>
    <cellStyle name="Parent row" xfId="6" xr:uid="{00000000-0005-0000-0000-00000E000000}"/>
    <cellStyle name="Parent row 2" xfId="14" xr:uid="{00000000-0005-0000-0000-00000F000000}"/>
    <cellStyle name="Parent row 2 2" xfId="35" xr:uid="{FB6159C2-3816-462C-9C7E-597FA8726819}"/>
    <cellStyle name="Parent row 3" xfId="23" xr:uid="{331FC99C-93DD-42D6-8CB1-F9333C05A143}"/>
    <cellStyle name="Percent" xfId="10" builtinId="5"/>
    <cellStyle name="Percent 2" xfId="27" xr:uid="{9E1DDFDA-DFF4-4D40-BF83-8294F9197DDF}"/>
    <cellStyle name="Section Break" xfId="19" xr:uid="{00000000-0005-0000-0000-000011000000}"/>
    <cellStyle name="Section Break: parent row" xfId="20" xr:uid="{00000000-0005-0000-0000-000012000000}"/>
    <cellStyle name="Table title" xfId="5" xr:uid="{00000000-0005-0000-0000-000013000000}"/>
    <cellStyle name="Table title 2" xfId="13" xr:uid="{00000000-0005-0000-0000-000014000000}"/>
    <cellStyle name="Table title 2 2" xfId="36" xr:uid="{4DA32883-3F28-49DD-A335-06D63994080A}"/>
    <cellStyle name="Table title 3" xfId="26" xr:uid="{CE97C44B-4CC0-45E6-AB97-7B8144BE6342}"/>
  </cellStyles>
  <dxfs count="0"/>
  <tableStyles count="0" defaultTableStyle="TableStyleMedium2" defaultPivotStyle="PivotStyleLight16"/>
  <colors>
    <mruColors>
      <color rgb="FFFF66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reet.es.anl.gov/" TargetMode="External"/><Relationship Id="rId2" Type="http://schemas.openxmlformats.org/officeDocument/2006/relationships/hyperlink" Target="https://www.uranium.info/unit_conversion_table.php" TargetMode="External"/><Relationship Id="rId1" Type="http://schemas.openxmlformats.org/officeDocument/2006/relationships/hyperlink" Target="https://www.eia.gov/outlooks/aeo/tables_ref.php"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eia.gov/dnav/pet/hist/LeafHandler.ashx?n=PET&amp;s=MOLIMUS1&amp;f=A" TargetMode="External"/><Relationship Id="rId299" Type="http://schemas.openxmlformats.org/officeDocument/2006/relationships/hyperlink" Target="https://www.eia.gov/dnav/pet/hist/LeafHandler.ashx?n=PET&amp;s=MD0UP_NUS_1&amp;f=A" TargetMode="External"/><Relationship Id="rId21" Type="http://schemas.openxmlformats.org/officeDocument/2006/relationships/hyperlink" Target="https://www.eia.gov/dnav/pet/hist/LeafHandler.ashx?n=PET&amp;s=MNGFPUS1&amp;f=A" TargetMode="External"/><Relationship Id="rId63" Type="http://schemas.openxmlformats.org/officeDocument/2006/relationships/hyperlink" Target="https://www.eia.gov/dnav/pet/hist/LeafHandler.ashx?n=PET&amp;s=MBUEX_NUS-Z00_1&amp;f=A" TargetMode="External"/><Relationship Id="rId159" Type="http://schemas.openxmlformats.org/officeDocument/2006/relationships/hyperlink" Target="https://www.eia.gov/dnav/pet/hist/LeafHandler.ashx?n=PET&amp;s=M_EPOORXFE_YNP_NUS_MBBL&amp;f=A" TargetMode="External"/><Relationship Id="rId324" Type="http://schemas.openxmlformats.org/officeDocument/2006/relationships/hyperlink" Target="https://www.eia.gov/dnav/pet/hist/LeafHandler.ashx?n=PET&amp;s=MRXSC_NUS_1&amp;f=A" TargetMode="External"/><Relationship Id="rId366" Type="http://schemas.openxmlformats.org/officeDocument/2006/relationships/hyperlink" Target="https://www.eia.gov/dnav/pet/hist/LeafHandler.ashx?n=PET&amp;s=MWXSCUS1&amp;f=A" TargetMode="External"/><Relationship Id="rId170" Type="http://schemas.openxmlformats.org/officeDocument/2006/relationships/hyperlink" Target="https://www.eia.gov/dnav/pet/hist/LeafHandler.ashx?n=PET&amp;s=M_EPOORDB_SCG_NUS_MBBL&amp;f=A" TargetMode="External"/><Relationship Id="rId226" Type="http://schemas.openxmlformats.org/officeDocument/2006/relationships/hyperlink" Target="https://www.eia.gov/dnav/pet/hist/LeafHandler.ashx?n=PET&amp;s=MO5UP_NUS_1&amp;f=A" TargetMode="External"/><Relationship Id="rId268" Type="http://schemas.openxmlformats.org/officeDocument/2006/relationships/hyperlink" Target="https://www.eia.gov/dnav/pet/hist/LeafHandler.ashx?n=PET&amp;s=MGAEXUS1&amp;f=A" TargetMode="External"/><Relationship Id="rId32" Type="http://schemas.openxmlformats.org/officeDocument/2006/relationships/hyperlink" Target="https://www.eia.gov/dnav/pet/hist/LeafHandler.ashx?n=PET&amp;s=M_EPL2_TVP_NUS_MBBL&amp;f=A" TargetMode="External"/><Relationship Id="rId74" Type="http://schemas.openxmlformats.org/officeDocument/2006/relationships/hyperlink" Target="https://www.eia.gov/dnav/pet/hist/LeafHandler.ashx?n=PET&amp;s=M_EPLLBAI_VPP_NUS_MBBL&amp;f=A" TargetMode="External"/><Relationship Id="rId128" Type="http://schemas.openxmlformats.org/officeDocument/2006/relationships/hyperlink" Target="https://www.eia.gov/dnav/pet/hist/LeafHandler.ashx?n=PET&amp;s=MOHRIUS1&amp;f=A" TargetMode="External"/><Relationship Id="rId335" Type="http://schemas.openxmlformats.org/officeDocument/2006/relationships/hyperlink" Target="https://www.eia.gov/dnav/pet/hist/LeafHandler.ashx?n=PET&amp;s=MPFIM_NUS-Z00_1&amp;f=A" TargetMode="External"/><Relationship Id="rId377" Type="http://schemas.openxmlformats.org/officeDocument/2006/relationships/hyperlink" Target="https://www.eia.gov/dnav/pet/hist/LeafHandler.ashx?n=PET&amp;s=MCMIM_NUS-Z00_1&amp;f=A" TargetMode="External"/><Relationship Id="rId5" Type="http://schemas.openxmlformats.org/officeDocument/2006/relationships/hyperlink" Target="https://www.eia.gov/dnav/pet/hist/LeafHandler.ashx?n=PET&amp;s=MTTIMUS1&amp;f=A" TargetMode="External"/><Relationship Id="rId181" Type="http://schemas.openxmlformats.org/officeDocument/2006/relationships/hyperlink" Target="https://www.eia.gov/dnav/pet/hist/LeafHandler.ashx?n=PET&amp;s=M_EPOORDO_VPP_NUS_MBBL&amp;f=A" TargetMode="External"/><Relationship Id="rId237" Type="http://schemas.openxmlformats.org/officeDocument/2006/relationships/hyperlink" Target="https://www.eia.gov/dnav/pet/hist/LeafHandler.ashx?n=PET&amp;s=MTPUA_NUS_1&amp;f=A" TargetMode="External"/><Relationship Id="rId279" Type="http://schemas.openxmlformats.org/officeDocument/2006/relationships/hyperlink" Target="https://www.eia.gov/dnav/pet/hist/LeafHandler.ashx?n=PET&amp;s=MKERPUS1&amp;f=A" TargetMode="External"/><Relationship Id="rId43" Type="http://schemas.openxmlformats.org/officeDocument/2006/relationships/hyperlink" Target="https://www.eia.gov/dnav/pet/hist/LeafHandler.ashx?n=PET&amp;s=MENIMUS1&amp;f=A" TargetMode="External"/><Relationship Id="rId139" Type="http://schemas.openxmlformats.org/officeDocument/2006/relationships/hyperlink" Target="https://www.eia.gov/dnav/pet/hist/LeafHandler.ashx?n=PET&amp;s=M_EPOOXXFE_YIR_NUS_MBBL&amp;f=A" TargetMode="External"/><Relationship Id="rId290" Type="http://schemas.openxmlformats.org/officeDocument/2006/relationships/hyperlink" Target="https://www.eia.gov/dnav/pet/hist/LeafHandler.ashx?n=PET&amp;s=MDIEXUS1&amp;f=A" TargetMode="External"/><Relationship Id="rId304" Type="http://schemas.openxmlformats.org/officeDocument/2006/relationships/hyperlink" Target="https://www.eia.gov/dnav/pet/hist/LeafHandler.ashx?n=PET&amp;s=M_EPDM10_VUA_NUS_1&amp;f=A" TargetMode="External"/><Relationship Id="rId346" Type="http://schemas.openxmlformats.org/officeDocument/2006/relationships/hyperlink" Target="https://www.eia.gov/dnav/pet/hist/LeafHandler.ashx?n=PET&amp;s=MOTRPUS1&amp;f=A" TargetMode="External"/><Relationship Id="rId388" Type="http://schemas.openxmlformats.org/officeDocument/2006/relationships/hyperlink" Target="https://www.eia.gov/dnav/pet/hist/LeafHandler.ashx?n=PET&amp;s=MAPUPUS1&amp;f=A" TargetMode="External"/><Relationship Id="rId85" Type="http://schemas.openxmlformats.org/officeDocument/2006/relationships/hyperlink" Target="https://www.eia.gov/dnav/pet/hist/LeafHandler.ashx?n=PET&amp;s=M_EPLLCS_FPF_NUS_MBBL&amp;f=A" TargetMode="External"/><Relationship Id="rId150" Type="http://schemas.openxmlformats.org/officeDocument/2006/relationships/hyperlink" Target="https://www.eia.gov/dnav/pet/hist/LeafHandler.ashx?n=PET&amp;s=M_EPOOR_SAE_NUS_MBBL&amp;f=A" TargetMode="External"/><Relationship Id="rId192" Type="http://schemas.openxmlformats.org/officeDocument/2006/relationships/hyperlink" Target="https://www.eia.gov/dnav/pet/hist/LeafHandler.ashx?n=PET&amp;s=M_EPOOOXH_VUA_NUS_MBBL&amp;f=A" TargetMode="External"/><Relationship Id="rId206" Type="http://schemas.openxmlformats.org/officeDocument/2006/relationships/hyperlink" Target="https://www.eia.gov/dnav/pet/hist/LeafHandler.ashx?n=PET&amp;s=MBCUA_NUS_1&amp;f=A" TargetMode="External"/><Relationship Id="rId248" Type="http://schemas.openxmlformats.org/officeDocument/2006/relationships/hyperlink" Target="https://www.eia.gov/dnav/pet/hist/LeafHandler.ashx?n=PET&amp;s=MGFUPUS1&amp;f=A" TargetMode="External"/><Relationship Id="rId12" Type="http://schemas.openxmlformats.org/officeDocument/2006/relationships/hyperlink" Target="https://www.eia.gov/dnav/pet/hist/LeafHandler.ashx?n=PET&amp;s=MCRFPUS1&amp;f=A" TargetMode="External"/><Relationship Id="rId108" Type="http://schemas.openxmlformats.org/officeDocument/2006/relationships/hyperlink" Target="https://www.eia.gov/dnav/pet/hist/LeafHandler.ashx?n=PET&amp;s=M_EPLLBYN_VPP_NUS_MBBL&amp;f=A" TargetMode="External"/><Relationship Id="rId315" Type="http://schemas.openxmlformats.org/officeDocument/2006/relationships/hyperlink" Target="https://www.eia.gov/dnav/pet/hist/LeafHandler.ashx?n=PET&amp;s=MDGSTUS1&amp;f=A" TargetMode="External"/><Relationship Id="rId357" Type="http://schemas.openxmlformats.org/officeDocument/2006/relationships/hyperlink" Target="https://www.eia.gov/dnav/pet/hist/LeafHandler.ashx?n=PET&amp;s=MNSSTUS1&amp;f=A" TargetMode="External"/><Relationship Id="rId54" Type="http://schemas.openxmlformats.org/officeDocument/2006/relationships/hyperlink" Target="https://www.eia.gov/dnav/pet/hist/LeafHandler.ashx?n=PET&amp;s=M_EPLLPA_VPP_NUS_MBBL&amp;f=A" TargetMode="External"/><Relationship Id="rId96" Type="http://schemas.openxmlformats.org/officeDocument/2006/relationships/hyperlink" Target="https://www.eia.gov/dnav/pet/hist/LeafHandler.ashx?n=PET&amp;s=MEYIMUS1&amp;f=A" TargetMode="External"/><Relationship Id="rId161" Type="http://schemas.openxmlformats.org/officeDocument/2006/relationships/hyperlink" Target="https://www.eia.gov/dnav/pet/hist/LeafHandler.ashx?n=PET&amp;s=M_EPOORXFE_VUA_NUS_MBBL&amp;f=A" TargetMode="External"/><Relationship Id="rId217" Type="http://schemas.openxmlformats.org/officeDocument/2006/relationships/hyperlink" Target="https://www.eia.gov/dnav/pet/hist/LeafHandler.ashx?n=PET&amp;s=MO1EX_NUS-Z00_1&amp;f=A" TargetMode="External"/><Relationship Id="rId259" Type="http://schemas.openxmlformats.org/officeDocument/2006/relationships/hyperlink" Target="https://www.eia.gov/dnav/pet/hist/LeafHandler.ashx?n=PET&amp;s=MG4IM_NUS-Z00_1&amp;f=A" TargetMode="External"/><Relationship Id="rId23" Type="http://schemas.openxmlformats.org/officeDocument/2006/relationships/hyperlink" Target="https://www.eia.gov/dnav/pet/hist/LeafHandler.ashx?n=PET&amp;s=M_EPL0_YNP_NUS_MBBL&amp;f=A" TargetMode="External"/><Relationship Id="rId119" Type="http://schemas.openxmlformats.org/officeDocument/2006/relationships/hyperlink" Target="https://www.eia.gov/dnav/pet/hist/LeafHandler.ashx?n=PET&amp;s=MOLSCUS1&amp;f=A" TargetMode="External"/><Relationship Id="rId270" Type="http://schemas.openxmlformats.org/officeDocument/2006/relationships/hyperlink" Target="https://www.eia.gov/dnav/pet/hist/LeafHandler.ashx?n=PET&amp;s=MGASTUS1&amp;f=A" TargetMode="External"/><Relationship Id="rId326" Type="http://schemas.openxmlformats.org/officeDocument/2006/relationships/hyperlink" Target="https://www.eia.gov/dnav/pet/hist/LeafHandler.ashx?n=PET&amp;s=MRMRPUS1&amp;f=A" TargetMode="External"/><Relationship Id="rId65" Type="http://schemas.openxmlformats.org/officeDocument/2006/relationships/hyperlink" Target="https://www.eia.gov/dnav/pet/hist/LeafHandler.ashx?n=PET&amp;s=M_EPLLBAN_SAE_NUS_MBBL&amp;f=A" TargetMode="External"/><Relationship Id="rId130" Type="http://schemas.openxmlformats.org/officeDocument/2006/relationships/hyperlink" Target="https://www.eia.gov/dnav/pet/hist/LeafHandler.ashx?n=PET&amp;s=MOHUPUS1&amp;f=A" TargetMode="External"/><Relationship Id="rId368" Type="http://schemas.openxmlformats.org/officeDocument/2006/relationships/hyperlink" Target="https://www.eia.gov/dnav/pet/hist/LeafHandler.ashx?n=PET&amp;s=MWXUPUS1&amp;f=A" TargetMode="External"/><Relationship Id="rId172" Type="http://schemas.openxmlformats.org/officeDocument/2006/relationships/hyperlink" Target="https://www.eia.gov/dnav/pet/hist/LeafHandler.ashx?n=PET&amp;s=M_EPOORDB_EEX_NUS-Z00_MBBL&amp;f=A" TargetMode="External"/><Relationship Id="rId228" Type="http://schemas.openxmlformats.org/officeDocument/2006/relationships/hyperlink" Target="https://www.eia.gov/dnav/pet/hist/LeafHandler.ashx?n=PET&amp;s=MBAIMUS1&amp;f=A" TargetMode="External"/><Relationship Id="rId281" Type="http://schemas.openxmlformats.org/officeDocument/2006/relationships/hyperlink" Target="https://www.eia.gov/dnav/pet/hist/LeafHandler.ashx?n=PET&amp;s=MKESCUS1&amp;f=A" TargetMode="External"/><Relationship Id="rId337" Type="http://schemas.openxmlformats.org/officeDocument/2006/relationships/hyperlink" Target="https://www.eia.gov/dnav/pet/hist/LeafHandler.ashx?n=PET&amp;s=MPCEX_NUS-Z00_1&amp;f=A" TargetMode="External"/><Relationship Id="rId34" Type="http://schemas.openxmlformats.org/officeDocument/2006/relationships/hyperlink" Target="https://www.eia.gov/dnav/pet/hist/LeafHandler.ashx?n=PET&amp;s=M_EPL2_YPR_NUS_MBBL&amp;f=A" TargetMode="External"/><Relationship Id="rId76" Type="http://schemas.openxmlformats.org/officeDocument/2006/relationships/hyperlink" Target="https://www.eia.gov/dnav/pet/hist/LeafHandler.ashx?n=PET&amp;s=M_EPLLNG_FPF_NUS_MBBL&amp;f=A" TargetMode="External"/><Relationship Id="rId141" Type="http://schemas.openxmlformats.org/officeDocument/2006/relationships/hyperlink" Target="https://www.eia.gov/dnav/pet/hist/LeafHandler.ashx?n=PET&amp;s=M_EPOOXXFE_VPP_NUS_MBBL&amp;f=A" TargetMode="External"/><Relationship Id="rId379" Type="http://schemas.openxmlformats.org/officeDocument/2006/relationships/hyperlink" Target="https://www.eia.gov/dnav/pet/hist/LeafHandler.ashx?n=PET&amp;s=MCMEX_NUS-Z00_1&amp;f=A" TargetMode="External"/><Relationship Id="rId7" Type="http://schemas.openxmlformats.org/officeDocument/2006/relationships/hyperlink" Target="https://www.eia.gov/dnav/pet/hist/LeafHandler.ashx?n=PET&amp;s=MTTSCUS1&amp;f=A" TargetMode="External"/><Relationship Id="rId183" Type="http://schemas.openxmlformats.org/officeDocument/2006/relationships/hyperlink" Target="https://www.eia.gov/dnav/pet/hist/LeafHandler.ashx?n=PET&amp;s=M_EPOORO_YNP_NUS_MBBL&amp;f=A" TargetMode="External"/><Relationship Id="rId239" Type="http://schemas.openxmlformats.org/officeDocument/2006/relationships/hyperlink" Target="https://www.eia.gov/dnav/pet/hist/LeafHandler.ashx?n=PET&amp;s=MTPEXUS1&amp;f=A" TargetMode="External"/><Relationship Id="rId390" Type="http://schemas.openxmlformats.org/officeDocument/2006/relationships/hyperlink" Target="https://www.eia.gov/dnav/pet/hist/LeafHandler.ashx?n=PET&amp;s=MSGRPUS1&amp;f=A" TargetMode="External"/><Relationship Id="rId250" Type="http://schemas.openxmlformats.org/officeDocument/2006/relationships/hyperlink" Target="https://www.eia.gov/dnav/pet/hist/LeafHandler.ashx?n=PET&amp;s=MGRRPUS1&amp;f=A" TargetMode="External"/><Relationship Id="rId292" Type="http://schemas.openxmlformats.org/officeDocument/2006/relationships/hyperlink" Target="https://www.eia.gov/dnav/pet/hist/LeafHandler.ashx?n=PET&amp;s=MDISTUS1&amp;f=A" TargetMode="External"/><Relationship Id="rId306" Type="http://schemas.openxmlformats.org/officeDocument/2006/relationships/hyperlink" Target="https://www.eia.gov/dnav/pet/hist/LeafHandler.ashx?n=PET&amp;s=MD1EX_NUS-Z00_1&amp;f=A" TargetMode="External"/><Relationship Id="rId45" Type="http://schemas.openxmlformats.org/officeDocument/2006/relationships/hyperlink" Target="https://www.eia.gov/dnav/pet/hist/LeafHandler.ashx?n=PET&amp;s=M_EPLLEA_EEX_NUS-Z00_1&amp;f=A" TargetMode="External"/><Relationship Id="rId87" Type="http://schemas.openxmlformats.org/officeDocument/2006/relationships/hyperlink" Target="https://www.eia.gov/dnav/pet/hist/LeafHandler.ashx?n=PET&amp;s=M_EPLLCS_SCG_NUS_MBBL&amp;f=A" TargetMode="External"/><Relationship Id="rId110" Type="http://schemas.openxmlformats.org/officeDocument/2006/relationships/hyperlink" Target="https://www.eia.gov/dnav/pet/hist/LeafHandler.ashx?n=PET&amp;s=MIYRPUS1&amp;f=A" TargetMode="External"/><Relationship Id="rId348" Type="http://schemas.openxmlformats.org/officeDocument/2006/relationships/hyperlink" Target="https://www.eia.gov/dnav/pet/hist/LeafHandler.ashx?n=PET&amp;s=MOTSCUS1&amp;f=A" TargetMode="External"/><Relationship Id="rId152" Type="http://schemas.openxmlformats.org/officeDocument/2006/relationships/hyperlink" Target="https://www.eia.gov/dnav/pet/hist/LeafHandler.ashx?n=PET&amp;s=MFEIMUS1&amp;f=A" TargetMode="External"/><Relationship Id="rId194" Type="http://schemas.openxmlformats.org/officeDocument/2006/relationships/hyperlink" Target="https://www.eia.gov/dnav/pet/hist/LeafHandler.ashx?n=PET&amp;s=M_EPOOOXH_YIR_NUS_MBBL&amp;f=A" TargetMode="External"/><Relationship Id="rId208" Type="http://schemas.openxmlformats.org/officeDocument/2006/relationships/hyperlink" Target="https://www.eia.gov/dnav/pet/hist/LeafHandler.ashx?n=PET&amp;s=MBCRIUS1&amp;f=A" TargetMode="External"/><Relationship Id="rId261" Type="http://schemas.openxmlformats.org/officeDocument/2006/relationships/hyperlink" Target="https://www.eia.gov/dnav/pet/hist/LeafHandler.ashx?n=PET&amp;s=MG4SC_NUS_1&amp;f=A" TargetMode="External"/><Relationship Id="rId14" Type="http://schemas.openxmlformats.org/officeDocument/2006/relationships/hyperlink" Target="https://www.eia.gov/dnav/pet/hist/LeafHandler.ashx?n=PET&amp;s=MCRIMUS1&amp;f=A" TargetMode="External"/><Relationship Id="rId56" Type="http://schemas.openxmlformats.org/officeDocument/2006/relationships/hyperlink" Target="https://www.eia.gov/dnav/pet/hist/LeafHandler.ashx?n=PET&amp;s=M_EPLLBAN_FPF_NUS_MBBL&amp;f=A" TargetMode="External"/><Relationship Id="rId317" Type="http://schemas.openxmlformats.org/officeDocument/2006/relationships/hyperlink" Target="https://www.eia.gov/dnav/pet/hist/LeafHandler.ashx?n=PET&amp;s=MREIMUS1&amp;f=A" TargetMode="External"/><Relationship Id="rId359" Type="http://schemas.openxmlformats.org/officeDocument/2006/relationships/hyperlink" Target="https://www.eia.gov/dnav/pet/hist/LeafHandler.ashx?n=PET&amp;s=MLUIMUS1&amp;f=A" TargetMode="External"/><Relationship Id="rId98" Type="http://schemas.openxmlformats.org/officeDocument/2006/relationships/hyperlink" Target="https://www.eia.gov/dnav/pet/hist/LeafHandler.ashx?n=PET&amp;s=M_EPLLEY_VPP_NUS_MBBL&amp;f=A" TargetMode="External"/><Relationship Id="rId121" Type="http://schemas.openxmlformats.org/officeDocument/2006/relationships/hyperlink" Target="https://www.eia.gov/dnav/pet/hist/LeafHandler.ashx?n=PET&amp;s=MOLEXUS1&amp;f=A" TargetMode="External"/><Relationship Id="rId163" Type="http://schemas.openxmlformats.org/officeDocument/2006/relationships/hyperlink" Target="https://www.eia.gov/dnav/pet/hist/LeafHandler.ashx?n=PET&amp;s=M_EPOORXFE_YIR_NUS_MBBL&amp;f=A" TargetMode="External"/><Relationship Id="rId219" Type="http://schemas.openxmlformats.org/officeDocument/2006/relationships/hyperlink" Target="https://www.eia.gov/dnav/pet/hist/LeafHandler.ashx?n=PET&amp;s=MO1ST_NUS_1&amp;f=A" TargetMode="External"/><Relationship Id="rId370" Type="http://schemas.openxmlformats.org/officeDocument/2006/relationships/hyperlink" Target="https://www.eia.gov/dnav/pet/hist/LeafHandler.ashx?n=PET&amp;s=MCKRPUS1&amp;f=A" TargetMode="External"/><Relationship Id="rId230" Type="http://schemas.openxmlformats.org/officeDocument/2006/relationships/hyperlink" Target="https://www.eia.gov/dnav/pet/hist/LeafHandler.ashx?n=PET&amp;s=MBARIUS1&amp;f=A" TargetMode="External"/><Relationship Id="rId25" Type="http://schemas.openxmlformats.org/officeDocument/2006/relationships/hyperlink" Target="https://www.eia.gov/dnav/pet/hist/LeafHandler.ashx?n=PET&amp;s=MNGIMUS1&amp;f=A" TargetMode="External"/><Relationship Id="rId67" Type="http://schemas.openxmlformats.org/officeDocument/2006/relationships/hyperlink" Target="https://www.eia.gov/dnav/pet/hist/LeafHandler.ashx?n=PET&amp;s=M_EPLLBAI_TVP_NUS_MBBL&amp;f=A" TargetMode="External"/><Relationship Id="rId272" Type="http://schemas.openxmlformats.org/officeDocument/2006/relationships/hyperlink" Target="https://www.eia.gov/dnav/pet/hist/LeafHandler.ashx?n=PET&amp;s=MKJRPUS1&amp;f=A" TargetMode="External"/><Relationship Id="rId328" Type="http://schemas.openxmlformats.org/officeDocument/2006/relationships/hyperlink" Target="https://www.eia.gov/dnav/pet/hist/LeafHandler.ashx?n=PET&amp;s=MRYSC_NUS_1&amp;f=A" TargetMode="External"/><Relationship Id="rId132" Type="http://schemas.openxmlformats.org/officeDocument/2006/relationships/hyperlink" Target="https://www.eia.gov/dnav/pet/hist/LeafHandler.ashx?n=PET&amp;s=M_EPOOOH_VUA_NUS_MBBL&amp;f=A" TargetMode="External"/><Relationship Id="rId174" Type="http://schemas.openxmlformats.org/officeDocument/2006/relationships/hyperlink" Target="https://www.eia.gov/dnav/pet/hist/LeafHandler.ashx?n=PET&amp;s=M_EPOORDB_SAE_NUS_MBBL&amp;f=A" TargetMode="External"/><Relationship Id="rId381" Type="http://schemas.openxmlformats.org/officeDocument/2006/relationships/hyperlink" Target="https://www.eia.gov/dnav/pet/hist/LeafHandler.ashx?n=PET&amp;s=MCMST_NUS_1&amp;f=A" TargetMode="External"/><Relationship Id="rId241" Type="http://schemas.openxmlformats.org/officeDocument/2006/relationships/hyperlink" Target="https://www.eia.gov/dnav/pet/hist/LeafHandler.ashx?n=PET&amp;s=MTPSTUS1&amp;f=A" TargetMode="External"/><Relationship Id="rId36" Type="http://schemas.openxmlformats.org/officeDocument/2006/relationships/hyperlink" Target="https://www.eia.gov/dnav/pet/hist/LeafHandler.ashx?n=PET&amp;s=M_EPL2_SCG_NUS_MBBL&amp;f=A" TargetMode="External"/><Relationship Id="rId283" Type="http://schemas.openxmlformats.org/officeDocument/2006/relationships/hyperlink" Target="https://www.eia.gov/dnav/pet/hist/LeafHandler.ashx?n=PET&amp;s=MKEUPUS1&amp;f=A" TargetMode="External"/><Relationship Id="rId339" Type="http://schemas.openxmlformats.org/officeDocument/2006/relationships/hyperlink" Target="https://www.eia.gov/dnav/pet/hist/LeafHandler.ashx?n=PET&amp;s=MPCST_NUS_1&amp;f=A" TargetMode="External"/><Relationship Id="rId78" Type="http://schemas.openxmlformats.org/officeDocument/2006/relationships/hyperlink" Target="https://www.eia.gov/dnav/pet/hist/LeafHandler.ashx?n=PET&amp;s=M_EPLLNG_YNP_NUS_MBBL&amp;f=A" TargetMode="External"/><Relationship Id="rId101" Type="http://schemas.openxmlformats.org/officeDocument/2006/relationships/hyperlink" Target="https://www.eia.gov/dnav/pet/hist/LeafHandler.ashx?n=PET&amp;s=MPLIMUS1&amp;f=A" TargetMode="External"/><Relationship Id="rId143" Type="http://schemas.openxmlformats.org/officeDocument/2006/relationships/hyperlink" Target="https://www.eia.gov/dnav/pet/hist/LeafHandler.ashx?n=PET&amp;s=M_EPOOR_YNP_NUS_MBBL&amp;f=A" TargetMode="External"/><Relationship Id="rId185" Type="http://schemas.openxmlformats.org/officeDocument/2006/relationships/hyperlink" Target="https://www.eia.gov/dnav/pet/hist/LeafHandler.ashx?n=PET&amp;s=M_EPOORO_VUA_NUS_MBBL&amp;f=A" TargetMode="External"/><Relationship Id="rId350" Type="http://schemas.openxmlformats.org/officeDocument/2006/relationships/hyperlink" Target="https://www.eia.gov/dnav/pet/hist/LeafHandler.ashx?n=PET&amp;s=MOTUPUS1&amp;f=A" TargetMode="External"/><Relationship Id="rId9" Type="http://schemas.openxmlformats.org/officeDocument/2006/relationships/hyperlink" Target="https://www.eia.gov/dnav/pet/hist/LeafHandler.ashx?n=PET&amp;s=MTTEXUS1&amp;f=A" TargetMode="External"/><Relationship Id="rId210" Type="http://schemas.openxmlformats.org/officeDocument/2006/relationships/hyperlink" Target="https://www.eia.gov/dnav/pet/hist/LeafHandler.ashx?n=PET&amp;s=MBCUPUS1&amp;f=A" TargetMode="External"/><Relationship Id="rId392" Type="http://schemas.openxmlformats.org/officeDocument/2006/relationships/hyperlink" Target="https://www.eia.gov/dnav/pet/hist/LeafHandler.ashx?n=PET&amp;s=MMSRPUS1&amp;f=A" TargetMode="External"/><Relationship Id="rId252" Type="http://schemas.openxmlformats.org/officeDocument/2006/relationships/hyperlink" Target="https://www.eia.gov/dnav/pet/hist/LeafHandler.ashx?n=PET&amp;s=MGRUA_NUS_1&amp;f=A" TargetMode="External"/><Relationship Id="rId294" Type="http://schemas.openxmlformats.org/officeDocument/2006/relationships/hyperlink" Target="https://www.eia.gov/dnav/pet/hist/LeafHandler.ashx?n=PET&amp;s=MD0RP_NUS_1&amp;f=A" TargetMode="External"/><Relationship Id="rId308" Type="http://schemas.openxmlformats.org/officeDocument/2006/relationships/hyperlink" Target="https://www.eia.gov/dnav/pet/hist/LeafHandler.ashx?n=PET&amp;s=MD1ST_NUS_1&amp;f=A" TargetMode="External"/><Relationship Id="rId47" Type="http://schemas.openxmlformats.org/officeDocument/2006/relationships/hyperlink" Target="https://www.eia.gov/dnav/pet/hist/LeafHandler.ashx?n=PET&amp;s=M_EPLLEA_SAE_NUS_MBBL&amp;f=A" TargetMode="External"/><Relationship Id="rId89" Type="http://schemas.openxmlformats.org/officeDocument/2006/relationships/hyperlink" Target="https://www.eia.gov/dnav/pet/hist/LeafHandler.ashx?n=PET&amp;s=M_EPLLCS_SAE_NUS_MBBL&amp;f=A" TargetMode="External"/><Relationship Id="rId112" Type="http://schemas.openxmlformats.org/officeDocument/2006/relationships/hyperlink" Target="https://www.eia.gov/dnav/pet/hist/LeafHandler.ashx?n=PET&amp;s=M_EPLLBYI_SCG_NUS_MBBL&amp;f=A" TargetMode="External"/><Relationship Id="rId154" Type="http://schemas.openxmlformats.org/officeDocument/2006/relationships/hyperlink" Target="https://www.eia.gov/dnav/pet/hist/LeafHandler.ashx?n=PET&amp;s=M_EPOOXE_SCG_NUS_MBBL&amp;f=A" TargetMode="External"/><Relationship Id="rId361" Type="http://schemas.openxmlformats.org/officeDocument/2006/relationships/hyperlink" Target="https://www.eia.gov/dnav/pet/hist/LeafHandler.ashx?n=PET&amp;s=MLUEXUS1&amp;f=A" TargetMode="External"/><Relationship Id="rId196" Type="http://schemas.openxmlformats.org/officeDocument/2006/relationships/hyperlink" Target="https://www.eia.gov/dnav/pet/hist/LeafHandler.ashx?n=PET&amp;s=M_EPOOOXH_SAE_NUS_MBBL&amp;f=A" TargetMode="External"/><Relationship Id="rId16" Type="http://schemas.openxmlformats.org/officeDocument/2006/relationships/hyperlink" Target="https://www.eia.gov/dnav/pet/hist/LeafHandler.ashx?n=PET&amp;s=MCRSCUS1&amp;f=A" TargetMode="External"/><Relationship Id="rId221" Type="http://schemas.openxmlformats.org/officeDocument/2006/relationships/hyperlink" Target="https://www.eia.gov/dnav/pet/hist/LeafHandler.ashx?n=PET&amp;s=MO5IM_NUS-Z00_1&amp;f=A" TargetMode="External"/><Relationship Id="rId263" Type="http://schemas.openxmlformats.org/officeDocument/2006/relationships/hyperlink" Target="https://www.eia.gov/dnav/pet/hist/LeafHandler.ashx?n=PET&amp;s=MG4UP_NUS_1&amp;f=A" TargetMode="External"/><Relationship Id="rId319" Type="http://schemas.openxmlformats.org/officeDocument/2006/relationships/hyperlink" Target="https://www.eia.gov/dnav/pet/hist/LeafHandler.ashx?n=PET&amp;s=MREEXUS1&amp;f=A" TargetMode="External"/><Relationship Id="rId37" Type="http://schemas.openxmlformats.org/officeDocument/2006/relationships/hyperlink" Target="https://www.eia.gov/dnav/pet/hist/LeafHandler.ashx?n=PET&amp;s=M_EPL2_YIR_NUS_MBBL&amp;f=A" TargetMode="External"/><Relationship Id="rId58" Type="http://schemas.openxmlformats.org/officeDocument/2006/relationships/hyperlink" Target="https://www.eia.gov/dnav/pet/hist/LeafHandler.ashx?n=PET&amp;s=M_EPLLBAN_YNP_NUS_MBBL&amp;f=A" TargetMode="External"/><Relationship Id="rId79" Type="http://schemas.openxmlformats.org/officeDocument/2006/relationships/hyperlink" Target="https://www.eia.gov/dnav/pet/hist/LeafHandler.ashx?n=PET&amp;s=M_EPLLNG_IM0_NUS-Z00_MBBL&amp;f=A" TargetMode="External"/><Relationship Id="rId102" Type="http://schemas.openxmlformats.org/officeDocument/2006/relationships/hyperlink" Target="https://www.eia.gov/dnav/pet/hist/LeafHandler.ashx?n=PET&amp;s=M_EPLLPY_SCG_NUS_MBBL&amp;f=A" TargetMode="External"/><Relationship Id="rId123" Type="http://schemas.openxmlformats.org/officeDocument/2006/relationships/hyperlink" Target="https://www.eia.gov/dnav/pet/hist/LeafHandler.ashx?n=PET&amp;s=MOLSTUS1&amp;f=A" TargetMode="External"/><Relationship Id="rId144" Type="http://schemas.openxmlformats.org/officeDocument/2006/relationships/hyperlink" Target="https://www.eia.gov/dnav/pet/hist/LeafHandler.ashx?n=PET&amp;s=M_EPOOR_IM0_NUS-Z00_MBBL&amp;f=A" TargetMode="External"/><Relationship Id="rId330" Type="http://schemas.openxmlformats.org/officeDocument/2006/relationships/hyperlink" Target="https://www.eia.gov/dnav/pet/hist/LeafHandler.ashx?n=PET&amp;s=MRGRPUS1&amp;f=A" TargetMode="External"/><Relationship Id="rId90" Type="http://schemas.openxmlformats.org/officeDocument/2006/relationships/hyperlink" Target="https://www.eia.gov/dnav/pet/hist/LeafHandler.ashx?n=PET&amp;s=M_EPLOLE_YPR_NUS_MBBL&amp;f=A" TargetMode="External"/><Relationship Id="rId165" Type="http://schemas.openxmlformats.org/officeDocument/2006/relationships/hyperlink" Target="https://www.eia.gov/dnav/pet/hist/LeafHandler.ashx?n=PET&amp;s=M_EPOORXFE_VPP_NUS_MBBL&amp;f=A" TargetMode="External"/><Relationship Id="rId186" Type="http://schemas.openxmlformats.org/officeDocument/2006/relationships/hyperlink" Target="https://www.eia.gov/dnav/pet/hist/LeafHandler.ashx?n=PET&amp;s=M_EPOORO_SCG_NUS_MBBL&amp;f=A" TargetMode="External"/><Relationship Id="rId351" Type="http://schemas.openxmlformats.org/officeDocument/2006/relationships/hyperlink" Target="https://www.eia.gov/dnav/pet/hist/LeafHandler.ashx?n=PET&amp;s=MOTSTUS1&amp;f=A" TargetMode="External"/><Relationship Id="rId372" Type="http://schemas.openxmlformats.org/officeDocument/2006/relationships/hyperlink" Target="https://www.eia.gov/dnav/pet/hist/LeafHandler.ashx?n=PET&amp;s=MCKSCUS1&amp;f=A" TargetMode="External"/><Relationship Id="rId393" Type="http://schemas.openxmlformats.org/officeDocument/2006/relationships/hyperlink" Target="https://www.eia.gov/dnav/pet/hist/LeafHandler.ashx?n=PET&amp;s=MMSIMUS1&amp;f=A" TargetMode="External"/><Relationship Id="rId211" Type="http://schemas.openxmlformats.org/officeDocument/2006/relationships/hyperlink" Target="https://www.eia.gov/dnav/pet/hist/LeafHandler.ashx?n=PET&amp;s=MBCSTUS1&amp;f=A" TargetMode="External"/><Relationship Id="rId232" Type="http://schemas.openxmlformats.org/officeDocument/2006/relationships/hyperlink" Target="https://www.eia.gov/dnav/pet/hist/LeafHandler.ashx?n=PET&amp;s=MBAUPUS1&amp;f=A" TargetMode="External"/><Relationship Id="rId253" Type="http://schemas.openxmlformats.org/officeDocument/2006/relationships/hyperlink" Target="https://www.eia.gov/dnav/pet/hist/LeafHandler.ashx?n=PET&amp;s=MGRSCUS1&amp;f=A" TargetMode="External"/><Relationship Id="rId274" Type="http://schemas.openxmlformats.org/officeDocument/2006/relationships/hyperlink" Target="https://www.eia.gov/dnav/pet/hist/LeafHandler.ashx?n=PET&amp;s=MKJSCUS1&amp;f=A" TargetMode="External"/><Relationship Id="rId295" Type="http://schemas.openxmlformats.org/officeDocument/2006/relationships/hyperlink" Target="https://www.eia.gov/dnav/pet/hist/LeafHandler.ashx?n=PET&amp;s=MD0IM_NUS-Z00_1&amp;f=A" TargetMode="External"/><Relationship Id="rId309" Type="http://schemas.openxmlformats.org/officeDocument/2006/relationships/hyperlink" Target="https://www.eia.gov/dnav/pet/hist/LeafHandler.ashx?n=PET&amp;s=M_EPD00H_YNP_NUS_MBBL&amp;f=A" TargetMode="External"/><Relationship Id="rId27" Type="http://schemas.openxmlformats.org/officeDocument/2006/relationships/hyperlink" Target="https://www.eia.gov/dnav/pet/hist/LeafHandler.ashx?n=PET&amp;s=MNGRIUS1&amp;f=A" TargetMode="External"/><Relationship Id="rId48" Type="http://schemas.openxmlformats.org/officeDocument/2006/relationships/hyperlink" Target="https://www.eia.gov/dnav/pet/hist/LeafHandler.ashx?n=PET&amp;s=M_EPLLPA_FPF_NUS_MBBL&amp;f=A" TargetMode="External"/><Relationship Id="rId69" Type="http://schemas.openxmlformats.org/officeDocument/2006/relationships/hyperlink" Target="https://www.eia.gov/dnav/pet/hist/LeafHandler.ashx?n=PET&amp;s=MIIRPUS1&amp;f=A" TargetMode="External"/><Relationship Id="rId113" Type="http://schemas.openxmlformats.org/officeDocument/2006/relationships/hyperlink" Target="https://www.eia.gov/dnav/pet/hist/LeafHandler.ashx?n=PET&amp;s=M_EPLLBYI_VPP_NUS_MBBL&amp;f=A" TargetMode="External"/><Relationship Id="rId134" Type="http://schemas.openxmlformats.org/officeDocument/2006/relationships/hyperlink" Target="https://www.eia.gov/dnav/pet/hist/LeafHandler.ashx?n=PET&amp;s=M_EPOOOH_VPP_NUS_MBBL&amp;f=A" TargetMode="External"/><Relationship Id="rId320" Type="http://schemas.openxmlformats.org/officeDocument/2006/relationships/hyperlink" Target="https://www.eia.gov/dnav/pet/hist/LeafHandler.ashx?n=PET&amp;s=MREUPUS1&amp;f=A" TargetMode="External"/><Relationship Id="rId80" Type="http://schemas.openxmlformats.org/officeDocument/2006/relationships/hyperlink" Target="https://www.eia.gov/dnav/pet/hist/LeafHandler.ashx?n=PET&amp;s=M_EPLLNG_SCG_NUS_MBBL&amp;f=A" TargetMode="External"/><Relationship Id="rId155" Type="http://schemas.openxmlformats.org/officeDocument/2006/relationships/hyperlink" Target="https://www.eia.gov/dnav/pet/hist/LeafHandler.ashx?n=PET&amp;s=MFERIUS1&amp;f=A" TargetMode="External"/><Relationship Id="rId176" Type="http://schemas.openxmlformats.org/officeDocument/2006/relationships/hyperlink" Target="https://www.eia.gov/dnav/pet/hist/LeafHandler.ashx?n=PET&amp;s=M_EPOORDO_IM0_NUS-Z00_MBBL&amp;f=A" TargetMode="External"/><Relationship Id="rId197" Type="http://schemas.openxmlformats.org/officeDocument/2006/relationships/hyperlink" Target="https://www.eia.gov/dnav/pet/hist/LeafHandler.ashx?n=PET&amp;s=M_EPPU_TVP_NUS_MBBL&amp;f=A" TargetMode="External"/><Relationship Id="rId341" Type="http://schemas.openxmlformats.org/officeDocument/2006/relationships/hyperlink" Target="https://www.eia.gov/dnav/pet/hist/LeafHandler.ashx?n=PET&amp;s=MNFIMUS1&amp;f=A" TargetMode="External"/><Relationship Id="rId362" Type="http://schemas.openxmlformats.org/officeDocument/2006/relationships/hyperlink" Target="https://www.eia.gov/dnav/pet/hist/LeafHandler.ashx?n=PET&amp;s=MLUUPUS1&amp;f=A" TargetMode="External"/><Relationship Id="rId383" Type="http://schemas.openxmlformats.org/officeDocument/2006/relationships/hyperlink" Target="https://www.eia.gov/dnav/pet/hist/LeafHandler.ashx?n=PET&amp;s=MCOUP_NUS_1&amp;f=A" TargetMode="External"/><Relationship Id="rId201" Type="http://schemas.openxmlformats.org/officeDocument/2006/relationships/hyperlink" Target="https://www.eia.gov/dnav/pet/hist/LeafHandler.ashx?n=PET&amp;s=MUOEXUS1&amp;f=A" TargetMode="External"/><Relationship Id="rId222" Type="http://schemas.openxmlformats.org/officeDocument/2006/relationships/hyperlink" Target="https://www.eia.gov/dnav/pet/hist/LeafHandler.ashx?n=PET&amp;s=MO5UA_NUS_1&amp;f=A" TargetMode="External"/><Relationship Id="rId243" Type="http://schemas.openxmlformats.org/officeDocument/2006/relationships/hyperlink" Target="https://www.eia.gov/dnav/pet/hist/LeafHandler.ashx?n=PET&amp;s=MGFRPUS1&amp;f=A" TargetMode="External"/><Relationship Id="rId264" Type="http://schemas.openxmlformats.org/officeDocument/2006/relationships/hyperlink" Target="https://www.eia.gov/dnav/pet/hist/LeafHandler.ashx?n=PET&amp;s=MG4ST_NUS_1&amp;f=A" TargetMode="External"/><Relationship Id="rId285" Type="http://schemas.openxmlformats.org/officeDocument/2006/relationships/hyperlink" Target="https://www.eia.gov/dnav/pet/hist/LeafHandler.ashx?n=PET&amp;s=M_EPD0_YNP_NUS_MBBL&amp;f=A" TargetMode="External"/><Relationship Id="rId17" Type="http://schemas.openxmlformats.org/officeDocument/2006/relationships/hyperlink" Target="https://www.eia.gov/dnav/pet/hist/LeafHandler.ashx?n=PET&amp;s=MCRRIUS1&amp;f=A" TargetMode="External"/><Relationship Id="rId38" Type="http://schemas.openxmlformats.org/officeDocument/2006/relationships/hyperlink" Target="https://www.eia.gov/dnav/pet/hist/LeafHandler.ashx?n=PET&amp;s=M_EPL2_EEX_NUS-Z00_MBBL&amp;f=A" TargetMode="External"/><Relationship Id="rId59" Type="http://schemas.openxmlformats.org/officeDocument/2006/relationships/hyperlink" Target="https://www.eia.gov/dnav/pet/hist/LeafHandler.ashx?n=PET&amp;s=MBURPUS1&amp;f=A" TargetMode="External"/><Relationship Id="rId103" Type="http://schemas.openxmlformats.org/officeDocument/2006/relationships/hyperlink" Target="https://www.eia.gov/dnav/pet/hist/LeafHandler.ashx?n=PET&amp;s=M_EPLLPY_VPP_NUS_MBBL&amp;f=A" TargetMode="External"/><Relationship Id="rId124" Type="http://schemas.openxmlformats.org/officeDocument/2006/relationships/hyperlink" Target="https://www.eia.gov/dnav/pet/hist/LeafHandler.ashx?n=PET&amp;s=M_EPOO_YNP_NUS_MBBL&amp;f=A" TargetMode="External"/><Relationship Id="rId310" Type="http://schemas.openxmlformats.org/officeDocument/2006/relationships/hyperlink" Target="https://www.eia.gov/dnav/pet/hist/LeafHandler.ashx?n=PET&amp;s=MDGRPUS1&amp;f=A" TargetMode="External"/><Relationship Id="rId70" Type="http://schemas.openxmlformats.org/officeDocument/2006/relationships/hyperlink" Target="https://www.eia.gov/dnav/pet/hist/LeafHandler.ashx?n=PET&amp;s=MIIIM_NUS-Z00_1&amp;f=A" TargetMode="External"/><Relationship Id="rId91" Type="http://schemas.openxmlformats.org/officeDocument/2006/relationships/hyperlink" Target="https://www.eia.gov/dnav/pet/hist/LeafHandler.ashx?n=PET&amp;s=M_EPLOLE_IM0_NUS-Z00_MBBL&amp;f=A" TargetMode="External"/><Relationship Id="rId145" Type="http://schemas.openxmlformats.org/officeDocument/2006/relationships/hyperlink" Target="https://www.eia.gov/dnav/pet/hist/LeafHandler.ashx?n=PET&amp;s=M_EPOOR_VUA_NUS_MBBL&amp;f=A" TargetMode="External"/><Relationship Id="rId166" Type="http://schemas.openxmlformats.org/officeDocument/2006/relationships/hyperlink" Target="https://www.eia.gov/dnav/pet/hist/LeafHandler.ashx?n=PET&amp;s=M_EPOORXFE_SAE_NUS_MBBL&amp;f=A" TargetMode="External"/><Relationship Id="rId187" Type="http://schemas.openxmlformats.org/officeDocument/2006/relationships/hyperlink" Target="https://www.eia.gov/dnav/pet/hist/LeafHandler.ashx?n=PET&amp;s=M_EPOORO_YIR_NUS_MBBL&amp;f=A" TargetMode="External"/><Relationship Id="rId331" Type="http://schemas.openxmlformats.org/officeDocument/2006/relationships/hyperlink" Target="https://www.eia.gov/dnav/pet/hist/LeafHandler.ashx?n=PET&amp;s=MRZIMUS1&amp;f=A" TargetMode="External"/><Relationship Id="rId352" Type="http://schemas.openxmlformats.org/officeDocument/2006/relationships/hyperlink" Target="https://www.eia.gov/dnav/pet/hist/LeafHandler.ashx?n=PET&amp;s=MNSRPUS1&amp;f=A" TargetMode="External"/><Relationship Id="rId373" Type="http://schemas.openxmlformats.org/officeDocument/2006/relationships/hyperlink" Target="https://www.eia.gov/dnav/pet/hist/LeafHandler.ashx?n=PET&amp;s=MCKEXUS1&amp;f=A" TargetMode="External"/><Relationship Id="rId394" Type="http://schemas.openxmlformats.org/officeDocument/2006/relationships/hyperlink" Target="https://www.eia.gov/dnav/pet/hist/LeafHandler.ashx?n=PET&amp;s=MMSSCUS1&amp;f=A" TargetMode="External"/><Relationship Id="rId1" Type="http://schemas.openxmlformats.org/officeDocument/2006/relationships/hyperlink" Target="https://www.eia.gov/dnav/pet/hist/LeafHandler.ashx?n=PET&amp;s=MTTFPUS1&amp;f=A" TargetMode="External"/><Relationship Id="rId212" Type="http://schemas.openxmlformats.org/officeDocument/2006/relationships/hyperlink" Target="https://www.eia.gov/dnav/pet/hist/LeafHandler.ashx?n=PET&amp;s=M_EPOBGR0_YNP_NUS_MBBL&amp;f=A" TargetMode="External"/><Relationship Id="rId233" Type="http://schemas.openxmlformats.org/officeDocument/2006/relationships/hyperlink" Target="https://www.eia.gov/dnav/pet/hist/LeafHandler.ashx?n=PET&amp;s=MBASTUS1&amp;f=A" TargetMode="External"/><Relationship Id="rId254" Type="http://schemas.openxmlformats.org/officeDocument/2006/relationships/hyperlink" Target="https://www.eia.gov/dnav/pet/hist/LeafHandler.ashx?n=PET&amp;s=MGREXUS1&amp;f=A" TargetMode="External"/><Relationship Id="rId28" Type="http://schemas.openxmlformats.org/officeDocument/2006/relationships/hyperlink" Target="https://www.eia.gov/dnav/pet/hist/LeafHandler.ashx?n=PET&amp;s=MNGEXUS1&amp;f=A" TargetMode="External"/><Relationship Id="rId49" Type="http://schemas.openxmlformats.org/officeDocument/2006/relationships/hyperlink" Target="https://www.eia.gov/dnav/pet/hist/LeafHandler.ashx?n=PET&amp;s=M_EPLLPA_TVP_NUS_MBBL&amp;f=A" TargetMode="External"/><Relationship Id="rId114" Type="http://schemas.openxmlformats.org/officeDocument/2006/relationships/hyperlink" Target="https://www.eia.gov/dnav/pet/hist/LeafHandler.ashx?n=PET&amp;s=M_EPLLBYI_SAE_NUS_MBBL&amp;f=A" TargetMode="External"/><Relationship Id="rId275" Type="http://schemas.openxmlformats.org/officeDocument/2006/relationships/hyperlink" Target="https://www.eia.gov/dnav/pet/hist/LeafHandler.ashx?n=PET&amp;s=MKJEXUS1&amp;f=A" TargetMode="External"/><Relationship Id="rId296" Type="http://schemas.openxmlformats.org/officeDocument/2006/relationships/hyperlink" Target="https://www.eia.gov/dnav/pet/hist/LeafHandler.ashx?n=PET&amp;s=M_EPDXL0_VUA_NUS_1&amp;f=A" TargetMode="External"/><Relationship Id="rId300" Type="http://schemas.openxmlformats.org/officeDocument/2006/relationships/hyperlink" Target="https://www.eia.gov/dnav/pet/hist/LeafHandler.ashx?n=PET&amp;s=MD0ST_NUS_1&amp;f=A" TargetMode="External"/><Relationship Id="rId60" Type="http://schemas.openxmlformats.org/officeDocument/2006/relationships/hyperlink" Target="https://www.eia.gov/dnav/pet/hist/LeafHandler.ashx?n=PET&amp;s=MBUIM_NUS-Z00_1&amp;f=A" TargetMode="External"/><Relationship Id="rId81" Type="http://schemas.openxmlformats.org/officeDocument/2006/relationships/hyperlink" Target="https://www.eia.gov/dnav/pet/hist/LeafHandler.ashx?n=PET&amp;s=M_EPLLNG_YIR_NUS_MBBL&amp;f=A" TargetMode="External"/><Relationship Id="rId135" Type="http://schemas.openxmlformats.org/officeDocument/2006/relationships/hyperlink" Target="https://www.eia.gov/dnav/pet/hist/LeafHandler.ashx?n=PET&amp;s=M_EPOOXXFE_YNP_NUS_MBBL&amp;f=A" TargetMode="External"/><Relationship Id="rId156" Type="http://schemas.openxmlformats.org/officeDocument/2006/relationships/hyperlink" Target="https://www.eia.gov/dnav/pet/hist/LeafHandler.ashx?n=PET&amp;s=M_EPOOXE_EEX_NUS-Z00_MBBL&amp;f=A" TargetMode="External"/><Relationship Id="rId177" Type="http://schemas.openxmlformats.org/officeDocument/2006/relationships/hyperlink" Target="https://www.eia.gov/dnav/pet/hist/LeafHandler.ashx?n=PET&amp;s=M_EPOORDO_VUA_NUS_MBBL&amp;f=A" TargetMode="External"/><Relationship Id="rId198" Type="http://schemas.openxmlformats.org/officeDocument/2006/relationships/hyperlink" Target="https://www.eia.gov/dnav/pet/hist/LeafHandler.ashx?n=PET&amp;s=MUOIMUS1&amp;f=A" TargetMode="External"/><Relationship Id="rId321" Type="http://schemas.openxmlformats.org/officeDocument/2006/relationships/hyperlink" Target="https://www.eia.gov/dnav/pet/hist/LeafHandler.ashx?n=PET&amp;s=MRESTUS1&amp;f=A" TargetMode="External"/><Relationship Id="rId342" Type="http://schemas.openxmlformats.org/officeDocument/2006/relationships/hyperlink" Target="https://www.eia.gov/dnav/pet/hist/LeafHandler.ashx?n=PET&amp;s=MNFSCUS1&amp;f=A" TargetMode="External"/><Relationship Id="rId363" Type="http://schemas.openxmlformats.org/officeDocument/2006/relationships/hyperlink" Target="https://www.eia.gov/dnav/pet/hist/LeafHandler.ashx?n=PET&amp;s=MLUSTUS1&amp;f=A" TargetMode="External"/><Relationship Id="rId384" Type="http://schemas.openxmlformats.org/officeDocument/2006/relationships/hyperlink" Target="https://www.eia.gov/dnav/pet/hist/LeafHandler.ashx?n=PET&amp;s=MAPRPUS1&amp;f=A" TargetMode="External"/><Relationship Id="rId202" Type="http://schemas.openxmlformats.org/officeDocument/2006/relationships/hyperlink" Target="https://www.eia.gov/dnav/pet/hist/LeafHandler.ashx?n=PET&amp;s=MUOUPUS1&amp;f=A" TargetMode="External"/><Relationship Id="rId223" Type="http://schemas.openxmlformats.org/officeDocument/2006/relationships/hyperlink" Target="https://www.eia.gov/dnav/pet/hist/LeafHandler.ashx?n=PET&amp;s=MO5SC_NUS_1&amp;f=A" TargetMode="External"/><Relationship Id="rId244" Type="http://schemas.openxmlformats.org/officeDocument/2006/relationships/hyperlink" Target="https://www.eia.gov/dnav/pet/hist/LeafHandler.ashx?n=PET&amp;s=MGFIMUS1&amp;f=A" TargetMode="External"/><Relationship Id="rId18" Type="http://schemas.openxmlformats.org/officeDocument/2006/relationships/hyperlink" Target="https://www.eia.gov/dnav/pet/hist/LeafHandler.ashx?n=PET&amp;s=MCREXUS1&amp;f=A" TargetMode="External"/><Relationship Id="rId39" Type="http://schemas.openxmlformats.org/officeDocument/2006/relationships/hyperlink" Target="https://www.eia.gov/dnav/pet/hist/LeafHandler.ashx?n=PET&amp;s=M_EPL2_VPP_NUS_MBBL&amp;f=A" TargetMode="External"/><Relationship Id="rId265" Type="http://schemas.openxmlformats.org/officeDocument/2006/relationships/hyperlink" Target="https://www.eia.gov/dnav/pet/hist/LeafHandler.ashx?n=PET&amp;s=MGARPUS1&amp;f=A" TargetMode="External"/><Relationship Id="rId286" Type="http://schemas.openxmlformats.org/officeDocument/2006/relationships/hyperlink" Target="https://www.eia.gov/dnav/pet/hist/LeafHandler.ashx?n=PET&amp;s=MDIRPUS1&amp;f=A" TargetMode="External"/><Relationship Id="rId50" Type="http://schemas.openxmlformats.org/officeDocument/2006/relationships/hyperlink" Target="https://www.eia.gov/dnav/pet/hist/LeafHandler.ashx?n=PET&amp;s=MPARP_NUS_1&amp;f=A" TargetMode="External"/><Relationship Id="rId104" Type="http://schemas.openxmlformats.org/officeDocument/2006/relationships/hyperlink" Target="https://www.eia.gov/dnav/pet/hist/LeafHandler.ashx?n=PET&amp;s=M_EPLLPY_SAE_NUS_MBBL&amp;f=A" TargetMode="External"/><Relationship Id="rId125" Type="http://schemas.openxmlformats.org/officeDocument/2006/relationships/hyperlink" Target="https://www.eia.gov/dnav/pet/hist/LeafHandler.ashx?n=PET&amp;s=MOHIMUS1&amp;f=A" TargetMode="External"/><Relationship Id="rId146" Type="http://schemas.openxmlformats.org/officeDocument/2006/relationships/hyperlink" Target="https://www.eia.gov/dnav/pet/hist/LeafHandler.ashx?n=PET&amp;s=M_EPOOR_SCG_NUS_MBBL&amp;f=A" TargetMode="External"/><Relationship Id="rId167" Type="http://schemas.openxmlformats.org/officeDocument/2006/relationships/hyperlink" Target="https://www.eia.gov/dnav/pet/hist/LeafHandler.ashx?n=PET&amp;s=M_EPOORDB_YNP_NUS_MBBL&amp;f=A" TargetMode="External"/><Relationship Id="rId188" Type="http://schemas.openxmlformats.org/officeDocument/2006/relationships/hyperlink" Target="https://www.eia.gov/dnav/pet/hist/LeafHandler.ashx?n=PET&amp;s=M_EPOORO_EEX_NUS-Z00_MBBL&amp;f=A" TargetMode="External"/><Relationship Id="rId311" Type="http://schemas.openxmlformats.org/officeDocument/2006/relationships/hyperlink" Target="https://www.eia.gov/dnav/pet/hist/LeafHandler.ashx?n=PET&amp;s=MDGIMUS1&amp;f=A" TargetMode="External"/><Relationship Id="rId332" Type="http://schemas.openxmlformats.org/officeDocument/2006/relationships/hyperlink" Target="https://www.eia.gov/dnav/pet/hist/LeafHandler.ashx?n=PET&amp;s=MRZSC_NUS_1&amp;f=A" TargetMode="External"/><Relationship Id="rId353" Type="http://schemas.openxmlformats.org/officeDocument/2006/relationships/hyperlink" Target="https://www.eia.gov/dnav/pet/hist/LeafHandler.ashx?n=PET&amp;s=MNSIMUS1&amp;f=A" TargetMode="External"/><Relationship Id="rId374" Type="http://schemas.openxmlformats.org/officeDocument/2006/relationships/hyperlink" Target="https://www.eia.gov/dnav/pet/hist/LeafHandler.ashx?n=PET&amp;s=MCKUPUS1&amp;f=A" TargetMode="External"/><Relationship Id="rId395" Type="http://schemas.openxmlformats.org/officeDocument/2006/relationships/hyperlink" Target="https://www.eia.gov/dnav/pet/hist/LeafHandler.ashx?n=PET&amp;s=MMSEXUS1&amp;f=A" TargetMode="External"/><Relationship Id="rId71" Type="http://schemas.openxmlformats.org/officeDocument/2006/relationships/hyperlink" Target="https://www.eia.gov/dnav/pet/hist/LeafHandler.ashx?n=PET&amp;s=M_EPLLBAI_SCG_NUS_MBBL&amp;f=A" TargetMode="External"/><Relationship Id="rId92" Type="http://schemas.openxmlformats.org/officeDocument/2006/relationships/hyperlink" Target="https://www.eia.gov/dnav/pet/hist/LeafHandler.ashx?n=PET&amp;s=M_EPLOLE_SCG_NUS_MBBL&amp;f=A" TargetMode="External"/><Relationship Id="rId213" Type="http://schemas.openxmlformats.org/officeDocument/2006/relationships/hyperlink" Target="https://www.eia.gov/dnav/pet/hist/LeafHandler.ashx?n=PET&amp;s=MO1IM_NUS-Z00_1&amp;f=A" TargetMode="External"/><Relationship Id="rId234" Type="http://schemas.openxmlformats.org/officeDocument/2006/relationships/hyperlink" Target="https://www.eia.gov/dnav/pet/hist/LeafHandler.ashx?n=PET&amp;s=M_EPP2_YNP_NUS_MBBL&amp;f=A" TargetMode="External"/><Relationship Id="rId2" Type="http://schemas.openxmlformats.org/officeDocument/2006/relationships/hyperlink" Target="https://www.eia.gov/dnav/pet/hist/LeafHandler.ashx?n=PET&amp;s=M_EP00_TVP_NUS_MBBL&amp;f=A" TargetMode="External"/><Relationship Id="rId29" Type="http://schemas.openxmlformats.org/officeDocument/2006/relationships/hyperlink" Target="https://www.eia.gov/dnav/pet/hist/LeafHandler.ashx?n=PET&amp;s=MNGUPUS1&amp;f=A" TargetMode="External"/><Relationship Id="rId255" Type="http://schemas.openxmlformats.org/officeDocument/2006/relationships/hyperlink" Target="https://www.eia.gov/dnav/pet/hist/LeafHandler.ashx?n=PET&amp;s=MGRUPUS1&amp;f=A" TargetMode="External"/><Relationship Id="rId276" Type="http://schemas.openxmlformats.org/officeDocument/2006/relationships/hyperlink" Target="https://www.eia.gov/dnav/pet/hist/LeafHandler.ashx?n=PET&amp;s=MKJUPUS1&amp;f=A" TargetMode="External"/><Relationship Id="rId297" Type="http://schemas.openxmlformats.org/officeDocument/2006/relationships/hyperlink" Target="https://www.eia.gov/dnav/pet/hist/LeafHandler.ashx?n=PET&amp;s=MD0SC_NUS_1&amp;f=A" TargetMode="External"/><Relationship Id="rId40" Type="http://schemas.openxmlformats.org/officeDocument/2006/relationships/hyperlink" Target="https://www.eia.gov/dnav/pet/hist/LeafHandler.ashx?n=PET&amp;s=M_EPL2_SAE_NUS_MBBL&amp;f=A" TargetMode="External"/><Relationship Id="rId115" Type="http://schemas.openxmlformats.org/officeDocument/2006/relationships/hyperlink" Target="https://www.eia.gov/dnav/pet/hist/LeafHandler.ashx?n=PET&amp;s=M_EPOL_TVP_NUS_MBBL&amp;f=A" TargetMode="External"/><Relationship Id="rId136" Type="http://schemas.openxmlformats.org/officeDocument/2006/relationships/hyperlink" Target="https://www.eia.gov/dnav/pet/hist/LeafHandler.ashx?n=PET&amp;s=M_EPOOXXFE_IM0_NUS-Z00_MBBL&amp;f=A" TargetMode="External"/><Relationship Id="rId157" Type="http://schemas.openxmlformats.org/officeDocument/2006/relationships/hyperlink" Target="https://www.eia.gov/dnav/pet/hist/LeafHandler.ashx?n=PET&amp;s=M_EPOOXE_VPP_NUS_MBBL&amp;f=A" TargetMode="External"/><Relationship Id="rId178" Type="http://schemas.openxmlformats.org/officeDocument/2006/relationships/hyperlink" Target="https://www.eia.gov/dnav/pet/hist/LeafHandler.ashx?n=PET&amp;s=M_EPOORDO_SCG_NUS_MBBL&amp;f=A" TargetMode="External"/><Relationship Id="rId301" Type="http://schemas.openxmlformats.org/officeDocument/2006/relationships/hyperlink" Target="https://www.eia.gov/dnav/pet/hist/LeafHandler.ashx?n=PET&amp;s=M_EPDM10_YNP_NUS_MBBL&amp;f=A" TargetMode="External"/><Relationship Id="rId322" Type="http://schemas.openxmlformats.org/officeDocument/2006/relationships/hyperlink" Target="https://www.eia.gov/dnav/pet/hist/LeafHandler.ashx?n=PET&amp;s=MRLRPUS1&amp;f=A" TargetMode="External"/><Relationship Id="rId343" Type="http://schemas.openxmlformats.org/officeDocument/2006/relationships/hyperlink" Target="https://www.eia.gov/dnav/pet/hist/LeafHandler.ashx?n=PET&amp;s=MNFEXUS1&amp;f=A" TargetMode="External"/><Relationship Id="rId364" Type="http://schemas.openxmlformats.org/officeDocument/2006/relationships/hyperlink" Target="https://www.eia.gov/dnav/pet/hist/LeafHandler.ashx?n=PET&amp;s=MWXRPUS1&amp;f=A" TargetMode="External"/><Relationship Id="rId61" Type="http://schemas.openxmlformats.org/officeDocument/2006/relationships/hyperlink" Target="https://www.eia.gov/dnav/pet/hist/LeafHandler.ashx?n=PET&amp;s=M_EPLLBAN_SCG_NUS_MBBL&amp;f=A" TargetMode="External"/><Relationship Id="rId82" Type="http://schemas.openxmlformats.org/officeDocument/2006/relationships/hyperlink" Target="https://www.eia.gov/dnav/pet/hist/LeafHandler.ashx?n=PET&amp;s=M_EPLLNG_EEX_NUS-Z00_MBBL&amp;f=A" TargetMode="External"/><Relationship Id="rId199" Type="http://schemas.openxmlformats.org/officeDocument/2006/relationships/hyperlink" Target="https://www.eia.gov/dnav/pet/hist/LeafHandler.ashx?n=PET&amp;s=MUOSCUS1&amp;f=A" TargetMode="External"/><Relationship Id="rId203" Type="http://schemas.openxmlformats.org/officeDocument/2006/relationships/hyperlink" Target="https://www.eia.gov/dnav/pet/hist/LeafHandler.ashx?n=PET&amp;s=MUOSTUS1&amp;f=A" TargetMode="External"/><Relationship Id="rId385" Type="http://schemas.openxmlformats.org/officeDocument/2006/relationships/hyperlink" Target="https://www.eia.gov/dnav/pet/hist/LeafHandler.ashx?n=PET&amp;s=MAPIMUS1&amp;f=A" TargetMode="External"/><Relationship Id="rId19" Type="http://schemas.openxmlformats.org/officeDocument/2006/relationships/hyperlink" Target="https://www.eia.gov/dnav/pet/hist/LeafHandler.ashx?n=PET&amp;s=MCRUPUS1&amp;f=A" TargetMode="External"/><Relationship Id="rId224" Type="http://schemas.openxmlformats.org/officeDocument/2006/relationships/hyperlink" Target="https://www.eia.gov/dnav/pet/hist/LeafHandler.ashx?n=PET&amp;s=MO5RI_NUS_1&amp;f=A" TargetMode="External"/><Relationship Id="rId245" Type="http://schemas.openxmlformats.org/officeDocument/2006/relationships/hyperlink" Target="https://www.eia.gov/dnav/pet/hist/LeafHandler.ashx?n=PET&amp;s=MGFUA_NUS_1&amp;f=A" TargetMode="External"/><Relationship Id="rId266" Type="http://schemas.openxmlformats.org/officeDocument/2006/relationships/hyperlink" Target="https://www.eia.gov/dnav/pet/hist/LeafHandler.ashx?n=PET&amp;s=MGAIMUS1&amp;f=A" TargetMode="External"/><Relationship Id="rId287" Type="http://schemas.openxmlformats.org/officeDocument/2006/relationships/hyperlink" Target="https://www.eia.gov/dnav/pet/hist/LeafHandler.ashx?n=PET&amp;s=MDIIMUS1&amp;f=A" TargetMode="External"/><Relationship Id="rId30" Type="http://schemas.openxmlformats.org/officeDocument/2006/relationships/hyperlink" Target="https://www.eia.gov/dnav/pet/hist/LeafHandler.ashx?n=PET&amp;s=MNGSTUS1&amp;f=A" TargetMode="External"/><Relationship Id="rId105" Type="http://schemas.openxmlformats.org/officeDocument/2006/relationships/hyperlink" Target="https://www.eia.gov/dnav/pet/hist/LeafHandler.ashx?n=PET&amp;s=MBYRPUS1&amp;f=A" TargetMode="External"/><Relationship Id="rId126" Type="http://schemas.openxmlformats.org/officeDocument/2006/relationships/hyperlink" Target="https://www.eia.gov/dnav/pet/hist/LeafHandler.ashx?n=PET&amp;s=MOHUA_NUS_1&amp;f=A" TargetMode="External"/><Relationship Id="rId147" Type="http://schemas.openxmlformats.org/officeDocument/2006/relationships/hyperlink" Target="https://www.eia.gov/dnav/pet/hist/LeafHandler.ashx?n=PET&amp;s=M_EPOOR_YIR_NUS_MBBL&amp;f=A" TargetMode="External"/><Relationship Id="rId168" Type="http://schemas.openxmlformats.org/officeDocument/2006/relationships/hyperlink" Target="https://www.eia.gov/dnav/pet/hist/LeafHandler.ashx?n=PET&amp;s=M_EPOORDB_IM0_NUS-Z00_MBBL&amp;f=A" TargetMode="External"/><Relationship Id="rId312" Type="http://schemas.openxmlformats.org/officeDocument/2006/relationships/hyperlink" Target="https://www.eia.gov/dnav/pet/hist/LeafHandler.ashx?n=PET&amp;s=MDGSCUS1&amp;f=A" TargetMode="External"/><Relationship Id="rId333" Type="http://schemas.openxmlformats.org/officeDocument/2006/relationships/hyperlink" Target="https://www.eia.gov/dnav/pet/hist/LeafHandler.ashx?n=PET&amp;s=MRGSTUS1&amp;f=A" TargetMode="External"/><Relationship Id="rId354" Type="http://schemas.openxmlformats.org/officeDocument/2006/relationships/hyperlink" Target="https://www.eia.gov/dnav/pet/hist/LeafHandler.ashx?n=PET&amp;s=MNSSCUS1&amp;f=A" TargetMode="External"/><Relationship Id="rId51" Type="http://schemas.openxmlformats.org/officeDocument/2006/relationships/hyperlink" Target="https://www.eia.gov/dnav/pet/hist/LeafHandler.ashx?n=PET&amp;s=MPAIM_NUS-Z00_1&amp;f=A" TargetMode="External"/><Relationship Id="rId72" Type="http://schemas.openxmlformats.org/officeDocument/2006/relationships/hyperlink" Target="https://www.eia.gov/dnav/pet/hist/LeafHandler.ashx?n=PET&amp;s=M_EPLLBAI_YIR_NUS_MBBL&amp;f=A" TargetMode="External"/><Relationship Id="rId93" Type="http://schemas.openxmlformats.org/officeDocument/2006/relationships/hyperlink" Target="https://www.eia.gov/dnav/pet/hist/LeafHandler.ashx?n=PET&amp;s=M_EPLOLE_VPP_NUS_MBBL&amp;f=A" TargetMode="External"/><Relationship Id="rId189" Type="http://schemas.openxmlformats.org/officeDocument/2006/relationships/hyperlink" Target="https://www.eia.gov/dnav/pet/hist/LeafHandler.ashx?n=PET&amp;s=M_EPOORO_VPP_NUS_MBBL&amp;f=A" TargetMode="External"/><Relationship Id="rId375" Type="http://schemas.openxmlformats.org/officeDocument/2006/relationships/hyperlink" Target="https://www.eia.gov/dnav/pet/hist/LeafHandler.ashx?n=PET&amp;s=MCKSTUS1&amp;f=A" TargetMode="External"/><Relationship Id="rId396" Type="http://schemas.openxmlformats.org/officeDocument/2006/relationships/hyperlink" Target="https://www.eia.gov/dnav/pet/hist/LeafHandler.ashx?n=PET&amp;s=MMSUPUS1&amp;f=A" TargetMode="External"/><Relationship Id="rId3" Type="http://schemas.openxmlformats.org/officeDocument/2006/relationships/hyperlink" Target="https://www.eia.gov/dnav/pet/hist/LeafHandler.ashx?n=PET&amp;s=M_EP00_YNP_NUS_MBBL&amp;f=A" TargetMode="External"/><Relationship Id="rId214" Type="http://schemas.openxmlformats.org/officeDocument/2006/relationships/hyperlink" Target="https://www.eia.gov/dnav/pet/hist/LeafHandler.ashx?n=PET&amp;s=MO1UA_NUS_1&amp;f=A" TargetMode="External"/><Relationship Id="rId235" Type="http://schemas.openxmlformats.org/officeDocument/2006/relationships/hyperlink" Target="https://www.eia.gov/dnav/pet/hist/LeafHandler.ashx?n=PET&amp;s=MTPRPUS1&amp;f=A" TargetMode="External"/><Relationship Id="rId256" Type="http://schemas.openxmlformats.org/officeDocument/2006/relationships/hyperlink" Target="https://www.eia.gov/dnav/pet/hist/LeafHandler.ashx?n=PET&amp;s=MGRSTUS1&amp;f=A" TargetMode="External"/><Relationship Id="rId277" Type="http://schemas.openxmlformats.org/officeDocument/2006/relationships/hyperlink" Target="https://www.eia.gov/dnav/pet/hist/LeafHandler.ashx?n=PET&amp;s=MKJSTUS1&amp;f=A" TargetMode="External"/><Relationship Id="rId298" Type="http://schemas.openxmlformats.org/officeDocument/2006/relationships/hyperlink" Target="https://www.eia.gov/dnav/pet/hist/LeafHandler.ashx?n=PET&amp;s=M_EPDXL0_EEX_NUS-Z00_MBBL&amp;f=A" TargetMode="External"/><Relationship Id="rId116" Type="http://schemas.openxmlformats.org/officeDocument/2006/relationships/hyperlink" Target="https://www.eia.gov/dnav/pet/hist/LeafHandler.ashx?n=PET&amp;s=M_EPOL_YNP_NUS_MBBL&amp;f=A" TargetMode="External"/><Relationship Id="rId137" Type="http://schemas.openxmlformats.org/officeDocument/2006/relationships/hyperlink" Target="https://www.eia.gov/dnav/pet/hist/LeafHandler.ashx?n=PET&amp;s=M_EPOOXXFE_VUA_NUS_MBBL&amp;f=A" TargetMode="External"/><Relationship Id="rId158" Type="http://schemas.openxmlformats.org/officeDocument/2006/relationships/hyperlink" Target="https://www.eia.gov/dnav/pet/hist/LeafHandler.ashx?n=PET&amp;s=MFESTUS1&amp;f=A" TargetMode="External"/><Relationship Id="rId302" Type="http://schemas.openxmlformats.org/officeDocument/2006/relationships/hyperlink" Target="https://www.eia.gov/dnav/pet/hist/LeafHandler.ashx?n=PET&amp;s=MD1RP_NUS_1&amp;f=A" TargetMode="External"/><Relationship Id="rId323" Type="http://schemas.openxmlformats.org/officeDocument/2006/relationships/hyperlink" Target="https://www.eia.gov/dnav/pet/hist/LeafHandler.ashx?n=PET&amp;s=MRXIMUS1&amp;f=A" TargetMode="External"/><Relationship Id="rId344" Type="http://schemas.openxmlformats.org/officeDocument/2006/relationships/hyperlink" Target="https://www.eia.gov/dnav/pet/hist/LeafHandler.ashx?n=PET&amp;s=MNFUPUS1&amp;f=A" TargetMode="External"/><Relationship Id="rId20" Type="http://schemas.openxmlformats.org/officeDocument/2006/relationships/hyperlink" Target="https://www.eia.gov/dnav/pet/hist/LeafHandler.ashx?n=PET&amp;s=MCRSTUS1&amp;f=A" TargetMode="External"/><Relationship Id="rId41" Type="http://schemas.openxmlformats.org/officeDocument/2006/relationships/hyperlink" Target="https://www.eia.gov/dnav/pet/hist/LeafHandler.ashx?n=PET&amp;s=M_EPLLEA_FPF_NUS_MBBL&amp;f=A" TargetMode="External"/><Relationship Id="rId62" Type="http://schemas.openxmlformats.org/officeDocument/2006/relationships/hyperlink" Target="https://www.eia.gov/dnav/pet/hist/LeafHandler.ashx?n=PET&amp;s=M_EPLLBAN_YIR_NUS_MBBL&amp;f=A" TargetMode="External"/><Relationship Id="rId83" Type="http://schemas.openxmlformats.org/officeDocument/2006/relationships/hyperlink" Target="https://www.eia.gov/dnav/pet/hist/LeafHandler.ashx?n=PET&amp;s=M_EPLLNG_VPP_NUS_MBBL&amp;f=A" TargetMode="External"/><Relationship Id="rId179" Type="http://schemas.openxmlformats.org/officeDocument/2006/relationships/hyperlink" Target="https://www.eia.gov/dnav/pet/hist/LeafHandler.ashx?n=PET&amp;s=M_EPOORDO_YIR_NUS_MBBL&amp;f=A" TargetMode="External"/><Relationship Id="rId365" Type="http://schemas.openxmlformats.org/officeDocument/2006/relationships/hyperlink" Target="https://www.eia.gov/dnav/pet/hist/LeafHandler.ashx?n=PET&amp;s=MWXIMUS1&amp;f=A" TargetMode="External"/><Relationship Id="rId386" Type="http://schemas.openxmlformats.org/officeDocument/2006/relationships/hyperlink" Target="https://www.eia.gov/dnav/pet/hist/LeafHandler.ashx?n=PET&amp;s=MAPSCUS1&amp;f=A" TargetMode="External"/><Relationship Id="rId190" Type="http://schemas.openxmlformats.org/officeDocument/2006/relationships/hyperlink" Target="https://www.eia.gov/dnav/pet/hist/LeafHandler.ashx?n=PET&amp;s=M_EPOORO_SAE_NUS_MBBL&amp;f=A" TargetMode="External"/><Relationship Id="rId204" Type="http://schemas.openxmlformats.org/officeDocument/2006/relationships/hyperlink" Target="https://www.eia.gov/dnav/pet/hist/LeafHandler.ashx?n=PET&amp;s=M_EPOBG_YNP_NUS_MBBL&amp;f=A" TargetMode="External"/><Relationship Id="rId225" Type="http://schemas.openxmlformats.org/officeDocument/2006/relationships/hyperlink" Target="https://www.eia.gov/dnav/pet/hist/LeafHandler.ashx?n=PET&amp;s=MO5EX_NUS-Z00_1&amp;f=A" TargetMode="External"/><Relationship Id="rId246" Type="http://schemas.openxmlformats.org/officeDocument/2006/relationships/hyperlink" Target="https://www.eia.gov/dnav/pet/hist/LeafHandler.ashx?n=PET&amp;s=MGFSCUS1&amp;f=A" TargetMode="External"/><Relationship Id="rId267" Type="http://schemas.openxmlformats.org/officeDocument/2006/relationships/hyperlink" Target="https://www.eia.gov/dnav/pet/hist/LeafHandler.ashx?n=PET&amp;s=MGASCUS1&amp;f=A" TargetMode="External"/><Relationship Id="rId288" Type="http://schemas.openxmlformats.org/officeDocument/2006/relationships/hyperlink" Target="https://www.eia.gov/dnav/pet/hist/LeafHandler.ashx?n=PET&amp;s=M_EPD0_VUA_NUS_1&amp;f=A" TargetMode="External"/><Relationship Id="rId106" Type="http://schemas.openxmlformats.org/officeDocument/2006/relationships/hyperlink" Target="https://www.eia.gov/dnav/pet/hist/LeafHandler.ashx?n=PET&amp;s=MBYIMUS1&amp;f=A" TargetMode="External"/><Relationship Id="rId127" Type="http://schemas.openxmlformats.org/officeDocument/2006/relationships/hyperlink" Target="https://www.eia.gov/dnav/pet/hist/LeafHandler.ashx?n=PET&amp;s=MOHSCUS1&amp;f=A" TargetMode="External"/><Relationship Id="rId313" Type="http://schemas.openxmlformats.org/officeDocument/2006/relationships/hyperlink" Target="https://www.eia.gov/dnav/pet/hist/LeafHandler.ashx?n=PET&amp;s=MDGEXUS1&amp;f=A" TargetMode="External"/><Relationship Id="rId10" Type="http://schemas.openxmlformats.org/officeDocument/2006/relationships/hyperlink" Target="https://www.eia.gov/dnav/pet/hist/LeafHandler.ashx?n=PET&amp;s=MTTUPUS1&amp;f=A" TargetMode="External"/><Relationship Id="rId31" Type="http://schemas.openxmlformats.org/officeDocument/2006/relationships/hyperlink" Target="https://www.eia.gov/dnav/pet/hist/LeafHandler.ashx?n=PET&amp;s=M_EPL2_FPF_NUS_MBBL&amp;f=A" TargetMode="External"/><Relationship Id="rId52" Type="http://schemas.openxmlformats.org/officeDocument/2006/relationships/hyperlink" Target="https://www.eia.gov/dnav/pet/hist/LeafHandler.ashx?n=PET&amp;s=M_EPLLPA_SCG_NUS_MBBL&amp;f=A" TargetMode="External"/><Relationship Id="rId73" Type="http://schemas.openxmlformats.org/officeDocument/2006/relationships/hyperlink" Target="https://www.eia.gov/dnav/pet/hist/LeafHandler.ashx?n=PET&amp;s=M_EPLLBAI_EEX_NUS-Z00_1&amp;f=A" TargetMode="External"/><Relationship Id="rId94" Type="http://schemas.openxmlformats.org/officeDocument/2006/relationships/hyperlink" Target="https://www.eia.gov/dnav/pet/hist/LeafHandler.ashx?n=PET&amp;s=M_EPLOLE_SAE_NUS_MBBL&amp;f=A" TargetMode="External"/><Relationship Id="rId148" Type="http://schemas.openxmlformats.org/officeDocument/2006/relationships/hyperlink" Target="https://www.eia.gov/dnav/pet/hist/LeafHandler.ashx?n=PET&amp;s=M_EPOOR_EEX_NUS-Z00_MBBL&amp;f=A" TargetMode="External"/><Relationship Id="rId169" Type="http://schemas.openxmlformats.org/officeDocument/2006/relationships/hyperlink" Target="https://www.eia.gov/dnav/pet/hist/LeafHandler.ashx?n=PET&amp;s=M_EPOORDB_VUA_NUS_MBBL&amp;f=A" TargetMode="External"/><Relationship Id="rId334" Type="http://schemas.openxmlformats.org/officeDocument/2006/relationships/hyperlink" Target="https://www.eia.gov/dnav/pet/hist/LeafHandler.ashx?n=PET&amp;s=MPCRPUS1&amp;f=A" TargetMode="External"/><Relationship Id="rId355" Type="http://schemas.openxmlformats.org/officeDocument/2006/relationships/hyperlink" Target="https://www.eia.gov/dnav/pet/hist/LeafHandler.ashx?n=PET&amp;s=MNSEXUS1&amp;f=A" TargetMode="External"/><Relationship Id="rId376" Type="http://schemas.openxmlformats.org/officeDocument/2006/relationships/hyperlink" Target="https://www.eia.gov/dnav/pet/hist/LeafHandler.ashx?n=PET&amp;s=MCMRPUS1&amp;f=A" TargetMode="External"/><Relationship Id="rId397" Type="http://schemas.openxmlformats.org/officeDocument/2006/relationships/hyperlink" Target="https://www.eia.gov/dnav/pet/hist/LeafHandler.ashx?n=PET&amp;s=MMSSTUS1&amp;f=A" TargetMode="External"/><Relationship Id="rId4" Type="http://schemas.openxmlformats.org/officeDocument/2006/relationships/hyperlink" Target="https://www.eia.gov/dnav/pet/hist/LeafHandler.ashx?n=PET&amp;s=MTTRPUS1&amp;f=A" TargetMode="External"/><Relationship Id="rId180" Type="http://schemas.openxmlformats.org/officeDocument/2006/relationships/hyperlink" Target="https://www.eia.gov/dnav/pet/hist/LeafHandler.ashx?n=PET&amp;s=M_EPOORDO_EEX_NUS-Z00_MBBL&amp;f=A" TargetMode="External"/><Relationship Id="rId215" Type="http://schemas.openxmlformats.org/officeDocument/2006/relationships/hyperlink" Target="https://www.eia.gov/dnav/pet/hist/LeafHandler.ashx?n=PET&amp;s=MO1SC_NUS_1&amp;f=A" TargetMode="External"/><Relationship Id="rId236" Type="http://schemas.openxmlformats.org/officeDocument/2006/relationships/hyperlink" Target="https://www.eia.gov/dnav/pet/hist/LeafHandler.ashx?n=PET&amp;s=MTPIMUS1&amp;f=A" TargetMode="External"/><Relationship Id="rId257" Type="http://schemas.openxmlformats.org/officeDocument/2006/relationships/hyperlink" Target="https://www.eia.gov/dnav/pet/hist/LeafHandler.ashx?n=PET&amp;s=M_EPM0C_YNP_NUS_MBBL&amp;f=A" TargetMode="External"/><Relationship Id="rId278" Type="http://schemas.openxmlformats.org/officeDocument/2006/relationships/hyperlink" Target="https://www.eia.gov/dnav/pet/hist/LeafHandler.ashx?n=PET&amp;s=M_EPPK_YNP_NUS_MBBL&amp;f=A" TargetMode="External"/><Relationship Id="rId303" Type="http://schemas.openxmlformats.org/officeDocument/2006/relationships/hyperlink" Target="https://www.eia.gov/dnav/pet/hist/LeafHandler.ashx?n=PET&amp;s=MD1IM_NUS-Z00_1&amp;f=A" TargetMode="External"/><Relationship Id="rId42" Type="http://schemas.openxmlformats.org/officeDocument/2006/relationships/hyperlink" Target="https://www.eia.gov/dnav/pet/hist/LeafHandler.ashx?n=PET&amp;s=MENRPUS1&amp;f=A" TargetMode="External"/><Relationship Id="rId84" Type="http://schemas.openxmlformats.org/officeDocument/2006/relationships/hyperlink" Target="https://www.eia.gov/dnav/pet/hist/LeafHandler.ashx?n=PET&amp;s=M_EPLLNG_SAE_NUS_MBBL&amp;f=A" TargetMode="External"/><Relationship Id="rId138" Type="http://schemas.openxmlformats.org/officeDocument/2006/relationships/hyperlink" Target="https://www.eia.gov/dnav/pet/hist/LeafHandler.ashx?n=PET&amp;s=M_EPOOXXFE_SCG_NUS_MBBL&amp;f=A" TargetMode="External"/><Relationship Id="rId345" Type="http://schemas.openxmlformats.org/officeDocument/2006/relationships/hyperlink" Target="https://www.eia.gov/dnav/pet/hist/LeafHandler.ashx?n=PET&amp;s=MNFSTUS1&amp;f=A" TargetMode="External"/><Relationship Id="rId387" Type="http://schemas.openxmlformats.org/officeDocument/2006/relationships/hyperlink" Target="https://www.eia.gov/dnav/pet/hist/LeafHandler.ashx?n=PET&amp;s=MAPEXUS1&amp;f=A" TargetMode="External"/><Relationship Id="rId191" Type="http://schemas.openxmlformats.org/officeDocument/2006/relationships/hyperlink" Target="https://www.eia.gov/dnav/pet/hist/LeafHandler.ashx?n=PET&amp;s=M_EPOOOXH_IM0_NUS-Z00_MBBL&amp;f=A" TargetMode="External"/><Relationship Id="rId205" Type="http://schemas.openxmlformats.org/officeDocument/2006/relationships/hyperlink" Target="https://www.eia.gov/dnav/pet/hist/LeafHandler.ashx?n=PET&amp;s=MBCIMUS1&amp;f=A" TargetMode="External"/><Relationship Id="rId247" Type="http://schemas.openxmlformats.org/officeDocument/2006/relationships/hyperlink" Target="https://www.eia.gov/dnav/pet/hist/LeafHandler.ashx?n=PET&amp;s=MGFEXUS1&amp;f=A" TargetMode="External"/><Relationship Id="rId107" Type="http://schemas.openxmlformats.org/officeDocument/2006/relationships/hyperlink" Target="https://www.eia.gov/dnav/pet/hist/LeafHandler.ashx?n=PET&amp;s=M_EPLLBYN_SCG_NUS_MBBL&amp;f=A" TargetMode="External"/><Relationship Id="rId289" Type="http://schemas.openxmlformats.org/officeDocument/2006/relationships/hyperlink" Target="https://www.eia.gov/dnav/pet/hist/LeafHandler.ashx?n=PET&amp;s=MDISCUS1&amp;f=A" TargetMode="External"/><Relationship Id="rId11" Type="http://schemas.openxmlformats.org/officeDocument/2006/relationships/hyperlink" Target="https://www.eia.gov/dnav/pet/hist/LeafHandler.ashx?n=PET&amp;s=MTTSTUS1&amp;f=A" TargetMode="External"/><Relationship Id="rId53" Type="http://schemas.openxmlformats.org/officeDocument/2006/relationships/hyperlink" Target="https://www.eia.gov/dnav/pet/hist/LeafHandler.ashx?n=PET&amp;s=MPAEX_NUS-Z00_1&amp;f=A" TargetMode="External"/><Relationship Id="rId149" Type="http://schemas.openxmlformats.org/officeDocument/2006/relationships/hyperlink" Target="https://www.eia.gov/dnav/pet/hist/LeafHandler.ashx?n=PET&amp;s=M_EPOOR_VPP_NUS_MBBL&amp;f=A" TargetMode="External"/><Relationship Id="rId314" Type="http://schemas.openxmlformats.org/officeDocument/2006/relationships/hyperlink" Target="https://www.eia.gov/dnav/pet/hist/LeafHandler.ashx?n=PET&amp;s=MDGUPUS1&amp;f=A" TargetMode="External"/><Relationship Id="rId356" Type="http://schemas.openxmlformats.org/officeDocument/2006/relationships/hyperlink" Target="https://www.eia.gov/dnav/pet/hist/LeafHandler.ashx?n=PET&amp;s=MNSUPUS1&amp;f=A" TargetMode="External"/><Relationship Id="rId95" Type="http://schemas.openxmlformats.org/officeDocument/2006/relationships/hyperlink" Target="https://www.eia.gov/dnav/pet/hist/LeafHandler.ashx?n=PET&amp;s=MEYRPUS1&amp;f=A" TargetMode="External"/><Relationship Id="rId160" Type="http://schemas.openxmlformats.org/officeDocument/2006/relationships/hyperlink" Target="https://www.eia.gov/dnav/pet/hist/LeafHandler.ashx?n=PET&amp;s=M_EPOORXFE_IM0_NUS-Z00_MBBL&amp;f=A" TargetMode="External"/><Relationship Id="rId216" Type="http://schemas.openxmlformats.org/officeDocument/2006/relationships/hyperlink" Target="https://www.eia.gov/dnav/pet/hist/LeafHandler.ashx?n=PET&amp;s=MO1RI_NUS_1&amp;f=A" TargetMode="External"/><Relationship Id="rId258" Type="http://schemas.openxmlformats.org/officeDocument/2006/relationships/hyperlink" Target="https://www.eia.gov/dnav/pet/hist/LeafHandler.ashx?n=PET&amp;s=MG4RP_NUS_1&amp;f=A" TargetMode="External"/><Relationship Id="rId22" Type="http://schemas.openxmlformats.org/officeDocument/2006/relationships/hyperlink" Target="https://www.eia.gov/dnav/pet/hist/LeafHandler.ashx?n=PET&amp;s=M_EPL0_TVP_NUS_MBBL&amp;f=A" TargetMode="External"/><Relationship Id="rId64" Type="http://schemas.openxmlformats.org/officeDocument/2006/relationships/hyperlink" Target="https://www.eia.gov/dnav/pet/hist/LeafHandler.ashx?n=PET&amp;s=M_EPLLBAN_VPP_NUS_MBBL&amp;f=A" TargetMode="External"/><Relationship Id="rId118" Type="http://schemas.openxmlformats.org/officeDocument/2006/relationships/hyperlink" Target="https://www.eia.gov/dnav/pet/hist/LeafHandler.ashx?n=PET&amp;s=MOLUA_NUS_1&amp;f=A" TargetMode="External"/><Relationship Id="rId325" Type="http://schemas.openxmlformats.org/officeDocument/2006/relationships/hyperlink" Target="https://www.eia.gov/dnav/pet/hist/LeafHandler.ashx?n=PET&amp;s=MRLSTUS1&amp;f=A" TargetMode="External"/><Relationship Id="rId367" Type="http://schemas.openxmlformats.org/officeDocument/2006/relationships/hyperlink" Target="https://www.eia.gov/dnav/pet/hist/LeafHandler.ashx?n=PET&amp;s=MWXEXUS1&amp;f=A" TargetMode="External"/><Relationship Id="rId171" Type="http://schemas.openxmlformats.org/officeDocument/2006/relationships/hyperlink" Target="https://www.eia.gov/dnav/pet/hist/LeafHandler.ashx?n=PET&amp;s=M_EPOORDB_YIR_NUS_MBBL&amp;f=A" TargetMode="External"/><Relationship Id="rId227" Type="http://schemas.openxmlformats.org/officeDocument/2006/relationships/hyperlink" Target="https://www.eia.gov/dnav/pet/hist/LeafHandler.ashx?n=PET&amp;s=MO5ST_NUS_1&amp;f=A" TargetMode="External"/><Relationship Id="rId269" Type="http://schemas.openxmlformats.org/officeDocument/2006/relationships/hyperlink" Target="https://www.eia.gov/dnav/pet/hist/LeafHandler.ashx?n=PET&amp;s=MGAUPUS1&amp;f=A" TargetMode="External"/><Relationship Id="rId33" Type="http://schemas.openxmlformats.org/officeDocument/2006/relationships/hyperlink" Target="https://www.eia.gov/dnav/pet/hist/LeafHandler.ashx?n=PET&amp;s=M_EPL2_YNP_NUS_MBBL&amp;f=A" TargetMode="External"/><Relationship Id="rId129" Type="http://schemas.openxmlformats.org/officeDocument/2006/relationships/hyperlink" Target="https://www.eia.gov/dnav/pet/hist/LeafHandler.ashx?n=PET&amp;s=MOHEXUS1&amp;f=A" TargetMode="External"/><Relationship Id="rId280" Type="http://schemas.openxmlformats.org/officeDocument/2006/relationships/hyperlink" Target="https://www.eia.gov/dnav/pet/hist/LeafHandler.ashx?n=PET&amp;s=MKEIMUS1&amp;f=A" TargetMode="External"/><Relationship Id="rId336" Type="http://schemas.openxmlformats.org/officeDocument/2006/relationships/hyperlink" Target="https://www.eia.gov/dnav/pet/hist/LeafHandler.ashx?n=PET&amp;s=MPCSC_NUS_1&amp;f=A" TargetMode="External"/><Relationship Id="rId75" Type="http://schemas.openxmlformats.org/officeDocument/2006/relationships/hyperlink" Target="https://www.eia.gov/dnav/pet/hist/LeafHandler.ashx?n=PET&amp;s=M_EPLLBAI_SAE_NUS_MBBL&amp;f=A" TargetMode="External"/><Relationship Id="rId140" Type="http://schemas.openxmlformats.org/officeDocument/2006/relationships/hyperlink" Target="https://www.eia.gov/dnav/pet/hist/LeafHandler.ashx?n=PET&amp;s=M_EPOOXXFE_EEX_NUS-Z00_MBBL&amp;f=A" TargetMode="External"/><Relationship Id="rId182" Type="http://schemas.openxmlformats.org/officeDocument/2006/relationships/hyperlink" Target="https://www.eia.gov/dnav/pet/hist/LeafHandler.ashx?n=PET&amp;s=M_EPOORDO_SAE_NUS_MBBL&amp;f=A" TargetMode="External"/><Relationship Id="rId378" Type="http://schemas.openxmlformats.org/officeDocument/2006/relationships/hyperlink" Target="https://www.eia.gov/dnav/pet/hist/LeafHandler.ashx?n=PET&amp;s=MCMSC_NUS_1&amp;f=A" TargetMode="External"/><Relationship Id="rId6" Type="http://schemas.openxmlformats.org/officeDocument/2006/relationships/hyperlink" Target="https://www.eia.gov/dnav/pet/hist/LeafHandler.ashx?n=PET&amp;s=MTTUA_NUS_1&amp;f=A" TargetMode="External"/><Relationship Id="rId238" Type="http://schemas.openxmlformats.org/officeDocument/2006/relationships/hyperlink" Target="https://www.eia.gov/dnav/pet/hist/LeafHandler.ashx?n=PET&amp;s=MTPSCUS1&amp;f=A" TargetMode="External"/><Relationship Id="rId291" Type="http://schemas.openxmlformats.org/officeDocument/2006/relationships/hyperlink" Target="https://www.eia.gov/dnav/pet/hist/LeafHandler.ashx?n=PET&amp;s=MDIUPUS1&amp;f=A" TargetMode="External"/><Relationship Id="rId305" Type="http://schemas.openxmlformats.org/officeDocument/2006/relationships/hyperlink" Target="https://www.eia.gov/dnav/pet/hist/LeafHandler.ashx?n=PET&amp;s=MD1SC_NUS_1&amp;f=A" TargetMode="External"/><Relationship Id="rId347" Type="http://schemas.openxmlformats.org/officeDocument/2006/relationships/hyperlink" Target="https://www.eia.gov/dnav/pet/hist/LeafHandler.ashx?n=PET&amp;s=MOTIMUS1&amp;f=A" TargetMode="External"/><Relationship Id="rId44" Type="http://schemas.openxmlformats.org/officeDocument/2006/relationships/hyperlink" Target="https://www.eia.gov/dnav/pet/hist/LeafHandler.ashx?n=PET&amp;s=M_EPLLEA_SCG_NUS_MBBL&amp;f=A" TargetMode="External"/><Relationship Id="rId86" Type="http://schemas.openxmlformats.org/officeDocument/2006/relationships/hyperlink" Target="https://www.eia.gov/dnav/pet/hist/LeafHandler.ashx?n=PET&amp;s=M_EPLLCS_TVP_NUS_MBBL&amp;f=A" TargetMode="External"/><Relationship Id="rId151" Type="http://schemas.openxmlformats.org/officeDocument/2006/relationships/hyperlink" Target="https://www.eia.gov/dnav/pet/hist/LeafHandler.ashx?n=PET&amp;s=M_EPOOXE_YNP_NUS_MBBL&amp;f=A" TargetMode="External"/><Relationship Id="rId389" Type="http://schemas.openxmlformats.org/officeDocument/2006/relationships/hyperlink" Target="https://www.eia.gov/dnav/pet/hist/LeafHandler.ashx?n=PET&amp;s=MAPSTUS1&amp;f=A" TargetMode="External"/><Relationship Id="rId193" Type="http://schemas.openxmlformats.org/officeDocument/2006/relationships/hyperlink" Target="https://www.eia.gov/dnav/pet/hist/LeafHandler.ashx?n=PET&amp;s=M_EPOOOXH_SCG_NUS_MBBL&amp;f=A" TargetMode="External"/><Relationship Id="rId207" Type="http://schemas.openxmlformats.org/officeDocument/2006/relationships/hyperlink" Target="https://www.eia.gov/dnav/pet/hist/LeafHandler.ashx?n=PET&amp;s=MBCSCUS1&amp;f=A" TargetMode="External"/><Relationship Id="rId249" Type="http://schemas.openxmlformats.org/officeDocument/2006/relationships/hyperlink" Target="https://www.eia.gov/dnav/pet/hist/LeafHandler.ashx?n=PET&amp;s=MGFSTUS1&amp;f=A" TargetMode="External"/><Relationship Id="rId13" Type="http://schemas.openxmlformats.org/officeDocument/2006/relationships/hyperlink" Target="https://www.eia.gov/dnav/pet/hist/LeafHandler.ashx?n=PET&amp;s=M_EPC0_TVP_NUS_MBBL&amp;f=A" TargetMode="External"/><Relationship Id="rId109" Type="http://schemas.openxmlformats.org/officeDocument/2006/relationships/hyperlink" Target="https://www.eia.gov/dnav/pet/hist/LeafHandler.ashx?n=PET&amp;s=M_EPLLBYN_SAE_NUS_MBBL&amp;f=A" TargetMode="External"/><Relationship Id="rId260" Type="http://schemas.openxmlformats.org/officeDocument/2006/relationships/hyperlink" Target="https://www.eia.gov/dnav/pet/hist/LeafHandler.ashx?n=PET&amp;s=MG4UA_NUS_1&amp;f=A" TargetMode="External"/><Relationship Id="rId316" Type="http://schemas.openxmlformats.org/officeDocument/2006/relationships/hyperlink" Target="https://www.eia.gov/dnav/pet/hist/LeafHandler.ashx?n=PET&amp;s=MRERPUS1&amp;f=A" TargetMode="External"/><Relationship Id="rId55" Type="http://schemas.openxmlformats.org/officeDocument/2006/relationships/hyperlink" Target="https://www.eia.gov/dnav/pet/hist/LeafHandler.ashx?n=PET&amp;s=M_EPLLPA_SAE_NUS_MBBL&amp;f=A" TargetMode="External"/><Relationship Id="rId97" Type="http://schemas.openxmlformats.org/officeDocument/2006/relationships/hyperlink" Target="https://www.eia.gov/dnav/pet/hist/LeafHandler.ashx?n=PET&amp;s=M_EPLLEY_SCG_NUS_MBBL&amp;f=A" TargetMode="External"/><Relationship Id="rId120" Type="http://schemas.openxmlformats.org/officeDocument/2006/relationships/hyperlink" Target="https://www.eia.gov/dnav/pet/hist/LeafHandler.ashx?n=PET&amp;s=MOLRIUS1&amp;f=A" TargetMode="External"/><Relationship Id="rId358" Type="http://schemas.openxmlformats.org/officeDocument/2006/relationships/hyperlink" Target="https://www.eia.gov/dnav/pet/hist/LeafHandler.ashx?n=PET&amp;s=MLURPUS1&amp;f=A" TargetMode="External"/><Relationship Id="rId162" Type="http://schemas.openxmlformats.org/officeDocument/2006/relationships/hyperlink" Target="https://www.eia.gov/dnav/pet/hist/LeafHandler.ashx?n=PET&amp;s=M_EPOORXFE_SCG_NUS_MBBL&amp;f=A" TargetMode="External"/><Relationship Id="rId218" Type="http://schemas.openxmlformats.org/officeDocument/2006/relationships/hyperlink" Target="https://www.eia.gov/dnav/pet/hist/LeafHandler.ashx?n=PET&amp;s=MO1UP_NUS_1&amp;f=A" TargetMode="External"/><Relationship Id="rId271" Type="http://schemas.openxmlformats.org/officeDocument/2006/relationships/hyperlink" Target="https://www.eia.gov/dnav/pet/hist/LeafHandler.ashx?n=PET&amp;s=M_EPJK_YNP_NUS_MBBL&amp;f=A" TargetMode="External"/><Relationship Id="rId24" Type="http://schemas.openxmlformats.org/officeDocument/2006/relationships/hyperlink" Target="https://www.eia.gov/dnav/pet/hist/LeafHandler.ashx?n=PET&amp;s=MNGRPUS1&amp;f=A" TargetMode="External"/><Relationship Id="rId66" Type="http://schemas.openxmlformats.org/officeDocument/2006/relationships/hyperlink" Target="https://www.eia.gov/dnav/pet/hist/LeafHandler.ashx?n=PET&amp;s=M_EPLLBAI_FPF_NUS_MBBL&amp;f=A" TargetMode="External"/><Relationship Id="rId131" Type="http://schemas.openxmlformats.org/officeDocument/2006/relationships/hyperlink" Target="https://www.eia.gov/dnav/pet/hist/LeafHandler.ashx?n=PET&amp;s=MOHSTUS1&amp;f=A" TargetMode="External"/><Relationship Id="rId327" Type="http://schemas.openxmlformats.org/officeDocument/2006/relationships/hyperlink" Target="https://www.eia.gov/dnav/pet/hist/LeafHandler.ashx?n=PET&amp;s=MRYIMUS1&amp;f=A" TargetMode="External"/><Relationship Id="rId369" Type="http://schemas.openxmlformats.org/officeDocument/2006/relationships/hyperlink" Target="https://www.eia.gov/dnav/pet/hist/LeafHandler.ashx?n=PET&amp;s=MWXSTUS1&amp;f=A" TargetMode="External"/><Relationship Id="rId173" Type="http://schemas.openxmlformats.org/officeDocument/2006/relationships/hyperlink" Target="https://www.eia.gov/dnav/pet/hist/LeafHandler.ashx?n=PET&amp;s=M_EPOORDB_VPP_NUS_MBBL&amp;f=A" TargetMode="External"/><Relationship Id="rId229" Type="http://schemas.openxmlformats.org/officeDocument/2006/relationships/hyperlink" Target="https://www.eia.gov/dnav/pet/hist/LeafHandler.ashx?n=PET&amp;s=MBASCUS1&amp;f=A" TargetMode="External"/><Relationship Id="rId380" Type="http://schemas.openxmlformats.org/officeDocument/2006/relationships/hyperlink" Target="https://www.eia.gov/dnav/pet/hist/LeafHandler.ashx?n=PET&amp;s=MCMUP_NUS_1&amp;f=A" TargetMode="External"/><Relationship Id="rId240" Type="http://schemas.openxmlformats.org/officeDocument/2006/relationships/hyperlink" Target="https://www.eia.gov/dnav/pet/hist/LeafHandler.ashx?n=PET&amp;s=MTPUPUS1&amp;f=A" TargetMode="External"/><Relationship Id="rId35" Type="http://schemas.openxmlformats.org/officeDocument/2006/relationships/hyperlink" Target="https://www.eia.gov/dnav/pet/hist/LeafHandler.ashx?n=PET&amp;s=M_EPL2_IM0_NUS-Z00_MBBL&amp;f=A" TargetMode="External"/><Relationship Id="rId77" Type="http://schemas.openxmlformats.org/officeDocument/2006/relationships/hyperlink" Target="https://www.eia.gov/dnav/pet/hist/LeafHandler.ashx?n=PET&amp;s=M_EPLLNG_TVP_NUS_MBBL&amp;f=A" TargetMode="External"/><Relationship Id="rId100" Type="http://schemas.openxmlformats.org/officeDocument/2006/relationships/hyperlink" Target="https://www.eia.gov/dnav/pet/hist/LeafHandler.ashx?n=PET&amp;s=MPLRPUS1&amp;f=A" TargetMode="External"/><Relationship Id="rId282" Type="http://schemas.openxmlformats.org/officeDocument/2006/relationships/hyperlink" Target="https://www.eia.gov/dnav/pet/hist/LeafHandler.ashx?n=PET&amp;s=MKEEXUS1&amp;f=A" TargetMode="External"/><Relationship Id="rId338" Type="http://schemas.openxmlformats.org/officeDocument/2006/relationships/hyperlink" Target="https://www.eia.gov/dnav/pet/hist/LeafHandler.ashx?n=PET&amp;s=MPCUP_NUS_1&amp;f=A" TargetMode="External"/><Relationship Id="rId8" Type="http://schemas.openxmlformats.org/officeDocument/2006/relationships/hyperlink" Target="https://www.eia.gov/dnav/pet/hist/LeafHandler.ashx?n=PET&amp;s=MTTRIUS1&amp;f=A" TargetMode="External"/><Relationship Id="rId142" Type="http://schemas.openxmlformats.org/officeDocument/2006/relationships/hyperlink" Target="https://www.eia.gov/dnav/pet/hist/LeafHandler.ashx?n=PET&amp;s=M_EPOOXXFE_SAE_NUS_MBBL&amp;f=A" TargetMode="External"/><Relationship Id="rId184" Type="http://schemas.openxmlformats.org/officeDocument/2006/relationships/hyperlink" Target="https://www.eia.gov/dnav/pet/hist/LeafHandler.ashx?n=PET&amp;s=M_EPOORO_IM0_NUS-Z00_MBBL&amp;f=A" TargetMode="External"/><Relationship Id="rId391" Type="http://schemas.openxmlformats.org/officeDocument/2006/relationships/hyperlink" Target="https://www.eia.gov/dnav/pet/hist/LeafHandler.ashx?n=PET&amp;s=MSGUPUS1&amp;f=A" TargetMode="External"/><Relationship Id="rId251" Type="http://schemas.openxmlformats.org/officeDocument/2006/relationships/hyperlink" Target="https://www.eia.gov/dnav/pet/hist/LeafHandler.ashx?n=PET&amp;s=MGRIMUS1&amp;f=A" TargetMode="External"/><Relationship Id="rId46" Type="http://schemas.openxmlformats.org/officeDocument/2006/relationships/hyperlink" Target="https://www.eia.gov/dnav/pet/hist/LeafHandler.ashx?n=PET&amp;s=M_EPLLEA_VPP_NUS_MBBL&amp;f=A" TargetMode="External"/><Relationship Id="rId293" Type="http://schemas.openxmlformats.org/officeDocument/2006/relationships/hyperlink" Target="https://www.eia.gov/dnav/pet/hist/LeafHandler.ashx?n=PET&amp;s=M_EPDXL0_YNP_NUS_MBBL&amp;f=A" TargetMode="External"/><Relationship Id="rId307" Type="http://schemas.openxmlformats.org/officeDocument/2006/relationships/hyperlink" Target="https://www.eia.gov/dnav/pet/hist/LeafHandler.ashx?n=PET&amp;s=MD1UP_NUS_1&amp;f=A" TargetMode="External"/><Relationship Id="rId349" Type="http://schemas.openxmlformats.org/officeDocument/2006/relationships/hyperlink" Target="https://www.eia.gov/dnav/pet/hist/LeafHandler.ashx?n=PET&amp;s=MOTEXUS1&amp;f=A" TargetMode="External"/><Relationship Id="rId88" Type="http://schemas.openxmlformats.org/officeDocument/2006/relationships/hyperlink" Target="https://www.eia.gov/dnav/pet/hist/LeafHandler.ashx?n=PET&amp;s=M_EPLLCS_VPP_NUS_MBBL&amp;f=A" TargetMode="External"/><Relationship Id="rId111" Type="http://schemas.openxmlformats.org/officeDocument/2006/relationships/hyperlink" Target="https://www.eia.gov/dnav/pet/hist/LeafHandler.ashx?n=PET&amp;s=MIYIMUS1&amp;f=A" TargetMode="External"/><Relationship Id="rId153" Type="http://schemas.openxmlformats.org/officeDocument/2006/relationships/hyperlink" Target="https://www.eia.gov/dnav/pet/hist/LeafHandler.ashx?n=PET&amp;s=M_EPOOXE_VUA_NUS_MBBL&amp;f=A" TargetMode="External"/><Relationship Id="rId195" Type="http://schemas.openxmlformats.org/officeDocument/2006/relationships/hyperlink" Target="https://www.eia.gov/dnav/pet/hist/LeafHandler.ashx?n=PET&amp;s=M_EPOOOXH_VPP_NUS_MBBL&amp;f=A" TargetMode="External"/><Relationship Id="rId209" Type="http://schemas.openxmlformats.org/officeDocument/2006/relationships/hyperlink" Target="https://www.eia.gov/dnav/pet/hist/LeafHandler.ashx?n=PET&amp;s=MBCEXUS1&amp;f=A" TargetMode="External"/><Relationship Id="rId360" Type="http://schemas.openxmlformats.org/officeDocument/2006/relationships/hyperlink" Target="https://www.eia.gov/dnav/pet/hist/LeafHandler.ashx?n=PET&amp;s=MLUSCUS1&amp;f=A" TargetMode="External"/><Relationship Id="rId220" Type="http://schemas.openxmlformats.org/officeDocument/2006/relationships/hyperlink" Target="https://www.eia.gov/dnav/pet/hist/LeafHandler.ashx?n=PET&amp;s=M_EPOBGC0_YNP_NUS_MBBL&amp;f=A" TargetMode="External"/><Relationship Id="rId15" Type="http://schemas.openxmlformats.org/officeDocument/2006/relationships/hyperlink" Target="https://www.eia.gov/dnav/pet/hist/LeafHandler.ashx?n=PET&amp;s=MCRUA_NUS_1&amp;f=A" TargetMode="External"/><Relationship Id="rId57" Type="http://schemas.openxmlformats.org/officeDocument/2006/relationships/hyperlink" Target="https://www.eia.gov/dnav/pet/hist/LeafHandler.ashx?n=PET&amp;s=M_EPLLBAN_TVP_NUS_MBBL&amp;f=A" TargetMode="External"/><Relationship Id="rId262" Type="http://schemas.openxmlformats.org/officeDocument/2006/relationships/hyperlink" Target="https://www.eia.gov/dnav/pet/hist/LeafHandler.ashx?n=PET&amp;s=MG4EX_NUS-Z00_1&amp;f=A" TargetMode="External"/><Relationship Id="rId318" Type="http://schemas.openxmlformats.org/officeDocument/2006/relationships/hyperlink" Target="https://www.eia.gov/dnav/pet/hist/LeafHandler.ashx?n=PET&amp;s=MRESCUS1&amp;f=A" TargetMode="External"/><Relationship Id="rId99" Type="http://schemas.openxmlformats.org/officeDocument/2006/relationships/hyperlink" Target="https://www.eia.gov/dnav/pet/hist/LeafHandler.ashx?n=PET&amp;s=M_EPLLEY_SAE_NUS_MBBL&amp;f=A" TargetMode="External"/><Relationship Id="rId122" Type="http://schemas.openxmlformats.org/officeDocument/2006/relationships/hyperlink" Target="https://www.eia.gov/dnav/pet/hist/LeafHandler.ashx?n=PET&amp;s=MOLUPUS1&amp;f=A" TargetMode="External"/><Relationship Id="rId164" Type="http://schemas.openxmlformats.org/officeDocument/2006/relationships/hyperlink" Target="https://www.eia.gov/dnav/pet/hist/LeafHandler.ashx?n=PET&amp;s=M_EPOORXFE_EEX_NUS-Z00_MBBL&amp;f=A" TargetMode="External"/><Relationship Id="rId371" Type="http://schemas.openxmlformats.org/officeDocument/2006/relationships/hyperlink" Target="https://www.eia.gov/dnav/pet/hist/LeafHandler.ashx?n=PET&amp;s=MCKIMUS1&amp;f=A" TargetMode="External"/><Relationship Id="rId26" Type="http://schemas.openxmlformats.org/officeDocument/2006/relationships/hyperlink" Target="https://www.eia.gov/dnav/pet/hist/LeafHandler.ashx?n=PET&amp;s=MNGSCUS1&amp;f=A" TargetMode="External"/><Relationship Id="rId231" Type="http://schemas.openxmlformats.org/officeDocument/2006/relationships/hyperlink" Target="https://www.eia.gov/dnav/pet/hist/LeafHandler.ashx?n=PET&amp;s=MBAEXUS1&amp;f=A" TargetMode="External"/><Relationship Id="rId273" Type="http://schemas.openxmlformats.org/officeDocument/2006/relationships/hyperlink" Target="https://www.eia.gov/dnav/pet/hist/LeafHandler.ashx?n=PET&amp;s=MKJIMUS1&amp;f=A" TargetMode="External"/><Relationship Id="rId329" Type="http://schemas.openxmlformats.org/officeDocument/2006/relationships/hyperlink" Target="https://www.eia.gov/dnav/pet/hist/LeafHandler.ashx?n=PET&amp;s=MRMSTUS1&amp;f=A" TargetMode="External"/><Relationship Id="rId68" Type="http://schemas.openxmlformats.org/officeDocument/2006/relationships/hyperlink" Target="https://www.eia.gov/dnav/pet/hist/LeafHandler.ashx?n=PET&amp;s=M_EPLLBAI_YNP_NUS_MBBL&amp;f=A" TargetMode="External"/><Relationship Id="rId133" Type="http://schemas.openxmlformats.org/officeDocument/2006/relationships/hyperlink" Target="https://www.eia.gov/dnav/pet/hist/LeafHandler.ashx?n=PET&amp;s=M_EPOOOH_YIR_NUS_MBBL&amp;f=A" TargetMode="External"/><Relationship Id="rId175" Type="http://schemas.openxmlformats.org/officeDocument/2006/relationships/hyperlink" Target="https://www.eia.gov/dnav/pet/hist/LeafHandler.ashx?n=PET&amp;s=M_EPOORDO_YNP_NUS_MBBL&amp;f=A" TargetMode="External"/><Relationship Id="rId340" Type="http://schemas.openxmlformats.org/officeDocument/2006/relationships/hyperlink" Target="https://www.eia.gov/dnav/pet/hist/LeafHandler.ashx?n=PET&amp;s=MNFRPUS1&amp;f=A" TargetMode="External"/><Relationship Id="rId200" Type="http://schemas.openxmlformats.org/officeDocument/2006/relationships/hyperlink" Target="https://www.eia.gov/dnav/pet/hist/LeafHandler.ashx?n=PET&amp;s=MUORIUS1&amp;f=A" TargetMode="External"/><Relationship Id="rId382" Type="http://schemas.openxmlformats.org/officeDocument/2006/relationships/hyperlink" Target="https://www.eia.gov/dnav/pet/hist/LeafHandler.ashx?n=PET&amp;s=MCORPUS1&amp;f=A" TargetMode="External"/><Relationship Id="rId242" Type="http://schemas.openxmlformats.org/officeDocument/2006/relationships/hyperlink" Target="https://www.eia.gov/dnav/pet/hist/LeafHandler.ashx?n=PET&amp;s=M_EPM0F_YNP_NUS_MBBL&amp;f=A" TargetMode="External"/><Relationship Id="rId284" Type="http://schemas.openxmlformats.org/officeDocument/2006/relationships/hyperlink" Target="https://www.eia.gov/dnav/pet/hist/LeafHandler.ashx?n=PET&amp;s=MKESTUS1&amp;f=A"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5"/>
  <sheetViews>
    <sheetView topLeftCell="A25" workbookViewId="0">
      <selection activeCell="B46" sqref="B46"/>
    </sheetView>
  </sheetViews>
  <sheetFormatPr defaultRowHeight="14.4"/>
  <cols>
    <col min="2" max="2" width="82.6640625" customWidth="1"/>
  </cols>
  <sheetData>
    <row r="1" spans="1:4">
      <c r="A1" s="1" t="s">
        <v>450</v>
      </c>
    </row>
    <row r="2" spans="1:4">
      <c r="A2" s="1" t="s">
        <v>451</v>
      </c>
    </row>
    <row r="3" spans="1:4">
      <c r="A3" s="1" t="s">
        <v>452</v>
      </c>
    </row>
    <row r="5" spans="1:4">
      <c r="A5" s="1" t="s">
        <v>0</v>
      </c>
      <c r="B5" s="2" t="s">
        <v>1</v>
      </c>
    </row>
    <row r="6" spans="1:4">
      <c r="B6" t="s">
        <v>2</v>
      </c>
    </row>
    <row r="7" spans="1:4">
      <c r="B7" s="3" t="s">
        <v>547</v>
      </c>
    </row>
    <row r="8" spans="1:4">
      <c r="B8" t="s">
        <v>3</v>
      </c>
    </row>
    <row r="9" spans="1:4">
      <c r="B9" s="4" t="s">
        <v>4</v>
      </c>
    </row>
    <row r="10" spans="1:4">
      <c r="B10" t="s">
        <v>548</v>
      </c>
    </row>
    <row r="12" spans="1:4">
      <c r="B12" s="2" t="s">
        <v>551</v>
      </c>
    </row>
    <row r="13" spans="1:4">
      <c r="B13" t="s">
        <v>2</v>
      </c>
    </row>
    <row r="14" spans="1:4">
      <c r="B14" s="3">
        <v>2025</v>
      </c>
    </row>
    <row r="15" spans="1:4">
      <c r="B15" t="s">
        <v>552</v>
      </c>
    </row>
    <row r="16" spans="1:4">
      <c r="B16" t="s">
        <v>549</v>
      </c>
      <c r="D16" s="4"/>
    </row>
    <row r="18" spans="2:2">
      <c r="B18" s="2" t="s">
        <v>553</v>
      </c>
    </row>
    <row r="19" spans="2:2">
      <c r="B19" t="s">
        <v>2</v>
      </c>
    </row>
    <row r="20" spans="2:2">
      <c r="B20" s="3">
        <v>2025</v>
      </c>
    </row>
    <row r="21" spans="2:2">
      <c r="B21" t="s">
        <v>554</v>
      </c>
    </row>
    <row r="22" spans="2:2">
      <c r="B22" t="s">
        <v>555</v>
      </c>
    </row>
    <row r="24" spans="2:2">
      <c r="B24" s="2" t="s">
        <v>130</v>
      </c>
    </row>
    <row r="25" spans="2:2">
      <c r="B25" t="s">
        <v>2</v>
      </c>
    </row>
    <row r="26" spans="2:2">
      <c r="B26" s="3">
        <v>2025</v>
      </c>
    </row>
    <row r="27" spans="2:2">
      <c r="B27" t="s">
        <v>564</v>
      </c>
    </row>
    <row r="28" spans="2:2">
      <c r="B28" t="s">
        <v>563</v>
      </c>
    </row>
    <row r="29" spans="2:2">
      <c r="B29" t="s">
        <v>556</v>
      </c>
    </row>
    <row r="30" spans="2:2">
      <c r="B30" t="s">
        <v>558</v>
      </c>
    </row>
    <row r="31" spans="2:2">
      <c r="B31" t="s">
        <v>559</v>
      </c>
    </row>
    <row r="33" spans="2:2">
      <c r="B33" s="2" t="s">
        <v>5</v>
      </c>
    </row>
    <row r="34" spans="2:2">
      <c r="B34" t="s">
        <v>2</v>
      </c>
    </row>
    <row r="35" spans="2:2">
      <c r="B35" s="3">
        <v>2025</v>
      </c>
    </row>
    <row r="36" spans="2:2">
      <c r="B36" t="s">
        <v>569</v>
      </c>
    </row>
    <row r="37" spans="2:2">
      <c r="B37" s="4" t="s">
        <v>568</v>
      </c>
    </row>
    <row r="38" spans="2:2">
      <c r="B38" t="s">
        <v>567</v>
      </c>
    </row>
    <row r="40" spans="2:2">
      <c r="B40" s="2" t="s">
        <v>577</v>
      </c>
    </row>
    <row r="41" spans="2:2">
      <c r="B41" t="s">
        <v>2</v>
      </c>
    </row>
    <row r="42" spans="2:2">
      <c r="B42" s="3">
        <v>2026</v>
      </c>
    </row>
    <row r="43" spans="2:2">
      <c r="B43" t="s">
        <v>750</v>
      </c>
    </row>
    <row r="44" spans="2:2">
      <c r="B44" s="4" t="s">
        <v>6</v>
      </c>
    </row>
    <row r="45" spans="2:2">
      <c r="B45" t="s">
        <v>751</v>
      </c>
    </row>
    <row r="47" spans="2:2">
      <c r="B47" s="2" t="s">
        <v>135</v>
      </c>
    </row>
    <row r="48" spans="2:2">
      <c r="B48" t="s">
        <v>573</v>
      </c>
    </row>
    <row r="49" spans="2:2">
      <c r="B49" s="3">
        <v>2025</v>
      </c>
    </row>
    <row r="50" spans="2:2">
      <c r="B50" t="s">
        <v>572</v>
      </c>
    </row>
    <row r="51" spans="2:2">
      <c r="B51" s="4" t="s">
        <v>571</v>
      </c>
    </row>
    <row r="52" spans="2:2">
      <c r="B52" t="s">
        <v>574</v>
      </c>
    </row>
    <row r="54" spans="2:2">
      <c r="B54" s="2" t="s">
        <v>420</v>
      </c>
    </row>
    <row r="55" spans="2:2">
      <c r="B55" t="s">
        <v>416</v>
      </c>
    </row>
    <row r="56" spans="2:2">
      <c r="B56" s="3">
        <v>2023</v>
      </c>
    </row>
    <row r="57" spans="2:2">
      <c r="B57" t="s">
        <v>486</v>
      </c>
    </row>
    <row r="58" spans="2:2">
      <c r="B58" s="192" t="s">
        <v>579</v>
      </c>
    </row>
    <row r="59" spans="2:2">
      <c r="B59" t="s">
        <v>578</v>
      </c>
    </row>
    <row r="61" spans="2:2">
      <c r="B61" s="2" t="s">
        <v>421</v>
      </c>
    </row>
    <row r="62" spans="2:2">
      <c r="B62" t="s">
        <v>417</v>
      </c>
    </row>
    <row r="63" spans="2:2">
      <c r="B63" s="3">
        <v>2019</v>
      </c>
    </row>
    <row r="64" spans="2:2">
      <c r="B64" t="s">
        <v>455</v>
      </c>
    </row>
    <row r="65" spans="1:2">
      <c r="B65" s="4" t="s">
        <v>418</v>
      </c>
    </row>
    <row r="66" spans="1:2">
      <c r="B66" t="s">
        <v>419</v>
      </c>
    </row>
    <row r="68" spans="1:2">
      <c r="B68" s="2" t="s">
        <v>422</v>
      </c>
    </row>
    <row r="69" spans="1:2">
      <c r="B69" t="s">
        <v>423</v>
      </c>
    </row>
    <row r="70" spans="1:2">
      <c r="B70" s="3">
        <v>2019</v>
      </c>
    </row>
    <row r="71" spans="1:2">
      <c r="B71" t="s">
        <v>425</v>
      </c>
    </row>
    <row r="72" spans="1:2">
      <c r="B72" s="4" t="s">
        <v>424</v>
      </c>
    </row>
    <row r="73" spans="1:2">
      <c r="B73" s="197"/>
    </row>
    <row r="74" spans="1:2">
      <c r="A74" s="1" t="s">
        <v>7</v>
      </c>
    </row>
    <row r="76" spans="1:2">
      <c r="A76" s="1" t="s">
        <v>435</v>
      </c>
    </row>
    <row r="77" spans="1:2">
      <c r="A77" t="s">
        <v>430</v>
      </c>
    </row>
    <row r="78" spans="1:2">
      <c r="A78" t="s">
        <v>431</v>
      </c>
    </row>
    <row r="79" spans="1:2">
      <c r="A79" t="s">
        <v>432</v>
      </c>
    </row>
    <row r="80" spans="1:2">
      <c r="A80" t="s">
        <v>433</v>
      </c>
    </row>
    <row r="81" spans="1:1">
      <c r="A81" t="s">
        <v>434</v>
      </c>
    </row>
    <row r="83" spans="1:1">
      <c r="A83" s="1" t="s">
        <v>436</v>
      </c>
    </row>
    <row r="84" spans="1:1">
      <c r="A84" t="s">
        <v>449</v>
      </c>
    </row>
    <row r="85" spans="1:1">
      <c r="A85" t="s">
        <v>444</v>
      </c>
    </row>
    <row r="86" spans="1:1">
      <c r="A86" t="s">
        <v>447</v>
      </c>
    </row>
    <row r="87" spans="1:1">
      <c r="A87" t="s">
        <v>448</v>
      </c>
    </row>
    <row r="89" spans="1:1">
      <c r="A89" s="1" t="s">
        <v>440</v>
      </c>
    </row>
    <row r="90" spans="1:1">
      <c r="A90" t="s">
        <v>441</v>
      </c>
    </row>
    <row r="91" spans="1:1">
      <c r="A91" t="s">
        <v>442</v>
      </c>
    </row>
    <row r="92" spans="1:1">
      <c r="A92" t="s">
        <v>443</v>
      </c>
    </row>
    <row r="94" spans="1:1">
      <c r="A94" s="1" t="s">
        <v>437</v>
      </c>
    </row>
    <row r="95" spans="1:1">
      <c r="A95" t="s">
        <v>8</v>
      </c>
    </row>
    <row r="96" spans="1:1">
      <c r="A96" t="s">
        <v>9</v>
      </c>
    </row>
    <row r="97" spans="1:1">
      <c r="A97" t="s">
        <v>10</v>
      </c>
    </row>
    <row r="98" spans="1:1">
      <c r="A98" t="s">
        <v>11</v>
      </c>
    </row>
    <row r="99" spans="1:1">
      <c r="A99" t="s">
        <v>438</v>
      </c>
    </row>
    <row r="100" spans="1:1">
      <c r="A100" t="s">
        <v>12</v>
      </c>
    </row>
    <row r="101" spans="1:1">
      <c r="A101" t="s">
        <v>439</v>
      </c>
    </row>
    <row r="103" spans="1:1">
      <c r="A103" s="1" t="s">
        <v>757</v>
      </c>
    </row>
    <row r="104" spans="1:1">
      <c r="A104" t="s">
        <v>758</v>
      </c>
    </row>
    <row r="105" spans="1:1">
      <c r="A105" t="s">
        <v>759</v>
      </c>
    </row>
  </sheetData>
  <hyperlinks>
    <hyperlink ref="B44" r:id="rId1" xr:uid="{00000000-0004-0000-0000-000000000000}"/>
    <hyperlink ref="B72" r:id="rId2" xr:uid="{00000000-0004-0000-0000-000009000000}"/>
    <hyperlink ref="B65" r:id="rId3" xr:uid="{000A6849-BB52-4934-B731-3641C10054B8}"/>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7"/>
  <sheetViews>
    <sheetView workbookViewId="0"/>
  </sheetViews>
  <sheetFormatPr defaultRowHeight="14.4"/>
  <cols>
    <col min="1" max="1" width="28.5546875" customWidth="1"/>
    <col min="2" max="2" width="44" customWidth="1"/>
    <col min="3" max="3" width="12.33203125" customWidth="1"/>
    <col min="4" max="4" width="19.33203125" customWidth="1"/>
    <col min="5" max="5" width="13.109375" customWidth="1"/>
    <col min="10" max="10" width="12.33203125" customWidth="1"/>
  </cols>
  <sheetData>
    <row r="1" spans="1:13">
      <c r="B1" s="1" t="s">
        <v>13</v>
      </c>
      <c r="C1" s="1" t="s">
        <v>14</v>
      </c>
      <c r="D1" s="1"/>
      <c r="E1" s="1" t="s">
        <v>15</v>
      </c>
    </row>
    <row r="2" spans="1:13" ht="16.5" customHeight="1">
      <c r="C2" s="266" t="s">
        <v>16</v>
      </c>
      <c r="D2" s="266"/>
      <c r="E2" s="266"/>
      <c r="F2" s="266"/>
      <c r="G2" s="266"/>
      <c r="H2" s="266"/>
      <c r="I2" s="267" t="s">
        <v>17</v>
      </c>
      <c r="J2" s="267"/>
      <c r="K2" s="267"/>
      <c r="L2" s="267"/>
      <c r="M2" s="268" t="s">
        <v>18</v>
      </c>
    </row>
    <row r="3" spans="1:13" ht="36.6">
      <c r="C3" s="8" t="s">
        <v>19</v>
      </c>
      <c r="D3" s="8" t="s">
        <v>20</v>
      </c>
      <c r="E3" s="8" t="s">
        <v>21</v>
      </c>
      <c r="F3" s="8" t="s">
        <v>22</v>
      </c>
      <c r="G3" s="8" t="s">
        <v>23</v>
      </c>
      <c r="H3" s="8" t="s">
        <v>24</v>
      </c>
      <c r="I3" s="9" t="s">
        <v>25</v>
      </c>
      <c r="J3" s="9" t="s">
        <v>26</v>
      </c>
      <c r="K3" s="9" t="s">
        <v>27</v>
      </c>
      <c r="L3" s="9" t="s">
        <v>28</v>
      </c>
      <c r="M3" s="268"/>
    </row>
    <row r="4" spans="1:13">
      <c r="A4" t="str">
        <f t="shared" ref="A4:A6" si="0">TRIM(B4)</f>
        <v>Crude Oil &amp; Petroleum Products</v>
      </c>
      <c r="B4" s="10" t="s">
        <v>29</v>
      </c>
      <c r="C4" s="11">
        <v>4794078</v>
      </c>
      <c r="D4" s="11">
        <v>437131</v>
      </c>
      <c r="E4" s="11">
        <v>7408771</v>
      </c>
      <c r="F4" s="11">
        <v>3702640</v>
      </c>
      <c r="G4" s="12"/>
      <c r="H4" s="11">
        <v>137262</v>
      </c>
      <c r="I4" s="13">
        <v>-135002</v>
      </c>
      <c r="J4" s="13">
        <v>7003159</v>
      </c>
      <c r="K4" s="13">
        <v>2327156</v>
      </c>
      <c r="L4" s="13">
        <v>7284569</v>
      </c>
      <c r="M4" s="11">
        <v>1894570</v>
      </c>
    </row>
    <row r="5" spans="1:13">
      <c r="A5" t="str">
        <f t="shared" si="0"/>
        <v>Crude Oil</v>
      </c>
      <c r="B5" s="10" t="s">
        <v>30</v>
      </c>
      <c r="C5" s="204">
        <v>4083494</v>
      </c>
      <c r="D5" s="206" t="s">
        <v>31</v>
      </c>
      <c r="E5" s="206" t="s">
        <v>31</v>
      </c>
      <c r="F5" s="204">
        <v>2230000</v>
      </c>
      <c r="G5" s="206"/>
      <c r="H5" s="204">
        <v>194916</v>
      </c>
      <c r="I5" s="204">
        <v>-108241</v>
      </c>
      <c r="J5" s="204">
        <v>5529012</v>
      </c>
      <c r="K5" s="204">
        <v>1087638</v>
      </c>
      <c r="L5" s="204">
        <v>0</v>
      </c>
      <c r="M5" s="204">
        <v>1015102</v>
      </c>
    </row>
    <row r="6" spans="1:13">
      <c r="A6" t="str">
        <f t="shared" si="0"/>
        <v>Hydrocarbon Gas Liquids</v>
      </c>
      <c r="B6" s="10" t="s">
        <v>32</v>
      </c>
      <c r="C6" s="204">
        <v>1970031</v>
      </c>
      <c r="D6" s="204">
        <v>-7941</v>
      </c>
      <c r="E6" s="204">
        <v>225172</v>
      </c>
      <c r="F6" s="204">
        <v>63125</v>
      </c>
      <c r="G6" s="206"/>
      <c r="H6" s="206" t="s">
        <v>31</v>
      </c>
      <c r="I6" s="204">
        <v>-40797</v>
      </c>
      <c r="J6" s="204">
        <v>198527</v>
      </c>
      <c r="K6" s="204">
        <v>848015</v>
      </c>
      <c r="L6" s="204">
        <v>1244642</v>
      </c>
      <c r="M6" s="204">
        <v>188360</v>
      </c>
    </row>
    <row r="7" spans="1:13">
      <c r="A7" t="str">
        <f>TRIM(B7)</f>
        <v>Natural Gas Liquids</v>
      </c>
      <c r="B7" s="14" t="s">
        <v>33</v>
      </c>
      <c r="C7" s="204">
        <v>1970031</v>
      </c>
      <c r="D7" s="204">
        <v>-7941</v>
      </c>
      <c r="E7" s="204">
        <v>120757</v>
      </c>
      <c r="F7" s="204">
        <v>57128</v>
      </c>
      <c r="G7" s="206"/>
      <c r="H7" s="206" t="s">
        <v>31</v>
      </c>
      <c r="I7" s="204">
        <v>-40636</v>
      </c>
      <c r="J7" s="204">
        <v>198527</v>
      </c>
      <c r="K7" s="204">
        <v>848015</v>
      </c>
      <c r="L7" s="204">
        <v>1134069</v>
      </c>
      <c r="M7" s="204">
        <v>186272</v>
      </c>
    </row>
    <row r="8" spans="1:13">
      <c r="A8" t="str">
        <f t="shared" ref="A8:A57" si="1">TRIM(B8)</f>
        <v>Ethane</v>
      </c>
      <c r="B8" s="15" t="s">
        <v>34</v>
      </c>
      <c r="C8" s="204">
        <v>781560</v>
      </c>
      <c r="D8" s="206" t="s">
        <v>31</v>
      </c>
      <c r="E8" s="204">
        <v>1505</v>
      </c>
      <c r="F8" s="204" t="s">
        <v>35</v>
      </c>
      <c r="G8" s="206"/>
      <c r="H8" s="206" t="s">
        <v>31</v>
      </c>
      <c r="I8" s="204">
        <v>-9779</v>
      </c>
      <c r="J8" s="206"/>
      <c r="K8" s="204">
        <v>147584</v>
      </c>
      <c r="L8" s="204">
        <v>645260</v>
      </c>
      <c r="M8" s="204">
        <v>59821</v>
      </c>
    </row>
    <row r="9" spans="1:13">
      <c r="A9" t="str">
        <f t="shared" si="1"/>
        <v>Propane</v>
      </c>
      <c r="B9" s="15" t="s">
        <v>36</v>
      </c>
      <c r="C9" s="204">
        <v>632906</v>
      </c>
      <c r="D9" s="206" t="s">
        <v>31</v>
      </c>
      <c r="E9" s="204">
        <v>101344</v>
      </c>
      <c r="F9" s="204">
        <v>41465</v>
      </c>
      <c r="G9" s="206"/>
      <c r="H9" s="206" t="s">
        <v>31</v>
      </c>
      <c r="I9" s="204">
        <v>-8358</v>
      </c>
      <c r="J9" s="206"/>
      <c r="K9" s="204">
        <v>477616</v>
      </c>
      <c r="L9" s="204">
        <v>306457</v>
      </c>
      <c r="M9" s="204">
        <v>62077</v>
      </c>
    </row>
    <row r="10" spans="1:13">
      <c r="A10" t="str">
        <f t="shared" si="1"/>
        <v>Normal Butane</v>
      </c>
      <c r="B10" s="15" t="s">
        <v>37</v>
      </c>
      <c r="C10" s="204">
        <v>180543</v>
      </c>
      <c r="D10" s="206" t="s">
        <v>35</v>
      </c>
      <c r="E10" s="204">
        <v>20998</v>
      </c>
      <c r="F10" s="204">
        <v>13237</v>
      </c>
      <c r="G10" s="206"/>
      <c r="H10" s="206" t="s">
        <v>31</v>
      </c>
      <c r="I10" s="204">
        <v>-7626</v>
      </c>
      <c r="J10" s="204">
        <v>66056</v>
      </c>
      <c r="K10" s="204">
        <v>149693</v>
      </c>
      <c r="L10" s="204">
        <v>6655</v>
      </c>
      <c r="M10" s="204">
        <v>34017</v>
      </c>
    </row>
    <row r="11" spans="1:13">
      <c r="A11" t="str">
        <f t="shared" si="1"/>
        <v>Isobutane</v>
      </c>
      <c r="B11" s="15" t="s">
        <v>38</v>
      </c>
      <c r="C11" s="204">
        <v>153863</v>
      </c>
      <c r="D11" s="206" t="s">
        <v>35</v>
      </c>
      <c r="E11" s="204">
        <v>-3090</v>
      </c>
      <c r="F11" s="204">
        <v>2358</v>
      </c>
      <c r="G11" s="206"/>
      <c r="H11" s="206" t="s">
        <v>31</v>
      </c>
      <c r="I11" s="204">
        <v>-2667</v>
      </c>
      <c r="J11" s="204">
        <v>71652</v>
      </c>
      <c r="K11" s="204">
        <v>1181</v>
      </c>
      <c r="L11" s="204">
        <v>82965</v>
      </c>
      <c r="M11" s="204">
        <v>9674</v>
      </c>
    </row>
    <row r="12" spans="1:13">
      <c r="A12" t="str">
        <f t="shared" si="1"/>
        <v>Natural Gasoline</v>
      </c>
      <c r="B12" s="15" t="s">
        <v>39</v>
      </c>
      <c r="C12" s="204">
        <v>221159</v>
      </c>
      <c r="D12" s="204">
        <v>-7941</v>
      </c>
      <c r="E12" s="206"/>
      <c r="F12" s="204">
        <v>68</v>
      </c>
      <c r="G12" s="206"/>
      <c r="H12" s="206" t="s">
        <v>31</v>
      </c>
      <c r="I12" s="204">
        <v>-12206</v>
      </c>
      <c r="J12" s="204">
        <v>60819</v>
      </c>
      <c r="K12" s="204">
        <v>71941</v>
      </c>
      <c r="L12" s="204">
        <v>92732</v>
      </c>
      <c r="M12" s="204">
        <v>20683</v>
      </c>
    </row>
    <row r="13" spans="1:13">
      <c r="A13" t="str">
        <f t="shared" si="1"/>
        <v>Refinery Olefins</v>
      </c>
      <c r="B13" s="14" t="s">
        <v>40</v>
      </c>
      <c r="C13" s="206" t="s">
        <v>31</v>
      </c>
      <c r="D13" s="206" t="s">
        <v>31</v>
      </c>
      <c r="E13" s="204">
        <v>104415</v>
      </c>
      <c r="F13" s="204">
        <v>5997</v>
      </c>
      <c r="G13" s="206"/>
      <c r="H13" s="206" t="s">
        <v>31</v>
      </c>
      <c r="I13" s="204">
        <v>-161</v>
      </c>
      <c r="J13" s="206" t="s">
        <v>31</v>
      </c>
      <c r="K13" s="206" t="s">
        <v>31</v>
      </c>
      <c r="L13" s="204">
        <v>110573</v>
      </c>
      <c r="M13" s="204">
        <v>2088</v>
      </c>
    </row>
    <row r="14" spans="1:13">
      <c r="A14" t="str">
        <f t="shared" si="1"/>
        <v>Ethylene</v>
      </c>
      <c r="B14" s="15" t="s">
        <v>41</v>
      </c>
      <c r="C14" s="206" t="s">
        <v>31</v>
      </c>
      <c r="D14" s="206" t="s">
        <v>31</v>
      </c>
      <c r="E14" s="204">
        <v>277</v>
      </c>
      <c r="F14" s="204" t="s">
        <v>35</v>
      </c>
      <c r="G14" s="206"/>
      <c r="H14" s="206" t="s">
        <v>31</v>
      </c>
      <c r="I14" s="204">
        <v>0</v>
      </c>
      <c r="J14" s="206" t="s">
        <v>31</v>
      </c>
      <c r="K14" s="206" t="s">
        <v>31</v>
      </c>
      <c r="L14" s="204">
        <v>277</v>
      </c>
      <c r="M14" s="204">
        <v>0</v>
      </c>
    </row>
    <row r="15" spans="1:13">
      <c r="A15" t="str">
        <f t="shared" si="1"/>
        <v>Propylene</v>
      </c>
      <c r="B15" s="15" t="s">
        <v>42</v>
      </c>
      <c r="C15" s="206" t="s">
        <v>31</v>
      </c>
      <c r="D15" s="206" t="s">
        <v>31</v>
      </c>
      <c r="E15" s="204">
        <v>106126</v>
      </c>
      <c r="F15" s="204">
        <v>5243</v>
      </c>
      <c r="G15" s="206"/>
      <c r="H15" s="206" t="s">
        <v>31</v>
      </c>
      <c r="I15" s="204">
        <v>-90</v>
      </c>
      <c r="J15" s="206" t="s">
        <v>31</v>
      </c>
      <c r="K15" s="206" t="s">
        <v>31</v>
      </c>
      <c r="L15" s="204">
        <v>111459</v>
      </c>
      <c r="M15" s="204">
        <v>1397</v>
      </c>
    </row>
    <row r="16" spans="1:13">
      <c r="A16" t="str">
        <f t="shared" si="1"/>
        <v>Normal Butylene</v>
      </c>
      <c r="B16" s="15" t="s">
        <v>43</v>
      </c>
      <c r="C16" s="12" t="s">
        <v>31</v>
      </c>
      <c r="D16" s="12" t="s">
        <v>31</v>
      </c>
      <c r="E16" s="11">
        <v>-2397</v>
      </c>
      <c r="F16" s="11">
        <v>2433</v>
      </c>
      <c r="G16" s="12"/>
      <c r="H16" s="12" t="s">
        <v>31</v>
      </c>
      <c r="I16" s="13">
        <v>-1165</v>
      </c>
      <c r="J16" s="16" t="s">
        <v>31</v>
      </c>
      <c r="K16" s="16" t="s">
        <v>31</v>
      </c>
      <c r="L16" s="13">
        <v>1201</v>
      </c>
      <c r="M16" s="11">
        <v>1204</v>
      </c>
    </row>
    <row r="17" spans="1:13">
      <c r="A17" t="str">
        <f t="shared" si="1"/>
        <v>Isobutylene</v>
      </c>
      <c r="B17" s="15" t="s">
        <v>44</v>
      </c>
      <c r="C17" s="12" t="s">
        <v>31</v>
      </c>
      <c r="D17" s="12" t="s">
        <v>31</v>
      </c>
      <c r="E17" s="11">
        <v>286</v>
      </c>
      <c r="F17" s="11" t="s">
        <v>35</v>
      </c>
      <c r="G17" s="12"/>
      <c r="H17" s="12" t="s">
        <v>31</v>
      </c>
      <c r="I17" s="13">
        <v>6</v>
      </c>
      <c r="J17" s="16" t="s">
        <v>31</v>
      </c>
      <c r="K17" s="16" t="s">
        <v>31</v>
      </c>
      <c r="L17" s="13">
        <v>280</v>
      </c>
      <c r="M17" s="11">
        <v>30</v>
      </c>
    </row>
    <row r="18" spans="1:13">
      <c r="A18" t="str">
        <f t="shared" si="1"/>
        <v>Other Liquids</v>
      </c>
      <c r="B18" s="10" t="s">
        <v>45</v>
      </c>
      <c r="C18" s="12" t="s">
        <v>31</v>
      </c>
      <c r="D18" s="11">
        <v>443737</v>
      </c>
      <c r="E18" s="12" t="s">
        <v>31</v>
      </c>
      <c r="F18" s="11">
        <v>471784</v>
      </c>
      <c r="G18" s="12"/>
      <c r="H18" s="11">
        <v>19117</v>
      </c>
      <c r="I18" s="13">
        <v>8685</v>
      </c>
      <c r="J18" s="13">
        <v>741289</v>
      </c>
      <c r="K18" s="13">
        <v>171592</v>
      </c>
      <c r="L18" s="13">
        <v>13072</v>
      </c>
      <c r="M18" s="11">
        <v>328230</v>
      </c>
    </row>
    <row r="19" spans="1:13">
      <c r="A19" t="str">
        <f t="shared" si="1"/>
        <v>Hydrogen/Oxygenates/Renewables/Other Hydrocarbons</v>
      </c>
      <c r="B19" s="14" t="s">
        <v>46</v>
      </c>
      <c r="C19" s="12" t="s">
        <v>31</v>
      </c>
      <c r="D19" s="11">
        <v>443788</v>
      </c>
      <c r="E19" s="12" t="s">
        <v>31</v>
      </c>
      <c r="F19" s="11">
        <v>19778</v>
      </c>
      <c r="G19" s="12"/>
      <c r="H19" s="11">
        <v>36824</v>
      </c>
      <c r="I19" s="13">
        <v>577</v>
      </c>
      <c r="J19" s="13">
        <v>439078</v>
      </c>
      <c r="K19" s="13">
        <v>60735</v>
      </c>
      <c r="L19" s="13">
        <v>0</v>
      </c>
      <c r="M19" s="11">
        <v>29585</v>
      </c>
    </row>
    <row r="20" spans="1:13">
      <c r="A20" t="str">
        <f t="shared" si="1"/>
        <v>Hydrogen</v>
      </c>
      <c r="B20" s="15" t="s">
        <v>47</v>
      </c>
      <c r="C20" s="12" t="s">
        <v>31</v>
      </c>
      <c r="D20" s="12" t="s">
        <v>31</v>
      </c>
      <c r="E20" s="12" t="s">
        <v>31</v>
      </c>
      <c r="F20" s="12"/>
      <c r="G20" s="12"/>
      <c r="H20" s="11">
        <v>81091</v>
      </c>
      <c r="I20" s="16" t="s">
        <v>31</v>
      </c>
      <c r="J20" s="13">
        <v>81091</v>
      </c>
      <c r="K20" s="16"/>
      <c r="L20" s="13">
        <v>0</v>
      </c>
      <c r="M20" s="12" t="s">
        <v>31</v>
      </c>
    </row>
    <row r="21" spans="1:13">
      <c r="A21" t="str">
        <f t="shared" si="1"/>
        <v>Oxygenates (excl. Fuel Ethanol)</v>
      </c>
      <c r="B21" s="15" t="s">
        <v>48</v>
      </c>
      <c r="C21" s="12" t="s">
        <v>31</v>
      </c>
      <c r="D21" s="11">
        <v>26360</v>
      </c>
      <c r="E21" s="12" t="s">
        <v>31</v>
      </c>
      <c r="F21" s="11">
        <v>3835</v>
      </c>
      <c r="G21" s="12"/>
      <c r="H21" s="11">
        <v>-4811</v>
      </c>
      <c r="I21" s="13">
        <v>-31</v>
      </c>
      <c r="J21" s="13" t="s">
        <v>35</v>
      </c>
      <c r="K21" s="13">
        <v>25415</v>
      </c>
      <c r="L21" s="13">
        <v>0</v>
      </c>
      <c r="M21" s="11">
        <v>1446</v>
      </c>
    </row>
    <row r="22" spans="1:13">
      <c r="A22" t="str">
        <f t="shared" si="1"/>
        <v>Renewable Fuels (incl. Fuel Ethanol)</v>
      </c>
      <c r="B22" s="15" t="s">
        <v>49</v>
      </c>
      <c r="C22" s="12" t="s">
        <v>31</v>
      </c>
      <c r="D22" s="11">
        <v>417428</v>
      </c>
      <c r="E22" s="12" t="s">
        <v>31</v>
      </c>
      <c r="F22" s="11">
        <v>15707</v>
      </c>
      <c r="G22" s="12"/>
      <c r="H22" s="11">
        <v>-39640</v>
      </c>
      <c r="I22" s="13">
        <v>578</v>
      </c>
      <c r="J22" s="13">
        <v>357597</v>
      </c>
      <c r="K22" s="13">
        <v>35320</v>
      </c>
      <c r="L22" s="13">
        <v>0</v>
      </c>
      <c r="M22" s="11">
        <v>28092</v>
      </c>
    </row>
    <row r="23" spans="1:13">
      <c r="A23" t="str">
        <f t="shared" si="1"/>
        <v>Fuel Ethanol</v>
      </c>
      <c r="B23" s="17" t="s">
        <v>50</v>
      </c>
      <c r="C23" s="12" t="s">
        <v>31</v>
      </c>
      <c r="D23" s="11">
        <v>379435</v>
      </c>
      <c r="E23" s="12" t="s">
        <v>31</v>
      </c>
      <c r="F23" s="11">
        <v>1824</v>
      </c>
      <c r="G23" s="12"/>
      <c r="H23" s="11">
        <v>-9859</v>
      </c>
      <c r="I23" s="13">
        <v>3285</v>
      </c>
      <c r="J23" s="13">
        <v>335023</v>
      </c>
      <c r="K23" s="13">
        <v>33092</v>
      </c>
      <c r="L23" s="13">
        <v>0</v>
      </c>
      <c r="M23" s="11">
        <v>23043</v>
      </c>
    </row>
    <row r="24" spans="1:13">
      <c r="A24" t="str">
        <f t="shared" si="1"/>
        <v>Renewable Fuels Except Fuel Ethanol</v>
      </c>
      <c r="B24" s="17" t="s">
        <v>51</v>
      </c>
      <c r="C24" s="12" t="s">
        <v>31</v>
      </c>
      <c r="D24" s="11">
        <v>37993</v>
      </c>
      <c r="E24" s="12" t="s">
        <v>31</v>
      </c>
      <c r="F24" s="11">
        <v>13883</v>
      </c>
      <c r="G24" s="12"/>
      <c r="H24" s="11">
        <v>-29781</v>
      </c>
      <c r="I24" s="13">
        <v>-2707</v>
      </c>
      <c r="J24" s="13">
        <v>22574</v>
      </c>
      <c r="K24" s="13">
        <v>2228</v>
      </c>
      <c r="L24" s="13">
        <v>0</v>
      </c>
      <c r="M24" s="11">
        <v>5049</v>
      </c>
    </row>
    <row r="25" spans="1:13">
      <c r="A25" t="str">
        <f t="shared" si="1"/>
        <v>Other Hydrocarbons</v>
      </c>
      <c r="B25" s="15" t="s">
        <v>52</v>
      </c>
      <c r="C25" s="12" t="s">
        <v>31</v>
      </c>
      <c r="D25" s="12" t="s">
        <v>31</v>
      </c>
      <c r="E25" s="12" t="s">
        <v>31</v>
      </c>
      <c r="F25" s="11">
        <v>236</v>
      </c>
      <c r="G25" s="12"/>
      <c r="H25" s="11">
        <v>184</v>
      </c>
      <c r="I25" s="13">
        <v>30</v>
      </c>
      <c r="J25" s="13">
        <v>390</v>
      </c>
      <c r="K25" s="16"/>
      <c r="L25" s="13">
        <v>0</v>
      </c>
      <c r="M25" s="11">
        <v>47</v>
      </c>
    </row>
    <row r="26" spans="1:13">
      <c r="A26" t="str">
        <f t="shared" si="1"/>
        <v>Unfinished Oils</v>
      </c>
      <c r="B26" s="14" t="s">
        <v>53</v>
      </c>
      <c r="C26" s="12" t="s">
        <v>31</v>
      </c>
      <c r="D26" s="12" t="s">
        <v>31</v>
      </c>
      <c r="E26" s="12" t="s">
        <v>31</v>
      </c>
      <c r="F26" s="11">
        <v>231478</v>
      </c>
      <c r="G26" s="12"/>
      <c r="H26" s="12" t="s">
        <v>31</v>
      </c>
      <c r="I26" s="13">
        <v>6013</v>
      </c>
      <c r="J26" s="13">
        <v>129406</v>
      </c>
      <c r="K26" s="13">
        <v>82949</v>
      </c>
      <c r="L26" s="13">
        <v>13110</v>
      </c>
      <c r="M26" s="11">
        <v>86337</v>
      </c>
    </row>
    <row r="27" spans="1:13">
      <c r="A27" t="str">
        <f t="shared" si="1"/>
        <v>Motor Gasoline Blend. Comp.</v>
      </c>
      <c r="B27" s="14" t="s">
        <v>54</v>
      </c>
      <c r="C27" s="12" t="s">
        <v>31</v>
      </c>
      <c r="D27" s="11">
        <v>-51</v>
      </c>
      <c r="E27" s="12" t="s">
        <v>31</v>
      </c>
      <c r="F27" s="11">
        <v>220528</v>
      </c>
      <c r="G27" s="12"/>
      <c r="H27" s="11">
        <v>-17707</v>
      </c>
      <c r="I27" s="13">
        <v>2089</v>
      </c>
      <c r="J27" s="13">
        <v>172773</v>
      </c>
      <c r="K27" s="13">
        <v>27908</v>
      </c>
      <c r="L27" s="13">
        <v>0</v>
      </c>
      <c r="M27" s="11">
        <v>212293</v>
      </c>
    </row>
    <row r="28" spans="1:13">
      <c r="A28" t="str">
        <f t="shared" si="1"/>
        <v>Reformulated</v>
      </c>
      <c r="B28" s="15" t="s">
        <v>55</v>
      </c>
      <c r="C28" s="12" t="s">
        <v>31</v>
      </c>
      <c r="D28" s="11">
        <v>-3</v>
      </c>
      <c r="E28" s="12" t="s">
        <v>31</v>
      </c>
      <c r="F28" s="11">
        <v>76948</v>
      </c>
      <c r="G28" s="12"/>
      <c r="H28" s="11">
        <v>65150</v>
      </c>
      <c r="I28" s="13">
        <v>1299</v>
      </c>
      <c r="J28" s="13">
        <v>140697</v>
      </c>
      <c r="K28" s="13">
        <v>99</v>
      </c>
      <c r="L28" s="13">
        <v>0</v>
      </c>
      <c r="M28" s="11">
        <v>53447</v>
      </c>
    </row>
    <row r="29" spans="1:13">
      <c r="A29" t="str">
        <f t="shared" si="1"/>
        <v>Conventional</v>
      </c>
      <c r="B29" s="15" t="s">
        <v>56</v>
      </c>
      <c r="C29" s="12" t="s">
        <v>31</v>
      </c>
      <c r="D29" s="11">
        <v>-48</v>
      </c>
      <c r="E29" s="12" t="s">
        <v>31</v>
      </c>
      <c r="F29" s="11">
        <v>143580</v>
      </c>
      <c r="G29" s="12"/>
      <c r="H29" s="11">
        <v>-82856</v>
      </c>
      <c r="I29" s="13">
        <v>790</v>
      </c>
      <c r="J29" s="13">
        <v>32076</v>
      </c>
      <c r="K29" s="13">
        <v>27810</v>
      </c>
      <c r="L29" s="13">
        <v>0</v>
      </c>
      <c r="M29" s="11">
        <v>158846</v>
      </c>
    </row>
    <row r="30" spans="1:13">
      <c r="A30" t="str">
        <f t="shared" si="1"/>
        <v>Aviation Gasoline Blend. Comp.</v>
      </c>
      <c r="B30" s="14" t="s">
        <v>57</v>
      </c>
      <c r="C30" s="12" t="s">
        <v>31</v>
      </c>
      <c r="D30" s="12" t="s">
        <v>31</v>
      </c>
      <c r="E30" s="12" t="s">
        <v>31</v>
      </c>
      <c r="F30" s="11" t="s">
        <v>35</v>
      </c>
      <c r="G30" s="12"/>
      <c r="H30" s="12" t="s">
        <v>31</v>
      </c>
      <c r="I30" s="13">
        <v>6</v>
      </c>
      <c r="J30" s="13">
        <v>32</v>
      </c>
      <c r="K30" s="13" t="s">
        <v>35</v>
      </c>
      <c r="L30" s="13">
        <v>-38</v>
      </c>
      <c r="M30" s="11">
        <v>15</v>
      </c>
    </row>
    <row r="31" spans="1:13">
      <c r="A31" t="str">
        <f t="shared" si="1"/>
        <v>Finished Petroleum Products</v>
      </c>
      <c r="B31" s="10" t="s">
        <v>58</v>
      </c>
      <c r="C31" s="12" t="s">
        <v>31</v>
      </c>
      <c r="D31" s="11">
        <v>1336</v>
      </c>
      <c r="E31" s="11">
        <v>7179380</v>
      </c>
      <c r="F31" s="11">
        <v>250759</v>
      </c>
      <c r="G31" s="12"/>
      <c r="H31" s="11">
        <v>57659</v>
      </c>
      <c r="I31" s="13">
        <v>-38269</v>
      </c>
      <c r="J31" s="16" t="s">
        <v>31</v>
      </c>
      <c r="K31" s="13">
        <v>1220551</v>
      </c>
      <c r="L31" s="13">
        <v>6306852</v>
      </c>
      <c r="M31" s="11">
        <v>291859</v>
      </c>
    </row>
    <row r="32" spans="1:13">
      <c r="A32" t="str">
        <f t="shared" si="1"/>
        <v>Finished Motor Gasoline</v>
      </c>
      <c r="B32" s="14" t="s">
        <v>59</v>
      </c>
      <c r="C32" s="12" t="s">
        <v>31</v>
      </c>
      <c r="D32" s="11">
        <v>1336</v>
      </c>
      <c r="E32" s="11">
        <v>3633123</v>
      </c>
      <c r="F32" s="11">
        <v>11784</v>
      </c>
      <c r="G32" s="12"/>
      <c r="H32" s="11">
        <v>27566</v>
      </c>
      <c r="I32" s="13">
        <v>-3860</v>
      </c>
      <c r="J32" s="16" t="s">
        <v>31</v>
      </c>
      <c r="K32" s="13">
        <v>273483</v>
      </c>
      <c r="L32" s="13">
        <v>3404186</v>
      </c>
      <c r="M32" s="11">
        <v>24523</v>
      </c>
    </row>
    <row r="33" spans="1:13">
      <c r="A33" t="str">
        <f t="shared" si="1"/>
        <v>Reformulated</v>
      </c>
      <c r="B33" s="15" t="s">
        <v>55</v>
      </c>
      <c r="C33" s="12" t="s">
        <v>31</v>
      </c>
      <c r="D33" s="12"/>
      <c r="E33" s="11">
        <v>1187104</v>
      </c>
      <c r="F33" s="11" t="s">
        <v>35</v>
      </c>
      <c r="G33" s="12"/>
      <c r="H33" s="11">
        <v>-59342</v>
      </c>
      <c r="I33" s="13">
        <v>-7</v>
      </c>
      <c r="J33" s="16" t="s">
        <v>31</v>
      </c>
      <c r="K33" s="13" t="s">
        <v>35</v>
      </c>
      <c r="L33" s="13">
        <v>1127769</v>
      </c>
      <c r="M33" s="11">
        <v>40</v>
      </c>
    </row>
    <row r="34" spans="1:13">
      <c r="A34" t="str">
        <f t="shared" si="1"/>
        <v>Conventional</v>
      </c>
      <c r="B34" s="15" t="s">
        <v>56</v>
      </c>
      <c r="C34" s="12" t="s">
        <v>31</v>
      </c>
      <c r="D34" s="11">
        <v>1336</v>
      </c>
      <c r="E34" s="11">
        <v>2446019</v>
      </c>
      <c r="F34" s="11">
        <v>11784</v>
      </c>
      <c r="G34" s="12"/>
      <c r="H34" s="11">
        <v>86908</v>
      </c>
      <c r="I34" s="13">
        <v>-3853</v>
      </c>
      <c r="J34" s="16" t="s">
        <v>31</v>
      </c>
      <c r="K34" s="13">
        <v>273483</v>
      </c>
      <c r="L34" s="13">
        <v>2276417</v>
      </c>
      <c r="M34" s="11">
        <v>24483</v>
      </c>
    </row>
    <row r="35" spans="1:13">
      <c r="A35" t="str">
        <f t="shared" si="1"/>
        <v>Finished Aviation Gasoline</v>
      </c>
      <c r="B35" s="14" t="s">
        <v>60</v>
      </c>
      <c r="C35" s="12" t="s">
        <v>31</v>
      </c>
      <c r="D35" s="12" t="s">
        <v>31</v>
      </c>
      <c r="E35" s="11">
        <v>4032</v>
      </c>
      <c r="F35" s="11">
        <v>165</v>
      </c>
      <c r="G35" s="12"/>
      <c r="H35" s="12" t="s">
        <v>31</v>
      </c>
      <c r="I35" s="13">
        <v>47</v>
      </c>
      <c r="J35" s="16" t="s">
        <v>31</v>
      </c>
      <c r="K35" s="13" t="s">
        <v>35</v>
      </c>
      <c r="L35" s="13">
        <v>4150</v>
      </c>
      <c r="M35" s="11">
        <v>1041</v>
      </c>
    </row>
    <row r="36" spans="1:13">
      <c r="A36" t="str">
        <f t="shared" si="1"/>
        <v>Kerosene-Type Jet Fuel</v>
      </c>
      <c r="B36" s="14" t="s">
        <v>61</v>
      </c>
      <c r="C36" s="12" t="s">
        <v>31</v>
      </c>
      <c r="D36" s="12" t="s">
        <v>31</v>
      </c>
      <c r="E36" s="11">
        <v>621176</v>
      </c>
      <c r="F36" s="11">
        <v>58273</v>
      </c>
      <c r="G36" s="12"/>
      <c r="H36" s="12" t="s">
        <v>31</v>
      </c>
      <c r="I36" s="13">
        <v>-1706</v>
      </c>
      <c r="J36" s="16" t="s">
        <v>31</v>
      </c>
      <c r="K36" s="13">
        <v>67161</v>
      </c>
      <c r="L36" s="13">
        <v>613994</v>
      </c>
      <c r="M36" s="11">
        <v>41304</v>
      </c>
    </row>
    <row r="37" spans="1:13">
      <c r="A37" t="str">
        <f t="shared" si="1"/>
        <v>Kerosene</v>
      </c>
      <c r="B37" s="14" t="s">
        <v>62</v>
      </c>
      <c r="C37" s="12" t="s">
        <v>31</v>
      </c>
      <c r="D37" s="12" t="s">
        <v>31</v>
      </c>
      <c r="E37" s="11">
        <v>2738</v>
      </c>
      <c r="F37" s="11">
        <v>1429</v>
      </c>
      <c r="G37" s="12"/>
      <c r="H37" s="12" t="s">
        <v>31</v>
      </c>
      <c r="I37" s="13">
        <v>10</v>
      </c>
      <c r="J37" s="16" t="s">
        <v>31</v>
      </c>
      <c r="K37" s="13">
        <v>2267</v>
      </c>
      <c r="L37" s="13">
        <v>1890</v>
      </c>
      <c r="M37" s="11">
        <v>2138</v>
      </c>
    </row>
    <row r="38" spans="1:13">
      <c r="A38" t="str">
        <f t="shared" si="1"/>
        <v>Distillate Fuel Oil</v>
      </c>
      <c r="B38" s="14" t="s">
        <v>63</v>
      </c>
      <c r="C38" s="12" t="s">
        <v>31</v>
      </c>
      <c r="D38" s="12" t="s">
        <v>31</v>
      </c>
      <c r="E38" s="11">
        <v>1833879</v>
      </c>
      <c r="F38" s="11">
        <v>54975</v>
      </c>
      <c r="G38" s="12"/>
      <c r="H38" s="11">
        <v>30093</v>
      </c>
      <c r="I38" s="13">
        <v>-20457</v>
      </c>
      <c r="J38" s="16" t="s">
        <v>31</v>
      </c>
      <c r="K38" s="13">
        <v>504155</v>
      </c>
      <c r="L38" s="13">
        <v>1435249</v>
      </c>
      <c r="M38" s="11">
        <v>145638</v>
      </c>
    </row>
    <row r="39" spans="1:13">
      <c r="A39" t="str">
        <f t="shared" si="1"/>
        <v>15 ppm Sulfur and Under</v>
      </c>
      <c r="B39" s="15" t="s">
        <v>64</v>
      </c>
      <c r="C39" s="12" t="s">
        <v>31</v>
      </c>
      <c r="D39" s="12" t="s">
        <v>31</v>
      </c>
      <c r="E39" s="11">
        <v>1713652</v>
      </c>
      <c r="F39" s="11">
        <v>37012</v>
      </c>
      <c r="G39" s="12"/>
      <c r="H39" s="11">
        <v>30093</v>
      </c>
      <c r="I39" s="13">
        <v>-16256</v>
      </c>
      <c r="J39" s="16" t="s">
        <v>31</v>
      </c>
      <c r="K39" s="13">
        <v>423862</v>
      </c>
      <c r="L39" s="13">
        <v>1373151</v>
      </c>
      <c r="M39" s="11">
        <v>128016</v>
      </c>
    </row>
    <row r="40" spans="1:13">
      <c r="A40" t="str">
        <f t="shared" si="1"/>
        <v>Greater than 15 to 500 ppm Sulfur</v>
      </c>
      <c r="B40" s="15" t="s">
        <v>65</v>
      </c>
      <c r="C40" s="12" t="s">
        <v>31</v>
      </c>
      <c r="D40" s="12" t="s">
        <v>31</v>
      </c>
      <c r="E40" s="11">
        <v>42167</v>
      </c>
      <c r="F40" s="11">
        <v>759</v>
      </c>
      <c r="G40" s="12"/>
      <c r="H40" s="11" t="s">
        <v>35</v>
      </c>
      <c r="I40" s="13">
        <v>-929</v>
      </c>
      <c r="J40" s="16" t="s">
        <v>31</v>
      </c>
      <c r="K40" s="13">
        <v>41645</v>
      </c>
      <c r="L40" s="13">
        <v>2210</v>
      </c>
      <c r="M40" s="11">
        <v>7480</v>
      </c>
    </row>
    <row r="41" spans="1:13">
      <c r="A41" t="str">
        <f t="shared" si="1"/>
        <v>Greater than 500 ppm Sulfur</v>
      </c>
      <c r="B41" s="15" t="s">
        <v>66</v>
      </c>
      <c r="C41" s="12" t="s">
        <v>31</v>
      </c>
      <c r="D41" s="12" t="s">
        <v>31</v>
      </c>
      <c r="E41" s="11">
        <v>78060</v>
      </c>
      <c r="F41" s="11">
        <v>17204</v>
      </c>
      <c r="G41" s="12"/>
      <c r="H41" s="12" t="s">
        <v>31</v>
      </c>
      <c r="I41" s="13">
        <v>-3272</v>
      </c>
      <c r="J41" s="16" t="s">
        <v>31</v>
      </c>
      <c r="K41" s="13">
        <v>38648</v>
      </c>
      <c r="L41" s="13">
        <v>59888</v>
      </c>
      <c r="M41" s="11">
        <v>10142</v>
      </c>
    </row>
    <row r="42" spans="1:13">
      <c r="A42" t="str">
        <f t="shared" si="1"/>
        <v>Residual Fuel Oil</v>
      </c>
      <c r="B42" s="14" t="s">
        <v>67</v>
      </c>
      <c r="C42" s="12" t="s">
        <v>31</v>
      </c>
      <c r="D42" s="12" t="s">
        <v>31</v>
      </c>
      <c r="E42" s="11">
        <v>155851</v>
      </c>
      <c r="F42" s="11">
        <v>69015</v>
      </c>
      <c r="G42" s="12"/>
      <c r="H42" s="12" t="s">
        <v>31</v>
      </c>
      <c r="I42" s="13">
        <v>-12098</v>
      </c>
      <c r="J42" s="16" t="s">
        <v>31</v>
      </c>
      <c r="K42" s="13">
        <v>112240</v>
      </c>
      <c r="L42" s="13">
        <v>124724</v>
      </c>
      <c r="M42" s="11">
        <v>29377</v>
      </c>
    </row>
    <row r="43" spans="1:13">
      <c r="A43" t="str">
        <f t="shared" si="1"/>
        <v>Less than 0.31% Sulfur</v>
      </c>
      <c r="B43" s="15" t="s">
        <v>68</v>
      </c>
      <c r="C43" s="12" t="s">
        <v>31</v>
      </c>
      <c r="D43" s="12" t="s">
        <v>31</v>
      </c>
      <c r="E43" s="11">
        <v>18946</v>
      </c>
      <c r="F43" s="11">
        <v>4112</v>
      </c>
      <c r="G43" s="12"/>
      <c r="H43" s="12" t="s">
        <v>31</v>
      </c>
      <c r="I43" s="13">
        <v>-2600</v>
      </c>
      <c r="J43" s="16" t="s">
        <v>31</v>
      </c>
      <c r="K43" s="16" t="s">
        <v>69</v>
      </c>
      <c r="L43" s="16" t="s">
        <v>69</v>
      </c>
      <c r="M43" s="11">
        <v>1928</v>
      </c>
    </row>
    <row r="44" spans="1:13">
      <c r="A44" t="str">
        <f t="shared" si="1"/>
        <v>0.31 to 1.00% Sulfur</v>
      </c>
      <c r="B44" s="15" t="s">
        <v>70</v>
      </c>
      <c r="C44" s="12" t="s">
        <v>31</v>
      </c>
      <c r="D44" s="12" t="s">
        <v>31</v>
      </c>
      <c r="E44" s="11">
        <v>19577</v>
      </c>
      <c r="F44" s="11">
        <v>7295</v>
      </c>
      <c r="G44" s="12"/>
      <c r="H44" s="12" t="s">
        <v>31</v>
      </c>
      <c r="I44" s="13">
        <v>-1119</v>
      </c>
      <c r="J44" s="16" t="s">
        <v>31</v>
      </c>
      <c r="K44" s="16" t="s">
        <v>69</v>
      </c>
      <c r="L44" s="16" t="s">
        <v>69</v>
      </c>
      <c r="M44" s="11">
        <v>6822</v>
      </c>
    </row>
    <row r="45" spans="1:13">
      <c r="A45" t="str">
        <f t="shared" si="1"/>
        <v>Greater than 1.00% Sulfur</v>
      </c>
      <c r="B45" s="15" t="s">
        <v>71</v>
      </c>
      <c r="C45" s="12" t="s">
        <v>31</v>
      </c>
      <c r="D45" s="12" t="s">
        <v>31</v>
      </c>
      <c r="E45" s="11">
        <v>117328</v>
      </c>
      <c r="F45" s="11">
        <v>57608</v>
      </c>
      <c r="G45" s="12"/>
      <c r="H45" s="12" t="s">
        <v>31</v>
      </c>
      <c r="I45" s="13">
        <v>-8379</v>
      </c>
      <c r="J45" s="16" t="s">
        <v>31</v>
      </c>
      <c r="K45" s="16" t="s">
        <v>69</v>
      </c>
      <c r="L45" s="16" t="s">
        <v>69</v>
      </c>
      <c r="M45" s="11">
        <v>20621</v>
      </c>
    </row>
    <row r="46" spans="1:13">
      <c r="A46" t="str">
        <f t="shared" si="1"/>
        <v>Petrochemical Feedstocks</v>
      </c>
      <c r="B46" s="14" t="s">
        <v>72</v>
      </c>
      <c r="C46" s="12" t="s">
        <v>31</v>
      </c>
      <c r="D46" s="12" t="s">
        <v>31</v>
      </c>
      <c r="E46" s="11">
        <v>112198</v>
      </c>
      <c r="F46" s="11">
        <v>15696</v>
      </c>
      <c r="G46" s="12"/>
      <c r="H46" s="12" t="s">
        <v>31</v>
      </c>
      <c r="I46" s="13">
        <v>-357</v>
      </c>
      <c r="J46" s="16" t="s">
        <v>31</v>
      </c>
      <c r="K46" s="13" t="s">
        <v>35</v>
      </c>
      <c r="L46" s="13">
        <v>128251</v>
      </c>
      <c r="M46" s="11">
        <v>2883</v>
      </c>
    </row>
    <row r="47" spans="1:13">
      <c r="A47" t="str">
        <f t="shared" si="1"/>
        <v>Naphtha for Petro. Feed. Use</v>
      </c>
      <c r="B47" s="15" t="s">
        <v>73</v>
      </c>
      <c r="C47" s="12" t="s">
        <v>31</v>
      </c>
      <c r="D47" s="12" t="s">
        <v>31</v>
      </c>
      <c r="E47" s="11">
        <v>71578</v>
      </c>
      <c r="F47" s="11">
        <v>11373</v>
      </c>
      <c r="G47" s="12"/>
      <c r="H47" s="12" t="s">
        <v>31</v>
      </c>
      <c r="I47" s="13">
        <v>-162</v>
      </c>
      <c r="J47" s="16" t="s">
        <v>31</v>
      </c>
      <c r="K47" s="13" t="s">
        <v>35</v>
      </c>
      <c r="L47" s="13">
        <v>83113</v>
      </c>
      <c r="M47" s="11">
        <v>1849</v>
      </c>
    </row>
    <row r="48" spans="1:13">
      <c r="A48" t="str">
        <f t="shared" si="1"/>
        <v>Other Oils for Petro. Feed. Use</v>
      </c>
      <c r="B48" s="15" t="s">
        <v>74</v>
      </c>
      <c r="C48" s="12" t="s">
        <v>31</v>
      </c>
      <c r="D48" s="12" t="s">
        <v>31</v>
      </c>
      <c r="E48" s="11">
        <v>40620</v>
      </c>
      <c r="F48" s="11">
        <v>4323</v>
      </c>
      <c r="G48" s="12"/>
      <c r="H48" s="12" t="s">
        <v>31</v>
      </c>
      <c r="I48" s="13">
        <v>-195</v>
      </c>
      <c r="J48" s="16" t="s">
        <v>31</v>
      </c>
      <c r="K48" s="13" t="s">
        <v>35</v>
      </c>
      <c r="L48" s="13">
        <v>45138</v>
      </c>
      <c r="M48" s="11">
        <v>1034</v>
      </c>
    </row>
    <row r="49" spans="1:13">
      <c r="A49" t="str">
        <f t="shared" si="1"/>
        <v>Special Naphthas</v>
      </c>
      <c r="B49" s="14" t="s">
        <v>75</v>
      </c>
      <c r="C49" s="12" t="s">
        <v>31</v>
      </c>
      <c r="D49" s="12" t="s">
        <v>31</v>
      </c>
      <c r="E49" s="11">
        <v>13688</v>
      </c>
      <c r="F49" s="11">
        <v>5405</v>
      </c>
      <c r="G49" s="12"/>
      <c r="H49" s="12" t="s">
        <v>31</v>
      </c>
      <c r="I49" s="13">
        <v>-26</v>
      </c>
      <c r="J49" s="16" t="s">
        <v>31</v>
      </c>
      <c r="K49" s="13" t="s">
        <v>35</v>
      </c>
      <c r="L49" s="13">
        <v>19119</v>
      </c>
      <c r="M49" s="11">
        <v>1192</v>
      </c>
    </row>
    <row r="50" spans="1:13">
      <c r="A50" t="str">
        <f t="shared" si="1"/>
        <v>Lubricants</v>
      </c>
      <c r="B50" s="14" t="s">
        <v>76</v>
      </c>
      <c r="C50" s="12" t="s">
        <v>31</v>
      </c>
      <c r="D50" s="12" t="s">
        <v>31</v>
      </c>
      <c r="E50" s="11">
        <v>64970</v>
      </c>
      <c r="F50" s="11">
        <v>14901</v>
      </c>
      <c r="G50" s="12"/>
      <c r="H50" s="12" t="s">
        <v>31</v>
      </c>
      <c r="I50" s="13">
        <v>-347</v>
      </c>
      <c r="J50" s="16" t="s">
        <v>31</v>
      </c>
      <c r="K50" s="13">
        <v>36215</v>
      </c>
      <c r="L50" s="13">
        <v>44003</v>
      </c>
      <c r="M50" s="11">
        <v>12021</v>
      </c>
    </row>
    <row r="51" spans="1:13">
      <c r="A51" t="str">
        <f t="shared" si="1"/>
        <v>Waxes</v>
      </c>
      <c r="B51" s="14" t="s">
        <v>77</v>
      </c>
      <c r="C51" s="12" t="s">
        <v>31</v>
      </c>
      <c r="D51" s="12" t="s">
        <v>31</v>
      </c>
      <c r="E51" s="11">
        <v>1774</v>
      </c>
      <c r="F51" s="11">
        <v>1724</v>
      </c>
      <c r="G51" s="12"/>
      <c r="H51" s="12" t="s">
        <v>31</v>
      </c>
      <c r="I51" s="13">
        <v>184</v>
      </c>
      <c r="J51" s="16" t="s">
        <v>31</v>
      </c>
      <c r="K51" s="13">
        <v>1479</v>
      </c>
      <c r="L51" s="13">
        <v>1835</v>
      </c>
      <c r="M51" s="11">
        <v>855</v>
      </c>
    </row>
    <row r="52" spans="1:13">
      <c r="A52" t="str">
        <f t="shared" si="1"/>
        <v>Petroleum Coke</v>
      </c>
      <c r="B52" s="14" t="s">
        <v>78</v>
      </c>
      <c r="C52" s="12" t="s">
        <v>31</v>
      </c>
      <c r="D52" s="12" t="s">
        <v>31</v>
      </c>
      <c r="E52" s="11">
        <v>329170</v>
      </c>
      <c r="F52" s="11">
        <v>3662</v>
      </c>
      <c r="G52" s="12"/>
      <c r="H52" s="12" t="s">
        <v>31</v>
      </c>
      <c r="I52" s="13">
        <v>1536</v>
      </c>
      <c r="J52" s="16" t="s">
        <v>31</v>
      </c>
      <c r="K52" s="13">
        <v>215873</v>
      </c>
      <c r="L52" s="13">
        <v>115423</v>
      </c>
      <c r="M52" s="11">
        <v>8519</v>
      </c>
    </row>
    <row r="53" spans="1:13">
      <c r="A53" t="str">
        <f t="shared" si="1"/>
        <v>Marketable</v>
      </c>
      <c r="B53" s="15" t="s">
        <v>79</v>
      </c>
      <c r="C53" s="12" t="s">
        <v>31</v>
      </c>
      <c r="D53" s="12" t="s">
        <v>31</v>
      </c>
      <c r="E53" s="11">
        <v>245213</v>
      </c>
      <c r="F53" s="11">
        <v>3662</v>
      </c>
      <c r="G53" s="12"/>
      <c r="H53" s="12" t="s">
        <v>31</v>
      </c>
      <c r="I53" s="13">
        <v>1536</v>
      </c>
      <c r="J53" s="16" t="s">
        <v>31</v>
      </c>
      <c r="K53" s="13">
        <v>215873</v>
      </c>
      <c r="L53" s="13">
        <v>31466</v>
      </c>
      <c r="M53" s="11">
        <v>8519</v>
      </c>
    </row>
    <row r="54" spans="1:13">
      <c r="A54" t="str">
        <f t="shared" si="1"/>
        <v>Catalyst</v>
      </c>
      <c r="B54" s="15" t="s">
        <v>80</v>
      </c>
      <c r="C54" s="12" t="s">
        <v>31</v>
      </c>
      <c r="D54" s="12" t="s">
        <v>31</v>
      </c>
      <c r="E54" s="11">
        <v>83957</v>
      </c>
      <c r="F54" s="12" t="s">
        <v>31</v>
      </c>
      <c r="G54" s="12" t="s">
        <v>31</v>
      </c>
      <c r="H54" s="12" t="s">
        <v>31</v>
      </c>
      <c r="I54" s="16" t="s">
        <v>31</v>
      </c>
      <c r="J54" s="16" t="s">
        <v>31</v>
      </c>
      <c r="K54" s="16" t="s">
        <v>31</v>
      </c>
      <c r="L54" s="13">
        <v>83957</v>
      </c>
      <c r="M54" s="12" t="s">
        <v>31</v>
      </c>
    </row>
    <row r="55" spans="1:13">
      <c r="A55" t="str">
        <f t="shared" si="1"/>
        <v>Asphalt and Road Oil</v>
      </c>
      <c r="B55" s="14" t="s">
        <v>81</v>
      </c>
      <c r="C55" s="12" t="s">
        <v>31</v>
      </c>
      <c r="D55" s="12" t="s">
        <v>31</v>
      </c>
      <c r="E55" s="11">
        <v>120515</v>
      </c>
      <c r="F55" s="11">
        <v>13666</v>
      </c>
      <c r="G55" s="12"/>
      <c r="H55" s="12" t="s">
        <v>31</v>
      </c>
      <c r="I55" s="13">
        <v>-1184</v>
      </c>
      <c r="J55" s="16" t="s">
        <v>31</v>
      </c>
      <c r="K55" s="13">
        <v>7399</v>
      </c>
      <c r="L55" s="13">
        <v>127966</v>
      </c>
      <c r="M55" s="11">
        <v>21697</v>
      </c>
    </row>
    <row r="56" spans="1:13">
      <c r="A56" t="str">
        <f t="shared" si="1"/>
        <v>Still Gas</v>
      </c>
      <c r="B56" s="14" t="s">
        <v>82</v>
      </c>
      <c r="C56" s="12" t="s">
        <v>31</v>
      </c>
      <c r="D56" s="12" t="s">
        <v>31</v>
      </c>
      <c r="E56" s="11">
        <v>251761</v>
      </c>
      <c r="F56" s="12" t="s">
        <v>31</v>
      </c>
      <c r="G56" s="12" t="s">
        <v>31</v>
      </c>
      <c r="H56" s="12" t="s">
        <v>31</v>
      </c>
      <c r="I56" s="16" t="s">
        <v>31</v>
      </c>
      <c r="J56" s="16" t="s">
        <v>31</v>
      </c>
      <c r="K56" s="16" t="s">
        <v>31</v>
      </c>
      <c r="L56" s="13">
        <v>251761</v>
      </c>
      <c r="M56" s="12" t="s">
        <v>31</v>
      </c>
    </row>
    <row r="57" spans="1:13">
      <c r="A57" t="str">
        <f t="shared" si="1"/>
        <v>Miscellaneous Products</v>
      </c>
      <c r="B57" s="14" t="s">
        <v>83</v>
      </c>
      <c r="C57" s="12" t="s">
        <v>31</v>
      </c>
      <c r="D57" s="12" t="s">
        <v>31</v>
      </c>
      <c r="E57" s="11">
        <v>34505</v>
      </c>
      <c r="F57" s="11">
        <v>64</v>
      </c>
      <c r="G57" s="12"/>
      <c r="H57" s="12" t="s">
        <v>31</v>
      </c>
      <c r="I57" s="13">
        <v>-11</v>
      </c>
      <c r="J57" s="16" t="s">
        <v>31</v>
      </c>
      <c r="K57" s="13">
        <v>279</v>
      </c>
      <c r="L57" s="13">
        <v>34301</v>
      </c>
      <c r="M57" s="11">
        <v>671</v>
      </c>
    </row>
  </sheetData>
  <mergeCells count="3">
    <mergeCell ref="C2:H2"/>
    <mergeCell ref="I2:L2"/>
    <mergeCell ref="M2: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B312-2CA4-49C0-9304-910921BC57CE}">
  <dimension ref="A1:N62"/>
  <sheetViews>
    <sheetView workbookViewId="0">
      <selection sqref="A1:B1"/>
    </sheetView>
  </sheetViews>
  <sheetFormatPr defaultRowHeight="14.4"/>
  <sheetData>
    <row r="1" spans="1:14">
      <c r="A1" s="271"/>
      <c r="B1" s="271"/>
      <c r="C1" s="273"/>
      <c r="D1" s="273"/>
      <c r="E1" s="273"/>
      <c r="F1" s="273"/>
      <c r="G1" s="273"/>
      <c r="H1" s="273"/>
      <c r="I1" s="274"/>
      <c r="J1" s="277"/>
      <c r="K1" s="273"/>
      <c r="L1" s="273"/>
      <c r="M1" s="274"/>
      <c r="N1" s="269"/>
    </row>
    <row r="2" spans="1:14">
      <c r="A2" s="232" t="e" vm="1">
        <v>#VALUE!</v>
      </c>
      <c r="B2" s="245"/>
      <c r="C2" s="273"/>
      <c r="D2" s="273"/>
      <c r="E2" s="273"/>
      <c r="F2" s="273"/>
      <c r="G2" s="273"/>
      <c r="H2" s="273"/>
      <c r="I2" s="274"/>
      <c r="J2" s="277"/>
      <c r="K2" s="273"/>
      <c r="L2" s="273"/>
      <c r="M2" s="274"/>
      <c r="N2" s="269"/>
    </row>
    <row r="3" spans="1:14" ht="15" thickBot="1">
      <c r="A3" s="271"/>
      <c r="B3" s="271"/>
      <c r="C3" s="275"/>
      <c r="D3" s="275"/>
      <c r="E3" s="275"/>
      <c r="F3" s="275"/>
      <c r="G3" s="275"/>
      <c r="H3" s="275"/>
      <c r="I3" s="276"/>
      <c r="J3" s="278"/>
      <c r="K3" s="275"/>
      <c r="L3" s="275"/>
      <c r="M3" s="276"/>
      <c r="N3" s="269"/>
    </row>
    <row r="4" spans="1:14" ht="42.6" thickBot="1">
      <c r="A4" s="272" t="e" vm="1">
        <v>#VALUE!</v>
      </c>
      <c r="B4" s="272"/>
      <c r="C4" s="246" t="s">
        <v>19</v>
      </c>
      <c r="D4" s="246" t="s">
        <v>545</v>
      </c>
      <c r="E4" s="246" t="s">
        <v>546</v>
      </c>
      <c r="F4" s="246" t="s">
        <v>21</v>
      </c>
      <c r="G4" s="246" t="s">
        <v>22</v>
      </c>
      <c r="H4" s="246" t="s">
        <v>23</v>
      </c>
      <c r="I4" s="246" t="s">
        <v>24</v>
      </c>
      <c r="J4" s="247" t="s">
        <v>25</v>
      </c>
      <c r="K4" s="247" t="s">
        <v>26</v>
      </c>
      <c r="L4" s="247" t="s">
        <v>27</v>
      </c>
      <c r="M4" s="247" t="s">
        <v>28</v>
      </c>
      <c r="N4" s="270"/>
    </row>
    <row r="5" spans="1:14" ht="49.2" thickTop="1" thickBot="1">
      <c r="A5" s="233"/>
      <c r="B5" s="227" t="s">
        <v>29</v>
      </c>
      <c r="C5" s="228">
        <v>7420896</v>
      </c>
      <c r="D5" s="229">
        <v>0</v>
      </c>
      <c r="E5" s="251">
        <v>504680</v>
      </c>
      <c r="F5" s="251">
        <v>7146373</v>
      </c>
      <c r="G5" s="228">
        <v>3088150</v>
      </c>
      <c r="H5" s="230"/>
      <c r="I5" s="228">
        <v>64054</v>
      </c>
      <c r="J5" s="231">
        <v>23607</v>
      </c>
      <c r="K5" s="231">
        <v>6791496</v>
      </c>
      <c r="L5" s="231">
        <v>3919330</v>
      </c>
      <c r="M5" s="231">
        <v>7489722</v>
      </c>
      <c r="N5" s="228">
        <v>1629709</v>
      </c>
    </row>
    <row r="6" spans="1:14" ht="15" thickBot="1">
      <c r="A6" s="233"/>
      <c r="B6" s="227" t="s">
        <v>30</v>
      </c>
      <c r="C6" s="228">
        <v>4843858</v>
      </c>
      <c r="D6" s="228">
        <v>223927</v>
      </c>
      <c r="E6" s="252" t="s">
        <v>31</v>
      </c>
      <c r="F6" s="252" t="s">
        <v>31</v>
      </c>
      <c r="G6" s="228">
        <v>2411095</v>
      </c>
      <c r="H6" s="230"/>
      <c r="I6" s="228">
        <v>-16532</v>
      </c>
      <c r="J6" s="231">
        <v>25773</v>
      </c>
      <c r="K6" s="231">
        <v>5938479</v>
      </c>
      <c r="L6" s="231">
        <v>1498096</v>
      </c>
      <c r="M6" s="234">
        <v>0</v>
      </c>
      <c r="N6" s="228">
        <v>806948</v>
      </c>
    </row>
    <row r="7" spans="1:14" ht="36.6" thickBot="1">
      <c r="A7" s="233"/>
      <c r="B7" s="227" t="s">
        <v>32</v>
      </c>
      <c r="C7" s="228">
        <v>2577038</v>
      </c>
      <c r="D7" s="228">
        <v>-176427</v>
      </c>
      <c r="E7" s="251">
        <v>-8484</v>
      </c>
      <c r="F7" s="251">
        <v>212322</v>
      </c>
      <c r="G7" s="228">
        <v>64641</v>
      </c>
      <c r="H7" s="230"/>
      <c r="I7" s="230" t="s">
        <v>31</v>
      </c>
      <c r="J7" s="231">
        <v>2412</v>
      </c>
      <c r="K7" s="231">
        <v>237103</v>
      </c>
      <c r="L7" s="231">
        <v>1060250</v>
      </c>
      <c r="M7" s="231">
        <v>1369325</v>
      </c>
      <c r="N7" s="228">
        <v>225710</v>
      </c>
    </row>
    <row r="8" spans="1:14" ht="34.799999999999997" thickBot="1">
      <c r="A8" s="233"/>
      <c r="B8" s="235" t="s">
        <v>33</v>
      </c>
      <c r="C8" s="228">
        <v>2577038</v>
      </c>
      <c r="D8" s="228">
        <v>-176427</v>
      </c>
      <c r="E8" s="251">
        <v>-8484</v>
      </c>
      <c r="F8" s="251">
        <v>122497</v>
      </c>
      <c r="G8" s="228">
        <v>58699</v>
      </c>
      <c r="H8" s="230"/>
      <c r="I8" s="230" t="s">
        <v>31</v>
      </c>
      <c r="J8" s="231">
        <v>1772</v>
      </c>
      <c r="K8" s="231">
        <v>237103</v>
      </c>
      <c r="L8" s="231">
        <v>1060250</v>
      </c>
      <c r="M8" s="231">
        <v>1274198</v>
      </c>
      <c r="N8" s="228">
        <v>223701</v>
      </c>
    </row>
    <row r="9" spans="1:14" ht="15" thickBot="1">
      <c r="A9" s="233"/>
      <c r="B9" s="235" t="s">
        <v>34</v>
      </c>
      <c r="C9" s="228">
        <v>1049589</v>
      </c>
      <c r="D9" s="230"/>
      <c r="E9" s="252" t="s">
        <v>31</v>
      </c>
      <c r="F9" s="251">
        <v>3305</v>
      </c>
      <c r="G9" s="229" t="s">
        <v>35</v>
      </c>
      <c r="H9" s="230"/>
      <c r="I9" s="230" t="s">
        <v>31</v>
      </c>
      <c r="J9" s="231">
        <v>5808</v>
      </c>
      <c r="K9" s="236"/>
      <c r="L9" s="231">
        <v>178192</v>
      </c>
      <c r="M9" s="231">
        <v>868894</v>
      </c>
      <c r="N9" s="228">
        <v>71604</v>
      </c>
    </row>
    <row r="10" spans="1:14" ht="15" thickBot="1">
      <c r="A10" s="233"/>
      <c r="B10" s="235" t="s">
        <v>36</v>
      </c>
      <c r="C10" s="228">
        <v>798376</v>
      </c>
      <c r="D10" s="229">
        <v>-269</v>
      </c>
      <c r="E10" s="252" t="s">
        <v>31</v>
      </c>
      <c r="F10" s="251">
        <v>99800</v>
      </c>
      <c r="G10" s="228">
        <v>39610</v>
      </c>
      <c r="H10" s="230"/>
      <c r="I10" s="230" t="s">
        <v>31</v>
      </c>
      <c r="J10" s="231">
        <v>1009</v>
      </c>
      <c r="K10" s="236"/>
      <c r="L10" s="231">
        <v>646618</v>
      </c>
      <c r="M10" s="231">
        <v>289890</v>
      </c>
      <c r="N10" s="228">
        <v>80649</v>
      </c>
    </row>
    <row r="11" spans="1:14" ht="23.4" thickBot="1">
      <c r="A11" s="233"/>
      <c r="B11" s="235" t="s">
        <v>37</v>
      </c>
      <c r="C11" s="228">
        <v>246951</v>
      </c>
      <c r="D11" s="228">
        <v>-5230</v>
      </c>
      <c r="E11" s="253" t="s">
        <v>475</v>
      </c>
      <c r="F11" s="251">
        <v>25022</v>
      </c>
      <c r="G11" s="228">
        <v>15813</v>
      </c>
      <c r="H11" s="230"/>
      <c r="I11" s="230" t="s">
        <v>31</v>
      </c>
      <c r="J11" s="231">
        <v>-2765</v>
      </c>
      <c r="K11" s="231">
        <v>62427</v>
      </c>
      <c r="L11" s="231">
        <v>179465</v>
      </c>
      <c r="M11" s="231">
        <v>43429</v>
      </c>
      <c r="N11" s="228">
        <v>36191</v>
      </c>
    </row>
    <row r="12" spans="1:14" ht="15" thickBot="1">
      <c r="A12" s="233"/>
      <c r="B12" s="235" t="s">
        <v>38</v>
      </c>
      <c r="C12" s="228">
        <v>170999</v>
      </c>
      <c r="D12" s="228">
        <v>-1998</v>
      </c>
      <c r="E12" s="253" t="s">
        <v>475</v>
      </c>
      <c r="F12" s="251">
        <v>-5630</v>
      </c>
      <c r="G12" s="228">
        <v>3233</v>
      </c>
      <c r="H12" s="230"/>
      <c r="I12" s="230" t="s">
        <v>31</v>
      </c>
      <c r="J12" s="231">
        <v>1530</v>
      </c>
      <c r="K12" s="231">
        <v>91853</v>
      </c>
      <c r="L12" s="231">
        <v>1235</v>
      </c>
      <c r="M12" s="231">
        <v>71986</v>
      </c>
      <c r="N12" s="228">
        <v>12235</v>
      </c>
    </row>
    <row r="13" spans="1:14" ht="23.4" thickBot="1">
      <c r="A13" s="233"/>
      <c r="B13" s="235" t="s">
        <v>39</v>
      </c>
      <c r="C13" s="228">
        <v>311123</v>
      </c>
      <c r="D13" s="228">
        <v>-168930</v>
      </c>
      <c r="E13" s="251">
        <v>-8484</v>
      </c>
      <c r="F13" s="252"/>
      <c r="G13" s="229">
        <v>43</v>
      </c>
      <c r="H13" s="230"/>
      <c r="I13" s="230" t="s">
        <v>31</v>
      </c>
      <c r="J13" s="231">
        <v>-3810</v>
      </c>
      <c r="K13" s="231">
        <v>82823</v>
      </c>
      <c r="L13" s="231">
        <v>54739</v>
      </c>
      <c r="M13" s="234">
        <v>0</v>
      </c>
      <c r="N13" s="228">
        <v>23022</v>
      </c>
    </row>
    <row r="14" spans="1:14" ht="46.2" thickBot="1">
      <c r="A14" s="233"/>
      <c r="B14" s="235" t="s">
        <v>539</v>
      </c>
      <c r="C14" s="228">
        <v>54857</v>
      </c>
      <c r="D14" s="228">
        <v>-54860</v>
      </c>
      <c r="E14" s="252"/>
      <c r="F14" s="252"/>
      <c r="G14" s="230"/>
      <c r="H14" s="230"/>
      <c r="I14" s="230" t="s">
        <v>31</v>
      </c>
      <c r="J14" s="234">
        <v>-3</v>
      </c>
      <c r="K14" s="236"/>
      <c r="L14" s="236"/>
      <c r="M14" s="234">
        <v>0</v>
      </c>
      <c r="N14" s="229">
        <v>28</v>
      </c>
    </row>
    <row r="15" spans="1:14" ht="23.4" thickBot="1">
      <c r="A15" s="233"/>
      <c r="B15" s="235" t="s">
        <v>40</v>
      </c>
      <c r="C15" s="230" t="s">
        <v>31</v>
      </c>
      <c r="D15" s="230"/>
      <c r="E15" s="252" t="s">
        <v>31</v>
      </c>
      <c r="F15" s="251">
        <v>89825</v>
      </c>
      <c r="G15" s="228">
        <v>5942</v>
      </c>
      <c r="H15" s="230"/>
      <c r="I15" s="230" t="s">
        <v>31</v>
      </c>
      <c r="J15" s="234">
        <v>640</v>
      </c>
      <c r="K15" s="236" t="s">
        <v>31</v>
      </c>
      <c r="L15" s="236" t="s">
        <v>31</v>
      </c>
      <c r="M15" s="231">
        <v>95127</v>
      </c>
      <c r="N15" s="228">
        <v>2009</v>
      </c>
    </row>
    <row r="16" spans="1:14" ht="15" thickBot="1">
      <c r="A16" s="233"/>
      <c r="B16" s="235" t="s">
        <v>41</v>
      </c>
      <c r="C16" s="230" t="s">
        <v>31</v>
      </c>
      <c r="D16" s="230"/>
      <c r="E16" s="252" t="s">
        <v>31</v>
      </c>
      <c r="F16" s="251">
        <v>-6109</v>
      </c>
      <c r="G16" s="229" t="s">
        <v>35</v>
      </c>
      <c r="H16" s="230"/>
      <c r="I16" s="230" t="s">
        <v>31</v>
      </c>
      <c r="J16" s="234">
        <v>0</v>
      </c>
      <c r="K16" s="236" t="s">
        <v>31</v>
      </c>
      <c r="L16" s="236" t="s">
        <v>31</v>
      </c>
      <c r="M16" s="231">
        <v>-6109</v>
      </c>
      <c r="N16" s="229">
        <v>0</v>
      </c>
    </row>
    <row r="17" spans="1:14" ht="15" thickBot="1">
      <c r="A17" s="233"/>
      <c r="B17" s="235" t="s">
        <v>42</v>
      </c>
      <c r="C17" s="230" t="s">
        <v>31</v>
      </c>
      <c r="D17" s="230"/>
      <c r="E17" s="252" t="s">
        <v>31</v>
      </c>
      <c r="F17" s="251">
        <v>96276</v>
      </c>
      <c r="G17" s="228">
        <v>5442</v>
      </c>
      <c r="H17" s="230"/>
      <c r="I17" s="230" t="s">
        <v>31</v>
      </c>
      <c r="J17" s="234">
        <v>466</v>
      </c>
      <c r="K17" s="236" t="s">
        <v>31</v>
      </c>
      <c r="L17" s="236" t="s">
        <v>31</v>
      </c>
      <c r="M17" s="231">
        <v>101252</v>
      </c>
      <c r="N17" s="228">
        <v>1375</v>
      </c>
    </row>
    <row r="18" spans="1:14" ht="23.4" thickBot="1">
      <c r="A18" s="233"/>
      <c r="B18" s="235" t="s">
        <v>43</v>
      </c>
      <c r="C18" s="230" t="s">
        <v>31</v>
      </c>
      <c r="D18" s="230"/>
      <c r="E18" s="252" t="s">
        <v>31</v>
      </c>
      <c r="F18" s="253">
        <v>-693</v>
      </c>
      <c r="G18" s="229">
        <v>500</v>
      </c>
      <c r="H18" s="230"/>
      <c r="I18" s="230" t="s">
        <v>31</v>
      </c>
      <c r="J18" s="234">
        <v>124</v>
      </c>
      <c r="K18" s="236" t="s">
        <v>31</v>
      </c>
      <c r="L18" s="236" t="s">
        <v>31</v>
      </c>
      <c r="M18" s="234">
        <v>-317</v>
      </c>
      <c r="N18" s="229">
        <v>573</v>
      </c>
    </row>
    <row r="19" spans="1:14" ht="15" thickBot="1">
      <c r="A19" s="233"/>
      <c r="B19" s="235" t="s">
        <v>44</v>
      </c>
      <c r="C19" s="230" t="s">
        <v>31</v>
      </c>
      <c r="D19" s="230"/>
      <c r="E19" s="252" t="s">
        <v>31</v>
      </c>
      <c r="F19" s="253">
        <v>351</v>
      </c>
      <c r="G19" s="229">
        <v>7</v>
      </c>
      <c r="H19" s="230"/>
      <c r="I19" s="230" t="s">
        <v>31</v>
      </c>
      <c r="J19" s="234">
        <v>50</v>
      </c>
      <c r="K19" s="236" t="s">
        <v>31</v>
      </c>
      <c r="L19" s="236" t="s">
        <v>31</v>
      </c>
      <c r="M19" s="234">
        <v>301</v>
      </c>
      <c r="N19" s="229">
        <v>61</v>
      </c>
    </row>
    <row r="20" spans="1:14" ht="24.6" thickBot="1">
      <c r="A20" s="233"/>
      <c r="B20" s="227" t="s">
        <v>45</v>
      </c>
      <c r="C20" s="230" t="s">
        <v>31</v>
      </c>
      <c r="D20" s="228">
        <v>-47500</v>
      </c>
      <c r="E20" s="251">
        <v>510454</v>
      </c>
      <c r="F20" s="252" t="s">
        <v>31</v>
      </c>
      <c r="G20" s="228">
        <v>390451</v>
      </c>
      <c r="H20" s="230"/>
      <c r="I20" s="228">
        <v>72862</v>
      </c>
      <c r="J20" s="231">
        <v>-5840</v>
      </c>
      <c r="K20" s="231">
        <v>615914</v>
      </c>
      <c r="L20" s="231">
        <v>196936</v>
      </c>
      <c r="M20" s="231">
        <v>119257</v>
      </c>
      <c r="N20" s="228">
        <v>333975</v>
      </c>
    </row>
    <row r="21" spans="1:14" ht="68.400000000000006">
      <c r="A21" s="233"/>
      <c r="B21" s="235" t="s">
        <v>46</v>
      </c>
      <c r="C21" s="230" t="s">
        <v>31</v>
      </c>
      <c r="D21" s="230"/>
      <c r="E21" s="251">
        <v>510459</v>
      </c>
      <c r="F21" s="252" t="s">
        <v>31</v>
      </c>
      <c r="G21" s="228">
        <v>22625</v>
      </c>
      <c r="H21" s="230"/>
      <c r="I21" s="228">
        <v>69549</v>
      </c>
      <c r="J21" s="231">
        <v>1891</v>
      </c>
      <c r="K21" s="231">
        <v>430753</v>
      </c>
      <c r="L21" s="231">
        <v>50526</v>
      </c>
      <c r="M21" s="231">
        <v>119462</v>
      </c>
      <c r="N21" s="228">
        <v>35008</v>
      </c>
    </row>
    <row r="22" spans="1:14" ht="15" thickBot="1">
      <c r="A22" s="233"/>
      <c r="B22" s="235" t="s">
        <v>47</v>
      </c>
      <c r="C22" s="230" t="s">
        <v>31</v>
      </c>
      <c r="D22" s="230"/>
      <c r="E22" s="252" t="s">
        <v>31</v>
      </c>
      <c r="F22" s="252" t="s">
        <v>31</v>
      </c>
      <c r="G22" s="230"/>
      <c r="H22" s="230"/>
      <c r="I22" s="228">
        <v>80466</v>
      </c>
      <c r="J22" s="236" t="s">
        <v>31</v>
      </c>
      <c r="K22" s="231">
        <v>80466</v>
      </c>
      <c r="L22" s="236"/>
      <c r="M22" s="234">
        <v>0</v>
      </c>
      <c r="N22" s="230" t="s">
        <v>31</v>
      </c>
    </row>
    <row r="23" spans="1:14" ht="46.2" thickBot="1">
      <c r="A23" s="233"/>
      <c r="B23" s="235" t="s">
        <v>48</v>
      </c>
      <c r="C23" s="230" t="s">
        <v>31</v>
      </c>
      <c r="D23" s="230"/>
      <c r="E23" s="253" t="s">
        <v>475</v>
      </c>
      <c r="F23" s="252" t="s">
        <v>31</v>
      </c>
      <c r="G23" s="229" t="s">
        <v>475</v>
      </c>
      <c r="H23" s="230"/>
      <c r="I23" s="229" t="s">
        <v>475</v>
      </c>
      <c r="J23" s="234" t="s">
        <v>475</v>
      </c>
      <c r="K23" s="234" t="s">
        <v>475</v>
      </c>
      <c r="L23" s="234" t="s">
        <v>475</v>
      </c>
      <c r="M23" s="234" t="s">
        <v>35</v>
      </c>
      <c r="N23" s="229" t="s">
        <v>475</v>
      </c>
    </row>
    <row r="24" spans="1:14" ht="34.799999999999997" thickBot="1">
      <c r="A24" s="233"/>
      <c r="B24" s="235" t="s">
        <v>540</v>
      </c>
      <c r="C24" s="230" t="s">
        <v>31</v>
      </c>
      <c r="D24" s="230"/>
      <c r="E24" s="251">
        <v>510459</v>
      </c>
      <c r="F24" s="252" t="s">
        <v>31</v>
      </c>
      <c r="G24" s="228">
        <v>22625</v>
      </c>
      <c r="H24" s="230"/>
      <c r="I24" s="228">
        <v>-11037</v>
      </c>
      <c r="J24" s="231">
        <v>1889</v>
      </c>
      <c r="K24" s="231">
        <v>350169</v>
      </c>
      <c r="L24" s="231">
        <v>50526</v>
      </c>
      <c r="M24" s="231">
        <v>119462</v>
      </c>
      <c r="N24" s="228">
        <v>34993</v>
      </c>
    </row>
    <row r="25" spans="1:14" ht="23.4" thickBot="1">
      <c r="A25" s="233"/>
      <c r="B25" s="235" t="s">
        <v>50</v>
      </c>
      <c r="C25" s="230" t="s">
        <v>31</v>
      </c>
      <c r="D25" s="230"/>
      <c r="E25" s="251">
        <v>386316</v>
      </c>
      <c r="F25" s="252" t="s">
        <v>31</v>
      </c>
      <c r="G25" s="229" t="s">
        <v>35</v>
      </c>
      <c r="H25" s="230"/>
      <c r="I25" s="228">
        <v>-11037</v>
      </c>
      <c r="J25" s="234">
        <v>920</v>
      </c>
      <c r="K25" s="231">
        <v>328136</v>
      </c>
      <c r="L25" s="231">
        <v>46223</v>
      </c>
      <c r="M25" s="234">
        <v>0</v>
      </c>
      <c r="N25" s="228">
        <v>24418</v>
      </c>
    </row>
    <row r="26" spans="1:14" ht="34.799999999999997" thickBot="1">
      <c r="A26" s="233"/>
      <c r="B26" s="235" t="s">
        <v>541</v>
      </c>
      <c r="C26" s="230" t="s">
        <v>31</v>
      </c>
      <c r="D26" s="230"/>
      <c r="E26" s="251">
        <v>124142</v>
      </c>
      <c r="F26" s="252" t="s">
        <v>31</v>
      </c>
      <c r="G26" s="228">
        <v>22625</v>
      </c>
      <c r="H26" s="230"/>
      <c r="I26" s="229" t="s">
        <v>475</v>
      </c>
      <c r="J26" s="234">
        <v>969</v>
      </c>
      <c r="K26" s="231">
        <v>22033</v>
      </c>
      <c r="L26" s="231">
        <v>4303</v>
      </c>
      <c r="M26" s="231">
        <v>119462</v>
      </c>
      <c r="N26" s="228">
        <v>10575</v>
      </c>
    </row>
    <row r="27" spans="1:14" ht="15" thickBot="1">
      <c r="A27" s="233"/>
      <c r="B27" s="235" t="s">
        <v>542</v>
      </c>
      <c r="C27" s="230" t="s">
        <v>31</v>
      </c>
      <c r="D27" s="230"/>
      <c r="E27" s="251">
        <v>39795</v>
      </c>
      <c r="F27" s="252" t="s">
        <v>31</v>
      </c>
      <c r="G27" s="228">
        <v>10231</v>
      </c>
      <c r="H27" s="230"/>
      <c r="I27" s="229" t="s">
        <v>35</v>
      </c>
      <c r="J27" s="234">
        <v>-258</v>
      </c>
      <c r="K27" s="231">
        <v>16089</v>
      </c>
      <c r="L27" s="231">
        <v>4303</v>
      </c>
      <c r="M27" s="231">
        <v>29893</v>
      </c>
      <c r="N27" s="228">
        <v>3555</v>
      </c>
    </row>
    <row r="28" spans="1:14" ht="23.4" thickBot="1">
      <c r="A28" s="233"/>
      <c r="B28" s="235" t="s">
        <v>543</v>
      </c>
      <c r="C28" s="230" t="s">
        <v>31</v>
      </c>
      <c r="D28" s="230"/>
      <c r="E28" s="251">
        <v>76054</v>
      </c>
      <c r="F28" s="252" t="s">
        <v>31</v>
      </c>
      <c r="G28" s="228">
        <v>12394</v>
      </c>
      <c r="H28" s="230"/>
      <c r="I28" s="229" t="s">
        <v>35</v>
      </c>
      <c r="J28" s="231">
        <v>1053</v>
      </c>
      <c r="K28" s="231">
        <v>4037</v>
      </c>
      <c r="L28" s="234" t="s">
        <v>69</v>
      </c>
      <c r="M28" s="231">
        <v>83358</v>
      </c>
      <c r="N28" s="228">
        <v>6531</v>
      </c>
    </row>
    <row r="29" spans="1:14" ht="23.4" thickBot="1">
      <c r="A29" s="233"/>
      <c r="B29" s="235" t="s">
        <v>544</v>
      </c>
      <c r="C29" s="230" t="s">
        <v>31</v>
      </c>
      <c r="D29" s="230"/>
      <c r="E29" s="251">
        <v>8293</v>
      </c>
      <c r="F29" s="252" t="s">
        <v>31</v>
      </c>
      <c r="G29" s="229" t="s">
        <v>35</v>
      </c>
      <c r="H29" s="230"/>
      <c r="I29" s="229" t="s">
        <v>35</v>
      </c>
      <c r="J29" s="234">
        <v>174</v>
      </c>
      <c r="K29" s="231">
        <v>1907</v>
      </c>
      <c r="L29" s="234" t="s">
        <v>69</v>
      </c>
      <c r="M29" s="231">
        <v>6211</v>
      </c>
      <c r="N29" s="229">
        <v>489</v>
      </c>
    </row>
    <row r="30" spans="1:14" ht="34.799999999999997" thickBot="1">
      <c r="A30" s="233"/>
      <c r="B30" s="235" t="s">
        <v>52</v>
      </c>
      <c r="C30" s="230" t="s">
        <v>31</v>
      </c>
      <c r="D30" s="230"/>
      <c r="E30" s="252" t="s">
        <v>31</v>
      </c>
      <c r="F30" s="252" t="s">
        <v>31</v>
      </c>
      <c r="G30" s="229" t="s">
        <v>35</v>
      </c>
      <c r="H30" s="230"/>
      <c r="I30" s="229">
        <v>120</v>
      </c>
      <c r="J30" s="234">
        <v>2</v>
      </c>
      <c r="K30" s="234">
        <v>118</v>
      </c>
      <c r="L30" s="236"/>
      <c r="M30" s="234">
        <v>0</v>
      </c>
      <c r="N30" s="229">
        <v>15</v>
      </c>
    </row>
    <row r="31" spans="1:14" ht="23.4" thickBot="1">
      <c r="A31" s="233"/>
      <c r="B31" s="235" t="s">
        <v>53</v>
      </c>
      <c r="C31" s="230" t="s">
        <v>31</v>
      </c>
      <c r="D31" s="228">
        <v>-47500</v>
      </c>
      <c r="E31" s="252" t="s">
        <v>31</v>
      </c>
      <c r="F31" s="252" t="s">
        <v>31</v>
      </c>
      <c r="G31" s="228">
        <v>163638</v>
      </c>
      <c r="H31" s="230"/>
      <c r="I31" s="230" t="s">
        <v>31</v>
      </c>
      <c r="J31" s="231">
        <v>-7656</v>
      </c>
      <c r="K31" s="231">
        <v>5556</v>
      </c>
      <c r="L31" s="231">
        <v>118238</v>
      </c>
      <c r="M31" s="234">
        <v>0</v>
      </c>
      <c r="N31" s="228">
        <v>76522</v>
      </c>
    </row>
    <row r="32" spans="1:14" ht="46.2" thickBot="1">
      <c r="A32" s="233"/>
      <c r="B32" s="235" t="s">
        <v>54</v>
      </c>
      <c r="C32" s="230" t="s">
        <v>31</v>
      </c>
      <c r="D32" s="230"/>
      <c r="E32" s="253">
        <v>-5</v>
      </c>
      <c r="F32" s="252" t="s">
        <v>31</v>
      </c>
      <c r="G32" s="228">
        <v>204188</v>
      </c>
      <c r="H32" s="230"/>
      <c r="I32" s="228">
        <v>3314</v>
      </c>
      <c r="J32" s="234">
        <v>-85</v>
      </c>
      <c r="K32" s="231">
        <v>179410</v>
      </c>
      <c r="L32" s="231">
        <v>28172</v>
      </c>
      <c r="M32" s="234">
        <v>0</v>
      </c>
      <c r="N32" s="228">
        <v>222405</v>
      </c>
    </row>
    <row r="33" spans="1:14" ht="23.4" thickBot="1">
      <c r="A33" s="233"/>
      <c r="B33" s="235" t="s">
        <v>55</v>
      </c>
      <c r="C33" s="230" t="s">
        <v>31</v>
      </c>
      <c r="D33" s="230"/>
      <c r="E33" s="253">
        <v>-1</v>
      </c>
      <c r="F33" s="252" t="s">
        <v>31</v>
      </c>
      <c r="G33" s="228">
        <v>56108</v>
      </c>
      <c r="H33" s="230"/>
      <c r="I33" s="228">
        <v>132745</v>
      </c>
      <c r="J33" s="231">
        <v>1456</v>
      </c>
      <c r="K33" s="231">
        <v>187319</v>
      </c>
      <c r="L33" s="234">
        <v>77</v>
      </c>
      <c r="M33" s="234">
        <v>0</v>
      </c>
      <c r="N33" s="228">
        <v>51987</v>
      </c>
    </row>
    <row r="34" spans="1:14" ht="23.4" thickBot="1">
      <c r="A34" s="233"/>
      <c r="B34" s="235" t="s">
        <v>56</v>
      </c>
      <c r="C34" s="230" t="s">
        <v>31</v>
      </c>
      <c r="D34" s="230"/>
      <c r="E34" s="253">
        <v>-5</v>
      </c>
      <c r="F34" s="252" t="s">
        <v>31</v>
      </c>
      <c r="G34" s="228">
        <v>148080</v>
      </c>
      <c r="H34" s="230"/>
      <c r="I34" s="228">
        <v>-129431</v>
      </c>
      <c r="J34" s="231">
        <v>-1541</v>
      </c>
      <c r="K34" s="231">
        <v>-7909</v>
      </c>
      <c r="L34" s="231">
        <v>28095</v>
      </c>
      <c r="M34" s="234">
        <v>0</v>
      </c>
      <c r="N34" s="228">
        <v>170417</v>
      </c>
    </row>
    <row r="35" spans="1:14" ht="46.2" thickBot="1">
      <c r="A35" s="233"/>
      <c r="B35" s="235" t="s">
        <v>57</v>
      </c>
      <c r="C35" s="230" t="s">
        <v>31</v>
      </c>
      <c r="D35" s="230"/>
      <c r="E35" s="252" t="s">
        <v>31</v>
      </c>
      <c r="F35" s="252" t="s">
        <v>31</v>
      </c>
      <c r="G35" s="229" t="s">
        <v>35</v>
      </c>
      <c r="H35" s="230"/>
      <c r="I35" s="230" t="s">
        <v>31</v>
      </c>
      <c r="J35" s="234">
        <v>10</v>
      </c>
      <c r="K35" s="234">
        <v>195</v>
      </c>
      <c r="L35" s="234" t="s">
        <v>35</v>
      </c>
      <c r="M35" s="234">
        <v>-205</v>
      </c>
      <c r="N35" s="229">
        <v>40</v>
      </c>
    </row>
    <row r="36" spans="1:14" ht="36.6" thickBot="1">
      <c r="A36" s="233"/>
      <c r="B36" s="227" t="s">
        <v>58</v>
      </c>
      <c r="C36" s="230" t="s">
        <v>31</v>
      </c>
      <c r="D36" s="230"/>
      <c r="E36" s="251">
        <v>2711</v>
      </c>
      <c r="F36" s="251">
        <v>6934051</v>
      </c>
      <c r="G36" s="228">
        <v>221963</v>
      </c>
      <c r="H36" s="230"/>
      <c r="I36" s="228">
        <v>7724</v>
      </c>
      <c r="J36" s="231">
        <v>1262</v>
      </c>
      <c r="K36" s="236" t="s">
        <v>31</v>
      </c>
      <c r="L36" s="231">
        <v>1164048</v>
      </c>
      <c r="M36" s="231">
        <v>6001139</v>
      </c>
      <c r="N36" s="228">
        <v>263076</v>
      </c>
    </row>
    <row r="37" spans="1:14" ht="34.799999999999997" thickBot="1">
      <c r="A37" s="233"/>
      <c r="B37" s="235" t="s">
        <v>59</v>
      </c>
      <c r="C37" s="230" t="s">
        <v>31</v>
      </c>
      <c r="D37" s="230"/>
      <c r="E37" s="251">
        <v>2423</v>
      </c>
      <c r="F37" s="251">
        <v>3520823</v>
      </c>
      <c r="G37" s="228">
        <v>39911</v>
      </c>
      <c r="H37" s="230"/>
      <c r="I37" s="228">
        <v>7724</v>
      </c>
      <c r="J37" s="231">
        <v>-2415</v>
      </c>
      <c r="K37" s="236" t="s">
        <v>31</v>
      </c>
      <c r="L37" s="231">
        <v>291546</v>
      </c>
      <c r="M37" s="231">
        <v>3281750</v>
      </c>
      <c r="N37" s="228">
        <v>15812</v>
      </c>
    </row>
    <row r="38" spans="1:14" ht="23.4" thickBot="1">
      <c r="A38" s="233"/>
      <c r="B38" s="235" t="s">
        <v>55</v>
      </c>
      <c r="C38" s="230" t="s">
        <v>31</v>
      </c>
      <c r="D38" s="230"/>
      <c r="E38" s="252"/>
      <c r="F38" s="251">
        <v>1112341</v>
      </c>
      <c r="G38" s="229" t="s">
        <v>35</v>
      </c>
      <c r="H38" s="230"/>
      <c r="I38" s="228">
        <v>-99601</v>
      </c>
      <c r="J38" s="234">
        <v>-1</v>
      </c>
      <c r="K38" s="236" t="s">
        <v>31</v>
      </c>
      <c r="L38" s="234" t="s">
        <v>35</v>
      </c>
      <c r="M38" s="231">
        <v>1012741</v>
      </c>
      <c r="N38" s="229">
        <v>21</v>
      </c>
    </row>
    <row r="39" spans="1:14" ht="23.4" thickBot="1">
      <c r="A39" s="233"/>
      <c r="B39" s="235" t="s">
        <v>56</v>
      </c>
      <c r="C39" s="230" t="s">
        <v>31</v>
      </c>
      <c r="D39" s="230"/>
      <c r="E39" s="251">
        <v>2423</v>
      </c>
      <c r="F39" s="251">
        <v>2408482</v>
      </c>
      <c r="G39" s="228">
        <v>39911</v>
      </c>
      <c r="H39" s="230"/>
      <c r="I39" s="228">
        <v>107325</v>
      </c>
      <c r="J39" s="231">
        <v>-2414</v>
      </c>
      <c r="K39" s="236" t="s">
        <v>31</v>
      </c>
      <c r="L39" s="231">
        <v>291546</v>
      </c>
      <c r="M39" s="231">
        <v>2269009</v>
      </c>
      <c r="N39" s="228">
        <v>15791</v>
      </c>
    </row>
    <row r="40" spans="1:14" ht="34.799999999999997" thickBot="1">
      <c r="A40" s="233"/>
      <c r="B40" s="235" t="s">
        <v>60</v>
      </c>
      <c r="C40" s="230" t="s">
        <v>31</v>
      </c>
      <c r="D40" s="230"/>
      <c r="E40" s="252" t="s">
        <v>31</v>
      </c>
      <c r="F40" s="251">
        <v>4448</v>
      </c>
      <c r="G40" s="229">
        <v>322</v>
      </c>
      <c r="H40" s="230"/>
      <c r="I40" s="230" t="s">
        <v>31</v>
      </c>
      <c r="J40" s="234">
        <v>259</v>
      </c>
      <c r="K40" s="236" t="s">
        <v>31</v>
      </c>
      <c r="L40" s="234" t="s">
        <v>35</v>
      </c>
      <c r="M40" s="231">
        <v>4511</v>
      </c>
      <c r="N40" s="228">
        <v>1460</v>
      </c>
    </row>
    <row r="41" spans="1:14" ht="34.799999999999997" thickBot="1">
      <c r="A41" s="233"/>
      <c r="B41" s="235" t="s">
        <v>61</v>
      </c>
      <c r="C41" s="230" t="s">
        <v>31</v>
      </c>
      <c r="D41" s="230"/>
      <c r="E41" s="253">
        <v>303</v>
      </c>
      <c r="F41" s="251">
        <v>660696</v>
      </c>
      <c r="G41" s="228">
        <v>38442</v>
      </c>
      <c r="H41" s="230"/>
      <c r="I41" s="230" t="s">
        <v>31</v>
      </c>
      <c r="J41" s="231">
        <v>3934</v>
      </c>
      <c r="K41" s="236" t="s">
        <v>31</v>
      </c>
      <c r="L41" s="231">
        <v>76907</v>
      </c>
      <c r="M41" s="231">
        <v>618600</v>
      </c>
      <c r="N41" s="228">
        <v>43711</v>
      </c>
    </row>
    <row r="42" spans="1:14" ht="15" thickBot="1">
      <c r="A42" s="233"/>
      <c r="B42" s="235" t="s">
        <v>62</v>
      </c>
      <c r="C42" s="230" t="s">
        <v>31</v>
      </c>
      <c r="D42" s="230"/>
      <c r="E42" s="253" t="s">
        <v>475</v>
      </c>
      <c r="F42" s="251">
        <v>4539</v>
      </c>
      <c r="G42" s="229">
        <v>15</v>
      </c>
      <c r="H42" s="230"/>
      <c r="I42" s="230" t="s">
        <v>31</v>
      </c>
      <c r="J42" s="234">
        <v>-157</v>
      </c>
      <c r="K42" s="236" t="s">
        <v>31</v>
      </c>
      <c r="L42" s="231">
        <v>1953</v>
      </c>
      <c r="M42" s="231">
        <v>2758</v>
      </c>
      <c r="N42" s="228">
        <v>1781</v>
      </c>
    </row>
    <row r="43" spans="1:14" ht="23.4" thickBot="1">
      <c r="A43" s="233"/>
      <c r="B43" s="235" t="s">
        <v>63</v>
      </c>
      <c r="C43" s="230" t="s">
        <v>31</v>
      </c>
      <c r="D43" s="230"/>
      <c r="E43" s="253">
        <v>-15</v>
      </c>
      <c r="F43" s="251">
        <v>1806606</v>
      </c>
      <c r="G43" s="228">
        <v>53868</v>
      </c>
      <c r="H43" s="230"/>
      <c r="I43" s="229" t="s">
        <v>475</v>
      </c>
      <c r="J43" s="234">
        <v>-65</v>
      </c>
      <c r="K43" s="236" t="s">
        <v>31</v>
      </c>
      <c r="L43" s="231">
        <v>472631</v>
      </c>
      <c r="M43" s="231">
        <v>1387893</v>
      </c>
      <c r="N43" s="228">
        <v>130421</v>
      </c>
    </row>
    <row r="44" spans="1:14" ht="34.799999999999997" thickBot="1">
      <c r="A44" s="233"/>
      <c r="B44" s="235" t="s">
        <v>64</v>
      </c>
      <c r="C44" s="230" t="s">
        <v>31</v>
      </c>
      <c r="D44" s="230"/>
      <c r="E44" s="253">
        <v>-14</v>
      </c>
      <c r="F44" s="251">
        <v>1744279</v>
      </c>
      <c r="G44" s="228">
        <v>52436</v>
      </c>
      <c r="H44" s="230"/>
      <c r="I44" s="229" t="s">
        <v>475</v>
      </c>
      <c r="J44" s="231">
        <v>-1683</v>
      </c>
      <c r="K44" s="236" t="s">
        <v>31</v>
      </c>
      <c r="L44" s="231">
        <v>413451</v>
      </c>
      <c r="M44" s="231">
        <v>1384933</v>
      </c>
      <c r="N44" s="228">
        <v>120526</v>
      </c>
    </row>
    <row r="45" spans="1:14" ht="46.2" thickBot="1">
      <c r="A45" s="233"/>
      <c r="B45" s="235" t="s">
        <v>65</v>
      </c>
      <c r="C45" s="230" t="s">
        <v>31</v>
      </c>
      <c r="D45" s="230"/>
      <c r="E45" s="253">
        <v>0</v>
      </c>
      <c r="F45" s="251">
        <v>35948</v>
      </c>
      <c r="G45" s="229">
        <v>428</v>
      </c>
      <c r="H45" s="230"/>
      <c r="I45" s="229" t="s">
        <v>475</v>
      </c>
      <c r="J45" s="234">
        <v>376</v>
      </c>
      <c r="K45" s="236" t="s">
        <v>31</v>
      </c>
      <c r="L45" s="231">
        <v>33888</v>
      </c>
      <c r="M45" s="231">
        <v>2112</v>
      </c>
      <c r="N45" s="228">
        <v>2798</v>
      </c>
    </row>
    <row r="46" spans="1:14" ht="34.799999999999997" thickBot="1">
      <c r="A46" s="233"/>
      <c r="B46" s="235" t="s">
        <v>66</v>
      </c>
      <c r="C46" s="230" t="s">
        <v>31</v>
      </c>
      <c r="D46" s="230"/>
      <c r="E46" s="253" t="s">
        <v>475</v>
      </c>
      <c r="F46" s="251">
        <v>26379</v>
      </c>
      <c r="G46" s="228">
        <v>1004</v>
      </c>
      <c r="H46" s="230"/>
      <c r="I46" s="230" t="s">
        <v>31</v>
      </c>
      <c r="J46" s="231">
        <v>1242</v>
      </c>
      <c r="K46" s="236" t="s">
        <v>31</v>
      </c>
      <c r="L46" s="231">
        <v>25292</v>
      </c>
      <c r="M46" s="234">
        <v>849</v>
      </c>
      <c r="N46" s="228">
        <v>7097</v>
      </c>
    </row>
    <row r="47" spans="1:14" ht="23.4" thickBot="1">
      <c r="A47" s="233"/>
      <c r="B47" s="235" t="s">
        <v>67</v>
      </c>
      <c r="C47" s="230" t="s">
        <v>31</v>
      </c>
      <c r="D47" s="230" t="s">
        <v>31</v>
      </c>
      <c r="E47" s="252" t="s">
        <v>31</v>
      </c>
      <c r="F47" s="251">
        <v>115747</v>
      </c>
      <c r="G47" s="228">
        <v>40046</v>
      </c>
      <c r="H47" s="230"/>
      <c r="I47" s="230" t="s">
        <v>31</v>
      </c>
      <c r="J47" s="231">
        <v>-1353</v>
      </c>
      <c r="K47" s="236" t="s">
        <v>31</v>
      </c>
      <c r="L47" s="231">
        <v>50003</v>
      </c>
      <c r="M47" s="231">
        <v>107143</v>
      </c>
      <c r="N47" s="228">
        <v>22741</v>
      </c>
    </row>
    <row r="48" spans="1:14" ht="34.799999999999997" thickBot="1">
      <c r="A48" s="233"/>
      <c r="B48" s="235" t="s">
        <v>68</v>
      </c>
      <c r="C48" s="230" t="s">
        <v>31</v>
      </c>
      <c r="D48" s="230" t="s">
        <v>31</v>
      </c>
      <c r="E48" s="252" t="s">
        <v>31</v>
      </c>
      <c r="F48" s="251">
        <v>15982</v>
      </c>
      <c r="G48" s="228">
        <v>2954</v>
      </c>
      <c r="H48" s="230"/>
      <c r="I48" s="230" t="s">
        <v>31</v>
      </c>
      <c r="J48" s="234">
        <v>-337</v>
      </c>
      <c r="K48" s="236" t="s">
        <v>31</v>
      </c>
      <c r="L48" s="236" t="s">
        <v>69</v>
      </c>
      <c r="M48" s="236" t="s">
        <v>69</v>
      </c>
      <c r="N48" s="228">
        <v>2105</v>
      </c>
    </row>
    <row r="49" spans="1:14" ht="34.799999999999997" thickBot="1">
      <c r="A49" s="233"/>
      <c r="B49" s="235" t="s">
        <v>70</v>
      </c>
      <c r="C49" s="230" t="s">
        <v>31</v>
      </c>
      <c r="D49" s="230" t="s">
        <v>31</v>
      </c>
      <c r="E49" s="252" t="s">
        <v>31</v>
      </c>
      <c r="F49" s="251">
        <v>31568</v>
      </c>
      <c r="G49" s="228">
        <v>5545</v>
      </c>
      <c r="H49" s="230"/>
      <c r="I49" s="230" t="s">
        <v>31</v>
      </c>
      <c r="J49" s="234">
        <v>-166</v>
      </c>
      <c r="K49" s="236" t="s">
        <v>31</v>
      </c>
      <c r="L49" s="236" t="s">
        <v>69</v>
      </c>
      <c r="M49" s="236" t="s">
        <v>69</v>
      </c>
      <c r="N49" s="228">
        <v>5549</v>
      </c>
    </row>
    <row r="50" spans="1:14" ht="34.799999999999997" thickBot="1">
      <c r="A50" s="233"/>
      <c r="B50" s="235" t="s">
        <v>71</v>
      </c>
      <c r="C50" s="230" t="s">
        <v>31</v>
      </c>
      <c r="D50" s="230" t="s">
        <v>31</v>
      </c>
      <c r="E50" s="252" t="s">
        <v>31</v>
      </c>
      <c r="F50" s="251">
        <v>68197</v>
      </c>
      <c r="G50" s="228">
        <v>31547</v>
      </c>
      <c r="H50" s="230"/>
      <c r="I50" s="230" t="s">
        <v>31</v>
      </c>
      <c r="J50" s="234">
        <v>-850</v>
      </c>
      <c r="K50" s="236" t="s">
        <v>31</v>
      </c>
      <c r="L50" s="236" t="s">
        <v>69</v>
      </c>
      <c r="M50" s="236" t="s">
        <v>69</v>
      </c>
      <c r="N50" s="228">
        <v>15087</v>
      </c>
    </row>
    <row r="51" spans="1:14" ht="46.2" thickBot="1">
      <c r="A51" s="233"/>
      <c r="B51" s="235" t="s">
        <v>72</v>
      </c>
      <c r="C51" s="230" t="s">
        <v>31</v>
      </c>
      <c r="D51" s="230" t="s">
        <v>31</v>
      </c>
      <c r="E51" s="252" t="s">
        <v>31</v>
      </c>
      <c r="F51" s="251">
        <v>73866</v>
      </c>
      <c r="G51" s="228">
        <v>4762</v>
      </c>
      <c r="H51" s="230"/>
      <c r="I51" s="230" t="s">
        <v>31</v>
      </c>
      <c r="J51" s="234">
        <v>7</v>
      </c>
      <c r="K51" s="236" t="s">
        <v>31</v>
      </c>
      <c r="L51" s="231">
        <v>3638</v>
      </c>
      <c r="M51" s="231">
        <v>74983</v>
      </c>
      <c r="N51" s="228">
        <v>2624</v>
      </c>
    </row>
    <row r="52" spans="1:14" ht="34.799999999999997" thickBot="1">
      <c r="A52" s="233"/>
      <c r="B52" s="235" t="s">
        <v>73</v>
      </c>
      <c r="C52" s="230" t="s">
        <v>31</v>
      </c>
      <c r="D52" s="230" t="s">
        <v>31</v>
      </c>
      <c r="E52" s="252" t="s">
        <v>31</v>
      </c>
      <c r="F52" s="251">
        <v>45038</v>
      </c>
      <c r="G52" s="228">
        <v>3556</v>
      </c>
      <c r="H52" s="230"/>
      <c r="I52" s="230" t="s">
        <v>31</v>
      </c>
      <c r="J52" s="234">
        <v>-23</v>
      </c>
      <c r="K52" s="236" t="s">
        <v>31</v>
      </c>
      <c r="L52" s="234" t="s">
        <v>35</v>
      </c>
      <c r="M52" s="231">
        <v>48617</v>
      </c>
      <c r="N52" s="228">
        <v>1820</v>
      </c>
    </row>
    <row r="53" spans="1:14" ht="34.799999999999997" thickBot="1">
      <c r="A53" s="233"/>
      <c r="B53" s="235" t="s">
        <v>74</v>
      </c>
      <c r="C53" s="230" t="s">
        <v>31</v>
      </c>
      <c r="D53" s="230" t="s">
        <v>31</v>
      </c>
      <c r="E53" s="252" t="s">
        <v>31</v>
      </c>
      <c r="F53" s="251">
        <v>28828</v>
      </c>
      <c r="G53" s="228">
        <v>1206</v>
      </c>
      <c r="H53" s="230"/>
      <c r="I53" s="230" t="s">
        <v>31</v>
      </c>
      <c r="J53" s="234">
        <v>30</v>
      </c>
      <c r="K53" s="236" t="s">
        <v>31</v>
      </c>
      <c r="L53" s="231">
        <v>3638</v>
      </c>
      <c r="M53" s="231">
        <v>26366</v>
      </c>
      <c r="N53" s="229">
        <v>804</v>
      </c>
    </row>
    <row r="54" spans="1:14" ht="23.4" thickBot="1">
      <c r="A54" s="233"/>
      <c r="B54" s="235" t="s">
        <v>75</v>
      </c>
      <c r="C54" s="230" t="s">
        <v>31</v>
      </c>
      <c r="D54" s="230" t="s">
        <v>31</v>
      </c>
      <c r="E54" s="252" t="s">
        <v>31</v>
      </c>
      <c r="F54" s="251">
        <v>10700</v>
      </c>
      <c r="G54" s="228">
        <v>4203</v>
      </c>
      <c r="H54" s="230"/>
      <c r="I54" s="230" t="s">
        <v>31</v>
      </c>
      <c r="J54" s="234">
        <v>32</v>
      </c>
      <c r="K54" s="236" t="s">
        <v>31</v>
      </c>
      <c r="L54" s="234" t="s">
        <v>35</v>
      </c>
      <c r="M54" s="231">
        <v>14871</v>
      </c>
      <c r="N54" s="228">
        <v>1161</v>
      </c>
    </row>
    <row r="55" spans="1:14" ht="15" thickBot="1">
      <c r="A55" s="233"/>
      <c r="B55" s="235" t="s">
        <v>76</v>
      </c>
      <c r="C55" s="230" t="s">
        <v>31</v>
      </c>
      <c r="D55" s="230" t="s">
        <v>31</v>
      </c>
      <c r="E55" s="252" t="s">
        <v>31</v>
      </c>
      <c r="F55" s="251">
        <v>58879</v>
      </c>
      <c r="G55" s="228">
        <v>16113</v>
      </c>
      <c r="H55" s="230"/>
      <c r="I55" s="230" t="s">
        <v>31</v>
      </c>
      <c r="J55" s="234">
        <v>215</v>
      </c>
      <c r="K55" s="236" t="s">
        <v>31</v>
      </c>
      <c r="L55" s="231">
        <v>45968</v>
      </c>
      <c r="M55" s="231">
        <v>28809</v>
      </c>
      <c r="N55" s="228">
        <v>12316</v>
      </c>
    </row>
    <row r="56" spans="1:14" ht="15" thickBot="1">
      <c r="A56" s="233"/>
      <c r="B56" s="235" t="s">
        <v>77</v>
      </c>
      <c r="C56" s="230" t="s">
        <v>31</v>
      </c>
      <c r="D56" s="230" t="s">
        <v>31</v>
      </c>
      <c r="E56" s="252" t="s">
        <v>31</v>
      </c>
      <c r="F56" s="251">
        <v>2159</v>
      </c>
      <c r="G56" s="228">
        <v>1359</v>
      </c>
      <c r="H56" s="230"/>
      <c r="I56" s="230" t="s">
        <v>31</v>
      </c>
      <c r="J56" s="234">
        <v>-34</v>
      </c>
      <c r="K56" s="236" t="s">
        <v>31</v>
      </c>
      <c r="L56" s="231">
        <v>1543</v>
      </c>
      <c r="M56" s="231">
        <v>2009</v>
      </c>
      <c r="N56" s="229">
        <v>622</v>
      </c>
    </row>
    <row r="57" spans="1:14" ht="23.4" thickBot="1">
      <c r="A57" s="233"/>
      <c r="B57" s="235" t="s">
        <v>78</v>
      </c>
      <c r="C57" s="230" t="s">
        <v>31</v>
      </c>
      <c r="D57" s="230" t="s">
        <v>31</v>
      </c>
      <c r="E57" s="252" t="s">
        <v>31</v>
      </c>
      <c r="F57" s="251">
        <v>287967</v>
      </c>
      <c r="G57" s="228">
        <v>2730</v>
      </c>
      <c r="H57" s="230"/>
      <c r="I57" s="230" t="s">
        <v>31</v>
      </c>
      <c r="J57" s="234">
        <v>-979</v>
      </c>
      <c r="K57" s="236" t="s">
        <v>31</v>
      </c>
      <c r="L57" s="231">
        <v>211131</v>
      </c>
      <c r="M57" s="231">
        <v>80545</v>
      </c>
      <c r="N57" s="228">
        <v>4943</v>
      </c>
    </row>
    <row r="58" spans="1:14" ht="15" thickBot="1">
      <c r="A58" s="233"/>
      <c r="B58" s="235" t="s">
        <v>79</v>
      </c>
      <c r="C58" s="230" t="s">
        <v>31</v>
      </c>
      <c r="D58" s="230" t="s">
        <v>31</v>
      </c>
      <c r="E58" s="252" t="s">
        <v>31</v>
      </c>
      <c r="F58" s="251">
        <v>217127</v>
      </c>
      <c r="G58" s="228">
        <v>2730</v>
      </c>
      <c r="H58" s="230"/>
      <c r="I58" s="230" t="s">
        <v>31</v>
      </c>
      <c r="J58" s="234">
        <v>-979</v>
      </c>
      <c r="K58" s="236" t="s">
        <v>31</v>
      </c>
      <c r="L58" s="231">
        <v>211131</v>
      </c>
      <c r="M58" s="231">
        <v>9705</v>
      </c>
      <c r="N58" s="228">
        <v>4943</v>
      </c>
    </row>
    <row r="59" spans="1:14" ht="15" thickBot="1">
      <c r="A59" s="233"/>
      <c r="B59" s="235" t="s">
        <v>80</v>
      </c>
      <c r="C59" s="230" t="s">
        <v>31</v>
      </c>
      <c r="D59" s="230" t="s">
        <v>31</v>
      </c>
      <c r="E59" s="252" t="s">
        <v>31</v>
      </c>
      <c r="F59" s="251">
        <v>70840</v>
      </c>
      <c r="G59" s="230" t="s">
        <v>31</v>
      </c>
      <c r="H59" s="230" t="s">
        <v>31</v>
      </c>
      <c r="I59" s="230" t="s">
        <v>31</v>
      </c>
      <c r="J59" s="236" t="s">
        <v>31</v>
      </c>
      <c r="K59" s="236" t="s">
        <v>31</v>
      </c>
      <c r="L59" s="236" t="s">
        <v>31</v>
      </c>
      <c r="M59" s="231">
        <v>70840</v>
      </c>
      <c r="N59" s="230" t="s">
        <v>31</v>
      </c>
    </row>
    <row r="60" spans="1:14" ht="34.799999999999997" thickBot="1">
      <c r="A60" s="233"/>
      <c r="B60" s="235" t="s">
        <v>81</v>
      </c>
      <c r="C60" s="230" t="s">
        <v>31</v>
      </c>
      <c r="D60" s="230" t="s">
        <v>31</v>
      </c>
      <c r="E60" s="252" t="s">
        <v>31</v>
      </c>
      <c r="F60" s="251">
        <v>123534</v>
      </c>
      <c r="G60" s="228">
        <v>20192</v>
      </c>
      <c r="H60" s="230"/>
      <c r="I60" s="230" t="s">
        <v>31</v>
      </c>
      <c r="J60" s="231">
        <v>1723</v>
      </c>
      <c r="K60" s="236" t="s">
        <v>31</v>
      </c>
      <c r="L60" s="231">
        <v>8143</v>
      </c>
      <c r="M60" s="231">
        <v>133860</v>
      </c>
      <c r="N60" s="228">
        <v>24474</v>
      </c>
    </row>
    <row r="61" spans="1:14" ht="15" thickBot="1">
      <c r="A61" s="233"/>
      <c r="B61" s="235" t="s">
        <v>82</v>
      </c>
      <c r="C61" s="230" t="s">
        <v>31</v>
      </c>
      <c r="D61" s="230" t="s">
        <v>31</v>
      </c>
      <c r="E61" s="252" t="s">
        <v>31</v>
      </c>
      <c r="F61" s="251">
        <v>233635</v>
      </c>
      <c r="G61" s="230" t="s">
        <v>31</v>
      </c>
      <c r="H61" s="230" t="s">
        <v>31</v>
      </c>
      <c r="I61" s="230" t="s">
        <v>31</v>
      </c>
      <c r="J61" s="236" t="s">
        <v>31</v>
      </c>
      <c r="K61" s="236" t="s">
        <v>31</v>
      </c>
      <c r="L61" s="236" t="s">
        <v>31</v>
      </c>
      <c r="M61" s="231">
        <v>233635</v>
      </c>
      <c r="N61" s="230" t="s">
        <v>31</v>
      </c>
    </row>
    <row r="62" spans="1:14" ht="34.799999999999997" thickBot="1">
      <c r="A62" s="237"/>
      <c r="B62" s="238" t="s">
        <v>83</v>
      </c>
      <c r="C62" s="239" t="s">
        <v>31</v>
      </c>
      <c r="D62" s="239" t="s">
        <v>31</v>
      </c>
      <c r="E62" s="254" t="s">
        <v>31</v>
      </c>
      <c r="F62" s="255">
        <v>30452</v>
      </c>
      <c r="G62" s="241" t="s">
        <v>35</v>
      </c>
      <c r="H62" s="239"/>
      <c r="I62" s="239" t="s">
        <v>31</v>
      </c>
      <c r="J62" s="242">
        <v>94</v>
      </c>
      <c r="K62" s="243" t="s">
        <v>31</v>
      </c>
      <c r="L62" s="242">
        <v>586</v>
      </c>
      <c r="M62" s="244">
        <v>29772</v>
      </c>
      <c r="N62" s="240">
        <v>1010</v>
      </c>
    </row>
  </sheetData>
  <mergeCells count="6">
    <mergeCell ref="N1:N4"/>
    <mergeCell ref="A1:B1"/>
    <mergeCell ref="A3:B3"/>
    <mergeCell ref="A4:B4"/>
    <mergeCell ref="C1:I3"/>
    <mergeCell ref="J1:M3"/>
  </mergeCells>
  <hyperlinks>
    <hyperlink ref="C5" r:id="rId1" display="https://www.eia.gov/dnav/pet/hist/LeafHandler.ashx?n=PET&amp;s=MTTFPUS1&amp;f=A" xr:uid="{E4EAB2D0-4817-4186-993B-B36A643870DB}"/>
    <hyperlink ref="D5" r:id="rId2" display="https://www.eia.gov/dnav/pet/hist/LeafHandler.ashx?n=PET&amp;s=M_EP00_TVP_NUS_MBBL&amp;f=A" xr:uid="{DBC9AE85-B25A-4CA3-BD9E-FF3E700099C7}"/>
    <hyperlink ref="E5" r:id="rId3" display="https://www.eia.gov/dnav/pet/hist/LeafHandler.ashx?n=PET&amp;s=M_EP00_YNP_NUS_MBBL&amp;f=A" xr:uid="{316155D2-9FC3-4287-8AA1-6C82FE1FF65A}"/>
    <hyperlink ref="F5" r:id="rId4" display="https://www.eia.gov/dnav/pet/hist/LeafHandler.ashx?n=PET&amp;s=MTTRPUS1&amp;f=A" xr:uid="{D870CBDF-E07C-4BA5-B596-88359D628CF9}"/>
    <hyperlink ref="G5" r:id="rId5" display="https://www.eia.gov/dnav/pet/hist/LeafHandler.ashx?n=PET&amp;s=MTTIMUS1&amp;f=A" xr:uid="{D1F1D9A1-04E7-4A10-985A-547B384A9A56}"/>
    <hyperlink ref="I5" r:id="rId6" display="https://www.eia.gov/dnav/pet/hist/LeafHandler.ashx?n=PET&amp;s=MTTUA_NUS_1&amp;f=A" xr:uid="{5CBBA9F2-0065-4B3E-BEB2-4E6C72879AB2}"/>
    <hyperlink ref="J5" r:id="rId7" display="https://www.eia.gov/dnav/pet/hist/LeafHandler.ashx?n=PET&amp;s=MTTSCUS1&amp;f=A" xr:uid="{24C794EA-3AFD-47BC-998A-F1F3BC2C059F}"/>
    <hyperlink ref="K5" r:id="rId8" display="https://www.eia.gov/dnav/pet/hist/LeafHandler.ashx?n=PET&amp;s=MTTRIUS1&amp;f=A" xr:uid="{2F951305-CC5D-4857-A0A0-F2D490F88BFD}"/>
    <hyperlink ref="L5" r:id="rId9" display="https://www.eia.gov/dnav/pet/hist/LeafHandler.ashx?n=PET&amp;s=MTTEXUS1&amp;f=A" xr:uid="{191947E3-06D7-45FE-8735-A116DD0F3B97}"/>
    <hyperlink ref="M5" r:id="rId10" display="https://www.eia.gov/dnav/pet/hist/LeafHandler.ashx?n=PET&amp;s=MTTUPUS1&amp;f=A" xr:uid="{6DB1CD8F-9774-48AA-9A43-614955D86A31}"/>
    <hyperlink ref="N5" r:id="rId11" display="https://www.eia.gov/dnav/pet/hist/LeafHandler.ashx?n=PET&amp;s=MTTSTUS1&amp;f=A" xr:uid="{32D76DF6-C26A-4314-8439-5B579B0FF07F}"/>
    <hyperlink ref="C6" r:id="rId12" display="https://www.eia.gov/dnav/pet/hist/LeafHandler.ashx?n=PET&amp;s=MCRFPUS1&amp;f=A" xr:uid="{ED3ADD3A-E886-446E-9671-29018F603D04}"/>
    <hyperlink ref="D6" r:id="rId13" display="https://www.eia.gov/dnav/pet/hist/LeafHandler.ashx?n=PET&amp;s=M_EPC0_TVP_NUS_MBBL&amp;f=A" xr:uid="{FAC0123E-FEAE-4718-A688-E0AAD6300CB5}"/>
    <hyperlink ref="G6" r:id="rId14" display="https://www.eia.gov/dnav/pet/hist/LeafHandler.ashx?n=PET&amp;s=MCRIMUS1&amp;f=A" xr:uid="{A366E461-929D-4449-AD8C-C3353F64010D}"/>
    <hyperlink ref="I6" r:id="rId15" display="https://www.eia.gov/dnav/pet/hist/LeafHandler.ashx?n=PET&amp;s=MCRUA_NUS_1&amp;f=A" xr:uid="{BF067BAF-B00F-43B7-96BB-6D70166CE01F}"/>
    <hyperlink ref="J6" r:id="rId16" display="https://www.eia.gov/dnav/pet/hist/LeafHandler.ashx?n=PET&amp;s=MCRSCUS1&amp;f=A" xr:uid="{6525A45F-D754-4AA0-8D28-2BE002A0975C}"/>
    <hyperlink ref="K6" r:id="rId17" display="https://www.eia.gov/dnav/pet/hist/LeafHandler.ashx?n=PET&amp;s=MCRRIUS1&amp;f=A" xr:uid="{00BF87F3-86AF-4AE1-A151-B55552015E03}"/>
    <hyperlink ref="L6" r:id="rId18" display="https://www.eia.gov/dnav/pet/hist/LeafHandler.ashx?n=PET&amp;s=MCREXUS1&amp;f=A" xr:uid="{D794670E-239A-4FA8-8CEA-CD709BD3FDF9}"/>
    <hyperlink ref="M6" r:id="rId19" display="https://www.eia.gov/dnav/pet/hist/LeafHandler.ashx?n=PET&amp;s=MCRUPUS1&amp;f=A" xr:uid="{56984ACE-8C25-481F-B838-09469B5511FB}"/>
    <hyperlink ref="N6" r:id="rId20" display="https://www.eia.gov/dnav/pet/hist/LeafHandler.ashx?n=PET&amp;s=MCRSTUS1&amp;f=A" xr:uid="{F4509BA7-1903-47B0-828E-610BAC344D6C}"/>
    <hyperlink ref="C7" r:id="rId21" display="https://www.eia.gov/dnav/pet/hist/LeafHandler.ashx?n=PET&amp;s=MNGFPUS1&amp;f=A" xr:uid="{22FCBE07-B4DF-47A5-907F-242D8C2F1CB3}"/>
    <hyperlink ref="D7" r:id="rId22" display="https://www.eia.gov/dnav/pet/hist/LeafHandler.ashx?n=PET&amp;s=M_EPL0_TVP_NUS_MBBL&amp;f=A" xr:uid="{7F91BC98-140A-48AA-BC53-D30D2401C5BB}"/>
    <hyperlink ref="E7" r:id="rId23" display="https://www.eia.gov/dnav/pet/hist/LeafHandler.ashx?n=PET&amp;s=M_EPL0_YNP_NUS_MBBL&amp;f=A" xr:uid="{E692CACC-A281-4A7B-B433-FAA42C33CE2B}"/>
    <hyperlink ref="F7" r:id="rId24" display="https://www.eia.gov/dnav/pet/hist/LeafHandler.ashx?n=PET&amp;s=MNGRPUS1&amp;f=A" xr:uid="{F1ABA617-8BAC-4D58-8858-EE4DC6CF33F1}"/>
    <hyperlink ref="G7" r:id="rId25" display="https://www.eia.gov/dnav/pet/hist/LeafHandler.ashx?n=PET&amp;s=MNGIMUS1&amp;f=A" xr:uid="{2E5495C7-7664-46D6-B60F-003D030B7CF8}"/>
    <hyperlink ref="J7" r:id="rId26" display="https://www.eia.gov/dnav/pet/hist/LeafHandler.ashx?n=PET&amp;s=MNGSCUS1&amp;f=A" xr:uid="{A65FF967-8BCB-49C9-9401-69CA4B365800}"/>
    <hyperlink ref="K7" r:id="rId27" display="https://www.eia.gov/dnav/pet/hist/LeafHandler.ashx?n=PET&amp;s=MNGRIUS1&amp;f=A" xr:uid="{046E3F7A-8CE5-4A5B-A4BE-5E70D6186AC7}"/>
    <hyperlink ref="L7" r:id="rId28" display="https://www.eia.gov/dnav/pet/hist/LeafHandler.ashx?n=PET&amp;s=MNGEXUS1&amp;f=A" xr:uid="{D31D9670-F101-4A8C-97E4-1319C604DB47}"/>
    <hyperlink ref="M7" r:id="rId29" display="https://www.eia.gov/dnav/pet/hist/LeafHandler.ashx?n=PET&amp;s=MNGUPUS1&amp;f=A" xr:uid="{1167DAD0-9283-4DEF-9CEB-A93243E8F7B9}"/>
    <hyperlink ref="N7" r:id="rId30" display="https://www.eia.gov/dnav/pet/hist/LeafHandler.ashx?n=PET&amp;s=MNGSTUS1&amp;f=A" xr:uid="{51A660F5-21C5-491A-92E9-0D67C35C46FF}"/>
    <hyperlink ref="C8" r:id="rId31" display="https://www.eia.gov/dnav/pet/hist/LeafHandler.ashx?n=PET&amp;s=M_EPL2_FPF_NUS_MBBL&amp;f=A" xr:uid="{F2102682-5CFA-4B95-BFA5-4D25D3FB741C}"/>
    <hyperlink ref="D8" r:id="rId32" display="https://www.eia.gov/dnav/pet/hist/LeafHandler.ashx?n=PET&amp;s=M_EPL2_TVP_NUS_MBBL&amp;f=A" xr:uid="{A5692C49-6CCE-48A7-9AD5-D510B52DC97E}"/>
    <hyperlink ref="E8" r:id="rId33" display="https://www.eia.gov/dnav/pet/hist/LeafHandler.ashx?n=PET&amp;s=M_EPL2_YNP_NUS_MBBL&amp;f=A" xr:uid="{418AE5BF-ABE3-458C-B0E2-8FA13A91B887}"/>
    <hyperlink ref="F8" r:id="rId34" display="https://www.eia.gov/dnav/pet/hist/LeafHandler.ashx?n=PET&amp;s=M_EPL2_YPR_NUS_MBBL&amp;f=A" xr:uid="{1E7A6C99-47BA-453D-BF45-BA2B328A9A4B}"/>
    <hyperlink ref="G8" r:id="rId35" display="https://www.eia.gov/dnav/pet/hist/LeafHandler.ashx?n=PET&amp;s=M_EPL2_IM0_NUS-Z00_MBBL&amp;f=A" xr:uid="{83CE17EF-A815-4BA8-9A23-0256BE64C42A}"/>
    <hyperlink ref="J8" r:id="rId36" display="https://www.eia.gov/dnav/pet/hist/LeafHandler.ashx?n=PET&amp;s=M_EPL2_SCG_NUS_MBBL&amp;f=A" xr:uid="{D99C574B-8ACA-46C5-9DF7-B2C3CA1A307C}"/>
    <hyperlink ref="K8" r:id="rId37" display="https://www.eia.gov/dnav/pet/hist/LeafHandler.ashx?n=PET&amp;s=M_EPL2_YIR_NUS_MBBL&amp;f=A" xr:uid="{8024726A-A278-4B8D-A01B-AE1BB796E035}"/>
    <hyperlink ref="L8" r:id="rId38" display="https://www.eia.gov/dnav/pet/hist/LeafHandler.ashx?n=PET&amp;s=M_EPL2_EEX_NUS-Z00_MBBL&amp;f=A" xr:uid="{893B630C-3799-49BA-918A-152A18283718}"/>
    <hyperlink ref="M8" r:id="rId39" display="https://www.eia.gov/dnav/pet/hist/LeafHandler.ashx?n=PET&amp;s=M_EPL2_VPP_NUS_MBBL&amp;f=A" xr:uid="{1A976AA6-6D11-4984-B64E-A3BA08B294AA}"/>
    <hyperlink ref="N8" r:id="rId40" display="https://www.eia.gov/dnav/pet/hist/LeafHandler.ashx?n=PET&amp;s=M_EPL2_SAE_NUS_MBBL&amp;f=A" xr:uid="{F7F9D542-8765-4896-AB8A-E4A34263B44E}"/>
    <hyperlink ref="C9" r:id="rId41" display="https://www.eia.gov/dnav/pet/hist/LeafHandler.ashx?n=PET&amp;s=M_EPLLEA_FPF_NUS_MBBL&amp;f=A" xr:uid="{263DF4BE-703E-4DA7-9E80-64591CFD3CDB}"/>
    <hyperlink ref="F9" r:id="rId42" display="https://www.eia.gov/dnav/pet/hist/LeafHandler.ashx?n=PET&amp;s=MENRPUS1&amp;f=A" xr:uid="{FD823095-02D2-4DB2-8C55-33A605F5638B}"/>
    <hyperlink ref="G9" r:id="rId43" display="https://www.eia.gov/dnav/pet/hist/LeafHandler.ashx?n=PET&amp;s=MENIMUS1&amp;f=A" xr:uid="{EE5A79A4-B2EB-4CB3-8050-B5AB28E30357}"/>
    <hyperlink ref="J9" r:id="rId44" display="https://www.eia.gov/dnav/pet/hist/LeafHandler.ashx?n=PET&amp;s=M_EPLLEA_SCG_NUS_MBBL&amp;f=A" xr:uid="{6B4B7A4F-B0F8-489B-B394-CF7E96A7F56E}"/>
    <hyperlink ref="L9" r:id="rId45" display="https://www.eia.gov/dnav/pet/hist/LeafHandler.ashx?n=PET&amp;s=M_EPLLEA_EEX_NUS-Z00_1&amp;f=A" xr:uid="{9E912817-733E-4202-A111-CBF000FAEE94}"/>
    <hyperlink ref="M9" r:id="rId46" display="https://www.eia.gov/dnav/pet/hist/LeafHandler.ashx?n=PET&amp;s=M_EPLLEA_VPP_NUS_MBBL&amp;f=A" xr:uid="{CBF620DD-1FF1-4C87-B35D-0A1E7C90DF55}"/>
    <hyperlink ref="N9" r:id="rId47" display="https://www.eia.gov/dnav/pet/hist/LeafHandler.ashx?n=PET&amp;s=M_EPLLEA_SAE_NUS_MBBL&amp;f=A" xr:uid="{1CD66BC3-8B53-4CDB-A8A1-AF12CBB23306}"/>
    <hyperlink ref="C10" r:id="rId48" display="https://www.eia.gov/dnav/pet/hist/LeafHandler.ashx?n=PET&amp;s=M_EPLLPA_FPF_NUS_MBBL&amp;f=A" xr:uid="{CAE8E765-5663-46E2-B1D8-FF4F10AA4318}"/>
    <hyperlink ref="D10" r:id="rId49" display="https://www.eia.gov/dnav/pet/hist/LeafHandler.ashx?n=PET&amp;s=M_EPLLPA_TVP_NUS_MBBL&amp;f=A" xr:uid="{86BFF5B5-3D44-4B42-A48C-AD5D26A22AB3}"/>
    <hyperlink ref="F10" r:id="rId50" display="https://www.eia.gov/dnav/pet/hist/LeafHandler.ashx?n=PET&amp;s=MPARP_NUS_1&amp;f=A" xr:uid="{5FE9B62B-0E45-40C6-BF17-78FED39D9386}"/>
    <hyperlink ref="G10" r:id="rId51" display="https://www.eia.gov/dnav/pet/hist/LeafHandler.ashx?n=PET&amp;s=MPAIM_NUS-Z00_1&amp;f=A" xr:uid="{9A8A5BCB-337E-4CB1-BCE2-7224015797BC}"/>
    <hyperlink ref="J10" r:id="rId52" display="https://www.eia.gov/dnav/pet/hist/LeafHandler.ashx?n=PET&amp;s=M_EPLLPA_SCG_NUS_MBBL&amp;f=A" xr:uid="{0A485CB2-941F-4599-854C-AA476664FF9E}"/>
    <hyperlink ref="L10" r:id="rId53" display="https://www.eia.gov/dnav/pet/hist/LeafHandler.ashx?n=PET&amp;s=MPAEX_NUS-Z00_1&amp;f=A" xr:uid="{40A63D82-D4B5-4FC4-AB5F-2992A7B163CE}"/>
    <hyperlink ref="M10" r:id="rId54" display="https://www.eia.gov/dnav/pet/hist/LeafHandler.ashx?n=PET&amp;s=M_EPLLPA_VPP_NUS_MBBL&amp;f=A" xr:uid="{0F3192D4-122A-4018-978C-EBCFAB6B70C0}"/>
    <hyperlink ref="N10" r:id="rId55" display="https://www.eia.gov/dnav/pet/hist/LeafHandler.ashx?n=PET&amp;s=M_EPLLPA_SAE_NUS_MBBL&amp;f=A" xr:uid="{BE2FB890-CE8D-4FE5-AE3F-D081C5A5AC9D}"/>
    <hyperlink ref="C11" r:id="rId56" display="https://www.eia.gov/dnav/pet/hist/LeafHandler.ashx?n=PET&amp;s=M_EPLLBAN_FPF_NUS_MBBL&amp;f=A" xr:uid="{339FCC8D-0F99-4025-8D58-C04B329272FA}"/>
    <hyperlink ref="D11" r:id="rId57" display="https://www.eia.gov/dnav/pet/hist/LeafHandler.ashx?n=PET&amp;s=M_EPLLBAN_TVP_NUS_MBBL&amp;f=A" xr:uid="{2EF2B98C-8EDD-470F-9B53-0BFC9E88D4CC}"/>
    <hyperlink ref="E11" r:id="rId58" display="https://www.eia.gov/dnav/pet/hist/LeafHandler.ashx?n=PET&amp;s=M_EPLLBAN_YNP_NUS_MBBL&amp;f=A" xr:uid="{FB14A789-A17F-4A87-8E22-F0579434A031}"/>
    <hyperlink ref="F11" r:id="rId59" display="https://www.eia.gov/dnav/pet/hist/LeafHandler.ashx?n=PET&amp;s=MBURPUS1&amp;f=A" xr:uid="{2B9F911C-BC54-4DA7-8435-07DAF03EDA23}"/>
    <hyperlink ref="G11" r:id="rId60" display="https://www.eia.gov/dnav/pet/hist/LeafHandler.ashx?n=PET&amp;s=MBUIM_NUS-Z00_1&amp;f=A" xr:uid="{03603410-2E77-43FC-AB98-F93F9AA368F4}"/>
    <hyperlink ref="J11" r:id="rId61" display="https://www.eia.gov/dnav/pet/hist/LeafHandler.ashx?n=PET&amp;s=M_EPLLBAN_SCG_NUS_MBBL&amp;f=A" xr:uid="{49B29BF4-653C-4736-AAC7-009E1862A497}"/>
    <hyperlink ref="K11" r:id="rId62" display="https://www.eia.gov/dnav/pet/hist/LeafHandler.ashx?n=PET&amp;s=M_EPLLBAN_YIR_NUS_MBBL&amp;f=A" xr:uid="{F262A168-E777-4085-A09B-855E286CD1E0}"/>
    <hyperlink ref="L11" r:id="rId63" display="https://www.eia.gov/dnav/pet/hist/LeafHandler.ashx?n=PET&amp;s=MBUEX_NUS-Z00_1&amp;f=A" xr:uid="{6286DBDA-FC1F-44AA-8A1B-C3C099582C93}"/>
    <hyperlink ref="M11" r:id="rId64" display="https://www.eia.gov/dnav/pet/hist/LeafHandler.ashx?n=PET&amp;s=M_EPLLBAN_VPP_NUS_MBBL&amp;f=A" xr:uid="{D1179360-B712-4FCF-B640-D143A872E34C}"/>
    <hyperlink ref="N11" r:id="rId65" display="https://www.eia.gov/dnav/pet/hist/LeafHandler.ashx?n=PET&amp;s=M_EPLLBAN_SAE_NUS_MBBL&amp;f=A" xr:uid="{16B4D2EA-A0AA-42D4-A5DF-213206195F1D}"/>
    <hyperlink ref="C12" r:id="rId66" display="https://www.eia.gov/dnav/pet/hist/LeafHandler.ashx?n=PET&amp;s=M_EPLLBAI_FPF_NUS_MBBL&amp;f=A" xr:uid="{0C1A519E-46E6-40FA-AF72-606F2C0E074E}"/>
    <hyperlink ref="D12" r:id="rId67" display="https://www.eia.gov/dnav/pet/hist/LeafHandler.ashx?n=PET&amp;s=M_EPLLBAI_TVP_NUS_MBBL&amp;f=A" xr:uid="{43539209-626F-4721-BFB9-2C4BC408D822}"/>
    <hyperlink ref="E12" r:id="rId68" display="https://www.eia.gov/dnav/pet/hist/LeafHandler.ashx?n=PET&amp;s=M_EPLLBAI_YNP_NUS_MBBL&amp;f=A" xr:uid="{996BB287-B944-4D43-B71E-25ACB372201B}"/>
    <hyperlink ref="F12" r:id="rId69" display="https://www.eia.gov/dnav/pet/hist/LeafHandler.ashx?n=PET&amp;s=MIIRPUS1&amp;f=A" xr:uid="{3473387F-310E-4A44-8B00-00C56751EA33}"/>
    <hyperlink ref="G12" r:id="rId70" display="https://www.eia.gov/dnav/pet/hist/LeafHandler.ashx?n=PET&amp;s=MIIIM_NUS-Z00_1&amp;f=A" xr:uid="{64EE3DDB-6232-4044-8737-C5834EE06131}"/>
    <hyperlink ref="J12" r:id="rId71" display="https://www.eia.gov/dnav/pet/hist/LeafHandler.ashx?n=PET&amp;s=M_EPLLBAI_SCG_NUS_MBBL&amp;f=A" xr:uid="{80C06AE9-BA7D-424F-A9F4-E8309DEE20B9}"/>
    <hyperlink ref="K12" r:id="rId72" display="https://www.eia.gov/dnav/pet/hist/LeafHandler.ashx?n=PET&amp;s=M_EPLLBAI_YIR_NUS_MBBL&amp;f=A" xr:uid="{A78B63E4-BDE5-417A-9992-768B64713A9D}"/>
    <hyperlink ref="L12" r:id="rId73" display="https://www.eia.gov/dnav/pet/hist/LeafHandler.ashx?n=PET&amp;s=M_EPLLBAI_EEX_NUS-Z00_1&amp;f=A" xr:uid="{2941F4C9-13E5-45CC-AE58-2ED0BBE38C53}"/>
    <hyperlink ref="M12" r:id="rId74" display="https://www.eia.gov/dnav/pet/hist/LeafHandler.ashx?n=PET&amp;s=M_EPLLBAI_VPP_NUS_MBBL&amp;f=A" xr:uid="{3C7CDA79-36A2-43C1-9071-76E1467A4F50}"/>
    <hyperlink ref="N12" r:id="rId75" display="https://www.eia.gov/dnav/pet/hist/LeafHandler.ashx?n=PET&amp;s=M_EPLLBAI_SAE_NUS_MBBL&amp;f=A" xr:uid="{D62A0CBF-2D02-4CDF-AF38-4EF21736B390}"/>
    <hyperlink ref="C13" r:id="rId76" display="https://www.eia.gov/dnav/pet/hist/LeafHandler.ashx?n=PET&amp;s=M_EPLLNG_FPF_NUS_MBBL&amp;f=A" xr:uid="{01B4C261-D2BE-4606-ABB0-A94CF432E398}"/>
    <hyperlink ref="D13" r:id="rId77" display="https://www.eia.gov/dnav/pet/hist/LeafHandler.ashx?n=PET&amp;s=M_EPLLNG_TVP_NUS_MBBL&amp;f=A" xr:uid="{089F2A1A-A61C-4E6C-A305-2A367378527C}"/>
    <hyperlink ref="E13" r:id="rId78" display="https://www.eia.gov/dnav/pet/hist/LeafHandler.ashx?n=PET&amp;s=M_EPLLNG_YNP_NUS_MBBL&amp;f=A" xr:uid="{1B1248BE-713F-4954-9FAB-929456F6A27B}"/>
    <hyperlink ref="G13" r:id="rId79" display="https://www.eia.gov/dnav/pet/hist/LeafHandler.ashx?n=PET&amp;s=M_EPLLNG_IM0_NUS-Z00_MBBL&amp;f=A" xr:uid="{E53F1154-3B58-4CEA-B043-85241F79A6ED}"/>
    <hyperlink ref="J13" r:id="rId80" display="https://www.eia.gov/dnav/pet/hist/LeafHandler.ashx?n=PET&amp;s=M_EPLLNG_SCG_NUS_MBBL&amp;f=A" xr:uid="{8B3E6CD9-9976-414A-A770-98801E224E24}"/>
    <hyperlink ref="K13" r:id="rId81" display="https://www.eia.gov/dnav/pet/hist/LeafHandler.ashx?n=PET&amp;s=M_EPLLNG_YIR_NUS_MBBL&amp;f=A" xr:uid="{563DEF86-8B1B-4353-960E-73B7FD42D795}"/>
    <hyperlink ref="L13" r:id="rId82" display="https://www.eia.gov/dnav/pet/hist/LeafHandler.ashx?n=PET&amp;s=M_EPLLNG_EEX_NUS-Z00_MBBL&amp;f=A" xr:uid="{29D672AB-9D67-4BA2-B0DD-A8F431ACD95B}"/>
    <hyperlink ref="M13" r:id="rId83" display="https://www.eia.gov/dnav/pet/hist/LeafHandler.ashx?n=PET&amp;s=M_EPLLNG_VPP_NUS_MBBL&amp;f=A" xr:uid="{F7994F73-90DC-459C-83EA-22896F96F53C}"/>
    <hyperlink ref="N13" r:id="rId84" display="https://www.eia.gov/dnav/pet/hist/LeafHandler.ashx?n=PET&amp;s=M_EPLLNG_SAE_NUS_MBBL&amp;f=A" xr:uid="{7B9B8B5D-6A1B-4482-A919-50A077ADFA43}"/>
    <hyperlink ref="C14" r:id="rId85" display="https://www.eia.gov/dnav/pet/hist/LeafHandler.ashx?n=PET&amp;s=M_EPLLCS_FPF_NUS_MBBL&amp;f=A" xr:uid="{ABA2184F-B625-436D-A4AA-1A08C567F7EA}"/>
    <hyperlink ref="D14" r:id="rId86" display="https://www.eia.gov/dnav/pet/hist/LeafHandler.ashx?n=PET&amp;s=M_EPLLCS_TVP_NUS_MBBL&amp;f=A" xr:uid="{F7E236E8-7D65-4294-A407-767274A65EA7}"/>
    <hyperlink ref="J14" r:id="rId87" display="https://www.eia.gov/dnav/pet/hist/LeafHandler.ashx?n=PET&amp;s=M_EPLLCS_SCG_NUS_MBBL&amp;f=A" xr:uid="{CCB42C42-E3DF-4BBB-B91F-27D0707AFB2D}"/>
    <hyperlink ref="M14" r:id="rId88" display="https://www.eia.gov/dnav/pet/hist/LeafHandler.ashx?n=PET&amp;s=M_EPLLCS_VPP_NUS_MBBL&amp;f=A" xr:uid="{2C685F45-D26C-499D-80F3-0AC6B4B39087}"/>
    <hyperlink ref="N14" r:id="rId89" display="https://www.eia.gov/dnav/pet/hist/LeafHandler.ashx?n=PET&amp;s=M_EPLLCS_SAE_NUS_MBBL&amp;f=A" xr:uid="{184323C7-FBE3-48AB-BC2F-B86159769A77}"/>
    <hyperlink ref="F15" r:id="rId90" display="https://www.eia.gov/dnav/pet/hist/LeafHandler.ashx?n=PET&amp;s=M_EPLOLE_YPR_NUS_MBBL&amp;f=A" xr:uid="{73A9CBCD-ECCC-4FBE-9351-AA83D90906FC}"/>
    <hyperlink ref="G15" r:id="rId91" display="https://www.eia.gov/dnav/pet/hist/LeafHandler.ashx?n=PET&amp;s=M_EPLOLE_IM0_NUS-Z00_MBBL&amp;f=A" xr:uid="{F2593B88-6278-4E6B-9EBA-7B5350DB970D}"/>
    <hyperlink ref="J15" r:id="rId92" display="https://www.eia.gov/dnav/pet/hist/LeafHandler.ashx?n=PET&amp;s=M_EPLOLE_SCG_NUS_MBBL&amp;f=A" xr:uid="{386F9979-3837-4ABB-A2DB-165C62C0DF04}"/>
    <hyperlink ref="M15" r:id="rId93" display="https://www.eia.gov/dnav/pet/hist/LeafHandler.ashx?n=PET&amp;s=M_EPLOLE_VPP_NUS_MBBL&amp;f=A" xr:uid="{4E3FC147-C18B-4855-8D8F-B957FA4BC593}"/>
    <hyperlink ref="N15" r:id="rId94" display="https://www.eia.gov/dnav/pet/hist/LeafHandler.ashx?n=PET&amp;s=M_EPLOLE_SAE_NUS_MBBL&amp;f=A" xr:uid="{70653D32-0DE2-4B63-A854-E8E458A33DC6}"/>
    <hyperlink ref="F16" r:id="rId95" display="https://www.eia.gov/dnav/pet/hist/LeafHandler.ashx?n=PET&amp;s=MEYRPUS1&amp;f=A" xr:uid="{AF36D751-9DCB-4635-905D-A111C8EA0C0E}"/>
    <hyperlink ref="G16" r:id="rId96" display="https://www.eia.gov/dnav/pet/hist/LeafHandler.ashx?n=PET&amp;s=MEYIMUS1&amp;f=A" xr:uid="{B482F6D2-20FA-44A0-9119-DB3A8CC96D4F}"/>
    <hyperlink ref="J16" r:id="rId97" display="https://www.eia.gov/dnav/pet/hist/LeafHandler.ashx?n=PET&amp;s=M_EPLLEY_SCG_NUS_MBBL&amp;f=A" xr:uid="{350AA20C-6DBE-4563-BD8B-992CEE687171}"/>
    <hyperlink ref="M16" r:id="rId98" display="https://www.eia.gov/dnav/pet/hist/LeafHandler.ashx?n=PET&amp;s=M_EPLLEY_VPP_NUS_MBBL&amp;f=A" xr:uid="{4CB1F09E-A7B0-45E5-8DE0-AD31FBBFC3C6}"/>
    <hyperlink ref="N16" r:id="rId99" display="https://www.eia.gov/dnav/pet/hist/LeafHandler.ashx?n=PET&amp;s=M_EPLLEY_SAE_NUS_MBBL&amp;f=A" xr:uid="{905E1282-9E35-4BFC-9655-B69650C98D75}"/>
    <hyperlink ref="F17" r:id="rId100" display="https://www.eia.gov/dnav/pet/hist/LeafHandler.ashx?n=PET&amp;s=MPLRPUS1&amp;f=A" xr:uid="{13706F04-83A6-4617-94C1-8BC2E1DE2FF6}"/>
    <hyperlink ref="G17" r:id="rId101" display="https://www.eia.gov/dnav/pet/hist/LeafHandler.ashx?n=PET&amp;s=MPLIMUS1&amp;f=A" xr:uid="{81A50D00-3B41-4E06-9D78-9E604C6E5A6B}"/>
    <hyperlink ref="J17" r:id="rId102" display="https://www.eia.gov/dnav/pet/hist/LeafHandler.ashx?n=PET&amp;s=M_EPLLPY_SCG_NUS_MBBL&amp;f=A" xr:uid="{DF9DE4E1-C5AF-4CF6-8F93-69BD389EBFCE}"/>
    <hyperlink ref="M17" r:id="rId103" display="https://www.eia.gov/dnav/pet/hist/LeafHandler.ashx?n=PET&amp;s=M_EPLLPY_VPP_NUS_MBBL&amp;f=A" xr:uid="{F1849214-8E9F-46A3-9D64-E7710FCF7A98}"/>
    <hyperlink ref="N17" r:id="rId104" display="https://www.eia.gov/dnav/pet/hist/LeafHandler.ashx?n=PET&amp;s=M_EPLLPY_SAE_NUS_MBBL&amp;f=A" xr:uid="{D6C93732-E511-460D-81F0-7F757F557CDD}"/>
    <hyperlink ref="F18" r:id="rId105" display="https://www.eia.gov/dnav/pet/hist/LeafHandler.ashx?n=PET&amp;s=MBYRPUS1&amp;f=A" xr:uid="{2D089EDD-05AA-4AF1-BDE6-3DCA4E6A84E0}"/>
    <hyperlink ref="G18" r:id="rId106" display="https://www.eia.gov/dnav/pet/hist/LeafHandler.ashx?n=PET&amp;s=MBYIMUS1&amp;f=A" xr:uid="{32476C74-BF73-47DA-A88F-B2CC19DB30C3}"/>
    <hyperlink ref="J18" r:id="rId107" display="https://www.eia.gov/dnav/pet/hist/LeafHandler.ashx?n=PET&amp;s=M_EPLLBYN_SCG_NUS_MBBL&amp;f=A" xr:uid="{D3985ABF-B8D2-451D-9520-10A9DD19C924}"/>
    <hyperlink ref="M18" r:id="rId108" display="https://www.eia.gov/dnav/pet/hist/LeafHandler.ashx?n=PET&amp;s=M_EPLLBYN_VPP_NUS_MBBL&amp;f=A" xr:uid="{1796CB34-CF47-4B9A-BDFD-B83AB0A08CE6}"/>
    <hyperlink ref="N18" r:id="rId109" display="https://www.eia.gov/dnav/pet/hist/LeafHandler.ashx?n=PET&amp;s=M_EPLLBYN_SAE_NUS_MBBL&amp;f=A" xr:uid="{31C8EA67-25EB-4ADB-9EE0-BA11067D5714}"/>
    <hyperlink ref="F19" r:id="rId110" display="https://www.eia.gov/dnav/pet/hist/LeafHandler.ashx?n=PET&amp;s=MIYRPUS1&amp;f=A" xr:uid="{435529FE-F4C4-4D0D-A3C9-B6C89948D8ED}"/>
    <hyperlink ref="G19" r:id="rId111" display="https://www.eia.gov/dnav/pet/hist/LeafHandler.ashx?n=PET&amp;s=MIYIMUS1&amp;f=A" xr:uid="{B057C061-A874-47C8-A30C-29B42F31CAFB}"/>
    <hyperlink ref="J19" r:id="rId112" display="https://www.eia.gov/dnav/pet/hist/LeafHandler.ashx?n=PET&amp;s=M_EPLLBYI_SCG_NUS_MBBL&amp;f=A" xr:uid="{93592BFB-1C7E-4B39-B0A3-99DC4FC9582D}"/>
    <hyperlink ref="M19" r:id="rId113" display="https://www.eia.gov/dnav/pet/hist/LeafHandler.ashx?n=PET&amp;s=M_EPLLBYI_VPP_NUS_MBBL&amp;f=A" xr:uid="{22C28391-BD60-4BDC-B614-66A143F664F5}"/>
    <hyperlink ref="N19" r:id="rId114" display="https://www.eia.gov/dnav/pet/hist/LeafHandler.ashx?n=PET&amp;s=M_EPLLBYI_SAE_NUS_MBBL&amp;f=A" xr:uid="{F0CEC1E2-C800-4F6C-9520-8E33327171D1}"/>
    <hyperlink ref="D20" r:id="rId115" display="https://www.eia.gov/dnav/pet/hist/LeafHandler.ashx?n=PET&amp;s=M_EPOL_TVP_NUS_MBBL&amp;f=A" xr:uid="{B3D94CE6-D41F-42A7-B032-6E638F9AC579}"/>
    <hyperlink ref="E20" r:id="rId116" display="https://www.eia.gov/dnav/pet/hist/LeafHandler.ashx?n=PET&amp;s=M_EPOL_YNP_NUS_MBBL&amp;f=A" xr:uid="{5ACBBEB3-81F5-4FDF-B905-8C71A52B81E4}"/>
    <hyperlink ref="G20" r:id="rId117" display="https://www.eia.gov/dnav/pet/hist/LeafHandler.ashx?n=PET&amp;s=MOLIMUS1&amp;f=A" xr:uid="{2DC6008D-B0D9-422C-B04C-75FBEDA22C26}"/>
    <hyperlink ref="I20" r:id="rId118" display="https://www.eia.gov/dnav/pet/hist/LeafHandler.ashx?n=PET&amp;s=MOLUA_NUS_1&amp;f=A" xr:uid="{25EE8D95-1374-4D3C-B619-5CA85FE1ADAA}"/>
    <hyperlink ref="J20" r:id="rId119" display="https://www.eia.gov/dnav/pet/hist/LeafHandler.ashx?n=PET&amp;s=MOLSCUS1&amp;f=A" xr:uid="{B72300B9-59FF-4100-A2CA-DB71D4715E83}"/>
    <hyperlink ref="K20" r:id="rId120" display="https://www.eia.gov/dnav/pet/hist/LeafHandler.ashx?n=PET&amp;s=MOLRIUS1&amp;f=A" xr:uid="{1AF9FBA8-1A4A-4DC9-B514-8110382E4DB2}"/>
    <hyperlink ref="L20" r:id="rId121" display="https://www.eia.gov/dnav/pet/hist/LeafHandler.ashx?n=PET&amp;s=MOLEXUS1&amp;f=A" xr:uid="{A6FF350D-D88D-404F-8D29-3D2F3A9A6DB1}"/>
    <hyperlink ref="M20" r:id="rId122" display="https://www.eia.gov/dnav/pet/hist/LeafHandler.ashx?n=PET&amp;s=MOLUPUS1&amp;f=A" xr:uid="{A97AC727-A2F8-4C23-805C-D0C909BA309B}"/>
    <hyperlink ref="N20" r:id="rId123" display="https://www.eia.gov/dnav/pet/hist/LeafHandler.ashx?n=PET&amp;s=MOLSTUS1&amp;f=A" xr:uid="{56B93890-A486-4F13-B18F-CB8C90B81FCD}"/>
    <hyperlink ref="E21" r:id="rId124" display="https://www.eia.gov/dnav/pet/hist/LeafHandler.ashx?n=PET&amp;s=M_EPOO_YNP_NUS_MBBL&amp;f=A" xr:uid="{7EF2D056-3B08-43AC-8F9A-89D0E48E0777}"/>
    <hyperlink ref="G21" r:id="rId125" display="https://www.eia.gov/dnav/pet/hist/LeafHandler.ashx?n=PET&amp;s=MOHIMUS1&amp;f=A" xr:uid="{A7243F25-3A20-4D75-9C47-1A5135DD8384}"/>
    <hyperlink ref="I21" r:id="rId126" display="https://www.eia.gov/dnav/pet/hist/LeafHandler.ashx?n=PET&amp;s=MOHUA_NUS_1&amp;f=A" xr:uid="{CA0C7016-11C4-4416-946D-436F39F728F5}"/>
    <hyperlink ref="J21" r:id="rId127" display="https://www.eia.gov/dnav/pet/hist/LeafHandler.ashx?n=PET&amp;s=MOHSCUS1&amp;f=A" xr:uid="{75276620-29C5-4158-8AAE-4A1639993052}"/>
    <hyperlink ref="K21" r:id="rId128" display="https://www.eia.gov/dnav/pet/hist/LeafHandler.ashx?n=PET&amp;s=MOHRIUS1&amp;f=A" xr:uid="{6B10FC3C-09D1-4AF2-8A65-EBA8F7510BAD}"/>
    <hyperlink ref="L21" r:id="rId129" display="https://www.eia.gov/dnav/pet/hist/LeafHandler.ashx?n=PET&amp;s=MOHEXUS1&amp;f=A" xr:uid="{714CAB13-9A66-4653-BBC6-027597C0EB16}"/>
    <hyperlink ref="M21" r:id="rId130" display="https://www.eia.gov/dnav/pet/hist/LeafHandler.ashx?n=PET&amp;s=MOHUPUS1&amp;f=A" xr:uid="{E4D74025-F416-4F6E-9E5C-8E6611F16DEB}"/>
    <hyperlink ref="N21" r:id="rId131" display="https://www.eia.gov/dnav/pet/hist/LeafHandler.ashx?n=PET&amp;s=MOHSTUS1&amp;f=A" xr:uid="{22D91DF7-B6AF-4759-A2B3-4A52CAC25DFF}"/>
    <hyperlink ref="I22" r:id="rId132" display="https://www.eia.gov/dnav/pet/hist/LeafHandler.ashx?n=PET&amp;s=M_EPOOOH_VUA_NUS_MBBL&amp;f=A" xr:uid="{0931B277-E495-4D1F-8470-83BCF8477E31}"/>
    <hyperlink ref="K22" r:id="rId133" display="https://www.eia.gov/dnav/pet/hist/LeafHandler.ashx?n=PET&amp;s=M_EPOOOH_YIR_NUS_MBBL&amp;f=A" xr:uid="{F1D0B81A-0315-4539-9B0B-9ACB73FBE80B}"/>
    <hyperlink ref="M22" r:id="rId134" display="https://www.eia.gov/dnav/pet/hist/LeafHandler.ashx?n=PET&amp;s=M_EPOOOH_VPP_NUS_MBBL&amp;f=A" xr:uid="{92C0C843-808E-4CD1-841B-70832E30F9B6}"/>
    <hyperlink ref="E23" r:id="rId135" display="https://www.eia.gov/dnav/pet/hist/LeafHandler.ashx?n=PET&amp;s=M_EPOOXXFE_YNP_NUS_MBBL&amp;f=A" xr:uid="{793B72EE-FB10-4C4C-8B31-DA5B5494BCE6}"/>
    <hyperlink ref="G23" r:id="rId136" display="https://www.eia.gov/dnav/pet/hist/LeafHandler.ashx?n=PET&amp;s=M_EPOOXXFE_IM0_NUS-Z00_MBBL&amp;f=A" xr:uid="{AC38D76D-233C-480C-9AF4-385EBD7B16CC}"/>
    <hyperlink ref="I23" r:id="rId137" display="https://www.eia.gov/dnav/pet/hist/LeafHandler.ashx?n=PET&amp;s=M_EPOOXXFE_VUA_NUS_MBBL&amp;f=A" xr:uid="{4B470593-2405-4C68-9C9F-D9564C821476}"/>
    <hyperlink ref="J23" r:id="rId138" display="https://www.eia.gov/dnav/pet/hist/LeafHandler.ashx?n=PET&amp;s=M_EPOOXXFE_SCG_NUS_MBBL&amp;f=A" xr:uid="{07C0D8AF-7AF0-4D98-92DF-0EFB2D0A0BA5}"/>
    <hyperlink ref="K23" r:id="rId139" display="https://www.eia.gov/dnav/pet/hist/LeafHandler.ashx?n=PET&amp;s=M_EPOOXXFE_YIR_NUS_MBBL&amp;f=A" xr:uid="{36045264-8A2C-4718-AE9B-FB3F41D41472}"/>
    <hyperlink ref="L23" r:id="rId140" display="https://www.eia.gov/dnav/pet/hist/LeafHandler.ashx?n=PET&amp;s=M_EPOOXXFE_EEX_NUS-Z00_MBBL&amp;f=A" xr:uid="{47765BD6-34F4-4BFB-AEC3-C4EAF248F4AD}"/>
    <hyperlink ref="M23" r:id="rId141" display="https://www.eia.gov/dnav/pet/hist/LeafHandler.ashx?n=PET&amp;s=M_EPOOXXFE_VPP_NUS_MBBL&amp;f=A" xr:uid="{D0132C8B-7E82-4195-ABCB-D41E602A28CE}"/>
    <hyperlink ref="N23" r:id="rId142" display="https://www.eia.gov/dnav/pet/hist/LeafHandler.ashx?n=PET&amp;s=M_EPOOXXFE_SAE_NUS_MBBL&amp;f=A" xr:uid="{A824197F-3D4C-4C31-B84B-1B8AB8FE3B0B}"/>
    <hyperlink ref="E24" r:id="rId143" display="https://www.eia.gov/dnav/pet/hist/LeafHandler.ashx?n=PET&amp;s=M_EPOOR_YNP_NUS_MBBL&amp;f=A" xr:uid="{EE95750B-E1A6-4195-B03B-A2F1C6BD0C10}"/>
    <hyperlink ref="G24" r:id="rId144" display="https://www.eia.gov/dnav/pet/hist/LeafHandler.ashx?n=PET&amp;s=M_EPOOR_IM0_NUS-Z00_MBBL&amp;f=A" xr:uid="{185C825B-12E4-434B-B292-BEB70D69E5FB}"/>
    <hyperlink ref="I24" r:id="rId145" display="https://www.eia.gov/dnav/pet/hist/LeafHandler.ashx?n=PET&amp;s=M_EPOOR_VUA_NUS_MBBL&amp;f=A" xr:uid="{D3D2DA12-FF3F-464C-B3FF-B81D5B8ECFFD}"/>
    <hyperlink ref="J24" r:id="rId146" display="https://www.eia.gov/dnav/pet/hist/LeafHandler.ashx?n=PET&amp;s=M_EPOOR_SCG_NUS_MBBL&amp;f=A" xr:uid="{F4B3E348-0BD3-4420-9915-E829BFEA2F63}"/>
    <hyperlink ref="K24" r:id="rId147" display="https://www.eia.gov/dnav/pet/hist/LeafHandler.ashx?n=PET&amp;s=M_EPOOR_YIR_NUS_MBBL&amp;f=A" xr:uid="{BDE3D1D0-95B4-4E0B-91BA-9E84BB52617F}"/>
    <hyperlink ref="L24" r:id="rId148" display="https://www.eia.gov/dnav/pet/hist/LeafHandler.ashx?n=PET&amp;s=M_EPOOR_EEX_NUS-Z00_MBBL&amp;f=A" xr:uid="{F1257C9C-7D3D-4940-8552-09E8B793B0B6}"/>
    <hyperlink ref="M24" r:id="rId149" display="https://www.eia.gov/dnav/pet/hist/LeafHandler.ashx?n=PET&amp;s=M_EPOOR_VPP_NUS_MBBL&amp;f=A" xr:uid="{7AB4ECE6-B8EC-4ED6-9082-B2E8DBC6D2D3}"/>
    <hyperlink ref="N24" r:id="rId150" display="https://www.eia.gov/dnav/pet/hist/LeafHandler.ashx?n=PET&amp;s=M_EPOOR_SAE_NUS_MBBL&amp;f=A" xr:uid="{479827D7-3BBE-47AB-8A1B-F8F58B435E50}"/>
    <hyperlink ref="E25" r:id="rId151" display="https://www.eia.gov/dnav/pet/hist/LeafHandler.ashx?n=PET&amp;s=M_EPOOXE_YNP_NUS_MBBL&amp;f=A" xr:uid="{091B3AF2-0FCB-41B1-BFFC-442E3E553A31}"/>
    <hyperlink ref="G25" r:id="rId152" display="https://www.eia.gov/dnav/pet/hist/LeafHandler.ashx?n=PET&amp;s=MFEIMUS1&amp;f=A" xr:uid="{57ADEF34-59EA-4E3C-9326-F8518C8D92EA}"/>
    <hyperlink ref="I25" r:id="rId153" display="https://www.eia.gov/dnav/pet/hist/LeafHandler.ashx?n=PET&amp;s=M_EPOOXE_VUA_NUS_MBBL&amp;f=A" xr:uid="{032FFA2B-8B69-4AC0-8B4D-26BC1387F915}"/>
    <hyperlink ref="J25" r:id="rId154" display="https://www.eia.gov/dnav/pet/hist/LeafHandler.ashx?n=PET&amp;s=M_EPOOXE_SCG_NUS_MBBL&amp;f=A" xr:uid="{FB5A4DC8-7FE3-4D2A-B789-F7D225F73E1D}"/>
    <hyperlink ref="K25" r:id="rId155" display="https://www.eia.gov/dnav/pet/hist/LeafHandler.ashx?n=PET&amp;s=MFERIUS1&amp;f=A" xr:uid="{4AE0DDD2-F02A-4343-B26C-69061A4C81C2}"/>
    <hyperlink ref="L25" r:id="rId156" display="https://www.eia.gov/dnav/pet/hist/LeafHandler.ashx?n=PET&amp;s=M_EPOOXE_EEX_NUS-Z00_MBBL&amp;f=A" xr:uid="{FECDCAEB-1EDF-4244-BC88-0273A08CD569}"/>
    <hyperlink ref="M25" r:id="rId157" display="https://www.eia.gov/dnav/pet/hist/LeafHandler.ashx?n=PET&amp;s=M_EPOOXE_VPP_NUS_MBBL&amp;f=A" xr:uid="{32F7C8E1-7793-41E3-894D-66FED0A77320}"/>
    <hyperlink ref="N25" r:id="rId158" display="https://www.eia.gov/dnav/pet/hist/LeafHandler.ashx?n=PET&amp;s=MFESTUS1&amp;f=A" xr:uid="{874C1696-EFCF-49F0-8F1A-FFD1EC6F5563}"/>
    <hyperlink ref="E26" r:id="rId159" display="https://www.eia.gov/dnav/pet/hist/LeafHandler.ashx?n=PET&amp;s=M_EPOORXFE_YNP_NUS_MBBL&amp;f=A" xr:uid="{5C3F8F9A-B04E-4770-A277-3473D63F5CA3}"/>
    <hyperlink ref="G26" r:id="rId160" display="https://www.eia.gov/dnav/pet/hist/LeafHandler.ashx?n=PET&amp;s=M_EPOORXFE_IM0_NUS-Z00_MBBL&amp;f=A" xr:uid="{1A5ADA07-E627-4675-A5E8-848EB45E6781}"/>
    <hyperlink ref="I26" r:id="rId161" display="https://www.eia.gov/dnav/pet/hist/LeafHandler.ashx?n=PET&amp;s=M_EPOORXFE_VUA_NUS_MBBL&amp;f=A" xr:uid="{0E98DEC7-CD34-444E-BBF3-42D07E4A936F}"/>
    <hyperlink ref="J26" r:id="rId162" display="https://www.eia.gov/dnav/pet/hist/LeafHandler.ashx?n=PET&amp;s=M_EPOORXFE_SCG_NUS_MBBL&amp;f=A" xr:uid="{A253A96E-7CDB-4947-BD91-47520DC3B2E3}"/>
    <hyperlink ref="K26" r:id="rId163" display="https://www.eia.gov/dnav/pet/hist/LeafHandler.ashx?n=PET&amp;s=M_EPOORXFE_YIR_NUS_MBBL&amp;f=A" xr:uid="{01D28B7C-1281-401C-A533-71689A55D608}"/>
    <hyperlink ref="L26" r:id="rId164" display="https://www.eia.gov/dnav/pet/hist/LeafHandler.ashx?n=PET&amp;s=M_EPOORXFE_EEX_NUS-Z00_MBBL&amp;f=A" xr:uid="{104A00D5-F55B-4730-9BCD-4017FDD4EAD3}"/>
    <hyperlink ref="M26" r:id="rId165" display="https://www.eia.gov/dnav/pet/hist/LeafHandler.ashx?n=PET&amp;s=M_EPOORXFE_VPP_NUS_MBBL&amp;f=A" xr:uid="{E7D69333-218E-4C53-9E74-4087B9ACD781}"/>
    <hyperlink ref="N26" r:id="rId166" display="https://www.eia.gov/dnav/pet/hist/LeafHandler.ashx?n=PET&amp;s=M_EPOORXFE_SAE_NUS_MBBL&amp;f=A" xr:uid="{8216E2EC-AC97-4D94-8433-E24BB4CF1D86}"/>
    <hyperlink ref="E27" r:id="rId167" display="https://www.eia.gov/dnav/pet/hist/LeafHandler.ashx?n=PET&amp;s=M_EPOORDB_YNP_NUS_MBBL&amp;f=A" xr:uid="{8E0A4915-7393-43EB-9C0B-2EA38BB453B6}"/>
    <hyperlink ref="G27" r:id="rId168" display="https://www.eia.gov/dnav/pet/hist/LeafHandler.ashx?n=PET&amp;s=M_EPOORDB_IM0_NUS-Z00_MBBL&amp;f=A" xr:uid="{DEFEDEDA-0A7B-4E68-BA54-0E1DCB89107A}"/>
    <hyperlink ref="I27" r:id="rId169" display="https://www.eia.gov/dnav/pet/hist/LeafHandler.ashx?n=PET&amp;s=M_EPOORDB_VUA_NUS_MBBL&amp;f=A" xr:uid="{7FBBD1C9-6BDA-43A4-838E-8DCCA55EB218}"/>
    <hyperlink ref="J27" r:id="rId170" display="https://www.eia.gov/dnav/pet/hist/LeafHandler.ashx?n=PET&amp;s=M_EPOORDB_SCG_NUS_MBBL&amp;f=A" xr:uid="{22E99BCB-5542-4FEF-B9FB-30F17F651104}"/>
    <hyperlink ref="K27" r:id="rId171" display="https://www.eia.gov/dnav/pet/hist/LeafHandler.ashx?n=PET&amp;s=M_EPOORDB_YIR_NUS_MBBL&amp;f=A" xr:uid="{5A54FF12-4709-4FC6-932D-7037DEB89A3E}"/>
    <hyperlink ref="L27" r:id="rId172" display="https://www.eia.gov/dnav/pet/hist/LeafHandler.ashx?n=PET&amp;s=M_EPOORDB_EEX_NUS-Z00_MBBL&amp;f=A" xr:uid="{348BFD6C-A108-4C97-BADE-DB7734B17857}"/>
    <hyperlink ref="M27" r:id="rId173" display="https://www.eia.gov/dnav/pet/hist/LeafHandler.ashx?n=PET&amp;s=M_EPOORDB_VPP_NUS_MBBL&amp;f=A" xr:uid="{93BE9E33-956B-4115-8D21-FE0959268E09}"/>
    <hyperlink ref="N27" r:id="rId174" display="https://www.eia.gov/dnav/pet/hist/LeafHandler.ashx?n=PET&amp;s=M_EPOORDB_SAE_NUS_MBBL&amp;f=A" xr:uid="{9BE6A749-BA2C-4FDB-ADE1-974C3279BF43}"/>
    <hyperlink ref="E28" r:id="rId175" display="https://www.eia.gov/dnav/pet/hist/LeafHandler.ashx?n=PET&amp;s=M_EPOORDO_YNP_NUS_MBBL&amp;f=A" xr:uid="{B463912A-C836-4CE5-9B1C-C3582B91EF85}"/>
    <hyperlink ref="G28" r:id="rId176" display="https://www.eia.gov/dnav/pet/hist/LeafHandler.ashx?n=PET&amp;s=M_EPOORDO_IM0_NUS-Z00_MBBL&amp;f=A" xr:uid="{A0424EEC-B47F-448A-BE02-B807FB1C9047}"/>
    <hyperlink ref="I28" r:id="rId177" display="https://www.eia.gov/dnav/pet/hist/LeafHandler.ashx?n=PET&amp;s=M_EPOORDO_VUA_NUS_MBBL&amp;f=A" xr:uid="{47C36C93-9A08-4DB4-82B6-3CD57BFE0542}"/>
    <hyperlink ref="J28" r:id="rId178" display="https://www.eia.gov/dnav/pet/hist/LeafHandler.ashx?n=PET&amp;s=M_EPOORDO_SCG_NUS_MBBL&amp;f=A" xr:uid="{948237FE-417E-410A-8F38-C2E3CD287E1B}"/>
    <hyperlink ref="K28" r:id="rId179" display="https://www.eia.gov/dnav/pet/hist/LeafHandler.ashx?n=PET&amp;s=M_EPOORDO_YIR_NUS_MBBL&amp;f=A" xr:uid="{AC9D0F12-3602-4B06-AAD4-2B0A8988CE06}"/>
    <hyperlink ref="L28" r:id="rId180" display="https://www.eia.gov/dnav/pet/hist/LeafHandler.ashx?n=PET&amp;s=M_EPOORDO_EEX_NUS-Z00_MBBL&amp;f=A" xr:uid="{B212C33E-7B45-4CF1-BC3E-341B20C91DCD}"/>
    <hyperlink ref="M28" r:id="rId181" display="https://www.eia.gov/dnav/pet/hist/LeafHandler.ashx?n=PET&amp;s=M_EPOORDO_VPP_NUS_MBBL&amp;f=A" xr:uid="{F3CD209D-3BE2-4C59-BBE8-E4BB8DB86800}"/>
    <hyperlink ref="N28" r:id="rId182" display="https://www.eia.gov/dnav/pet/hist/LeafHandler.ashx?n=PET&amp;s=M_EPOORDO_SAE_NUS_MBBL&amp;f=A" xr:uid="{7CBDCD4E-3E4E-40CA-8585-6438B044089F}"/>
    <hyperlink ref="E29" r:id="rId183" display="https://www.eia.gov/dnav/pet/hist/LeafHandler.ashx?n=PET&amp;s=M_EPOORO_YNP_NUS_MBBL&amp;f=A" xr:uid="{B7632EF0-B952-4AF7-AF20-3E2B3EEC4F24}"/>
    <hyperlink ref="G29" r:id="rId184" display="https://www.eia.gov/dnav/pet/hist/LeafHandler.ashx?n=PET&amp;s=M_EPOORO_IM0_NUS-Z00_MBBL&amp;f=A" xr:uid="{9158370B-0A5F-4B92-B909-AB352D8A2650}"/>
    <hyperlink ref="I29" r:id="rId185" display="https://www.eia.gov/dnav/pet/hist/LeafHandler.ashx?n=PET&amp;s=M_EPOORO_VUA_NUS_MBBL&amp;f=A" xr:uid="{B91A9DFE-DC7A-4125-B341-0245A3CE9865}"/>
    <hyperlink ref="J29" r:id="rId186" display="https://www.eia.gov/dnav/pet/hist/LeafHandler.ashx?n=PET&amp;s=M_EPOORO_SCG_NUS_MBBL&amp;f=A" xr:uid="{FB390032-F48F-4827-8C7D-FF6F7CD7F0A3}"/>
    <hyperlink ref="K29" r:id="rId187" display="https://www.eia.gov/dnav/pet/hist/LeafHandler.ashx?n=PET&amp;s=M_EPOORO_YIR_NUS_MBBL&amp;f=A" xr:uid="{8F73B504-0E5D-4524-AB3F-A7FAF9FF5F90}"/>
    <hyperlink ref="L29" r:id="rId188" display="https://www.eia.gov/dnav/pet/hist/LeafHandler.ashx?n=PET&amp;s=M_EPOORO_EEX_NUS-Z00_MBBL&amp;f=A" xr:uid="{5CBF6BC9-EE1A-45B1-B34F-4E38C436C32D}"/>
    <hyperlink ref="M29" r:id="rId189" display="https://www.eia.gov/dnav/pet/hist/LeafHandler.ashx?n=PET&amp;s=M_EPOORO_VPP_NUS_MBBL&amp;f=A" xr:uid="{45CA182B-9CC3-446E-A365-945D1974F9BD}"/>
    <hyperlink ref="N29" r:id="rId190" display="https://www.eia.gov/dnav/pet/hist/LeafHandler.ashx?n=PET&amp;s=M_EPOORO_SAE_NUS_MBBL&amp;f=A" xr:uid="{25A9FFE3-1F4F-4141-89F4-8A82F530331B}"/>
    <hyperlink ref="G30" r:id="rId191" display="https://www.eia.gov/dnav/pet/hist/LeafHandler.ashx?n=PET&amp;s=M_EPOOOXH_IM0_NUS-Z00_MBBL&amp;f=A" xr:uid="{B0DF1709-9B4C-439A-83FB-47ED67E0559D}"/>
    <hyperlink ref="I30" r:id="rId192" display="https://www.eia.gov/dnav/pet/hist/LeafHandler.ashx?n=PET&amp;s=M_EPOOOXH_VUA_NUS_MBBL&amp;f=A" xr:uid="{6431A390-1927-40DE-BB03-93DAC700F7A3}"/>
    <hyperlink ref="J30" r:id="rId193" display="https://www.eia.gov/dnav/pet/hist/LeafHandler.ashx?n=PET&amp;s=M_EPOOOXH_SCG_NUS_MBBL&amp;f=A" xr:uid="{21F99146-C712-4517-A995-5B71AC37F810}"/>
    <hyperlink ref="K30" r:id="rId194" display="https://www.eia.gov/dnav/pet/hist/LeafHandler.ashx?n=PET&amp;s=M_EPOOOXH_YIR_NUS_MBBL&amp;f=A" xr:uid="{04A4B0AB-E45C-4144-BBAE-E48ED8D3D82C}"/>
    <hyperlink ref="M30" r:id="rId195" display="https://www.eia.gov/dnav/pet/hist/LeafHandler.ashx?n=PET&amp;s=M_EPOOOXH_VPP_NUS_MBBL&amp;f=A" xr:uid="{47DAAEE0-186F-4A3D-9384-17DC3A5D14E8}"/>
    <hyperlink ref="N30" r:id="rId196" display="https://www.eia.gov/dnav/pet/hist/LeafHandler.ashx?n=PET&amp;s=M_EPOOOXH_SAE_NUS_MBBL&amp;f=A" xr:uid="{A8E223D0-9E9E-48BA-BD01-848D5C4400AC}"/>
    <hyperlink ref="D31" r:id="rId197" display="https://www.eia.gov/dnav/pet/hist/LeafHandler.ashx?n=PET&amp;s=M_EPPU_TVP_NUS_MBBL&amp;f=A" xr:uid="{8FEDAB77-A392-4699-8B4C-00896B690120}"/>
    <hyperlink ref="G31" r:id="rId198" display="https://www.eia.gov/dnav/pet/hist/LeafHandler.ashx?n=PET&amp;s=MUOIMUS1&amp;f=A" xr:uid="{90925BB1-7F09-4190-A42A-41E2CB674320}"/>
    <hyperlink ref="J31" r:id="rId199" display="https://www.eia.gov/dnav/pet/hist/LeafHandler.ashx?n=PET&amp;s=MUOSCUS1&amp;f=A" xr:uid="{19FEBDD6-7F2A-40ED-904D-C57708441F3A}"/>
    <hyperlink ref="K31" r:id="rId200" display="https://www.eia.gov/dnav/pet/hist/LeafHandler.ashx?n=PET&amp;s=MUORIUS1&amp;f=A" xr:uid="{26A8127D-6B0C-486F-8A32-A5528053BB1A}"/>
    <hyperlink ref="L31" r:id="rId201" display="https://www.eia.gov/dnav/pet/hist/LeafHandler.ashx?n=PET&amp;s=MUOEXUS1&amp;f=A" xr:uid="{6E741045-4860-4DD6-A28D-7B3E8F98E572}"/>
    <hyperlink ref="M31" r:id="rId202" display="https://www.eia.gov/dnav/pet/hist/LeafHandler.ashx?n=PET&amp;s=MUOUPUS1&amp;f=A" xr:uid="{9EBCB558-0FDD-4EB3-8002-56A9C5406A13}"/>
    <hyperlink ref="N31" r:id="rId203" display="https://www.eia.gov/dnav/pet/hist/LeafHandler.ashx?n=PET&amp;s=MUOSTUS1&amp;f=A" xr:uid="{369B09E7-6989-4C44-A8A5-0E9F6C7D0BC5}"/>
    <hyperlink ref="E32" r:id="rId204" display="https://www.eia.gov/dnav/pet/hist/LeafHandler.ashx?n=PET&amp;s=M_EPOBG_YNP_NUS_MBBL&amp;f=A" xr:uid="{35C2747F-DCA3-4CF7-8A8B-847D44103E2D}"/>
    <hyperlink ref="G32" r:id="rId205" display="https://www.eia.gov/dnav/pet/hist/LeafHandler.ashx?n=PET&amp;s=MBCIMUS1&amp;f=A" xr:uid="{331D9BBB-0D97-4E6C-AC55-2A6D9B0AAAEC}"/>
    <hyperlink ref="I32" r:id="rId206" display="https://www.eia.gov/dnav/pet/hist/LeafHandler.ashx?n=PET&amp;s=MBCUA_NUS_1&amp;f=A" xr:uid="{3B615157-B1FB-43ED-BC22-F6C6743EAA98}"/>
    <hyperlink ref="J32" r:id="rId207" display="https://www.eia.gov/dnav/pet/hist/LeafHandler.ashx?n=PET&amp;s=MBCSCUS1&amp;f=A" xr:uid="{307B0D58-1062-4375-B5A6-7D0A2ADB9561}"/>
    <hyperlink ref="K32" r:id="rId208" display="https://www.eia.gov/dnav/pet/hist/LeafHandler.ashx?n=PET&amp;s=MBCRIUS1&amp;f=A" xr:uid="{F9ED7FC8-DF50-4EC1-BFC6-8DDDAAFE5A4A}"/>
    <hyperlink ref="L32" r:id="rId209" display="https://www.eia.gov/dnav/pet/hist/LeafHandler.ashx?n=PET&amp;s=MBCEXUS1&amp;f=A" xr:uid="{3066166F-AF14-49F5-B417-E693C33DDB2C}"/>
    <hyperlink ref="M32" r:id="rId210" display="https://www.eia.gov/dnav/pet/hist/LeafHandler.ashx?n=PET&amp;s=MBCUPUS1&amp;f=A" xr:uid="{CAAC074F-F01A-4B08-9659-A6B439ACC864}"/>
    <hyperlink ref="N32" r:id="rId211" display="https://www.eia.gov/dnav/pet/hist/LeafHandler.ashx?n=PET&amp;s=MBCSTUS1&amp;f=A" xr:uid="{928A1EEA-FDC5-4F1D-9C44-72A44702FF68}"/>
    <hyperlink ref="E33" r:id="rId212" display="https://www.eia.gov/dnav/pet/hist/LeafHandler.ashx?n=PET&amp;s=M_EPOBGR0_YNP_NUS_MBBL&amp;f=A" xr:uid="{398E1929-CCA0-4A5D-8813-30EB29F4482D}"/>
    <hyperlink ref="G33" r:id="rId213" display="https://www.eia.gov/dnav/pet/hist/LeafHandler.ashx?n=PET&amp;s=MO1IM_NUS-Z00_1&amp;f=A" xr:uid="{696059C5-EA68-4B10-B095-63ACACE11DD7}"/>
    <hyperlink ref="I33" r:id="rId214" display="https://www.eia.gov/dnav/pet/hist/LeafHandler.ashx?n=PET&amp;s=MO1UA_NUS_1&amp;f=A" xr:uid="{541857D2-2E10-4D76-95C9-3A0CDBAFF859}"/>
    <hyperlink ref="J33" r:id="rId215" display="https://www.eia.gov/dnav/pet/hist/LeafHandler.ashx?n=PET&amp;s=MO1SC_NUS_1&amp;f=A" xr:uid="{8F4F4F52-9AA0-451A-82F8-E39EE6E2694D}"/>
    <hyperlink ref="K33" r:id="rId216" display="https://www.eia.gov/dnav/pet/hist/LeafHandler.ashx?n=PET&amp;s=MO1RI_NUS_1&amp;f=A" xr:uid="{A72908CC-B900-4140-8AC1-5E196FCBE457}"/>
    <hyperlink ref="L33" r:id="rId217" display="https://www.eia.gov/dnav/pet/hist/LeafHandler.ashx?n=PET&amp;s=MO1EX_NUS-Z00_1&amp;f=A" xr:uid="{DB94D363-3C4D-4DEC-BA09-D6912A82247F}"/>
    <hyperlink ref="M33" r:id="rId218" display="https://www.eia.gov/dnav/pet/hist/LeafHandler.ashx?n=PET&amp;s=MO1UP_NUS_1&amp;f=A" xr:uid="{EBD34C99-E202-448C-973C-D1A8FFCB6BE7}"/>
    <hyperlink ref="N33" r:id="rId219" display="https://www.eia.gov/dnav/pet/hist/LeafHandler.ashx?n=PET&amp;s=MO1ST_NUS_1&amp;f=A" xr:uid="{F6A02EDA-A184-4864-BAED-D85FF9743A96}"/>
    <hyperlink ref="E34" r:id="rId220" display="https://www.eia.gov/dnav/pet/hist/LeafHandler.ashx?n=PET&amp;s=M_EPOBGC0_YNP_NUS_MBBL&amp;f=A" xr:uid="{17769DF9-32CB-49C9-B6E9-A28E6F2738DC}"/>
    <hyperlink ref="G34" r:id="rId221" display="https://www.eia.gov/dnav/pet/hist/LeafHandler.ashx?n=PET&amp;s=MO5IM_NUS-Z00_1&amp;f=A" xr:uid="{9D35AFEC-49AC-4876-BEAF-B35126A8758F}"/>
    <hyperlink ref="I34" r:id="rId222" display="https://www.eia.gov/dnav/pet/hist/LeafHandler.ashx?n=PET&amp;s=MO5UA_NUS_1&amp;f=A" xr:uid="{9CF2FF2F-11CD-499D-A5AC-6649E7E3B4CE}"/>
    <hyperlink ref="J34" r:id="rId223" display="https://www.eia.gov/dnav/pet/hist/LeafHandler.ashx?n=PET&amp;s=MO5SC_NUS_1&amp;f=A" xr:uid="{06148484-3AE5-450C-B170-4A1AA3C65577}"/>
    <hyperlink ref="K34" r:id="rId224" display="https://www.eia.gov/dnav/pet/hist/LeafHandler.ashx?n=PET&amp;s=MO5RI_NUS_1&amp;f=A" xr:uid="{9DE41BC0-E040-476C-9FD0-44DD7BE81468}"/>
    <hyperlink ref="L34" r:id="rId225" display="https://www.eia.gov/dnav/pet/hist/LeafHandler.ashx?n=PET&amp;s=MO5EX_NUS-Z00_1&amp;f=A" xr:uid="{33208F03-97FA-4074-A3AE-C4DC618DC392}"/>
    <hyperlink ref="M34" r:id="rId226" display="https://www.eia.gov/dnav/pet/hist/LeafHandler.ashx?n=PET&amp;s=MO5UP_NUS_1&amp;f=A" xr:uid="{256523CD-328B-4340-8010-4710F071B3F8}"/>
    <hyperlink ref="N34" r:id="rId227" display="https://www.eia.gov/dnav/pet/hist/LeafHandler.ashx?n=PET&amp;s=MO5ST_NUS_1&amp;f=A" xr:uid="{11EDA33A-0C66-4A7F-85D2-AEB307CACDCB}"/>
    <hyperlink ref="G35" r:id="rId228" display="https://www.eia.gov/dnav/pet/hist/LeafHandler.ashx?n=PET&amp;s=MBAIMUS1&amp;f=A" xr:uid="{506BCC51-C795-4278-83C0-3C15BB47AD4C}"/>
    <hyperlink ref="J35" r:id="rId229" display="https://www.eia.gov/dnav/pet/hist/LeafHandler.ashx?n=PET&amp;s=MBASCUS1&amp;f=A" xr:uid="{AEC84D74-9E5D-4C94-8B31-0C97AAEBAD45}"/>
    <hyperlink ref="K35" r:id="rId230" display="https://www.eia.gov/dnav/pet/hist/LeafHandler.ashx?n=PET&amp;s=MBARIUS1&amp;f=A" xr:uid="{E66CA329-6846-499E-B2AC-51963070AAFE}"/>
    <hyperlink ref="L35" r:id="rId231" display="https://www.eia.gov/dnav/pet/hist/LeafHandler.ashx?n=PET&amp;s=MBAEXUS1&amp;f=A" xr:uid="{93BE2C3B-FF67-4EE9-A6A6-1B872E428D5B}"/>
    <hyperlink ref="M35" r:id="rId232" display="https://www.eia.gov/dnav/pet/hist/LeafHandler.ashx?n=PET&amp;s=MBAUPUS1&amp;f=A" xr:uid="{FCDAA701-0224-4898-8348-7EBFABD94C38}"/>
    <hyperlink ref="N35" r:id="rId233" display="https://www.eia.gov/dnav/pet/hist/LeafHandler.ashx?n=PET&amp;s=MBASTUS1&amp;f=A" xr:uid="{92250B88-05F7-4B48-889E-A1D40748ADDC}"/>
    <hyperlink ref="E36" r:id="rId234" display="https://www.eia.gov/dnav/pet/hist/LeafHandler.ashx?n=PET&amp;s=M_EPP2_YNP_NUS_MBBL&amp;f=A" xr:uid="{CB23075A-EB9A-49B5-9668-9A46046BF5E7}"/>
    <hyperlink ref="F36" r:id="rId235" display="https://www.eia.gov/dnav/pet/hist/LeafHandler.ashx?n=PET&amp;s=MTPRPUS1&amp;f=A" xr:uid="{D48F8F20-CE04-44EF-A096-EAB99A816F80}"/>
    <hyperlink ref="G36" r:id="rId236" display="https://www.eia.gov/dnav/pet/hist/LeafHandler.ashx?n=PET&amp;s=MTPIMUS1&amp;f=A" xr:uid="{E6FDAC78-A2D4-4621-8BF0-2786568E08A5}"/>
    <hyperlink ref="I36" r:id="rId237" display="https://www.eia.gov/dnav/pet/hist/LeafHandler.ashx?n=PET&amp;s=MTPUA_NUS_1&amp;f=A" xr:uid="{A7E00F0F-0D5D-4EB8-88AF-20701B37D86F}"/>
    <hyperlink ref="J36" r:id="rId238" display="https://www.eia.gov/dnav/pet/hist/LeafHandler.ashx?n=PET&amp;s=MTPSCUS1&amp;f=A" xr:uid="{56A69719-8F11-4765-A47A-A2ACECD7F42A}"/>
    <hyperlink ref="L36" r:id="rId239" display="https://www.eia.gov/dnav/pet/hist/LeafHandler.ashx?n=PET&amp;s=MTPEXUS1&amp;f=A" xr:uid="{289D0D67-35A9-4B15-BDA0-E72AF762A5F1}"/>
    <hyperlink ref="M36" r:id="rId240" display="https://www.eia.gov/dnav/pet/hist/LeafHandler.ashx?n=PET&amp;s=MTPUPUS1&amp;f=A" xr:uid="{E598CAE8-D809-48A0-BE6F-EB07A76B87C4}"/>
    <hyperlink ref="N36" r:id="rId241" display="https://www.eia.gov/dnav/pet/hist/LeafHandler.ashx?n=PET&amp;s=MTPSTUS1&amp;f=A" xr:uid="{AB9BC409-05B9-4C8D-B190-ADEF036AD444}"/>
    <hyperlink ref="E37" r:id="rId242" display="https://www.eia.gov/dnav/pet/hist/LeafHandler.ashx?n=PET&amp;s=M_EPM0F_YNP_NUS_MBBL&amp;f=A" xr:uid="{B3478053-7330-460D-95F8-B6F31A380E03}"/>
    <hyperlink ref="F37" r:id="rId243" display="https://www.eia.gov/dnav/pet/hist/LeafHandler.ashx?n=PET&amp;s=MGFRPUS1&amp;f=A" xr:uid="{93CFAE00-7C36-46EC-A943-FE1A371285E7}"/>
    <hyperlink ref="G37" r:id="rId244" display="https://www.eia.gov/dnav/pet/hist/LeafHandler.ashx?n=PET&amp;s=MGFIMUS1&amp;f=A" xr:uid="{DAC9D738-9D9B-4FE2-9833-1C0BEED684F8}"/>
    <hyperlink ref="I37" r:id="rId245" display="https://www.eia.gov/dnav/pet/hist/LeafHandler.ashx?n=PET&amp;s=MGFUA_NUS_1&amp;f=A" xr:uid="{DE38ADE6-FFD7-4942-8137-37516DCE38AF}"/>
    <hyperlink ref="J37" r:id="rId246" display="https://www.eia.gov/dnav/pet/hist/LeafHandler.ashx?n=PET&amp;s=MGFSCUS1&amp;f=A" xr:uid="{296D2726-7651-467B-B9C1-B76E8977C28C}"/>
    <hyperlink ref="L37" r:id="rId247" display="https://www.eia.gov/dnav/pet/hist/LeafHandler.ashx?n=PET&amp;s=MGFEXUS1&amp;f=A" xr:uid="{AACB0182-D6AB-4097-8B50-54C09D9769C1}"/>
    <hyperlink ref="M37" r:id="rId248" display="https://www.eia.gov/dnav/pet/hist/LeafHandler.ashx?n=PET&amp;s=MGFUPUS1&amp;f=A" xr:uid="{636ED5A8-06D6-4FF8-87FC-D32E258A45AD}"/>
    <hyperlink ref="N37" r:id="rId249" display="https://www.eia.gov/dnav/pet/hist/LeafHandler.ashx?n=PET&amp;s=MGFSTUS1&amp;f=A" xr:uid="{EF22750E-4ED1-4EB1-9D06-8555D3411C01}"/>
    <hyperlink ref="F38" r:id="rId250" display="https://www.eia.gov/dnav/pet/hist/LeafHandler.ashx?n=PET&amp;s=MGRRPUS1&amp;f=A" xr:uid="{D4EFBB4F-3372-4FDD-A44C-3520BAF746E0}"/>
    <hyperlink ref="G38" r:id="rId251" display="https://www.eia.gov/dnav/pet/hist/LeafHandler.ashx?n=PET&amp;s=MGRIMUS1&amp;f=A" xr:uid="{5C54AD52-E925-42D7-A292-7319DE6E782A}"/>
    <hyperlink ref="I38" r:id="rId252" display="https://www.eia.gov/dnav/pet/hist/LeafHandler.ashx?n=PET&amp;s=MGRUA_NUS_1&amp;f=A" xr:uid="{DA115854-C53E-4EA7-9E49-0F21879C56D5}"/>
    <hyperlink ref="J38" r:id="rId253" display="https://www.eia.gov/dnav/pet/hist/LeafHandler.ashx?n=PET&amp;s=MGRSCUS1&amp;f=A" xr:uid="{2EFB66A1-6F87-4CAE-AC2B-9FCDC0E0CCA5}"/>
    <hyperlink ref="L38" r:id="rId254" display="https://www.eia.gov/dnav/pet/hist/LeafHandler.ashx?n=PET&amp;s=MGREXUS1&amp;f=A" xr:uid="{7AC30D30-27D1-4B51-BA37-68F9AA3D2512}"/>
    <hyperlink ref="M38" r:id="rId255" display="https://www.eia.gov/dnav/pet/hist/LeafHandler.ashx?n=PET&amp;s=MGRUPUS1&amp;f=A" xr:uid="{C23ABCEB-AD38-43A6-BA7A-55F90D93C49B}"/>
    <hyperlink ref="N38" r:id="rId256" display="https://www.eia.gov/dnav/pet/hist/LeafHandler.ashx?n=PET&amp;s=MGRSTUS1&amp;f=A" xr:uid="{0175B0D4-4355-4A0F-9D35-E7FFFD1907E8}"/>
    <hyperlink ref="E39" r:id="rId257" display="https://www.eia.gov/dnav/pet/hist/LeafHandler.ashx?n=PET&amp;s=M_EPM0C_YNP_NUS_MBBL&amp;f=A" xr:uid="{4B0CAA39-9A4D-4D12-9F6E-03C1B0C8BA52}"/>
    <hyperlink ref="F39" r:id="rId258" display="https://www.eia.gov/dnav/pet/hist/LeafHandler.ashx?n=PET&amp;s=MG4RP_NUS_1&amp;f=A" xr:uid="{EB31B62B-4360-4DE1-BD6E-B0E078321DCB}"/>
    <hyperlink ref="G39" r:id="rId259" display="https://www.eia.gov/dnav/pet/hist/LeafHandler.ashx?n=PET&amp;s=MG4IM_NUS-Z00_1&amp;f=A" xr:uid="{C9575742-AA45-4EFA-AE79-030049FEDBE5}"/>
    <hyperlink ref="I39" r:id="rId260" display="https://www.eia.gov/dnav/pet/hist/LeafHandler.ashx?n=PET&amp;s=MG4UA_NUS_1&amp;f=A" xr:uid="{CA35F57A-9159-49A6-BBD4-550F7B1B3812}"/>
    <hyperlink ref="J39" r:id="rId261" display="https://www.eia.gov/dnav/pet/hist/LeafHandler.ashx?n=PET&amp;s=MG4SC_NUS_1&amp;f=A" xr:uid="{E58ACEC3-4328-4E73-BB7B-6E81B49AFBE4}"/>
    <hyperlink ref="L39" r:id="rId262" display="https://www.eia.gov/dnav/pet/hist/LeafHandler.ashx?n=PET&amp;s=MG4EX_NUS-Z00_1&amp;f=A" xr:uid="{79660A39-A78F-4DF2-8635-33ECC4269AB0}"/>
    <hyperlink ref="M39" r:id="rId263" display="https://www.eia.gov/dnav/pet/hist/LeafHandler.ashx?n=PET&amp;s=MG4UP_NUS_1&amp;f=A" xr:uid="{7D6F041A-2A2F-42CC-965E-72F9BC3E36CF}"/>
    <hyperlink ref="N39" r:id="rId264" display="https://www.eia.gov/dnav/pet/hist/LeafHandler.ashx?n=PET&amp;s=MG4ST_NUS_1&amp;f=A" xr:uid="{E11F18A5-8380-4B77-92E1-934CE7BAB6E5}"/>
    <hyperlink ref="F40" r:id="rId265" display="https://www.eia.gov/dnav/pet/hist/LeafHandler.ashx?n=PET&amp;s=MGARPUS1&amp;f=A" xr:uid="{AAD8CDD3-9B0D-46F0-AC2F-172145296ECC}"/>
    <hyperlink ref="G40" r:id="rId266" display="https://www.eia.gov/dnav/pet/hist/LeafHandler.ashx?n=PET&amp;s=MGAIMUS1&amp;f=A" xr:uid="{41D8243D-9906-461C-A982-DFC0C4B0DB49}"/>
    <hyperlink ref="J40" r:id="rId267" display="https://www.eia.gov/dnav/pet/hist/LeafHandler.ashx?n=PET&amp;s=MGASCUS1&amp;f=A" xr:uid="{A332C44F-D07D-4781-9A15-1F0C8FDA5885}"/>
    <hyperlink ref="L40" r:id="rId268" display="https://www.eia.gov/dnav/pet/hist/LeafHandler.ashx?n=PET&amp;s=MGAEXUS1&amp;f=A" xr:uid="{EF307037-5B41-48A3-BBF8-E4138E9E15A1}"/>
    <hyperlink ref="M40" r:id="rId269" display="https://www.eia.gov/dnav/pet/hist/LeafHandler.ashx?n=PET&amp;s=MGAUPUS1&amp;f=A" xr:uid="{BB73D77A-2354-41F0-A6BB-8CF4E9BA0989}"/>
    <hyperlink ref="N40" r:id="rId270" display="https://www.eia.gov/dnav/pet/hist/LeafHandler.ashx?n=PET&amp;s=MGASTUS1&amp;f=A" xr:uid="{0A671BA9-33CA-4CAA-BC4F-004315ED02A0}"/>
    <hyperlink ref="E41" r:id="rId271" display="https://www.eia.gov/dnav/pet/hist/LeafHandler.ashx?n=PET&amp;s=M_EPJK_YNP_NUS_MBBL&amp;f=A" xr:uid="{6C8505C4-15B0-4224-B290-AA93EAF7C52C}"/>
    <hyperlink ref="F41" r:id="rId272" display="https://www.eia.gov/dnav/pet/hist/LeafHandler.ashx?n=PET&amp;s=MKJRPUS1&amp;f=A" xr:uid="{5E70EC20-B8C5-4659-B8E0-9189920E1738}"/>
    <hyperlink ref="G41" r:id="rId273" display="https://www.eia.gov/dnav/pet/hist/LeafHandler.ashx?n=PET&amp;s=MKJIMUS1&amp;f=A" xr:uid="{A36715CC-5A10-441C-A026-C6274DDBA1C2}"/>
    <hyperlink ref="J41" r:id="rId274" display="https://www.eia.gov/dnav/pet/hist/LeafHandler.ashx?n=PET&amp;s=MKJSCUS1&amp;f=A" xr:uid="{F962F1D3-984B-4C38-8D61-3E2F1D9D30B5}"/>
    <hyperlink ref="L41" r:id="rId275" display="https://www.eia.gov/dnav/pet/hist/LeafHandler.ashx?n=PET&amp;s=MKJEXUS1&amp;f=A" xr:uid="{F34EC92F-6340-44D2-B16E-CF188851212F}"/>
    <hyperlink ref="M41" r:id="rId276" display="https://www.eia.gov/dnav/pet/hist/LeafHandler.ashx?n=PET&amp;s=MKJUPUS1&amp;f=A" xr:uid="{C8ED2AE8-EBE6-40DD-A69E-4835218868D3}"/>
    <hyperlink ref="N41" r:id="rId277" display="https://www.eia.gov/dnav/pet/hist/LeafHandler.ashx?n=PET&amp;s=MKJSTUS1&amp;f=A" xr:uid="{2A8B4A00-D239-4476-88AF-7D4D06A877E4}"/>
    <hyperlink ref="E42" r:id="rId278" display="https://www.eia.gov/dnav/pet/hist/LeafHandler.ashx?n=PET&amp;s=M_EPPK_YNP_NUS_MBBL&amp;f=A" xr:uid="{FF15B995-6A70-4B99-A0D2-163668285630}"/>
    <hyperlink ref="F42" r:id="rId279" display="https://www.eia.gov/dnav/pet/hist/LeafHandler.ashx?n=PET&amp;s=MKERPUS1&amp;f=A" xr:uid="{9FF46D03-9E05-47D2-B812-E966A9C753AD}"/>
    <hyperlink ref="G42" r:id="rId280" display="https://www.eia.gov/dnav/pet/hist/LeafHandler.ashx?n=PET&amp;s=MKEIMUS1&amp;f=A" xr:uid="{B6716C2F-FB29-4BEE-AE22-44B35266CF1E}"/>
    <hyperlink ref="J42" r:id="rId281" display="https://www.eia.gov/dnav/pet/hist/LeafHandler.ashx?n=PET&amp;s=MKESCUS1&amp;f=A" xr:uid="{49306ADB-1048-413D-8A23-75CDE22EF0BD}"/>
    <hyperlink ref="L42" r:id="rId282" display="https://www.eia.gov/dnav/pet/hist/LeafHandler.ashx?n=PET&amp;s=MKEEXUS1&amp;f=A" xr:uid="{9E69AFB9-6513-43ED-B6CB-066876F0F4CC}"/>
    <hyperlink ref="M42" r:id="rId283" display="https://www.eia.gov/dnav/pet/hist/LeafHandler.ashx?n=PET&amp;s=MKEUPUS1&amp;f=A" xr:uid="{39178330-AC13-4B3B-83CF-E2A64B1794C2}"/>
    <hyperlink ref="N42" r:id="rId284" display="https://www.eia.gov/dnav/pet/hist/LeafHandler.ashx?n=PET&amp;s=MKESTUS1&amp;f=A" xr:uid="{48790319-610E-459B-821D-9F6A372E50F1}"/>
    <hyperlink ref="E43" r:id="rId285" display="https://www.eia.gov/dnav/pet/hist/LeafHandler.ashx?n=PET&amp;s=M_EPD0_YNP_NUS_MBBL&amp;f=A" xr:uid="{35C59B30-4F96-47B2-B60E-7C8465D1659F}"/>
    <hyperlink ref="F43" r:id="rId286" display="https://www.eia.gov/dnav/pet/hist/LeafHandler.ashx?n=PET&amp;s=MDIRPUS1&amp;f=A" xr:uid="{C26C2DD7-C356-4F65-AEF9-1691FC45A163}"/>
    <hyperlink ref="G43" r:id="rId287" display="https://www.eia.gov/dnav/pet/hist/LeafHandler.ashx?n=PET&amp;s=MDIIMUS1&amp;f=A" xr:uid="{88C085DD-B257-43D6-8BF4-B759BE88E61D}"/>
    <hyperlink ref="I43" r:id="rId288" display="https://www.eia.gov/dnav/pet/hist/LeafHandler.ashx?n=PET&amp;s=M_EPD0_VUA_NUS_1&amp;f=A" xr:uid="{0D2BC35E-89E4-428D-A6C0-45058ABBC745}"/>
    <hyperlink ref="J43" r:id="rId289" display="https://www.eia.gov/dnav/pet/hist/LeafHandler.ashx?n=PET&amp;s=MDISCUS1&amp;f=A" xr:uid="{B693F814-B649-44A7-B394-B0EECDB0868C}"/>
    <hyperlink ref="L43" r:id="rId290" display="https://www.eia.gov/dnav/pet/hist/LeafHandler.ashx?n=PET&amp;s=MDIEXUS1&amp;f=A" xr:uid="{C1F21408-E291-4BD5-8094-512481C93B8A}"/>
    <hyperlink ref="M43" r:id="rId291" display="https://www.eia.gov/dnav/pet/hist/LeafHandler.ashx?n=PET&amp;s=MDIUPUS1&amp;f=A" xr:uid="{E5DD2F30-490C-4240-A313-05B93D2F8F2E}"/>
    <hyperlink ref="N43" r:id="rId292" display="https://www.eia.gov/dnav/pet/hist/LeafHandler.ashx?n=PET&amp;s=MDISTUS1&amp;f=A" xr:uid="{A55CE58D-864A-4708-844E-C644180546F4}"/>
    <hyperlink ref="E44" r:id="rId293" display="https://www.eia.gov/dnav/pet/hist/LeafHandler.ashx?n=PET&amp;s=M_EPDXL0_YNP_NUS_MBBL&amp;f=A" xr:uid="{37ACC9C6-484A-4684-9882-8C27C514A718}"/>
    <hyperlink ref="F44" r:id="rId294" display="https://www.eia.gov/dnav/pet/hist/LeafHandler.ashx?n=PET&amp;s=MD0RP_NUS_1&amp;f=A" xr:uid="{352595FF-D63E-42E1-BB45-8B9366735BE5}"/>
    <hyperlink ref="G44" r:id="rId295" display="https://www.eia.gov/dnav/pet/hist/LeafHandler.ashx?n=PET&amp;s=MD0IM_NUS-Z00_1&amp;f=A" xr:uid="{69A62746-94F8-46B9-BF86-8C78B960871B}"/>
    <hyperlink ref="I44" r:id="rId296" display="https://www.eia.gov/dnav/pet/hist/LeafHandler.ashx?n=PET&amp;s=M_EPDXL0_VUA_NUS_1&amp;f=A" xr:uid="{1B226513-D4EF-4679-B6A3-5801896D6A1F}"/>
    <hyperlink ref="J44" r:id="rId297" display="https://www.eia.gov/dnav/pet/hist/LeafHandler.ashx?n=PET&amp;s=MD0SC_NUS_1&amp;f=A" xr:uid="{A0B5112A-E58A-442E-99DA-79DC79B9FDE8}"/>
    <hyperlink ref="L44" r:id="rId298" display="https://www.eia.gov/dnav/pet/hist/LeafHandler.ashx?n=PET&amp;s=M_EPDXL0_EEX_NUS-Z00_MBBL&amp;f=A" xr:uid="{2CFDF75A-8063-499B-8E0F-74CE5D28291A}"/>
    <hyperlink ref="M44" r:id="rId299" display="https://www.eia.gov/dnav/pet/hist/LeafHandler.ashx?n=PET&amp;s=MD0UP_NUS_1&amp;f=A" xr:uid="{D33A1B3D-442D-4792-BBD2-C8719D620286}"/>
    <hyperlink ref="N44" r:id="rId300" display="https://www.eia.gov/dnav/pet/hist/LeafHandler.ashx?n=PET&amp;s=MD0ST_NUS_1&amp;f=A" xr:uid="{2DA11366-8433-4E9C-8F59-31AC390FA6BE}"/>
    <hyperlink ref="E45" r:id="rId301" display="https://www.eia.gov/dnav/pet/hist/LeafHandler.ashx?n=PET&amp;s=M_EPDM10_YNP_NUS_MBBL&amp;f=A" xr:uid="{FC06A968-6D2A-40D7-8BEC-A430F23429B6}"/>
    <hyperlink ref="F45" r:id="rId302" display="https://www.eia.gov/dnav/pet/hist/LeafHandler.ashx?n=PET&amp;s=MD1RP_NUS_1&amp;f=A" xr:uid="{FF1E8889-5337-4677-B09C-A445C4B7469D}"/>
    <hyperlink ref="G45" r:id="rId303" display="https://www.eia.gov/dnav/pet/hist/LeafHandler.ashx?n=PET&amp;s=MD1IM_NUS-Z00_1&amp;f=A" xr:uid="{F81B6AD4-9557-40A4-AD9A-DCAC6F7C4F17}"/>
    <hyperlink ref="I45" r:id="rId304" display="https://www.eia.gov/dnav/pet/hist/LeafHandler.ashx?n=PET&amp;s=M_EPDM10_VUA_NUS_1&amp;f=A" xr:uid="{C91B725C-6382-4FB5-B97C-1FD62138B75A}"/>
    <hyperlink ref="J45" r:id="rId305" display="https://www.eia.gov/dnav/pet/hist/LeafHandler.ashx?n=PET&amp;s=MD1SC_NUS_1&amp;f=A" xr:uid="{C2441867-BEAA-4F18-811E-5F52D73999EF}"/>
    <hyperlink ref="L45" r:id="rId306" display="https://www.eia.gov/dnav/pet/hist/LeafHandler.ashx?n=PET&amp;s=MD1EX_NUS-Z00_1&amp;f=A" xr:uid="{566486BC-D3ED-4E2B-8CB9-24DF0EDA101F}"/>
    <hyperlink ref="M45" r:id="rId307" display="https://www.eia.gov/dnav/pet/hist/LeafHandler.ashx?n=PET&amp;s=MD1UP_NUS_1&amp;f=A" xr:uid="{75257B2F-054B-46CC-BACA-1BB82AD98227}"/>
    <hyperlink ref="N45" r:id="rId308" display="https://www.eia.gov/dnav/pet/hist/LeafHandler.ashx?n=PET&amp;s=MD1ST_NUS_1&amp;f=A" xr:uid="{1685AE61-BFDA-47EE-9540-46DA8757B51A}"/>
    <hyperlink ref="E46" r:id="rId309" display="https://www.eia.gov/dnav/pet/hist/LeafHandler.ashx?n=PET&amp;s=M_EPD00H_YNP_NUS_MBBL&amp;f=A" xr:uid="{07EAEDFB-AEAC-4FEF-AFD5-7B957743DEC3}"/>
    <hyperlink ref="F46" r:id="rId310" display="https://www.eia.gov/dnav/pet/hist/LeafHandler.ashx?n=PET&amp;s=MDGRPUS1&amp;f=A" xr:uid="{74F1AE68-347A-4A28-92D7-8CEBBA3E8E25}"/>
    <hyperlink ref="G46" r:id="rId311" display="https://www.eia.gov/dnav/pet/hist/LeafHandler.ashx?n=PET&amp;s=MDGIMUS1&amp;f=A" xr:uid="{E2B5A0EA-04C5-4325-8BBF-C60FAE885BCB}"/>
    <hyperlink ref="J46" r:id="rId312" display="https://www.eia.gov/dnav/pet/hist/LeafHandler.ashx?n=PET&amp;s=MDGSCUS1&amp;f=A" xr:uid="{2BA64557-5DD6-4FF3-8453-35A4ACE3729D}"/>
    <hyperlink ref="L46" r:id="rId313" display="https://www.eia.gov/dnav/pet/hist/LeafHandler.ashx?n=PET&amp;s=MDGEXUS1&amp;f=A" xr:uid="{BB0B7D35-6DDC-4BC6-90FA-CB9A0D72CE50}"/>
    <hyperlink ref="M46" r:id="rId314" display="https://www.eia.gov/dnav/pet/hist/LeafHandler.ashx?n=PET&amp;s=MDGUPUS1&amp;f=A" xr:uid="{2B66B87E-36B3-424F-BDEB-53B754004DEF}"/>
    <hyperlink ref="N46" r:id="rId315" display="https://www.eia.gov/dnav/pet/hist/LeafHandler.ashx?n=PET&amp;s=MDGSTUS1&amp;f=A" xr:uid="{D3F344B1-24B1-499D-AC76-405FADC3DEF2}"/>
    <hyperlink ref="F47" r:id="rId316" display="https://www.eia.gov/dnav/pet/hist/LeafHandler.ashx?n=PET&amp;s=MRERPUS1&amp;f=A" xr:uid="{73A5DF17-BAFD-42A4-94CD-549FA6B34158}"/>
    <hyperlink ref="G47" r:id="rId317" display="https://www.eia.gov/dnav/pet/hist/LeafHandler.ashx?n=PET&amp;s=MREIMUS1&amp;f=A" xr:uid="{508AF39D-0876-4C20-A5ED-040D4AFC725F}"/>
    <hyperlink ref="J47" r:id="rId318" display="https://www.eia.gov/dnav/pet/hist/LeafHandler.ashx?n=PET&amp;s=MRESCUS1&amp;f=A" xr:uid="{6A087D5B-0653-45EC-8039-32B11195E71B}"/>
    <hyperlink ref="L47" r:id="rId319" display="https://www.eia.gov/dnav/pet/hist/LeafHandler.ashx?n=PET&amp;s=MREEXUS1&amp;f=A" xr:uid="{4991E8DE-9DE9-4C8A-99CF-22C7A5AD72B3}"/>
    <hyperlink ref="M47" r:id="rId320" display="https://www.eia.gov/dnav/pet/hist/LeafHandler.ashx?n=PET&amp;s=MREUPUS1&amp;f=A" xr:uid="{FF1B5886-AF48-4026-9465-02FD257AD95A}"/>
    <hyperlink ref="N47" r:id="rId321" display="https://www.eia.gov/dnav/pet/hist/LeafHandler.ashx?n=PET&amp;s=MRESTUS1&amp;f=A" xr:uid="{FF993927-3AC2-49F8-83FC-A5801737B6B8}"/>
    <hyperlink ref="F48" r:id="rId322" display="https://www.eia.gov/dnav/pet/hist/LeafHandler.ashx?n=PET&amp;s=MRLRPUS1&amp;f=A" xr:uid="{7EABEF22-C300-4093-BCAD-C28D9EDDB2DF}"/>
    <hyperlink ref="G48" r:id="rId323" display="https://www.eia.gov/dnav/pet/hist/LeafHandler.ashx?n=PET&amp;s=MRXIMUS1&amp;f=A" xr:uid="{4276F20E-64DF-46FB-917D-E05BEE565558}"/>
    <hyperlink ref="J48" r:id="rId324" display="https://www.eia.gov/dnav/pet/hist/LeafHandler.ashx?n=PET&amp;s=MRXSC_NUS_1&amp;f=A" xr:uid="{D680477B-95EB-4F73-ADE8-794F8FA74A34}"/>
    <hyperlink ref="N48" r:id="rId325" display="https://www.eia.gov/dnav/pet/hist/LeafHandler.ashx?n=PET&amp;s=MRLSTUS1&amp;f=A" xr:uid="{3495D0D9-CADD-4366-A922-CDC0CC5745A8}"/>
    <hyperlink ref="F49" r:id="rId326" display="https://www.eia.gov/dnav/pet/hist/LeafHandler.ashx?n=PET&amp;s=MRMRPUS1&amp;f=A" xr:uid="{12008679-D027-47BC-A22C-D235FF30CE7A}"/>
    <hyperlink ref="G49" r:id="rId327" display="https://www.eia.gov/dnav/pet/hist/LeafHandler.ashx?n=PET&amp;s=MRYIMUS1&amp;f=A" xr:uid="{999A92B0-0434-4F95-93CF-326D1AB5866A}"/>
    <hyperlink ref="J49" r:id="rId328" display="https://www.eia.gov/dnav/pet/hist/LeafHandler.ashx?n=PET&amp;s=MRYSC_NUS_1&amp;f=A" xr:uid="{03FD5F8A-3DC4-49F5-BD1A-CB821117ED9F}"/>
    <hyperlink ref="N49" r:id="rId329" display="https://www.eia.gov/dnav/pet/hist/LeafHandler.ashx?n=PET&amp;s=MRMSTUS1&amp;f=A" xr:uid="{C8BE171B-214B-4448-9B3F-1143E51C2216}"/>
    <hyperlink ref="F50" r:id="rId330" display="https://www.eia.gov/dnav/pet/hist/LeafHandler.ashx?n=PET&amp;s=MRGRPUS1&amp;f=A" xr:uid="{1131CF31-80C8-4576-9672-D15B07E70E0A}"/>
    <hyperlink ref="G50" r:id="rId331" display="https://www.eia.gov/dnav/pet/hist/LeafHandler.ashx?n=PET&amp;s=MRZIMUS1&amp;f=A" xr:uid="{A6CF5487-2B7D-4A6C-85AA-812F01C00DD0}"/>
    <hyperlink ref="J50" r:id="rId332" display="https://www.eia.gov/dnav/pet/hist/LeafHandler.ashx?n=PET&amp;s=MRZSC_NUS_1&amp;f=A" xr:uid="{FAF054AB-6828-4373-8E09-DC97DBDC91A5}"/>
    <hyperlink ref="N50" r:id="rId333" display="https://www.eia.gov/dnav/pet/hist/LeafHandler.ashx?n=PET&amp;s=MRGSTUS1&amp;f=A" xr:uid="{21D670FD-78A6-4DA2-A3A4-8A5553EA4795}"/>
    <hyperlink ref="F51" r:id="rId334" display="https://www.eia.gov/dnav/pet/hist/LeafHandler.ashx?n=PET&amp;s=MPCRPUS1&amp;f=A" xr:uid="{F135604B-F551-410D-BF11-673CFF5F68DE}"/>
    <hyperlink ref="G51" r:id="rId335" display="https://www.eia.gov/dnav/pet/hist/LeafHandler.ashx?n=PET&amp;s=MPFIM_NUS-Z00_1&amp;f=A" xr:uid="{1341E889-53DA-4C34-8247-27557BB881AF}"/>
    <hyperlink ref="J51" r:id="rId336" display="https://www.eia.gov/dnav/pet/hist/LeafHandler.ashx?n=PET&amp;s=MPCSC_NUS_1&amp;f=A" xr:uid="{52CC4BBA-1872-4F46-8ED9-1E2306E9F9F7}"/>
    <hyperlink ref="L51" r:id="rId337" display="https://www.eia.gov/dnav/pet/hist/LeafHandler.ashx?n=PET&amp;s=MPCEX_NUS-Z00_1&amp;f=A" xr:uid="{6DC18B07-7677-471A-92A7-5F01BAEDB258}"/>
    <hyperlink ref="M51" r:id="rId338" display="https://www.eia.gov/dnav/pet/hist/LeafHandler.ashx?n=PET&amp;s=MPCUP_NUS_1&amp;f=A" xr:uid="{98FDCF5D-3071-4302-AE64-3AB896610A82}"/>
    <hyperlink ref="N51" r:id="rId339" display="https://www.eia.gov/dnav/pet/hist/LeafHandler.ashx?n=PET&amp;s=MPCST_NUS_1&amp;f=A" xr:uid="{0383CD90-6976-4CFD-8BA2-164476ADC2AC}"/>
    <hyperlink ref="F52" r:id="rId340" display="https://www.eia.gov/dnav/pet/hist/LeafHandler.ashx?n=PET&amp;s=MNFRPUS1&amp;f=A" xr:uid="{8C9423AD-DCC5-47D2-8FBD-762D7777C948}"/>
    <hyperlink ref="G52" r:id="rId341" display="https://www.eia.gov/dnav/pet/hist/LeafHandler.ashx?n=PET&amp;s=MNFIMUS1&amp;f=A" xr:uid="{C64B48B1-9DE1-45F7-A341-FFF308D77987}"/>
    <hyperlink ref="J52" r:id="rId342" display="https://www.eia.gov/dnav/pet/hist/LeafHandler.ashx?n=PET&amp;s=MNFSCUS1&amp;f=A" xr:uid="{A4798FA3-C350-4EF0-93A4-0CB283EF2721}"/>
    <hyperlink ref="L52" r:id="rId343" display="https://www.eia.gov/dnav/pet/hist/LeafHandler.ashx?n=PET&amp;s=MNFEXUS1&amp;f=A" xr:uid="{4A167429-8A2A-44F2-B665-243A1870C6EC}"/>
    <hyperlink ref="M52" r:id="rId344" display="https://www.eia.gov/dnav/pet/hist/LeafHandler.ashx?n=PET&amp;s=MNFUPUS1&amp;f=A" xr:uid="{AB2F28FD-6483-4399-838C-DEB00DFCCCF0}"/>
    <hyperlink ref="N52" r:id="rId345" display="https://www.eia.gov/dnav/pet/hist/LeafHandler.ashx?n=PET&amp;s=MNFSTUS1&amp;f=A" xr:uid="{86E3E602-A190-4E3D-82EC-5146575ED198}"/>
    <hyperlink ref="F53" r:id="rId346" display="https://www.eia.gov/dnav/pet/hist/LeafHandler.ashx?n=PET&amp;s=MOTRPUS1&amp;f=A" xr:uid="{42393DA8-B101-4874-BF0F-22341EE7C479}"/>
    <hyperlink ref="G53" r:id="rId347" display="https://www.eia.gov/dnav/pet/hist/LeafHandler.ashx?n=PET&amp;s=MOTIMUS1&amp;f=A" xr:uid="{21DF5BB0-6404-4F08-A0EB-3124A105A1E2}"/>
    <hyperlink ref="J53" r:id="rId348" display="https://www.eia.gov/dnav/pet/hist/LeafHandler.ashx?n=PET&amp;s=MOTSCUS1&amp;f=A" xr:uid="{0CF4CB43-A613-482E-90C6-ED15D5138662}"/>
    <hyperlink ref="L53" r:id="rId349" display="https://www.eia.gov/dnav/pet/hist/LeafHandler.ashx?n=PET&amp;s=MOTEXUS1&amp;f=A" xr:uid="{0A6A9E05-611F-413E-886D-81698A7072B4}"/>
    <hyperlink ref="M53" r:id="rId350" display="https://www.eia.gov/dnav/pet/hist/LeafHandler.ashx?n=PET&amp;s=MOTUPUS1&amp;f=A" xr:uid="{7F7DDF7F-E2D2-48B5-A423-79FE3C8EEE9B}"/>
    <hyperlink ref="N53" r:id="rId351" display="https://www.eia.gov/dnav/pet/hist/LeafHandler.ashx?n=PET&amp;s=MOTSTUS1&amp;f=A" xr:uid="{F441EA26-E03F-4989-91E3-9B9F0781DB5B}"/>
    <hyperlink ref="F54" r:id="rId352" display="https://www.eia.gov/dnav/pet/hist/LeafHandler.ashx?n=PET&amp;s=MNSRPUS1&amp;f=A" xr:uid="{38C7E8D7-2EE0-44BE-8895-61503B0F7B31}"/>
    <hyperlink ref="G54" r:id="rId353" display="https://www.eia.gov/dnav/pet/hist/LeafHandler.ashx?n=PET&amp;s=MNSIMUS1&amp;f=A" xr:uid="{4595FE36-0D0B-43F4-AA1A-82B590ED217C}"/>
    <hyperlink ref="J54" r:id="rId354" display="https://www.eia.gov/dnav/pet/hist/LeafHandler.ashx?n=PET&amp;s=MNSSCUS1&amp;f=A" xr:uid="{B63A0BFA-696A-45C8-9DB3-57ABDB4117EA}"/>
    <hyperlink ref="L54" r:id="rId355" display="https://www.eia.gov/dnav/pet/hist/LeafHandler.ashx?n=PET&amp;s=MNSEXUS1&amp;f=A" xr:uid="{715E7BC0-8742-4BCF-97A7-219C09B1B69D}"/>
    <hyperlink ref="M54" r:id="rId356" display="https://www.eia.gov/dnav/pet/hist/LeafHandler.ashx?n=PET&amp;s=MNSUPUS1&amp;f=A" xr:uid="{9B388BC1-D9A0-4C32-A2CD-4BCA0C1896EA}"/>
    <hyperlink ref="N54" r:id="rId357" display="https://www.eia.gov/dnav/pet/hist/LeafHandler.ashx?n=PET&amp;s=MNSSTUS1&amp;f=A" xr:uid="{B6694B2C-B7C9-4E08-A277-F43FD8D4743E}"/>
    <hyperlink ref="F55" r:id="rId358" display="https://www.eia.gov/dnav/pet/hist/LeafHandler.ashx?n=PET&amp;s=MLURPUS1&amp;f=A" xr:uid="{172343BC-62D0-480E-9603-8B962DC69D53}"/>
    <hyperlink ref="G55" r:id="rId359" display="https://www.eia.gov/dnav/pet/hist/LeafHandler.ashx?n=PET&amp;s=MLUIMUS1&amp;f=A" xr:uid="{585FB62C-8195-44A5-A1EE-BE25151F3A98}"/>
    <hyperlink ref="J55" r:id="rId360" display="https://www.eia.gov/dnav/pet/hist/LeafHandler.ashx?n=PET&amp;s=MLUSCUS1&amp;f=A" xr:uid="{53533D71-FD1B-454B-A37A-E1AC284CC6E2}"/>
    <hyperlink ref="L55" r:id="rId361" display="https://www.eia.gov/dnav/pet/hist/LeafHandler.ashx?n=PET&amp;s=MLUEXUS1&amp;f=A" xr:uid="{A060BE67-91F9-44AD-9040-4AB2B4F21AFA}"/>
    <hyperlink ref="M55" r:id="rId362" display="https://www.eia.gov/dnav/pet/hist/LeafHandler.ashx?n=PET&amp;s=MLUUPUS1&amp;f=A" xr:uid="{A4901194-58D8-4266-96A8-1260DB3CFA93}"/>
    <hyperlink ref="N55" r:id="rId363" display="https://www.eia.gov/dnav/pet/hist/LeafHandler.ashx?n=PET&amp;s=MLUSTUS1&amp;f=A" xr:uid="{18018135-F93A-41F5-AA87-53104F99CC50}"/>
    <hyperlink ref="F56" r:id="rId364" display="https://www.eia.gov/dnav/pet/hist/LeafHandler.ashx?n=PET&amp;s=MWXRPUS1&amp;f=A" xr:uid="{B4E33E7B-78C4-4287-9353-CDB738260EE8}"/>
    <hyperlink ref="G56" r:id="rId365" display="https://www.eia.gov/dnav/pet/hist/LeafHandler.ashx?n=PET&amp;s=MWXIMUS1&amp;f=A" xr:uid="{F584207C-0380-4357-B751-5164979111FA}"/>
    <hyperlink ref="J56" r:id="rId366" display="https://www.eia.gov/dnav/pet/hist/LeafHandler.ashx?n=PET&amp;s=MWXSCUS1&amp;f=A" xr:uid="{6144F0E9-266D-43C3-B3E5-9FB990F488AD}"/>
    <hyperlink ref="L56" r:id="rId367" display="https://www.eia.gov/dnav/pet/hist/LeafHandler.ashx?n=PET&amp;s=MWXEXUS1&amp;f=A" xr:uid="{76CF0A32-3CC3-491B-A7F8-1F93BDC2C540}"/>
    <hyperlink ref="M56" r:id="rId368" display="https://www.eia.gov/dnav/pet/hist/LeafHandler.ashx?n=PET&amp;s=MWXUPUS1&amp;f=A" xr:uid="{3DEFEA0E-B62F-4E25-A109-BA8073CD4909}"/>
    <hyperlink ref="N56" r:id="rId369" display="https://www.eia.gov/dnav/pet/hist/LeafHandler.ashx?n=PET&amp;s=MWXSTUS1&amp;f=A" xr:uid="{F328D55E-CA0F-49A5-9BFB-1D66D1134410}"/>
    <hyperlink ref="F57" r:id="rId370" display="https://www.eia.gov/dnav/pet/hist/LeafHandler.ashx?n=PET&amp;s=MCKRPUS1&amp;f=A" xr:uid="{8AF27E8F-38A5-4B93-B893-E20721239546}"/>
    <hyperlink ref="G57" r:id="rId371" display="https://www.eia.gov/dnav/pet/hist/LeafHandler.ashx?n=PET&amp;s=MCKIMUS1&amp;f=A" xr:uid="{34E5043E-5209-47DA-A604-A4E6692E3DEF}"/>
    <hyperlink ref="J57" r:id="rId372" display="https://www.eia.gov/dnav/pet/hist/LeafHandler.ashx?n=PET&amp;s=MCKSCUS1&amp;f=A" xr:uid="{50D5BFC5-E686-4874-A240-B9087E015CE5}"/>
    <hyperlink ref="L57" r:id="rId373" display="https://www.eia.gov/dnav/pet/hist/LeafHandler.ashx?n=PET&amp;s=MCKEXUS1&amp;f=A" xr:uid="{08A2A409-D592-4297-8937-0B3C9D8581BB}"/>
    <hyperlink ref="M57" r:id="rId374" display="https://www.eia.gov/dnav/pet/hist/LeafHandler.ashx?n=PET&amp;s=MCKUPUS1&amp;f=A" xr:uid="{F5E2D5E3-902A-4B71-B091-AB1E74FC68F5}"/>
    <hyperlink ref="N57" r:id="rId375" display="https://www.eia.gov/dnav/pet/hist/LeafHandler.ashx?n=PET&amp;s=MCKSTUS1&amp;f=A" xr:uid="{807D4C24-9871-4246-86D7-E1AAB12384AA}"/>
    <hyperlink ref="F58" r:id="rId376" display="https://www.eia.gov/dnav/pet/hist/LeafHandler.ashx?n=PET&amp;s=MCMRPUS1&amp;f=A" xr:uid="{F97ACFDC-1B83-40BE-9DB7-65C6311A14DB}"/>
    <hyperlink ref="G58" r:id="rId377" display="https://www.eia.gov/dnav/pet/hist/LeafHandler.ashx?n=PET&amp;s=MCMIM_NUS-Z00_1&amp;f=A" xr:uid="{5CE63EFB-A28C-4D6A-9CE2-D2AF104CCF8D}"/>
    <hyperlink ref="J58" r:id="rId378" display="https://www.eia.gov/dnav/pet/hist/LeafHandler.ashx?n=PET&amp;s=MCMSC_NUS_1&amp;f=A" xr:uid="{12E59C87-0675-4543-89D5-DFA79EA5992B}"/>
    <hyperlink ref="L58" r:id="rId379" display="https://www.eia.gov/dnav/pet/hist/LeafHandler.ashx?n=PET&amp;s=MCMEX_NUS-Z00_1&amp;f=A" xr:uid="{5F84C490-9815-458D-96CF-0D361B3FADA5}"/>
    <hyperlink ref="M58" r:id="rId380" display="https://www.eia.gov/dnav/pet/hist/LeafHandler.ashx?n=PET&amp;s=MCMUP_NUS_1&amp;f=A" xr:uid="{24CF97D1-EBA1-4B87-A4CE-BC05B0C25DF4}"/>
    <hyperlink ref="N58" r:id="rId381" display="https://www.eia.gov/dnav/pet/hist/LeafHandler.ashx?n=PET&amp;s=MCMST_NUS_1&amp;f=A" xr:uid="{7B7D61C5-7340-443F-B96A-6581A38BB215}"/>
    <hyperlink ref="F59" r:id="rId382" display="https://www.eia.gov/dnav/pet/hist/LeafHandler.ashx?n=PET&amp;s=MCORPUS1&amp;f=A" xr:uid="{0044AF95-35D7-4A8E-A258-3A04C5848A96}"/>
    <hyperlink ref="M59" r:id="rId383" display="https://www.eia.gov/dnav/pet/hist/LeafHandler.ashx?n=PET&amp;s=MCOUP_NUS_1&amp;f=A" xr:uid="{AFC58811-6C4D-4E11-976F-712AB2ADB646}"/>
    <hyperlink ref="F60" r:id="rId384" display="https://www.eia.gov/dnav/pet/hist/LeafHandler.ashx?n=PET&amp;s=MAPRPUS1&amp;f=A" xr:uid="{5E1D0670-852B-409D-A1C3-E4821727AC0F}"/>
    <hyperlink ref="G60" r:id="rId385" display="https://www.eia.gov/dnav/pet/hist/LeafHandler.ashx?n=PET&amp;s=MAPIMUS1&amp;f=A" xr:uid="{61460189-3FEE-4DAB-90F9-78D4BE2E6DC3}"/>
    <hyperlink ref="J60" r:id="rId386" display="https://www.eia.gov/dnav/pet/hist/LeafHandler.ashx?n=PET&amp;s=MAPSCUS1&amp;f=A" xr:uid="{52D45E3B-1F58-4418-AFA9-6A10FCDC2582}"/>
    <hyperlink ref="L60" r:id="rId387" display="https://www.eia.gov/dnav/pet/hist/LeafHandler.ashx?n=PET&amp;s=MAPEXUS1&amp;f=A" xr:uid="{A9367C77-5D8E-4C4D-A974-3755E352F9C2}"/>
    <hyperlink ref="M60" r:id="rId388" display="https://www.eia.gov/dnav/pet/hist/LeafHandler.ashx?n=PET&amp;s=MAPUPUS1&amp;f=A" xr:uid="{37C6FB19-0F16-4952-9326-71D305E80A3A}"/>
    <hyperlink ref="N60" r:id="rId389" display="https://www.eia.gov/dnav/pet/hist/LeafHandler.ashx?n=PET&amp;s=MAPSTUS1&amp;f=A" xr:uid="{82F5F00E-EB6C-46CA-9FB2-2D83F7B60839}"/>
    <hyperlink ref="F61" r:id="rId390" display="https://www.eia.gov/dnav/pet/hist/LeafHandler.ashx?n=PET&amp;s=MSGRPUS1&amp;f=A" xr:uid="{D8743CD3-A637-4F27-B9C8-0DEA58DAB17F}"/>
    <hyperlink ref="M61" r:id="rId391" display="https://www.eia.gov/dnav/pet/hist/LeafHandler.ashx?n=PET&amp;s=MSGUPUS1&amp;f=A" xr:uid="{4AA5F2AD-B3FF-4A5B-9056-E8225AC89D0A}"/>
    <hyperlink ref="F62" r:id="rId392" display="https://www.eia.gov/dnav/pet/hist/LeafHandler.ashx?n=PET&amp;s=MMSRPUS1&amp;f=A" xr:uid="{AD0B1573-2EB4-4813-8915-EDFF26563850}"/>
    <hyperlink ref="G62" r:id="rId393" display="https://www.eia.gov/dnav/pet/hist/LeafHandler.ashx?n=PET&amp;s=MMSIMUS1&amp;f=A" xr:uid="{5B248782-28F3-4DEC-BA57-00C231FFB0C2}"/>
    <hyperlink ref="J62" r:id="rId394" display="https://www.eia.gov/dnav/pet/hist/LeafHandler.ashx?n=PET&amp;s=MMSSCUS1&amp;f=A" xr:uid="{93B44302-0A87-48AD-9D2C-AAD0C211C525}"/>
    <hyperlink ref="L62" r:id="rId395" display="https://www.eia.gov/dnav/pet/hist/LeafHandler.ashx?n=PET&amp;s=MMSEXUS1&amp;f=A" xr:uid="{F6FC4F11-A22F-4536-84B9-CC9607A79086}"/>
    <hyperlink ref="M62" r:id="rId396" display="https://www.eia.gov/dnav/pet/hist/LeafHandler.ashx?n=PET&amp;s=MMSUPUS1&amp;f=A" xr:uid="{1290AF57-D5B5-4ED5-B4CF-8324E1A27A62}"/>
    <hyperlink ref="N62" r:id="rId397" display="https://www.eia.gov/dnav/pet/hist/LeafHandler.ashx?n=PET&amp;s=MMSSTUS1&amp;f=A" xr:uid="{A815AEA9-AE66-4659-971A-E1695660444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26"/>
  <sheetViews>
    <sheetView workbookViewId="0"/>
  </sheetViews>
  <sheetFormatPr defaultRowHeight="14.4"/>
  <cols>
    <col min="2" max="2" width="18" customWidth="1"/>
    <col min="3" max="3" width="29" customWidth="1"/>
    <col min="4" max="4" width="36" customWidth="1"/>
    <col min="5" max="5" width="22" customWidth="1"/>
    <col min="6" max="6" width="29.6640625" customWidth="1"/>
    <col min="10" max="10" width="29.88671875" bestFit="1" customWidth="1"/>
    <col min="11" max="11" width="18.109375" bestFit="1" customWidth="1"/>
  </cols>
  <sheetData>
    <row r="2" spans="1:8">
      <c r="A2" s="1" t="s">
        <v>474</v>
      </c>
    </row>
    <row r="3" spans="1:8">
      <c r="A3" t="s">
        <v>84</v>
      </c>
      <c r="B3" s="18" t="s">
        <v>85</v>
      </c>
      <c r="C3" s="18" t="s">
        <v>86</v>
      </c>
    </row>
    <row r="4" spans="1:8">
      <c r="A4">
        <v>1</v>
      </c>
      <c r="B4">
        <v>516492</v>
      </c>
      <c r="C4">
        <v>167.75</v>
      </c>
    </row>
    <row r="5" spans="1:8">
      <c r="A5">
        <v>2</v>
      </c>
      <c r="B5">
        <v>749693</v>
      </c>
      <c r="C5">
        <v>163.38999999999999</v>
      </c>
    </row>
    <row r="6" spans="1:8">
      <c r="A6">
        <v>3</v>
      </c>
      <c r="B6">
        <v>828225</v>
      </c>
      <c r="C6">
        <v>167.92</v>
      </c>
    </row>
    <row r="7" spans="1:8">
      <c r="A7">
        <v>4</v>
      </c>
      <c r="B7">
        <v>714829</v>
      </c>
      <c r="C7">
        <v>164.43</v>
      </c>
    </row>
    <row r="8" spans="1:8">
      <c r="A8">
        <v>5</v>
      </c>
      <c r="B8">
        <v>747809</v>
      </c>
      <c r="C8">
        <v>166.38</v>
      </c>
    </row>
    <row r="9" spans="1:8">
      <c r="A9">
        <v>6</v>
      </c>
      <c r="B9">
        <v>734710</v>
      </c>
      <c r="C9">
        <v>159.44</v>
      </c>
    </row>
    <row r="10" spans="1:8">
      <c r="A10">
        <v>7</v>
      </c>
      <c r="B10">
        <v>826189</v>
      </c>
      <c r="C10">
        <v>159.27000000000001</v>
      </c>
    </row>
    <row r="11" spans="1:8">
      <c r="A11">
        <v>8</v>
      </c>
      <c r="B11">
        <v>739552</v>
      </c>
      <c r="C11">
        <v>169.81</v>
      </c>
    </row>
    <row r="12" spans="1:8">
      <c r="A12">
        <v>9</v>
      </c>
      <c r="B12">
        <v>738479</v>
      </c>
      <c r="C12">
        <v>165.88</v>
      </c>
    </row>
    <row r="13" spans="1:8">
      <c r="A13">
        <v>10</v>
      </c>
      <c r="B13">
        <v>757813</v>
      </c>
      <c r="C13">
        <v>166.42</v>
      </c>
      <c r="F13" s="256"/>
      <c r="G13" s="257"/>
      <c r="H13" s="258"/>
    </row>
    <row r="14" spans="1:8">
      <c r="A14">
        <v>11</v>
      </c>
      <c r="B14">
        <v>738409</v>
      </c>
      <c r="C14">
        <v>171.17</v>
      </c>
    </row>
    <row r="15" spans="1:8">
      <c r="A15">
        <v>12</v>
      </c>
      <c r="B15">
        <v>779012</v>
      </c>
      <c r="C15">
        <v>172.44</v>
      </c>
    </row>
    <row r="17" spans="1:2">
      <c r="A17" s="1" t="s">
        <v>566</v>
      </c>
    </row>
    <row r="18" spans="1:2">
      <c r="A18" s="5">
        <v>13341865</v>
      </c>
      <c r="B18" t="s">
        <v>87</v>
      </c>
    </row>
    <row r="20" spans="1:2">
      <c r="A20" s="1" t="s">
        <v>88</v>
      </c>
    </row>
    <row r="21" spans="1:2">
      <c r="A21" s="5">
        <f>SUM(B4:B15)</f>
        <v>8871212</v>
      </c>
      <c r="B21" t="s">
        <v>87</v>
      </c>
    </row>
    <row r="23" spans="1:2">
      <c r="A23" t="s">
        <v>565</v>
      </c>
    </row>
    <row r="25" spans="1:2">
      <c r="A25" s="1" t="s">
        <v>91</v>
      </c>
    </row>
    <row r="26" spans="1:2">
      <c r="A26" s="19">
        <v>0</v>
      </c>
      <c r="B26"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workbookViewId="0"/>
  </sheetViews>
  <sheetFormatPr defaultRowHeight="14.4"/>
  <cols>
    <col min="1" max="1" width="10.5546875" customWidth="1"/>
    <col min="2" max="4" width="11.6640625" customWidth="1"/>
    <col min="5" max="5" width="23.33203125" customWidth="1"/>
  </cols>
  <sheetData>
    <row r="1" spans="1:6">
      <c r="A1" s="2" t="s">
        <v>100</v>
      </c>
      <c r="B1" s="7"/>
      <c r="C1" s="7"/>
      <c r="D1" s="7"/>
      <c r="E1" s="7"/>
      <c r="F1" s="7"/>
    </row>
    <row r="2" spans="1:6">
      <c r="B2" t="s">
        <v>96</v>
      </c>
      <c r="C2" t="s">
        <v>22</v>
      </c>
      <c r="D2" t="s">
        <v>27</v>
      </c>
      <c r="E2" t="s">
        <v>550</v>
      </c>
      <c r="F2" t="s">
        <v>89</v>
      </c>
    </row>
    <row r="3" spans="1:6">
      <c r="A3">
        <v>2024</v>
      </c>
      <c r="B3">
        <f>677/1000</f>
        <v>0.67700000000000005</v>
      </c>
      <c r="C3">
        <f>E3-B3</f>
        <v>55.222999999999999</v>
      </c>
      <c r="D3">
        <v>0</v>
      </c>
      <c r="E3">
        <v>55.9</v>
      </c>
      <c r="F3" t="s">
        <v>101</v>
      </c>
    </row>
    <row r="5" spans="1:6">
      <c r="A5" s="2" t="s">
        <v>132</v>
      </c>
      <c r="B5" s="7"/>
      <c r="C5" s="7"/>
      <c r="D5" s="7"/>
      <c r="E5" s="7"/>
    </row>
    <row r="6" spans="1:6">
      <c r="A6">
        <v>40.016958000000002</v>
      </c>
      <c r="B6" t="s">
        <v>562</v>
      </c>
      <c r="F6" t="s">
        <v>563</v>
      </c>
    </row>
    <row r="7" spans="1:6">
      <c r="A7">
        <v>512.54032400000006</v>
      </c>
      <c r="B7" t="s">
        <v>557</v>
      </c>
      <c r="F7" t="s">
        <v>556</v>
      </c>
    </row>
    <row r="8" spans="1:6">
      <c r="A8">
        <v>108.32638300000001</v>
      </c>
      <c r="B8" t="s">
        <v>560</v>
      </c>
      <c r="F8" t="s">
        <v>558</v>
      </c>
    </row>
    <row r="9" spans="1:6">
      <c r="A9">
        <v>1.997711</v>
      </c>
      <c r="B9" t="s">
        <v>561</v>
      </c>
      <c r="F9" t="s">
        <v>559</v>
      </c>
    </row>
    <row r="10" spans="1:6">
      <c r="A10" s="20" t="s">
        <v>133</v>
      </c>
    </row>
    <row r="12" spans="1:6">
      <c r="B12" t="s">
        <v>96</v>
      </c>
      <c r="C12" t="s">
        <v>22</v>
      </c>
      <c r="D12" t="s">
        <v>27</v>
      </c>
      <c r="E12" t="s">
        <v>89</v>
      </c>
    </row>
    <row r="13" spans="1:6">
      <c r="A13" t="s">
        <v>131</v>
      </c>
      <c r="B13" s="25">
        <f>A7*(1-A6/A7)</f>
        <v>472.52336600000007</v>
      </c>
      <c r="C13">
        <f>A9</f>
        <v>1.997711</v>
      </c>
      <c r="D13">
        <f>A8</f>
        <v>108.32638300000001</v>
      </c>
      <c r="E13" t="s">
        <v>102</v>
      </c>
    </row>
    <row r="14" spans="1:6">
      <c r="A14" t="s">
        <v>134</v>
      </c>
      <c r="B14" s="25">
        <f>A6</f>
        <v>40.016958000000002</v>
      </c>
      <c r="C14">
        <v>0</v>
      </c>
      <c r="D14">
        <v>0</v>
      </c>
      <c r="E14" t="s">
        <v>102</v>
      </c>
    </row>
    <row r="16" spans="1:6">
      <c r="A16" s="2" t="s">
        <v>135</v>
      </c>
      <c r="B16" s="7"/>
      <c r="C16" s="7"/>
      <c r="D16" s="7"/>
      <c r="E16" s="7"/>
    </row>
    <row r="17" spans="1:5">
      <c r="A17" s="1" t="s">
        <v>136</v>
      </c>
    </row>
    <row r="18" spans="1:5">
      <c r="A18" s="26">
        <v>292</v>
      </c>
      <c r="B18" t="s">
        <v>137</v>
      </c>
    </row>
    <row r="20" spans="1:5">
      <c r="A20" s="27" t="s">
        <v>138</v>
      </c>
    </row>
    <row r="21" spans="1:5">
      <c r="A21" t="s">
        <v>139</v>
      </c>
    </row>
    <row r="22" spans="1:5">
      <c r="A22" t="s">
        <v>145</v>
      </c>
    </row>
    <row r="23" spans="1:5">
      <c r="A23" s="3" t="s">
        <v>146</v>
      </c>
      <c r="D23" t="s">
        <v>144</v>
      </c>
    </row>
    <row r="24" spans="1:5">
      <c r="E24" s="4"/>
    </row>
    <row r="26" spans="1:5">
      <c r="A26" t="s">
        <v>140</v>
      </c>
    </row>
    <row r="27" spans="1:5">
      <c r="A27" t="s">
        <v>141</v>
      </c>
    </row>
    <row r="28" spans="1:5">
      <c r="A28" t="s">
        <v>142</v>
      </c>
    </row>
    <row r="30" spans="1:5">
      <c r="A30" s="2" t="s">
        <v>47</v>
      </c>
      <c r="B30" s="7"/>
      <c r="C30" s="7"/>
      <c r="D30" s="7"/>
      <c r="E30" s="7"/>
    </row>
    <row r="31" spans="1:5">
      <c r="A31">
        <f>5.51+0.23</f>
        <v>5.74</v>
      </c>
      <c r="B31" t="s">
        <v>143</v>
      </c>
    </row>
    <row r="32" spans="1:5">
      <c r="A32" t="s">
        <v>570</v>
      </c>
    </row>
    <row r="34" spans="1:1">
      <c r="A34" t="s">
        <v>147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40B6-5B91-427D-89DF-A32B25A66196}">
  <dimension ref="A1:BA2540"/>
  <sheetViews>
    <sheetView workbookViewId="0"/>
  </sheetViews>
  <sheetFormatPr defaultRowHeight="15" customHeight="1"/>
  <cols>
    <col min="1" max="1" width="30.44140625" customWidth="1"/>
    <col min="2" max="2" width="49" customWidth="1"/>
  </cols>
  <sheetData>
    <row r="1" spans="1:53" ht="15" customHeight="1" thickBot="1">
      <c r="A1" s="199"/>
      <c r="B1" s="210" t="s">
        <v>485</v>
      </c>
      <c r="C1" s="211">
        <v>2022</v>
      </c>
      <c r="D1" s="211">
        <v>2023</v>
      </c>
      <c r="E1" s="211">
        <v>2024</v>
      </c>
      <c r="F1" s="211">
        <v>2025</v>
      </c>
      <c r="G1" s="211">
        <v>2026</v>
      </c>
      <c r="H1" s="211">
        <v>2027</v>
      </c>
      <c r="I1" s="211">
        <v>2028</v>
      </c>
      <c r="J1" s="211">
        <v>2029</v>
      </c>
      <c r="K1" s="211">
        <v>2030</v>
      </c>
      <c r="L1" s="211">
        <v>2031</v>
      </c>
      <c r="M1" s="211">
        <v>2032</v>
      </c>
      <c r="N1" s="211">
        <v>2033</v>
      </c>
      <c r="O1" s="211">
        <v>2034</v>
      </c>
      <c r="P1" s="211">
        <v>2035</v>
      </c>
      <c r="Q1" s="211">
        <v>2036</v>
      </c>
      <c r="R1" s="211">
        <v>2037</v>
      </c>
      <c r="S1" s="211">
        <v>2038</v>
      </c>
      <c r="T1" s="211">
        <v>2039</v>
      </c>
      <c r="U1" s="211">
        <v>2040</v>
      </c>
      <c r="V1" s="211">
        <v>2041</v>
      </c>
      <c r="W1" s="211">
        <v>2042</v>
      </c>
      <c r="X1" s="211">
        <v>2043</v>
      </c>
      <c r="Y1" s="211">
        <v>2044</v>
      </c>
      <c r="Z1" s="211">
        <v>2045</v>
      </c>
      <c r="AA1" s="211">
        <v>2046</v>
      </c>
      <c r="AB1" s="211">
        <v>2047</v>
      </c>
      <c r="AC1" s="211">
        <v>2048</v>
      </c>
      <c r="AD1" s="211">
        <v>2049</v>
      </c>
      <c r="AE1" s="211">
        <v>2050</v>
      </c>
      <c r="AF1" s="199"/>
      <c r="AG1" s="199"/>
      <c r="AH1" s="199"/>
      <c r="AI1" s="199"/>
      <c r="AJ1" s="199"/>
      <c r="AK1" s="199"/>
      <c r="AL1" s="199"/>
      <c r="AM1" s="199"/>
      <c r="AN1" s="199"/>
      <c r="AO1" s="199"/>
      <c r="AP1" s="199"/>
      <c r="AQ1" s="199"/>
      <c r="AR1" s="199"/>
      <c r="AS1" s="199"/>
      <c r="AT1" s="199"/>
      <c r="AU1" s="199"/>
      <c r="AV1" s="199"/>
      <c r="AW1" s="199"/>
      <c r="AX1" s="199"/>
      <c r="AY1" s="199"/>
      <c r="AZ1" s="199"/>
      <c r="BA1" s="199"/>
    </row>
    <row r="2" spans="1:53" ht="15" customHeight="1" thickTop="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row>
    <row r="3" spans="1:53" ht="15" customHeight="1">
      <c r="A3" s="199"/>
      <c r="B3" s="199"/>
      <c r="C3" s="207" t="s">
        <v>92</v>
      </c>
      <c r="D3" s="207" t="s">
        <v>486</v>
      </c>
      <c r="E3" s="203"/>
      <c r="F3" s="203"/>
      <c r="G3" s="203"/>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row>
    <row r="4" spans="1:53" ht="15" customHeight="1">
      <c r="A4" s="199"/>
      <c r="B4" s="199"/>
      <c r="C4" s="207" t="s">
        <v>93</v>
      </c>
      <c r="D4" s="207" t="s">
        <v>487</v>
      </c>
      <c r="E4" s="203"/>
      <c r="F4" s="203"/>
      <c r="G4" s="207" t="s">
        <v>479</v>
      </c>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row>
    <row r="5" spans="1:53" ht="15" customHeight="1">
      <c r="A5" s="199"/>
      <c r="B5" s="199"/>
      <c r="C5" s="207" t="s">
        <v>94</v>
      </c>
      <c r="D5" s="207" t="s">
        <v>488</v>
      </c>
      <c r="E5" s="203"/>
      <c r="F5" s="203"/>
      <c r="G5" s="203"/>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row>
    <row r="6" spans="1:53" ht="15" customHeight="1">
      <c r="A6" s="199"/>
      <c r="B6" s="199"/>
      <c r="C6" s="207" t="s">
        <v>95</v>
      </c>
      <c r="D6" s="203"/>
      <c r="E6" s="207" t="s">
        <v>489</v>
      </c>
      <c r="F6" s="203"/>
      <c r="G6" s="203"/>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row>
    <row r="7" spans="1:53" ht="15" customHeight="1">
      <c r="A7" s="199"/>
      <c r="B7" s="199"/>
      <c r="C7" s="199"/>
      <c r="D7" s="199"/>
      <c r="E7" s="199"/>
      <c r="F7" s="199"/>
      <c r="G7" s="199"/>
      <c r="H7" s="199"/>
      <c r="I7" s="199"/>
      <c r="J7" s="199"/>
      <c r="K7" s="199"/>
      <c r="L7" s="1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row>
    <row r="8" spans="1:53" ht="15" customHeight="1">
      <c r="A8" s="199"/>
      <c r="B8" s="199"/>
      <c r="C8" s="199"/>
      <c r="D8" s="199"/>
      <c r="E8" s="199"/>
      <c r="F8" s="199"/>
      <c r="G8" s="199"/>
      <c r="H8" s="199"/>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199"/>
      <c r="AY8" s="199"/>
      <c r="AZ8" s="199"/>
      <c r="BA8" s="199"/>
    </row>
    <row r="9" spans="1:53" ht="15" customHeight="1">
      <c r="A9" s="199"/>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row>
    <row r="10" spans="1:53" ht="15" customHeight="1">
      <c r="A10" s="201" t="s">
        <v>170</v>
      </c>
      <c r="B10" s="212" t="s">
        <v>480</v>
      </c>
      <c r="C10" s="200"/>
      <c r="D10" s="200"/>
      <c r="E10" s="200"/>
      <c r="F10" s="200"/>
      <c r="G10" s="200"/>
      <c r="H10" s="200"/>
      <c r="I10" s="200"/>
      <c r="J10" s="200"/>
      <c r="K10" s="200"/>
      <c r="L10" s="200"/>
      <c r="M10" s="200"/>
      <c r="N10" s="200"/>
      <c r="O10" s="200"/>
      <c r="P10" s="200"/>
      <c r="Q10" s="200"/>
      <c r="R10" s="200"/>
      <c r="S10" s="200"/>
      <c r="T10" s="200"/>
      <c r="U10" s="200"/>
      <c r="V10" s="200"/>
      <c r="W10" s="200"/>
      <c r="X10" s="200"/>
      <c r="Y10" s="200"/>
      <c r="Z10" s="200"/>
      <c r="AA10" s="200"/>
      <c r="AB10" s="200"/>
      <c r="AC10" s="200"/>
      <c r="AD10" s="200"/>
      <c r="AE10" s="200"/>
      <c r="AF10" s="202" t="s">
        <v>477</v>
      </c>
      <c r="AG10" s="200"/>
      <c r="AH10" s="200"/>
      <c r="AI10" s="200"/>
      <c r="AJ10" s="200"/>
      <c r="AK10" s="200"/>
      <c r="AL10" s="200"/>
      <c r="AM10" s="200"/>
      <c r="AN10" s="200"/>
      <c r="AO10" s="200"/>
      <c r="AP10" s="200"/>
      <c r="AQ10" s="200"/>
      <c r="AR10" s="200"/>
      <c r="AS10" s="200"/>
      <c r="AT10" s="200"/>
      <c r="AU10" s="200"/>
      <c r="AV10" s="200"/>
      <c r="AW10" s="200"/>
      <c r="AX10" s="200"/>
      <c r="AY10" s="200"/>
      <c r="AZ10" s="200"/>
      <c r="BA10" s="200"/>
    </row>
    <row r="11" spans="1:53" ht="15" customHeight="1">
      <c r="A11" s="201" t="s">
        <v>172</v>
      </c>
      <c r="B11" s="213" t="s">
        <v>149</v>
      </c>
      <c r="C11" s="200"/>
      <c r="D11" s="200"/>
      <c r="E11" s="200"/>
      <c r="F11" s="200"/>
      <c r="G11" s="200"/>
      <c r="H11" s="200"/>
      <c r="I11" s="200"/>
      <c r="J11" s="200"/>
      <c r="K11" s="200"/>
      <c r="L11" s="200"/>
      <c r="M11" s="200"/>
      <c r="N11" s="200"/>
      <c r="O11" s="200"/>
      <c r="P11" s="200"/>
      <c r="Q11" s="200"/>
      <c r="R11" s="200"/>
      <c r="S11" s="200"/>
      <c r="T11" s="200"/>
      <c r="U11" s="200"/>
      <c r="V11" s="200"/>
      <c r="W11" s="200"/>
      <c r="X11" s="200"/>
      <c r="Y11" s="200"/>
      <c r="Z11" s="200"/>
      <c r="AA11" s="200"/>
      <c r="AB11" s="200"/>
      <c r="AC11" s="200"/>
      <c r="AD11" s="200"/>
      <c r="AE11" s="200"/>
      <c r="AF11" s="202" t="s">
        <v>476</v>
      </c>
      <c r="AG11" s="200"/>
      <c r="AH11" s="200"/>
      <c r="AI11" s="200"/>
      <c r="AJ11" s="200"/>
      <c r="AK11" s="200"/>
      <c r="AL11" s="200"/>
      <c r="AM11" s="200"/>
      <c r="AN11" s="200"/>
      <c r="AO11" s="200"/>
      <c r="AP11" s="200"/>
      <c r="AQ11" s="200"/>
      <c r="AR11" s="200"/>
      <c r="AS11" s="200"/>
      <c r="AT11" s="200"/>
      <c r="AU11" s="200"/>
      <c r="AV11" s="200"/>
      <c r="AW11" s="200"/>
      <c r="AX11" s="200"/>
      <c r="AY11" s="200"/>
      <c r="AZ11" s="200"/>
      <c r="BA11" s="200"/>
    </row>
    <row r="12" spans="1:53" ht="15" customHeight="1">
      <c r="A12" s="201" t="s">
        <v>174</v>
      </c>
      <c r="B12" s="213"/>
      <c r="C12" s="209"/>
      <c r="D12" s="209"/>
      <c r="E12" s="209"/>
      <c r="F12" s="209"/>
      <c r="G12" s="209"/>
      <c r="H12" s="209"/>
      <c r="I12" s="209"/>
      <c r="J12" s="209"/>
      <c r="K12" s="209"/>
      <c r="L12" s="209"/>
      <c r="M12" s="209"/>
      <c r="N12" s="209"/>
      <c r="O12" s="209"/>
      <c r="P12" s="209"/>
      <c r="Q12" s="209"/>
      <c r="R12" s="209"/>
      <c r="S12" s="209"/>
      <c r="T12" s="209"/>
      <c r="U12" s="209"/>
      <c r="V12" s="209"/>
      <c r="W12" s="209"/>
      <c r="X12" s="209"/>
      <c r="Y12" s="209"/>
      <c r="Z12" s="209"/>
      <c r="AA12" s="209"/>
      <c r="AB12" s="209"/>
      <c r="AC12" s="209"/>
      <c r="AD12" s="209"/>
      <c r="AE12" s="209"/>
      <c r="AF12" s="202" t="s">
        <v>490</v>
      </c>
      <c r="AG12" s="200"/>
      <c r="AH12" s="200"/>
      <c r="AI12" s="200"/>
      <c r="AJ12" s="200"/>
      <c r="AK12" s="200"/>
      <c r="AL12" s="200"/>
      <c r="AM12" s="200"/>
      <c r="AN12" s="200"/>
      <c r="AO12" s="200"/>
      <c r="AP12" s="200"/>
      <c r="AQ12" s="200"/>
      <c r="AR12" s="200"/>
      <c r="AS12" s="200"/>
      <c r="AT12" s="200"/>
      <c r="AU12" s="200"/>
      <c r="AV12" s="200"/>
      <c r="AW12" s="200"/>
      <c r="AX12" s="200"/>
      <c r="AY12" s="200"/>
      <c r="AZ12" s="200"/>
      <c r="BA12" s="200"/>
    </row>
    <row r="13" spans="1:53" ht="15" customHeight="1" thickBot="1">
      <c r="A13" s="201" t="s">
        <v>176</v>
      </c>
      <c r="B13" s="214"/>
      <c r="C13" s="214">
        <v>2022</v>
      </c>
      <c r="D13" s="214">
        <v>2023</v>
      </c>
      <c r="E13" s="214">
        <v>2024</v>
      </c>
      <c r="F13" s="214">
        <v>2025</v>
      </c>
      <c r="G13" s="214">
        <v>2026</v>
      </c>
      <c r="H13" s="214">
        <v>2027</v>
      </c>
      <c r="I13" s="214">
        <v>2028</v>
      </c>
      <c r="J13" s="214">
        <v>2029</v>
      </c>
      <c r="K13" s="214">
        <v>2030</v>
      </c>
      <c r="L13" s="214">
        <v>2031</v>
      </c>
      <c r="M13" s="214">
        <v>2032</v>
      </c>
      <c r="N13" s="214">
        <v>2033</v>
      </c>
      <c r="O13" s="214">
        <v>2034</v>
      </c>
      <c r="P13" s="214">
        <v>2035</v>
      </c>
      <c r="Q13" s="214">
        <v>2036</v>
      </c>
      <c r="R13" s="214">
        <v>2037</v>
      </c>
      <c r="S13" s="214">
        <v>2038</v>
      </c>
      <c r="T13" s="214">
        <v>2039</v>
      </c>
      <c r="U13" s="214">
        <v>2040</v>
      </c>
      <c r="V13" s="214">
        <v>2041</v>
      </c>
      <c r="W13" s="214">
        <v>2042</v>
      </c>
      <c r="X13" s="214">
        <v>2043</v>
      </c>
      <c r="Y13" s="214">
        <v>2044</v>
      </c>
      <c r="Z13" s="214">
        <v>2045</v>
      </c>
      <c r="AA13" s="214">
        <v>2046</v>
      </c>
      <c r="AB13" s="214">
        <v>2047</v>
      </c>
      <c r="AC13" s="214">
        <v>2048</v>
      </c>
      <c r="AD13" s="214">
        <v>2049</v>
      </c>
      <c r="AE13" s="214">
        <v>2050</v>
      </c>
      <c r="AF13" s="215">
        <v>2050</v>
      </c>
      <c r="AG13" s="200"/>
      <c r="AH13" s="200"/>
      <c r="AI13" s="200"/>
      <c r="AJ13" s="200"/>
      <c r="AK13" s="200"/>
      <c r="AL13" s="200"/>
      <c r="AM13" s="200"/>
      <c r="AN13" s="200"/>
      <c r="AO13" s="200"/>
      <c r="AP13" s="200"/>
      <c r="AQ13" s="200"/>
      <c r="AR13" s="200"/>
      <c r="AS13" s="200"/>
      <c r="AT13" s="200"/>
      <c r="AU13" s="200"/>
      <c r="AV13" s="200"/>
      <c r="AW13" s="200"/>
      <c r="AX13" s="200"/>
      <c r="AY13" s="200"/>
      <c r="AZ13" s="200"/>
      <c r="BA13" s="200"/>
    </row>
    <row r="14" spans="1:53" ht="15" customHeight="1" thickTop="1">
      <c r="A14" s="201" t="s">
        <v>178</v>
      </c>
      <c r="B14" s="216" t="s">
        <v>150</v>
      </c>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row>
    <row r="15" spans="1:53" ht="15" customHeight="1">
      <c r="A15" s="201" t="s">
        <v>180</v>
      </c>
      <c r="B15" s="216" t="s">
        <v>151</v>
      </c>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row>
    <row r="16" spans="1:53" ht="15" customHeight="1">
      <c r="A16" s="201" t="s">
        <v>182</v>
      </c>
      <c r="B16" s="217" t="s">
        <v>152</v>
      </c>
      <c r="C16" s="222">
        <v>6.6360000000000001</v>
      </c>
      <c r="D16" s="222">
        <v>6.6360000000000001</v>
      </c>
      <c r="E16" s="222">
        <v>6.6360000000000001</v>
      </c>
      <c r="F16" s="222">
        <v>6.6360000000000001</v>
      </c>
      <c r="G16" s="222">
        <v>6.6360000000000001</v>
      </c>
      <c r="H16" s="222">
        <v>6.6360000000000001</v>
      </c>
      <c r="I16" s="222">
        <v>6.6360000000000001</v>
      </c>
      <c r="J16" s="222">
        <v>6.6360000000000001</v>
      </c>
      <c r="K16" s="222">
        <v>6.6360000000000001</v>
      </c>
      <c r="L16" s="222">
        <v>6.6360000000000001</v>
      </c>
      <c r="M16" s="222">
        <v>6.6360000000000001</v>
      </c>
      <c r="N16" s="222">
        <v>6.6360000000000001</v>
      </c>
      <c r="O16" s="222">
        <v>6.6360000000000001</v>
      </c>
      <c r="P16" s="222">
        <v>6.6360000000000001</v>
      </c>
      <c r="Q16" s="222">
        <v>6.6360000000000001</v>
      </c>
      <c r="R16" s="222">
        <v>6.6360000000000001</v>
      </c>
      <c r="S16" s="222">
        <v>6.6360000000000001</v>
      </c>
      <c r="T16" s="222">
        <v>6.6360000000000001</v>
      </c>
      <c r="U16" s="222">
        <v>6.6360000000000001</v>
      </c>
      <c r="V16" s="222">
        <v>6.6360000000000001</v>
      </c>
      <c r="W16" s="222">
        <v>6.6360000000000001</v>
      </c>
      <c r="X16" s="222">
        <v>6.6360000000000001</v>
      </c>
      <c r="Y16" s="222">
        <v>6.6360000000000001</v>
      </c>
      <c r="Z16" s="222">
        <v>6.6360000000000001</v>
      </c>
      <c r="AA16" s="222">
        <v>6.6360000000000001</v>
      </c>
      <c r="AB16" s="222">
        <v>6.6360000000000001</v>
      </c>
      <c r="AC16" s="222">
        <v>6.6360000000000001</v>
      </c>
      <c r="AD16" s="222">
        <v>6.6360000000000001</v>
      </c>
      <c r="AE16" s="222">
        <v>6.6360000000000001</v>
      </c>
      <c r="AF16" s="219">
        <v>0</v>
      </c>
      <c r="AG16" s="200"/>
      <c r="AH16" s="200"/>
      <c r="AI16" s="200"/>
      <c r="AJ16" s="200"/>
      <c r="AK16" s="200"/>
      <c r="AL16" s="200"/>
      <c r="AM16" s="200"/>
      <c r="AN16" s="200"/>
      <c r="AO16" s="200"/>
      <c r="AP16" s="200"/>
      <c r="AQ16" s="200"/>
      <c r="AR16" s="200"/>
      <c r="AS16" s="200"/>
      <c r="AT16" s="200"/>
      <c r="AU16" s="200"/>
      <c r="AV16" s="200"/>
      <c r="AW16" s="200"/>
      <c r="AX16" s="200"/>
      <c r="AY16" s="200"/>
      <c r="AZ16" s="200"/>
      <c r="BA16" s="200"/>
    </row>
    <row r="17" spans="1:53" ht="15" customHeight="1">
      <c r="A17" s="201" t="s">
        <v>184</v>
      </c>
      <c r="B17" s="217" t="s">
        <v>153</v>
      </c>
      <c r="C17" s="222">
        <v>5.048</v>
      </c>
      <c r="D17" s="222">
        <v>5.048</v>
      </c>
      <c r="E17" s="222">
        <v>5.048</v>
      </c>
      <c r="F17" s="222">
        <v>5.048</v>
      </c>
      <c r="G17" s="222">
        <v>5.048</v>
      </c>
      <c r="H17" s="222">
        <v>5.048</v>
      </c>
      <c r="I17" s="222">
        <v>5.048</v>
      </c>
      <c r="J17" s="222">
        <v>5.048</v>
      </c>
      <c r="K17" s="222">
        <v>5.048</v>
      </c>
      <c r="L17" s="222">
        <v>5.048</v>
      </c>
      <c r="M17" s="222">
        <v>5.048</v>
      </c>
      <c r="N17" s="222">
        <v>5.048</v>
      </c>
      <c r="O17" s="222">
        <v>5.048</v>
      </c>
      <c r="P17" s="222">
        <v>5.048</v>
      </c>
      <c r="Q17" s="222">
        <v>5.048</v>
      </c>
      <c r="R17" s="222">
        <v>5.048</v>
      </c>
      <c r="S17" s="222">
        <v>5.048</v>
      </c>
      <c r="T17" s="222">
        <v>5.048</v>
      </c>
      <c r="U17" s="222">
        <v>5.048</v>
      </c>
      <c r="V17" s="222">
        <v>5.048</v>
      </c>
      <c r="W17" s="222">
        <v>5.048</v>
      </c>
      <c r="X17" s="222">
        <v>5.048</v>
      </c>
      <c r="Y17" s="222">
        <v>5.048</v>
      </c>
      <c r="Z17" s="222">
        <v>5.048</v>
      </c>
      <c r="AA17" s="222">
        <v>5.048</v>
      </c>
      <c r="AB17" s="222">
        <v>5.048</v>
      </c>
      <c r="AC17" s="222">
        <v>5.048</v>
      </c>
      <c r="AD17" s="222">
        <v>5.048</v>
      </c>
      <c r="AE17" s="222">
        <v>5.048</v>
      </c>
      <c r="AF17" s="219">
        <v>0</v>
      </c>
      <c r="AG17" s="200"/>
      <c r="AH17" s="200"/>
      <c r="AI17" s="200"/>
      <c r="AJ17" s="200"/>
      <c r="AK17" s="200"/>
      <c r="AL17" s="200"/>
      <c r="AM17" s="200"/>
      <c r="AN17" s="200"/>
      <c r="AO17" s="200"/>
      <c r="AP17" s="200"/>
      <c r="AQ17" s="200"/>
      <c r="AR17" s="200"/>
      <c r="AS17" s="200"/>
      <c r="AT17" s="200"/>
      <c r="AU17" s="200"/>
      <c r="AV17" s="200"/>
      <c r="AW17" s="200"/>
      <c r="AX17" s="200"/>
      <c r="AY17" s="200"/>
      <c r="AZ17" s="200"/>
      <c r="BA17" s="200"/>
    </row>
    <row r="18" spans="1:53" ht="15" customHeight="1">
      <c r="A18" s="201" t="s">
        <v>186</v>
      </c>
      <c r="B18" s="217" t="s">
        <v>154</v>
      </c>
      <c r="C18" s="222">
        <v>5.359</v>
      </c>
      <c r="D18" s="222">
        <v>5.359</v>
      </c>
      <c r="E18" s="222">
        <v>5.359</v>
      </c>
      <c r="F18" s="222">
        <v>5.359</v>
      </c>
      <c r="G18" s="222">
        <v>5.359</v>
      </c>
      <c r="H18" s="222">
        <v>5.359</v>
      </c>
      <c r="I18" s="222">
        <v>5.359</v>
      </c>
      <c r="J18" s="222">
        <v>5.359</v>
      </c>
      <c r="K18" s="222">
        <v>5.359</v>
      </c>
      <c r="L18" s="222">
        <v>5.359</v>
      </c>
      <c r="M18" s="222">
        <v>5.359</v>
      </c>
      <c r="N18" s="222">
        <v>5.359</v>
      </c>
      <c r="O18" s="222">
        <v>5.359</v>
      </c>
      <c r="P18" s="222">
        <v>5.359</v>
      </c>
      <c r="Q18" s="222">
        <v>5.359</v>
      </c>
      <c r="R18" s="222">
        <v>5.359</v>
      </c>
      <c r="S18" s="222">
        <v>5.359</v>
      </c>
      <c r="T18" s="222">
        <v>5.359</v>
      </c>
      <c r="U18" s="222">
        <v>5.359</v>
      </c>
      <c r="V18" s="222">
        <v>5.359</v>
      </c>
      <c r="W18" s="222">
        <v>5.359</v>
      </c>
      <c r="X18" s="222">
        <v>5.359</v>
      </c>
      <c r="Y18" s="222">
        <v>5.359</v>
      </c>
      <c r="Z18" s="222">
        <v>5.359</v>
      </c>
      <c r="AA18" s="222">
        <v>5.359</v>
      </c>
      <c r="AB18" s="222">
        <v>5.359</v>
      </c>
      <c r="AC18" s="222">
        <v>5.359</v>
      </c>
      <c r="AD18" s="222">
        <v>5.359</v>
      </c>
      <c r="AE18" s="222">
        <v>5.359</v>
      </c>
      <c r="AF18" s="219">
        <v>0</v>
      </c>
      <c r="AG18" s="200"/>
      <c r="AH18" s="200"/>
      <c r="AI18" s="200"/>
      <c r="AJ18" s="200"/>
      <c r="AK18" s="200"/>
      <c r="AL18" s="200"/>
      <c r="AM18" s="200"/>
      <c r="AN18" s="200"/>
      <c r="AO18" s="200"/>
      <c r="AP18" s="200"/>
      <c r="AQ18" s="200"/>
      <c r="AR18" s="200"/>
      <c r="AS18" s="200"/>
      <c r="AT18" s="200"/>
      <c r="AU18" s="200"/>
      <c r="AV18" s="200"/>
      <c r="AW18" s="200"/>
      <c r="AX18" s="200"/>
      <c r="AY18" s="200"/>
      <c r="AZ18" s="200"/>
      <c r="BA18" s="200"/>
    </row>
    <row r="19" spans="1:53" ht="15" customHeight="1">
      <c r="A19" s="201" t="s">
        <v>188</v>
      </c>
      <c r="B19" s="217" t="s">
        <v>155</v>
      </c>
      <c r="C19" s="222">
        <v>5.8250000000000002</v>
      </c>
      <c r="D19" s="222">
        <v>5.8250000000000002</v>
      </c>
      <c r="E19" s="222">
        <v>5.8250000000000002</v>
      </c>
      <c r="F19" s="222">
        <v>5.8250000000000002</v>
      </c>
      <c r="G19" s="222">
        <v>5.8250000000000002</v>
      </c>
      <c r="H19" s="222">
        <v>5.8250000000000002</v>
      </c>
      <c r="I19" s="222">
        <v>5.8250000000000002</v>
      </c>
      <c r="J19" s="222">
        <v>5.8250000000000002</v>
      </c>
      <c r="K19" s="222">
        <v>5.8250000000000002</v>
      </c>
      <c r="L19" s="222">
        <v>5.8250000000000002</v>
      </c>
      <c r="M19" s="222">
        <v>5.8250000000000002</v>
      </c>
      <c r="N19" s="222">
        <v>5.8250000000000002</v>
      </c>
      <c r="O19" s="222">
        <v>5.8250000000000002</v>
      </c>
      <c r="P19" s="222">
        <v>5.8250000000000002</v>
      </c>
      <c r="Q19" s="222">
        <v>5.8250000000000002</v>
      </c>
      <c r="R19" s="222">
        <v>5.8250000000000002</v>
      </c>
      <c r="S19" s="222">
        <v>5.8250000000000002</v>
      </c>
      <c r="T19" s="222">
        <v>5.8250000000000002</v>
      </c>
      <c r="U19" s="222">
        <v>5.8250000000000002</v>
      </c>
      <c r="V19" s="222">
        <v>5.8250000000000002</v>
      </c>
      <c r="W19" s="222">
        <v>5.8250000000000002</v>
      </c>
      <c r="X19" s="222">
        <v>5.8250000000000002</v>
      </c>
      <c r="Y19" s="222">
        <v>5.8250000000000002</v>
      </c>
      <c r="Z19" s="222">
        <v>5.8250000000000002</v>
      </c>
      <c r="AA19" s="222">
        <v>5.8250000000000002</v>
      </c>
      <c r="AB19" s="222">
        <v>5.8250000000000002</v>
      </c>
      <c r="AC19" s="222">
        <v>5.8250000000000002</v>
      </c>
      <c r="AD19" s="222">
        <v>5.8250000000000002</v>
      </c>
      <c r="AE19" s="222">
        <v>5.8250000000000002</v>
      </c>
      <c r="AF19" s="219">
        <v>0</v>
      </c>
      <c r="AG19" s="200"/>
      <c r="AH19" s="200"/>
      <c r="AI19" s="200"/>
      <c r="AJ19" s="200"/>
      <c r="AK19" s="200"/>
      <c r="AL19" s="200"/>
      <c r="AM19" s="200"/>
      <c r="AN19" s="200"/>
      <c r="AO19" s="200"/>
      <c r="AP19" s="200"/>
      <c r="AQ19" s="200"/>
      <c r="AR19" s="200"/>
      <c r="AS19" s="200"/>
      <c r="AT19" s="200"/>
      <c r="AU19" s="200"/>
      <c r="AV19" s="200"/>
      <c r="AW19" s="200"/>
      <c r="AX19" s="200"/>
      <c r="AY19" s="200"/>
      <c r="AZ19" s="200"/>
      <c r="BA19" s="200"/>
    </row>
    <row r="20" spans="1:53" ht="15" customHeight="1">
      <c r="A20" s="201" t="s">
        <v>190</v>
      </c>
      <c r="B20" s="217" t="s">
        <v>156</v>
      </c>
      <c r="C20" s="222">
        <v>5.7756210000000001</v>
      </c>
      <c r="D20" s="222">
        <v>5.7756480000000003</v>
      </c>
      <c r="E20" s="222">
        <v>5.7760829999999999</v>
      </c>
      <c r="F20" s="222">
        <v>5.7760619999999996</v>
      </c>
      <c r="G20" s="222">
        <v>5.7764670000000002</v>
      </c>
      <c r="H20" s="222">
        <v>5.7772180000000004</v>
      </c>
      <c r="I20" s="222">
        <v>5.776948</v>
      </c>
      <c r="J20" s="222">
        <v>5.7769529999999998</v>
      </c>
      <c r="K20" s="222">
        <v>5.7767980000000003</v>
      </c>
      <c r="L20" s="222">
        <v>5.7769740000000001</v>
      </c>
      <c r="M20" s="222">
        <v>5.7768980000000001</v>
      </c>
      <c r="N20" s="222">
        <v>5.7770099999999998</v>
      </c>
      <c r="O20" s="222">
        <v>5.7768050000000004</v>
      </c>
      <c r="P20" s="222">
        <v>5.7769560000000002</v>
      </c>
      <c r="Q20" s="222">
        <v>5.7768389999999998</v>
      </c>
      <c r="R20" s="222">
        <v>5.7768620000000004</v>
      </c>
      <c r="S20" s="222">
        <v>5.7767480000000004</v>
      </c>
      <c r="T20" s="222">
        <v>5.7767109999999997</v>
      </c>
      <c r="U20" s="222">
        <v>5.7766539999999997</v>
      </c>
      <c r="V20" s="222">
        <v>5.7766140000000004</v>
      </c>
      <c r="W20" s="222">
        <v>5.7766320000000002</v>
      </c>
      <c r="X20" s="222">
        <v>5.7766310000000001</v>
      </c>
      <c r="Y20" s="222">
        <v>5.7765519999999997</v>
      </c>
      <c r="Z20" s="222">
        <v>5.7765940000000002</v>
      </c>
      <c r="AA20" s="222">
        <v>5.7764090000000001</v>
      </c>
      <c r="AB20" s="222">
        <v>5.7762830000000003</v>
      </c>
      <c r="AC20" s="222">
        <v>5.7763799999999996</v>
      </c>
      <c r="AD20" s="222">
        <v>5.7763859999999996</v>
      </c>
      <c r="AE20" s="222">
        <v>5.7762339999999996</v>
      </c>
      <c r="AF20" s="219">
        <v>3.9999999999999998E-6</v>
      </c>
      <c r="AG20" s="200"/>
      <c r="AH20" s="200"/>
      <c r="AI20" s="200"/>
      <c r="AJ20" s="200"/>
      <c r="AK20" s="200"/>
      <c r="AL20" s="200"/>
      <c r="AM20" s="200"/>
      <c r="AN20" s="200"/>
      <c r="AO20" s="200"/>
      <c r="AP20" s="200"/>
      <c r="AQ20" s="200"/>
      <c r="AR20" s="200"/>
      <c r="AS20" s="200"/>
      <c r="AT20" s="200"/>
      <c r="AU20" s="200"/>
      <c r="AV20" s="200"/>
      <c r="AW20" s="200"/>
      <c r="AX20" s="200"/>
      <c r="AY20" s="200"/>
      <c r="AZ20" s="200"/>
      <c r="BA20" s="200"/>
    </row>
    <row r="21" spans="1:53" ht="15" customHeight="1">
      <c r="A21" s="201" t="s">
        <v>192</v>
      </c>
      <c r="B21" s="217" t="s">
        <v>157</v>
      </c>
      <c r="C21" s="222">
        <v>5.7756210000000001</v>
      </c>
      <c r="D21" s="222">
        <v>5.7756480000000003</v>
      </c>
      <c r="E21" s="222">
        <v>5.7760829999999999</v>
      </c>
      <c r="F21" s="222">
        <v>5.7760619999999996</v>
      </c>
      <c r="G21" s="222">
        <v>5.7764670000000002</v>
      </c>
      <c r="H21" s="222">
        <v>5.7772180000000004</v>
      </c>
      <c r="I21" s="222">
        <v>5.776948</v>
      </c>
      <c r="J21" s="222">
        <v>5.7769529999999998</v>
      </c>
      <c r="K21" s="222">
        <v>5.7767980000000003</v>
      </c>
      <c r="L21" s="222">
        <v>5.7769740000000001</v>
      </c>
      <c r="M21" s="222">
        <v>5.7768980000000001</v>
      </c>
      <c r="N21" s="222">
        <v>5.7770099999999998</v>
      </c>
      <c r="O21" s="222">
        <v>5.7768050000000004</v>
      </c>
      <c r="P21" s="222">
        <v>5.7769560000000002</v>
      </c>
      <c r="Q21" s="222">
        <v>5.7768389999999998</v>
      </c>
      <c r="R21" s="222">
        <v>5.7768620000000004</v>
      </c>
      <c r="S21" s="222">
        <v>5.7767480000000004</v>
      </c>
      <c r="T21" s="222">
        <v>5.7767109999999997</v>
      </c>
      <c r="U21" s="222">
        <v>5.7766539999999997</v>
      </c>
      <c r="V21" s="222">
        <v>5.7766140000000004</v>
      </c>
      <c r="W21" s="222">
        <v>5.7766320000000002</v>
      </c>
      <c r="X21" s="222">
        <v>5.7766310000000001</v>
      </c>
      <c r="Y21" s="222">
        <v>5.7765519999999997</v>
      </c>
      <c r="Z21" s="222">
        <v>5.7765940000000002</v>
      </c>
      <c r="AA21" s="222">
        <v>5.7764090000000001</v>
      </c>
      <c r="AB21" s="222">
        <v>5.7762830000000003</v>
      </c>
      <c r="AC21" s="222">
        <v>5.7763799999999996</v>
      </c>
      <c r="AD21" s="222">
        <v>5.7763859999999996</v>
      </c>
      <c r="AE21" s="222">
        <v>5.7762339999999996</v>
      </c>
      <c r="AF21" s="219">
        <v>3.9999999999999998E-6</v>
      </c>
      <c r="AG21" s="200"/>
      <c r="AH21" s="200"/>
      <c r="AI21" s="200"/>
      <c r="AJ21" s="200"/>
      <c r="AK21" s="200"/>
      <c r="AL21" s="200"/>
      <c r="AM21" s="200"/>
      <c r="AN21" s="200"/>
      <c r="AO21" s="200"/>
      <c r="AP21" s="200"/>
      <c r="AQ21" s="200"/>
      <c r="AR21" s="200"/>
      <c r="AS21" s="200"/>
      <c r="AT21" s="200"/>
      <c r="AU21" s="200"/>
      <c r="AV21" s="200"/>
      <c r="AW21" s="200"/>
      <c r="AX21" s="200"/>
      <c r="AY21" s="200"/>
      <c r="AZ21" s="200"/>
      <c r="BA21" s="200"/>
    </row>
    <row r="22" spans="1:53" ht="15" customHeight="1">
      <c r="A22" s="199"/>
      <c r="B22" s="217" t="s">
        <v>158</v>
      </c>
      <c r="C22" s="222">
        <v>5.7756210000000001</v>
      </c>
      <c r="D22" s="222">
        <v>5.7756480000000003</v>
      </c>
      <c r="E22" s="222">
        <v>5.7760829999999999</v>
      </c>
      <c r="F22" s="222">
        <v>5.7760619999999996</v>
      </c>
      <c r="G22" s="222">
        <v>5.7764670000000002</v>
      </c>
      <c r="H22" s="222">
        <v>5.7772180000000004</v>
      </c>
      <c r="I22" s="222">
        <v>5.776948</v>
      </c>
      <c r="J22" s="222">
        <v>5.7769529999999998</v>
      </c>
      <c r="K22" s="222">
        <v>5.7767980000000003</v>
      </c>
      <c r="L22" s="222">
        <v>5.7769740000000001</v>
      </c>
      <c r="M22" s="222">
        <v>5.7768980000000001</v>
      </c>
      <c r="N22" s="222">
        <v>5.7770099999999998</v>
      </c>
      <c r="O22" s="222">
        <v>5.7768050000000004</v>
      </c>
      <c r="P22" s="222">
        <v>5.7769560000000002</v>
      </c>
      <c r="Q22" s="222">
        <v>5.7768389999999998</v>
      </c>
      <c r="R22" s="222">
        <v>5.7768620000000004</v>
      </c>
      <c r="S22" s="222">
        <v>5.7767480000000004</v>
      </c>
      <c r="T22" s="222">
        <v>5.7767109999999997</v>
      </c>
      <c r="U22" s="222">
        <v>5.7766539999999997</v>
      </c>
      <c r="V22" s="222">
        <v>5.7766140000000004</v>
      </c>
      <c r="W22" s="222">
        <v>5.7766320000000002</v>
      </c>
      <c r="X22" s="222">
        <v>5.7766310000000001</v>
      </c>
      <c r="Y22" s="222">
        <v>5.7765519999999997</v>
      </c>
      <c r="Z22" s="222">
        <v>5.7765940000000002</v>
      </c>
      <c r="AA22" s="222">
        <v>5.7764090000000001</v>
      </c>
      <c r="AB22" s="222">
        <v>5.7762830000000003</v>
      </c>
      <c r="AC22" s="222">
        <v>5.7763799999999996</v>
      </c>
      <c r="AD22" s="222">
        <v>5.7763859999999996</v>
      </c>
      <c r="AE22" s="222">
        <v>5.7762339999999996</v>
      </c>
      <c r="AF22" s="219">
        <v>3.9999999999999998E-6</v>
      </c>
      <c r="AG22" s="200"/>
      <c r="AH22" s="200"/>
      <c r="AI22" s="200"/>
      <c r="AJ22" s="200"/>
      <c r="AK22" s="200"/>
      <c r="AL22" s="200"/>
      <c r="AM22" s="200"/>
      <c r="AN22" s="200"/>
      <c r="AO22" s="200"/>
      <c r="AP22" s="200"/>
      <c r="AQ22" s="200"/>
      <c r="AR22" s="200"/>
      <c r="AS22" s="200"/>
      <c r="AT22" s="200"/>
      <c r="AU22" s="200"/>
      <c r="AV22" s="200"/>
      <c r="AW22" s="200"/>
      <c r="AX22" s="200"/>
      <c r="AY22" s="200"/>
      <c r="AZ22" s="200"/>
      <c r="BA22" s="200"/>
    </row>
    <row r="23" spans="1:53" ht="15" customHeight="1">
      <c r="A23" s="201" t="s">
        <v>195</v>
      </c>
      <c r="B23" s="217" t="s">
        <v>159</v>
      </c>
      <c r="C23" s="222">
        <v>5.7756210000000001</v>
      </c>
      <c r="D23" s="222">
        <v>5.7756480000000003</v>
      </c>
      <c r="E23" s="222">
        <v>5.7760829999999999</v>
      </c>
      <c r="F23" s="222">
        <v>5.7760619999999996</v>
      </c>
      <c r="G23" s="222">
        <v>5.7764670000000002</v>
      </c>
      <c r="H23" s="222">
        <v>5.7772180000000004</v>
      </c>
      <c r="I23" s="222">
        <v>5.776948</v>
      </c>
      <c r="J23" s="222">
        <v>5.7769529999999998</v>
      </c>
      <c r="K23" s="222">
        <v>5.7767980000000003</v>
      </c>
      <c r="L23" s="222">
        <v>5.7769740000000001</v>
      </c>
      <c r="M23" s="222">
        <v>5.7768980000000001</v>
      </c>
      <c r="N23" s="222">
        <v>5.7770099999999998</v>
      </c>
      <c r="O23" s="222">
        <v>5.7768050000000004</v>
      </c>
      <c r="P23" s="222">
        <v>5.7769560000000002</v>
      </c>
      <c r="Q23" s="222">
        <v>5.7768389999999998</v>
      </c>
      <c r="R23" s="222">
        <v>5.7768620000000004</v>
      </c>
      <c r="S23" s="222">
        <v>5.7767480000000004</v>
      </c>
      <c r="T23" s="222">
        <v>5.7767109999999997</v>
      </c>
      <c r="U23" s="222">
        <v>5.7766539999999997</v>
      </c>
      <c r="V23" s="222">
        <v>5.7766140000000004</v>
      </c>
      <c r="W23" s="222">
        <v>5.7766320000000002</v>
      </c>
      <c r="X23" s="222">
        <v>5.7766310000000001</v>
      </c>
      <c r="Y23" s="222">
        <v>5.7765519999999997</v>
      </c>
      <c r="Z23" s="222">
        <v>5.7765940000000002</v>
      </c>
      <c r="AA23" s="222">
        <v>5.7764090000000001</v>
      </c>
      <c r="AB23" s="222">
        <v>5.7762830000000003</v>
      </c>
      <c r="AC23" s="222">
        <v>5.7763799999999996</v>
      </c>
      <c r="AD23" s="222">
        <v>5.7763859999999996</v>
      </c>
      <c r="AE23" s="222">
        <v>5.7762339999999996</v>
      </c>
      <c r="AF23" s="219">
        <v>3.9999999999999998E-6</v>
      </c>
      <c r="AG23" s="200"/>
      <c r="AH23" s="200"/>
      <c r="AI23" s="200"/>
      <c r="AJ23" s="200"/>
      <c r="AK23" s="200"/>
      <c r="AL23" s="200"/>
      <c r="AM23" s="200"/>
      <c r="AN23" s="200"/>
      <c r="AO23" s="200"/>
      <c r="AP23" s="200"/>
      <c r="AQ23" s="200"/>
      <c r="AR23" s="200"/>
      <c r="AS23" s="200"/>
      <c r="AT23" s="200"/>
      <c r="AU23" s="200"/>
      <c r="AV23" s="200"/>
      <c r="AW23" s="200"/>
      <c r="AX23" s="200"/>
      <c r="AY23" s="200"/>
      <c r="AZ23" s="200"/>
      <c r="BA23" s="200"/>
    </row>
    <row r="24" spans="1:53" ht="15" customHeight="1">
      <c r="A24" s="201" t="s">
        <v>197</v>
      </c>
      <c r="B24" s="217" t="s">
        <v>160</v>
      </c>
      <c r="C24" s="222">
        <v>5.7756210000000001</v>
      </c>
      <c r="D24" s="222">
        <v>5.7756480000000003</v>
      </c>
      <c r="E24" s="222">
        <v>5.7760829999999999</v>
      </c>
      <c r="F24" s="222">
        <v>5.7760619999999996</v>
      </c>
      <c r="G24" s="222">
        <v>5.7764670000000002</v>
      </c>
      <c r="H24" s="222">
        <v>5.7772180000000004</v>
      </c>
      <c r="I24" s="222">
        <v>5.776948</v>
      </c>
      <c r="J24" s="222">
        <v>5.7769529999999998</v>
      </c>
      <c r="K24" s="222">
        <v>5.7767980000000003</v>
      </c>
      <c r="L24" s="222">
        <v>5.7769740000000001</v>
      </c>
      <c r="M24" s="222">
        <v>5.7768980000000001</v>
      </c>
      <c r="N24" s="222">
        <v>5.7770099999999998</v>
      </c>
      <c r="O24" s="222">
        <v>5.7768050000000004</v>
      </c>
      <c r="P24" s="222">
        <v>5.7769560000000002</v>
      </c>
      <c r="Q24" s="222">
        <v>5.7768389999999998</v>
      </c>
      <c r="R24" s="222">
        <v>5.7768620000000004</v>
      </c>
      <c r="S24" s="222">
        <v>5.7767480000000004</v>
      </c>
      <c r="T24" s="222">
        <v>5.7767109999999997</v>
      </c>
      <c r="U24" s="222">
        <v>5.7766539999999997</v>
      </c>
      <c r="V24" s="222">
        <v>5.7766140000000004</v>
      </c>
      <c r="W24" s="222">
        <v>5.7766320000000002</v>
      </c>
      <c r="X24" s="222">
        <v>5.7766310000000001</v>
      </c>
      <c r="Y24" s="222">
        <v>5.7765519999999997</v>
      </c>
      <c r="Z24" s="222">
        <v>5.7765940000000002</v>
      </c>
      <c r="AA24" s="222">
        <v>5.7764090000000001</v>
      </c>
      <c r="AB24" s="222">
        <v>5.7762830000000003</v>
      </c>
      <c r="AC24" s="222">
        <v>5.7763799999999996</v>
      </c>
      <c r="AD24" s="222">
        <v>5.7763859999999996</v>
      </c>
      <c r="AE24" s="222">
        <v>5.7762339999999996</v>
      </c>
      <c r="AF24" s="219">
        <v>3.9999999999999998E-6</v>
      </c>
      <c r="AG24" s="200"/>
      <c r="AH24" s="200"/>
      <c r="AI24" s="200"/>
      <c r="AJ24" s="200"/>
      <c r="AK24" s="200"/>
      <c r="AL24" s="200"/>
      <c r="AM24" s="200"/>
      <c r="AN24" s="200"/>
      <c r="AO24" s="200"/>
      <c r="AP24" s="200"/>
      <c r="AQ24" s="200"/>
      <c r="AR24" s="200"/>
      <c r="AS24" s="200"/>
      <c r="AT24" s="200"/>
      <c r="AU24" s="200"/>
      <c r="AV24" s="200"/>
      <c r="AW24" s="200"/>
      <c r="AX24" s="200"/>
      <c r="AY24" s="200"/>
      <c r="AZ24" s="200"/>
      <c r="BA24" s="200"/>
    </row>
    <row r="25" spans="1:53" ht="15" customHeight="1">
      <c r="A25" s="201" t="s">
        <v>199</v>
      </c>
      <c r="B25" s="217" t="s">
        <v>161</v>
      </c>
      <c r="C25" s="222">
        <v>5.7756210000000001</v>
      </c>
      <c r="D25" s="222">
        <v>5.7756480000000003</v>
      </c>
      <c r="E25" s="222">
        <v>5.7760829999999999</v>
      </c>
      <c r="F25" s="222">
        <v>5.7760619999999996</v>
      </c>
      <c r="G25" s="222">
        <v>5.7764670000000002</v>
      </c>
      <c r="H25" s="222">
        <v>5.7772180000000004</v>
      </c>
      <c r="I25" s="222">
        <v>5.776948</v>
      </c>
      <c r="J25" s="222">
        <v>5.7769529999999998</v>
      </c>
      <c r="K25" s="222">
        <v>5.7767989999999996</v>
      </c>
      <c r="L25" s="222">
        <v>5.7769740000000001</v>
      </c>
      <c r="M25" s="222">
        <v>5.7768990000000002</v>
      </c>
      <c r="N25" s="222">
        <v>5.7770099999999998</v>
      </c>
      <c r="O25" s="222">
        <v>5.7768050000000004</v>
      </c>
      <c r="P25" s="222">
        <v>5.7769560000000002</v>
      </c>
      <c r="Q25" s="222">
        <v>5.7768379999999997</v>
      </c>
      <c r="R25" s="222">
        <v>5.7768620000000004</v>
      </c>
      <c r="S25" s="222">
        <v>5.7767480000000004</v>
      </c>
      <c r="T25" s="222">
        <v>5.7767109999999997</v>
      </c>
      <c r="U25" s="222">
        <v>5.7766539999999997</v>
      </c>
      <c r="V25" s="222">
        <v>5.7766140000000004</v>
      </c>
      <c r="W25" s="222">
        <v>5.7766320000000002</v>
      </c>
      <c r="X25" s="222">
        <v>5.7766310000000001</v>
      </c>
      <c r="Y25" s="222">
        <v>5.7765519999999997</v>
      </c>
      <c r="Z25" s="222">
        <v>5.7765940000000002</v>
      </c>
      <c r="AA25" s="222">
        <v>5.7764090000000001</v>
      </c>
      <c r="AB25" s="222">
        <v>5.7762840000000004</v>
      </c>
      <c r="AC25" s="222">
        <v>5.7763799999999996</v>
      </c>
      <c r="AD25" s="222">
        <v>5.7763859999999996</v>
      </c>
      <c r="AE25" s="222">
        <v>5.7762339999999996</v>
      </c>
      <c r="AF25" s="219">
        <v>3.9999999999999998E-6</v>
      </c>
      <c r="AG25" s="200"/>
      <c r="AH25" s="200"/>
      <c r="AI25" s="200"/>
      <c r="AJ25" s="200"/>
      <c r="AK25" s="200"/>
      <c r="AL25" s="200"/>
      <c r="AM25" s="200"/>
      <c r="AN25" s="200"/>
      <c r="AO25" s="200"/>
      <c r="AP25" s="200"/>
      <c r="AQ25" s="200"/>
      <c r="AR25" s="200"/>
      <c r="AS25" s="200"/>
      <c r="AT25" s="200"/>
      <c r="AU25" s="200"/>
      <c r="AV25" s="200"/>
      <c r="AW25" s="200"/>
      <c r="AX25" s="200"/>
      <c r="AY25" s="200"/>
      <c r="AZ25" s="200"/>
      <c r="BA25" s="200"/>
    </row>
    <row r="26" spans="1:53" ht="15" customHeight="1">
      <c r="A26" s="201" t="s">
        <v>201</v>
      </c>
      <c r="B26" s="217" t="s">
        <v>162</v>
      </c>
      <c r="C26" s="222">
        <v>5.8170000000000002</v>
      </c>
      <c r="D26" s="222">
        <v>5.8170000000000002</v>
      </c>
      <c r="E26" s="222">
        <v>5.8170000000000002</v>
      </c>
      <c r="F26" s="222">
        <v>5.8170000000000002</v>
      </c>
      <c r="G26" s="222">
        <v>5.8170000000000002</v>
      </c>
      <c r="H26" s="222">
        <v>5.8170000000000002</v>
      </c>
      <c r="I26" s="222">
        <v>5.8170000000000002</v>
      </c>
      <c r="J26" s="222">
        <v>5.8170000000000002</v>
      </c>
      <c r="K26" s="222">
        <v>5.8170000000000002</v>
      </c>
      <c r="L26" s="222">
        <v>5.8170000000000002</v>
      </c>
      <c r="M26" s="222">
        <v>5.8170000000000002</v>
      </c>
      <c r="N26" s="222">
        <v>5.8170000000000002</v>
      </c>
      <c r="O26" s="222">
        <v>5.8170000000000002</v>
      </c>
      <c r="P26" s="222">
        <v>5.8170000000000002</v>
      </c>
      <c r="Q26" s="222">
        <v>5.8170000000000002</v>
      </c>
      <c r="R26" s="222">
        <v>5.8170000000000002</v>
      </c>
      <c r="S26" s="222">
        <v>5.8170000000000002</v>
      </c>
      <c r="T26" s="222">
        <v>5.8170000000000002</v>
      </c>
      <c r="U26" s="222">
        <v>5.8170000000000002</v>
      </c>
      <c r="V26" s="222">
        <v>5.8170000000000002</v>
      </c>
      <c r="W26" s="222">
        <v>5.8170000000000002</v>
      </c>
      <c r="X26" s="222">
        <v>5.8170000000000002</v>
      </c>
      <c r="Y26" s="222">
        <v>5.8170000000000002</v>
      </c>
      <c r="Z26" s="222">
        <v>5.8170000000000002</v>
      </c>
      <c r="AA26" s="222">
        <v>5.8170000000000002</v>
      </c>
      <c r="AB26" s="222">
        <v>5.8170000000000002</v>
      </c>
      <c r="AC26" s="222">
        <v>5.8170000000000002</v>
      </c>
      <c r="AD26" s="222">
        <v>5.8170000000000002</v>
      </c>
      <c r="AE26" s="222">
        <v>5.8170000000000002</v>
      </c>
      <c r="AF26" s="219">
        <v>0</v>
      </c>
      <c r="AG26" s="200"/>
      <c r="AH26" s="200"/>
      <c r="AI26" s="200"/>
      <c r="AJ26" s="200"/>
      <c r="AK26" s="200"/>
      <c r="AL26" s="200"/>
      <c r="AM26" s="200"/>
      <c r="AN26" s="200"/>
      <c r="AO26" s="200"/>
      <c r="AP26" s="200"/>
      <c r="AQ26" s="200"/>
      <c r="AR26" s="200"/>
      <c r="AS26" s="200"/>
      <c r="AT26" s="200"/>
      <c r="AU26" s="200"/>
      <c r="AV26" s="200"/>
      <c r="AW26" s="200"/>
      <c r="AX26" s="200"/>
      <c r="AY26" s="200"/>
      <c r="AZ26" s="200"/>
      <c r="BA26" s="200"/>
    </row>
    <row r="27" spans="1:53" ht="15" customHeight="1">
      <c r="A27" s="199"/>
      <c r="B27" s="217" t="s">
        <v>163</v>
      </c>
      <c r="C27" s="222">
        <v>5.77</v>
      </c>
      <c r="D27" s="222">
        <v>5.77</v>
      </c>
      <c r="E27" s="222">
        <v>5.77</v>
      </c>
      <c r="F27" s="222">
        <v>5.77</v>
      </c>
      <c r="G27" s="222">
        <v>5.77</v>
      </c>
      <c r="H27" s="222">
        <v>5.77</v>
      </c>
      <c r="I27" s="222">
        <v>5.77</v>
      </c>
      <c r="J27" s="222">
        <v>5.77</v>
      </c>
      <c r="K27" s="222">
        <v>5.77</v>
      </c>
      <c r="L27" s="222">
        <v>5.77</v>
      </c>
      <c r="M27" s="222">
        <v>5.77</v>
      </c>
      <c r="N27" s="222">
        <v>5.77</v>
      </c>
      <c r="O27" s="222">
        <v>5.77</v>
      </c>
      <c r="P27" s="222">
        <v>5.77</v>
      </c>
      <c r="Q27" s="222">
        <v>5.77</v>
      </c>
      <c r="R27" s="222">
        <v>5.77</v>
      </c>
      <c r="S27" s="222">
        <v>5.77</v>
      </c>
      <c r="T27" s="222">
        <v>5.77</v>
      </c>
      <c r="U27" s="222">
        <v>5.77</v>
      </c>
      <c r="V27" s="222">
        <v>5.77</v>
      </c>
      <c r="W27" s="222">
        <v>5.77</v>
      </c>
      <c r="X27" s="222">
        <v>5.77</v>
      </c>
      <c r="Y27" s="222">
        <v>5.77</v>
      </c>
      <c r="Z27" s="222">
        <v>5.77</v>
      </c>
      <c r="AA27" s="222">
        <v>5.77</v>
      </c>
      <c r="AB27" s="222">
        <v>5.77</v>
      </c>
      <c r="AC27" s="222">
        <v>5.77</v>
      </c>
      <c r="AD27" s="222">
        <v>5.77</v>
      </c>
      <c r="AE27" s="222">
        <v>5.77</v>
      </c>
      <c r="AF27" s="219">
        <v>0</v>
      </c>
      <c r="AG27" s="200"/>
      <c r="AH27" s="200"/>
      <c r="AI27" s="200"/>
      <c r="AJ27" s="200"/>
      <c r="AK27" s="200"/>
      <c r="AL27" s="200"/>
      <c r="AM27" s="200"/>
      <c r="AN27" s="200"/>
      <c r="AO27" s="200"/>
      <c r="AP27" s="200"/>
      <c r="AQ27" s="200"/>
      <c r="AR27" s="200"/>
      <c r="AS27" s="200"/>
      <c r="AT27" s="200"/>
      <c r="AU27" s="200"/>
      <c r="AV27" s="200"/>
      <c r="AW27" s="200"/>
      <c r="AX27" s="200"/>
      <c r="AY27" s="200"/>
      <c r="AZ27" s="200"/>
      <c r="BA27" s="200"/>
    </row>
    <row r="28" spans="1:53" ht="15" customHeight="1">
      <c r="A28" s="199"/>
      <c r="B28" s="217" t="s">
        <v>164</v>
      </c>
      <c r="C28" s="222">
        <v>3.5630000000000002</v>
      </c>
      <c r="D28" s="222">
        <v>3.5630000000000002</v>
      </c>
      <c r="E28" s="222">
        <v>3.5630000000000002</v>
      </c>
      <c r="F28" s="222">
        <v>3.5630000000000002</v>
      </c>
      <c r="G28" s="222">
        <v>3.5630000000000002</v>
      </c>
      <c r="H28" s="222">
        <v>3.5630000000000002</v>
      </c>
      <c r="I28" s="222">
        <v>3.5630000000000002</v>
      </c>
      <c r="J28" s="222">
        <v>3.5630000000000002</v>
      </c>
      <c r="K28" s="222">
        <v>3.5630000000000002</v>
      </c>
      <c r="L28" s="222">
        <v>3.5630000000000002</v>
      </c>
      <c r="M28" s="222">
        <v>3.5630000000000002</v>
      </c>
      <c r="N28" s="222">
        <v>3.5630000000000002</v>
      </c>
      <c r="O28" s="222">
        <v>3.5630000000000002</v>
      </c>
      <c r="P28" s="222">
        <v>3.5630000000000002</v>
      </c>
      <c r="Q28" s="222">
        <v>3.5630000000000002</v>
      </c>
      <c r="R28" s="222">
        <v>3.5630000000000002</v>
      </c>
      <c r="S28" s="222">
        <v>3.5630000000000002</v>
      </c>
      <c r="T28" s="222">
        <v>3.5630000000000002</v>
      </c>
      <c r="U28" s="222">
        <v>3.5630000000000002</v>
      </c>
      <c r="V28" s="222">
        <v>3.5630000000000002</v>
      </c>
      <c r="W28" s="222">
        <v>3.5630000000000002</v>
      </c>
      <c r="X28" s="222">
        <v>3.5630000000000002</v>
      </c>
      <c r="Y28" s="222">
        <v>3.5630000000000002</v>
      </c>
      <c r="Z28" s="222">
        <v>3.5630000000000002</v>
      </c>
      <c r="AA28" s="222">
        <v>3.5630000000000002</v>
      </c>
      <c r="AB28" s="222">
        <v>3.5630000000000002</v>
      </c>
      <c r="AC28" s="222">
        <v>3.5630000000000002</v>
      </c>
      <c r="AD28" s="222">
        <v>3.5630000000000002</v>
      </c>
      <c r="AE28" s="222">
        <v>3.5630000000000002</v>
      </c>
      <c r="AF28" s="219">
        <v>0</v>
      </c>
      <c r="AG28" s="200"/>
      <c r="AH28" s="200"/>
      <c r="AI28" s="200"/>
      <c r="AJ28" s="200"/>
      <c r="AK28" s="200"/>
      <c r="AL28" s="200"/>
      <c r="AM28" s="200"/>
      <c r="AN28" s="200"/>
      <c r="AO28" s="200"/>
      <c r="AP28" s="200"/>
      <c r="AQ28" s="200"/>
      <c r="AR28" s="200"/>
      <c r="AS28" s="200"/>
      <c r="AT28" s="200"/>
      <c r="AU28" s="200"/>
      <c r="AV28" s="200"/>
      <c r="AW28" s="200"/>
      <c r="AX28" s="200"/>
      <c r="AY28" s="200"/>
      <c r="AZ28" s="200"/>
      <c r="BA28" s="200"/>
    </row>
    <row r="29" spans="1:53" ht="15" customHeight="1">
      <c r="A29" s="201" t="s">
        <v>204</v>
      </c>
      <c r="B29" s="217" t="s">
        <v>491</v>
      </c>
      <c r="C29" s="222">
        <v>3.9944130000000002</v>
      </c>
      <c r="D29" s="222">
        <v>3.9944130000000002</v>
      </c>
      <c r="E29" s="222">
        <v>3.9944130000000002</v>
      </c>
      <c r="F29" s="222">
        <v>3.9944130000000002</v>
      </c>
      <c r="G29" s="222">
        <v>3.9944130000000002</v>
      </c>
      <c r="H29" s="222">
        <v>3.9944130000000002</v>
      </c>
      <c r="I29" s="222">
        <v>3.9944130000000002</v>
      </c>
      <c r="J29" s="222">
        <v>3.9944130000000002</v>
      </c>
      <c r="K29" s="222">
        <v>3.9944130000000002</v>
      </c>
      <c r="L29" s="222">
        <v>3.9944130000000002</v>
      </c>
      <c r="M29" s="222">
        <v>3.9944130000000002</v>
      </c>
      <c r="N29" s="222">
        <v>3.9944130000000002</v>
      </c>
      <c r="O29" s="222">
        <v>3.9944130000000002</v>
      </c>
      <c r="P29" s="222">
        <v>3.9944130000000002</v>
      </c>
      <c r="Q29" s="222">
        <v>3.9944130000000002</v>
      </c>
      <c r="R29" s="222">
        <v>3.9944130000000002</v>
      </c>
      <c r="S29" s="222">
        <v>3.9944130000000002</v>
      </c>
      <c r="T29" s="222">
        <v>3.9944130000000002</v>
      </c>
      <c r="U29" s="222">
        <v>3.9944130000000002</v>
      </c>
      <c r="V29" s="222">
        <v>3.9944130000000002</v>
      </c>
      <c r="W29" s="222">
        <v>3.9944130000000002</v>
      </c>
      <c r="X29" s="222">
        <v>3.9944130000000002</v>
      </c>
      <c r="Y29" s="222">
        <v>3.9944130000000002</v>
      </c>
      <c r="Z29" s="222">
        <v>3.9944130000000002</v>
      </c>
      <c r="AA29" s="222">
        <v>3.9944130000000002</v>
      </c>
      <c r="AB29" s="222">
        <v>3.9944130000000002</v>
      </c>
      <c r="AC29" s="222">
        <v>3.9944130000000002</v>
      </c>
      <c r="AD29" s="222">
        <v>3.9944130000000002</v>
      </c>
      <c r="AE29" s="222">
        <v>3.9944130000000002</v>
      </c>
      <c r="AF29" s="219">
        <v>0</v>
      </c>
      <c r="AG29" s="200"/>
      <c r="AH29" s="200"/>
      <c r="AI29" s="200"/>
      <c r="AJ29" s="200"/>
      <c r="AK29" s="200"/>
      <c r="AL29" s="200"/>
      <c r="AM29" s="200"/>
      <c r="AN29" s="200"/>
      <c r="AO29" s="200"/>
      <c r="AP29" s="200"/>
      <c r="AQ29" s="200"/>
      <c r="AR29" s="200"/>
      <c r="AS29" s="200"/>
      <c r="AT29" s="200"/>
      <c r="AU29" s="200"/>
      <c r="AV29" s="200"/>
      <c r="AW29" s="200"/>
      <c r="AX29" s="200"/>
      <c r="AY29" s="200"/>
      <c r="AZ29" s="200"/>
      <c r="BA29" s="200"/>
    </row>
    <row r="30" spans="1:53" ht="15" customHeight="1">
      <c r="A30" s="201" t="s">
        <v>206</v>
      </c>
      <c r="B30" s="217" t="s">
        <v>165</v>
      </c>
      <c r="C30" s="222">
        <v>5.67</v>
      </c>
      <c r="D30" s="222">
        <v>5.67</v>
      </c>
      <c r="E30" s="222">
        <v>5.67</v>
      </c>
      <c r="F30" s="222">
        <v>5.67</v>
      </c>
      <c r="G30" s="222">
        <v>5.67</v>
      </c>
      <c r="H30" s="222">
        <v>5.67</v>
      </c>
      <c r="I30" s="222">
        <v>5.67</v>
      </c>
      <c r="J30" s="222">
        <v>5.67</v>
      </c>
      <c r="K30" s="222">
        <v>5.67</v>
      </c>
      <c r="L30" s="222">
        <v>5.67</v>
      </c>
      <c r="M30" s="222">
        <v>5.67</v>
      </c>
      <c r="N30" s="222">
        <v>5.67</v>
      </c>
      <c r="O30" s="222">
        <v>5.67</v>
      </c>
      <c r="P30" s="222">
        <v>5.67</v>
      </c>
      <c r="Q30" s="222">
        <v>5.67</v>
      </c>
      <c r="R30" s="222">
        <v>5.67</v>
      </c>
      <c r="S30" s="222">
        <v>5.67</v>
      </c>
      <c r="T30" s="222">
        <v>5.67</v>
      </c>
      <c r="U30" s="222">
        <v>5.67</v>
      </c>
      <c r="V30" s="222">
        <v>5.67</v>
      </c>
      <c r="W30" s="222">
        <v>5.67</v>
      </c>
      <c r="X30" s="222">
        <v>5.67</v>
      </c>
      <c r="Y30" s="222">
        <v>5.67</v>
      </c>
      <c r="Z30" s="222">
        <v>5.67</v>
      </c>
      <c r="AA30" s="222">
        <v>5.67</v>
      </c>
      <c r="AB30" s="222">
        <v>5.67</v>
      </c>
      <c r="AC30" s="222">
        <v>5.67</v>
      </c>
      <c r="AD30" s="222">
        <v>5.67</v>
      </c>
      <c r="AE30" s="222">
        <v>5.67</v>
      </c>
      <c r="AF30" s="219">
        <v>0</v>
      </c>
      <c r="AG30" s="200"/>
      <c r="AH30" s="200"/>
      <c r="AI30" s="200"/>
      <c r="AJ30" s="200"/>
      <c r="AK30" s="200"/>
      <c r="AL30" s="200"/>
      <c r="AM30" s="200"/>
      <c r="AN30" s="200"/>
      <c r="AO30" s="200"/>
      <c r="AP30" s="200"/>
      <c r="AQ30" s="200"/>
      <c r="AR30" s="200"/>
      <c r="AS30" s="200"/>
      <c r="AT30" s="200"/>
      <c r="AU30" s="200"/>
      <c r="AV30" s="200"/>
      <c r="AW30" s="200"/>
      <c r="AX30" s="200"/>
      <c r="AY30" s="200"/>
      <c r="AZ30" s="200"/>
      <c r="BA30" s="200"/>
    </row>
    <row r="31" spans="1:53" ht="15" customHeight="1">
      <c r="A31" s="201" t="s">
        <v>208</v>
      </c>
      <c r="B31" s="217" t="s">
        <v>166</v>
      </c>
      <c r="C31" s="222">
        <v>6.0650000000000004</v>
      </c>
      <c r="D31" s="222">
        <v>6.0650000000000004</v>
      </c>
      <c r="E31" s="222">
        <v>6.0650000000000004</v>
      </c>
      <c r="F31" s="222">
        <v>6.0650000000000004</v>
      </c>
      <c r="G31" s="222">
        <v>6.0650000000000004</v>
      </c>
      <c r="H31" s="222">
        <v>6.0650000000000004</v>
      </c>
      <c r="I31" s="222">
        <v>6.0650000000000004</v>
      </c>
      <c r="J31" s="222">
        <v>6.0650000000000004</v>
      </c>
      <c r="K31" s="222">
        <v>6.0650000000000004</v>
      </c>
      <c r="L31" s="222">
        <v>6.0650000000000004</v>
      </c>
      <c r="M31" s="222">
        <v>6.0650000000000004</v>
      </c>
      <c r="N31" s="222">
        <v>6.0650000000000004</v>
      </c>
      <c r="O31" s="222">
        <v>6.0650000000000004</v>
      </c>
      <c r="P31" s="222">
        <v>6.0650000000000004</v>
      </c>
      <c r="Q31" s="222">
        <v>6.0650000000000004</v>
      </c>
      <c r="R31" s="222">
        <v>6.0650000000000004</v>
      </c>
      <c r="S31" s="222">
        <v>6.0650000000000004</v>
      </c>
      <c r="T31" s="222">
        <v>6.0650000000000004</v>
      </c>
      <c r="U31" s="222">
        <v>6.0650000000000004</v>
      </c>
      <c r="V31" s="222">
        <v>6.0650000000000004</v>
      </c>
      <c r="W31" s="222">
        <v>6.0650000000000004</v>
      </c>
      <c r="X31" s="222">
        <v>6.0650000000000004</v>
      </c>
      <c r="Y31" s="222">
        <v>6.0650000000000004</v>
      </c>
      <c r="Z31" s="222">
        <v>6.0650000000000004</v>
      </c>
      <c r="AA31" s="222">
        <v>6.0650000000000004</v>
      </c>
      <c r="AB31" s="222">
        <v>6.0650000000000004</v>
      </c>
      <c r="AC31" s="222">
        <v>6.0650000000000004</v>
      </c>
      <c r="AD31" s="222">
        <v>6.0650000000000004</v>
      </c>
      <c r="AE31" s="222">
        <v>6.0650000000000004</v>
      </c>
      <c r="AF31" s="219">
        <v>0</v>
      </c>
      <c r="AG31" s="200"/>
      <c r="AH31" s="200"/>
      <c r="AI31" s="200"/>
      <c r="AJ31" s="200"/>
      <c r="AK31" s="200"/>
      <c r="AL31" s="200"/>
      <c r="AM31" s="200"/>
      <c r="AN31" s="200"/>
      <c r="AO31" s="200"/>
      <c r="AP31" s="200"/>
      <c r="AQ31" s="200"/>
      <c r="AR31" s="200"/>
      <c r="AS31" s="200"/>
      <c r="AT31" s="200"/>
      <c r="AU31" s="200"/>
      <c r="AV31" s="200"/>
      <c r="AW31" s="200"/>
      <c r="AX31" s="200"/>
      <c r="AY31" s="200"/>
      <c r="AZ31" s="200"/>
      <c r="BA31" s="200"/>
    </row>
    <row r="32" spans="1:53" ht="15" customHeight="1">
      <c r="A32" s="201" t="s">
        <v>210</v>
      </c>
      <c r="B32" s="217" t="s">
        <v>167</v>
      </c>
      <c r="C32" s="222">
        <v>5.0517110000000001</v>
      </c>
      <c r="D32" s="222">
        <v>5.0505360000000001</v>
      </c>
      <c r="E32" s="222">
        <v>5.0493629999999996</v>
      </c>
      <c r="F32" s="222">
        <v>5.0481809999999996</v>
      </c>
      <c r="G32" s="222">
        <v>5.0469949999999999</v>
      </c>
      <c r="H32" s="222">
        <v>5.0458059999999998</v>
      </c>
      <c r="I32" s="222">
        <v>5.0446140000000002</v>
      </c>
      <c r="J32" s="222">
        <v>5.0434169999999998</v>
      </c>
      <c r="K32" s="222">
        <v>5.0422159999999998</v>
      </c>
      <c r="L32" s="222">
        <v>5.0410120000000003</v>
      </c>
      <c r="M32" s="222">
        <v>5.0398050000000003</v>
      </c>
      <c r="N32" s="222">
        <v>5.0385939999999998</v>
      </c>
      <c r="O32" s="222">
        <v>5.0373809999999999</v>
      </c>
      <c r="P32" s="222">
        <v>5.0361640000000003</v>
      </c>
      <c r="Q32" s="222">
        <v>5.0351299999999997</v>
      </c>
      <c r="R32" s="222">
        <v>5.034097</v>
      </c>
      <c r="S32" s="222">
        <v>5.0331010000000003</v>
      </c>
      <c r="T32" s="222">
        <v>5.0321129999999998</v>
      </c>
      <c r="U32" s="222">
        <v>5.0311250000000003</v>
      </c>
      <c r="V32" s="222">
        <v>5.0302259999999999</v>
      </c>
      <c r="W32" s="222">
        <v>5.0293169999999998</v>
      </c>
      <c r="X32" s="222">
        <v>5.0284149999999999</v>
      </c>
      <c r="Y32" s="222">
        <v>5.02752</v>
      </c>
      <c r="Z32" s="222">
        <v>5.0266299999999999</v>
      </c>
      <c r="AA32" s="222">
        <v>5.0257459999999998</v>
      </c>
      <c r="AB32" s="222">
        <v>5.0248619999999997</v>
      </c>
      <c r="AC32" s="222">
        <v>5.0239739999999999</v>
      </c>
      <c r="AD32" s="222">
        <v>5.0230839999999999</v>
      </c>
      <c r="AE32" s="222">
        <v>5.0221999999999998</v>
      </c>
      <c r="AF32" s="219">
        <v>-2.0900000000000001E-4</v>
      </c>
      <c r="AG32" s="200"/>
      <c r="AH32" s="200"/>
      <c r="AI32" s="200"/>
      <c r="AJ32" s="200"/>
      <c r="AK32" s="200"/>
      <c r="AL32" s="200"/>
      <c r="AM32" s="200"/>
      <c r="AN32" s="200"/>
      <c r="AO32" s="200"/>
      <c r="AP32" s="200"/>
      <c r="AQ32" s="200"/>
      <c r="AR32" s="200"/>
      <c r="AS32" s="200"/>
      <c r="AT32" s="200"/>
      <c r="AU32" s="200"/>
      <c r="AV32" s="200"/>
      <c r="AW32" s="200"/>
      <c r="AX32" s="200"/>
      <c r="AY32" s="200"/>
      <c r="AZ32" s="200"/>
      <c r="BA32" s="200"/>
    </row>
    <row r="33" spans="1:53" ht="15" customHeight="1">
      <c r="A33" s="201" t="s">
        <v>212</v>
      </c>
      <c r="B33" s="217" t="s">
        <v>168</v>
      </c>
      <c r="C33" s="222">
        <v>5.0512389999999998</v>
      </c>
      <c r="D33" s="222">
        <v>5.0499520000000002</v>
      </c>
      <c r="E33" s="222">
        <v>5.0486649999999997</v>
      </c>
      <c r="F33" s="222">
        <v>5.0473749999999997</v>
      </c>
      <c r="G33" s="222">
        <v>5.0460849999999997</v>
      </c>
      <c r="H33" s="222">
        <v>5.0447939999999996</v>
      </c>
      <c r="I33" s="222">
        <v>5.0435020000000002</v>
      </c>
      <c r="J33" s="222">
        <v>5.0422089999999997</v>
      </c>
      <c r="K33" s="222">
        <v>5.0409139999999999</v>
      </c>
      <c r="L33" s="222">
        <v>5.0396179999999999</v>
      </c>
      <c r="M33" s="222">
        <v>5.038322</v>
      </c>
      <c r="N33" s="222">
        <v>5.037026</v>
      </c>
      <c r="O33" s="222">
        <v>5.03573</v>
      </c>
      <c r="P33" s="222">
        <v>5.0344340000000001</v>
      </c>
      <c r="Q33" s="222">
        <v>5.0333230000000002</v>
      </c>
      <c r="R33" s="222">
        <v>5.0322180000000003</v>
      </c>
      <c r="S33" s="222">
        <v>5.0311500000000002</v>
      </c>
      <c r="T33" s="222">
        <v>5.0300909999999996</v>
      </c>
      <c r="U33" s="222">
        <v>5.0290319999999999</v>
      </c>
      <c r="V33" s="222">
        <v>5.0280829999999996</v>
      </c>
      <c r="W33" s="222">
        <v>5.0271239999999997</v>
      </c>
      <c r="X33" s="222">
        <v>5.0261709999999997</v>
      </c>
      <c r="Y33" s="222">
        <v>5.025226</v>
      </c>
      <c r="Z33" s="222">
        <v>5.0242849999999999</v>
      </c>
      <c r="AA33" s="222">
        <v>5.0233509999999999</v>
      </c>
      <c r="AB33" s="222">
        <v>5.0224169999999999</v>
      </c>
      <c r="AC33" s="222">
        <v>5.0214790000000002</v>
      </c>
      <c r="AD33" s="222">
        <v>5.0205390000000003</v>
      </c>
      <c r="AE33" s="222">
        <v>5.0196059999999996</v>
      </c>
      <c r="AF33" s="219">
        <v>-2.24E-4</v>
      </c>
      <c r="AG33" s="200"/>
      <c r="AH33" s="200"/>
      <c r="AI33" s="200"/>
      <c r="AJ33" s="200"/>
      <c r="AK33" s="200"/>
      <c r="AL33" s="200"/>
      <c r="AM33" s="200"/>
      <c r="AN33" s="200"/>
      <c r="AO33" s="200"/>
      <c r="AP33" s="200"/>
      <c r="AQ33" s="200"/>
      <c r="AR33" s="200"/>
      <c r="AS33" s="200"/>
      <c r="AT33" s="200"/>
      <c r="AU33" s="200"/>
      <c r="AV33" s="200"/>
      <c r="AW33" s="200"/>
      <c r="AX33" s="200"/>
      <c r="AY33" s="200"/>
      <c r="AZ33" s="200"/>
      <c r="BA33" s="200"/>
    </row>
    <row r="34" spans="1:53" ht="15" customHeight="1">
      <c r="A34" s="201" t="s">
        <v>214</v>
      </c>
      <c r="B34" s="217" t="s">
        <v>169</v>
      </c>
      <c r="C34" s="222">
        <v>5.0509560000000002</v>
      </c>
      <c r="D34" s="222">
        <v>5.0496100000000004</v>
      </c>
      <c r="E34" s="222">
        <v>5.0482639999999996</v>
      </c>
      <c r="F34" s="222">
        <v>5.0469179999999998</v>
      </c>
      <c r="G34" s="222">
        <v>5.0455740000000002</v>
      </c>
      <c r="H34" s="222">
        <v>5.0442299999999998</v>
      </c>
      <c r="I34" s="222">
        <v>5.0428879999999996</v>
      </c>
      <c r="J34" s="222">
        <v>5.0415450000000002</v>
      </c>
      <c r="K34" s="222">
        <v>5.040203</v>
      </c>
      <c r="L34" s="222">
        <v>5.038862</v>
      </c>
      <c r="M34" s="222">
        <v>5.0375209999999999</v>
      </c>
      <c r="N34" s="222">
        <v>5.0361820000000002</v>
      </c>
      <c r="O34" s="222">
        <v>5.0348439999999997</v>
      </c>
      <c r="P34" s="222">
        <v>5.033506</v>
      </c>
      <c r="Q34" s="222">
        <v>5.032413</v>
      </c>
      <c r="R34" s="222">
        <v>5.031326</v>
      </c>
      <c r="S34" s="222">
        <v>5.030284</v>
      </c>
      <c r="T34" s="222">
        <v>5.0292519999999996</v>
      </c>
      <c r="U34" s="222">
        <v>5.028219</v>
      </c>
      <c r="V34" s="222">
        <v>5.0272449999999997</v>
      </c>
      <c r="W34" s="222">
        <v>5.0262560000000001</v>
      </c>
      <c r="X34" s="222">
        <v>5.0252730000000003</v>
      </c>
      <c r="Y34" s="222">
        <v>5.0242979999999999</v>
      </c>
      <c r="Z34" s="222">
        <v>5.0233290000000004</v>
      </c>
      <c r="AA34" s="222">
        <v>5.022367</v>
      </c>
      <c r="AB34" s="222">
        <v>5.0214040000000004</v>
      </c>
      <c r="AC34" s="222">
        <v>5.0204339999999998</v>
      </c>
      <c r="AD34" s="222">
        <v>5.0194609999999997</v>
      </c>
      <c r="AE34" s="222">
        <v>5.0184939999999996</v>
      </c>
      <c r="AF34" s="219">
        <v>-2.3000000000000001E-4</v>
      </c>
      <c r="AG34" s="200"/>
      <c r="AH34" s="200"/>
      <c r="AI34" s="200"/>
      <c r="AJ34" s="200"/>
      <c r="AK34" s="200"/>
      <c r="AL34" s="200"/>
      <c r="AM34" s="200"/>
      <c r="AN34" s="200"/>
      <c r="AO34" s="200"/>
      <c r="AP34" s="200"/>
      <c r="AQ34" s="200"/>
      <c r="AR34" s="200"/>
      <c r="AS34" s="200"/>
      <c r="AT34" s="200"/>
      <c r="AU34" s="200"/>
      <c r="AV34" s="200"/>
      <c r="AW34" s="200"/>
      <c r="AX34" s="200"/>
      <c r="AY34" s="200"/>
      <c r="AZ34" s="200"/>
      <c r="BA34" s="200"/>
    </row>
    <row r="35" spans="1:53" ht="14.4">
      <c r="A35" s="201" t="s">
        <v>216</v>
      </c>
      <c r="B35" s="217" t="s">
        <v>171</v>
      </c>
      <c r="C35" s="222">
        <v>5.2222799999999996</v>
      </c>
      <c r="D35" s="222">
        <v>5.2222799999999996</v>
      </c>
      <c r="E35" s="222">
        <v>5.2222799999999996</v>
      </c>
      <c r="F35" s="222">
        <v>5.2222799999999996</v>
      </c>
      <c r="G35" s="222">
        <v>5.2222799999999996</v>
      </c>
      <c r="H35" s="222">
        <v>5.2222799999999996</v>
      </c>
      <c r="I35" s="222">
        <v>5.2222799999999996</v>
      </c>
      <c r="J35" s="222">
        <v>5.2222799999999996</v>
      </c>
      <c r="K35" s="222">
        <v>5.2222799999999996</v>
      </c>
      <c r="L35" s="222">
        <v>5.2222799999999996</v>
      </c>
      <c r="M35" s="222">
        <v>5.2222799999999996</v>
      </c>
      <c r="N35" s="222">
        <v>5.2222799999999996</v>
      </c>
      <c r="O35" s="222">
        <v>5.2222799999999996</v>
      </c>
      <c r="P35" s="222">
        <v>5.2222799999999996</v>
      </c>
      <c r="Q35" s="222">
        <v>5.2222799999999996</v>
      </c>
      <c r="R35" s="222">
        <v>5.2222799999999996</v>
      </c>
      <c r="S35" s="222">
        <v>5.2222799999999996</v>
      </c>
      <c r="T35" s="222">
        <v>5.2222799999999996</v>
      </c>
      <c r="U35" s="222">
        <v>5.2222799999999996</v>
      </c>
      <c r="V35" s="222">
        <v>5.2222799999999996</v>
      </c>
      <c r="W35" s="222">
        <v>5.2222799999999996</v>
      </c>
      <c r="X35" s="222">
        <v>5.2222799999999996</v>
      </c>
      <c r="Y35" s="222">
        <v>5.2222799999999996</v>
      </c>
      <c r="Z35" s="222">
        <v>5.2222799999999996</v>
      </c>
      <c r="AA35" s="222">
        <v>5.2222799999999996</v>
      </c>
      <c r="AB35" s="222">
        <v>5.2222799999999996</v>
      </c>
      <c r="AC35" s="222">
        <v>5.2222799999999996</v>
      </c>
      <c r="AD35" s="222">
        <v>5.2222799999999996</v>
      </c>
      <c r="AE35" s="222">
        <v>5.2222799999999996</v>
      </c>
      <c r="AF35" s="219">
        <v>0</v>
      </c>
      <c r="AG35" s="200"/>
      <c r="AH35" s="200"/>
      <c r="AI35" s="200"/>
      <c r="AJ35" s="200"/>
      <c r="AK35" s="200"/>
      <c r="AL35" s="200"/>
      <c r="AM35" s="200"/>
      <c r="AN35" s="200"/>
      <c r="AO35" s="200"/>
      <c r="AP35" s="200"/>
      <c r="AQ35" s="200"/>
      <c r="AR35" s="200"/>
      <c r="AS35" s="200"/>
      <c r="AT35" s="200"/>
      <c r="AU35" s="200"/>
      <c r="AV35" s="200"/>
      <c r="AW35" s="200"/>
      <c r="AX35" s="200"/>
      <c r="AY35" s="200"/>
      <c r="AZ35" s="200"/>
      <c r="BA35" s="200"/>
    </row>
    <row r="36" spans="1:53" ht="14.4">
      <c r="A36" s="199"/>
      <c r="B36" s="217" t="s">
        <v>173</v>
      </c>
      <c r="C36" s="222">
        <v>5.2222799999999996</v>
      </c>
      <c r="D36" s="222">
        <v>5.2222799999999996</v>
      </c>
      <c r="E36" s="222">
        <v>5.2222799999999996</v>
      </c>
      <c r="F36" s="222">
        <v>5.2222799999999996</v>
      </c>
      <c r="G36" s="222">
        <v>5.2222799999999996</v>
      </c>
      <c r="H36" s="222">
        <v>5.2222799999999996</v>
      </c>
      <c r="I36" s="222">
        <v>5.2222799999999996</v>
      </c>
      <c r="J36" s="222">
        <v>5.2222799999999996</v>
      </c>
      <c r="K36" s="222">
        <v>5.2222799999999996</v>
      </c>
      <c r="L36" s="222">
        <v>5.2222799999999996</v>
      </c>
      <c r="M36" s="222">
        <v>5.2222799999999996</v>
      </c>
      <c r="N36" s="222">
        <v>5.2222799999999996</v>
      </c>
      <c r="O36" s="222">
        <v>5.2222799999999996</v>
      </c>
      <c r="P36" s="222">
        <v>5.2222799999999996</v>
      </c>
      <c r="Q36" s="222">
        <v>5.2222799999999996</v>
      </c>
      <c r="R36" s="222">
        <v>5.2222799999999996</v>
      </c>
      <c r="S36" s="222">
        <v>5.2222799999999996</v>
      </c>
      <c r="T36" s="222">
        <v>5.2222799999999996</v>
      </c>
      <c r="U36" s="222">
        <v>5.2222799999999996</v>
      </c>
      <c r="V36" s="222">
        <v>5.2222799999999996</v>
      </c>
      <c r="W36" s="222">
        <v>5.2222799999999996</v>
      </c>
      <c r="X36" s="222">
        <v>5.2222799999999996</v>
      </c>
      <c r="Y36" s="222">
        <v>5.2222799999999996</v>
      </c>
      <c r="Z36" s="222">
        <v>5.2222799999999996</v>
      </c>
      <c r="AA36" s="222">
        <v>5.2222799999999996</v>
      </c>
      <c r="AB36" s="222">
        <v>5.2222799999999996</v>
      </c>
      <c r="AC36" s="222">
        <v>5.2222799999999996</v>
      </c>
      <c r="AD36" s="222">
        <v>5.2222799999999996</v>
      </c>
      <c r="AE36" s="222">
        <v>5.2222799999999996</v>
      </c>
      <c r="AF36" s="219">
        <v>0</v>
      </c>
      <c r="AG36" s="200"/>
      <c r="AH36" s="200"/>
      <c r="AI36" s="200"/>
      <c r="AJ36" s="200"/>
      <c r="AK36" s="200"/>
      <c r="AL36" s="200"/>
      <c r="AM36" s="200"/>
      <c r="AN36" s="200"/>
      <c r="AO36" s="200"/>
      <c r="AP36" s="200"/>
      <c r="AQ36" s="200"/>
      <c r="AR36" s="200"/>
      <c r="AS36" s="200"/>
      <c r="AT36" s="200"/>
      <c r="AU36" s="200"/>
      <c r="AV36" s="200"/>
      <c r="AW36" s="200"/>
      <c r="AX36" s="200"/>
      <c r="AY36" s="200"/>
      <c r="AZ36" s="200"/>
      <c r="BA36" s="200"/>
    </row>
    <row r="37" spans="1:53" ht="14.4">
      <c r="A37" s="199"/>
      <c r="B37" s="217" t="s">
        <v>175</v>
      </c>
      <c r="C37" s="222">
        <v>4.6379999999999999</v>
      </c>
      <c r="D37" s="222">
        <v>4.6379999999999999</v>
      </c>
      <c r="E37" s="222">
        <v>4.6379999999999999</v>
      </c>
      <c r="F37" s="222">
        <v>4.6379999999999999</v>
      </c>
      <c r="G37" s="222">
        <v>4.6379999999999999</v>
      </c>
      <c r="H37" s="222">
        <v>4.6379999999999999</v>
      </c>
      <c r="I37" s="222">
        <v>4.6379999999999999</v>
      </c>
      <c r="J37" s="222">
        <v>4.6379999999999999</v>
      </c>
      <c r="K37" s="222">
        <v>4.6379999999999999</v>
      </c>
      <c r="L37" s="222">
        <v>4.6379999999999999</v>
      </c>
      <c r="M37" s="222">
        <v>4.6379999999999999</v>
      </c>
      <c r="N37" s="222">
        <v>4.6379999999999999</v>
      </c>
      <c r="O37" s="222">
        <v>4.6379999999999999</v>
      </c>
      <c r="P37" s="222">
        <v>4.6379999999999999</v>
      </c>
      <c r="Q37" s="222">
        <v>4.6379999999999999</v>
      </c>
      <c r="R37" s="222">
        <v>4.6379999999999999</v>
      </c>
      <c r="S37" s="222">
        <v>4.6379999999999999</v>
      </c>
      <c r="T37" s="222">
        <v>4.6379999999999999</v>
      </c>
      <c r="U37" s="222">
        <v>4.6379999999999999</v>
      </c>
      <c r="V37" s="222">
        <v>4.6379999999999999</v>
      </c>
      <c r="W37" s="222">
        <v>4.6379999999999999</v>
      </c>
      <c r="X37" s="222">
        <v>4.6379999999999999</v>
      </c>
      <c r="Y37" s="222">
        <v>4.6379999999999999</v>
      </c>
      <c r="Z37" s="222">
        <v>4.6379999999999999</v>
      </c>
      <c r="AA37" s="222">
        <v>4.6379999999999999</v>
      </c>
      <c r="AB37" s="222">
        <v>4.6379999999999999</v>
      </c>
      <c r="AC37" s="222">
        <v>4.6379999999999999</v>
      </c>
      <c r="AD37" s="222">
        <v>4.6379999999999999</v>
      </c>
      <c r="AE37" s="222">
        <v>4.6379999999999999</v>
      </c>
      <c r="AF37" s="219">
        <v>0</v>
      </c>
      <c r="AG37" s="200"/>
      <c r="AH37" s="200"/>
      <c r="AI37" s="200"/>
      <c r="AJ37" s="200"/>
      <c r="AK37" s="200"/>
      <c r="AL37" s="200"/>
      <c r="AM37" s="200"/>
      <c r="AN37" s="200"/>
      <c r="AO37" s="200"/>
      <c r="AP37" s="200"/>
      <c r="AQ37" s="200"/>
      <c r="AR37" s="200"/>
      <c r="AS37" s="200"/>
      <c r="AT37" s="200"/>
      <c r="AU37" s="200"/>
      <c r="AV37" s="200"/>
      <c r="AW37" s="200"/>
      <c r="AX37" s="200"/>
      <c r="AY37" s="200"/>
      <c r="AZ37" s="200"/>
      <c r="BA37" s="200"/>
    </row>
    <row r="38" spans="1:53" ht="14.4">
      <c r="A38" s="201" t="s">
        <v>219</v>
      </c>
      <c r="B38" s="217" t="s">
        <v>177</v>
      </c>
      <c r="C38" s="222">
        <v>5.8</v>
      </c>
      <c r="D38" s="222">
        <v>5.8</v>
      </c>
      <c r="E38" s="222">
        <v>5.8</v>
      </c>
      <c r="F38" s="222">
        <v>5.8</v>
      </c>
      <c r="G38" s="222">
        <v>5.8</v>
      </c>
      <c r="H38" s="222">
        <v>5.8</v>
      </c>
      <c r="I38" s="222">
        <v>5.8</v>
      </c>
      <c r="J38" s="222">
        <v>5.8</v>
      </c>
      <c r="K38" s="222">
        <v>5.8</v>
      </c>
      <c r="L38" s="222">
        <v>5.8</v>
      </c>
      <c r="M38" s="222">
        <v>5.8</v>
      </c>
      <c r="N38" s="222">
        <v>5.8</v>
      </c>
      <c r="O38" s="222">
        <v>5.8</v>
      </c>
      <c r="P38" s="222">
        <v>5.8</v>
      </c>
      <c r="Q38" s="222">
        <v>5.8</v>
      </c>
      <c r="R38" s="222">
        <v>5.8</v>
      </c>
      <c r="S38" s="222">
        <v>5.8</v>
      </c>
      <c r="T38" s="222">
        <v>5.8</v>
      </c>
      <c r="U38" s="222">
        <v>5.8</v>
      </c>
      <c r="V38" s="222">
        <v>5.8</v>
      </c>
      <c r="W38" s="222">
        <v>5.8</v>
      </c>
      <c r="X38" s="222">
        <v>5.8</v>
      </c>
      <c r="Y38" s="222">
        <v>5.8</v>
      </c>
      <c r="Z38" s="222">
        <v>5.8</v>
      </c>
      <c r="AA38" s="222">
        <v>5.8</v>
      </c>
      <c r="AB38" s="222">
        <v>5.8</v>
      </c>
      <c r="AC38" s="222">
        <v>5.8</v>
      </c>
      <c r="AD38" s="222">
        <v>5.8</v>
      </c>
      <c r="AE38" s="222">
        <v>5.8</v>
      </c>
      <c r="AF38" s="219">
        <v>0</v>
      </c>
      <c r="AG38" s="200"/>
      <c r="AH38" s="200"/>
      <c r="AI38" s="200"/>
      <c r="AJ38" s="200"/>
      <c r="AK38" s="200"/>
      <c r="AL38" s="200"/>
      <c r="AM38" s="200"/>
      <c r="AN38" s="200"/>
      <c r="AO38" s="200"/>
      <c r="AP38" s="200"/>
      <c r="AQ38" s="200"/>
      <c r="AR38" s="200"/>
      <c r="AS38" s="200"/>
      <c r="AT38" s="200"/>
      <c r="AU38" s="200"/>
      <c r="AV38" s="200"/>
      <c r="AW38" s="200"/>
      <c r="AX38" s="200"/>
      <c r="AY38" s="200"/>
      <c r="AZ38" s="200"/>
      <c r="BA38" s="200"/>
    </row>
    <row r="39" spans="1:53" ht="14.4">
      <c r="A39" s="201" t="s">
        <v>220</v>
      </c>
      <c r="B39" s="217" t="s">
        <v>179</v>
      </c>
      <c r="C39" s="222">
        <v>5.448283</v>
      </c>
      <c r="D39" s="222">
        <v>5.448283</v>
      </c>
      <c r="E39" s="222">
        <v>5.448283</v>
      </c>
      <c r="F39" s="222">
        <v>5.448283</v>
      </c>
      <c r="G39" s="222">
        <v>5.448283</v>
      </c>
      <c r="H39" s="222">
        <v>5.448283</v>
      </c>
      <c r="I39" s="222">
        <v>5.448283</v>
      </c>
      <c r="J39" s="222">
        <v>5.448283</v>
      </c>
      <c r="K39" s="222">
        <v>5.448283</v>
      </c>
      <c r="L39" s="222">
        <v>5.448283</v>
      </c>
      <c r="M39" s="222">
        <v>5.448283</v>
      </c>
      <c r="N39" s="222">
        <v>5.448283</v>
      </c>
      <c r="O39" s="222">
        <v>5.448283</v>
      </c>
      <c r="P39" s="222">
        <v>5.448283</v>
      </c>
      <c r="Q39" s="222">
        <v>5.448283</v>
      </c>
      <c r="R39" s="222">
        <v>5.448283</v>
      </c>
      <c r="S39" s="222">
        <v>5.448283</v>
      </c>
      <c r="T39" s="222">
        <v>5.448283</v>
      </c>
      <c r="U39" s="222">
        <v>5.448283</v>
      </c>
      <c r="V39" s="222">
        <v>5.448283</v>
      </c>
      <c r="W39" s="222">
        <v>5.448283</v>
      </c>
      <c r="X39" s="222">
        <v>5.448283</v>
      </c>
      <c r="Y39" s="222">
        <v>5.448283</v>
      </c>
      <c r="Z39" s="222">
        <v>5.448283</v>
      </c>
      <c r="AA39" s="222">
        <v>5.448283</v>
      </c>
      <c r="AB39" s="222">
        <v>5.448283</v>
      </c>
      <c r="AC39" s="222">
        <v>5.448283</v>
      </c>
      <c r="AD39" s="222">
        <v>5.448283</v>
      </c>
      <c r="AE39" s="222">
        <v>5.448283</v>
      </c>
      <c r="AF39" s="219">
        <v>0</v>
      </c>
      <c r="AG39" s="200"/>
      <c r="AH39" s="200"/>
      <c r="AI39" s="200"/>
      <c r="AJ39" s="200"/>
      <c r="AK39" s="200"/>
      <c r="AL39" s="200"/>
      <c r="AM39" s="200"/>
      <c r="AN39" s="200"/>
      <c r="AO39" s="200"/>
      <c r="AP39" s="200"/>
      <c r="AQ39" s="200"/>
      <c r="AR39" s="200"/>
      <c r="AS39" s="200"/>
      <c r="AT39" s="200"/>
      <c r="AU39" s="200"/>
      <c r="AV39" s="200"/>
      <c r="AW39" s="200"/>
      <c r="AX39" s="200"/>
      <c r="AY39" s="200"/>
      <c r="AZ39" s="200"/>
      <c r="BA39" s="200"/>
    </row>
    <row r="40" spans="1:53" ht="14.4">
      <c r="A40" s="201" t="s">
        <v>222</v>
      </c>
      <c r="B40" s="217" t="s">
        <v>181</v>
      </c>
      <c r="C40" s="222">
        <v>6.2869999999999999</v>
      </c>
      <c r="D40" s="222">
        <v>6.2869999999999999</v>
      </c>
      <c r="E40" s="222">
        <v>6.2869999999999999</v>
      </c>
      <c r="F40" s="222">
        <v>6.2869999999999999</v>
      </c>
      <c r="G40" s="222">
        <v>6.2869999999999999</v>
      </c>
      <c r="H40" s="222">
        <v>6.2869999999999999</v>
      </c>
      <c r="I40" s="222">
        <v>6.2869999999999999</v>
      </c>
      <c r="J40" s="222">
        <v>6.2869999999999999</v>
      </c>
      <c r="K40" s="222">
        <v>6.2869999999999999</v>
      </c>
      <c r="L40" s="222">
        <v>6.2869999999999999</v>
      </c>
      <c r="M40" s="222">
        <v>6.2869999999999999</v>
      </c>
      <c r="N40" s="222">
        <v>6.2869999999999999</v>
      </c>
      <c r="O40" s="222">
        <v>6.2869999999999999</v>
      </c>
      <c r="P40" s="222">
        <v>6.2869999999999999</v>
      </c>
      <c r="Q40" s="222">
        <v>6.2869999999999999</v>
      </c>
      <c r="R40" s="222">
        <v>6.2869999999999999</v>
      </c>
      <c r="S40" s="222">
        <v>6.2869999999999999</v>
      </c>
      <c r="T40" s="222">
        <v>6.2869999999999999</v>
      </c>
      <c r="U40" s="222">
        <v>6.2869999999999999</v>
      </c>
      <c r="V40" s="222">
        <v>6.2869999999999999</v>
      </c>
      <c r="W40" s="222">
        <v>6.2869999999999999</v>
      </c>
      <c r="X40" s="222">
        <v>6.2869999999999999</v>
      </c>
      <c r="Y40" s="222">
        <v>6.2869999999999999</v>
      </c>
      <c r="Z40" s="222">
        <v>6.2869999999999999</v>
      </c>
      <c r="AA40" s="222">
        <v>6.2869999999999999</v>
      </c>
      <c r="AB40" s="222">
        <v>6.2869999999999999</v>
      </c>
      <c r="AC40" s="222">
        <v>6.2869999999999999</v>
      </c>
      <c r="AD40" s="222">
        <v>6.2869999999999999</v>
      </c>
      <c r="AE40" s="222">
        <v>6.2869999999999999</v>
      </c>
      <c r="AF40" s="219">
        <v>0</v>
      </c>
      <c r="AG40" s="200"/>
      <c r="AH40" s="200"/>
      <c r="AI40" s="200"/>
      <c r="AJ40" s="200"/>
      <c r="AK40" s="200"/>
      <c r="AL40" s="200"/>
      <c r="AM40" s="200"/>
      <c r="AN40" s="200"/>
      <c r="AO40" s="200"/>
      <c r="AP40" s="200"/>
      <c r="AQ40" s="200"/>
      <c r="AR40" s="200"/>
      <c r="AS40" s="200"/>
      <c r="AT40" s="200"/>
      <c r="AU40" s="200"/>
      <c r="AV40" s="200"/>
      <c r="AW40" s="200"/>
      <c r="AX40" s="200"/>
      <c r="AY40" s="200"/>
      <c r="AZ40" s="200"/>
      <c r="BA40" s="200"/>
    </row>
    <row r="41" spans="1:53" ht="14.4">
      <c r="A41" s="201" t="s">
        <v>224</v>
      </c>
      <c r="B41" s="217" t="s">
        <v>183</v>
      </c>
      <c r="C41" s="222">
        <v>6.2869999999999999</v>
      </c>
      <c r="D41" s="222">
        <v>6.2869999999999999</v>
      </c>
      <c r="E41" s="222">
        <v>6.2869999999999999</v>
      </c>
      <c r="F41" s="222">
        <v>6.2869999999999999</v>
      </c>
      <c r="G41" s="222">
        <v>6.2869999999999999</v>
      </c>
      <c r="H41" s="222">
        <v>6.2869999999999999</v>
      </c>
      <c r="I41" s="222">
        <v>6.2869999999999999</v>
      </c>
      <c r="J41" s="222">
        <v>6.2869999999999999</v>
      </c>
      <c r="K41" s="222">
        <v>6.2869999999999999</v>
      </c>
      <c r="L41" s="222">
        <v>6.2869999999999999</v>
      </c>
      <c r="M41" s="222">
        <v>6.2869999999999999</v>
      </c>
      <c r="N41" s="222">
        <v>6.2869999999999999</v>
      </c>
      <c r="O41" s="222">
        <v>6.2869999999999999</v>
      </c>
      <c r="P41" s="222">
        <v>6.2869999999999999</v>
      </c>
      <c r="Q41" s="222">
        <v>6.2869999999999999</v>
      </c>
      <c r="R41" s="222">
        <v>6.2869999999999999</v>
      </c>
      <c r="S41" s="222">
        <v>6.2869999999999999</v>
      </c>
      <c r="T41" s="222">
        <v>6.2869999999999999</v>
      </c>
      <c r="U41" s="222">
        <v>6.2869999999999999</v>
      </c>
      <c r="V41" s="222">
        <v>6.2869999999999999</v>
      </c>
      <c r="W41" s="222">
        <v>6.2869999999999999</v>
      </c>
      <c r="X41" s="222">
        <v>6.2869999999999999</v>
      </c>
      <c r="Y41" s="222">
        <v>6.2869999999999999</v>
      </c>
      <c r="Z41" s="222">
        <v>6.2869999999999999</v>
      </c>
      <c r="AA41" s="222">
        <v>6.2869999999999999</v>
      </c>
      <c r="AB41" s="222">
        <v>6.2869999999999999</v>
      </c>
      <c r="AC41" s="222">
        <v>6.2869999999999999</v>
      </c>
      <c r="AD41" s="222">
        <v>6.2869999999999999</v>
      </c>
      <c r="AE41" s="222">
        <v>6.2869999999999999</v>
      </c>
      <c r="AF41" s="219">
        <v>0</v>
      </c>
      <c r="AG41" s="200"/>
      <c r="AH41" s="200"/>
      <c r="AI41" s="200"/>
      <c r="AJ41" s="200"/>
      <c r="AK41" s="200"/>
      <c r="AL41" s="200"/>
      <c r="AM41" s="200"/>
      <c r="AN41" s="200"/>
      <c r="AO41" s="200"/>
      <c r="AP41" s="200"/>
      <c r="AQ41" s="200"/>
      <c r="AR41" s="200"/>
      <c r="AS41" s="200"/>
      <c r="AT41" s="200"/>
      <c r="AU41" s="200"/>
      <c r="AV41" s="200"/>
      <c r="AW41" s="200"/>
      <c r="AX41" s="200"/>
      <c r="AY41" s="200"/>
      <c r="AZ41" s="200"/>
      <c r="BA41" s="200"/>
    </row>
    <row r="42" spans="1:53" ht="14.4">
      <c r="A42" s="201" t="s">
        <v>225</v>
      </c>
      <c r="B42" s="217" t="s">
        <v>185</v>
      </c>
      <c r="C42" s="222">
        <v>6.2869999999999999</v>
      </c>
      <c r="D42" s="222">
        <v>6.2869999999999999</v>
      </c>
      <c r="E42" s="222">
        <v>6.2869999999999999</v>
      </c>
      <c r="F42" s="222">
        <v>6.2869999999999999</v>
      </c>
      <c r="G42" s="222">
        <v>6.2869999999999999</v>
      </c>
      <c r="H42" s="222">
        <v>6.2869999999999999</v>
      </c>
      <c r="I42" s="222">
        <v>6.2869999999999999</v>
      </c>
      <c r="J42" s="222">
        <v>6.2869999999999999</v>
      </c>
      <c r="K42" s="222">
        <v>6.2869999999999999</v>
      </c>
      <c r="L42" s="222">
        <v>6.2869999999999999</v>
      </c>
      <c r="M42" s="222">
        <v>6.2869999999999999</v>
      </c>
      <c r="N42" s="222">
        <v>6.2869999999999999</v>
      </c>
      <c r="O42" s="222">
        <v>6.2869999999999999</v>
      </c>
      <c r="P42" s="222">
        <v>6.2869999999999999</v>
      </c>
      <c r="Q42" s="222">
        <v>6.2869999999999999</v>
      </c>
      <c r="R42" s="222">
        <v>6.2869999999999999</v>
      </c>
      <c r="S42" s="222">
        <v>6.2869999999999999</v>
      </c>
      <c r="T42" s="222">
        <v>6.2869999999999999</v>
      </c>
      <c r="U42" s="222">
        <v>6.2869999999999999</v>
      </c>
      <c r="V42" s="222">
        <v>6.2869999999999999</v>
      </c>
      <c r="W42" s="222">
        <v>6.2869999999999999</v>
      </c>
      <c r="X42" s="222">
        <v>6.2869999999999999</v>
      </c>
      <c r="Y42" s="222">
        <v>6.2869999999999999</v>
      </c>
      <c r="Z42" s="222">
        <v>6.2869999999999999</v>
      </c>
      <c r="AA42" s="222">
        <v>6.2869999999999999</v>
      </c>
      <c r="AB42" s="222">
        <v>6.2869999999999999</v>
      </c>
      <c r="AC42" s="222">
        <v>6.2869999999999999</v>
      </c>
      <c r="AD42" s="222">
        <v>6.2869999999999999</v>
      </c>
      <c r="AE42" s="222">
        <v>6.2869999999999999</v>
      </c>
      <c r="AF42" s="219">
        <v>0</v>
      </c>
      <c r="AG42" s="200"/>
      <c r="AH42" s="200"/>
      <c r="AI42" s="200"/>
      <c r="AJ42" s="200"/>
      <c r="AK42" s="200"/>
      <c r="AL42" s="200"/>
      <c r="AM42" s="200"/>
      <c r="AN42" s="200"/>
      <c r="AO42" s="200"/>
      <c r="AP42" s="200"/>
      <c r="AQ42" s="200"/>
      <c r="AR42" s="200"/>
      <c r="AS42" s="200"/>
      <c r="AT42" s="200"/>
      <c r="AU42" s="200"/>
      <c r="AV42" s="200"/>
      <c r="AW42" s="200"/>
      <c r="AX42" s="200"/>
      <c r="AY42" s="200"/>
      <c r="AZ42" s="200"/>
      <c r="BA42" s="200"/>
    </row>
    <row r="43" spans="1:53" ht="14.4">
      <c r="A43" s="201" t="s">
        <v>227</v>
      </c>
      <c r="B43" s="217" t="s">
        <v>187</v>
      </c>
      <c r="C43" s="222">
        <v>6.1917359999999997</v>
      </c>
      <c r="D43" s="222">
        <v>6.1922389999999998</v>
      </c>
      <c r="E43" s="222">
        <v>6.1930670000000001</v>
      </c>
      <c r="F43" s="222">
        <v>6.1635160000000004</v>
      </c>
      <c r="G43" s="222">
        <v>6.1553069999999996</v>
      </c>
      <c r="H43" s="222">
        <v>6.1613670000000003</v>
      </c>
      <c r="I43" s="222">
        <v>6.16242</v>
      </c>
      <c r="J43" s="222">
        <v>6.1634779999999996</v>
      </c>
      <c r="K43" s="222">
        <v>6.1645450000000004</v>
      </c>
      <c r="L43" s="222">
        <v>6.1607760000000003</v>
      </c>
      <c r="M43" s="222">
        <v>6.166696</v>
      </c>
      <c r="N43" s="222">
        <v>6.1677819999999999</v>
      </c>
      <c r="O43" s="222">
        <v>6.1688749999999999</v>
      </c>
      <c r="P43" s="222">
        <v>6.169975</v>
      </c>
      <c r="Q43" s="222">
        <v>6.1710820000000002</v>
      </c>
      <c r="R43" s="222">
        <v>6.1721969999999997</v>
      </c>
      <c r="S43" s="222">
        <v>6.1733180000000001</v>
      </c>
      <c r="T43" s="222">
        <v>6.1744469999999998</v>
      </c>
      <c r="U43" s="222">
        <v>6.1755820000000003</v>
      </c>
      <c r="V43" s="222">
        <v>6.1769319999999999</v>
      </c>
      <c r="W43" s="222">
        <v>6.1780039999999996</v>
      </c>
      <c r="X43" s="222">
        <v>6.1792449999999999</v>
      </c>
      <c r="Y43" s="222">
        <v>6.180129</v>
      </c>
      <c r="Z43" s="222">
        <v>6.1813039999999999</v>
      </c>
      <c r="AA43" s="222">
        <v>6.1824859999999999</v>
      </c>
      <c r="AB43" s="222">
        <v>6.1836760000000002</v>
      </c>
      <c r="AC43" s="222">
        <v>6.1848739999999998</v>
      </c>
      <c r="AD43" s="222">
        <v>6.1860799999999996</v>
      </c>
      <c r="AE43" s="222">
        <v>6.1875859999999996</v>
      </c>
      <c r="AF43" s="219">
        <v>-2.4000000000000001E-5</v>
      </c>
      <c r="AG43" s="200"/>
      <c r="AH43" s="200"/>
      <c r="AI43" s="200"/>
      <c r="AJ43" s="200"/>
      <c r="AK43" s="200"/>
      <c r="AL43" s="200"/>
      <c r="AM43" s="200"/>
      <c r="AN43" s="200"/>
      <c r="AO43" s="200"/>
      <c r="AP43" s="200"/>
      <c r="AQ43" s="200"/>
      <c r="AR43" s="200"/>
      <c r="AS43" s="200"/>
      <c r="AT43" s="200"/>
      <c r="AU43" s="200"/>
      <c r="AV43" s="200"/>
      <c r="AW43" s="200"/>
      <c r="AX43" s="200"/>
      <c r="AY43" s="200"/>
      <c r="AZ43" s="200"/>
      <c r="BA43" s="200"/>
    </row>
    <row r="44" spans="1:53" ht="14.4">
      <c r="A44" s="201" t="s">
        <v>229</v>
      </c>
      <c r="B44" s="217" t="s">
        <v>189</v>
      </c>
      <c r="C44" s="222">
        <v>5.0674640000000002</v>
      </c>
      <c r="D44" s="222">
        <v>5.0591470000000003</v>
      </c>
      <c r="E44" s="222">
        <v>5.0228250000000001</v>
      </c>
      <c r="F44" s="222">
        <v>5.0171900000000003</v>
      </c>
      <c r="G44" s="222">
        <v>5.0003479999999998</v>
      </c>
      <c r="H44" s="222">
        <v>4.9850260000000004</v>
      </c>
      <c r="I44" s="222">
        <v>4.9747820000000003</v>
      </c>
      <c r="J44" s="222">
        <v>4.9674639999999997</v>
      </c>
      <c r="K44" s="222">
        <v>4.9611150000000004</v>
      </c>
      <c r="L44" s="222">
        <v>4.9578129999999998</v>
      </c>
      <c r="M44" s="222">
        <v>4.9526690000000002</v>
      </c>
      <c r="N44" s="222">
        <v>4.9479660000000001</v>
      </c>
      <c r="O44" s="222">
        <v>4.9421249999999999</v>
      </c>
      <c r="P44" s="222">
        <v>4.9375249999999999</v>
      </c>
      <c r="Q44" s="222">
        <v>4.9320089999999999</v>
      </c>
      <c r="R44" s="222">
        <v>4.9291029999999996</v>
      </c>
      <c r="S44" s="222">
        <v>4.9277689999999996</v>
      </c>
      <c r="T44" s="222">
        <v>4.9226599999999996</v>
      </c>
      <c r="U44" s="222">
        <v>4.9201430000000004</v>
      </c>
      <c r="V44" s="222">
        <v>4.9166780000000001</v>
      </c>
      <c r="W44" s="222">
        <v>4.9108590000000003</v>
      </c>
      <c r="X44" s="222">
        <v>4.9054799999999998</v>
      </c>
      <c r="Y44" s="222">
        <v>4.9031469999999997</v>
      </c>
      <c r="Z44" s="222">
        <v>4.9015979999999999</v>
      </c>
      <c r="AA44" s="222">
        <v>4.8992639999999996</v>
      </c>
      <c r="AB44" s="222">
        <v>4.896852</v>
      </c>
      <c r="AC44" s="222">
        <v>4.895994</v>
      </c>
      <c r="AD44" s="222">
        <v>4.8937970000000002</v>
      </c>
      <c r="AE44" s="222">
        <v>4.8910229999999997</v>
      </c>
      <c r="AF44" s="219">
        <v>-1.2650000000000001E-3</v>
      </c>
      <c r="AG44" s="200"/>
      <c r="AH44" s="200"/>
      <c r="AI44" s="200"/>
      <c r="AJ44" s="200"/>
      <c r="AK44" s="200"/>
      <c r="AL44" s="200"/>
      <c r="AM44" s="200"/>
      <c r="AN44" s="200"/>
      <c r="AO44" s="200"/>
      <c r="AP44" s="200"/>
      <c r="AQ44" s="200"/>
      <c r="AR44" s="200"/>
      <c r="AS44" s="200"/>
      <c r="AT44" s="200"/>
      <c r="AU44" s="200"/>
      <c r="AV44" s="200"/>
      <c r="AW44" s="200"/>
      <c r="AX44" s="200"/>
      <c r="AY44" s="200"/>
      <c r="AZ44" s="200"/>
      <c r="BA44" s="200"/>
    </row>
    <row r="45" spans="1:53" ht="14.4">
      <c r="A45" s="201" t="s">
        <v>231</v>
      </c>
      <c r="B45" s="217" t="s">
        <v>191</v>
      </c>
      <c r="C45" s="222">
        <v>5.8927449999999997</v>
      </c>
      <c r="D45" s="222">
        <v>5.7899760000000002</v>
      </c>
      <c r="E45" s="222">
        <v>5.7951759999999997</v>
      </c>
      <c r="F45" s="222">
        <v>5.7833329999999998</v>
      </c>
      <c r="G45" s="222">
        <v>5.778988</v>
      </c>
      <c r="H45" s="222">
        <v>5.7994719999999997</v>
      </c>
      <c r="I45" s="222">
        <v>5.8094400000000004</v>
      </c>
      <c r="J45" s="222">
        <v>5.8209179999999998</v>
      </c>
      <c r="K45" s="222">
        <v>5.8264579999999997</v>
      </c>
      <c r="L45" s="222">
        <v>5.8332709999999999</v>
      </c>
      <c r="M45" s="222">
        <v>5.8364739999999999</v>
      </c>
      <c r="N45" s="222">
        <v>5.8459729999999999</v>
      </c>
      <c r="O45" s="222">
        <v>5.848357</v>
      </c>
      <c r="P45" s="222">
        <v>5.8588459999999998</v>
      </c>
      <c r="Q45" s="222">
        <v>5.855556</v>
      </c>
      <c r="R45" s="222">
        <v>5.8578039999999998</v>
      </c>
      <c r="S45" s="222">
        <v>5.858994</v>
      </c>
      <c r="T45" s="222">
        <v>5.8614499999999996</v>
      </c>
      <c r="U45" s="222">
        <v>5.8606189999999998</v>
      </c>
      <c r="V45" s="222">
        <v>5.8597039999999998</v>
      </c>
      <c r="W45" s="222">
        <v>5.8580019999999999</v>
      </c>
      <c r="X45" s="222">
        <v>5.856611</v>
      </c>
      <c r="Y45" s="222">
        <v>5.8545439999999997</v>
      </c>
      <c r="Z45" s="222">
        <v>5.8540340000000004</v>
      </c>
      <c r="AA45" s="222">
        <v>5.8469509999999998</v>
      </c>
      <c r="AB45" s="222">
        <v>5.8447509999999996</v>
      </c>
      <c r="AC45" s="222">
        <v>5.8390459999999997</v>
      </c>
      <c r="AD45" s="222">
        <v>5.8365780000000003</v>
      </c>
      <c r="AE45" s="222">
        <v>5.8334640000000002</v>
      </c>
      <c r="AF45" s="219">
        <v>-3.6099999999999999E-4</v>
      </c>
      <c r="AG45" s="200"/>
      <c r="AH45" s="200"/>
      <c r="AI45" s="200"/>
      <c r="AJ45" s="200"/>
      <c r="AK45" s="200"/>
      <c r="AL45" s="200"/>
      <c r="AM45" s="200"/>
      <c r="AN45" s="200"/>
      <c r="AO45" s="200"/>
      <c r="AP45" s="200"/>
      <c r="AQ45" s="200"/>
      <c r="AR45" s="200"/>
      <c r="AS45" s="200"/>
      <c r="AT45" s="200"/>
      <c r="AU45" s="200"/>
      <c r="AV45" s="200"/>
      <c r="AW45" s="200"/>
      <c r="AX45" s="200"/>
      <c r="AY45" s="200"/>
      <c r="AZ45" s="200"/>
      <c r="BA45" s="200"/>
    </row>
    <row r="46" spans="1:53" ht="14.4">
      <c r="A46" s="201" t="s">
        <v>233</v>
      </c>
      <c r="B46" s="217" t="s">
        <v>193</v>
      </c>
      <c r="C46" s="222">
        <v>5.0452859999999999</v>
      </c>
      <c r="D46" s="222">
        <v>5.1030439999999997</v>
      </c>
      <c r="E46" s="222">
        <v>5.0647929999999999</v>
      </c>
      <c r="F46" s="222">
        <v>5.0659340000000004</v>
      </c>
      <c r="G46" s="222">
        <v>5.0950769999999999</v>
      </c>
      <c r="H46" s="222">
        <v>5.1758240000000004</v>
      </c>
      <c r="I46" s="222">
        <v>5.2263799999999998</v>
      </c>
      <c r="J46" s="222">
        <v>5.2632329999999996</v>
      </c>
      <c r="K46" s="222">
        <v>5.2736970000000003</v>
      </c>
      <c r="L46" s="222">
        <v>5.2972070000000002</v>
      </c>
      <c r="M46" s="222">
        <v>5.2950119999999998</v>
      </c>
      <c r="N46" s="222">
        <v>5.2941830000000003</v>
      </c>
      <c r="O46" s="222">
        <v>5.2844410000000002</v>
      </c>
      <c r="P46" s="222">
        <v>5.2890100000000002</v>
      </c>
      <c r="Q46" s="222">
        <v>5.2747729999999997</v>
      </c>
      <c r="R46" s="222">
        <v>5.276637</v>
      </c>
      <c r="S46" s="222">
        <v>5.2793460000000003</v>
      </c>
      <c r="T46" s="222">
        <v>5.27027</v>
      </c>
      <c r="U46" s="222">
        <v>5.2766000000000002</v>
      </c>
      <c r="V46" s="222">
        <v>5.2763980000000004</v>
      </c>
      <c r="W46" s="222">
        <v>5.2635959999999997</v>
      </c>
      <c r="X46" s="222">
        <v>5.2571779999999997</v>
      </c>
      <c r="Y46" s="222">
        <v>5.2545260000000003</v>
      </c>
      <c r="Z46" s="222">
        <v>5.2526799999999998</v>
      </c>
      <c r="AA46" s="222">
        <v>5.2501319999999998</v>
      </c>
      <c r="AB46" s="222">
        <v>5.2491159999999999</v>
      </c>
      <c r="AC46" s="222">
        <v>5.2505110000000004</v>
      </c>
      <c r="AD46" s="222">
        <v>5.2516730000000003</v>
      </c>
      <c r="AE46" s="222">
        <v>5.2525630000000003</v>
      </c>
      <c r="AF46" s="219">
        <v>1.439E-3</v>
      </c>
      <c r="AG46" s="200"/>
      <c r="AH46" s="200"/>
      <c r="AI46" s="200"/>
      <c r="AJ46" s="200"/>
      <c r="AK46" s="200"/>
      <c r="AL46" s="200"/>
      <c r="AM46" s="200"/>
      <c r="AN46" s="200"/>
      <c r="AO46" s="200"/>
      <c r="AP46" s="200"/>
      <c r="AQ46" s="200"/>
      <c r="AR46" s="200"/>
      <c r="AS46" s="200"/>
      <c r="AT46" s="200"/>
      <c r="AU46" s="200"/>
      <c r="AV46" s="200"/>
      <c r="AW46" s="200"/>
      <c r="AX46" s="200"/>
      <c r="AY46" s="200"/>
      <c r="AZ46" s="200"/>
      <c r="BA46" s="200"/>
    </row>
    <row r="47" spans="1:53" ht="14.4">
      <c r="A47" s="201" t="s">
        <v>234</v>
      </c>
      <c r="B47" s="216" t="s">
        <v>194</v>
      </c>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c r="AA47" s="200"/>
      <c r="AB47" s="200"/>
      <c r="AC47" s="200"/>
      <c r="AD47" s="200"/>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00"/>
    </row>
    <row r="48" spans="1:53" ht="14.4">
      <c r="A48" s="201" t="s">
        <v>235</v>
      </c>
      <c r="B48" s="217" t="s">
        <v>196</v>
      </c>
      <c r="C48" s="222">
        <v>5.6948990000000004</v>
      </c>
      <c r="D48" s="222">
        <v>5.6877190000000004</v>
      </c>
      <c r="E48" s="222">
        <v>5.6846410000000001</v>
      </c>
      <c r="F48" s="222">
        <v>5.6858890000000004</v>
      </c>
      <c r="G48" s="222">
        <v>5.6853109999999996</v>
      </c>
      <c r="H48" s="222">
        <v>5.6856270000000002</v>
      </c>
      <c r="I48" s="222">
        <v>5.6911149999999999</v>
      </c>
      <c r="J48" s="222">
        <v>5.6918160000000002</v>
      </c>
      <c r="K48" s="222">
        <v>5.6920570000000001</v>
      </c>
      <c r="L48" s="222">
        <v>5.6911259999999997</v>
      </c>
      <c r="M48" s="222">
        <v>5.6898340000000003</v>
      </c>
      <c r="N48" s="222">
        <v>5.6889719999999997</v>
      </c>
      <c r="O48" s="222">
        <v>5.6877810000000002</v>
      </c>
      <c r="P48" s="222">
        <v>5.6863159999999997</v>
      </c>
      <c r="Q48" s="222">
        <v>5.6842800000000002</v>
      </c>
      <c r="R48" s="222">
        <v>5.6826759999999998</v>
      </c>
      <c r="S48" s="222">
        <v>5.6804309999999996</v>
      </c>
      <c r="T48" s="222">
        <v>5.6789680000000002</v>
      </c>
      <c r="U48" s="222">
        <v>5.6764890000000001</v>
      </c>
      <c r="V48" s="222">
        <v>5.6727150000000002</v>
      </c>
      <c r="W48" s="222">
        <v>5.6709899999999998</v>
      </c>
      <c r="X48" s="222">
        <v>5.6708759999999998</v>
      </c>
      <c r="Y48" s="222">
        <v>5.6713120000000004</v>
      </c>
      <c r="Z48" s="222">
        <v>5.6707489999999998</v>
      </c>
      <c r="AA48" s="222">
        <v>5.6692479999999996</v>
      </c>
      <c r="AB48" s="222">
        <v>5.6653739999999999</v>
      </c>
      <c r="AC48" s="222">
        <v>5.6687510000000003</v>
      </c>
      <c r="AD48" s="222">
        <v>5.6699580000000003</v>
      </c>
      <c r="AE48" s="222">
        <v>5.6687200000000004</v>
      </c>
      <c r="AF48" s="219">
        <v>-1.65E-4</v>
      </c>
      <c r="AG48" s="200"/>
      <c r="AH48" s="200"/>
      <c r="AI48" s="200"/>
      <c r="AJ48" s="200"/>
      <c r="AK48" s="200"/>
      <c r="AL48" s="200"/>
      <c r="AM48" s="200"/>
      <c r="AN48" s="200"/>
      <c r="AO48" s="200"/>
      <c r="AP48" s="200"/>
      <c r="AQ48" s="200"/>
      <c r="AR48" s="200"/>
      <c r="AS48" s="200"/>
      <c r="AT48" s="200"/>
      <c r="AU48" s="200"/>
      <c r="AV48" s="200"/>
      <c r="AW48" s="200"/>
      <c r="AX48" s="200"/>
      <c r="AY48" s="200"/>
      <c r="AZ48" s="200"/>
      <c r="BA48" s="200"/>
    </row>
    <row r="49" spans="1:53" ht="14.4">
      <c r="A49" s="201" t="s">
        <v>237</v>
      </c>
      <c r="B49" s="217" t="s">
        <v>198</v>
      </c>
      <c r="C49" s="222">
        <v>6.037077</v>
      </c>
      <c r="D49" s="222">
        <v>5.9970509999999999</v>
      </c>
      <c r="E49" s="222">
        <v>6.0355489999999996</v>
      </c>
      <c r="F49" s="222">
        <v>6.0402279999999999</v>
      </c>
      <c r="G49" s="222">
        <v>6.0577889999999996</v>
      </c>
      <c r="H49" s="222">
        <v>6.0494770000000004</v>
      </c>
      <c r="I49" s="222">
        <v>6.0610679999999997</v>
      </c>
      <c r="J49" s="222">
        <v>6.0603530000000001</v>
      </c>
      <c r="K49" s="222">
        <v>6.0616399999999997</v>
      </c>
      <c r="L49" s="222">
        <v>6.070837</v>
      </c>
      <c r="M49" s="222">
        <v>6.0799519999999996</v>
      </c>
      <c r="N49" s="222">
        <v>6.0781080000000003</v>
      </c>
      <c r="O49" s="222">
        <v>6.0890230000000001</v>
      </c>
      <c r="P49" s="222">
        <v>6.0897579999999998</v>
      </c>
      <c r="Q49" s="222">
        <v>6.0896980000000003</v>
      </c>
      <c r="R49" s="222">
        <v>6.0990609999999998</v>
      </c>
      <c r="S49" s="222">
        <v>6.098973</v>
      </c>
      <c r="T49" s="222">
        <v>6.0996079999999999</v>
      </c>
      <c r="U49" s="222">
        <v>6.101254</v>
      </c>
      <c r="V49" s="222">
        <v>6.0983270000000003</v>
      </c>
      <c r="W49" s="222">
        <v>6.0973819999999996</v>
      </c>
      <c r="X49" s="222">
        <v>6.1017659999999996</v>
      </c>
      <c r="Y49" s="222">
        <v>6.1045309999999997</v>
      </c>
      <c r="Z49" s="222">
        <v>6.1059720000000004</v>
      </c>
      <c r="AA49" s="222">
        <v>6.1007020000000001</v>
      </c>
      <c r="AB49" s="222">
        <v>6.1004480000000001</v>
      </c>
      <c r="AC49" s="222">
        <v>6.09999</v>
      </c>
      <c r="AD49" s="222">
        <v>6.1005159999999998</v>
      </c>
      <c r="AE49" s="222">
        <v>6.1003499999999997</v>
      </c>
      <c r="AF49" s="219">
        <v>3.7199999999999999E-4</v>
      </c>
      <c r="AG49" s="200"/>
      <c r="AH49" s="200"/>
      <c r="AI49" s="200"/>
      <c r="AJ49" s="200"/>
      <c r="AK49" s="200"/>
      <c r="AL49" s="200"/>
      <c r="AM49" s="200"/>
      <c r="AN49" s="200"/>
      <c r="AO49" s="200"/>
      <c r="AP49" s="200"/>
      <c r="AQ49" s="200"/>
      <c r="AR49" s="200"/>
      <c r="AS49" s="200"/>
      <c r="AT49" s="200"/>
      <c r="AU49" s="200"/>
      <c r="AV49" s="200"/>
      <c r="AW49" s="200"/>
      <c r="AX49" s="200"/>
      <c r="AY49" s="200"/>
      <c r="AZ49" s="200"/>
      <c r="BA49" s="200"/>
    </row>
    <row r="50" spans="1:53" ht="15" customHeight="1">
      <c r="A50" s="199"/>
      <c r="B50" s="217" t="s">
        <v>200</v>
      </c>
      <c r="C50" s="222">
        <v>5.5726060000000004</v>
      </c>
      <c r="D50" s="222">
        <v>5.5974430000000002</v>
      </c>
      <c r="E50" s="222">
        <v>5.5954059999999997</v>
      </c>
      <c r="F50" s="222">
        <v>5.5953169999999997</v>
      </c>
      <c r="G50" s="222">
        <v>5.5952440000000001</v>
      </c>
      <c r="H50" s="222">
        <v>5.5950730000000002</v>
      </c>
      <c r="I50" s="222">
        <v>5.5949450000000001</v>
      </c>
      <c r="J50" s="222">
        <v>5.5948209999999996</v>
      </c>
      <c r="K50" s="222">
        <v>5.5946709999999999</v>
      </c>
      <c r="L50" s="222">
        <v>5.5945970000000003</v>
      </c>
      <c r="M50" s="222">
        <v>5.5945309999999999</v>
      </c>
      <c r="N50" s="222">
        <v>5.5944700000000003</v>
      </c>
      <c r="O50" s="222">
        <v>5.594379</v>
      </c>
      <c r="P50" s="222">
        <v>5.5942720000000001</v>
      </c>
      <c r="Q50" s="222">
        <v>5.59422</v>
      </c>
      <c r="R50" s="222">
        <v>5.5941409999999996</v>
      </c>
      <c r="S50" s="222">
        <v>5.5940859999999999</v>
      </c>
      <c r="T50" s="222">
        <v>5.5939909999999999</v>
      </c>
      <c r="U50" s="222">
        <v>5.5939639999999997</v>
      </c>
      <c r="V50" s="222">
        <v>5.593852</v>
      </c>
      <c r="W50" s="222">
        <v>5.5937570000000001</v>
      </c>
      <c r="X50" s="222">
        <v>5.5936409999999999</v>
      </c>
      <c r="Y50" s="222">
        <v>5.5935579999999998</v>
      </c>
      <c r="Z50" s="222">
        <v>5.5934499999999998</v>
      </c>
      <c r="AA50" s="222">
        <v>5.5934369999999998</v>
      </c>
      <c r="AB50" s="222">
        <v>5.5933469999999996</v>
      </c>
      <c r="AC50" s="222">
        <v>5.5945410000000004</v>
      </c>
      <c r="AD50" s="222">
        <v>5.5939819999999996</v>
      </c>
      <c r="AE50" s="222">
        <v>5.5930359999999997</v>
      </c>
      <c r="AF50" s="219">
        <v>1.3100000000000001E-4</v>
      </c>
      <c r="AG50" s="200"/>
      <c r="AH50" s="200"/>
      <c r="AI50" s="200"/>
      <c r="AJ50" s="200"/>
      <c r="AK50" s="200"/>
      <c r="AL50" s="200"/>
      <c r="AM50" s="200"/>
      <c r="AN50" s="200"/>
      <c r="AO50" s="200"/>
      <c r="AP50" s="200"/>
      <c r="AQ50" s="200"/>
      <c r="AR50" s="200"/>
      <c r="AS50" s="200"/>
      <c r="AT50" s="200"/>
      <c r="AU50" s="200"/>
      <c r="AV50" s="200"/>
      <c r="AW50" s="200"/>
      <c r="AX50" s="200"/>
      <c r="AY50" s="200"/>
      <c r="AZ50" s="200"/>
      <c r="BA50" s="200"/>
    </row>
    <row r="51" spans="1:53" ht="15" customHeight="1">
      <c r="A51" s="199"/>
      <c r="B51" s="217" t="s">
        <v>202</v>
      </c>
      <c r="C51" s="222">
        <v>3.5650970000000002</v>
      </c>
      <c r="D51" s="222">
        <v>3.5545019999999998</v>
      </c>
      <c r="E51" s="222">
        <v>3.5491320000000002</v>
      </c>
      <c r="F51" s="222">
        <v>3.5417900000000002</v>
      </c>
      <c r="G51" s="222">
        <v>3.5397370000000001</v>
      </c>
      <c r="H51" s="222">
        <v>3.5402360000000002</v>
      </c>
      <c r="I51" s="222">
        <v>3.541674</v>
      </c>
      <c r="J51" s="222">
        <v>3.5420600000000002</v>
      </c>
      <c r="K51" s="222">
        <v>3.5418940000000001</v>
      </c>
      <c r="L51" s="222">
        <v>3.5411049999999999</v>
      </c>
      <c r="M51" s="222">
        <v>3.5407579999999998</v>
      </c>
      <c r="N51" s="222">
        <v>3.540197</v>
      </c>
      <c r="O51" s="222">
        <v>3.5389210000000002</v>
      </c>
      <c r="P51" s="222">
        <v>3.5374219999999998</v>
      </c>
      <c r="Q51" s="222">
        <v>3.5376159999999999</v>
      </c>
      <c r="R51" s="222">
        <v>3.5382470000000001</v>
      </c>
      <c r="S51" s="222">
        <v>3.5379139999999998</v>
      </c>
      <c r="T51" s="222">
        <v>3.5375230000000002</v>
      </c>
      <c r="U51" s="222">
        <v>3.5342799999999999</v>
      </c>
      <c r="V51" s="222">
        <v>3.5322290000000001</v>
      </c>
      <c r="W51" s="222">
        <v>3.5295700000000001</v>
      </c>
      <c r="X51" s="222">
        <v>3.5280019999999999</v>
      </c>
      <c r="Y51" s="222">
        <v>3.528308</v>
      </c>
      <c r="Z51" s="222">
        <v>3.5286379999999999</v>
      </c>
      <c r="AA51" s="222">
        <v>3.5291399999999999</v>
      </c>
      <c r="AB51" s="222">
        <v>3.5295570000000001</v>
      </c>
      <c r="AC51" s="222">
        <v>3.5307490000000001</v>
      </c>
      <c r="AD51" s="222">
        <v>3.531657</v>
      </c>
      <c r="AE51" s="222">
        <v>3.5311599999999999</v>
      </c>
      <c r="AF51" s="219">
        <v>-3.4200000000000002E-4</v>
      </c>
      <c r="AG51" s="200"/>
      <c r="AH51" s="200"/>
      <c r="AI51" s="200"/>
      <c r="AJ51" s="200"/>
      <c r="AK51" s="200"/>
      <c r="AL51" s="200"/>
      <c r="AM51" s="200"/>
      <c r="AN51" s="200"/>
      <c r="AO51" s="200"/>
      <c r="AP51" s="200"/>
      <c r="AQ51" s="200"/>
      <c r="AR51" s="200"/>
      <c r="AS51" s="200"/>
      <c r="AT51" s="200"/>
      <c r="AU51" s="200"/>
      <c r="AV51" s="200"/>
      <c r="AW51" s="200"/>
      <c r="AX51" s="200"/>
      <c r="AY51" s="200"/>
      <c r="AZ51" s="200"/>
      <c r="BA51" s="200"/>
    </row>
    <row r="52" spans="1:53" ht="15" customHeight="1">
      <c r="A52" s="199"/>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row>
    <row r="53" spans="1:53" ht="15" customHeight="1">
      <c r="A53" s="201" t="s">
        <v>239</v>
      </c>
      <c r="B53" s="216" t="s">
        <v>203</v>
      </c>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row>
    <row r="54" spans="1:53" ht="15" customHeight="1">
      <c r="A54" s="201" t="s">
        <v>472</v>
      </c>
      <c r="B54" s="217" t="s">
        <v>205</v>
      </c>
      <c r="C54" s="222">
        <v>1.0369999999999999</v>
      </c>
      <c r="D54" s="222">
        <v>1.0369999999999999</v>
      </c>
      <c r="E54" s="222">
        <v>1.0369999999999999</v>
      </c>
      <c r="F54" s="222">
        <v>1.0369999999999999</v>
      </c>
      <c r="G54" s="222">
        <v>1.0369999999999999</v>
      </c>
      <c r="H54" s="222">
        <v>1.0369999999999999</v>
      </c>
      <c r="I54" s="222">
        <v>1.0369999999999999</v>
      </c>
      <c r="J54" s="222">
        <v>1.0369999999999999</v>
      </c>
      <c r="K54" s="222">
        <v>1.0369999999999999</v>
      </c>
      <c r="L54" s="222">
        <v>1.0369999999999999</v>
      </c>
      <c r="M54" s="222">
        <v>1.0369999999999999</v>
      </c>
      <c r="N54" s="222">
        <v>1.0369999999999999</v>
      </c>
      <c r="O54" s="222">
        <v>1.0369999999999999</v>
      </c>
      <c r="P54" s="222">
        <v>1.0369999999999999</v>
      </c>
      <c r="Q54" s="222">
        <v>1.0369999999999999</v>
      </c>
      <c r="R54" s="222">
        <v>1.0369999999999999</v>
      </c>
      <c r="S54" s="222">
        <v>1.0369999999999999</v>
      </c>
      <c r="T54" s="222">
        <v>1.0369999999999999</v>
      </c>
      <c r="U54" s="222">
        <v>1.0369999999999999</v>
      </c>
      <c r="V54" s="222">
        <v>1.0369999999999999</v>
      </c>
      <c r="W54" s="222">
        <v>1.0369999999999999</v>
      </c>
      <c r="X54" s="222">
        <v>1.0369999999999999</v>
      </c>
      <c r="Y54" s="222">
        <v>1.0369999999999999</v>
      </c>
      <c r="Z54" s="222">
        <v>1.0369999999999999</v>
      </c>
      <c r="AA54" s="222">
        <v>1.0369999999999999</v>
      </c>
      <c r="AB54" s="222">
        <v>1.0369999999999999</v>
      </c>
      <c r="AC54" s="222">
        <v>1.0369999999999999</v>
      </c>
      <c r="AD54" s="222">
        <v>1.0369999999999999</v>
      </c>
      <c r="AE54" s="222">
        <v>1.0369999999999999</v>
      </c>
      <c r="AF54" s="219">
        <v>0</v>
      </c>
      <c r="AG54" s="200"/>
      <c r="AH54" s="200"/>
      <c r="AI54" s="200"/>
      <c r="AJ54" s="200"/>
      <c r="AK54" s="200"/>
      <c r="AL54" s="200"/>
      <c r="AM54" s="200"/>
      <c r="AN54" s="200"/>
      <c r="AO54" s="200"/>
      <c r="AP54" s="200"/>
      <c r="AQ54" s="200"/>
      <c r="AR54" s="200"/>
      <c r="AS54" s="200"/>
      <c r="AT54" s="200"/>
      <c r="AU54" s="200"/>
      <c r="AV54" s="200"/>
      <c r="AW54" s="200"/>
      <c r="AX54" s="200"/>
      <c r="AY54" s="200"/>
      <c r="AZ54" s="200"/>
      <c r="BA54" s="200"/>
    </row>
    <row r="55" spans="1:53" ht="15" customHeight="1">
      <c r="A55" s="199"/>
      <c r="B55" s="217" t="s">
        <v>207</v>
      </c>
      <c r="C55" s="222">
        <v>1.034</v>
      </c>
      <c r="D55" s="222">
        <v>1.034</v>
      </c>
      <c r="E55" s="222">
        <v>1.034</v>
      </c>
      <c r="F55" s="222">
        <v>1.034</v>
      </c>
      <c r="G55" s="222">
        <v>1.034</v>
      </c>
      <c r="H55" s="222">
        <v>1.034</v>
      </c>
      <c r="I55" s="222">
        <v>1.034</v>
      </c>
      <c r="J55" s="222">
        <v>1.034</v>
      </c>
      <c r="K55" s="222">
        <v>1.034</v>
      </c>
      <c r="L55" s="222">
        <v>1.034</v>
      </c>
      <c r="M55" s="222">
        <v>1.034</v>
      </c>
      <c r="N55" s="222">
        <v>1.034</v>
      </c>
      <c r="O55" s="222">
        <v>1.034</v>
      </c>
      <c r="P55" s="222">
        <v>1.034</v>
      </c>
      <c r="Q55" s="222">
        <v>1.034</v>
      </c>
      <c r="R55" s="222">
        <v>1.034</v>
      </c>
      <c r="S55" s="222">
        <v>1.034</v>
      </c>
      <c r="T55" s="222">
        <v>1.034</v>
      </c>
      <c r="U55" s="222">
        <v>1.034</v>
      </c>
      <c r="V55" s="222">
        <v>1.034</v>
      </c>
      <c r="W55" s="222">
        <v>1.034</v>
      </c>
      <c r="X55" s="222">
        <v>1.034</v>
      </c>
      <c r="Y55" s="222">
        <v>1.034</v>
      </c>
      <c r="Z55" s="222">
        <v>1.034</v>
      </c>
      <c r="AA55" s="222">
        <v>1.034</v>
      </c>
      <c r="AB55" s="222">
        <v>1.034</v>
      </c>
      <c r="AC55" s="222">
        <v>1.034</v>
      </c>
      <c r="AD55" s="222">
        <v>1.034</v>
      </c>
      <c r="AE55" s="222">
        <v>1.034</v>
      </c>
      <c r="AF55" s="219">
        <v>0</v>
      </c>
      <c r="AG55" s="200"/>
      <c r="AH55" s="200"/>
      <c r="AI55" s="200"/>
      <c r="AJ55" s="200"/>
      <c r="AK55" s="200"/>
      <c r="AL55" s="200"/>
      <c r="AM55" s="200"/>
      <c r="AN55" s="200"/>
      <c r="AO55" s="200"/>
      <c r="AP55" s="200"/>
      <c r="AQ55" s="200"/>
      <c r="AR55" s="200"/>
      <c r="AS55" s="200"/>
      <c r="AT55" s="200"/>
      <c r="AU55" s="200"/>
      <c r="AV55" s="200"/>
      <c r="AW55" s="200"/>
      <c r="AX55" s="200"/>
      <c r="AY55" s="200"/>
      <c r="AZ55" s="200"/>
      <c r="BA55" s="200"/>
    </row>
    <row r="56" spans="1:53" ht="15" customHeight="1">
      <c r="A56" s="199"/>
      <c r="B56" s="217" t="s">
        <v>209</v>
      </c>
      <c r="C56" s="222">
        <v>1.0389999999999999</v>
      </c>
      <c r="D56" s="222">
        <v>1.0389999999999999</v>
      </c>
      <c r="E56" s="222">
        <v>1.0389999999999999</v>
      </c>
      <c r="F56" s="222">
        <v>1.0389999999999999</v>
      </c>
      <c r="G56" s="222">
        <v>1.0389999999999999</v>
      </c>
      <c r="H56" s="222">
        <v>1.0389999999999999</v>
      </c>
      <c r="I56" s="222">
        <v>1.0389999999999999</v>
      </c>
      <c r="J56" s="222">
        <v>1.0389999999999999</v>
      </c>
      <c r="K56" s="222">
        <v>1.0389999999999999</v>
      </c>
      <c r="L56" s="222">
        <v>1.0389999999999999</v>
      </c>
      <c r="M56" s="222">
        <v>1.0389999999999999</v>
      </c>
      <c r="N56" s="222">
        <v>1.0389999999999999</v>
      </c>
      <c r="O56" s="222">
        <v>1.0389999999999999</v>
      </c>
      <c r="P56" s="222">
        <v>1.0389999999999999</v>
      </c>
      <c r="Q56" s="222">
        <v>1.0389999999999999</v>
      </c>
      <c r="R56" s="222">
        <v>1.0389999999999999</v>
      </c>
      <c r="S56" s="222">
        <v>1.0389999999999999</v>
      </c>
      <c r="T56" s="222">
        <v>1.0389999999999999</v>
      </c>
      <c r="U56" s="222">
        <v>1.0389999999999999</v>
      </c>
      <c r="V56" s="222">
        <v>1.0389999999999999</v>
      </c>
      <c r="W56" s="222">
        <v>1.0389999999999999</v>
      </c>
      <c r="X56" s="222">
        <v>1.0389999999999999</v>
      </c>
      <c r="Y56" s="222">
        <v>1.0389999999999999</v>
      </c>
      <c r="Z56" s="222">
        <v>1.0389999999999999</v>
      </c>
      <c r="AA56" s="222">
        <v>1.0389999999999999</v>
      </c>
      <c r="AB56" s="222">
        <v>1.0389999999999999</v>
      </c>
      <c r="AC56" s="222">
        <v>1.0389999999999999</v>
      </c>
      <c r="AD56" s="222">
        <v>1.0389999999999999</v>
      </c>
      <c r="AE56" s="222">
        <v>1.0389999999999999</v>
      </c>
      <c r="AF56" s="219">
        <v>0</v>
      </c>
      <c r="AG56" s="200"/>
      <c r="AH56" s="200"/>
      <c r="AI56" s="200"/>
      <c r="AJ56" s="200"/>
      <c r="AK56" s="200"/>
      <c r="AL56" s="200"/>
      <c r="AM56" s="200"/>
      <c r="AN56" s="200"/>
      <c r="AO56" s="200"/>
      <c r="AP56" s="200"/>
      <c r="AQ56" s="200"/>
      <c r="AR56" s="200"/>
      <c r="AS56" s="200"/>
      <c r="AT56" s="200"/>
      <c r="AU56" s="200"/>
      <c r="AV56" s="200"/>
      <c r="AW56" s="200"/>
      <c r="AX56" s="200"/>
      <c r="AY56" s="200"/>
      <c r="AZ56" s="200"/>
      <c r="BA56" s="200"/>
    </row>
    <row r="57" spans="1:53" ht="15" customHeight="1">
      <c r="A57" s="199"/>
      <c r="B57" s="217" t="s">
        <v>211</v>
      </c>
      <c r="C57" s="222">
        <v>1.0369999999999999</v>
      </c>
      <c r="D57" s="222">
        <v>1.0369999999999999</v>
      </c>
      <c r="E57" s="222">
        <v>1.0369999999999999</v>
      </c>
      <c r="F57" s="222">
        <v>1.0369999999999999</v>
      </c>
      <c r="G57" s="222">
        <v>1.0369999999999999</v>
      </c>
      <c r="H57" s="222">
        <v>1.0369999999999999</v>
      </c>
      <c r="I57" s="222">
        <v>1.0369999999999999</v>
      </c>
      <c r="J57" s="222">
        <v>1.0369999999999999</v>
      </c>
      <c r="K57" s="222">
        <v>1.0369999999999999</v>
      </c>
      <c r="L57" s="222">
        <v>1.0369999999999999</v>
      </c>
      <c r="M57" s="222">
        <v>1.0369999999999999</v>
      </c>
      <c r="N57" s="222">
        <v>1.0369999999999999</v>
      </c>
      <c r="O57" s="222">
        <v>1.0369999999999999</v>
      </c>
      <c r="P57" s="222">
        <v>1.0369999999999999</v>
      </c>
      <c r="Q57" s="222">
        <v>1.0369999999999999</v>
      </c>
      <c r="R57" s="222">
        <v>1.0369999999999999</v>
      </c>
      <c r="S57" s="222">
        <v>1.0369999999999999</v>
      </c>
      <c r="T57" s="222">
        <v>1.0369999999999999</v>
      </c>
      <c r="U57" s="222">
        <v>1.0369999999999999</v>
      </c>
      <c r="V57" s="222">
        <v>1.0369999999999999</v>
      </c>
      <c r="W57" s="222">
        <v>1.0369999999999999</v>
      </c>
      <c r="X57" s="222">
        <v>1.0369999999999999</v>
      </c>
      <c r="Y57" s="222">
        <v>1.0369999999999999</v>
      </c>
      <c r="Z57" s="222">
        <v>1.0369999999999999</v>
      </c>
      <c r="AA57" s="222">
        <v>1.0369999999999999</v>
      </c>
      <c r="AB57" s="222">
        <v>1.0369999999999999</v>
      </c>
      <c r="AC57" s="222">
        <v>1.0369999999999999</v>
      </c>
      <c r="AD57" s="222">
        <v>1.0369999999999999</v>
      </c>
      <c r="AE57" s="222">
        <v>1.0369999999999999</v>
      </c>
      <c r="AF57" s="219">
        <v>0</v>
      </c>
      <c r="AG57" s="200"/>
      <c r="AH57" s="200"/>
      <c r="AI57" s="200"/>
      <c r="AJ57" s="200"/>
      <c r="AK57" s="200"/>
      <c r="AL57" s="200"/>
      <c r="AM57" s="200"/>
      <c r="AN57" s="200"/>
      <c r="AO57" s="200"/>
      <c r="AP57" s="200"/>
      <c r="AQ57" s="200"/>
      <c r="AR57" s="200"/>
      <c r="AS57" s="200"/>
      <c r="AT57" s="200"/>
      <c r="AU57" s="200"/>
      <c r="AV57" s="200"/>
      <c r="AW57" s="200"/>
      <c r="AX57" s="200"/>
      <c r="AY57" s="200"/>
      <c r="AZ57" s="200"/>
      <c r="BA57" s="200"/>
    </row>
    <row r="58" spans="1:53" ht="15" customHeight="1">
      <c r="A58" s="199"/>
      <c r="B58" s="217" t="s">
        <v>213</v>
      </c>
      <c r="C58" s="222">
        <v>1.0249999999999999</v>
      </c>
      <c r="D58" s="222">
        <v>1.0249999999999999</v>
      </c>
      <c r="E58" s="222">
        <v>1.0249999999999999</v>
      </c>
      <c r="F58" s="222">
        <v>1.0249999999999999</v>
      </c>
      <c r="G58" s="222">
        <v>1.0249999999999999</v>
      </c>
      <c r="H58" s="222">
        <v>1.0249999999999999</v>
      </c>
      <c r="I58" s="222">
        <v>1.0249999999999999</v>
      </c>
      <c r="J58" s="222">
        <v>1.0249999999999999</v>
      </c>
      <c r="K58" s="222">
        <v>1.0249999999999999</v>
      </c>
      <c r="L58" s="222">
        <v>1.0249999999999999</v>
      </c>
      <c r="M58" s="222">
        <v>1.0249999999999999</v>
      </c>
      <c r="N58" s="222">
        <v>1.0249999999999999</v>
      </c>
      <c r="O58" s="222">
        <v>1.0249999999999999</v>
      </c>
      <c r="P58" s="222">
        <v>1.0249999999999999</v>
      </c>
      <c r="Q58" s="222">
        <v>1.0249999999999999</v>
      </c>
      <c r="R58" s="222">
        <v>1.0249999999999999</v>
      </c>
      <c r="S58" s="222">
        <v>1.0249999999999999</v>
      </c>
      <c r="T58" s="222">
        <v>1.0249999999999999</v>
      </c>
      <c r="U58" s="222">
        <v>1.0249999999999999</v>
      </c>
      <c r="V58" s="222">
        <v>1.0249999999999999</v>
      </c>
      <c r="W58" s="222">
        <v>1.0249999999999999</v>
      </c>
      <c r="X58" s="222">
        <v>1.0249999999999999</v>
      </c>
      <c r="Y58" s="222">
        <v>1.0249999999999999</v>
      </c>
      <c r="Z58" s="222">
        <v>1.0249999999999999</v>
      </c>
      <c r="AA58" s="222">
        <v>1.0249999999999999</v>
      </c>
      <c r="AB58" s="222">
        <v>1.0249999999999999</v>
      </c>
      <c r="AC58" s="222">
        <v>1.0249999999999999</v>
      </c>
      <c r="AD58" s="222">
        <v>1.0249999999999999</v>
      </c>
      <c r="AE58" s="222">
        <v>1.0249999999999999</v>
      </c>
      <c r="AF58" s="219">
        <v>0</v>
      </c>
      <c r="AG58" s="200"/>
      <c r="AH58" s="200"/>
      <c r="AI58" s="200"/>
      <c r="AJ58" s="200"/>
      <c r="AK58" s="200"/>
      <c r="AL58" s="200"/>
      <c r="AM58" s="200"/>
      <c r="AN58" s="200"/>
      <c r="AO58" s="200"/>
      <c r="AP58" s="200"/>
      <c r="AQ58" s="200"/>
      <c r="AR58" s="200"/>
      <c r="AS58" s="200"/>
      <c r="AT58" s="200"/>
      <c r="AU58" s="200"/>
      <c r="AV58" s="200"/>
      <c r="AW58" s="200"/>
      <c r="AX58" s="200"/>
      <c r="AY58" s="200"/>
      <c r="AZ58" s="200"/>
      <c r="BA58" s="200"/>
    </row>
    <row r="59" spans="1:53" ht="15" customHeight="1">
      <c r="A59" s="199"/>
      <c r="B59" s="217" t="s">
        <v>215</v>
      </c>
      <c r="C59" s="222">
        <v>1.0089999999999999</v>
      </c>
      <c r="D59" s="222">
        <v>1.0089999999999999</v>
      </c>
      <c r="E59" s="222">
        <v>1.0089999999999999</v>
      </c>
      <c r="F59" s="222">
        <v>1.0089999999999999</v>
      </c>
      <c r="G59" s="222">
        <v>1.0089999999999999</v>
      </c>
      <c r="H59" s="222">
        <v>1.0089999999999999</v>
      </c>
      <c r="I59" s="222">
        <v>1.0089999999999999</v>
      </c>
      <c r="J59" s="222">
        <v>1.0089999999999999</v>
      </c>
      <c r="K59" s="222">
        <v>1.0089999999999999</v>
      </c>
      <c r="L59" s="222">
        <v>1.0089999999999999</v>
      </c>
      <c r="M59" s="222">
        <v>1.0089999999999999</v>
      </c>
      <c r="N59" s="222">
        <v>1.0089999999999999</v>
      </c>
      <c r="O59" s="222">
        <v>1.0089999999999999</v>
      </c>
      <c r="P59" s="222">
        <v>1.0089999999999999</v>
      </c>
      <c r="Q59" s="222">
        <v>1.0089999999999999</v>
      </c>
      <c r="R59" s="222">
        <v>1.0089999999999999</v>
      </c>
      <c r="S59" s="222">
        <v>1.0089999999999999</v>
      </c>
      <c r="T59" s="222">
        <v>1.0089999999999999</v>
      </c>
      <c r="U59" s="222">
        <v>1.0089999999999999</v>
      </c>
      <c r="V59" s="222">
        <v>1.0089999999999999</v>
      </c>
      <c r="W59" s="222">
        <v>1.0089999999999999</v>
      </c>
      <c r="X59" s="222">
        <v>1.0089999999999999</v>
      </c>
      <c r="Y59" s="222">
        <v>1.0089999999999999</v>
      </c>
      <c r="Z59" s="222">
        <v>1.0089999999999999</v>
      </c>
      <c r="AA59" s="222">
        <v>1.0089999999999999</v>
      </c>
      <c r="AB59" s="222">
        <v>1.0089999999999999</v>
      </c>
      <c r="AC59" s="222">
        <v>1.0089999999999999</v>
      </c>
      <c r="AD59" s="222">
        <v>1.0089999999999999</v>
      </c>
      <c r="AE59" s="222">
        <v>1.0089999999999999</v>
      </c>
      <c r="AF59" s="219">
        <v>0</v>
      </c>
      <c r="AG59" s="200"/>
      <c r="AH59" s="200"/>
      <c r="AI59" s="200"/>
      <c r="AJ59" s="200"/>
      <c r="AK59" s="200"/>
      <c r="AL59" s="200"/>
      <c r="AM59" s="200"/>
      <c r="AN59" s="200"/>
      <c r="AO59" s="200"/>
      <c r="AP59" s="200"/>
      <c r="AQ59" s="200"/>
      <c r="AR59" s="200"/>
      <c r="AS59" s="200"/>
      <c r="AT59" s="200"/>
      <c r="AU59" s="200"/>
      <c r="AV59" s="200"/>
      <c r="AW59" s="200"/>
      <c r="AX59" s="200"/>
      <c r="AY59" s="200"/>
      <c r="AZ59" s="200"/>
      <c r="BA59" s="200"/>
    </row>
    <row r="60" spans="1:53" ht="15" customHeight="1">
      <c r="A60" s="199"/>
      <c r="B60" s="217" t="s">
        <v>217</v>
      </c>
      <c r="C60" s="222">
        <v>0.96</v>
      </c>
      <c r="D60" s="222">
        <v>0.96</v>
      </c>
      <c r="E60" s="222">
        <v>0.96</v>
      </c>
      <c r="F60" s="222">
        <v>0.96</v>
      </c>
      <c r="G60" s="222">
        <v>0.96</v>
      </c>
      <c r="H60" s="222">
        <v>0.96</v>
      </c>
      <c r="I60" s="222">
        <v>0.96</v>
      </c>
      <c r="J60" s="222">
        <v>0.96</v>
      </c>
      <c r="K60" s="222">
        <v>0.96</v>
      </c>
      <c r="L60" s="222">
        <v>0.96</v>
      </c>
      <c r="M60" s="222">
        <v>0.96</v>
      </c>
      <c r="N60" s="222">
        <v>0.96</v>
      </c>
      <c r="O60" s="222">
        <v>0.96</v>
      </c>
      <c r="P60" s="222">
        <v>0.96</v>
      </c>
      <c r="Q60" s="222">
        <v>0.96</v>
      </c>
      <c r="R60" s="222">
        <v>0.96</v>
      </c>
      <c r="S60" s="222">
        <v>0.96</v>
      </c>
      <c r="T60" s="222">
        <v>0.96</v>
      </c>
      <c r="U60" s="222">
        <v>0.96</v>
      </c>
      <c r="V60" s="222">
        <v>0.96</v>
      </c>
      <c r="W60" s="222">
        <v>0.96</v>
      </c>
      <c r="X60" s="222">
        <v>0.96</v>
      </c>
      <c r="Y60" s="222">
        <v>0.96</v>
      </c>
      <c r="Z60" s="222">
        <v>0.96</v>
      </c>
      <c r="AA60" s="222">
        <v>0.96</v>
      </c>
      <c r="AB60" s="222">
        <v>0.96</v>
      </c>
      <c r="AC60" s="222">
        <v>0.96</v>
      </c>
      <c r="AD60" s="222">
        <v>0.96</v>
      </c>
      <c r="AE60" s="222">
        <v>0.96</v>
      </c>
      <c r="AF60" s="219">
        <v>0</v>
      </c>
      <c r="AG60" s="200"/>
      <c r="AH60" s="200"/>
      <c r="AI60" s="200"/>
      <c r="AJ60" s="200"/>
      <c r="AK60" s="200"/>
      <c r="AL60" s="200"/>
      <c r="AM60" s="200"/>
      <c r="AN60" s="200"/>
      <c r="AO60" s="200"/>
      <c r="AP60" s="200"/>
      <c r="AQ60" s="200"/>
      <c r="AR60" s="200"/>
      <c r="AS60" s="200"/>
      <c r="AT60" s="200"/>
      <c r="AU60" s="200"/>
      <c r="AV60" s="200"/>
      <c r="AW60" s="200"/>
      <c r="AX60" s="200"/>
      <c r="AY60" s="200"/>
      <c r="AZ60" s="200"/>
      <c r="BA60" s="200"/>
    </row>
    <row r="61" spans="1:53" ht="15" customHeight="1">
      <c r="A61" s="199"/>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200"/>
      <c r="AF61" s="200"/>
      <c r="AG61" s="200"/>
      <c r="AH61" s="200"/>
      <c r="AI61" s="200"/>
      <c r="AJ61" s="200"/>
      <c r="AK61" s="200"/>
      <c r="AL61" s="200"/>
      <c r="AM61" s="200"/>
      <c r="AN61" s="200"/>
      <c r="AO61" s="200"/>
      <c r="AP61" s="200"/>
      <c r="AQ61" s="200"/>
      <c r="AR61" s="200"/>
      <c r="AS61" s="200"/>
      <c r="AT61" s="200"/>
      <c r="AU61" s="200"/>
      <c r="AV61" s="200"/>
      <c r="AW61" s="200"/>
      <c r="AX61" s="200"/>
      <c r="AY61" s="200"/>
      <c r="AZ61" s="200"/>
      <c r="BA61" s="200"/>
    </row>
    <row r="62" spans="1:53" ht="14.4">
      <c r="A62" s="199"/>
      <c r="B62" s="216" t="s">
        <v>218</v>
      </c>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200"/>
      <c r="AF62" s="200"/>
      <c r="AG62" s="200"/>
      <c r="AH62" s="200"/>
      <c r="AI62" s="200"/>
      <c r="AJ62" s="200"/>
      <c r="AK62" s="200"/>
      <c r="AL62" s="200"/>
      <c r="AM62" s="200"/>
      <c r="AN62" s="200"/>
      <c r="AO62" s="200"/>
      <c r="AP62" s="200"/>
      <c r="AQ62" s="200"/>
      <c r="AR62" s="200"/>
      <c r="AS62" s="200"/>
      <c r="AT62" s="200"/>
      <c r="AU62" s="200"/>
      <c r="AV62" s="200"/>
      <c r="AW62" s="200"/>
      <c r="AX62" s="200"/>
      <c r="AY62" s="200"/>
      <c r="AZ62" s="200"/>
      <c r="BA62" s="200"/>
    </row>
    <row r="63" spans="1:53" ht="15" customHeight="1">
      <c r="A63" s="199"/>
      <c r="B63" s="217" t="s">
        <v>211</v>
      </c>
      <c r="C63" s="218">
        <v>20.414086999999999</v>
      </c>
      <c r="D63" s="218">
        <v>20.306387000000001</v>
      </c>
      <c r="E63" s="218">
        <v>20.561385999999999</v>
      </c>
      <c r="F63" s="218">
        <v>20.682283000000002</v>
      </c>
      <c r="G63" s="218">
        <v>21.026534999999999</v>
      </c>
      <c r="H63" s="218">
        <v>21.446421000000001</v>
      </c>
      <c r="I63" s="218">
        <v>21.618556999999999</v>
      </c>
      <c r="J63" s="218">
        <v>21.391855</v>
      </c>
      <c r="K63" s="218">
        <v>21.480253000000001</v>
      </c>
      <c r="L63" s="218">
        <v>21.504978000000001</v>
      </c>
      <c r="M63" s="218">
        <v>21.517519</v>
      </c>
      <c r="N63" s="218">
        <v>21.584536</v>
      </c>
      <c r="O63" s="218">
        <v>21.490144999999998</v>
      </c>
      <c r="P63" s="218">
        <v>21.426874000000002</v>
      </c>
      <c r="Q63" s="218">
        <v>21.444807000000001</v>
      </c>
      <c r="R63" s="218">
        <v>21.408159000000001</v>
      </c>
      <c r="S63" s="218">
        <v>21.737587000000001</v>
      </c>
      <c r="T63" s="218">
        <v>21.762626999999998</v>
      </c>
      <c r="U63" s="218">
        <v>21.825102000000001</v>
      </c>
      <c r="V63" s="218">
        <v>21.77272</v>
      </c>
      <c r="W63" s="218">
        <v>21.752516</v>
      </c>
      <c r="X63" s="218">
        <v>21.840578000000001</v>
      </c>
      <c r="Y63" s="218">
        <v>21.903272999999999</v>
      </c>
      <c r="Z63" s="218">
        <v>21.967976</v>
      </c>
      <c r="AA63" s="218">
        <v>22.008548999999999</v>
      </c>
      <c r="AB63" s="218">
        <v>22.019365000000001</v>
      </c>
      <c r="AC63" s="218">
        <v>21.979196999999999</v>
      </c>
      <c r="AD63" s="218">
        <v>22.007912000000001</v>
      </c>
      <c r="AE63" s="218">
        <v>21.978470000000002</v>
      </c>
      <c r="AF63" s="219">
        <v>2.6410000000000001E-3</v>
      </c>
      <c r="AG63" s="200"/>
      <c r="AH63" s="200"/>
      <c r="AI63" s="200"/>
      <c r="AJ63" s="200"/>
      <c r="AK63" s="200"/>
      <c r="AL63" s="200"/>
      <c r="AM63" s="200"/>
      <c r="AN63" s="200"/>
      <c r="AO63" s="200"/>
      <c r="AP63" s="200"/>
      <c r="AQ63" s="200"/>
      <c r="AR63" s="200"/>
      <c r="AS63" s="200"/>
      <c r="AT63" s="200"/>
      <c r="AU63" s="200"/>
      <c r="AV63" s="200"/>
      <c r="AW63" s="200"/>
      <c r="AX63" s="200"/>
      <c r="AY63" s="200"/>
      <c r="AZ63" s="200"/>
      <c r="BA63" s="200"/>
    </row>
    <row r="64" spans="1:53" ht="15" customHeight="1">
      <c r="A64" s="199"/>
      <c r="B64" s="217" t="s">
        <v>221</v>
      </c>
      <c r="C64" s="218">
        <v>25.150552999999999</v>
      </c>
      <c r="D64" s="218">
        <v>25.162579999999998</v>
      </c>
      <c r="E64" s="218">
        <v>25.277228999999998</v>
      </c>
      <c r="F64" s="218">
        <v>25.196438000000001</v>
      </c>
      <c r="G64" s="218">
        <v>25.173244</v>
      </c>
      <c r="H64" s="218">
        <v>25.253005999999999</v>
      </c>
      <c r="I64" s="218">
        <v>25.375315000000001</v>
      </c>
      <c r="J64" s="218">
        <v>25.881294</v>
      </c>
      <c r="K64" s="218">
        <v>25.949392</v>
      </c>
      <c r="L64" s="218">
        <v>25.919322999999999</v>
      </c>
      <c r="M64" s="218">
        <v>25.917715000000001</v>
      </c>
      <c r="N64" s="218">
        <v>26.122444000000002</v>
      </c>
      <c r="O64" s="218">
        <v>26.104872</v>
      </c>
      <c r="P64" s="218">
        <v>26.092715999999999</v>
      </c>
      <c r="Q64" s="218">
        <v>26.109541</v>
      </c>
      <c r="R64" s="218">
        <v>26.115759000000001</v>
      </c>
      <c r="S64" s="218">
        <v>26.111366</v>
      </c>
      <c r="T64" s="218">
        <v>26.064837000000001</v>
      </c>
      <c r="U64" s="218">
        <v>26.097258</v>
      </c>
      <c r="V64" s="218">
        <v>26.119198000000001</v>
      </c>
      <c r="W64" s="218">
        <v>26.115304999999999</v>
      </c>
      <c r="X64" s="218">
        <v>26.109867000000001</v>
      </c>
      <c r="Y64" s="218">
        <v>26.134989000000001</v>
      </c>
      <c r="Z64" s="218">
        <v>26.120363000000001</v>
      </c>
      <c r="AA64" s="218">
        <v>26.130583000000001</v>
      </c>
      <c r="AB64" s="218">
        <v>26.147618999999999</v>
      </c>
      <c r="AC64" s="218">
        <v>26.167905999999999</v>
      </c>
      <c r="AD64" s="218">
        <v>26.162901000000002</v>
      </c>
      <c r="AE64" s="218">
        <v>26.183288999999998</v>
      </c>
      <c r="AF64" s="219">
        <v>1.438E-3</v>
      </c>
      <c r="AG64" s="200"/>
      <c r="AH64" s="200"/>
      <c r="AI64" s="200"/>
      <c r="AJ64" s="200"/>
      <c r="AK64" s="200"/>
      <c r="AL64" s="200"/>
      <c r="AM64" s="200"/>
      <c r="AN64" s="200"/>
      <c r="AO64" s="200"/>
      <c r="AP64" s="200"/>
      <c r="AQ64" s="200"/>
      <c r="AR64" s="200"/>
      <c r="AS64" s="200"/>
      <c r="AT64" s="200"/>
      <c r="AU64" s="200"/>
      <c r="AV64" s="200"/>
      <c r="AW64" s="200"/>
      <c r="AX64" s="200"/>
      <c r="AY64" s="200"/>
      <c r="AZ64" s="200"/>
      <c r="BA64" s="200"/>
    </row>
    <row r="65" spans="1:53" ht="15" customHeight="1">
      <c r="A65" s="198"/>
      <c r="B65" s="217" t="s">
        <v>223</v>
      </c>
      <c r="C65" s="218">
        <v>17.359545000000001</v>
      </c>
      <c r="D65" s="218">
        <v>17.333266999999999</v>
      </c>
      <c r="E65" s="218">
        <v>17.469742</v>
      </c>
      <c r="F65" s="218">
        <v>17.421644000000001</v>
      </c>
      <c r="G65" s="218">
        <v>17.439485999999999</v>
      </c>
      <c r="H65" s="218">
        <v>17.491636</v>
      </c>
      <c r="I65" s="218">
        <v>17.459488</v>
      </c>
      <c r="J65" s="218">
        <v>17.634378000000002</v>
      </c>
      <c r="K65" s="218">
        <v>17.574055000000001</v>
      </c>
      <c r="L65" s="218">
        <v>17.584854</v>
      </c>
      <c r="M65" s="218">
        <v>17.592421000000002</v>
      </c>
      <c r="N65" s="218">
        <v>17.594152000000001</v>
      </c>
      <c r="O65" s="218">
        <v>17.563728000000001</v>
      </c>
      <c r="P65" s="218">
        <v>17.529620999999999</v>
      </c>
      <c r="Q65" s="218">
        <v>17.516928</v>
      </c>
      <c r="R65" s="218">
        <v>17.304117000000002</v>
      </c>
      <c r="S65" s="218">
        <v>17.516290999999999</v>
      </c>
      <c r="T65" s="218">
        <v>17.500505</v>
      </c>
      <c r="U65" s="218">
        <v>17.477858000000001</v>
      </c>
      <c r="V65" s="218">
        <v>17.479234999999999</v>
      </c>
      <c r="W65" s="218">
        <v>17.471019999999999</v>
      </c>
      <c r="X65" s="218">
        <v>17.484034999999999</v>
      </c>
      <c r="Y65" s="218">
        <v>17.490487999999999</v>
      </c>
      <c r="Z65" s="218">
        <v>17.495975000000001</v>
      </c>
      <c r="AA65" s="218">
        <v>17.492516999999999</v>
      </c>
      <c r="AB65" s="218">
        <v>17.48987</v>
      </c>
      <c r="AC65" s="218">
        <v>17.478798000000001</v>
      </c>
      <c r="AD65" s="218">
        <v>17.460386</v>
      </c>
      <c r="AE65" s="218">
        <v>17.475587999999998</v>
      </c>
      <c r="AF65" s="219">
        <v>2.3800000000000001E-4</v>
      </c>
      <c r="AG65" s="200"/>
      <c r="AH65" s="200"/>
      <c r="AI65" s="200"/>
      <c r="AJ65" s="200"/>
      <c r="AK65" s="200"/>
      <c r="AL65" s="200"/>
      <c r="AM65" s="200"/>
      <c r="AN65" s="200"/>
      <c r="AO65" s="200"/>
      <c r="AP65" s="200"/>
      <c r="AQ65" s="200"/>
      <c r="AR65" s="200"/>
      <c r="AS65" s="200"/>
      <c r="AT65" s="200"/>
      <c r="AU65" s="200"/>
      <c r="AV65" s="200"/>
      <c r="AW65" s="200"/>
      <c r="AX65" s="200"/>
      <c r="AY65" s="200"/>
      <c r="AZ65" s="200"/>
      <c r="BA65" s="200"/>
    </row>
    <row r="66" spans="1:53" ht="15" customHeight="1">
      <c r="A66" s="198"/>
      <c r="B66" s="217" t="s">
        <v>205</v>
      </c>
      <c r="C66" s="218">
        <v>19.658428000000001</v>
      </c>
      <c r="D66" s="218">
        <v>19.547889999999999</v>
      </c>
      <c r="E66" s="218">
        <v>19.530923999999999</v>
      </c>
      <c r="F66" s="218">
        <v>19.656338000000002</v>
      </c>
      <c r="G66" s="218">
        <v>20.110068999999999</v>
      </c>
      <c r="H66" s="218">
        <v>20.518450000000001</v>
      </c>
      <c r="I66" s="218">
        <v>20.575665999999998</v>
      </c>
      <c r="J66" s="218">
        <v>20.0931</v>
      </c>
      <c r="K66" s="218">
        <v>19.986597</v>
      </c>
      <c r="L66" s="218">
        <v>20.045501999999999</v>
      </c>
      <c r="M66" s="218">
        <v>20.072807000000001</v>
      </c>
      <c r="N66" s="218">
        <v>20.139336</v>
      </c>
      <c r="O66" s="218">
        <v>20.012087000000001</v>
      </c>
      <c r="P66" s="218">
        <v>19.954886999999999</v>
      </c>
      <c r="Q66" s="218">
        <v>19.927517000000002</v>
      </c>
      <c r="R66" s="218">
        <v>20.046503000000001</v>
      </c>
      <c r="S66" s="218">
        <v>20.413609999999998</v>
      </c>
      <c r="T66" s="218">
        <v>20.439775000000001</v>
      </c>
      <c r="U66" s="218">
        <v>20.443366999999999</v>
      </c>
      <c r="V66" s="218">
        <v>20.372391</v>
      </c>
      <c r="W66" s="218">
        <v>20.360711999999999</v>
      </c>
      <c r="X66" s="218">
        <v>20.399227</v>
      </c>
      <c r="Y66" s="218">
        <v>20.438106999999999</v>
      </c>
      <c r="Z66" s="218">
        <v>20.498695000000001</v>
      </c>
      <c r="AA66" s="218">
        <v>20.521355</v>
      </c>
      <c r="AB66" s="218">
        <v>20.524982000000001</v>
      </c>
      <c r="AC66" s="218">
        <v>20.513655</v>
      </c>
      <c r="AD66" s="218">
        <v>20.569064999999998</v>
      </c>
      <c r="AE66" s="218">
        <v>20.506568999999999</v>
      </c>
      <c r="AF66" s="219">
        <v>1.5100000000000001E-3</v>
      </c>
      <c r="AG66" s="200"/>
      <c r="AH66" s="200"/>
      <c r="AI66" s="200"/>
      <c r="AJ66" s="200"/>
      <c r="AK66" s="200"/>
      <c r="AL66" s="200"/>
      <c r="AM66" s="200"/>
      <c r="AN66" s="200"/>
      <c r="AO66" s="200"/>
      <c r="AP66" s="200"/>
      <c r="AQ66" s="200"/>
      <c r="AR66" s="200"/>
      <c r="AS66" s="200"/>
      <c r="AT66" s="200"/>
      <c r="AU66" s="200"/>
      <c r="AV66" s="200"/>
      <c r="AW66" s="200"/>
      <c r="AX66" s="200"/>
      <c r="AY66" s="200"/>
      <c r="AZ66" s="200"/>
      <c r="BA66" s="200"/>
    </row>
    <row r="67" spans="1:53" ht="15" customHeight="1">
      <c r="A67" s="198"/>
      <c r="B67" s="217" t="s">
        <v>226</v>
      </c>
      <c r="C67" s="218">
        <v>18.006001000000001</v>
      </c>
      <c r="D67" s="218">
        <v>18.076194999999998</v>
      </c>
      <c r="E67" s="218">
        <v>18.050530999999999</v>
      </c>
      <c r="F67" s="218">
        <v>17.893633000000001</v>
      </c>
      <c r="G67" s="218">
        <v>17.823392999999999</v>
      </c>
      <c r="H67" s="218">
        <v>17.884933</v>
      </c>
      <c r="I67" s="218">
        <v>17.960042999999999</v>
      </c>
      <c r="J67" s="218">
        <v>18.007738</v>
      </c>
      <c r="K67" s="218">
        <v>18.045808999999998</v>
      </c>
      <c r="L67" s="218">
        <v>18.149768999999999</v>
      </c>
      <c r="M67" s="218">
        <v>18.107817000000001</v>
      </c>
      <c r="N67" s="218">
        <v>18.119067999999999</v>
      </c>
      <c r="O67" s="218">
        <v>18.106013999999998</v>
      </c>
      <c r="P67" s="218">
        <v>18.099829</v>
      </c>
      <c r="Q67" s="218">
        <v>18.068781000000001</v>
      </c>
      <c r="R67" s="218">
        <v>17.983764999999998</v>
      </c>
      <c r="S67" s="218">
        <v>17.923839999999998</v>
      </c>
      <c r="T67" s="218">
        <v>17.901513999999999</v>
      </c>
      <c r="U67" s="218">
        <v>17.883970000000001</v>
      </c>
      <c r="V67" s="218">
        <v>17.863047000000002</v>
      </c>
      <c r="W67" s="218">
        <v>17.841540999999999</v>
      </c>
      <c r="X67" s="218">
        <v>17.809853</v>
      </c>
      <c r="Y67" s="218">
        <v>17.789932</v>
      </c>
      <c r="Z67" s="218">
        <v>17.759554000000001</v>
      </c>
      <c r="AA67" s="218">
        <v>17.740721000000001</v>
      </c>
      <c r="AB67" s="218">
        <v>17.717068000000001</v>
      </c>
      <c r="AC67" s="218">
        <v>17.692871</v>
      </c>
      <c r="AD67" s="218">
        <v>17.692043000000002</v>
      </c>
      <c r="AE67" s="218">
        <v>17.690735</v>
      </c>
      <c r="AF67" s="219">
        <v>-6.3100000000000005E-4</v>
      </c>
      <c r="AG67" s="200"/>
      <c r="AH67" s="200"/>
      <c r="AI67" s="200"/>
      <c r="AJ67" s="200"/>
      <c r="AK67" s="200"/>
      <c r="AL67" s="200"/>
      <c r="AM67" s="200"/>
      <c r="AN67" s="200"/>
      <c r="AO67" s="200"/>
      <c r="AP67" s="200"/>
      <c r="AQ67" s="200"/>
      <c r="AR67" s="200"/>
      <c r="AS67" s="200"/>
      <c r="AT67" s="200"/>
      <c r="AU67" s="200"/>
      <c r="AV67" s="200"/>
      <c r="AW67" s="200"/>
      <c r="AX67" s="200"/>
      <c r="AY67" s="200"/>
      <c r="AZ67" s="200"/>
      <c r="BA67" s="200"/>
    </row>
    <row r="68" spans="1:53" ht="15" customHeight="1">
      <c r="A68" s="198"/>
      <c r="B68" s="217" t="s">
        <v>228</v>
      </c>
      <c r="C68" s="218">
        <v>18.783617</v>
      </c>
      <c r="D68" s="218">
        <v>18.841715000000001</v>
      </c>
      <c r="E68" s="218">
        <v>19.240131000000002</v>
      </c>
      <c r="F68" s="218">
        <v>19.234219</v>
      </c>
      <c r="G68" s="218">
        <v>19.213201999999999</v>
      </c>
      <c r="H68" s="218">
        <v>19.209591</v>
      </c>
      <c r="I68" s="218">
        <v>19.205172000000001</v>
      </c>
      <c r="J68" s="218">
        <v>19.192945000000002</v>
      </c>
      <c r="K68" s="218">
        <v>19.182034999999999</v>
      </c>
      <c r="L68" s="218">
        <v>19.171402</v>
      </c>
      <c r="M68" s="218">
        <v>19.160554999999999</v>
      </c>
      <c r="N68" s="218">
        <v>19.138552000000001</v>
      </c>
      <c r="O68" s="218">
        <v>19.129539000000001</v>
      </c>
      <c r="P68" s="218">
        <v>19.110558999999999</v>
      </c>
      <c r="Q68" s="218">
        <v>19.098140999999998</v>
      </c>
      <c r="R68" s="218">
        <v>19.083539999999999</v>
      </c>
      <c r="S68" s="218">
        <v>19.066293999999999</v>
      </c>
      <c r="T68" s="218">
        <v>19.059636999999999</v>
      </c>
      <c r="U68" s="218">
        <v>19.057034999999999</v>
      </c>
      <c r="V68" s="218">
        <v>19.053011000000001</v>
      </c>
      <c r="W68" s="218">
        <v>19.047277000000001</v>
      </c>
      <c r="X68" s="218">
        <v>19.039465</v>
      </c>
      <c r="Y68" s="218">
        <v>19.03443</v>
      </c>
      <c r="Z68" s="218">
        <v>19.027761000000002</v>
      </c>
      <c r="AA68" s="218">
        <v>19.017918000000002</v>
      </c>
      <c r="AB68" s="218">
        <v>19.012091000000002</v>
      </c>
      <c r="AC68" s="218">
        <v>19.021602999999999</v>
      </c>
      <c r="AD68" s="218">
        <v>19.003336000000001</v>
      </c>
      <c r="AE68" s="218">
        <v>18.998145999999998</v>
      </c>
      <c r="AF68" s="219">
        <v>4.06E-4</v>
      </c>
      <c r="AG68" s="200"/>
      <c r="AH68" s="200"/>
      <c r="AI68" s="200"/>
      <c r="AJ68" s="200"/>
      <c r="AK68" s="200"/>
      <c r="AL68" s="200"/>
      <c r="AM68" s="200"/>
      <c r="AN68" s="200"/>
      <c r="AO68" s="200"/>
      <c r="AP68" s="200"/>
      <c r="AQ68" s="200"/>
      <c r="AR68" s="200"/>
      <c r="AS68" s="200"/>
      <c r="AT68" s="200"/>
      <c r="AU68" s="200"/>
      <c r="AV68" s="200"/>
      <c r="AW68" s="200"/>
      <c r="AX68" s="200"/>
      <c r="AY68" s="200"/>
      <c r="AZ68" s="200"/>
      <c r="BA68" s="200"/>
    </row>
    <row r="69" spans="1:53" ht="15" customHeight="1">
      <c r="A69" s="198"/>
      <c r="B69" s="217" t="s">
        <v>230</v>
      </c>
      <c r="C69" s="218">
        <v>28.414657999999999</v>
      </c>
      <c r="D69" s="218">
        <v>28.420496</v>
      </c>
      <c r="E69" s="218">
        <v>28.564053999999999</v>
      </c>
      <c r="F69" s="218">
        <v>28.563306999999998</v>
      </c>
      <c r="G69" s="218">
        <v>28.564709000000001</v>
      </c>
      <c r="H69" s="218">
        <v>28.561665000000001</v>
      </c>
      <c r="I69" s="218">
        <v>28.424852000000001</v>
      </c>
      <c r="J69" s="218">
        <v>28.42708</v>
      </c>
      <c r="K69" s="218">
        <v>28.424327999999999</v>
      </c>
      <c r="L69" s="218">
        <v>28.424634999999999</v>
      </c>
      <c r="M69" s="218">
        <v>28.425567999999998</v>
      </c>
      <c r="N69" s="218">
        <v>28.425659</v>
      </c>
      <c r="O69" s="218">
        <v>28.423475</v>
      </c>
      <c r="P69" s="218">
        <v>28.424204</v>
      </c>
      <c r="Q69" s="218">
        <v>28.424821999999999</v>
      </c>
      <c r="R69" s="218">
        <v>28.423915999999998</v>
      </c>
      <c r="S69" s="218">
        <v>28.423408999999999</v>
      </c>
      <c r="T69" s="218">
        <v>28.418621000000002</v>
      </c>
      <c r="U69" s="218">
        <v>28.418154000000001</v>
      </c>
      <c r="V69" s="218">
        <v>28.416595000000001</v>
      </c>
      <c r="W69" s="218">
        <v>28.418688</v>
      </c>
      <c r="X69" s="218">
        <v>28.417397000000001</v>
      </c>
      <c r="Y69" s="218">
        <v>28.418078999999999</v>
      </c>
      <c r="Z69" s="218">
        <v>28.415937</v>
      </c>
      <c r="AA69" s="218">
        <v>28.41695</v>
      </c>
      <c r="AB69" s="218">
        <v>28.417501000000001</v>
      </c>
      <c r="AC69" s="218">
        <v>28.414228000000001</v>
      </c>
      <c r="AD69" s="218">
        <v>28.414781999999999</v>
      </c>
      <c r="AE69" s="218">
        <v>28.414515000000002</v>
      </c>
      <c r="AF69" s="219">
        <v>0</v>
      </c>
      <c r="AG69" s="200"/>
      <c r="AH69" s="200"/>
      <c r="AI69" s="200"/>
      <c r="AJ69" s="200"/>
      <c r="AK69" s="200"/>
      <c r="AL69" s="200"/>
      <c r="AM69" s="200"/>
      <c r="AN69" s="200"/>
      <c r="AO69" s="200"/>
      <c r="AP69" s="200"/>
      <c r="AQ69" s="200"/>
      <c r="AR69" s="200"/>
      <c r="AS69" s="200"/>
      <c r="AT69" s="200"/>
      <c r="AU69" s="200"/>
      <c r="AV69" s="200"/>
      <c r="AW69" s="200"/>
      <c r="AX69" s="200"/>
      <c r="AY69" s="200"/>
      <c r="AZ69" s="200"/>
      <c r="BA69" s="200"/>
    </row>
    <row r="70" spans="1:53" ht="14.4">
      <c r="A70" s="198"/>
      <c r="B70" s="217" t="s">
        <v>232</v>
      </c>
      <c r="C70" s="218">
        <v>19.261752999999999</v>
      </c>
      <c r="D70" s="218">
        <v>19.094007000000001</v>
      </c>
      <c r="E70" s="218">
        <v>19.073429000000001</v>
      </c>
      <c r="F70" s="218">
        <v>19.172198999999999</v>
      </c>
      <c r="G70" s="218">
        <v>19.601582000000001</v>
      </c>
      <c r="H70" s="218">
        <v>19.981221999999999</v>
      </c>
      <c r="I70" s="218">
        <v>19.951308999999998</v>
      </c>
      <c r="J70" s="218">
        <v>19.245697</v>
      </c>
      <c r="K70" s="218">
        <v>19.029951000000001</v>
      </c>
      <c r="L70" s="218">
        <v>19.089005</v>
      </c>
      <c r="M70" s="218">
        <v>19.111488000000001</v>
      </c>
      <c r="N70" s="218">
        <v>19.224411</v>
      </c>
      <c r="O70" s="218">
        <v>19.066448000000001</v>
      </c>
      <c r="P70" s="218">
        <v>19.004940000000001</v>
      </c>
      <c r="Q70" s="218">
        <v>18.968260000000001</v>
      </c>
      <c r="R70" s="218">
        <v>19.093116999999999</v>
      </c>
      <c r="S70" s="218">
        <v>19.521412000000002</v>
      </c>
      <c r="T70" s="218">
        <v>19.550014000000001</v>
      </c>
      <c r="U70" s="218">
        <v>19.53932</v>
      </c>
      <c r="V70" s="218">
        <v>19.461977000000001</v>
      </c>
      <c r="W70" s="218">
        <v>19.446017999999999</v>
      </c>
      <c r="X70" s="218">
        <v>19.485047999999999</v>
      </c>
      <c r="Y70" s="218">
        <v>19.506826</v>
      </c>
      <c r="Z70" s="218">
        <v>19.564098000000001</v>
      </c>
      <c r="AA70" s="218">
        <v>19.57564</v>
      </c>
      <c r="AB70" s="218">
        <v>19.575510000000001</v>
      </c>
      <c r="AC70" s="218">
        <v>19.545100999999999</v>
      </c>
      <c r="AD70" s="218">
        <v>19.618680999999999</v>
      </c>
      <c r="AE70" s="218">
        <v>19.498875000000002</v>
      </c>
      <c r="AF70" s="219">
        <v>4.37E-4</v>
      </c>
      <c r="AG70" s="200"/>
      <c r="AH70" s="200"/>
      <c r="AI70" s="200"/>
      <c r="AJ70" s="200"/>
      <c r="AK70" s="200"/>
      <c r="AL70" s="200"/>
      <c r="AM70" s="200"/>
      <c r="AN70" s="200"/>
      <c r="AO70" s="200"/>
      <c r="AP70" s="200"/>
      <c r="AQ70" s="200"/>
      <c r="AR70" s="200"/>
      <c r="AS70" s="200"/>
      <c r="AT70" s="200"/>
      <c r="AU70" s="200"/>
      <c r="AV70" s="200"/>
      <c r="AW70" s="200"/>
      <c r="AX70" s="200"/>
      <c r="AY70" s="200"/>
      <c r="AZ70" s="200"/>
      <c r="BA70" s="200"/>
    </row>
    <row r="71" spans="1:53" ht="15" customHeight="1">
      <c r="A71" s="198"/>
      <c r="B71" s="217" t="s">
        <v>213</v>
      </c>
      <c r="C71" s="218">
        <v>23.859665</v>
      </c>
      <c r="D71" s="218">
        <v>23.823354999999999</v>
      </c>
      <c r="E71" s="218">
        <v>24.306349000000001</v>
      </c>
      <c r="F71" s="218">
        <v>24.259813000000001</v>
      </c>
      <c r="G71" s="218">
        <v>24.157302999999999</v>
      </c>
      <c r="H71" s="218">
        <v>24.166778999999998</v>
      </c>
      <c r="I71" s="218">
        <v>24.341519999999999</v>
      </c>
      <c r="J71" s="218">
        <v>24.347010000000001</v>
      </c>
      <c r="K71" s="218">
        <v>24.354690999999999</v>
      </c>
      <c r="L71" s="218">
        <v>24.360081000000001</v>
      </c>
      <c r="M71" s="218">
        <v>24.36758</v>
      </c>
      <c r="N71" s="218">
        <v>24.405735</v>
      </c>
      <c r="O71" s="218">
        <v>24.413681</v>
      </c>
      <c r="P71" s="218">
        <v>24.419716000000001</v>
      </c>
      <c r="Q71" s="218">
        <v>24.427009999999999</v>
      </c>
      <c r="R71" s="218">
        <v>24.434260999999999</v>
      </c>
      <c r="S71" s="218">
        <v>24.420539999999999</v>
      </c>
      <c r="T71" s="218">
        <v>24.426120999999998</v>
      </c>
      <c r="U71" s="218">
        <v>24.427451999999999</v>
      </c>
      <c r="V71" s="218">
        <v>24.428066000000001</v>
      </c>
      <c r="W71" s="218">
        <v>24.430658000000001</v>
      </c>
      <c r="X71" s="218">
        <v>24.436260000000001</v>
      </c>
      <c r="Y71" s="218">
        <v>24.411711</v>
      </c>
      <c r="Z71" s="218">
        <v>24.416954</v>
      </c>
      <c r="AA71" s="218">
        <v>24.419678000000001</v>
      </c>
      <c r="AB71" s="218">
        <v>24.413703999999999</v>
      </c>
      <c r="AC71" s="218">
        <v>24.385359000000001</v>
      </c>
      <c r="AD71" s="218">
        <v>24.329633999999999</v>
      </c>
      <c r="AE71" s="218">
        <v>24.333667999999999</v>
      </c>
      <c r="AF71" s="219">
        <v>7.0299999999999996E-4</v>
      </c>
      <c r="AG71" s="200"/>
      <c r="AH71" s="200"/>
      <c r="AI71" s="200"/>
      <c r="AJ71" s="200"/>
      <c r="AK71" s="200"/>
      <c r="AL71" s="200"/>
      <c r="AM71" s="200"/>
      <c r="AN71" s="200"/>
      <c r="AO71" s="200"/>
      <c r="AP71" s="200"/>
      <c r="AQ71" s="200"/>
      <c r="AR71" s="200"/>
      <c r="AS71" s="200"/>
      <c r="AT71" s="200"/>
      <c r="AU71" s="200"/>
      <c r="AV71" s="200"/>
      <c r="AW71" s="200"/>
      <c r="AX71" s="200"/>
      <c r="AY71" s="200"/>
      <c r="AZ71" s="200"/>
      <c r="BA71" s="200"/>
    </row>
    <row r="72" spans="1:53" ht="15" customHeight="1">
      <c r="A72" s="198"/>
      <c r="B72" s="217" t="s">
        <v>215</v>
      </c>
      <c r="C72" s="218">
        <v>25.334827000000001</v>
      </c>
      <c r="D72" s="218">
        <v>25.104583999999999</v>
      </c>
      <c r="E72" s="218">
        <v>25.440268</v>
      </c>
      <c r="F72" s="218">
        <v>25.260694999999998</v>
      </c>
      <c r="G72" s="218">
        <v>24.183857</v>
      </c>
      <c r="H72" s="218">
        <v>24.143476</v>
      </c>
      <c r="I72" s="218">
        <v>24.205839000000001</v>
      </c>
      <c r="J72" s="218">
        <v>24.216169000000001</v>
      </c>
      <c r="K72" s="218">
        <v>24.542210000000001</v>
      </c>
      <c r="L72" s="218">
        <v>24.411135000000002</v>
      </c>
      <c r="M72" s="218">
        <v>24.344087999999999</v>
      </c>
      <c r="N72" s="218">
        <v>24.484596</v>
      </c>
      <c r="O72" s="218">
        <v>24.493072999999999</v>
      </c>
      <c r="P72" s="218">
        <v>24.428740999999999</v>
      </c>
      <c r="Q72" s="218">
        <v>24.565546000000001</v>
      </c>
      <c r="R72" s="218">
        <v>24.314209000000002</v>
      </c>
      <c r="S72" s="218">
        <v>24.333238999999999</v>
      </c>
      <c r="T72" s="218">
        <v>24.333513</v>
      </c>
      <c r="U72" s="218">
        <v>24.421448000000002</v>
      </c>
      <c r="V72" s="218">
        <v>24.449455</v>
      </c>
      <c r="W72" s="218">
        <v>24.400551</v>
      </c>
      <c r="X72" s="218">
        <v>24.57086</v>
      </c>
      <c r="Y72" s="218">
        <v>24.596798</v>
      </c>
      <c r="Z72" s="218">
        <v>24.589790000000001</v>
      </c>
      <c r="AA72" s="218">
        <v>24.643401999999998</v>
      </c>
      <c r="AB72" s="218">
        <v>24.656141000000002</v>
      </c>
      <c r="AC72" s="218">
        <v>24.537496999999998</v>
      </c>
      <c r="AD72" s="218">
        <v>24.472774999999999</v>
      </c>
      <c r="AE72" s="218">
        <v>24.429749000000001</v>
      </c>
      <c r="AF72" s="219">
        <v>-1.2979999999999999E-3</v>
      </c>
      <c r="AG72" s="200"/>
      <c r="AH72" s="200"/>
      <c r="AI72" s="200"/>
      <c r="AJ72" s="200"/>
      <c r="AK72" s="200"/>
      <c r="AL72" s="200"/>
      <c r="AM72" s="200"/>
      <c r="AN72" s="200"/>
      <c r="AO72" s="200"/>
      <c r="AP72" s="200"/>
      <c r="AQ72" s="200"/>
      <c r="AR72" s="200"/>
      <c r="AS72" s="200"/>
      <c r="AT72" s="200"/>
      <c r="AU72" s="200"/>
      <c r="AV72" s="200"/>
      <c r="AW72" s="200"/>
      <c r="AX72" s="200"/>
      <c r="AY72" s="200"/>
      <c r="AZ72" s="200"/>
      <c r="BA72" s="200"/>
    </row>
    <row r="73" spans="1:53" ht="15" customHeight="1">
      <c r="A73" s="198"/>
      <c r="B73" s="217" t="s">
        <v>236</v>
      </c>
      <c r="C73" s="218" t="s">
        <v>475</v>
      </c>
      <c r="D73" s="218" t="s">
        <v>475</v>
      </c>
      <c r="E73" s="218" t="s">
        <v>475</v>
      </c>
      <c r="F73" s="218" t="s">
        <v>475</v>
      </c>
      <c r="G73" s="218" t="s">
        <v>475</v>
      </c>
      <c r="H73" s="218" t="s">
        <v>475</v>
      </c>
      <c r="I73" s="218" t="s">
        <v>475</v>
      </c>
      <c r="J73" s="218" t="s">
        <v>475</v>
      </c>
      <c r="K73" s="218" t="s">
        <v>475</v>
      </c>
      <c r="L73" s="218" t="s">
        <v>475</v>
      </c>
      <c r="M73" s="218" t="s">
        <v>475</v>
      </c>
      <c r="N73" s="218" t="s">
        <v>475</v>
      </c>
      <c r="O73" s="218" t="s">
        <v>475</v>
      </c>
      <c r="P73" s="218" t="s">
        <v>475</v>
      </c>
      <c r="Q73" s="218" t="s">
        <v>475</v>
      </c>
      <c r="R73" s="218" t="s">
        <v>475</v>
      </c>
      <c r="S73" s="218" t="s">
        <v>475</v>
      </c>
      <c r="T73" s="218" t="s">
        <v>475</v>
      </c>
      <c r="U73" s="218" t="s">
        <v>475</v>
      </c>
      <c r="V73" s="218" t="s">
        <v>475</v>
      </c>
      <c r="W73" s="218" t="s">
        <v>475</v>
      </c>
      <c r="X73" s="218" t="s">
        <v>475</v>
      </c>
      <c r="Y73" s="218" t="s">
        <v>475</v>
      </c>
      <c r="Z73" s="218" t="s">
        <v>475</v>
      </c>
      <c r="AA73" s="218" t="s">
        <v>475</v>
      </c>
      <c r="AB73" s="218" t="s">
        <v>475</v>
      </c>
      <c r="AC73" s="218" t="s">
        <v>475</v>
      </c>
      <c r="AD73" s="218" t="s">
        <v>475</v>
      </c>
      <c r="AE73" s="218" t="s">
        <v>475</v>
      </c>
      <c r="AF73" s="219" t="s">
        <v>475</v>
      </c>
      <c r="AG73" s="200" t="s">
        <v>475</v>
      </c>
      <c r="AH73" s="200" t="s">
        <v>475</v>
      </c>
      <c r="AI73" s="200" t="s">
        <v>475</v>
      </c>
      <c r="AJ73" s="200" t="s">
        <v>475</v>
      </c>
      <c r="AK73" s="200" t="s">
        <v>475</v>
      </c>
      <c r="AL73" s="200" t="s">
        <v>475</v>
      </c>
      <c r="AM73" s="200" t="s">
        <v>475</v>
      </c>
      <c r="AN73" s="200" t="s">
        <v>475</v>
      </c>
      <c r="AO73" s="200" t="s">
        <v>475</v>
      </c>
      <c r="AP73" s="200" t="s">
        <v>475</v>
      </c>
      <c r="AQ73" s="200" t="s">
        <v>475</v>
      </c>
      <c r="AR73" s="200" t="s">
        <v>475</v>
      </c>
      <c r="AS73" s="200" t="s">
        <v>475</v>
      </c>
      <c r="AT73" s="200" t="s">
        <v>475</v>
      </c>
      <c r="AU73" s="200" t="s">
        <v>475</v>
      </c>
      <c r="AV73" s="200" t="s">
        <v>475</v>
      </c>
      <c r="AW73" s="200" t="s">
        <v>475</v>
      </c>
      <c r="AX73" s="200" t="s">
        <v>475</v>
      </c>
      <c r="AY73" s="200" t="s">
        <v>475</v>
      </c>
      <c r="AZ73" s="200" t="s">
        <v>475</v>
      </c>
      <c r="BA73" s="200" t="s">
        <v>475</v>
      </c>
    </row>
    <row r="74" spans="1:53" ht="15" customHeight="1">
      <c r="A74" s="198"/>
      <c r="B74" s="217" t="s">
        <v>238</v>
      </c>
      <c r="C74" s="218">
        <v>12.525999000000001</v>
      </c>
      <c r="D74" s="218">
        <v>12.526001000000001</v>
      </c>
      <c r="E74" s="218">
        <v>12.525999000000001</v>
      </c>
      <c r="F74" s="218">
        <v>12.526</v>
      </c>
      <c r="G74" s="218">
        <v>12.526001000000001</v>
      </c>
      <c r="H74" s="218">
        <v>12.526</v>
      </c>
      <c r="I74" s="218">
        <v>12.526</v>
      </c>
      <c r="J74" s="218">
        <v>12.526001000000001</v>
      </c>
      <c r="K74" s="218">
        <v>12.526001000000001</v>
      </c>
      <c r="L74" s="218">
        <v>12.526</v>
      </c>
      <c r="M74" s="218">
        <v>12.526</v>
      </c>
      <c r="N74" s="218">
        <v>12.525999000000001</v>
      </c>
      <c r="O74" s="218">
        <v>12.526</v>
      </c>
      <c r="P74" s="218">
        <v>12.526</v>
      </c>
      <c r="Q74" s="218">
        <v>12.526</v>
      </c>
      <c r="R74" s="218">
        <v>12.526</v>
      </c>
      <c r="S74" s="218">
        <v>12.526</v>
      </c>
      <c r="T74" s="218">
        <v>12.526</v>
      </c>
      <c r="U74" s="218">
        <v>12.526</v>
      </c>
      <c r="V74" s="218">
        <v>12.526</v>
      </c>
      <c r="W74" s="218">
        <v>12.525999000000001</v>
      </c>
      <c r="X74" s="218">
        <v>12.526</v>
      </c>
      <c r="Y74" s="218">
        <v>12.525999000000001</v>
      </c>
      <c r="Z74" s="218">
        <v>12.526</v>
      </c>
      <c r="AA74" s="218">
        <v>12.526001000000001</v>
      </c>
      <c r="AB74" s="218">
        <v>12.526001000000001</v>
      </c>
      <c r="AC74" s="218">
        <v>12.525999000000001</v>
      </c>
      <c r="AD74" s="218">
        <v>12.526001000000001</v>
      </c>
      <c r="AE74" s="218">
        <v>12.526</v>
      </c>
      <c r="AF74" s="219">
        <v>0</v>
      </c>
      <c r="AG74" s="200"/>
      <c r="AH74" s="200"/>
      <c r="AI74" s="200"/>
      <c r="AJ74" s="200"/>
      <c r="AK74" s="200"/>
      <c r="AL74" s="200"/>
      <c r="AM74" s="200"/>
      <c r="AN74" s="200"/>
      <c r="AO74" s="200"/>
      <c r="AP74" s="200"/>
      <c r="AQ74" s="200"/>
      <c r="AR74" s="200"/>
      <c r="AS74" s="200"/>
      <c r="AT74" s="200"/>
      <c r="AU74" s="200"/>
      <c r="AV74" s="200"/>
      <c r="AW74" s="200"/>
      <c r="AX74" s="200"/>
      <c r="AY74" s="200"/>
      <c r="AZ74" s="200"/>
      <c r="BA74" s="200"/>
    </row>
    <row r="75" spans="1:53" ht="15" customHeight="1">
      <c r="B75" s="200"/>
      <c r="C75" s="200"/>
      <c r="D75" s="200"/>
      <c r="E75" s="200"/>
      <c r="F75" s="200"/>
      <c r="G75" s="200"/>
      <c r="H75" s="200"/>
      <c r="I75" s="200"/>
      <c r="J75" s="200"/>
      <c r="K75" s="200"/>
      <c r="L75" s="200"/>
      <c r="M75" s="200"/>
      <c r="N75" s="200"/>
      <c r="O75" s="200"/>
      <c r="P75" s="200"/>
      <c r="Q75" s="200"/>
      <c r="R75" s="200"/>
      <c r="S75" s="200"/>
      <c r="T75" s="200"/>
      <c r="U75" s="200"/>
      <c r="V75" s="200"/>
      <c r="W75" s="200"/>
      <c r="X75" s="200"/>
      <c r="Y75" s="200"/>
      <c r="Z75" s="200"/>
      <c r="AA75" s="200"/>
      <c r="AB75" s="200"/>
      <c r="AC75" s="200"/>
      <c r="AD75" s="200"/>
      <c r="AE75" s="200"/>
      <c r="AF75" s="200"/>
      <c r="AG75" s="200"/>
      <c r="AH75" s="200"/>
      <c r="AI75" s="200"/>
      <c r="AJ75" s="200"/>
      <c r="AK75" s="200"/>
      <c r="AL75" s="200"/>
      <c r="AM75" s="200"/>
      <c r="AN75" s="200"/>
      <c r="AO75" s="200"/>
      <c r="AP75" s="200"/>
      <c r="AQ75" s="200"/>
      <c r="AR75" s="200"/>
      <c r="AS75" s="200"/>
      <c r="AT75" s="200"/>
      <c r="AU75" s="200"/>
      <c r="AV75" s="200"/>
      <c r="AW75" s="200"/>
      <c r="AX75" s="200"/>
      <c r="AY75" s="200"/>
      <c r="AZ75" s="200"/>
      <c r="BA75" s="200"/>
    </row>
    <row r="76" spans="1:53" ht="15" customHeight="1">
      <c r="B76" s="216" t="s">
        <v>469</v>
      </c>
      <c r="C76" s="200"/>
      <c r="D76" s="200"/>
      <c r="E76" s="200"/>
      <c r="F76" s="200"/>
      <c r="G76" s="200"/>
      <c r="H76" s="200"/>
      <c r="I76" s="200"/>
      <c r="J76" s="200"/>
      <c r="K76" s="200"/>
      <c r="L76" s="200"/>
      <c r="M76" s="200"/>
      <c r="N76" s="200"/>
      <c r="O76" s="200"/>
      <c r="P76" s="200"/>
      <c r="Q76" s="200"/>
      <c r="R76" s="200"/>
      <c r="S76" s="200"/>
      <c r="T76" s="200"/>
      <c r="U76" s="200"/>
      <c r="V76" s="200"/>
      <c r="W76" s="200"/>
      <c r="X76" s="200"/>
      <c r="Y76" s="200"/>
      <c r="Z76" s="200"/>
      <c r="AA76" s="200"/>
      <c r="AB76" s="200"/>
      <c r="AC76" s="200"/>
      <c r="AD76" s="200"/>
      <c r="AE76" s="200"/>
      <c r="AF76" s="200"/>
      <c r="AG76" s="200"/>
      <c r="AH76" s="200"/>
      <c r="AI76" s="200"/>
      <c r="AJ76" s="200"/>
      <c r="AK76" s="200"/>
      <c r="AL76" s="200"/>
      <c r="AM76" s="200"/>
      <c r="AN76" s="200"/>
      <c r="AO76" s="200"/>
      <c r="AP76" s="200"/>
      <c r="AQ76" s="200"/>
      <c r="AR76" s="200"/>
      <c r="AS76" s="200"/>
      <c r="AT76" s="200"/>
      <c r="AU76" s="200"/>
      <c r="AV76" s="200"/>
      <c r="AW76" s="200"/>
      <c r="AX76" s="200"/>
      <c r="AY76" s="200"/>
      <c r="AZ76" s="200"/>
      <c r="BA76" s="200"/>
    </row>
    <row r="77" spans="1:53" ht="15" customHeight="1">
      <c r="B77" s="216" t="s">
        <v>470</v>
      </c>
      <c r="C77" s="200"/>
      <c r="D77" s="200"/>
      <c r="E77" s="200"/>
      <c r="F77" s="200"/>
      <c r="G77" s="200"/>
      <c r="H77" s="200"/>
      <c r="I77" s="200"/>
      <c r="J77" s="200"/>
      <c r="K77" s="200"/>
      <c r="L77" s="200"/>
      <c r="M77" s="200"/>
      <c r="N77" s="200"/>
      <c r="O77" s="200"/>
      <c r="P77" s="200"/>
      <c r="Q77" s="200"/>
      <c r="R77" s="200"/>
      <c r="S77" s="200"/>
      <c r="T77" s="200"/>
      <c r="U77" s="200"/>
      <c r="V77" s="200"/>
      <c r="W77" s="200"/>
      <c r="X77" s="200"/>
      <c r="Y77" s="200"/>
      <c r="Z77" s="200"/>
      <c r="AA77" s="200"/>
      <c r="AB77" s="200"/>
      <c r="AC77" s="200"/>
      <c r="AD77" s="200"/>
      <c r="AE77" s="200"/>
      <c r="AF77" s="200"/>
      <c r="AG77" s="200"/>
      <c r="AH77" s="200"/>
      <c r="AI77" s="200"/>
      <c r="AJ77" s="200"/>
      <c r="AK77" s="200"/>
      <c r="AL77" s="200"/>
      <c r="AM77" s="200"/>
      <c r="AN77" s="200"/>
      <c r="AO77" s="200"/>
      <c r="AP77" s="200"/>
      <c r="AQ77" s="200"/>
      <c r="AR77" s="200"/>
      <c r="AS77" s="200"/>
      <c r="AT77" s="200"/>
      <c r="AU77" s="200"/>
      <c r="AV77" s="200"/>
      <c r="AW77" s="200"/>
      <c r="AX77" s="200"/>
      <c r="AY77" s="200"/>
      <c r="AZ77" s="200"/>
      <c r="BA77" s="200"/>
    </row>
    <row r="78" spans="1:53" ht="14.4">
      <c r="A78" s="198"/>
      <c r="B78" s="217" t="s">
        <v>471</v>
      </c>
      <c r="C78" s="221">
        <v>3412</v>
      </c>
      <c r="D78" s="221">
        <v>3412</v>
      </c>
      <c r="E78" s="221">
        <v>3412</v>
      </c>
      <c r="F78" s="221">
        <v>3412</v>
      </c>
      <c r="G78" s="221">
        <v>3412</v>
      </c>
      <c r="H78" s="221">
        <v>3412</v>
      </c>
      <c r="I78" s="221">
        <v>3412</v>
      </c>
      <c r="J78" s="221">
        <v>3412</v>
      </c>
      <c r="K78" s="221">
        <v>3412</v>
      </c>
      <c r="L78" s="221">
        <v>3412</v>
      </c>
      <c r="M78" s="221">
        <v>3412</v>
      </c>
      <c r="N78" s="221">
        <v>3412</v>
      </c>
      <c r="O78" s="221">
        <v>3412</v>
      </c>
      <c r="P78" s="221">
        <v>3412</v>
      </c>
      <c r="Q78" s="221">
        <v>3412</v>
      </c>
      <c r="R78" s="221">
        <v>3412</v>
      </c>
      <c r="S78" s="221">
        <v>3412</v>
      </c>
      <c r="T78" s="221">
        <v>3412</v>
      </c>
      <c r="U78" s="221">
        <v>3412</v>
      </c>
      <c r="V78" s="221">
        <v>3412</v>
      </c>
      <c r="W78" s="221">
        <v>3412</v>
      </c>
      <c r="X78" s="221">
        <v>3412</v>
      </c>
      <c r="Y78" s="221">
        <v>3412</v>
      </c>
      <c r="Z78" s="221">
        <v>3412</v>
      </c>
      <c r="AA78" s="221">
        <v>3412</v>
      </c>
      <c r="AB78" s="221">
        <v>3412</v>
      </c>
      <c r="AC78" s="221">
        <v>3412</v>
      </c>
      <c r="AD78" s="221">
        <v>3412</v>
      </c>
      <c r="AE78" s="221">
        <v>3412</v>
      </c>
      <c r="AF78" s="219">
        <v>0</v>
      </c>
      <c r="AG78" s="200"/>
      <c r="AH78" s="200"/>
      <c r="AI78" s="200"/>
      <c r="AJ78" s="200"/>
      <c r="AK78" s="200"/>
      <c r="AL78" s="200"/>
      <c r="AM78" s="200"/>
      <c r="AN78" s="200"/>
      <c r="AO78" s="200"/>
      <c r="AP78" s="200"/>
      <c r="AQ78" s="200"/>
      <c r="AR78" s="200"/>
      <c r="AS78" s="200"/>
      <c r="AT78" s="200"/>
      <c r="AU78" s="200"/>
      <c r="AV78" s="200"/>
      <c r="AW78" s="200"/>
      <c r="AX78" s="200"/>
      <c r="AY78" s="200"/>
      <c r="AZ78" s="200"/>
      <c r="BA78" s="200"/>
    </row>
    <row r="79" spans="1:53" ht="15" customHeight="1" thickBot="1">
      <c r="A79" s="198"/>
      <c r="B79" s="217" t="s">
        <v>473</v>
      </c>
      <c r="C79" s="221">
        <v>8704.7636719999991</v>
      </c>
      <c r="D79" s="221">
        <v>8578.2412110000005</v>
      </c>
      <c r="E79" s="221">
        <v>8637.2558590000008</v>
      </c>
      <c r="F79" s="221">
        <v>8588.453125</v>
      </c>
      <c r="G79" s="221">
        <v>8512.0644530000009</v>
      </c>
      <c r="H79" s="221">
        <v>8435.9892579999996</v>
      </c>
      <c r="I79" s="221">
        <v>8346.515625</v>
      </c>
      <c r="J79" s="221">
        <v>8291.6826170000004</v>
      </c>
      <c r="K79" s="221">
        <v>8261.0888670000004</v>
      </c>
      <c r="L79" s="221">
        <v>8271.4091800000006</v>
      </c>
      <c r="M79" s="221">
        <v>8287.5830079999996</v>
      </c>
      <c r="N79" s="221">
        <v>8311.3779300000006</v>
      </c>
      <c r="O79" s="221">
        <v>8325.2792969999991</v>
      </c>
      <c r="P79" s="221">
        <v>8337.6533199999994</v>
      </c>
      <c r="Q79" s="221">
        <v>8327.5019530000009</v>
      </c>
      <c r="R79" s="221">
        <v>8296.8251949999994</v>
      </c>
      <c r="S79" s="221">
        <v>8242.8730469999991</v>
      </c>
      <c r="T79" s="221">
        <v>8227.1269530000009</v>
      </c>
      <c r="U79" s="221">
        <v>8192.4570309999999</v>
      </c>
      <c r="V79" s="221">
        <v>8198.7402340000008</v>
      </c>
      <c r="W79" s="221">
        <v>8188.8388670000004</v>
      </c>
      <c r="X79" s="221">
        <v>8173.1420900000003</v>
      </c>
      <c r="Y79" s="221">
        <v>8166.9145509999998</v>
      </c>
      <c r="Z79" s="221">
        <v>8150.8017579999996</v>
      </c>
      <c r="AA79" s="221">
        <v>8133.8295900000003</v>
      </c>
      <c r="AB79" s="221">
        <v>8130.3310549999997</v>
      </c>
      <c r="AC79" s="221">
        <v>8101.1708980000003</v>
      </c>
      <c r="AD79" s="221">
        <v>8098.4907229999999</v>
      </c>
      <c r="AE79" s="221">
        <v>8065.7133789999998</v>
      </c>
      <c r="AF79" s="219">
        <v>-2.7190000000000001E-3</v>
      </c>
      <c r="AG79" s="200"/>
      <c r="AH79" s="200"/>
      <c r="AI79" s="200"/>
      <c r="AJ79" s="200"/>
      <c r="AK79" s="200"/>
      <c r="AL79" s="200"/>
      <c r="AM79" s="200"/>
      <c r="AN79" s="200"/>
      <c r="AO79" s="200"/>
      <c r="AP79" s="200"/>
      <c r="AQ79" s="200"/>
      <c r="AR79" s="200"/>
      <c r="AS79" s="200"/>
      <c r="AT79" s="200"/>
      <c r="AU79" s="200"/>
      <c r="AV79" s="200"/>
      <c r="AW79" s="200"/>
      <c r="AX79" s="200"/>
      <c r="AY79" s="200"/>
      <c r="AZ79" s="200"/>
      <c r="BA79" s="200"/>
    </row>
    <row r="80" spans="1:53" ht="15" customHeight="1">
      <c r="B80" s="281" t="s">
        <v>492</v>
      </c>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20"/>
      <c r="AI80" s="200"/>
      <c r="AJ80" s="200"/>
      <c r="AK80" s="200"/>
      <c r="AL80" s="200"/>
      <c r="AM80" s="200"/>
      <c r="AN80" s="200"/>
      <c r="AO80" s="200"/>
      <c r="AP80" s="200"/>
      <c r="AQ80" s="200"/>
      <c r="AR80" s="200"/>
      <c r="AS80" s="200"/>
      <c r="AT80" s="200"/>
      <c r="AU80" s="200"/>
      <c r="AV80" s="200"/>
      <c r="AW80" s="200"/>
      <c r="AX80" s="200"/>
      <c r="AY80" s="200"/>
      <c r="AZ80" s="200"/>
      <c r="BA80" s="200"/>
    </row>
    <row r="81" spans="2:53" ht="15" customHeight="1">
      <c r="B81" s="200" t="s">
        <v>493</v>
      </c>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row>
    <row r="82" spans="2:53" ht="15" customHeight="1">
      <c r="B82" s="200" t="s">
        <v>494</v>
      </c>
      <c r="C82" s="200"/>
      <c r="D82" s="200"/>
      <c r="E82" s="200"/>
      <c r="F82" s="200"/>
      <c r="G82" s="200"/>
      <c r="H82" s="200"/>
      <c r="I82" s="200"/>
      <c r="J82" s="200"/>
      <c r="K82" s="200"/>
      <c r="L82" s="200"/>
      <c r="M82" s="200"/>
      <c r="N82" s="200"/>
      <c r="O82" s="200"/>
      <c r="P82" s="200"/>
      <c r="Q82" s="200"/>
      <c r="R82" s="200"/>
      <c r="S82" s="200"/>
      <c r="T82" s="200"/>
      <c r="U82" s="200"/>
      <c r="V82" s="200"/>
      <c r="W82" s="200"/>
      <c r="X82" s="200"/>
      <c r="Y82" s="200"/>
      <c r="Z82" s="200"/>
      <c r="AA82" s="200"/>
      <c r="AB82" s="200"/>
      <c r="AC82" s="200"/>
      <c r="AD82" s="200"/>
      <c r="AE82" s="200"/>
      <c r="AF82" s="200"/>
      <c r="AG82" s="200"/>
      <c r="AH82" s="200"/>
      <c r="AI82" s="200"/>
      <c r="AJ82" s="200"/>
      <c r="AK82" s="200"/>
      <c r="AL82" s="200"/>
      <c r="AM82" s="200"/>
      <c r="AN82" s="200"/>
      <c r="AO82" s="200"/>
      <c r="AP82" s="200"/>
      <c r="AQ82" s="200"/>
      <c r="AR82" s="200"/>
      <c r="AS82" s="200"/>
      <c r="AT82" s="200"/>
      <c r="AU82" s="200"/>
      <c r="AV82" s="200"/>
      <c r="AW82" s="200"/>
      <c r="AX82" s="200"/>
      <c r="AY82" s="200"/>
      <c r="AZ82" s="200"/>
      <c r="BA82" s="200"/>
    </row>
    <row r="83" spans="2:53" ht="15" customHeight="1">
      <c r="B83" s="200" t="s">
        <v>495</v>
      </c>
      <c r="C83" s="200"/>
      <c r="D83" s="200"/>
      <c r="E83" s="200"/>
      <c r="F83" s="200"/>
      <c r="G83" s="200"/>
      <c r="H83" s="200"/>
      <c r="I83" s="200"/>
      <c r="J83" s="200"/>
      <c r="K83" s="200"/>
      <c r="L83" s="200"/>
      <c r="M83" s="200"/>
      <c r="N83" s="200"/>
      <c r="O83" s="200"/>
      <c r="P83" s="200"/>
      <c r="Q83" s="200"/>
      <c r="R83" s="200"/>
      <c r="S83" s="200"/>
      <c r="T83" s="200"/>
      <c r="U83" s="200"/>
      <c r="V83" s="200"/>
      <c r="W83" s="200"/>
      <c r="X83" s="200"/>
      <c r="Y83" s="200"/>
      <c r="Z83" s="200"/>
      <c r="AA83" s="200"/>
      <c r="AB83" s="200"/>
      <c r="AC83" s="200"/>
      <c r="AD83" s="200"/>
      <c r="AE83" s="200"/>
      <c r="AF83" s="200"/>
      <c r="AG83" s="200"/>
      <c r="AH83" s="200"/>
      <c r="AI83" s="200"/>
      <c r="AJ83" s="200"/>
      <c r="AK83" s="200"/>
      <c r="AL83" s="200"/>
      <c r="AM83" s="200"/>
      <c r="AN83" s="200"/>
      <c r="AO83" s="200"/>
      <c r="AP83" s="200"/>
      <c r="AQ83" s="200"/>
      <c r="AR83" s="200"/>
      <c r="AS83" s="200"/>
      <c r="AT83" s="200"/>
      <c r="AU83" s="200"/>
      <c r="AV83" s="200"/>
      <c r="AW83" s="200"/>
      <c r="AX83" s="200"/>
      <c r="AY83" s="200"/>
      <c r="AZ83" s="200"/>
      <c r="BA83" s="200"/>
    </row>
    <row r="84" spans="2:53" ht="14.4">
      <c r="B84" s="200" t="s">
        <v>496</v>
      </c>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c r="AA84" s="200"/>
      <c r="AB84" s="200"/>
      <c r="AC84" s="200"/>
      <c r="AD84" s="200"/>
      <c r="AE84" s="200"/>
      <c r="AF84" s="200"/>
      <c r="AG84" s="200"/>
      <c r="AH84" s="200"/>
      <c r="AI84" s="200"/>
      <c r="AJ84" s="200"/>
      <c r="AK84" s="200"/>
      <c r="AL84" s="200"/>
      <c r="AM84" s="200"/>
      <c r="AN84" s="200"/>
      <c r="AO84" s="200"/>
      <c r="AP84" s="200"/>
      <c r="AQ84" s="200"/>
      <c r="AR84" s="200"/>
      <c r="AS84" s="200"/>
      <c r="AT84" s="200"/>
      <c r="AU84" s="200"/>
      <c r="AV84" s="200"/>
      <c r="AW84" s="200"/>
      <c r="AX84" s="200"/>
      <c r="AY84" s="200"/>
      <c r="AZ84" s="200"/>
      <c r="BA84" s="200"/>
    </row>
    <row r="85" spans="2:53" ht="15" customHeight="1">
      <c r="B85" s="200" t="s">
        <v>468</v>
      </c>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200"/>
      <c r="AS85" s="200"/>
      <c r="AT85" s="200"/>
      <c r="AU85" s="200"/>
      <c r="AV85" s="200"/>
      <c r="AW85" s="200"/>
      <c r="AX85" s="200"/>
      <c r="AY85" s="200"/>
      <c r="AZ85" s="200"/>
      <c r="BA85" s="200"/>
    </row>
    <row r="86" spans="2:53" ht="15" customHeight="1">
      <c r="B86" s="200" t="s">
        <v>497</v>
      </c>
      <c r="C86" s="200"/>
      <c r="D86" s="200"/>
      <c r="E86" s="200"/>
      <c r="F86" s="200"/>
      <c r="G86" s="200"/>
      <c r="H86" s="200"/>
      <c r="I86" s="200"/>
      <c r="J86" s="200"/>
      <c r="K86" s="200"/>
      <c r="L86" s="200"/>
      <c r="M86" s="200"/>
      <c r="N86" s="200"/>
      <c r="O86" s="200"/>
      <c r="P86" s="200"/>
      <c r="Q86" s="200"/>
      <c r="R86" s="200"/>
      <c r="S86" s="200"/>
      <c r="T86" s="200"/>
      <c r="U86" s="200"/>
      <c r="V86" s="200"/>
      <c r="W86" s="200"/>
      <c r="X86" s="200"/>
      <c r="Y86" s="200"/>
      <c r="Z86" s="200"/>
      <c r="AA86" s="200"/>
      <c r="AB86" s="200"/>
      <c r="AC86" s="200"/>
      <c r="AD86" s="200"/>
      <c r="AE86" s="200"/>
      <c r="AF86" s="200"/>
      <c r="AG86" s="200"/>
      <c r="AH86" s="200"/>
      <c r="AI86" s="200"/>
      <c r="AJ86" s="200"/>
      <c r="AK86" s="200"/>
      <c r="AL86" s="200"/>
      <c r="AM86" s="200"/>
      <c r="AN86" s="200"/>
      <c r="AO86" s="200"/>
      <c r="AP86" s="200"/>
      <c r="AQ86" s="200"/>
      <c r="AR86" s="200"/>
      <c r="AS86" s="200"/>
      <c r="AT86" s="200"/>
      <c r="AU86" s="200"/>
      <c r="AV86" s="200"/>
      <c r="AW86" s="200"/>
      <c r="AX86" s="200"/>
      <c r="AY86" s="200"/>
      <c r="AZ86" s="200"/>
      <c r="BA86" s="200"/>
    </row>
    <row r="87" spans="2:53" ht="15" customHeight="1">
      <c r="B87" s="200" t="s">
        <v>498</v>
      </c>
      <c r="C87" s="200"/>
      <c r="D87" s="200"/>
      <c r="E87" s="200"/>
      <c r="F87" s="200"/>
      <c r="G87" s="200"/>
      <c r="H87" s="200"/>
      <c r="I87" s="200"/>
      <c r="J87" s="200"/>
      <c r="K87" s="200"/>
      <c r="L87" s="200"/>
      <c r="M87" s="200"/>
      <c r="N87" s="200"/>
      <c r="O87" s="200"/>
      <c r="P87" s="200"/>
      <c r="Q87" s="200"/>
      <c r="R87" s="200"/>
      <c r="S87" s="200"/>
      <c r="T87" s="200"/>
      <c r="U87" s="200"/>
      <c r="V87" s="200"/>
      <c r="W87" s="200"/>
      <c r="X87" s="200"/>
      <c r="Y87" s="200"/>
      <c r="Z87" s="200"/>
      <c r="AA87" s="200"/>
      <c r="AB87" s="200"/>
      <c r="AC87" s="200"/>
      <c r="AD87" s="200"/>
      <c r="AE87" s="200"/>
      <c r="AF87" s="200"/>
      <c r="AG87" s="200"/>
      <c r="AH87" s="200"/>
      <c r="AI87" s="200"/>
      <c r="AJ87" s="200"/>
      <c r="AK87" s="200"/>
      <c r="AL87" s="200"/>
      <c r="AM87" s="200"/>
      <c r="AN87" s="200"/>
      <c r="AO87" s="200"/>
      <c r="AP87" s="200"/>
      <c r="AQ87" s="200"/>
      <c r="AR87" s="200"/>
      <c r="AS87" s="200"/>
      <c r="AT87" s="200"/>
      <c r="AU87" s="200"/>
      <c r="AV87" s="200"/>
      <c r="AW87" s="200"/>
      <c r="AX87" s="200"/>
      <c r="AY87" s="200"/>
      <c r="AZ87" s="200"/>
      <c r="BA87" s="200"/>
    </row>
    <row r="88" spans="2:53" ht="15" customHeight="1">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00"/>
      <c r="AH88" s="200"/>
      <c r="AI88" s="200"/>
      <c r="AJ88" s="200"/>
      <c r="AK88" s="200"/>
      <c r="AL88" s="200"/>
      <c r="AM88" s="200"/>
      <c r="AN88" s="200"/>
      <c r="AO88" s="200"/>
      <c r="AP88" s="200"/>
      <c r="AQ88" s="200"/>
      <c r="AR88" s="200"/>
      <c r="AS88" s="200"/>
      <c r="AT88" s="200"/>
      <c r="AU88" s="200"/>
      <c r="AV88" s="200"/>
      <c r="AW88" s="200"/>
      <c r="AX88" s="200"/>
      <c r="AY88" s="200"/>
      <c r="AZ88" s="200"/>
      <c r="BA88" s="200"/>
    </row>
    <row r="89" spans="2:53" ht="15" customHeight="1">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c r="AA89" s="200"/>
      <c r="AB89" s="200"/>
      <c r="AC89" s="200"/>
      <c r="AD89" s="200"/>
      <c r="AE89" s="200"/>
      <c r="AF89" s="200"/>
      <c r="AG89" s="200"/>
      <c r="AH89" s="200"/>
      <c r="AI89" s="200"/>
      <c r="AJ89" s="200"/>
      <c r="AK89" s="200"/>
      <c r="AL89" s="200"/>
      <c r="AM89" s="200"/>
      <c r="AN89" s="200"/>
      <c r="AO89" s="200"/>
      <c r="AP89" s="200"/>
      <c r="AQ89" s="200"/>
      <c r="AR89" s="200"/>
      <c r="AS89" s="200"/>
      <c r="AT89" s="200"/>
      <c r="AU89" s="200"/>
      <c r="AV89" s="200"/>
      <c r="AW89" s="200"/>
      <c r="AX89" s="200"/>
      <c r="AY89" s="200"/>
      <c r="AZ89" s="200"/>
      <c r="BA89" s="200"/>
    </row>
    <row r="90" spans="2:53" ht="15" customHeight="1">
      <c r="B90" s="200"/>
      <c r="C90" s="200"/>
      <c r="D90" s="200"/>
      <c r="E90" s="200"/>
      <c r="F90" s="200"/>
      <c r="G90" s="200"/>
      <c r="H90" s="200"/>
      <c r="I90" s="200"/>
      <c r="J90" s="200"/>
      <c r="K90" s="200"/>
      <c r="L90" s="200"/>
      <c r="M90" s="200"/>
      <c r="N90" s="200"/>
      <c r="O90" s="200"/>
      <c r="P90" s="200"/>
      <c r="Q90" s="200"/>
      <c r="R90" s="200"/>
      <c r="S90" s="200"/>
      <c r="T90" s="200"/>
      <c r="U90" s="200"/>
      <c r="V90" s="200"/>
      <c r="W90" s="200"/>
      <c r="X90" s="200"/>
      <c r="Y90" s="200"/>
      <c r="Z90" s="200"/>
      <c r="AA90" s="200"/>
      <c r="AB90" s="200"/>
      <c r="AC90" s="200"/>
      <c r="AD90" s="200"/>
      <c r="AE90" s="200"/>
      <c r="AF90" s="200"/>
      <c r="AG90" s="200"/>
      <c r="AH90" s="200"/>
      <c r="AI90" s="200"/>
      <c r="AJ90" s="200"/>
      <c r="AK90" s="200"/>
      <c r="AL90" s="200"/>
      <c r="AM90" s="200"/>
      <c r="AN90" s="200"/>
      <c r="AO90" s="200"/>
      <c r="AP90" s="200"/>
      <c r="AQ90" s="200"/>
      <c r="AR90" s="200"/>
      <c r="AS90" s="200"/>
      <c r="AT90" s="200"/>
      <c r="AU90" s="200"/>
      <c r="AV90" s="200"/>
      <c r="AW90" s="200"/>
      <c r="AX90" s="200"/>
      <c r="AY90" s="200"/>
      <c r="AZ90" s="200"/>
      <c r="BA90" s="200"/>
    </row>
    <row r="91" spans="2:53" ht="15" customHeight="1">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0"/>
      <c r="Z91" s="200"/>
      <c r="AA91" s="200"/>
      <c r="AB91" s="200"/>
      <c r="AC91" s="200"/>
      <c r="AD91" s="200"/>
      <c r="AE91" s="200"/>
      <c r="AF91" s="200"/>
      <c r="AG91" s="200"/>
      <c r="AH91" s="200"/>
      <c r="AI91" s="200"/>
      <c r="AJ91" s="200"/>
      <c r="AK91" s="200"/>
      <c r="AL91" s="200"/>
      <c r="AM91" s="200"/>
      <c r="AN91" s="200"/>
      <c r="AO91" s="200"/>
      <c r="AP91" s="200"/>
      <c r="AQ91" s="200"/>
      <c r="AR91" s="200"/>
      <c r="AS91" s="200"/>
      <c r="AT91" s="200"/>
      <c r="AU91" s="200"/>
      <c r="AV91" s="200"/>
      <c r="AW91" s="200"/>
      <c r="AX91" s="200"/>
      <c r="AY91" s="200"/>
      <c r="AZ91" s="200"/>
      <c r="BA91" s="200"/>
    </row>
    <row r="92" spans="2:53" ht="15" customHeight="1">
      <c r="B92" s="200"/>
      <c r="C92" s="200"/>
      <c r="D92" s="200"/>
      <c r="E92" s="200"/>
      <c r="F92" s="200"/>
      <c r="G92" s="200"/>
      <c r="H92" s="200"/>
      <c r="I92" s="200"/>
      <c r="J92" s="200"/>
      <c r="K92" s="200"/>
      <c r="L92" s="200"/>
      <c r="M92" s="200"/>
      <c r="N92" s="200"/>
      <c r="O92" s="200"/>
      <c r="P92" s="200"/>
      <c r="Q92" s="200"/>
      <c r="R92" s="200"/>
      <c r="S92" s="200"/>
      <c r="T92" s="200"/>
      <c r="U92" s="200"/>
      <c r="V92" s="200"/>
      <c r="W92" s="200"/>
      <c r="X92" s="200"/>
      <c r="Y92" s="200"/>
      <c r="Z92" s="200"/>
      <c r="AA92" s="200"/>
      <c r="AB92" s="200"/>
      <c r="AC92" s="200"/>
      <c r="AD92" s="200"/>
      <c r="AE92" s="200"/>
      <c r="AF92" s="200"/>
      <c r="AG92" s="200"/>
      <c r="AH92" s="200"/>
      <c r="AI92" s="200"/>
      <c r="AJ92" s="200"/>
      <c r="AK92" s="200"/>
      <c r="AL92" s="200"/>
      <c r="AM92" s="200"/>
      <c r="AN92" s="200"/>
      <c r="AO92" s="200"/>
      <c r="AP92" s="200"/>
      <c r="AQ92" s="200"/>
      <c r="AR92" s="200"/>
      <c r="AS92" s="200"/>
      <c r="AT92" s="200"/>
      <c r="AU92" s="200"/>
      <c r="AV92" s="200"/>
      <c r="AW92" s="200"/>
      <c r="AX92" s="200"/>
      <c r="AY92" s="200"/>
      <c r="AZ92" s="200"/>
      <c r="BA92" s="200"/>
    </row>
    <row r="93" spans="2:53" ht="15" customHeight="1">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c r="AA93" s="200"/>
      <c r="AB93" s="200"/>
      <c r="AC93" s="200"/>
      <c r="AD93" s="200"/>
      <c r="AE93" s="200"/>
      <c r="AF93" s="200"/>
      <c r="AG93" s="200"/>
      <c r="AH93" s="200"/>
      <c r="AI93" s="200"/>
      <c r="AJ93" s="200"/>
      <c r="AK93" s="200"/>
      <c r="AL93" s="200"/>
      <c r="AM93" s="200"/>
      <c r="AN93" s="200"/>
      <c r="AO93" s="200"/>
      <c r="AP93" s="200"/>
      <c r="AQ93" s="200"/>
      <c r="AR93" s="200"/>
      <c r="AS93" s="200"/>
      <c r="AT93" s="200"/>
      <c r="AU93" s="200"/>
      <c r="AV93" s="200"/>
      <c r="AW93" s="200"/>
      <c r="AX93" s="200"/>
      <c r="AY93" s="200"/>
      <c r="AZ93" s="200"/>
      <c r="BA93" s="200"/>
    </row>
    <row r="94" spans="2:53" ht="15" customHeight="1">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c r="AA94" s="200"/>
      <c r="AB94" s="200"/>
      <c r="AC94" s="200"/>
      <c r="AD94" s="200"/>
      <c r="AE94" s="200"/>
      <c r="AF94" s="200"/>
      <c r="AG94" s="200"/>
      <c r="AH94" s="200"/>
      <c r="AI94" s="200"/>
      <c r="AJ94" s="200"/>
      <c r="AK94" s="200"/>
      <c r="AL94" s="200"/>
      <c r="AM94" s="200"/>
      <c r="AN94" s="200"/>
      <c r="AO94" s="200"/>
      <c r="AP94" s="200"/>
      <c r="AQ94" s="200"/>
      <c r="AR94" s="200"/>
      <c r="AS94" s="200"/>
      <c r="AT94" s="200"/>
      <c r="AU94" s="200"/>
      <c r="AV94" s="200"/>
      <c r="AW94" s="200"/>
      <c r="AX94" s="200"/>
      <c r="AY94" s="200"/>
      <c r="AZ94" s="200"/>
      <c r="BA94" s="200"/>
    </row>
    <row r="95" spans="2:53" ht="15" customHeight="1">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c r="AA95" s="200"/>
      <c r="AB95" s="200"/>
      <c r="AC95" s="200"/>
      <c r="AD95" s="200"/>
      <c r="AE95" s="200"/>
      <c r="AF95" s="200"/>
      <c r="AG95" s="200"/>
      <c r="AH95" s="200"/>
      <c r="AI95" s="200"/>
      <c r="AJ95" s="200"/>
      <c r="AK95" s="200"/>
      <c r="AL95" s="200"/>
      <c r="AM95" s="200"/>
      <c r="AN95" s="200"/>
      <c r="AO95" s="200"/>
      <c r="AP95" s="200"/>
      <c r="AQ95" s="200"/>
      <c r="AR95" s="200"/>
      <c r="AS95" s="200"/>
      <c r="AT95" s="200"/>
      <c r="AU95" s="200"/>
      <c r="AV95" s="200"/>
      <c r="AW95" s="200"/>
      <c r="AX95" s="200"/>
      <c r="AY95" s="200"/>
      <c r="AZ95" s="200"/>
      <c r="BA95" s="200"/>
    </row>
    <row r="96" spans="2:53" ht="15" customHeight="1">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c r="AA96" s="200"/>
      <c r="AB96" s="200"/>
      <c r="AC96" s="200"/>
      <c r="AD96" s="200"/>
      <c r="AE96" s="200"/>
      <c r="AF96" s="200"/>
      <c r="AG96" s="200"/>
      <c r="AH96" s="200"/>
      <c r="AI96" s="200"/>
      <c r="AJ96" s="200"/>
      <c r="AK96" s="200"/>
      <c r="AL96" s="200"/>
      <c r="AM96" s="200"/>
      <c r="AN96" s="200"/>
      <c r="AO96" s="200"/>
      <c r="AP96" s="200"/>
      <c r="AQ96" s="200"/>
      <c r="AR96" s="200"/>
      <c r="AS96" s="200"/>
      <c r="AT96" s="200"/>
      <c r="AU96" s="200"/>
      <c r="AV96" s="200"/>
      <c r="AW96" s="200"/>
      <c r="AX96" s="200"/>
      <c r="AY96" s="200"/>
      <c r="AZ96" s="200"/>
      <c r="BA96" s="200"/>
    </row>
    <row r="97" spans="2:53" ht="15" customHeight="1">
      <c r="B97" s="200"/>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c r="AA97" s="200"/>
      <c r="AB97" s="200"/>
      <c r="AC97" s="200"/>
      <c r="AD97" s="200"/>
      <c r="AE97" s="200"/>
      <c r="AF97" s="200"/>
      <c r="AG97" s="200"/>
      <c r="AH97" s="200"/>
      <c r="AI97" s="200"/>
      <c r="AJ97" s="200"/>
      <c r="AK97" s="200"/>
      <c r="AL97" s="200"/>
      <c r="AM97" s="200"/>
      <c r="AN97" s="200"/>
      <c r="AO97" s="200"/>
      <c r="AP97" s="200"/>
      <c r="AQ97" s="200"/>
      <c r="AR97" s="200"/>
      <c r="AS97" s="200"/>
      <c r="AT97" s="200"/>
      <c r="AU97" s="200"/>
      <c r="AV97" s="200"/>
      <c r="AW97" s="200"/>
      <c r="AX97" s="200"/>
      <c r="AY97" s="200"/>
      <c r="AZ97" s="200"/>
      <c r="BA97" s="200"/>
    </row>
    <row r="98" spans="2:53" ht="15" customHeight="1">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c r="AA98" s="200"/>
      <c r="AB98" s="200"/>
      <c r="AC98" s="200"/>
      <c r="AD98" s="200"/>
      <c r="AE98" s="200"/>
      <c r="AF98" s="200"/>
      <c r="AG98" s="200"/>
      <c r="AH98" s="200"/>
      <c r="AI98" s="200"/>
      <c r="AJ98" s="200"/>
      <c r="AK98" s="200"/>
      <c r="AL98" s="200"/>
      <c r="AM98" s="200"/>
      <c r="AN98" s="200"/>
      <c r="AO98" s="200"/>
      <c r="AP98" s="200"/>
      <c r="AQ98" s="200"/>
      <c r="AR98" s="200"/>
      <c r="AS98" s="200"/>
      <c r="AT98" s="200"/>
      <c r="AU98" s="200"/>
      <c r="AV98" s="200"/>
      <c r="AW98" s="200"/>
      <c r="AX98" s="200"/>
      <c r="AY98" s="200"/>
      <c r="AZ98" s="200"/>
      <c r="BA98" s="200"/>
    </row>
    <row r="99" spans="2:53" ht="15" customHeight="1">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c r="AA99" s="200"/>
      <c r="AB99" s="200"/>
      <c r="AC99" s="200"/>
      <c r="AD99" s="200"/>
      <c r="AE99" s="200"/>
      <c r="AF99" s="200"/>
      <c r="AG99" s="200"/>
      <c r="AH99" s="200"/>
      <c r="AI99" s="200"/>
      <c r="AJ99" s="200"/>
      <c r="AK99" s="200"/>
      <c r="AL99" s="200"/>
      <c r="AM99" s="200"/>
      <c r="AN99" s="200"/>
      <c r="AO99" s="200"/>
      <c r="AP99" s="200"/>
      <c r="AQ99" s="200"/>
      <c r="AR99" s="200"/>
      <c r="AS99" s="200"/>
      <c r="AT99" s="200"/>
      <c r="AU99" s="200"/>
      <c r="AV99" s="200"/>
      <c r="AW99" s="200"/>
      <c r="AX99" s="200"/>
      <c r="AY99" s="200"/>
      <c r="AZ99" s="200"/>
      <c r="BA99" s="200"/>
    </row>
    <row r="100" spans="2:53" ht="15" customHeight="1">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c r="AA100" s="200"/>
      <c r="AB100" s="200"/>
      <c r="AC100" s="200"/>
      <c r="AD100" s="200"/>
      <c r="AE100" s="200"/>
      <c r="AF100" s="200"/>
      <c r="AG100" s="200"/>
      <c r="AH100" s="200"/>
      <c r="AI100" s="200"/>
      <c r="AJ100" s="200"/>
      <c r="AK100" s="200"/>
      <c r="AL100" s="200"/>
      <c r="AM100" s="200"/>
      <c r="AN100" s="200"/>
      <c r="AO100" s="200"/>
      <c r="AP100" s="200"/>
      <c r="AQ100" s="200"/>
      <c r="AR100" s="200"/>
      <c r="AS100" s="200"/>
      <c r="AT100" s="200"/>
      <c r="AU100" s="200"/>
      <c r="AV100" s="200"/>
      <c r="AW100" s="200"/>
      <c r="AX100" s="200"/>
      <c r="AY100" s="200"/>
      <c r="AZ100" s="200"/>
      <c r="BA100" s="200"/>
    </row>
    <row r="101" spans="2:53" ht="15" customHeight="1">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c r="AA101" s="200"/>
      <c r="AB101" s="200"/>
      <c r="AC101" s="200"/>
      <c r="AD101" s="200"/>
      <c r="AE101" s="200"/>
      <c r="AF101" s="200"/>
      <c r="AG101" s="200"/>
      <c r="AH101" s="200"/>
      <c r="AI101" s="200"/>
      <c r="AJ101" s="200"/>
      <c r="AK101" s="200"/>
      <c r="AL101" s="200"/>
      <c r="AM101" s="200"/>
      <c r="AN101" s="200"/>
      <c r="AO101" s="200"/>
      <c r="AP101" s="200"/>
      <c r="AQ101" s="200"/>
      <c r="AR101" s="200"/>
      <c r="AS101" s="200"/>
      <c r="AT101" s="200"/>
      <c r="AU101" s="200"/>
      <c r="AV101" s="200"/>
      <c r="AW101" s="200"/>
      <c r="AX101" s="200"/>
      <c r="AY101" s="200"/>
      <c r="AZ101" s="200"/>
      <c r="BA101" s="200"/>
    </row>
    <row r="102" spans="2:53" ht="15" customHeight="1">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c r="AA102" s="200"/>
      <c r="AB102" s="200"/>
      <c r="AC102" s="200"/>
      <c r="AD102" s="200"/>
      <c r="AE102" s="200"/>
      <c r="AF102" s="200"/>
      <c r="AG102" s="200"/>
      <c r="AH102" s="200"/>
      <c r="AI102" s="200"/>
      <c r="AJ102" s="200"/>
      <c r="AK102" s="200"/>
      <c r="AL102" s="200"/>
      <c r="AM102" s="200"/>
      <c r="AN102" s="200"/>
      <c r="AO102" s="200"/>
      <c r="AP102" s="200"/>
      <c r="AQ102" s="200"/>
      <c r="AR102" s="200"/>
      <c r="AS102" s="200"/>
      <c r="AT102" s="200"/>
      <c r="AU102" s="200"/>
      <c r="AV102" s="200"/>
      <c r="AW102" s="200"/>
      <c r="AX102" s="200"/>
      <c r="AY102" s="200"/>
      <c r="AZ102" s="200"/>
      <c r="BA102" s="200"/>
    </row>
    <row r="103" spans="2:53" ht="15" customHeight="1">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c r="AA103" s="200"/>
      <c r="AB103" s="200"/>
      <c r="AC103" s="200"/>
      <c r="AD103" s="200"/>
      <c r="AE103" s="200"/>
      <c r="AF103" s="200"/>
      <c r="AG103" s="200"/>
      <c r="AH103" s="200"/>
      <c r="AI103" s="200"/>
      <c r="AJ103" s="200"/>
      <c r="AK103" s="200"/>
      <c r="AL103" s="200"/>
      <c r="AM103" s="200"/>
      <c r="AN103" s="200"/>
      <c r="AO103" s="200"/>
      <c r="AP103" s="200"/>
      <c r="AQ103" s="200"/>
      <c r="AR103" s="200"/>
      <c r="AS103" s="200"/>
      <c r="AT103" s="200"/>
      <c r="AU103" s="200"/>
      <c r="AV103" s="200"/>
      <c r="AW103" s="200"/>
      <c r="AX103" s="200"/>
      <c r="AY103" s="200"/>
      <c r="AZ103" s="200"/>
      <c r="BA103" s="200"/>
    </row>
    <row r="104" spans="2:53" ht="15" customHeight="1">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c r="AA104" s="200"/>
      <c r="AB104" s="200"/>
      <c r="AC104" s="200"/>
      <c r="AD104" s="200"/>
      <c r="AE104" s="200"/>
      <c r="AF104" s="200"/>
      <c r="AG104" s="200"/>
      <c r="AH104" s="200"/>
      <c r="AI104" s="200"/>
      <c r="AJ104" s="200"/>
      <c r="AK104" s="200"/>
      <c r="AL104" s="200"/>
      <c r="AM104" s="200"/>
      <c r="AN104" s="200"/>
      <c r="AO104" s="200"/>
      <c r="AP104" s="200"/>
      <c r="AQ104" s="200"/>
      <c r="AR104" s="200"/>
      <c r="AS104" s="200"/>
      <c r="AT104" s="200"/>
      <c r="AU104" s="200"/>
      <c r="AV104" s="200"/>
      <c r="AW104" s="200"/>
      <c r="AX104" s="200"/>
      <c r="AY104" s="200"/>
      <c r="AZ104" s="200"/>
      <c r="BA104" s="200"/>
    </row>
    <row r="105" spans="2:53" ht="15" customHeight="1">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c r="AA105" s="200"/>
      <c r="AB105" s="200"/>
      <c r="AC105" s="200"/>
      <c r="AD105" s="200"/>
      <c r="AE105" s="200"/>
      <c r="AF105" s="200"/>
      <c r="AG105" s="200"/>
      <c r="AH105" s="200"/>
      <c r="AI105" s="200"/>
      <c r="AJ105" s="200"/>
      <c r="AK105" s="200"/>
      <c r="AL105" s="200"/>
      <c r="AM105" s="200"/>
      <c r="AN105" s="200"/>
      <c r="AO105" s="200"/>
      <c r="AP105" s="200"/>
      <c r="AQ105" s="200"/>
      <c r="AR105" s="200"/>
      <c r="AS105" s="200"/>
      <c r="AT105" s="200"/>
      <c r="AU105" s="200"/>
      <c r="AV105" s="200"/>
      <c r="AW105" s="200"/>
      <c r="AX105" s="200"/>
      <c r="AY105" s="200"/>
      <c r="AZ105" s="200"/>
      <c r="BA105" s="200"/>
    </row>
    <row r="106" spans="2:53" ht="15" customHeight="1">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c r="AA106" s="200"/>
      <c r="AB106" s="200"/>
      <c r="AC106" s="200"/>
      <c r="AD106" s="200"/>
      <c r="AE106" s="200"/>
      <c r="AF106" s="200"/>
      <c r="AG106" s="200"/>
      <c r="AH106" s="200"/>
      <c r="AI106" s="200"/>
      <c r="AJ106" s="200"/>
      <c r="AK106" s="200"/>
      <c r="AL106" s="200"/>
      <c r="AM106" s="200"/>
      <c r="AN106" s="200"/>
      <c r="AO106" s="200"/>
      <c r="AP106" s="200"/>
      <c r="AQ106" s="200"/>
      <c r="AR106" s="200"/>
      <c r="AS106" s="200"/>
      <c r="AT106" s="200"/>
      <c r="AU106" s="200"/>
      <c r="AV106" s="200"/>
      <c r="AW106" s="200"/>
      <c r="AX106" s="200"/>
      <c r="AY106" s="200"/>
      <c r="AZ106" s="200"/>
      <c r="BA106" s="200"/>
    </row>
    <row r="107" spans="2:53" ht="15" customHeight="1">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c r="AA107" s="200"/>
      <c r="AB107" s="200"/>
      <c r="AC107" s="200"/>
      <c r="AD107" s="200"/>
      <c r="AE107" s="200"/>
      <c r="AF107" s="200"/>
      <c r="AG107" s="200"/>
      <c r="AH107" s="200"/>
      <c r="AI107" s="200"/>
      <c r="AJ107" s="200"/>
      <c r="AK107" s="200"/>
      <c r="AL107" s="200"/>
      <c r="AM107" s="200"/>
      <c r="AN107" s="200"/>
      <c r="AO107" s="200"/>
      <c r="AP107" s="200"/>
      <c r="AQ107" s="200"/>
      <c r="AR107" s="200"/>
      <c r="AS107" s="200"/>
      <c r="AT107" s="200"/>
      <c r="AU107" s="200"/>
      <c r="AV107" s="200"/>
      <c r="AW107" s="200"/>
      <c r="AX107" s="200"/>
      <c r="AY107" s="200"/>
      <c r="AZ107" s="200"/>
      <c r="BA107" s="200"/>
    </row>
    <row r="108" spans="2:53" ht="15" customHeight="1">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c r="AA108" s="200"/>
      <c r="AB108" s="200"/>
      <c r="AC108" s="200"/>
      <c r="AD108" s="200"/>
      <c r="AE108" s="200"/>
      <c r="AF108" s="200"/>
      <c r="AG108" s="200"/>
      <c r="AH108" s="200"/>
      <c r="AI108" s="200"/>
      <c r="AJ108" s="200"/>
      <c r="AK108" s="200"/>
      <c r="AL108" s="200"/>
      <c r="AM108" s="200"/>
      <c r="AN108" s="200"/>
      <c r="AO108" s="200"/>
      <c r="AP108" s="200"/>
      <c r="AQ108" s="200"/>
      <c r="AR108" s="200"/>
      <c r="AS108" s="200"/>
      <c r="AT108" s="200"/>
      <c r="AU108" s="200"/>
      <c r="AV108" s="200"/>
      <c r="AW108" s="200"/>
      <c r="AX108" s="200"/>
      <c r="AY108" s="200"/>
      <c r="AZ108" s="200"/>
      <c r="BA108" s="200"/>
    </row>
    <row r="109" spans="2:53" ht="15" customHeight="1">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row>
    <row r="110" spans="2:53" ht="15" customHeight="1">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c r="AA110" s="200"/>
      <c r="AB110" s="200"/>
      <c r="AC110" s="200"/>
      <c r="AD110" s="200"/>
      <c r="AE110" s="200"/>
      <c r="AF110" s="200"/>
      <c r="AG110" s="200"/>
      <c r="AH110" s="200"/>
      <c r="AI110" s="200"/>
      <c r="AJ110" s="200"/>
      <c r="AK110" s="200"/>
      <c r="AL110" s="200"/>
      <c r="AM110" s="200"/>
      <c r="AN110" s="200"/>
      <c r="AO110" s="200"/>
      <c r="AP110" s="200"/>
      <c r="AQ110" s="200"/>
      <c r="AR110" s="200"/>
      <c r="AS110" s="200"/>
      <c r="AT110" s="200"/>
      <c r="AU110" s="200"/>
      <c r="AV110" s="200"/>
      <c r="AW110" s="200"/>
      <c r="AX110" s="200"/>
      <c r="AY110" s="200"/>
      <c r="AZ110" s="200"/>
      <c r="BA110" s="200"/>
    </row>
    <row r="111" spans="2:53" ht="15" customHeight="1">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c r="AA111" s="200"/>
      <c r="AB111" s="200"/>
      <c r="AC111" s="200"/>
      <c r="AD111" s="200"/>
      <c r="AE111" s="200"/>
      <c r="AF111" s="200"/>
      <c r="AG111" s="200"/>
      <c r="AH111" s="200"/>
      <c r="AI111" s="200"/>
      <c r="AJ111" s="200"/>
      <c r="AK111" s="200"/>
      <c r="AL111" s="200"/>
      <c r="AM111" s="200"/>
      <c r="AN111" s="200"/>
      <c r="AO111" s="200"/>
      <c r="AP111" s="200"/>
      <c r="AQ111" s="200"/>
      <c r="AR111" s="200"/>
      <c r="AS111" s="200"/>
      <c r="AT111" s="200"/>
      <c r="AU111" s="200"/>
      <c r="AV111" s="200"/>
      <c r="AW111" s="200"/>
      <c r="AX111" s="200"/>
      <c r="AY111" s="200"/>
      <c r="AZ111" s="200"/>
      <c r="BA111" s="200"/>
    </row>
    <row r="112" spans="2:53" ht="15" customHeight="1">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c r="AA112" s="200"/>
      <c r="AB112" s="200"/>
      <c r="AC112" s="200"/>
      <c r="AD112" s="200"/>
      <c r="AE112" s="200"/>
      <c r="AF112" s="200"/>
      <c r="AG112" s="200"/>
      <c r="AH112" s="200"/>
      <c r="AI112" s="200"/>
      <c r="AJ112" s="200"/>
      <c r="AK112" s="200"/>
      <c r="AL112" s="200"/>
      <c r="AM112" s="200"/>
      <c r="AN112" s="200"/>
      <c r="AO112" s="200"/>
      <c r="AP112" s="200"/>
      <c r="AQ112" s="200"/>
      <c r="AR112" s="200"/>
      <c r="AS112" s="200"/>
      <c r="AT112" s="200"/>
      <c r="AU112" s="200"/>
      <c r="AV112" s="200"/>
      <c r="AW112" s="200"/>
      <c r="AX112" s="200"/>
      <c r="AY112" s="200"/>
      <c r="AZ112" s="200"/>
      <c r="BA112" s="200"/>
    </row>
    <row r="113" spans="2:53" ht="15" customHeight="1">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row>
    <row r="114" spans="2:53" ht="15" customHeight="1">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c r="AA114" s="200"/>
      <c r="AB114" s="200"/>
      <c r="AC114" s="200"/>
      <c r="AD114" s="200"/>
      <c r="AE114" s="200"/>
      <c r="AF114" s="200"/>
      <c r="AG114" s="200"/>
      <c r="AH114" s="200"/>
      <c r="AI114" s="200"/>
      <c r="AJ114" s="200"/>
      <c r="AK114" s="200"/>
      <c r="AL114" s="200"/>
      <c r="AM114" s="200"/>
      <c r="AN114" s="200"/>
      <c r="AO114" s="200"/>
      <c r="AP114" s="200"/>
      <c r="AQ114" s="200"/>
      <c r="AR114" s="200"/>
      <c r="AS114" s="200"/>
      <c r="AT114" s="200"/>
      <c r="AU114" s="200"/>
      <c r="AV114" s="200"/>
      <c r="AW114" s="200"/>
      <c r="AX114" s="200"/>
      <c r="AY114" s="200"/>
      <c r="AZ114" s="200"/>
      <c r="BA114" s="200"/>
    </row>
    <row r="115" spans="2:53" ht="15" customHeight="1">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c r="AE115" s="200"/>
      <c r="AF115" s="200"/>
      <c r="AG115" s="200"/>
      <c r="AH115" s="200"/>
      <c r="AI115" s="200"/>
      <c r="AJ115" s="200"/>
      <c r="AK115" s="200"/>
      <c r="AL115" s="200"/>
      <c r="AM115" s="200"/>
      <c r="AN115" s="200"/>
      <c r="AO115" s="200"/>
      <c r="AP115" s="200"/>
      <c r="AQ115" s="200"/>
      <c r="AR115" s="200"/>
      <c r="AS115" s="200"/>
      <c r="AT115" s="200"/>
      <c r="AU115" s="200"/>
      <c r="AV115" s="200"/>
      <c r="AW115" s="200"/>
      <c r="AX115" s="200"/>
      <c r="AY115" s="200"/>
      <c r="AZ115" s="200"/>
      <c r="BA115" s="200"/>
    </row>
    <row r="116" spans="2:53" ht="15" customHeight="1">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c r="AP116" s="200"/>
      <c r="AQ116" s="200"/>
      <c r="AR116" s="200"/>
      <c r="AS116" s="200"/>
      <c r="AT116" s="200"/>
      <c r="AU116" s="200"/>
      <c r="AV116" s="200"/>
      <c r="AW116" s="200"/>
      <c r="AX116" s="200"/>
      <c r="AY116" s="200"/>
      <c r="AZ116" s="200"/>
      <c r="BA116" s="200"/>
    </row>
    <row r="117" spans="2:53" ht="15" customHeight="1">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c r="AP117" s="200"/>
      <c r="AQ117" s="200"/>
      <c r="AR117" s="200"/>
      <c r="AS117" s="200"/>
      <c r="AT117" s="200"/>
      <c r="AU117" s="200"/>
      <c r="AV117" s="200"/>
      <c r="AW117" s="200"/>
      <c r="AX117" s="200"/>
      <c r="AY117" s="200"/>
      <c r="AZ117" s="200"/>
      <c r="BA117" s="200"/>
    </row>
    <row r="118" spans="2:53" ht="15" customHeight="1">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c r="AA118" s="200"/>
      <c r="AB118" s="200"/>
      <c r="AC118" s="200"/>
      <c r="AD118" s="200"/>
      <c r="AE118" s="200"/>
      <c r="AF118" s="200"/>
      <c r="AG118" s="200"/>
      <c r="AH118" s="200"/>
      <c r="AI118" s="200"/>
      <c r="AJ118" s="200"/>
      <c r="AK118" s="200"/>
      <c r="AL118" s="200"/>
      <c r="AM118" s="200"/>
      <c r="AN118" s="200"/>
      <c r="AO118" s="200"/>
      <c r="AP118" s="200"/>
      <c r="AQ118" s="200"/>
      <c r="AR118" s="200"/>
      <c r="AS118" s="200"/>
      <c r="AT118" s="200"/>
      <c r="AU118" s="200"/>
      <c r="AV118" s="200"/>
      <c r="AW118" s="200"/>
      <c r="AX118" s="200"/>
      <c r="AY118" s="200"/>
      <c r="AZ118" s="200"/>
      <c r="BA118" s="200"/>
    </row>
    <row r="119" spans="2:53" ht="15" customHeight="1">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c r="AA119" s="200"/>
      <c r="AB119" s="200"/>
      <c r="AC119" s="200"/>
      <c r="AD119" s="200"/>
      <c r="AE119" s="200"/>
      <c r="AF119" s="200"/>
      <c r="AG119" s="200"/>
      <c r="AH119" s="200"/>
      <c r="AI119" s="200"/>
      <c r="AJ119" s="200"/>
      <c r="AK119" s="200"/>
      <c r="AL119" s="200"/>
      <c r="AM119" s="200"/>
      <c r="AN119" s="200"/>
      <c r="AO119" s="200"/>
      <c r="AP119" s="200"/>
      <c r="AQ119" s="200"/>
      <c r="AR119" s="200"/>
      <c r="AS119" s="200"/>
      <c r="AT119" s="200"/>
      <c r="AU119" s="200"/>
      <c r="AV119" s="200"/>
      <c r="AW119" s="200"/>
      <c r="AX119" s="200"/>
      <c r="AY119" s="200"/>
      <c r="AZ119" s="200"/>
      <c r="BA119" s="200"/>
    </row>
    <row r="120" spans="2:53" ht="15" customHeight="1">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0"/>
      <c r="AD120" s="200"/>
      <c r="AE120" s="200"/>
      <c r="AF120" s="200"/>
      <c r="AG120" s="200"/>
      <c r="AH120" s="200"/>
      <c r="AI120" s="200"/>
      <c r="AJ120" s="200"/>
      <c r="AK120" s="200"/>
      <c r="AL120" s="200"/>
      <c r="AM120" s="200"/>
      <c r="AN120" s="200"/>
      <c r="AO120" s="200"/>
      <c r="AP120" s="200"/>
      <c r="AQ120" s="200"/>
      <c r="AR120" s="200"/>
      <c r="AS120" s="200"/>
      <c r="AT120" s="200"/>
      <c r="AU120" s="200"/>
      <c r="AV120" s="200"/>
      <c r="AW120" s="200"/>
      <c r="AX120" s="200"/>
      <c r="AY120" s="200"/>
      <c r="AZ120" s="200"/>
      <c r="BA120" s="200"/>
    </row>
    <row r="121" spans="2:53" ht="15" customHeight="1">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c r="AE121" s="200"/>
      <c r="AF121" s="200"/>
      <c r="AG121" s="200"/>
      <c r="AH121" s="200"/>
      <c r="AI121" s="200"/>
      <c r="AJ121" s="200"/>
      <c r="AK121" s="200"/>
      <c r="AL121" s="200"/>
      <c r="AM121" s="200"/>
      <c r="AN121" s="200"/>
      <c r="AO121" s="200"/>
      <c r="AP121" s="200"/>
      <c r="AQ121" s="200"/>
      <c r="AR121" s="200"/>
      <c r="AS121" s="200"/>
      <c r="AT121" s="200"/>
      <c r="AU121" s="200"/>
      <c r="AV121" s="200"/>
      <c r="AW121" s="200"/>
      <c r="AX121" s="200"/>
      <c r="AY121" s="200"/>
      <c r="AZ121" s="200"/>
      <c r="BA121" s="200"/>
    </row>
    <row r="122" spans="2:53" ht="15" customHeight="1">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c r="AA122" s="200"/>
      <c r="AB122" s="200"/>
      <c r="AC122" s="200"/>
      <c r="AD122" s="200"/>
      <c r="AE122" s="200"/>
      <c r="AF122" s="200"/>
      <c r="AG122" s="200"/>
      <c r="AH122" s="200"/>
      <c r="AI122" s="200"/>
      <c r="AJ122" s="200"/>
      <c r="AK122" s="200"/>
      <c r="AL122" s="200"/>
      <c r="AM122" s="200"/>
      <c r="AN122" s="200"/>
      <c r="AO122" s="200"/>
      <c r="AP122" s="200"/>
      <c r="AQ122" s="200"/>
      <c r="AR122" s="200"/>
      <c r="AS122" s="200"/>
      <c r="AT122" s="200"/>
      <c r="AU122" s="200"/>
      <c r="AV122" s="200"/>
      <c r="AW122" s="200"/>
      <c r="AX122" s="200"/>
      <c r="AY122" s="200"/>
      <c r="AZ122" s="200"/>
      <c r="BA122" s="200"/>
    </row>
    <row r="123" spans="2:53" ht="15" customHeight="1">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c r="AE123" s="200"/>
      <c r="AF123" s="200"/>
      <c r="AG123" s="200"/>
      <c r="AH123" s="200"/>
      <c r="AI123" s="200"/>
      <c r="AJ123" s="200"/>
      <c r="AK123" s="200"/>
      <c r="AL123" s="200"/>
      <c r="AM123" s="200"/>
      <c r="AN123" s="200"/>
      <c r="AO123" s="200"/>
      <c r="AP123" s="200"/>
      <c r="AQ123" s="200"/>
      <c r="AR123" s="200"/>
      <c r="AS123" s="200"/>
      <c r="AT123" s="200"/>
      <c r="AU123" s="200"/>
      <c r="AV123" s="200"/>
      <c r="AW123" s="200"/>
      <c r="AX123" s="200"/>
      <c r="AY123" s="200"/>
      <c r="AZ123" s="200"/>
      <c r="BA123" s="200"/>
    </row>
    <row r="124" spans="2:53" ht="15" customHeight="1">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c r="AA124" s="200"/>
      <c r="AB124" s="200"/>
      <c r="AC124" s="200"/>
      <c r="AD124" s="200"/>
      <c r="AE124" s="200"/>
      <c r="AF124" s="200"/>
      <c r="AG124" s="200"/>
      <c r="AH124" s="200"/>
      <c r="AI124" s="200"/>
      <c r="AJ124" s="200"/>
      <c r="AK124" s="200"/>
      <c r="AL124" s="200"/>
      <c r="AM124" s="200"/>
      <c r="AN124" s="200"/>
      <c r="AO124" s="200"/>
      <c r="AP124" s="200"/>
      <c r="AQ124" s="200"/>
      <c r="AR124" s="200"/>
      <c r="AS124" s="200"/>
      <c r="AT124" s="200"/>
      <c r="AU124" s="200"/>
      <c r="AV124" s="200"/>
      <c r="AW124" s="200"/>
      <c r="AX124" s="200"/>
      <c r="AY124" s="200"/>
      <c r="AZ124" s="200"/>
      <c r="BA124" s="200"/>
    </row>
    <row r="125" spans="2:53" ht="15" customHeight="1">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c r="AM125" s="200"/>
      <c r="AN125" s="200"/>
      <c r="AO125" s="200"/>
      <c r="AP125" s="200"/>
      <c r="AQ125" s="200"/>
      <c r="AR125" s="200"/>
      <c r="AS125" s="200"/>
      <c r="AT125" s="200"/>
      <c r="AU125" s="200"/>
      <c r="AV125" s="200"/>
      <c r="AW125" s="200"/>
      <c r="AX125" s="200"/>
      <c r="AY125" s="200"/>
      <c r="AZ125" s="200"/>
      <c r="BA125" s="200"/>
    </row>
    <row r="126" spans="2:53" ht="15" customHeight="1">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c r="AA126" s="200"/>
      <c r="AB126" s="200"/>
      <c r="AC126" s="200"/>
      <c r="AD126" s="200"/>
      <c r="AE126" s="200"/>
      <c r="AF126" s="200"/>
      <c r="AG126" s="200"/>
      <c r="AH126" s="200"/>
      <c r="AI126" s="200"/>
      <c r="AJ126" s="200"/>
      <c r="AK126" s="200"/>
      <c r="AL126" s="200"/>
      <c r="AM126" s="200"/>
      <c r="AN126" s="200"/>
      <c r="AO126" s="200"/>
      <c r="AP126" s="200"/>
      <c r="AQ126" s="200"/>
      <c r="AR126" s="200"/>
      <c r="AS126" s="200"/>
      <c r="AT126" s="200"/>
      <c r="AU126" s="200"/>
      <c r="AV126" s="200"/>
      <c r="AW126" s="200"/>
      <c r="AX126" s="200"/>
      <c r="AY126" s="200"/>
      <c r="AZ126" s="200"/>
      <c r="BA126" s="200"/>
    </row>
    <row r="127" spans="2:53" ht="15" customHeight="1">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c r="AA127" s="200"/>
      <c r="AB127" s="200"/>
      <c r="AC127" s="200"/>
      <c r="AD127" s="200"/>
      <c r="AE127" s="200"/>
      <c r="AF127" s="200"/>
      <c r="AG127" s="200"/>
      <c r="AH127" s="200"/>
      <c r="AI127" s="200"/>
      <c r="AJ127" s="200"/>
      <c r="AK127" s="200"/>
      <c r="AL127" s="200"/>
      <c r="AM127" s="200"/>
      <c r="AN127" s="200"/>
      <c r="AO127" s="200"/>
      <c r="AP127" s="200"/>
      <c r="AQ127" s="200"/>
      <c r="AR127" s="200"/>
      <c r="AS127" s="200"/>
      <c r="AT127" s="200"/>
      <c r="AU127" s="200"/>
      <c r="AV127" s="200"/>
      <c r="AW127" s="200"/>
      <c r="AX127" s="200"/>
      <c r="AY127" s="200"/>
      <c r="AZ127" s="200"/>
      <c r="BA127" s="200"/>
    </row>
    <row r="128" spans="2:53" ht="15" customHeight="1">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c r="AA128" s="200"/>
      <c r="AB128" s="200"/>
      <c r="AC128" s="200"/>
      <c r="AD128" s="200"/>
      <c r="AE128" s="200"/>
      <c r="AF128" s="200"/>
      <c r="AG128" s="200"/>
      <c r="AH128" s="200"/>
      <c r="AI128" s="200"/>
      <c r="AJ128" s="200"/>
      <c r="AK128" s="200"/>
      <c r="AL128" s="200"/>
      <c r="AM128" s="200"/>
      <c r="AN128" s="200"/>
      <c r="AO128" s="200"/>
      <c r="AP128" s="200"/>
      <c r="AQ128" s="200"/>
      <c r="AR128" s="200"/>
      <c r="AS128" s="200"/>
      <c r="AT128" s="200"/>
      <c r="AU128" s="200"/>
      <c r="AV128" s="200"/>
      <c r="AW128" s="200"/>
      <c r="AX128" s="200"/>
      <c r="AY128" s="200"/>
      <c r="AZ128" s="200"/>
      <c r="BA128" s="200"/>
    </row>
    <row r="129" spans="1:53" ht="15" customHeight="1">
      <c r="A129" s="199"/>
      <c r="B129" s="200"/>
      <c r="C129" s="200"/>
      <c r="D129" s="20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c r="AA129" s="200"/>
      <c r="AB129" s="200"/>
      <c r="AC129" s="200"/>
      <c r="AD129" s="200"/>
      <c r="AE129" s="200"/>
      <c r="AF129" s="200"/>
      <c r="AG129" s="200"/>
      <c r="AH129" s="200"/>
      <c r="AI129" s="200"/>
      <c r="AJ129" s="200"/>
      <c r="AK129" s="200"/>
      <c r="AL129" s="200"/>
      <c r="AM129" s="200"/>
      <c r="AN129" s="200"/>
      <c r="AO129" s="200"/>
      <c r="AP129" s="200"/>
      <c r="AQ129" s="200"/>
      <c r="AR129" s="200"/>
      <c r="AS129" s="200"/>
      <c r="AT129" s="200"/>
      <c r="AU129" s="200"/>
      <c r="AV129" s="200"/>
      <c r="AW129" s="200"/>
      <c r="AX129" s="200"/>
      <c r="AY129" s="200"/>
      <c r="AZ129" s="200"/>
      <c r="BA129" s="200"/>
    </row>
    <row r="130" spans="1:53" ht="15" customHeight="1">
      <c r="A130" s="199"/>
      <c r="B130" s="200"/>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c r="AA130" s="200"/>
      <c r="AB130" s="200"/>
      <c r="AC130" s="200"/>
      <c r="AD130" s="200"/>
      <c r="AE130" s="200"/>
      <c r="AF130" s="200"/>
      <c r="AG130" s="200"/>
      <c r="AH130" s="200"/>
      <c r="AI130" s="200"/>
      <c r="AJ130" s="200"/>
      <c r="AK130" s="200"/>
      <c r="AL130" s="200"/>
      <c r="AM130" s="200"/>
      <c r="AN130" s="200"/>
      <c r="AO130" s="200"/>
      <c r="AP130" s="200"/>
      <c r="AQ130" s="200"/>
      <c r="AR130" s="200"/>
      <c r="AS130" s="200"/>
      <c r="AT130" s="200"/>
      <c r="AU130" s="200"/>
      <c r="AV130" s="200"/>
      <c r="AW130" s="200"/>
      <c r="AX130" s="200"/>
      <c r="AY130" s="200"/>
      <c r="AZ130" s="200"/>
      <c r="BA130" s="200"/>
    </row>
    <row r="131" spans="1:53" ht="15" customHeight="1">
      <c r="A131" s="199"/>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c r="AA131" s="200"/>
      <c r="AB131" s="200"/>
      <c r="AC131" s="200"/>
      <c r="AD131" s="200"/>
      <c r="AE131" s="200"/>
      <c r="AF131" s="200"/>
      <c r="AG131" s="200"/>
      <c r="AH131" s="200"/>
      <c r="AI131" s="200"/>
      <c r="AJ131" s="200"/>
      <c r="AK131" s="200"/>
      <c r="AL131" s="200"/>
      <c r="AM131" s="200"/>
      <c r="AN131" s="200"/>
      <c r="AO131" s="200"/>
      <c r="AP131" s="200"/>
      <c r="AQ131" s="200"/>
      <c r="AR131" s="200"/>
      <c r="AS131" s="200"/>
      <c r="AT131" s="200"/>
      <c r="AU131" s="200"/>
      <c r="AV131" s="200"/>
      <c r="AW131" s="200"/>
      <c r="AX131" s="200"/>
      <c r="AY131" s="200"/>
      <c r="AZ131" s="200"/>
      <c r="BA131" s="200"/>
    </row>
    <row r="132" spans="1:53" ht="15" customHeight="1">
      <c r="A132" s="199"/>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c r="AA132" s="200"/>
      <c r="AB132" s="200"/>
      <c r="AC132" s="200"/>
      <c r="AD132" s="200"/>
      <c r="AE132" s="200"/>
      <c r="AF132" s="200"/>
      <c r="AG132" s="200"/>
      <c r="AH132" s="200"/>
      <c r="AI132" s="200"/>
      <c r="AJ132" s="200"/>
      <c r="AK132" s="200"/>
      <c r="AL132" s="200"/>
      <c r="AM132" s="200"/>
      <c r="AN132" s="200"/>
      <c r="AO132" s="200"/>
      <c r="AP132" s="200"/>
      <c r="AQ132" s="200"/>
      <c r="AR132" s="200"/>
      <c r="AS132" s="200"/>
      <c r="AT132" s="200"/>
      <c r="AU132" s="200"/>
      <c r="AV132" s="200"/>
      <c r="AW132" s="200"/>
      <c r="AX132" s="200"/>
      <c r="AY132" s="200"/>
      <c r="AZ132" s="200"/>
      <c r="BA132" s="200"/>
    </row>
    <row r="133" spans="1:53" ht="15" customHeight="1">
      <c r="A133" s="199"/>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c r="AA133" s="200"/>
      <c r="AB133" s="200"/>
      <c r="AC133" s="200"/>
      <c r="AD133" s="200"/>
      <c r="AE133" s="200"/>
      <c r="AF133" s="200"/>
      <c r="AG133" s="200"/>
      <c r="AH133" s="200"/>
      <c r="AI133" s="200"/>
      <c r="AJ133" s="200"/>
      <c r="AK133" s="200"/>
      <c r="AL133" s="200"/>
      <c r="AM133" s="200"/>
      <c r="AN133" s="200"/>
      <c r="AO133" s="200"/>
      <c r="AP133" s="200"/>
      <c r="AQ133" s="200"/>
      <c r="AR133" s="200"/>
      <c r="AS133" s="200"/>
      <c r="AT133" s="200"/>
      <c r="AU133" s="200"/>
      <c r="AV133" s="200"/>
      <c r="AW133" s="200"/>
      <c r="AX133" s="200"/>
      <c r="AY133" s="200"/>
      <c r="AZ133" s="200"/>
      <c r="BA133" s="200"/>
    </row>
    <row r="134" spans="1:53" ht="15" customHeight="1">
      <c r="A134" s="199"/>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c r="AA134" s="200"/>
      <c r="AB134" s="200"/>
      <c r="AC134" s="200"/>
      <c r="AD134" s="200"/>
      <c r="AE134" s="200"/>
      <c r="AF134" s="200"/>
      <c r="AG134" s="200"/>
      <c r="AH134" s="200"/>
      <c r="AI134" s="200"/>
      <c r="AJ134" s="200"/>
      <c r="AK134" s="200"/>
      <c r="AL134" s="200"/>
      <c r="AM134" s="200"/>
      <c r="AN134" s="200"/>
      <c r="AO134" s="200"/>
      <c r="AP134" s="200"/>
      <c r="AQ134" s="200"/>
      <c r="AR134" s="200"/>
      <c r="AS134" s="200"/>
      <c r="AT134" s="200"/>
      <c r="AU134" s="200"/>
      <c r="AV134" s="200"/>
      <c r="AW134" s="200"/>
      <c r="AX134" s="200"/>
      <c r="AY134" s="200"/>
      <c r="AZ134" s="200"/>
      <c r="BA134" s="200"/>
    </row>
    <row r="135" spans="1:53" ht="15" customHeight="1">
      <c r="A135" s="201" t="s">
        <v>499</v>
      </c>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c r="AA135" s="200"/>
      <c r="AB135" s="200"/>
      <c r="AC135" s="200"/>
      <c r="AD135" s="200"/>
      <c r="AE135" s="200"/>
      <c r="AF135" s="200"/>
      <c r="AG135" s="200"/>
      <c r="AH135" s="200"/>
      <c r="AI135" s="200"/>
      <c r="AJ135" s="200"/>
      <c r="AK135" s="200"/>
      <c r="AL135" s="200"/>
      <c r="AM135" s="200"/>
      <c r="AN135" s="200"/>
      <c r="AO135" s="200"/>
      <c r="AP135" s="200"/>
      <c r="AQ135" s="200"/>
      <c r="AR135" s="200"/>
      <c r="AS135" s="200"/>
      <c r="AT135" s="200"/>
      <c r="AU135" s="200"/>
      <c r="AV135" s="200"/>
      <c r="AW135" s="200"/>
      <c r="AX135" s="200"/>
      <c r="AY135" s="200"/>
      <c r="AZ135" s="200"/>
      <c r="BA135" s="200"/>
    </row>
    <row r="136" spans="1:53" ht="15" customHeight="1">
      <c r="A136" s="199"/>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c r="AA136" s="200"/>
      <c r="AB136" s="200"/>
      <c r="AC136" s="200"/>
      <c r="AD136" s="200"/>
      <c r="AE136" s="200"/>
      <c r="AF136" s="200"/>
      <c r="AG136" s="200"/>
      <c r="AH136" s="200"/>
      <c r="AI136" s="200"/>
      <c r="AJ136" s="200"/>
      <c r="AK136" s="200"/>
      <c r="AL136" s="200"/>
      <c r="AM136" s="200"/>
      <c r="AN136" s="200"/>
      <c r="AO136" s="200"/>
      <c r="AP136" s="200"/>
      <c r="AQ136" s="200"/>
      <c r="AR136" s="200"/>
      <c r="AS136" s="200"/>
      <c r="AT136" s="200"/>
      <c r="AU136" s="200"/>
      <c r="AV136" s="200"/>
      <c r="AW136" s="200"/>
      <c r="AX136" s="200"/>
      <c r="AY136" s="200"/>
      <c r="AZ136" s="200"/>
      <c r="BA136" s="200"/>
    </row>
    <row r="137" spans="1:53" ht="15" customHeight="1">
      <c r="A137" s="199"/>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c r="AA137" s="200"/>
      <c r="AB137" s="200"/>
      <c r="AC137" s="200"/>
      <c r="AD137" s="200"/>
      <c r="AE137" s="200"/>
      <c r="AF137" s="200"/>
      <c r="AG137" s="200"/>
      <c r="AH137" s="200"/>
      <c r="AI137" s="200"/>
      <c r="AJ137" s="200"/>
      <c r="AK137" s="200"/>
      <c r="AL137" s="200"/>
      <c r="AM137" s="200"/>
      <c r="AN137" s="200"/>
      <c r="AO137" s="200"/>
      <c r="AP137" s="200"/>
      <c r="AQ137" s="200"/>
      <c r="AR137" s="200"/>
      <c r="AS137" s="200"/>
      <c r="AT137" s="200"/>
      <c r="AU137" s="200"/>
      <c r="AV137" s="200"/>
      <c r="AW137" s="200"/>
      <c r="AX137" s="200"/>
      <c r="AY137" s="200"/>
      <c r="AZ137" s="200"/>
      <c r="BA137" s="200"/>
    </row>
    <row r="138" spans="1:53" ht="15" customHeight="1">
      <c r="A138" s="199"/>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c r="AA138" s="200"/>
      <c r="AB138" s="200"/>
      <c r="AC138" s="200"/>
      <c r="AD138" s="200"/>
      <c r="AE138" s="200"/>
      <c r="AF138" s="200"/>
      <c r="AG138" s="200"/>
      <c r="AH138" s="200"/>
      <c r="AI138" s="200"/>
      <c r="AJ138" s="200"/>
      <c r="AK138" s="200"/>
      <c r="AL138" s="200"/>
      <c r="AM138" s="200"/>
      <c r="AN138" s="200"/>
      <c r="AO138" s="200"/>
      <c r="AP138" s="200"/>
      <c r="AQ138" s="200"/>
      <c r="AR138" s="200"/>
      <c r="AS138" s="200"/>
      <c r="AT138" s="200"/>
      <c r="AU138" s="200"/>
      <c r="AV138" s="200"/>
      <c r="AW138" s="200"/>
      <c r="AX138" s="200"/>
      <c r="AY138" s="200"/>
      <c r="AZ138" s="200"/>
      <c r="BA138" s="200"/>
    </row>
    <row r="139" spans="1:53" ht="15" customHeight="1">
      <c r="A139" s="199"/>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c r="AA139" s="200"/>
      <c r="AB139" s="200"/>
      <c r="AC139" s="200"/>
      <c r="AD139" s="200"/>
      <c r="AE139" s="200"/>
      <c r="AF139" s="200"/>
      <c r="AG139" s="200"/>
      <c r="AH139" s="200"/>
      <c r="AI139" s="200"/>
      <c r="AJ139" s="200"/>
      <c r="AK139" s="200"/>
      <c r="AL139" s="200"/>
      <c r="AM139" s="200"/>
      <c r="AN139" s="200"/>
      <c r="AO139" s="200"/>
      <c r="AP139" s="200"/>
      <c r="AQ139" s="200"/>
      <c r="AR139" s="200"/>
      <c r="AS139" s="200"/>
      <c r="AT139" s="200"/>
      <c r="AU139" s="200"/>
      <c r="AV139" s="200"/>
      <c r="AW139" s="200"/>
      <c r="AX139" s="200"/>
      <c r="AY139" s="200"/>
      <c r="AZ139" s="200"/>
      <c r="BA139" s="200"/>
    </row>
    <row r="140" spans="1:53" ht="15" customHeight="1">
      <c r="A140" s="199"/>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c r="AE140" s="200"/>
      <c r="AF140" s="200"/>
      <c r="AG140" s="200"/>
      <c r="AH140" s="200"/>
      <c r="AI140" s="200"/>
      <c r="AJ140" s="200"/>
      <c r="AK140" s="200"/>
      <c r="AL140" s="200"/>
      <c r="AM140" s="200"/>
      <c r="AN140" s="200"/>
      <c r="AO140" s="200"/>
      <c r="AP140" s="200"/>
      <c r="AQ140" s="200"/>
      <c r="AR140" s="200"/>
      <c r="AS140" s="200"/>
      <c r="AT140" s="200"/>
      <c r="AU140" s="200"/>
      <c r="AV140" s="200"/>
      <c r="AW140" s="200"/>
      <c r="AX140" s="200"/>
      <c r="AY140" s="200"/>
      <c r="AZ140" s="200"/>
      <c r="BA140" s="200"/>
    </row>
    <row r="141" spans="1:53" ht="15" customHeight="1">
      <c r="A141" s="201" t="s">
        <v>500</v>
      </c>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c r="AA141" s="200"/>
      <c r="AB141" s="200"/>
      <c r="AC141" s="200"/>
      <c r="AD141" s="200"/>
      <c r="AE141" s="200"/>
      <c r="AF141" s="200"/>
      <c r="AG141" s="200"/>
      <c r="AH141" s="200"/>
      <c r="AI141" s="200"/>
      <c r="AJ141" s="200"/>
      <c r="AK141" s="200"/>
      <c r="AL141" s="200"/>
      <c r="AM141" s="200"/>
      <c r="AN141" s="200"/>
      <c r="AO141" s="200"/>
      <c r="AP141" s="200"/>
      <c r="AQ141" s="200"/>
      <c r="AR141" s="200"/>
      <c r="AS141" s="200"/>
      <c r="AT141" s="200"/>
      <c r="AU141" s="200"/>
      <c r="AV141" s="200"/>
      <c r="AW141" s="200"/>
      <c r="AX141" s="200"/>
      <c r="AY141" s="200"/>
      <c r="AZ141" s="200"/>
      <c r="BA141" s="200"/>
    </row>
    <row r="142" spans="1:53" ht="15" customHeight="1">
      <c r="A142" s="201" t="s">
        <v>501</v>
      </c>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c r="AA142" s="200"/>
      <c r="AB142" s="200"/>
      <c r="AC142" s="200"/>
      <c r="AD142" s="200"/>
      <c r="AE142" s="200"/>
      <c r="AF142" s="200"/>
      <c r="AG142" s="200"/>
      <c r="AH142" s="200"/>
      <c r="AI142" s="200"/>
      <c r="AJ142" s="200"/>
      <c r="AK142" s="200"/>
      <c r="AL142" s="200"/>
      <c r="AM142" s="200"/>
      <c r="AN142" s="200"/>
      <c r="AO142" s="200"/>
      <c r="AP142" s="200"/>
      <c r="AQ142" s="200"/>
      <c r="AR142" s="200"/>
      <c r="AS142" s="200"/>
      <c r="AT142" s="200"/>
      <c r="AU142" s="200"/>
      <c r="AV142" s="200"/>
      <c r="AW142" s="200"/>
      <c r="AX142" s="200"/>
      <c r="AY142" s="200"/>
      <c r="AZ142" s="200"/>
      <c r="BA142" s="200"/>
    </row>
    <row r="143" spans="1:53" ht="15" customHeight="1">
      <c r="A143" s="201" t="s">
        <v>502</v>
      </c>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c r="AA143" s="200"/>
      <c r="AB143" s="200"/>
      <c r="AC143" s="200"/>
      <c r="AD143" s="200"/>
      <c r="AE143" s="200"/>
      <c r="AF143" s="200"/>
      <c r="AG143" s="200"/>
      <c r="AH143" s="200"/>
      <c r="AI143" s="200"/>
      <c r="AJ143" s="200"/>
      <c r="AK143" s="200"/>
      <c r="AL143" s="200"/>
      <c r="AM143" s="200"/>
      <c r="AN143" s="200"/>
      <c r="AO143" s="200"/>
      <c r="AP143" s="200"/>
      <c r="AQ143" s="200"/>
      <c r="AR143" s="200"/>
      <c r="AS143" s="200"/>
      <c r="AT143" s="200"/>
      <c r="AU143" s="200"/>
      <c r="AV143" s="200"/>
      <c r="AW143" s="200"/>
      <c r="AX143" s="200"/>
      <c r="AY143" s="200"/>
      <c r="AZ143" s="200"/>
      <c r="BA143" s="200"/>
    </row>
    <row r="144" spans="1:53" ht="15" customHeight="1">
      <c r="A144" s="201" t="s">
        <v>503</v>
      </c>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c r="AE144" s="200"/>
      <c r="AF144" s="200"/>
      <c r="AG144" s="200"/>
      <c r="AH144" s="200"/>
      <c r="AI144" s="200"/>
      <c r="AJ144" s="200"/>
      <c r="AK144" s="200"/>
      <c r="AL144" s="200"/>
      <c r="AM144" s="200"/>
      <c r="AN144" s="200"/>
      <c r="AO144" s="200"/>
      <c r="AP144" s="200"/>
      <c r="AQ144" s="200"/>
      <c r="AR144" s="200"/>
      <c r="AS144" s="200"/>
      <c r="AT144" s="200"/>
      <c r="AU144" s="200"/>
      <c r="AV144" s="200"/>
      <c r="AW144" s="200"/>
      <c r="AX144" s="200"/>
      <c r="AY144" s="200"/>
      <c r="AZ144" s="200"/>
      <c r="BA144" s="200"/>
    </row>
    <row r="145" spans="1:53" ht="15" customHeight="1">
      <c r="A145" s="201" t="s">
        <v>504</v>
      </c>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c r="AP145" s="200"/>
      <c r="AQ145" s="200"/>
      <c r="AR145" s="200"/>
      <c r="AS145" s="200"/>
      <c r="AT145" s="200"/>
      <c r="AU145" s="200"/>
      <c r="AV145" s="200"/>
      <c r="AW145" s="200"/>
      <c r="AX145" s="200"/>
      <c r="AY145" s="200"/>
      <c r="AZ145" s="200"/>
      <c r="BA145" s="200"/>
    </row>
    <row r="146" spans="1:53" ht="15" customHeight="1">
      <c r="A146" s="201" t="s">
        <v>505</v>
      </c>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c r="AA146" s="200"/>
      <c r="AB146" s="200"/>
      <c r="AC146" s="200"/>
      <c r="AD146" s="200"/>
      <c r="AE146" s="200"/>
      <c r="AF146" s="200"/>
      <c r="AG146" s="200"/>
      <c r="AH146" s="200"/>
      <c r="AI146" s="200"/>
      <c r="AJ146" s="200"/>
      <c r="AK146" s="200"/>
      <c r="AL146" s="200"/>
      <c r="AM146" s="200"/>
      <c r="AN146" s="200"/>
      <c r="AO146" s="200"/>
      <c r="AP146" s="200"/>
      <c r="AQ146" s="200"/>
      <c r="AR146" s="200"/>
      <c r="AS146" s="200"/>
      <c r="AT146" s="200"/>
      <c r="AU146" s="200"/>
      <c r="AV146" s="200"/>
      <c r="AW146" s="200"/>
      <c r="AX146" s="200"/>
      <c r="AY146" s="200"/>
      <c r="AZ146" s="200"/>
      <c r="BA146" s="200"/>
    </row>
    <row r="147" spans="1:53" ht="15" customHeight="1">
      <c r="A147" s="199"/>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c r="AA147" s="200"/>
      <c r="AB147" s="200"/>
      <c r="AC147" s="200"/>
      <c r="AD147" s="200"/>
      <c r="AE147" s="200"/>
      <c r="AF147" s="200"/>
      <c r="AG147" s="200"/>
      <c r="AH147" s="200"/>
      <c r="AI147" s="200"/>
      <c r="AJ147" s="200"/>
      <c r="AK147" s="200"/>
      <c r="AL147" s="200"/>
      <c r="AM147" s="200"/>
      <c r="AN147" s="200"/>
      <c r="AO147" s="200"/>
      <c r="AP147" s="200"/>
      <c r="AQ147" s="200"/>
      <c r="AR147" s="200"/>
      <c r="AS147" s="200"/>
      <c r="AT147" s="200"/>
      <c r="AU147" s="200"/>
      <c r="AV147" s="200"/>
      <c r="AW147" s="200"/>
      <c r="AX147" s="200"/>
      <c r="AY147" s="200"/>
      <c r="AZ147" s="200"/>
      <c r="BA147" s="200"/>
    </row>
    <row r="148" spans="1:53" ht="15" customHeight="1">
      <c r="A148" s="199"/>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c r="AA148" s="200"/>
      <c r="AB148" s="200"/>
      <c r="AC148" s="200"/>
      <c r="AD148" s="200"/>
      <c r="AE148" s="200"/>
      <c r="AF148" s="200"/>
      <c r="AG148" s="200"/>
      <c r="AH148" s="200"/>
      <c r="AI148" s="200"/>
      <c r="AJ148" s="200"/>
      <c r="AK148" s="200"/>
      <c r="AL148" s="200"/>
      <c r="AM148" s="200"/>
      <c r="AN148" s="200"/>
      <c r="AO148" s="200"/>
      <c r="AP148" s="200"/>
      <c r="AQ148" s="200"/>
      <c r="AR148" s="200"/>
      <c r="AS148" s="200"/>
      <c r="AT148" s="200"/>
      <c r="AU148" s="200"/>
      <c r="AV148" s="200"/>
      <c r="AW148" s="200"/>
      <c r="AX148" s="200"/>
      <c r="AY148" s="200"/>
      <c r="AZ148" s="200"/>
      <c r="BA148" s="200"/>
    </row>
    <row r="149" spans="1:53" ht="15" customHeight="1">
      <c r="A149" s="201" t="s">
        <v>506</v>
      </c>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c r="AA149" s="200"/>
      <c r="AB149" s="200"/>
      <c r="AC149" s="200"/>
      <c r="AD149" s="200"/>
      <c r="AE149" s="200"/>
      <c r="AF149" s="200"/>
      <c r="AG149" s="200"/>
      <c r="AH149" s="200"/>
      <c r="AI149" s="200"/>
      <c r="AJ149" s="200"/>
      <c r="AK149" s="200"/>
      <c r="AL149" s="200"/>
      <c r="AM149" s="200"/>
      <c r="AN149" s="200"/>
      <c r="AO149" s="200"/>
      <c r="AP149" s="200"/>
      <c r="AQ149" s="200"/>
      <c r="AR149" s="200"/>
      <c r="AS149" s="200"/>
      <c r="AT149" s="200"/>
      <c r="AU149" s="200"/>
      <c r="AV149" s="200"/>
      <c r="AW149" s="200"/>
      <c r="AX149" s="200"/>
      <c r="AY149" s="200"/>
      <c r="AZ149" s="200"/>
      <c r="BA149" s="200"/>
    </row>
    <row r="150" spans="1:53" ht="15" customHeight="1">
      <c r="A150" s="201" t="s">
        <v>507</v>
      </c>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c r="AA150" s="200"/>
      <c r="AB150" s="200"/>
      <c r="AC150" s="200"/>
      <c r="AD150" s="200"/>
      <c r="AE150" s="200"/>
      <c r="AF150" s="200"/>
      <c r="AG150" s="200"/>
      <c r="AH150" s="200"/>
      <c r="AI150" s="200"/>
      <c r="AJ150" s="200"/>
      <c r="AK150" s="200"/>
      <c r="AL150" s="200"/>
      <c r="AM150" s="200"/>
      <c r="AN150" s="200"/>
      <c r="AO150" s="200"/>
      <c r="AP150" s="200"/>
      <c r="AQ150" s="200"/>
      <c r="AR150" s="200"/>
      <c r="AS150" s="200"/>
      <c r="AT150" s="200"/>
      <c r="AU150" s="200"/>
      <c r="AV150" s="200"/>
      <c r="AW150" s="200"/>
      <c r="AX150" s="200"/>
      <c r="AY150" s="200"/>
      <c r="AZ150" s="200"/>
      <c r="BA150" s="200"/>
    </row>
    <row r="151" spans="1:53" ht="15" customHeight="1">
      <c r="A151" s="201" t="s">
        <v>508</v>
      </c>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c r="AA151" s="200"/>
      <c r="AB151" s="200"/>
      <c r="AC151" s="200"/>
      <c r="AD151" s="200"/>
      <c r="AE151" s="200"/>
      <c r="AF151" s="200"/>
      <c r="AG151" s="200"/>
      <c r="AH151" s="200"/>
      <c r="AI151" s="200"/>
      <c r="AJ151" s="200"/>
      <c r="AK151" s="200"/>
      <c r="AL151" s="200"/>
      <c r="AM151" s="200"/>
      <c r="AN151" s="200"/>
      <c r="AO151" s="200"/>
      <c r="AP151" s="200"/>
      <c r="AQ151" s="200"/>
      <c r="AR151" s="200"/>
      <c r="AS151" s="200"/>
      <c r="AT151" s="200"/>
      <c r="AU151" s="200"/>
      <c r="AV151" s="200"/>
      <c r="AW151" s="200"/>
      <c r="AX151" s="200"/>
      <c r="AY151" s="200"/>
      <c r="AZ151" s="200"/>
      <c r="BA151" s="200"/>
    </row>
    <row r="152" spans="1:53" ht="15" customHeight="1">
      <c r="A152" s="201" t="s">
        <v>509</v>
      </c>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c r="AA152" s="200"/>
      <c r="AB152" s="200"/>
      <c r="AC152" s="200"/>
      <c r="AD152" s="200"/>
      <c r="AE152" s="200"/>
      <c r="AF152" s="200"/>
      <c r="AG152" s="200"/>
      <c r="AH152" s="200"/>
      <c r="AI152" s="200"/>
      <c r="AJ152" s="200"/>
      <c r="AK152" s="200"/>
      <c r="AL152" s="200"/>
      <c r="AM152" s="200"/>
      <c r="AN152" s="200"/>
      <c r="AO152" s="200"/>
      <c r="AP152" s="200"/>
      <c r="AQ152" s="200"/>
      <c r="AR152" s="200"/>
      <c r="AS152" s="200"/>
      <c r="AT152" s="200"/>
      <c r="AU152" s="200"/>
      <c r="AV152" s="200"/>
      <c r="AW152" s="200"/>
      <c r="AX152" s="200"/>
      <c r="AY152" s="200"/>
      <c r="AZ152" s="200"/>
      <c r="BA152" s="200"/>
    </row>
    <row r="153" spans="1:53" ht="15" customHeight="1">
      <c r="A153" s="201" t="s">
        <v>510</v>
      </c>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c r="AE153" s="200"/>
      <c r="AF153" s="200"/>
      <c r="AG153" s="200"/>
      <c r="AH153" s="200"/>
      <c r="AI153" s="200"/>
      <c r="AJ153" s="200"/>
      <c r="AK153" s="200"/>
      <c r="AL153" s="200"/>
      <c r="AM153" s="200"/>
      <c r="AN153" s="200"/>
      <c r="AO153" s="200"/>
      <c r="AP153" s="200"/>
      <c r="AQ153" s="200"/>
      <c r="AR153" s="200"/>
      <c r="AS153" s="200"/>
      <c r="AT153" s="200"/>
      <c r="AU153" s="200"/>
      <c r="AV153" s="200"/>
      <c r="AW153" s="200"/>
      <c r="AX153" s="200"/>
      <c r="AY153" s="200"/>
      <c r="AZ153" s="200"/>
      <c r="BA153" s="200"/>
    </row>
    <row r="154" spans="1:53" ht="15" customHeight="1">
      <c r="A154" s="201" t="s">
        <v>511</v>
      </c>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c r="AA154" s="200"/>
      <c r="AB154" s="200"/>
      <c r="AC154" s="200"/>
      <c r="AD154" s="200"/>
      <c r="AE154" s="200"/>
      <c r="AF154" s="200"/>
      <c r="AG154" s="200"/>
      <c r="AH154" s="200"/>
      <c r="AI154" s="200"/>
      <c r="AJ154" s="200"/>
      <c r="AK154" s="200"/>
      <c r="AL154" s="200"/>
      <c r="AM154" s="200"/>
      <c r="AN154" s="200"/>
      <c r="AO154" s="200"/>
      <c r="AP154" s="200"/>
      <c r="AQ154" s="200"/>
      <c r="AR154" s="200"/>
      <c r="AS154" s="200"/>
      <c r="AT154" s="200"/>
      <c r="AU154" s="200"/>
      <c r="AV154" s="200"/>
      <c r="AW154" s="200"/>
      <c r="AX154" s="200"/>
      <c r="AY154" s="200"/>
      <c r="AZ154" s="200"/>
      <c r="BA154" s="200"/>
    </row>
    <row r="155" spans="1:53" ht="15" customHeight="1">
      <c r="A155" s="199"/>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c r="AA155" s="200"/>
      <c r="AB155" s="200"/>
      <c r="AC155" s="200"/>
      <c r="AD155" s="200"/>
      <c r="AE155" s="200"/>
      <c r="AF155" s="200"/>
      <c r="AG155" s="200"/>
      <c r="AH155" s="200"/>
      <c r="AI155" s="200"/>
      <c r="AJ155" s="200"/>
      <c r="AK155" s="200"/>
      <c r="AL155" s="200"/>
      <c r="AM155" s="200"/>
      <c r="AN155" s="200"/>
      <c r="AO155" s="200"/>
      <c r="AP155" s="200"/>
      <c r="AQ155" s="200"/>
      <c r="AR155" s="200"/>
      <c r="AS155" s="200"/>
      <c r="AT155" s="200"/>
      <c r="AU155" s="200"/>
      <c r="AV155" s="200"/>
      <c r="AW155" s="200"/>
      <c r="AX155" s="200"/>
      <c r="AY155" s="200"/>
      <c r="AZ155" s="200"/>
      <c r="BA155" s="200"/>
    </row>
    <row r="156" spans="1:53" ht="15" customHeight="1">
      <c r="A156" s="199"/>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c r="AA156" s="200"/>
      <c r="AB156" s="200"/>
      <c r="AC156" s="200"/>
      <c r="AD156" s="200"/>
      <c r="AE156" s="200"/>
      <c r="AF156" s="200"/>
      <c r="AG156" s="200"/>
      <c r="AH156" s="200"/>
      <c r="AI156" s="200"/>
      <c r="AJ156" s="200"/>
      <c r="AK156" s="200"/>
      <c r="AL156" s="200"/>
      <c r="AM156" s="200"/>
      <c r="AN156" s="200"/>
      <c r="AO156" s="200"/>
      <c r="AP156" s="200"/>
      <c r="AQ156" s="200"/>
      <c r="AR156" s="200"/>
      <c r="AS156" s="200"/>
      <c r="AT156" s="200"/>
      <c r="AU156" s="200"/>
      <c r="AV156" s="200"/>
      <c r="AW156" s="200"/>
      <c r="AX156" s="200"/>
      <c r="AY156" s="200"/>
      <c r="AZ156" s="200"/>
      <c r="BA156" s="200"/>
    </row>
    <row r="157" spans="1:53" ht="15" customHeight="1">
      <c r="A157" s="201" t="s">
        <v>512</v>
      </c>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c r="AA157" s="200"/>
      <c r="AB157" s="200"/>
      <c r="AC157" s="200"/>
      <c r="AD157" s="200"/>
      <c r="AE157" s="200"/>
      <c r="AF157" s="200"/>
      <c r="AG157" s="200"/>
      <c r="AH157" s="200"/>
      <c r="AI157" s="200"/>
      <c r="AJ157" s="200"/>
      <c r="AK157" s="200"/>
      <c r="AL157" s="200"/>
      <c r="AM157" s="200"/>
      <c r="AN157" s="200"/>
      <c r="AO157" s="200"/>
      <c r="AP157" s="200"/>
      <c r="AQ157" s="200"/>
      <c r="AR157" s="200"/>
      <c r="AS157" s="200"/>
      <c r="AT157" s="200"/>
      <c r="AU157" s="200"/>
      <c r="AV157" s="200"/>
      <c r="AW157" s="200"/>
      <c r="AX157" s="200"/>
      <c r="AY157" s="200"/>
      <c r="AZ157" s="200"/>
      <c r="BA157" s="200"/>
    </row>
    <row r="158" spans="1:53" ht="15" customHeight="1">
      <c r="A158" s="201" t="s">
        <v>513</v>
      </c>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c r="AA158" s="200"/>
      <c r="AB158" s="200"/>
      <c r="AC158" s="200"/>
      <c r="AD158" s="200"/>
      <c r="AE158" s="200"/>
      <c r="AF158" s="200"/>
      <c r="AG158" s="200"/>
      <c r="AH158" s="200"/>
      <c r="AI158" s="200"/>
      <c r="AJ158" s="200"/>
      <c r="AK158" s="200"/>
      <c r="AL158" s="200"/>
      <c r="AM158" s="200"/>
      <c r="AN158" s="200"/>
      <c r="AO158" s="200"/>
      <c r="AP158" s="200"/>
      <c r="AQ158" s="200"/>
      <c r="AR158" s="200"/>
      <c r="AS158" s="200"/>
      <c r="AT158" s="200"/>
      <c r="AU158" s="200"/>
      <c r="AV158" s="200"/>
      <c r="AW158" s="200"/>
      <c r="AX158" s="200"/>
      <c r="AY158" s="200"/>
      <c r="AZ158" s="200"/>
      <c r="BA158" s="200"/>
    </row>
    <row r="159" spans="1:53" ht="15" customHeight="1">
      <c r="A159" s="201" t="s">
        <v>514</v>
      </c>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c r="AA159" s="200"/>
      <c r="AB159" s="200"/>
      <c r="AC159" s="200"/>
      <c r="AD159" s="200"/>
      <c r="AE159" s="200"/>
      <c r="AF159" s="200" t="s">
        <v>478</v>
      </c>
      <c r="AG159" s="200"/>
      <c r="AH159" s="200"/>
      <c r="AI159" s="200"/>
      <c r="AJ159" s="200"/>
      <c r="AK159" s="200"/>
      <c r="AL159" s="200"/>
      <c r="AM159" s="200"/>
      <c r="AN159" s="200"/>
      <c r="AO159" s="200"/>
      <c r="AP159" s="200"/>
      <c r="AQ159" s="200"/>
      <c r="AR159" s="200"/>
      <c r="AS159" s="200"/>
      <c r="AT159" s="200"/>
      <c r="AU159" s="200"/>
      <c r="AV159" s="200"/>
      <c r="AW159" s="200"/>
      <c r="AX159" s="200"/>
      <c r="AY159" s="200"/>
      <c r="AZ159" s="200"/>
      <c r="BA159" s="200"/>
    </row>
    <row r="212" spans="2:32" ht="15" customHeight="1">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row>
    <row r="213" spans="2:32" ht="15" customHeight="1">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row>
    <row r="219" spans="2:32" ht="15" customHeight="1">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row>
    <row r="220" spans="2:32" ht="15" customHeight="1">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row>
    <row r="221" spans="2:32" ht="15" customHeight="1">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row>
    <row r="222" spans="2:32" ht="15" customHeight="1">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row>
    <row r="223" spans="2:32" ht="15" customHeight="1">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row>
    <row r="224" spans="2:32" ht="15" customHeight="1">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row>
    <row r="378" spans="2:32" ht="15" customHeight="1">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99"/>
      <c r="AF378" s="199"/>
    </row>
    <row r="379" spans="2:32" ht="15" customHeight="1">
      <c r="B379" s="280"/>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row>
    <row r="481" spans="2:32" ht="15" customHeight="1">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99"/>
      <c r="AF481" s="199"/>
    </row>
    <row r="495" spans="2:32" ht="15" customHeight="1">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99"/>
      <c r="AF495" s="199"/>
    </row>
    <row r="496" spans="2:32" ht="15" customHeight="1">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row>
    <row r="647" spans="2:32" ht="15" customHeight="1">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row>
    <row r="648" spans="2:32" ht="15" customHeight="1">
      <c r="B648" s="280"/>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row>
    <row r="747" spans="2:32" ht="15" customHeight="1">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c r="AB747" s="199"/>
      <c r="AC747" s="199"/>
      <c r="AD747" s="199"/>
      <c r="AE747" s="199"/>
      <c r="AF747" s="199"/>
    </row>
    <row r="748" spans="2:32" ht="15" customHeight="1">
      <c r="B748" s="280"/>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row>
    <row r="833" spans="2:32" ht="15" customHeight="1">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c r="AB833" s="199"/>
      <c r="AC833" s="199"/>
      <c r="AD833" s="199"/>
      <c r="AE833" s="199"/>
      <c r="AF833" s="199"/>
    </row>
    <row r="838" spans="2:32" ht="15" customHeight="1">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c r="AB838" s="199"/>
      <c r="AC838" s="199"/>
      <c r="AD838" s="199"/>
      <c r="AE838" s="199"/>
      <c r="AF838" s="199"/>
    </row>
    <row r="839" spans="2:32" ht="15" customHeight="1">
      <c r="B839" s="280"/>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row>
    <row r="898" spans="2:32" ht="15" customHeight="1">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c r="AB898" s="199"/>
      <c r="AC898" s="199"/>
      <c r="AD898" s="199"/>
      <c r="AE898" s="199"/>
      <c r="AF898" s="199"/>
    </row>
    <row r="904" spans="2:32" ht="15" customHeight="1">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c r="AB904" s="199"/>
      <c r="AC904" s="199"/>
      <c r="AD904" s="199"/>
      <c r="AE904" s="199"/>
      <c r="AF904" s="199"/>
    </row>
    <row r="909" spans="2:32" ht="15" customHeight="1">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c r="AB909" s="199"/>
      <c r="AC909" s="199"/>
      <c r="AD909" s="199"/>
      <c r="AE909" s="199"/>
      <c r="AF909" s="199"/>
    </row>
    <row r="910" spans="2:32" ht="15" customHeight="1">
      <c r="B910" s="280"/>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row>
    <row r="993" spans="2:32" ht="15" customHeight="1">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c r="AB993" s="199"/>
      <c r="AC993" s="199"/>
      <c r="AD993" s="199"/>
      <c r="AE993" s="199"/>
      <c r="AF993" s="199"/>
    </row>
    <row r="997" spans="2:32" ht="15" customHeight="1">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c r="AB997" s="199"/>
      <c r="AC997" s="199"/>
      <c r="AD997" s="199"/>
      <c r="AE997" s="199"/>
      <c r="AF997" s="199"/>
    </row>
    <row r="1000" spans="2:32" ht="15" customHeight="1">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c r="AB1000" s="199"/>
      <c r="AC1000" s="199"/>
      <c r="AD1000" s="199"/>
      <c r="AE1000" s="199"/>
      <c r="AF1000" s="199"/>
    </row>
    <row r="1002" spans="2:32" ht="15" customHeight="1">
      <c r="B1002" s="199"/>
      <c r="C1002" s="199"/>
      <c r="D1002" s="199"/>
      <c r="E1002" s="199"/>
      <c r="F1002" s="199"/>
      <c r="G1002" s="199"/>
      <c r="H1002" s="199"/>
      <c r="I1002" s="199"/>
      <c r="J1002" s="199"/>
      <c r="K1002" s="199"/>
      <c r="L1002" s="199"/>
      <c r="M1002" s="199"/>
      <c r="N1002" s="199"/>
      <c r="O1002" s="199"/>
      <c r="P1002" s="199"/>
      <c r="Q1002" s="199"/>
      <c r="R1002" s="199"/>
      <c r="S1002" s="199"/>
      <c r="T1002" s="199"/>
      <c r="U1002" s="199"/>
      <c r="V1002" s="199"/>
      <c r="W1002" s="199"/>
      <c r="X1002" s="199"/>
      <c r="Y1002" s="199"/>
      <c r="Z1002" s="199"/>
      <c r="AA1002" s="199"/>
      <c r="AB1002" s="199"/>
      <c r="AC1002" s="199"/>
      <c r="AD1002" s="199"/>
      <c r="AE1002" s="199"/>
      <c r="AF1002" s="199"/>
    </row>
    <row r="1004" spans="2:32" ht="15" customHeight="1">
      <c r="B1004" s="199"/>
      <c r="C1004" s="199"/>
      <c r="D1004" s="199"/>
      <c r="E1004" s="199"/>
      <c r="F1004" s="199"/>
      <c r="G1004" s="199"/>
      <c r="H1004" s="199"/>
      <c r="I1004" s="199"/>
      <c r="J1004" s="199"/>
      <c r="K1004" s="199"/>
      <c r="L1004" s="199"/>
      <c r="M1004" s="199"/>
      <c r="N1004" s="199"/>
      <c r="O1004" s="199"/>
      <c r="P1004" s="199"/>
      <c r="Q1004" s="199"/>
      <c r="R1004" s="199"/>
      <c r="S1004" s="199"/>
      <c r="T1004" s="199"/>
      <c r="U1004" s="199"/>
      <c r="V1004" s="199"/>
      <c r="W1004" s="199"/>
      <c r="X1004" s="199"/>
      <c r="Y1004" s="199"/>
      <c r="Z1004" s="199"/>
      <c r="AA1004" s="199"/>
      <c r="AB1004" s="199"/>
      <c r="AC1004" s="199"/>
      <c r="AD1004" s="199"/>
      <c r="AE1004" s="199"/>
      <c r="AF1004" s="199"/>
    </row>
    <row r="1005" spans="2:32" ht="15" customHeight="1">
      <c r="B1005" s="280"/>
      <c r="C1005" s="280"/>
      <c r="D1005" s="280"/>
      <c r="E1005" s="280"/>
      <c r="F1005" s="280"/>
      <c r="G1005" s="280"/>
      <c r="H1005" s="280"/>
      <c r="I1005" s="280"/>
      <c r="J1005" s="280"/>
      <c r="K1005" s="280"/>
      <c r="L1005" s="280"/>
      <c r="M1005" s="280"/>
      <c r="N1005" s="280"/>
      <c r="O1005" s="280"/>
      <c r="P1005" s="280"/>
      <c r="Q1005" s="280"/>
      <c r="R1005" s="280"/>
      <c r="S1005" s="280"/>
      <c r="T1005" s="280"/>
      <c r="U1005" s="280"/>
      <c r="V1005" s="280"/>
      <c r="W1005" s="280"/>
      <c r="X1005" s="280"/>
      <c r="Y1005" s="280"/>
      <c r="Z1005" s="280"/>
      <c r="AA1005" s="280"/>
      <c r="AB1005" s="280"/>
      <c r="AC1005" s="280"/>
      <c r="AD1005" s="280"/>
      <c r="AE1005" s="280"/>
      <c r="AF1005" s="280"/>
    </row>
    <row r="1154" spans="2:32" ht="15" customHeight="1">
      <c r="B1154" s="199"/>
      <c r="C1154" s="199"/>
      <c r="D1154" s="199"/>
      <c r="E1154" s="199"/>
      <c r="F1154" s="199"/>
      <c r="G1154" s="199"/>
      <c r="H1154" s="199"/>
      <c r="I1154" s="199"/>
      <c r="J1154" s="199"/>
      <c r="K1154" s="199"/>
      <c r="L1154" s="199"/>
      <c r="M1154" s="199"/>
      <c r="N1154" s="199"/>
      <c r="O1154" s="199"/>
      <c r="P1154" s="199"/>
      <c r="Q1154" s="199"/>
      <c r="R1154" s="199"/>
      <c r="S1154" s="199"/>
      <c r="T1154" s="199"/>
      <c r="U1154" s="199"/>
      <c r="V1154" s="199"/>
      <c r="W1154" s="199"/>
      <c r="X1154" s="199"/>
      <c r="Y1154" s="199"/>
      <c r="Z1154" s="199"/>
      <c r="AA1154" s="199"/>
      <c r="AB1154" s="199"/>
      <c r="AC1154" s="199"/>
      <c r="AD1154" s="199"/>
      <c r="AE1154" s="199"/>
      <c r="AF1154" s="199"/>
    </row>
    <row r="1155" spans="2:32" ht="15" customHeight="1">
      <c r="B1155" s="280"/>
      <c r="C1155" s="280"/>
      <c r="D1155" s="280"/>
      <c r="E1155" s="280"/>
      <c r="F1155" s="280"/>
      <c r="G1155" s="280"/>
      <c r="H1155" s="280"/>
      <c r="I1155" s="280"/>
      <c r="J1155" s="280"/>
      <c r="K1155" s="280"/>
      <c r="L1155" s="280"/>
      <c r="M1155" s="280"/>
      <c r="N1155" s="280"/>
      <c r="O1155" s="280"/>
      <c r="P1155" s="280"/>
      <c r="Q1155" s="280"/>
      <c r="R1155" s="280"/>
      <c r="S1155" s="280"/>
      <c r="T1155" s="280"/>
      <c r="U1155" s="280"/>
      <c r="V1155" s="280"/>
      <c r="W1155" s="280"/>
      <c r="X1155" s="280"/>
      <c r="Y1155" s="280"/>
      <c r="Z1155" s="280"/>
      <c r="AA1155" s="280"/>
      <c r="AB1155" s="280"/>
      <c r="AC1155" s="280"/>
      <c r="AD1155" s="280"/>
      <c r="AE1155" s="280"/>
      <c r="AF1155" s="280"/>
    </row>
    <row r="1313" spans="2:32" ht="15" customHeight="1">
      <c r="B1313" s="199"/>
      <c r="C1313" s="199"/>
      <c r="D1313" s="199"/>
      <c r="E1313" s="199"/>
      <c r="F1313" s="199"/>
      <c r="G1313" s="199"/>
      <c r="H1313" s="199"/>
      <c r="I1313" s="199"/>
      <c r="J1313" s="199"/>
      <c r="K1313" s="199"/>
      <c r="L1313" s="199"/>
      <c r="M1313" s="199"/>
      <c r="N1313" s="199"/>
      <c r="O1313" s="199"/>
      <c r="P1313" s="199"/>
      <c r="Q1313" s="199"/>
      <c r="R1313" s="199"/>
      <c r="S1313" s="199"/>
      <c r="T1313" s="199"/>
      <c r="U1313" s="199"/>
      <c r="V1313" s="199"/>
      <c r="W1313" s="199"/>
      <c r="X1313" s="199"/>
      <c r="Y1313" s="199"/>
      <c r="Z1313" s="199"/>
      <c r="AA1313" s="199"/>
      <c r="AB1313" s="199"/>
      <c r="AC1313" s="199"/>
      <c r="AD1313" s="199"/>
      <c r="AE1313" s="199"/>
      <c r="AF1313" s="199"/>
    </row>
    <row r="1326" spans="2:32" ht="15" customHeight="1">
      <c r="B1326" s="199"/>
      <c r="C1326" s="199"/>
      <c r="D1326" s="199"/>
      <c r="E1326" s="199"/>
      <c r="F1326" s="199"/>
      <c r="G1326" s="199"/>
      <c r="H1326" s="199"/>
      <c r="I1326" s="199"/>
      <c r="J1326" s="199"/>
      <c r="K1326" s="199"/>
      <c r="L1326" s="199"/>
      <c r="M1326" s="199"/>
      <c r="N1326" s="199"/>
      <c r="O1326" s="199"/>
      <c r="P1326" s="199"/>
      <c r="Q1326" s="199"/>
      <c r="R1326" s="199"/>
      <c r="S1326" s="199"/>
      <c r="T1326" s="199"/>
      <c r="U1326" s="199"/>
      <c r="V1326" s="199"/>
      <c r="W1326" s="199"/>
      <c r="X1326" s="199"/>
      <c r="Y1326" s="199"/>
      <c r="Z1326" s="199"/>
      <c r="AA1326" s="199"/>
      <c r="AB1326" s="199"/>
      <c r="AC1326" s="199"/>
      <c r="AD1326" s="199"/>
      <c r="AE1326" s="199"/>
      <c r="AF1326" s="199"/>
    </row>
    <row r="1327" spans="2:32" ht="15" customHeight="1">
      <c r="B1327" s="280"/>
      <c r="C1327" s="280"/>
      <c r="D1327" s="280"/>
      <c r="E1327" s="280"/>
      <c r="F1327" s="280"/>
      <c r="G1327" s="280"/>
      <c r="H1327" s="280"/>
      <c r="I1327" s="280"/>
      <c r="J1327" s="280"/>
      <c r="K1327" s="280"/>
      <c r="L1327" s="280"/>
      <c r="M1327" s="280"/>
      <c r="N1327" s="280"/>
      <c r="O1327" s="280"/>
      <c r="P1327" s="280"/>
      <c r="Q1327" s="280"/>
      <c r="R1327" s="280"/>
      <c r="S1327" s="280"/>
      <c r="T1327" s="280"/>
      <c r="U1327" s="280"/>
      <c r="V1327" s="280"/>
      <c r="W1327" s="280"/>
      <c r="X1327" s="280"/>
      <c r="Y1327" s="280"/>
      <c r="Z1327" s="280"/>
      <c r="AA1327" s="280"/>
      <c r="AB1327" s="280"/>
      <c r="AC1327" s="280"/>
      <c r="AD1327" s="280"/>
      <c r="AE1327" s="280"/>
      <c r="AF1327" s="280"/>
    </row>
    <row r="1417" spans="2:32" ht="15" customHeight="1">
      <c r="B1417" s="199"/>
      <c r="C1417" s="199"/>
      <c r="D1417" s="199"/>
      <c r="E1417" s="199"/>
      <c r="F1417" s="199"/>
      <c r="G1417" s="199"/>
      <c r="H1417" s="199"/>
      <c r="I1417" s="199"/>
      <c r="J1417" s="199"/>
      <c r="K1417" s="199"/>
      <c r="L1417" s="199"/>
      <c r="M1417" s="199"/>
      <c r="N1417" s="199"/>
      <c r="O1417" s="199"/>
      <c r="P1417" s="199"/>
      <c r="Q1417" s="199"/>
      <c r="R1417" s="199"/>
      <c r="S1417" s="199"/>
      <c r="T1417" s="199"/>
      <c r="U1417" s="199"/>
      <c r="V1417" s="199"/>
      <c r="W1417" s="199"/>
      <c r="X1417" s="199"/>
      <c r="Y1417" s="199"/>
      <c r="Z1417" s="199"/>
      <c r="AA1417" s="199"/>
      <c r="AB1417" s="199"/>
      <c r="AC1417" s="199"/>
      <c r="AD1417" s="199"/>
      <c r="AE1417" s="199"/>
      <c r="AF1417" s="199"/>
    </row>
    <row r="1421" spans="2:32" ht="15" customHeight="1">
      <c r="B1421" s="199"/>
      <c r="C1421" s="199"/>
      <c r="D1421" s="199"/>
      <c r="E1421" s="199"/>
      <c r="F1421" s="199"/>
      <c r="G1421" s="199"/>
      <c r="H1421" s="199"/>
      <c r="I1421" s="199"/>
      <c r="J1421" s="199"/>
      <c r="K1421" s="199"/>
      <c r="L1421" s="199"/>
      <c r="M1421" s="199"/>
      <c r="N1421" s="199"/>
      <c r="O1421" s="199"/>
      <c r="P1421" s="199"/>
      <c r="Q1421" s="199"/>
      <c r="R1421" s="199"/>
      <c r="S1421" s="199"/>
      <c r="T1421" s="199"/>
      <c r="U1421" s="199"/>
      <c r="V1421" s="199"/>
      <c r="W1421" s="199"/>
      <c r="X1421" s="199"/>
      <c r="Y1421" s="199"/>
      <c r="Z1421" s="199"/>
      <c r="AA1421" s="199"/>
      <c r="AB1421" s="199"/>
      <c r="AC1421" s="199"/>
      <c r="AD1421" s="199"/>
      <c r="AE1421" s="199"/>
      <c r="AF1421" s="199"/>
    </row>
    <row r="1422" spans="2:32" ht="15" customHeight="1">
      <c r="B1422" s="280"/>
      <c r="C1422" s="280"/>
      <c r="D1422" s="280"/>
      <c r="E1422" s="280"/>
      <c r="F1422" s="280"/>
      <c r="G1422" s="280"/>
      <c r="H1422" s="280"/>
      <c r="I1422" s="280"/>
      <c r="J1422" s="280"/>
      <c r="K1422" s="280"/>
      <c r="L1422" s="280"/>
      <c r="M1422" s="280"/>
      <c r="N1422" s="280"/>
      <c r="O1422" s="280"/>
      <c r="P1422" s="280"/>
      <c r="Q1422" s="280"/>
      <c r="R1422" s="280"/>
      <c r="S1422" s="280"/>
      <c r="T1422" s="280"/>
      <c r="U1422" s="280"/>
      <c r="V1422" s="280"/>
      <c r="W1422" s="280"/>
      <c r="X1422" s="280"/>
      <c r="Y1422" s="280"/>
      <c r="Z1422" s="280"/>
      <c r="AA1422" s="280"/>
      <c r="AB1422" s="280"/>
      <c r="AC1422" s="280"/>
      <c r="AD1422" s="280"/>
      <c r="AE1422" s="280"/>
      <c r="AF1422" s="280"/>
    </row>
    <row r="1539" spans="2:32" ht="15" customHeight="1">
      <c r="B1539" s="199"/>
      <c r="C1539" s="199"/>
      <c r="D1539" s="199"/>
      <c r="E1539" s="199"/>
      <c r="F1539" s="199"/>
      <c r="G1539" s="199"/>
      <c r="H1539" s="199"/>
      <c r="I1539" s="199"/>
      <c r="J1539" s="199"/>
      <c r="K1539" s="199"/>
      <c r="L1539" s="199"/>
      <c r="M1539" s="199"/>
      <c r="N1539" s="199"/>
      <c r="O1539" s="199"/>
      <c r="P1539" s="199"/>
      <c r="Q1539" s="199"/>
      <c r="R1539" s="199"/>
      <c r="S1539" s="199"/>
      <c r="T1539" s="199"/>
      <c r="U1539" s="199"/>
      <c r="V1539" s="199"/>
      <c r="W1539" s="199"/>
      <c r="X1539" s="199"/>
      <c r="Y1539" s="199"/>
      <c r="Z1539" s="199"/>
      <c r="AA1539" s="199"/>
      <c r="AB1539" s="199"/>
      <c r="AC1539" s="199"/>
      <c r="AD1539" s="199"/>
      <c r="AE1539" s="199"/>
      <c r="AF1539" s="199"/>
    </row>
    <row r="1540" spans="2:32" ht="15" customHeight="1">
      <c r="B1540" s="280"/>
      <c r="C1540" s="280"/>
      <c r="D1540" s="280"/>
      <c r="E1540" s="280"/>
      <c r="F1540" s="280"/>
      <c r="G1540" s="280"/>
      <c r="H1540" s="280"/>
      <c r="I1540" s="280"/>
      <c r="J1540" s="280"/>
      <c r="K1540" s="280"/>
      <c r="L1540" s="280"/>
      <c r="M1540" s="280"/>
      <c r="N1540" s="280"/>
      <c r="O1540" s="280"/>
      <c r="P1540" s="280"/>
      <c r="Q1540" s="280"/>
      <c r="R1540" s="280"/>
      <c r="S1540" s="280"/>
      <c r="T1540" s="280"/>
      <c r="U1540" s="280"/>
      <c r="V1540" s="280"/>
      <c r="W1540" s="280"/>
      <c r="X1540" s="280"/>
      <c r="Y1540" s="280"/>
      <c r="Z1540" s="280"/>
      <c r="AA1540" s="280"/>
      <c r="AB1540" s="280"/>
      <c r="AC1540" s="280"/>
      <c r="AD1540" s="280"/>
      <c r="AE1540" s="280"/>
      <c r="AF1540" s="280"/>
    </row>
    <row r="1544" spans="2:32" ht="15" customHeight="1">
      <c r="B1544" s="199"/>
      <c r="C1544" s="199"/>
      <c r="D1544" s="199"/>
      <c r="E1544" s="199"/>
      <c r="F1544" s="199"/>
      <c r="G1544" s="199"/>
      <c r="H1544" s="199"/>
      <c r="I1544" s="199"/>
      <c r="J1544" s="199"/>
      <c r="K1544" s="199"/>
      <c r="L1544" s="199"/>
      <c r="M1544" s="199"/>
      <c r="N1544" s="199"/>
      <c r="O1544" s="199"/>
      <c r="P1544" s="199"/>
      <c r="Q1544" s="199"/>
      <c r="R1544" s="199"/>
      <c r="S1544" s="199"/>
      <c r="T1544" s="199"/>
      <c r="U1544" s="199"/>
      <c r="V1544" s="199"/>
      <c r="W1544" s="199"/>
      <c r="X1544" s="199"/>
      <c r="Y1544" s="199"/>
      <c r="Z1544" s="199"/>
      <c r="AA1544" s="199"/>
      <c r="AB1544" s="199"/>
      <c r="AC1544" s="199"/>
      <c r="AD1544" s="199"/>
      <c r="AE1544" s="199"/>
      <c r="AF1544" s="199"/>
    </row>
    <row r="1545" spans="2:32" ht="15" customHeight="1">
      <c r="B1545" s="199"/>
      <c r="C1545" s="199"/>
      <c r="D1545" s="199"/>
      <c r="E1545" s="199"/>
      <c r="F1545" s="199"/>
      <c r="G1545" s="199"/>
      <c r="H1545" s="199"/>
      <c r="I1545" s="199"/>
      <c r="J1545" s="199"/>
      <c r="K1545" s="199"/>
      <c r="L1545" s="199"/>
      <c r="M1545" s="199"/>
      <c r="N1545" s="199"/>
      <c r="O1545" s="199"/>
      <c r="P1545" s="199"/>
      <c r="Q1545" s="199"/>
      <c r="R1545" s="199"/>
      <c r="S1545" s="199"/>
      <c r="T1545" s="199"/>
      <c r="U1545" s="199"/>
      <c r="V1545" s="199"/>
      <c r="W1545" s="199"/>
      <c r="X1545" s="199"/>
      <c r="Y1545" s="199"/>
      <c r="Z1545" s="199"/>
      <c r="AA1545" s="199"/>
      <c r="AB1545" s="199"/>
      <c r="AC1545" s="199"/>
      <c r="AD1545" s="199"/>
      <c r="AE1545" s="199"/>
      <c r="AF1545" s="199"/>
    </row>
    <row r="1546" spans="2:32" ht="15" customHeight="1">
      <c r="B1546" s="199"/>
      <c r="C1546" s="199"/>
      <c r="D1546" s="199"/>
      <c r="E1546" s="199"/>
      <c r="F1546" s="199"/>
      <c r="G1546" s="199"/>
      <c r="H1546" s="199"/>
      <c r="I1546" s="199"/>
      <c r="J1546" s="199"/>
      <c r="K1546" s="199"/>
      <c r="L1546" s="199"/>
      <c r="M1546" s="199"/>
      <c r="N1546" s="199"/>
      <c r="O1546" s="199"/>
      <c r="P1546" s="199"/>
      <c r="Q1546" s="199"/>
      <c r="R1546" s="199"/>
      <c r="S1546" s="199"/>
      <c r="T1546" s="199"/>
      <c r="U1546" s="199"/>
      <c r="V1546" s="199"/>
      <c r="W1546" s="199"/>
      <c r="X1546" s="199"/>
      <c r="Y1546" s="199"/>
      <c r="Z1546" s="199"/>
      <c r="AA1546" s="199"/>
      <c r="AB1546" s="199"/>
      <c r="AC1546" s="199"/>
      <c r="AD1546" s="199"/>
      <c r="AE1546" s="199"/>
      <c r="AF1546" s="199"/>
    </row>
    <row r="1547" spans="2:32" ht="15" customHeight="1">
      <c r="B1547" s="199"/>
      <c r="C1547" s="199"/>
      <c r="D1547" s="199"/>
      <c r="E1547" s="199"/>
      <c r="F1547" s="199"/>
      <c r="G1547" s="199"/>
      <c r="H1547" s="199"/>
      <c r="I1547" s="199"/>
      <c r="J1547" s="199"/>
      <c r="K1547" s="199"/>
      <c r="L1547" s="199"/>
      <c r="M1547" s="199"/>
      <c r="N1547" s="199"/>
      <c r="O1547" s="199"/>
      <c r="P1547" s="199"/>
      <c r="Q1547" s="199"/>
      <c r="R1547" s="199"/>
      <c r="S1547" s="199"/>
      <c r="T1547" s="199"/>
      <c r="U1547" s="199"/>
      <c r="V1547" s="199"/>
      <c r="W1547" s="199"/>
      <c r="X1547" s="199"/>
      <c r="Y1547" s="199"/>
      <c r="Z1547" s="199"/>
      <c r="AA1547" s="199"/>
      <c r="AB1547" s="199"/>
      <c r="AC1547" s="199"/>
      <c r="AD1547" s="199"/>
      <c r="AE1547" s="199"/>
      <c r="AF1547" s="199"/>
    </row>
    <row r="1548" spans="2:32" ht="15" customHeight="1">
      <c r="B1548" s="199"/>
      <c r="C1548" s="199"/>
      <c r="D1548" s="199"/>
      <c r="E1548" s="199"/>
      <c r="F1548" s="199"/>
      <c r="G1548" s="199"/>
      <c r="H1548" s="199"/>
      <c r="I1548" s="199"/>
      <c r="J1548" s="199"/>
      <c r="K1548" s="199"/>
      <c r="L1548" s="199"/>
      <c r="M1548" s="199"/>
      <c r="N1548" s="199"/>
      <c r="O1548" s="199"/>
      <c r="P1548" s="199"/>
      <c r="Q1548" s="199"/>
      <c r="R1548" s="199"/>
      <c r="S1548" s="199"/>
      <c r="T1548" s="199"/>
      <c r="U1548" s="199"/>
      <c r="V1548" s="199"/>
      <c r="W1548" s="199"/>
      <c r="X1548" s="199"/>
      <c r="Y1548" s="199"/>
      <c r="Z1548" s="199"/>
      <c r="AA1548" s="199"/>
      <c r="AB1548" s="199"/>
      <c r="AC1548" s="199"/>
      <c r="AD1548" s="199"/>
      <c r="AE1548" s="199"/>
      <c r="AF1548" s="199"/>
    </row>
    <row r="1549" spans="2:32" ht="15" customHeight="1">
      <c r="B1549" s="199"/>
      <c r="C1549" s="199"/>
      <c r="D1549" s="199"/>
      <c r="E1549" s="199"/>
      <c r="F1549" s="199"/>
      <c r="G1549" s="199"/>
      <c r="H1549" s="199"/>
      <c r="I1549" s="199"/>
      <c r="J1549" s="199"/>
      <c r="K1549" s="199"/>
      <c r="L1549" s="199"/>
      <c r="M1549" s="199"/>
      <c r="N1549" s="199"/>
      <c r="O1549" s="199"/>
      <c r="P1549" s="199"/>
      <c r="Q1549" s="199"/>
      <c r="R1549" s="199"/>
      <c r="S1549" s="199"/>
      <c r="T1549" s="199"/>
      <c r="U1549" s="199"/>
      <c r="V1549" s="199"/>
      <c r="W1549" s="199"/>
      <c r="X1549" s="199"/>
      <c r="Y1549" s="199"/>
      <c r="Z1549" s="199"/>
      <c r="AA1549" s="199"/>
      <c r="AB1549" s="199"/>
      <c r="AC1549" s="199"/>
      <c r="AD1549" s="199"/>
      <c r="AE1549" s="199"/>
      <c r="AF1549" s="199"/>
    </row>
    <row r="1550" spans="2:32" ht="15" customHeight="1">
      <c r="B1550" s="199"/>
      <c r="C1550" s="199"/>
      <c r="D1550" s="199"/>
      <c r="E1550" s="199"/>
      <c r="F1550" s="199"/>
      <c r="G1550" s="199"/>
      <c r="H1550" s="199"/>
      <c r="I1550" s="199"/>
      <c r="J1550" s="199"/>
      <c r="K1550" s="199"/>
      <c r="L1550" s="199"/>
      <c r="M1550" s="199"/>
      <c r="N1550" s="199"/>
      <c r="O1550" s="199"/>
      <c r="P1550" s="199"/>
      <c r="Q1550" s="199"/>
      <c r="R1550" s="199"/>
      <c r="S1550" s="199"/>
      <c r="T1550" s="199"/>
      <c r="U1550" s="199"/>
      <c r="V1550" s="199"/>
      <c r="W1550" s="199"/>
      <c r="X1550" s="199"/>
      <c r="Y1550" s="199"/>
      <c r="Z1550" s="199"/>
      <c r="AA1550" s="199"/>
      <c r="AB1550" s="199"/>
      <c r="AC1550" s="199"/>
      <c r="AD1550" s="199"/>
      <c r="AE1550" s="199"/>
      <c r="AF1550" s="199"/>
    </row>
    <row r="1551" spans="2:32" ht="15" customHeight="1">
      <c r="B1551" s="199"/>
      <c r="C1551" s="199"/>
      <c r="D1551" s="199"/>
      <c r="E1551" s="199"/>
      <c r="F1551" s="199"/>
      <c r="G1551" s="199"/>
      <c r="H1551" s="199"/>
      <c r="I1551" s="199"/>
      <c r="J1551" s="199"/>
      <c r="K1551" s="199"/>
      <c r="L1551" s="199"/>
      <c r="M1551" s="199"/>
      <c r="N1551" s="199"/>
      <c r="O1551" s="199"/>
      <c r="P1551" s="199"/>
      <c r="Q1551" s="199"/>
      <c r="R1551" s="199"/>
      <c r="S1551" s="199"/>
      <c r="T1551" s="199"/>
      <c r="U1551" s="199"/>
      <c r="V1551" s="199"/>
      <c r="W1551" s="199"/>
      <c r="X1551" s="199"/>
      <c r="Y1551" s="199"/>
      <c r="Z1551" s="199"/>
      <c r="AA1551" s="199"/>
      <c r="AB1551" s="199"/>
      <c r="AC1551" s="199"/>
      <c r="AD1551" s="199"/>
      <c r="AE1551" s="199"/>
      <c r="AF1551" s="199"/>
    </row>
    <row r="1552" spans="2:32" ht="15" customHeight="1">
      <c r="B1552" s="199"/>
      <c r="C1552" s="199"/>
      <c r="D1552" s="199"/>
      <c r="E1552" s="199"/>
      <c r="F1552" s="199"/>
      <c r="G1552" s="199"/>
      <c r="H1552" s="199"/>
      <c r="I1552" s="199"/>
      <c r="J1552" s="199"/>
      <c r="K1552" s="199"/>
      <c r="L1552" s="199"/>
      <c r="M1552" s="199"/>
      <c r="N1552" s="199"/>
      <c r="O1552" s="199"/>
      <c r="P1552" s="199"/>
      <c r="Q1552" s="199"/>
      <c r="R1552" s="199"/>
      <c r="S1552" s="199"/>
      <c r="T1552" s="199"/>
      <c r="U1552" s="199"/>
      <c r="V1552" s="199"/>
      <c r="W1552" s="199"/>
      <c r="X1552" s="199"/>
      <c r="Y1552" s="199"/>
      <c r="Z1552" s="199"/>
      <c r="AA1552" s="199"/>
      <c r="AB1552" s="199"/>
      <c r="AC1552" s="199"/>
      <c r="AD1552" s="199"/>
      <c r="AE1552" s="199"/>
      <c r="AF1552" s="199"/>
    </row>
    <row r="1636" spans="2:32" ht="15" customHeight="1">
      <c r="B1636" s="199"/>
      <c r="C1636" s="199"/>
      <c r="D1636" s="199"/>
      <c r="E1636" s="199"/>
      <c r="F1636" s="199"/>
      <c r="G1636" s="199"/>
      <c r="H1636" s="199"/>
      <c r="I1636" s="199"/>
      <c r="J1636" s="199"/>
      <c r="K1636" s="199"/>
      <c r="L1636" s="199"/>
      <c r="M1636" s="199"/>
      <c r="N1636" s="199"/>
      <c r="O1636" s="199"/>
      <c r="P1636" s="199"/>
      <c r="Q1636" s="199"/>
      <c r="R1636" s="199"/>
      <c r="S1636" s="199"/>
      <c r="T1636" s="199"/>
      <c r="U1636" s="199"/>
      <c r="V1636" s="199"/>
      <c r="W1636" s="199"/>
      <c r="X1636" s="199"/>
      <c r="Y1636" s="199"/>
      <c r="Z1636" s="199"/>
      <c r="AA1636" s="199"/>
      <c r="AB1636" s="199"/>
      <c r="AC1636" s="199"/>
      <c r="AD1636" s="199"/>
      <c r="AE1636" s="199"/>
      <c r="AF1636" s="199"/>
    </row>
    <row r="1639" spans="2:32" ht="15" customHeight="1">
      <c r="B1639" s="199"/>
      <c r="C1639" s="199"/>
      <c r="D1639" s="199"/>
      <c r="E1639" s="199"/>
      <c r="F1639" s="199"/>
      <c r="G1639" s="199"/>
      <c r="H1639" s="199"/>
      <c r="I1639" s="199"/>
      <c r="J1639" s="199"/>
      <c r="K1639" s="199"/>
      <c r="L1639" s="199"/>
      <c r="M1639" s="199"/>
      <c r="N1639" s="199"/>
      <c r="O1639" s="199"/>
      <c r="P1639" s="199"/>
      <c r="Q1639" s="199"/>
      <c r="R1639" s="199"/>
      <c r="S1639" s="199"/>
      <c r="T1639" s="199"/>
      <c r="U1639" s="199"/>
      <c r="V1639" s="199"/>
      <c r="W1639" s="199"/>
      <c r="X1639" s="199"/>
      <c r="Y1639" s="199"/>
      <c r="Z1639" s="199"/>
      <c r="AA1639" s="199"/>
      <c r="AB1639" s="199"/>
      <c r="AC1639" s="199"/>
      <c r="AD1639" s="199"/>
      <c r="AE1639" s="199"/>
      <c r="AF1639" s="199"/>
    </row>
    <row r="1640" spans="2:32" ht="15" customHeight="1">
      <c r="B1640" s="280"/>
      <c r="C1640" s="280"/>
      <c r="D1640" s="280"/>
      <c r="E1640" s="280"/>
      <c r="F1640" s="280"/>
      <c r="G1640" s="280"/>
      <c r="H1640" s="280"/>
      <c r="I1640" s="280"/>
      <c r="J1640" s="280"/>
      <c r="K1640" s="280"/>
      <c r="L1640" s="280"/>
      <c r="M1640" s="280"/>
      <c r="N1640" s="280"/>
      <c r="O1640" s="280"/>
      <c r="P1640" s="280"/>
      <c r="Q1640" s="280"/>
      <c r="R1640" s="280"/>
      <c r="S1640" s="280"/>
      <c r="T1640" s="280"/>
      <c r="U1640" s="280"/>
      <c r="V1640" s="280"/>
      <c r="W1640" s="280"/>
      <c r="X1640" s="280"/>
      <c r="Y1640" s="280"/>
      <c r="Z1640" s="280"/>
      <c r="AA1640" s="280"/>
      <c r="AB1640" s="280"/>
      <c r="AC1640" s="280"/>
      <c r="AD1640" s="280"/>
      <c r="AE1640" s="280"/>
      <c r="AF1640" s="280"/>
    </row>
    <row r="1644" spans="2:32" ht="15" customHeight="1">
      <c r="B1644" s="199"/>
      <c r="C1644" s="199"/>
      <c r="D1644" s="199"/>
      <c r="E1644" s="199"/>
      <c r="F1644" s="199"/>
      <c r="G1644" s="199"/>
      <c r="H1644" s="199"/>
      <c r="I1644" s="199"/>
      <c r="J1644" s="199"/>
      <c r="K1644" s="199"/>
      <c r="L1644" s="199"/>
      <c r="M1644" s="199"/>
      <c r="N1644" s="199"/>
      <c r="O1644" s="199"/>
      <c r="P1644" s="199"/>
      <c r="Q1644" s="199"/>
      <c r="R1644" s="199"/>
      <c r="S1644" s="199"/>
      <c r="T1644" s="199"/>
      <c r="U1644" s="199"/>
      <c r="V1644" s="199"/>
      <c r="W1644" s="199"/>
      <c r="X1644" s="199"/>
      <c r="Y1644" s="199"/>
      <c r="Z1644" s="199"/>
      <c r="AA1644" s="199"/>
      <c r="AB1644" s="199"/>
      <c r="AC1644" s="199"/>
      <c r="AD1644" s="199"/>
      <c r="AE1644" s="199"/>
      <c r="AF1644" s="199"/>
    </row>
    <row r="1645" spans="2:32" ht="15" customHeight="1">
      <c r="B1645" s="199"/>
      <c r="C1645" s="199"/>
      <c r="D1645" s="199"/>
      <c r="E1645" s="199"/>
      <c r="F1645" s="199"/>
      <c r="G1645" s="199"/>
      <c r="H1645" s="199"/>
      <c r="I1645" s="199"/>
      <c r="J1645" s="199"/>
      <c r="K1645" s="199"/>
      <c r="L1645" s="199"/>
      <c r="M1645" s="199"/>
      <c r="N1645" s="199"/>
      <c r="O1645" s="199"/>
      <c r="P1645" s="199"/>
      <c r="Q1645" s="199"/>
      <c r="R1645" s="199"/>
      <c r="S1645" s="199"/>
      <c r="T1645" s="199"/>
      <c r="U1645" s="199"/>
      <c r="V1645" s="199"/>
      <c r="W1645" s="199"/>
      <c r="X1645" s="199"/>
      <c r="Y1645" s="199"/>
      <c r="Z1645" s="199"/>
      <c r="AA1645" s="199"/>
      <c r="AB1645" s="199"/>
      <c r="AC1645" s="199"/>
      <c r="AD1645" s="199"/>
      <c r="AE1645" s="199"/>
      <c r="AF1645" s="199"/>
    </row>
    <row r="1646" spans="2:32" ht="15" customHeight="1">
      <c r="B1646" s="199"/>
      <c r="C1646" s="199"/>
      <c r="D1646" s="199"/>
      <c r="E1646" s="199"/>
      <c r="F1646" s="199"/>
      <c r="G1646" s="199"/>
      <c r="H1646" s="199"/>
      <c r="I1646" s="199"/>
      <c r="J1646" s="199"/>
      <c r="K1646" s="199"/>
      <c r="L1646" s="199"/>
      <c r="M1646" s="199"/>
      <c r="N1646" s="199"/>
      <c r="O1646" s="199"/>
      <c r="P1646" s="199"/>
      <c r="Q1646" s="199"/>
      <c r="R1646" s="199"/>
      <c r="S1646" s="199"/>
      <c r="T1646" s="199"/>
      <c r="U1646" s="199"/>
      <c r="V1646" s="199"/>
      <c r="W1646" s="199"/>
      <c r="X1646" s="199"/>
      <c r="Y1646" s="199"/>
      <c r="Z1646" s="199"/>
      <c r="AA1646" s="199"/>
      <c r="AB1646" s="199"/>
      <c r="AC1646" s="199"/>
      <c r="AD1646" s="199"/>
      <c r="AE1646" s="199"/>
      <c r="AF1646" s="199"/>
    </row>
    <row r="1647" spans="2:32" ht="15" customHeight="1">
      <c r="B1647" s="199"/>
      <c r="C1647" s="199"/>
      <c r="D1647" s="199"/>
      <c r="E1647" s="199"/>
      <c r="F1647" s="199"/>
      <c r="G1647" s="199"/>
      <c r="H1647" s="199"/>
      <c r="I1647" s="199"/>
      <c r="J1647" s="199"/>
      <c r="K1647" s="199"/>
      <c r="L1647" s="199"/>
      <c r="M1647" s="199"/>
      <c r="N1647" s="199"/>
      <c r="O1647" s="199"/>
      <c r="P1647" s="199"/>
      <c r="Q1647" s="199"/>
      <c r="R1647" s="199"/>
      <c r="S1647" s="199"/>
      <c r="T1647" s="199"/>
      <c r="U1647" s="199"/>
      <c r="V1647" s="199"/>
      <c r="W1647" s="199"/>
      <c r="X1647" s="199"/>
      <c r="Y1647" s="199"/>
      <c r="Z1647" s="199"/>
      <c r="AA1647" s="199"/>
      <c r="AB1647" s="199"/>
      <c r="AC1647" s="199"/>
      <c r="AD1647" s="199"/>
      <c r="AE1647" s="199"/>
      <c r="AF1647" s="199"/>
    </row>
    <row r="1648" spans="2:32" ht="15" customHeight="1">
      <c r="B1648" s="199"/>
      <c r="C1648" s="199"/>
      <c r="D1648" s="199"/>
      <c r="E1648" s="199"/>
      <c r="F1648" s="199"/>
      <c r="G1648" s="199"/>
      <c r="H1648" s="199"/>
      <c r="I1648" s="199"/>
      <c r="J1648" s="199"/>
      <c r="K1648" s="199"/>
      <c r="L1648" s="199"/>
      <c r="M1648" s="199"/>
      <c r="N1648" s="199"/>
      <c r="O1648" s="199"/>
      <c r="P1648" s="199"/>
      <c r="Q1648" s="199"/>
      <c r="R1648" s="199"/>
      <c r="S1648" s="199"/>
      <c r="T1648" s="199"/>
      <c r="U1648" s="199"/>
      <c r="V1648" s="199"/>
      <c r="W1648" s="199"/>
      <c r="X1648" s="199"/>
      <c r="Y1648" s="199"/>
      <c r="Z1648" s="199"/>
      <c r="AA1648" s="199"/>
      <c r="AB1648" s="199"/>
      <c r="AC1648" s="199"/>
      <c r="AD1648" s="199"/>
      <c r="AE1648" s="199"/>
      <c r="AF1648" s="199"/>
    </row>
    <row r="1730" spans="2:32" ht="15" customHeight="1">
      <c r="B1730" s="199"/>
      <c r="C1730" s="199"/>
      <c r="D1730" s="199"/>
      <c r="E1730" s="199"/>
      <c r="F1730" s="199"/>
      <c r="G1730" s="199"/>
      <c r="H1730" s="199"/>
      <c r="I1730" s="199"/>
      <c r="J1730" s="199"/>
      <c r="K1730" s="199"/>
      <c r="L1730" s="199"/>
      <c r="M1730" s="199"/>
      <c r="N1730" s="199"/>
      <c r="O1730" s="199"/>
      <c r="P1730" s="199"/>
      <c r="Q1730" s="199"/>
      <c r="R1730" s="199"/>
      <c r="S1730" s="199"/>
      <c r="T1730" s="199"/>
      <c r="U1730" s="199"/>
      <c r="V1730" s="199"/>
      <c r="W1730" s="199"/>
      <c r="X1730" s="199"/>
      <c r="Y1730" s="199"/>
      <c r="Z1730" s="199"/>
      <c r="AA1730" s="199"/>
      <c r="AB1730" s="199"/>
      <c r="AC1730" s="199"/>
      <c r="AD1730" s="199"/>
      <c r="AE1730" s="199"/>
      <c r="AF1730" s="199"/>
    </row>
    <row r="1736" spans="2:32" ht="15" customHeight="1">
      <c r="B1736" s="199"/>
      <c r="C1736" s="199"/>
      <c r="D1736" s="199"/>
      <c r="E1736" s="199"/>
      <c r="F1736" s="199"/>
      <c r="G1736" s="199"/>
      <c r="H1736" s="199"/>
      <c r="I1736" s="199"/>
      <c r="J1736" s="199"/>
      <c r="K1736" s="199"/>
      <c r="L1736" s="199"/>
      <c r="M1736" s="199"/>
      <c r="N1736" s="199"/>
      <c r="O1736" s="199"/>
      <c r="P1736" s="199"/>
      <c r="Q1736" s="199"/>
      <c r="R1736" s="199"/>
      <c r="S1736" s="199"/>
      <c r="T1736" s="199"/>
      <c r="U1736" s="199"/>
      <c r="V1736" s="199"/>
      <c r="W1736" s="199"/>
      <c r="X1736" s="199"/>
      <c r="Y1736" s="199"/>
      <c r="Z1736" s="199"/>
      <c r="AA1736" s="199"/>
      <c r="AB1736" s="199"/>
      <c r="AC1736" s="199"/>
      <c r="AD1736" s="199"/>
      <c r="AE1736" s="199"/>
      <c r="AF1736" s="199"/>
    </row>
    <row r="1739" spans="2:32" ht="15" customHeight="1">
      <c r="B1739" s="199"/>
      <c r="C1739" s="199"/>
      <c r="D1739" s="199"/>
      <c r="E1739" s="199"/>
      <c r="F1739" s="199"/>
      <c r="G1739" s="199"/>
      <c r="H1739" s="199"/>
      <c r="I1739" s="199"/>
      <c r="J1739" s="199"/>
      <c r="K1739" s="199"/>
      <c r="L1739" s="199"/>
      <c r="M1739" s="199"/>
      <c r="N1739" s="199"/>
      <c r="O1739" s="199"/>
      <c r="P1739" s="199"/>
      <c r="Q1739" s="199"/>
      <c r="R1739" s="199"/>
      <c r="S1739" s="199"/>
      <c r="T1739" s="199"/>
      <c r="U1739" s="199"/>
      <c r="V1739" s="199"/>
      <c r="W1739" s="199"/>
      <c r="X1739" s="199"/>
      <c r="Y1739" s="199"/>
      <c r="Z1739" s="199"/>
      <c r="AA1739" s="199"/>
      <c r="AB1739" s="199"/>
      <c r="AC1739" s="199"/>
      <c r="AD1739" s="199"/>
      <c r="AE1739" s="199"/>
      <c r="AF1739" s="199"/>
    </row>
    <row r="1740" spans="2:32" ht="15" customHeight="1">
      <c r="B1740" s="280"/>
      <c r="C1740" s="280"/>
      <c r="D1740" s="280"/>
      <c r="E1740" s="280"/>
      <c r="F1740" s="280"/>
      <c r="G1740" s="280"/>
      <c r="H1740" s="280"/>
      <c r="I1740" s="280"/>
      <c r="J1740" s="280"/>
      <c r="K1740" s="280"/>
      <c r="L1740" s="280"/>
      <c r="M1740" s="280"/>
      <c r="N1740" s="280"/>
      <c r="O1740" s="280"/>
      <c r="P1740" s="280"/>
      <c r="Q1740" s="280"/>
      <c r="R1740" s="280"/>
      <c r="S1740" s="280"/>
      <c r="T1740" s="280"/>
      <c r="U1740" s="280"/>
      <c r="V1740" s="280"/>
      <c r="W1740" s="280"/>
      <c r="X1740" s="280"/>
      <c r="Y1740" s="280"/>
      <c r="Z1740" s="280"/>
      <c r="AA1740" s="280"/>
      <c r="AB1740" s="280"/>
      <c r="AC1740" s="280"/>
      <c r="AD1740" s="280"/>
      <c r="AE1740" s="280"/>
      <c r="AF1740" s="280"/>
    </row>
    <row r="1744" spans="2:32" ht="15" customHeight="1">
      <c r="B1744" s="199"/>
      <c r="C1744" s="199"/>
      <c r="D1744" s="199"/>
      <c r="E1744" s="199"/>
      <c r="F1744" s="199"/>
      <c r="G1744" s="199"/>
      <c r="H1744" s="199"/>
      <c r="I1744" s="199"/>
      <c r="J1744" s="199"/>
      <c r="K1744" s="199"/>
      <c r="L1744" s="199"/>
      <c r="M1744" s="199"/>
      <c r="N1744" s="199"/>
      <c r="O1744" s="199"/>
      <c r="P1744" s="199"/>
      <c r="Q1744" s="199"/>
      <c r="R1744" s="199"/>
      <c r="S1744" s="199"/>
      <c r="T1744" s="199"/>
      <c r="U1744" s="199"/>
      <c r="V1744" s="199"/>
      <c r="W1744" s="199"/>
      <c r="X1744" s="199"/>
      <c r="Y1744" s="199"/>
      <c r="Z1744" s="199"/>
      <c r="AA1744" s="199"/>
      <c r="AB1744" s="199"/>
      <c r="AC1744" s="199"/>
      <c r="AD1744" s="199"/>
      <c r="AE1744" s="199"/>
      <c r="AF1744" s="199"/>
    </row>
    <row r="1830" spans="2:32" ht="15" customHeight="1">
      <c r="B1830" s="199"/>
      <c r="C1830" s="199"/>
      <c r="D1830" s="199"/>
      <c r="E1830" s="199"/>
      <c r="F1830" s="199"/>
      <c r="G1830" s="199"/>
      <c r="H1830" s="199"/>
      <c r="I1830" s="199"/>
      <c r="J1830" s="199"/>
      <c r="K1830" s="199"/>
      <c r="L1830" s="199"/>
      <c r="M1830" s="199"/>
      <c r="N1830" s="199"/>
      <c r="O1830" s="199"/>
      <c r="P1830" s="199"/>
      <c r="Q1830" s="199"/>
      <c r="R1830" s="199"/>
      <c r="S1830" s="199"/>
      <c r="T1830" s="199"/>
      <c r="U1830" s="199"/>
      <c r="V1830" s="199"/>
      <c r="W1830" s="199"/>
      <c r="X1830" s="199"/>
      <c r="Y1830" s="199"/>
      <c r="Z1830" s="199"/>
      <c r="AA1830" s="199"/>
      <c r="AB1830" s="199"/>
      <c r="AC1830" s="199"/>
      <c r="AD1830" s="199"/>
      <c r="AE1830" s="199"/>
      <c r="AF1830" s="199"/>
    </row>
    <row r="1836" spans="2:32" ht="15" customHeight="1">
      <c r="B1836" s="199"/>
      <c r="C1836" s="199"/>
      <c r="D1836" s="199"/>
      <c r="E1836" s="199"/>
      <c r="F1836" s="199"/>
      <c r="G1836" s="199"/>
      <c r="H1836" s="199"/>
      <c r="I1836" s="199"/>
      <c r="J1836" s="199"/>
      <c r="K1836" s="199"/>
      <c r="L1836" s="199"/>
      <c r="M1836" s="199"/>
      <c r="N1836" s="199"/>
      <c r="O1836" s="199"/>
      <c r="P1836" s="199"/>
      <c r="Q1836" s="199"/>
      <c r="R1836" s="199"/>
      <c r="S1836" s="199"/>
      <c r="T1836" s="199"/>
      <c r="U1836" s="199"/>
      <c r="V1836" s="199"/>
      <c r="W1836" s="199"/>
      <c r="X1836" s="199"/>
      <c r="Y1836" s="199"/>
      <c r="Z1836" s="199"/>
      <c r="AA1836" s="199"/>
      <c r="AB1836" s="199"/>
      <c r="AC1836" s="199"/>
      <c r="AD1836" s="199"/>
      <c r="AE1836" s="199"/>
      <c r="AF1836" s="199"/>
    </row>
    <row r="1839" spans="2:32" ht="15" customHeight="1">
      <c r="B1839" s="199"/>
      <c r="C1839" s="199"/>
      <c r="D1839" s="199"/>
      <c r="E1839" s="199"/>
      <c r="F1839" s="199"/>
      <c r="G1839" s="199"/>
      <c r="H1839" s="199"/>
      <c r="I1839" s="199"/>
      <c r="J1839" s="199"/>
      <c r="K1839" s="199"/>
      <c r="L1839" s="199"/>
      <c r="M1839" s="199"/>
      <c r="N1839" s="199"/>
      <c r="O1839" s="199"/>
      <c r="P1839" s="199"/>
      <c r="Q1839" s="199"/>
      <c r="R1839" s="199"/>
      <c r="S1839" s="199"/>
      <c r="T1839" s="199"/>
      <c r="U1839" s="199"/>
      <c r="V1839" s="199"/>
      <c r="W1839" s="199"/>
      <c r="X1839" s="199"/>
      <c r="Y1839" s="199"/>
      <c r="Z1839" s="199"/>
      <c r="AA1839" s="199"/>
      <c r="AB1839" s="199"/>
      <c r="AC1839" s="199"/>
      <c r="AD1839" s="199"/>
      <c r="AE1839" s="199"/>
      <c r="AF1839" s="199"/>
    </row>
    <row r="1840" spans="2:32" ht="15" customHeight="1">
      <c r="B1840" s="280"/>
      <c r="C1840" s="280"/>
      <c r="D1840" s="280"/>
      <c r="E1840" s="280"/>
      <c r="F1840" s="280"/>
      <c r="G1840" s="280"/>
      <c r="H1840" s="280"/>
      <c r="I1840" s="280"/>
      <c r="J1840" s="280"/>
      <c r="K1840" s="280"/>
      <c r="L1840" s="280"/>
      <c r="M1840" s="280"/>
      <c r="N1840" s="280"/>
      <c r="O1840" s="280"/>
      <c r="P1840" s="280"/>
      <c r="Q1840" s="280"/>
      <c r="R1840" s="280"/>
      <c r="S1840" s="280"/>
      <c r="T1840" s="280"/>
      <c r="U1840" s="280"/>
      <c r="V1840" s="280"/>
      <c r="W1840" s="280"/>
      <c r="X1840" s="280"/>
      <c r="Y1840" s="280"/>
      <c r="Z1840" s="280"/>
      <c r="AA1840" s="280"/>
      <c r="AB1840" s="280"/>
      <c r="AC1840" s="280"/>
      <c r="AD1840" s="280"/>
      <c r="AE1840" s="280"/>
      <c r="AF1840" s="280"/>
    </row>
    <row r="1939" spans="2:32" ht="15" customHeight="1">
      <c r="B1939" s="199"/>
      <c r="C1939" s="199"/>
      <c r="D1939" s="199"/>
      <c r="E1939" s="199"/>
      <c r="F1939" s="199"/>
      <c r="G1939" s="199"/>
      <c r="H1939" s="199"/>
      <c r="I1939" s="199"/>
      <c r="J1939" s="199"/>
      <c r="K1939" s="199"/>
      <c r="L1939" s="199"/>
      <c r="M1939" s="199"/>
      <c r="N1939" s="199"/>
      <c r="O1939" s="199"/>
      <c r="P1939" s="199"/>
      <c r="Q1939" s="199"/>
      <c r="R1939" s="199"/>
      <c r="S1939" s="199"/>
      <c r="T1939" s="199"/>
      <c r="U1939" s="199"/>
      <c r="V1939" s="199"/>
      <c r="W1939" s="199"/>
      <c r="X1939" s="199"/>
      <c r="Y1939" s="199"/>
      <c r="Z1939" s="199"/>
      <c r="AA1939" s="199"/>
      <c r="AB1939" s="199"/>
      <c r="AC1939" s="199"/>
      <c r="AD1939" s="199"/>
      <c r="AE1939" s="199"/>
      <c r="AF1939" s="199"/>
    </row>
    <row r="1940" spans="2:32" ht="15" customHeight="1">
      <c r="B1940" s="280"/>
      <c r="C1940" s="280"/>
      <c r="D1940" s="280"/>
      <c r="E1940" s="280"/>
      <c r="F1940" s="280"/>
      <c r="G1940" s="280"/>
      <c r="H1940" s="280"/>
      <c r="I1940" s="280"/>
      <c r="J1940" s="280"/>
      <c r="K1940" s="280"/>
      <c r="L1940" s="280"/>
      <c r="M1940" s="280"/>
      <c r="N1940" s="280"/>
      <c r="O1940" s="280"/>
      <c r="P1940" s="280"/>
      <c r="Q1940" s="280"/>
      <c r="R1940" s="280"/>
      <c r="S1940" s="280"/>
      <c r="T1940" s="280"/>
      <c r="U1940" s="280"/>
      <c r="V1940" s="280"/>
      <c r="W1940" s="280"/>
      <c r="X1940" s="280"/>
      <c r="Y1940" s="280"/>
      <c r="Z1940" s="280"/>
      <c r="AA1940" s="280"/>
      <c r="AB1940" s="280"/>
      <c r="AC1940" s="280"/>
      <c r="AD1940" s="280"/>
      <c r="AE1940" s="280"/>
      <c r="AF1940" s="280"/>
    </row>
    <row r="1944" spans="2:32" ht="15" customHeight="1">
      <c r="B1944" s="199"/>
      <c r="C1944" s="199"/>
      <c r="D1944" s="199"/>
      <c r="E1944" s="199"/>
      <c r="F1944" s="199"/>
      <c r="G1944" s="199"/>
      <c r="H1944" s="199"/>
      <c r="I1944" s="199"/>
      <c r="J1944" s="199"/>
      <c r="K1944" s="199"/>
      <c r="L1944" s="199"/>
      <c r="M1944" s="199"/>
      <c r="N1944" s="199"/>
      <c r="O1944" s="199"/>
      <c r="P1944" s="199"/>
      <c r="Q1944" s="199"/>
      <c r="R1944" s="199"/>
      <c r="S1944" s="199"/>
      <c r="T1944" s="199"/>
      <c r="U1944" s="199"/>
      <c r="V1944" s="199"/>
      <c r="W1944" s="199"/>
      <c r="X1944" s="199"/>
      <c r="Y1944" s="199"/>
      <c r="Z1944" s="199"/>
      <c r="AA1944" s="199"/>
      <c r="AB1944" s="199"/>
      <c r="AC1944" s="199"/>
      <c r="AD1944" s="199"/>
      <c r="AE1944" s="199"/>
      <c r="AF1944" s="199"/>
    </row>
    <row r="1945" spans="2:32" ht="15" customHeight="1">
      <c r="B1945" s="199"/>
      <c r="C1945" s="199"/>
      <c r="D1945" s="199"/>
      <c r="E1945" s="199"/>
      <c r="F1945" s="199"/>
      <c r="G1945" s="199"/>
      <c r="H1945" s="199"/>
      <c r="I1945" s="199"/>
      <c r="J1945" s="199"/>
      <c r="K1945" s="199"/>
      <c r="L1945" s="199"/>
      <c r="M1945" s="199"/>
      <c r="N1945" s="199"/>
      <c r="O1945" s="199"/>
      <c r="P1945" s="199"/>
      <c r="Q1945" s="199"/>
      <c r="R1945" s="199"/>
      <c r="S1945" s="199"/>
      <c r="T1945" s="199"/>
      <c r="U1945" s="199"/>
      <c r="V1945" s="199"/>
      <c r="W1945" s="199"/>
      <c r="X1945" s="199"/>
      <c r="Y1945" s="199"/>
      <c r="Z1945" s="199"/>
      <c r="AA1945" s="199"/>
      <c r="AB1945" s="199"/>
      <c r="AC1945" s="199"/>
      <c r="AD1945" s="199"/>
      <c r="AE1945" s="199"/>
      <c r="AF1945" s="199"/>
    </row>
    <row r="1946" spans="2:32" ht="15" customHeight="1">
      <c r="B1946" s="199"/>
      <c r="C1946" s="199"/>
      <c r="D1946" s="199"/>
      <c r="E1946" s="199"/>
      <c r="F1946" s="199"/>
      <c r="G1946" s="199"/>
      <c r="H1946" s="199"/>
      <c r="I1946" s="199"/>
      <c r="J1946" s="199"/>
      <c r="K1946" s="199"/>
      <c r="L1946" s="199"/>
      <c r="M1946" s="199"/>
      <c r="N1946" s="199"/>
      <c r="O1946" s="199"/>
      <c r="P1946" s="199"/>
      <c r="Q1946" s="199"/>
      <c r="R1946" s="199"/>
      <c r="S1946" s="199"/>
      <c r="T1946" s="199"/>
      <c r="U1946" s="199"/>
      <c r="V1946" s="199"/>
      <c r="W1946" s="199"/>
      <c r="X1946" s="199"/>
      <c r="Y1946" s="199"/>
      <c r="Z1946" s="199"/>
      <c r="AA1946" s="199"/>
      <c r="AB1946" s="199"/>
      <c r="AC1946" s="199"/>
      <c r="AD1946" s="199"/>
      <c r="AE1946" s="199"/>
      <c r="AF1946" s="199"/>
    </row>
    <row r="1947" spans="2:32" ht="15" customHeight="1">
      <c r="B1947" s="199"/>
      <c r="C1947" s="199"/>
      <c r="D1947" s="199"/>
      <c r="E1947" s="199"/>
      <c r="F1947" s="199"/>
      <c r="G1947" s="199"/>
      <c r="H1947" s="199"/>
      <c r="I1947" s="199"/>
      <c r="J1947" s="199"/>
      <c r="K1947" s="199"/>
      <c r="L1947" s="199"/>
      <c r="M1947" s="199"/>
      <c r="N1947" s="199"/>
      <c r="O1947" s="199"/>
      <c r="P1947" s="199"/>
      <c r="Q1947" s="199"/>
      <c r="R1947" s="199"/>
      <c r="S1947" s="199"/>
      <c r="T1947" s="199"/>
      <c r="U1947" s="199"/>
      <c r="V1947" s="199"/>
      <c r="W1947" s="199"/>
      <c r="X1947" s="199"/>
      <c r="Y1947" s="199"/>
      <c r="Z1947" s="199"/>
      <c r="AA1947" s="199"/>
      <c r="AB1947" s="199"/>
      <c r="AC1947" s="199"/>
      <c r="AD1947" s="199"/>
      <c r="AE1947" s="199"/>
      <c r="AF1947" s="199"/>
    </row>
    <row r="1948" spans="2:32" ht="15" customHeight="1">
      <c r="B1948" s="199"/>
      <c r="C1948" s="199"/>
      <c r="D1948" s="199"/>
      <c r="E1948" s="199"/>
      <c r="F1948" s="199"/>
      <c r="G1948" s="199"/>
      <c r="H1948" s="199"/>
      <c r="I1948" s="199"/>
      <c r="J1948" s="199"/>
      <c r="K1948" s="199"/>
      <c r="L1948" s="199"/>
      <c r="M1948" s="199"/>
      <c r="N1948" s="199"/>
      <c r="O1948" s="199"/>
      <c r="P1948" s="199"/>
      <c r="Q1948" s="199"/>
      <c r="R1948" s="199"/>
      <c r="S1948" s="199"/>
      <c r="T1948" s="199"/>
      <c r="U1948" s="199"/>
      <c r="V1948" s="199"/>
      <c r="W1948" s="199"/>
      <c r="X1948" s="199"/>
      <c r="Y1948" s="199"/>
      <c r="Z1948" s="199"/>
      <c r="AA1948" s="199"/>
      <c r="AB1948" s="199"/>
      <c r="AC1948" s="199"/>
      <c r="AD1948" s="199"/>
      <c r="AE1948" s="199"/>
      <c r="AF1948" s="199"/>
    </row>
    <row r="1949" spans="2:32" ht="15" customHeight="1">
      <c r="B1949" s="199"/>
      <c r="C1949" s="199"/>
      <c r="D1949" s="199"/>
      <c r="E1949" s="199"/>
      <c r="F1949" s="199"/>
      <c r="G1949" s="199"/>
      <c r="H1949" s="199"/>
      <c r="I1949" s="199"/>
      <c r="J1949" s="199"/>
      <c r="K1949" s="199"/>
      <c r="L1949" s="199"/>
      <c r="M1949" s="199"/>
      <c r="N1949" s="199"/>
      <c r="O1949" s="199"/>
      <c r="P1949" s="199"/>
      <c r="Q1949" s="199"/>
      <c r="R1949" s="199"/>
      <c r="S1949" s="199"/>
      <c r="T1949" s="199"/>
      <c r="U1949" s="199"/>
      <c r="V1949" s="199"/>
      <c r="W1949" s="199"/>
      <c r="X1949" s="199"/>
      <c r="Y1949" s="199"/>
      <c r="Z1949" s="199"/>
      <c r="AA1949" s="199"/>
      <c r="AB1949" s="199"/>
      <c r="AC1949" s="199"/>
      <c r="AD1949" s="199"/>
      <c r="AE1949" s="199"/>
      <c r="AF1949" s="199"/>
    </row>
    <row r="1950" spans="2:32" ht="15" customHeight="1">
      <c r="B1950" s="199"/>
      <c r="C1950" s="199"/>
      <c r="D1950" s="199"/>
      <c r="E1950" s="199"/>
      <c r="F1950" s="199"/>
      <c r="G1950" s="199"/>
      <c r="H1950" s="199"/>
      <c r="I1950" s="199"/>
      <c r="J1950" s="199"/>
      <c r="K1950" s="199"/>
      <c r="L1950" s="199"/>
      <c r="M1950" s="199"/>
      <c r="N1950" s="199"/>
      <c r="O1950" s="199"/>
      <c r="P1950" s="199"/>
      <c r="Q1950" s="199"/>
      <c r="R1950" s="199"/>
      <c r="S1950" s="199"/>
      <c r="T1950" s="199"/>
      <c r="U1950" s="199"/>
      <c r="V1950" s="199"/>
      <c r="W1950" s="199"/>
      <c r="X1950" s="199"/>
      <c r="Y1950" s="199"/>
      <c r="Z1950" s="199"/>
      <c r="AA1950" s="199"/>
      <c r="AB1950" s="199"/>
      <c r="AC1950" s="199"/>
      <c r="AD1950" s="199"/>
      <c r="AE1950" s="199"/>
      <c r="AF1950" s="199"/>
    </row>
    <row r="1951" spans="2:32" ht="15" customHeight="1">
      <c r="B1951" s="199"/>
      <c r="C1951" s="199"/>
      <c r="D1951" s="199"/>
      <c r="E1951" s="199"/>
      <c r="F1951" s="199"/>
      <c r="G1951" s="199"/>
      <c r="H1951" s="199"/>
      <c r="I1951" s="199"/>
      <c r="J1951" s="199"/>
      <c r="K1951" s="199"/>
      <c r="L1951" s="199"/>
      <c r="M1951" s="199"/>
      <c r="N1951" s="199"/>
      <c r="O1951" s="199"/>
      <c r="P1951" s="199"/>
      <c r="Q1951" s="199"/>
      <c r="R1951" s="199"/>
      <c r="S1951" s="199"/>
      <c r="T1951" s="199"/>
      <c r="U1951" s="199"/>
      <c r="V1951" s="199"/>
      <c r="W1951" s="199"/>
      <c r="X1951" s="199"/>
      <c r="Y1951" s="199"/>
      <c r="Z1951" s="199"/>
      <c r="AA1951" s="199"/>
      <c r="AB1951" s="199"/>
      <c r="AC1951" s="199"/>
      <c r="AD1951" s="199"/>
      <c r="AE1951" s="199"/>
      <c r="AF1951" s="199"/>
    </row>
    <row r="1952" spans="2:32" ht="15" customHeight="1">
      <c r="B1952" s="199"/>
      <c r="C1952" s="199"/>
      <c r="D1952" s="199"/>
      <c r="E1952" s="199"/>
      <c r="F1952" s="199"/>
      <c r="G1952" s="199"/>
      <c r="H1952" s="199"/>
      <c r="I1952" s="199"/>
      <c r="J1952" s="199"/>
      <c r="K1952" s="199"/>
      <c r="L1952" s="199"/>
      <c r="M1952" s="199"/>
      <c r="N1952" s="199"/>
      <c r="O1952" s="199"/>
      <c r="P1952" s="199"/>
      <c r="Q1952" s="199"/>
      <c r="R1952" s="199"/>
      <c r="S1952" s="199"/>
      <c r="T1952" s="199"/>
      <c r="U1952" s="199"/>
      <c r="V1952" s="199"/>
      <c r="W1952" s="199"/>
      <c r="X1952" s="199"/>
      <c r="Y1952" s="199"/>
      <c r="Z1952" s="199"/>
      <c r="AA1952" s="199"/>
      <c r="AB1952" s="199"/>
      <c r="AC1952" s="199"/>
      <c r="AD1952" s="199"/>
      <c r="AE1952" s="199"/>
      <c r="AF1952" s="199"/>
    </row>
    <row r="2036" spans="2:32" ht="15" customHeight="1">
      <c r="B2036" s="199"/>
      <c r="C2036" s="199"/>
      <c r="D2036" s="199"/>
      <c r="E2036" s="199"/>
      <c r="F2036" s="199"/>
      <c r="G2036" s="199"/>
      <c r="H2036" s="199"/>
      <c r="I2036" s="199"/>
      <c r="J2036" s="199"/>
      <c r="K2036" s="199"/>
      <c r="L2036" s="199"/>
      <c r="M2036" s="199"/>
      <c r="N2036" s="199"/>
      <c r="O2036" s="199"/>
      <c r="P2036" s="199"/>
      <c r="Q2036" s="199"/>
      <c r="R2036" s="199"/>
      <c r="S2036" s="199"/>
      <c r="T2036" s="199"/>
      <c r="U2036" s="199"/>
      <c r="V2036" s="199"/>
      <c r="W2036" s="199"/>
      <c r="X2036" s="199"/>
      <c r="Y2036" s="199"/>
      <c r="Z2036" s="199"/>
      <c r="AA2036" s="199"/>
      <c r="AB2036" s="199"/>
      <c r="AC2036" s="199"/>
      <c r="AD2036" s="199"/>
      <c r="AE2036" s="199"/>
      <c r="AF2036" s="199"/>
    </row>
    <row r="2039" spans="2:32" ht="15" customHeight="1">
      <c r="B2039" s="199"/>
      <c r="C2039" s="199"/>
      <c r="D2039" s="199"/>
      <c r="E2039" s="199"/>
      <c r="F2039" s="199"/>
      <c r="G2039" s="199"/>
      <c r="H2039" s="199"/>
      <c r="I2039" s="199"/>
      <c r="J2039" s="199"/>
      <c r="K2039" s="199"/>
      <c r="L2039" s="199"/>
      <c r="M2039" s="199"/>
      <c r="N2039" s="199"/>
      <c r="O2039" s="199"/>
      <c r="P2039" s="199"/>
      <c r="Q2039" s="199"/>
      <c r="R2039" s="199"/>
      <c r="S2039" s="199"/>
      <c r="T2039" s="199"/>
      <c r="U2039" s="199"/>
      <c r="V2039" s="199"/>
      <c r="W2039" s="199"/>
      <c r="X2039" s="199"/>
      <c r="Y2039" s="199"/>
      <c r="Z2039" s="199"/>
      <c r="AA2039" s="199"/>
      <c r="AB2039" s="199"/>
      <c r="AC2039" s="199"/>
      <c r="AD2039" s="199"/>
      <c r="AE2039" s="199"/>
      <c r="AF2039" s="199"/>
    </row>
    <row r="2040" spans="2:32" ht="15" customHeight="1">
      <c r="B2040" s="280"/>
      <c r="C2040" s="280"/>
      <c r="D2040" s="280"/>
      <c r="E2040" s="280"/>
      <c r="F2040" s="280"/>
      <c r="G2040" s="280"/>
      <c r="H2040" s="280"/>
      <c r="I2040" s="280"/>
      <c r="J2040" s="280"/>
      <c r="K2040" s="280"/>
      <c r="L2040" s="280"/>
      <c r="M2040" s="280"/>
      <c r="N2040" s="280"/>
      <c r="O2040" s="280"/>
      <c r="P2040" s="280"/>
      <c r="Q2040" s="280"/>
      <c r="R2040" s="280"/>
      <c r="S2040" s="280"/>
      <c r="T2040" s="280"/>
      <c r="U2040" s="280"/>
      <c r="V2040" s="280"/>
      <c r="W2040" s="280"/>
      <c r="X2040" s="280"/>
      <c r="Y2040" s="280"/>
      <c r="Z2040" s="280"/>
      <c r="AA2040" s="280"/>
      <c r="AB2040" s="280"/>
      <c r="AC2040" s="280"/>
      <c r="AD2040" s="280"/>
      <c r="AE2040" s="280"/>
      <c r="AF2040" s="280"/>
    </row>
    <row r="2044" spans="2:32" ht="15" customHeight="1">
      <c r="B2044" s="199"/>
      <c r="C2044" s="199"/>
      <c r="D2044" s="199"/>
      <c r="E2044" s="199"/>
      <c r="F2044" s="199"/>
      <c r="G2044" s="199"/>
      <c r="H2044" s="199"/>
      <c r="I2044" s="199"/>
      <c r="J2044" s="199"/>
      <c r="K2044" s="199"/>
      <c r="L2044" s="199"/>
      <c r="M2044" s="199"/>
      <c r="N2044" s="199"/>
      <c r="O2044" s="199"/>
      <c r="P2044" s="199"/>
      <c r="Q2044" s="199"/>
      <c r="R2044" s="199"/>
      <c r="S2044" s="199"/>
      <c r="T2044" s="199"/>
      <c r="U2044" s="199"/>
      <c r="V2044" s="199"/>
      <c r="W2044" s="199"/>
      <c r="X2044" s="199"/>
      <c r="Y2044" s="199"/>
      <c r="Z2044" s="199"/>
      <c r="AA2044" s="199"/>
      <c r="AB2044" s="199"/>
      <c r="AC2044" s="199"/>
      <c r="AD2044" s="199"/>
      <c r="AE2044" s="199"/>
      <c r="AF2044" s="199"/>
    </row>
    <row r="2045" spans="2:32" ht="15" customHeight="1">
      <c r="B2045" s="199"/>
      <c r="C2045" s="199"/>
      <c r="D2045" s="199"/>
      <c r="E2045" s="199"/>
      <c r="F2045" s="199"/>
      <c r="G2045" s="199"/>
      <c r="H2045" s="199"/>
      <c r="I2045" s="199"/>
      <c r="J2045" s="199"/>
      <c r="K2045" s="199"/>
      <c r="L2045" s="199"/>
      <c r="M2045" s="199"/>
      <c r="N2045" s="199"/>
      <c r="O2045" s="199"/>
      <c r="P2045" s="199"/>
      <c r="Q2045" s="199"/>
      <c r="R2045" s="199"/>
      <c r="S2045" s="199"/>
      <c r="T2045" s="199"/>
      <c r="U2045" s="199"/>
      <c r="V2045" s="199"/>
      <c r="W2045" s="199"/>
      <c r="X2045" s="199"/>
      <c r="Y2045" s="199"/>
      <c r="Z2045" s="199"/>
      <c r="AA2045" s="199"/>
      <c r="AB2045" s="199"/>
      <c r="AC2045" s="199"/>
      <c r="AD2045" s="199"/>
      <c r="AE2045" s="199"/>
      <c r="AF2045" s="199"/>
    </row>
    <row r="2046" spans="2:32" ht="15" customHeight="1">
      <c r="B2046" s="199"/>
      <c r="C2046" s="199"/>
      <c r="D2046" s="199"/>
      <c r="E2046" s="199"/>
      <c r="F2046" s="199"/>
      <c r="G2046" s="199"/>
      <c r="H2046" s="199"/>
      <c r="I2046" s="199"/>
      <c r="J2046" s="199"/>
      <c r="K2046" s="199"/>
      <c r="L2046" s="199"/>
      <c r="M2046" s="199"/>
      <c r="N2046" s="199"/>
      <c r="O2046" s="199"/>
      <c r="P2046" s="199"/>
      <c r="Q2046" s="199"/>
      <c r="R2046" s="199"/>
      <c r="S2046" s="199"/>
      <c r="T2046" s="199"/>
      <c r="U2046" s="199"/>
      <c r="V2046" s="199"/>
      <c r="W2046" s="199"/>
      <c r="X2046" s="199"/>
      <c r="Y2046" s="199"/>
      <c r="Z2046" s="199"/>
      <c r="AA2046" s="199"/>
      <c r="AB2046" s="199"/>
      <c r="AC2046" s="199"/>
      <c r="AD2046" s="199"/>
      <c r="AE2046" s="199"/>
      <c r="AF2046" s="199"/>
    </row>
    <row r="2047" spans="2:32" ht="15" customHeight="1">
      <c r="B2047" s="199"/>
      <c r="C2047" s="199"/>
      <c r="D2047" s="199"/>
      <c r="E2047" s="199"/>
      <c r="F2047" s="199"/>
      <c r="G2047" s="199"/>
      <c r="H2047" s="199"/>
      <c r="I2047" s="199"/>
      <c r="J2047" s="199"/>
      <c r="K2047" s="199"/>
      <c r="L2047" s="199"/>
      <c r="M2047" s="199"/>
      <c r="N2047" s="199"/>
      <c r="O2047" s="199"/>
      <c r="P2047" s="199"/>
      <c r="Q2047" s="199"/>
      <c r="R2047" s="199"/>
      <c r="S2047" s="199"/>
      <c r="T2047" s="199"/>
      <c r="U2047" s="199"/>
      <c r="V2047" s="199"/>
      <c r="W2047" s="199"/>
      <c r="X2047" s="199"/>
      <c r="Y2047" s="199"/>
      <c r="Z2047" s="199"/>
      <c r="AA2047" s="199"/>
      <c r="AB2047" s="199"/>
      <c r="AC2047" s="199"/>
      <c r="AD2047" s="199"/>
      <c r="AE2047" s="199"/>
      <c r="AF2047" s="199"/>
    </row>
    <row r="2048" spans="2:32" ht="15" customHeight="1">
      <c r="B2048" s="199"/>
      <c r="C2048" s="199"/>
      <c r="D2048" s="199"/>
      <c r="E2048" s="199"/>
      <c r="F2048" s="199"/>
      <c r="G2048" s="199"/>
      <c r="H2048" s="199"/>
      <c r="I2048" s="199"/>
      <c r="J2048" s="199"/>
      <c r="K2048" s="199"/>
      <c r="L2048" s="199"/>
      <c r="M2048" s="199"/>
      <c r="N2048" s="199"/>
      <c r="O2048" s="199"/>
      <c r="P2048" s="199"/>
      <c r="Q2048" s="199"/>
      <c r="R2048" s="199"/>
      <c r="S2048" s="199"/>
      <c r="T2048" s="199"/>
      <c r="U2048" s="199"/>
      <c r="V2048" s="199"/>
      <c r="W2048" s="199"/>
      <c r="X2048" s="199"/>
      <c r="Y2048" s="199"/>
      <c r="Z2048" s="199"/>
      <c r="AA2048" s="199"/>
      <c r="AB2048" s="199"/>
      <c r="AC2048" s="199"/>
      <c r="AD2048" s="199"/>
      <c r="AE2048" s="199"/>
      <c r="AF2048" s="199"/>
    </row>
    <row r="2130" spans="2:32" ht="15" customHeight="1">
      <c r="B2130" s="199"/>
      <c r="C2130" s="199"/>
      <c r="D2130" s="199"/>
      <c r="E2130" s="199"/>
      <c r="F2130" s="199"/>
      <c r="G2130" s="199"/>
      <c r="H2130" s="199"/>
      <c r="I2130" s="199"/>
      <c r="J2130" s="199"/>
      <c r="K2130" s="199"/>
      <c r="L2130" s="199"/>
      <c r="M2130" s="199"/>
      <c r="N2130" s="199"/>
      <c r="O2130" s="199"/>
      <c r="P2130" s="199"/>
      <c r="Q2130" s="199"/>
      <c r="R2130" s="199"/>
      <c r="S2130" s="199"/>
      <c r="T2130" s="199"/>
      <c r="U2130" s="199"/>
      <c r="V2130" s="199"/>
      <c r="W2130" s="199"/>
      <c r="X2130" s="199"/>
      <c r="Y2130" s="199"/>
      <c r="Z2130" s="199"/>
      <c r="AA2130" s="199"/>
      <c r="AB2130" s="199"/>
      <c r="AC2130" s="199"/>
      <c r="AD2130" s="199"/>
      <c r="AE2130" s="199"/>
      <c r="AF2130" s="199"/>
    </row>
    <row r="2136" spans="2:32" ht="15" customHeight="1">
      <c r="B2136" s="199"/>
      <c r="C2136" s="199"/>
      <c r="D2136" s="199"/>
      <c r="E2136" s="199"/>
      <c r="F2136" s="199"/>
      <c r="G2136" s="199"/>
      <c r="H2136" s="199"/>
      <c r="I2136" s="199"/>
      <c r="J2136" s="199"/>
      <c r="K2136" s="199"/>
      <c r="L2136" s="199"/>
      <c r="M2136" s="199"/>
      <c r="N2136" s="199"/>
      <c r="O2136" s="199"/>
      <c r="P2136" s="199"/>
      <c r="Q2136" s="199"/>
      <c r="R2136" s="199"/>
      <c r="S2136" s="199"/>
      <c r="T2136" s="199"/>
      <c r="U2136" s="199"/>
      <c r="V2136" s="199"/>
      <c r="W2136" s="199"/>
      <c r="X2136" s="199"/>
      <c r="Y2136" s="199"/>
      <c r="Z2136" s="199"/>
      <c r="AA2136" s="199"/>
      <c r="AB2136" s="199"/>
      <c r="AC2136" s="199"/>
      <c r="AD2136" s="199"/>
      <c r="AE2136" s="199"/>
      <c r="AF2136" s="199"/>
    </row>
    <row r="2139" spans="2:32" ht="15" customHeight="1">
      <c r="B2139" s="199"/>
      <c r="C2139" s="199"/>
      <c r="D2139" s="199"/>
      <c r="E2139" s="199"/>
      <c r="F2139" s="199"/>
      <c r="G2139" s="199"/>
      <c r="H2139" s="199"/>
      <c r="I2139" s="199"/>
      <c r="J2139" s="199"/>
      <c r="K2139" s="199"/>
      <c r="L2139" s="199"/>
      <c r="M2139" s="199"/>
      <c r="N2139" s="199"/>
      <c r="O2139" s="199"/>
      <c r="P2139" s="199"/>
      <c r="Q2139" s="199"/>
      <c r="R2139" s="199"/>
      <c r="S2139" s="199"/>
      <c r="T2139" s="199"/>
      <c r="U2139" s="199"/>
      <c r="V2139" s="199"/>
      <c r="W2139" s="199"/>
      <c r="X2139" s="199"/>
      <c r="Y2139" s="199"/>
      <c r="Z2139" s="199"/>
      <c r="AA2139" s="199"/>
      <c r="AB2139" s="199"/>
      <c r="AC2139" s="199"/>
      <c r="AD2139" s="199"/>
      <c r="AE2139" s="199"/>
      <c r="AF2139" s="199"/>
    </row>
    <row r="2140" spans="2:32" ht="15" customHeight="1">
      <c r="B2140" s="280"/>
      <c r="C2140" s="280"/>
      <c r="D2140" s="280"/>
      <c r="E2140" s="280"/>
      <c r="F2140" s="280"/>
      <c r="G2140" s="280"/>
      <c r="H2140" s="280"/>
      <c r="I2140" s="280"/>
      <c r="J2140" s="280"/>
      <c r="K2140" s="280"/>
      <c r="L2140" s="280"/>
      <c r="M2140" s="280"/>
      <c r="N2140" s="280"/>
      <c r="O2140" s="280"/>
      <c r="P2140" s="280"/>
      <c r="Q2140" s="280"/>
      <c r="R2140" s="280"/>
      <c r="S2140" s="280"/>
      <c r="T2140" s="280"/>
      <c r="U2140" s="280"/>
      <c r="V2140" s="280"/>
      <c r="W2140" s="280"/>
      <c r="X2140" s="280"/>
      <c r="Y2140" s="280"/>
      <c r="Z2140" s="280"/>
      <c r="AA2140" s="280"/>
      <c r="AB2140" s="280"/>
      <c r="AC2140" s="280"/>
      <c r="AD2140" s="280"/>
      <c r="AE2140" s="280"/>
      <c r="AF2140" s="280"/>
    </row>
    <row r="2144" spans="2:32" ht="15" customHeight="1">
      <c r="B2144" s="199"/>
      <c r="C2144" s="199"/>
      <c r="D2144" s="199"/>
      <c r="E2144" s="199"/>
      <c r="F2144" s="199"/>
      <c r="G2144" s="199"/>
      <c r="H2144" s="199"/>
      <c r="I2144" s="199"/>
      <c r="J2144" s="199"/>
      <c r="K2144" s="199"/>
      <c r="L2144" s="199"/>
      <c r="M2144" s="199"/>
      <c r="N2144" s="199"/>
      <c r="O2144" s="199"/>
      <c r="P2144" s="199"/>
      <c r="Q2144" s="199"/>
      <c r="R2144" s="199"/>
      <c r="S2144" s="199"/>
      <c r="T2144" s="199"/>
      <c r="U2144" s="199"/>
      <c r="V2144" s="199"/>
      <c r="W2144" s="199"/>
      <c r="X2144" s="199"/>
      <c r="Y2144" s="199"/>
      <c r="Z2144" s="199"/>
      <c r="AA2144" s="199"/>
      <c r="AB2144" s="199"/>
      <c r="AC2144" s="199"/>
      <c r="AD2144" s="199"/>
      <c r="AE2144" s="199"/>
      <c r="AF2144" s="199"/>
    </row>
    <row r="2230" spans="2:32" ht="15" customHeight="1">
      <c r="B2230" s="199"/>
      <c r="C2230" s="199"/>
      <c r="D2230" s="199"/>
      <c r="E2230" s="199"/>
      <c r="F2230" s="199"/>
      <c r="G2230" s="199"/>
      <c r="H2230" s="199"/>
      <c r="I2230" s="199"/>
      <c r="J2230" s="199"/>
      <c r="K2230" s="199"/>
      <c r="L2230" s="199"/>
      <c r="M2230" s="199"/>
      <c r="N2230" s="199"/>
      <c r="O2230" s="199"/>
      <c r="P2230" s="199"/>
      <c r="Q2230" s="199"/>
      <c r="R2230" s="199"/>
      <c r="S2230" s="199"/>
      <c r="T2230" s="199"/>
      <c r="U2230" s="199"/>
      <c r="V2230" s="199"/>
      <c r="W2230" s="199"/>
      <c r="X2230" s="199"/>
      <c r="Y2230" s="199"/>
      <c r="Z2230" s="199"/>
      <c r="AA2230" s="199"/>
      <c r="AB2230" s="199"/>
      <c r="AC2230" s="199"/>
      <c r="AD2230" s="199"/>
      <c r="AE2230" s="199"/>
      <c r="AF2230" s="199"/>
    </row>
    <row r="2236" spans="2:32" ht="15" customHeight="1">
      <c r="B2236" s="199"/>
      <c r="C2236" s="199"/>
      <c r="D2236" s="199"/>
      <c r="E2236" s="199"/>
      <c r="F2236" s="199"/>
      <c r="G2236" s="199"/>
      <c r="H2236" s="199"/>
      <c r="I2236" s="199"/>
      <c r="J2236" s="199"/>
      <c r="K2236" s="199"/>
      <c r="L2236" s="199"/>
      <c r="M2236" s="199"/>
      <c r="N2236" s="199"/>
      <c r="O2236" s="199"/>
      <c r="P2236" s="199"/>
      <c r="Q2236" s="199"/>
      <c r="R2236" s="199"/>
      <c r="S2236" s="199"/>
      <c r="T2236" s="199"/>
      <c r="U2236" s="199"/>
      <c r="V2236" s="199"/>
      <c r="W2236" s="199"/>
      <c r="X2236" s="199"/>
      <c r="Y2236" s="199"/>
      <c r="Z2236" s="199"/>
      <c r="AA2236" s="199"/>
      <c r="AB2236" s="199"/>
      <c r="AC2236" s="199"/>
      <c r="AD2236" s="199"/>
      <c r="AE2236" s="199"/>
      <c r="AF2236" s="199"/>
    </row>
    <row r="2239" spans="2:32" ht="15" customHeight="1">
      <c r="B2239" s="199"/>
      <c r="C2239" s="199"/>
      <c r="D2239" s="199"/>
      <c r="E2239" s="199"/>
      <c r="F2239" s="199"/>
      <c r="G2239" s="199"/>
      <c r="H2239" s="199"/>
      <c r="I2239" s="199"/>
      <c r="J2239" s="199"/>
      <c r="K2239" s="199"/>
      <c r="L2239" s="199"/>
      <c r="M2239" s="199"/>
      <c r="N2239" s="199"/>
      <c r="O2239" s="199"/>
      <c r="P2239" s="199"/>
      <c r="Q2239" s="199"/>
      <c r="R2239" s="199"/>
      <c r="S2239" s="199"/>
      <c r="T2239" s="199"/>
      <c r="U2239" s="199"/>
      <c r="V2239" s="199"/>
      <c r="W2239" s="199"/>
      <c r="X2239" s="199"/>
      <c r="Y2239" s="199"/>
      <c r="Z2239" s="199"/>
      <c r="AA2239" s="199"/>
      <c r="AB2239" s="199"/>
      <c r="AC2239" s="199"/>
      <c r="AD2239" s="199"/>
      <c r="AE2239" s="199"/>
      <c r="AF2239" s="199"/>
    </row>
    <row r="2240" spans="2:32" ht="15" customHeight="1">
      <c r="B2240" s="280"/>
      <c r="C2240" s="280"/>
      <c r="D2240" s="280"/>
      <c r="E2240" s="280"/>
      <c r="F2240" s="280"/>
      <c r="G2240" s="280"/>
      <c r="H2240" s="280"/>
      <c r="I2240" s="280"/>
      <c r="J2240" s="280"/>
      <c r="K2240" s="280"/>
      <c r="L2240" s="280"/>
      <c r="M2240" s="280"/>
      <c r="N2240" s="280"/>
      <c r="O2240" s="280"/>
      <c r="P2240" s="280"/>
      <c r="Q2240" s="280"/>
      <c r="R2240" s="280"/>
      <c r="S2240" s="280"/>
      <c r="T2240" s="280"/>
      <c r="U2240" s="280"/>
      <c r="V2240" s="280"/>
      <c r="W2240" s="280"/>
      <c r="X2240" s="280"/>
      <c r="Y2240" s="280"/>
      <c r="Z2240" s="280"/>
      <c r="AA2240" s="280"/>
      <c r="AB2240" s="280"/>
      <c r="AC2240" s="280"/>
      <c r="AD2240" s="280"/>
      <c r="AE2240" s="280"/>
      <c r="AF2240" s="280"/>
    </row>
    <row r="2339" spans="2:32" ht="15" customHeight="1">
      <c r="B2339" s="199"/>
      <c r="C2339" s="199"/>
      <c r="D2339" s="199"/>
      <c r="E2339" s="199"/>
      <c r="F2339" s="199"/>
      <c r="G2339" s="199"/>
      <c r="H2339" s="199"/>
      <c r="I2339" s="199"/>
      <c r="J2339" s="199"/>
      <c r="K2339" s="199"/>
      <c r="L2339" s="199"/>
      <c r="M2339" s="199"/>
      <c r="N2339" s="199"/>
      <c r="O2339" s="199"/>
      <c r="P2339" s="199"/>
      <c r="Q2339" s="199"/>
      <c r="R2339" s="199"/>
      <c r="S2339" s="199"/>
      <c r="T2339" s="199"/>
      <c r="U2339" s="199"/>
      <c r="V2339" s="199"/>
      <c r="W2339" s="199"/>
      <c r="X2339" s="199"/>
      <c r="Y2339" s="199"/>
      <c r="Z2339" s="199"/>
      <c r="AA2339" s="199"/>
      <c r="AB2339" s="199"/>
      <c r="AC2339" s="199"/>
      <c r="AD2339" s="199"/>
      <c r="AE2339" s="199"/>
      <c r="AF2339" s="199"/>
    </row>
    <row r="2340" spans="2:32" ht="15" customHeight="1">
      <c r="B2340" s="280"/>
      <c r="C2340" s="280"/>
      <c r="D2340" s="280"/>
      <c r="E2340" s="280"/>
      <c r="F2340" s="280"/>
      <c r="G2340" s="280"/>
      <c r="H2340" s="280"/>
      <c r="I2340" s="280"/>
      <c r="J2340" s="280"/>
      <c r="K2340" s="280"/>
      <c r="L2340" s="280"/>
      <c r="M2340" s="280"/>
      <c r="N2340" s="280"/>
      <c r="O2340" s="280"/>
      <c r="P2340" s="280"/>
      <c r="Q2340" s="280"/>
      <c r="R2340" s="280"/>
      <c r="S2340" s="280"/>
      <c r="T2340" s="280"/>
      <c r="U2340" s="280"/>
      <c r="V2340" s="280"/>
      <c r="W2340" s="280"/>
      <c r="X2340" s="280"/>
      <c r="Y2340" s="280"/>
      <c r="Z2340" s="280"/>
      <c r="AA2340" s="280"/>
      <c r="AB2340" s="280"/>
      <c r="AC2340" s="280"/>
      <c r="AD2340" s="280"/>
      <c r="AE2340" s="280"/>
      <c r="AF2340" s="280"/>
    </row>
    <row r="2440" spans="2:34" ht="15" customHeight="1">
      <c r="B2440" s="279"/>
      <c r="C2440" s="279"/>
      <c r="D2440" s="279"/>
      <c r="E2440" s="279"/>
      <c r="F2440" s="279"/>
      <c r="G2440" s="279"/>
      <c r="H2440" s="279"/>
      <c r="I2440" s="279"/>
      <c r="J2440" s="279"/>
      <c r="K2440" s="279"/>
      <c r="L2440" s="279"/>
      <c r="M2440" s="279"/>
      <c r="N2440" s="279"/>
      <c r="O2440" s="279"/>
      <c r="P2440" s="279"/>
      <c r="Q2440" s="279"/>
      <c r="R2440" s="279"/>
      <c r="S2440" s="279"/>
      <c r="T2440" s="279"/>
      <c r="U2440" s="279"/>
      <c r="V2440" s="279"/>
      <c r="W2440" s="279"/>
      <c r="X2440" s="279"/>
      <c r="Y2440" s="279"/>
      <c r="Z2440" s="279"/>
      <c r="AA2440" s="279"/>
      <c r="AB2440" s="279"/>
      <c r="AC2440" s="279"/>
      <c r="AD2440" s="279"/>
      <c r="AE2440" s="279"/>
      <c r="AF2440" s="279"/>
      <c r="AG2440" s="279"/>
      <c r="AH2440" s="279"/>
    </row>
    <row r="2540" spans="2:34" ht="15" customHeight="1">
      <c r="B2540" s="279"/>
      <c r="C2540" s="279"/>
      <c r="D2540" s="279"/>
      <c r="E2540" s="279"/>
      <c r="F2540" s="279"/>
      <c r="G2540" s="279"/>
      <c r="H2540" s="279"/>
      <c r="I2540" s="279"/>
      <c r="J2540" s="279"/>
      <c r="K2540" s="279"/>
      <c r="L2540" s="279"/>
      <c r="M2540" s="279"/>
      <c r="N2540" s="279"/>
      <c r="O2540" s="279"/>
      <c r="P2540" s="279"/>
      <c r="Q2540" s="279"/>
      <c r="R2540" s="279"/>
      <c r="S2540" s="279"/>
      <c r="T2540" s="279"/>
      <c r="U2540" s="279"/>
      <c r="V2540" s="279"/>
      <c r="W2540" s="279"/>
      <c r="X2540" s="279"/>
      <c r="Y2540" s="279"/>
      <c r="Z2540" s="279"/>
      <c r="AA2540" s="279"/>
      <c r="AB2540" s="279"/>
      <c r="AC2540" s="279"/>
      <c r="AD2540" s="279"/>
      <c r="AE2540" s="279"/>
      <c r="AF2540" s="279"/>
      <c r="AG2540" s="279"/>
      <c r="AH2540" s="279"/>
    </row>
  </sheetData>
  <mergeCells count="24">
    <mergeCell ref="B648:AF648"/>
    <mergeCell ref="B80:AG80"/>
    <mergeCell ref="B88:AF88"/>
    <mergeCell ref="B213:AF213"/>
    <mergeCell ref="B379:AF379"/>
    <mergeCell ref="B496:AF496"/>
    <mergeCell ref="B2040:AF2040"/>
    <mergeCell ref="B748:AF748"/>
    <mergeCell ref="B839:AF839"/>
    <mergeCell ref="B910:AF910"/>
    <mergeCell ref="B1005:AF1005"/>
    <mergeCell ref="B1422:AF1422"/>
    <mergeCell ref="B1155:AF1155"/>
    <mergeCell ref="B1327:AF1327"/>
    <mergeCell ref="B1540:AF1540"/>
    <mergeCell ref="B1640:AF1640"/>
    <mergeCell ref="B1740:AF1740"/>
    <mergeCell ref="B1840:AF1840"/>
    <mergeCell ref="B1940:AF1940"/>
    <mergeCell ref="B2540:AH2540"/>
    <mergeCell ref="B2440:AH2440"/>
    <mergeCell ref="B2140:AF2140"/>
    <mergeCell ref="B2240:AF2240"/>
    <mergeCell ref="B2340:AF2340"/>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0D65E-6539-49F0-922E-A4A352276F31}">
  <dimension ref="A1:AF54"/>
  <sheetViews>
    <sheetView workbookViewId="0"/>
  </sheetViews>
  <sheetFormatPr defaultRowHeight="14.4"/>
  <cols>
    <col min="1" max="1" width="23.33203125" customWidth="1"/>
  </cols>
  <sheetData>
    <row r="1" spans="1:31">
      <c r="A1" t="s">
        <v>538</v>
      </c>
    </row>
    <row r="2" spans="1:31">
      <c r="A2" t="s">
        <v>673</v>
      </c>
    </row>
    <row r="3" spans="1:31">
      <c r="A3" t="s">
        <v>672</v>
      </c>
    </row>
    <row r="4" spans="1:31">
      <c r="A4" t="s">
        <v>481</v>
      </c>
    </row>
    <row r="5" spans="1:31">
      <c r="B5" t="s">
        <v>482</v>
      </c>
      <c r="C5" t="s">
        <v>483</v>
      </c>
      <c r="D5" t="s">
        <v>484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671</v>
      </c>
    </row>
    <row r="6" spans="1:31">
      <c r="A6" t="s">
        <v>96</v>
      </c>
    </row>
    <row r="7" spans="1:31">
      <c r="A7" t="s">
        <v>537</v>
      </c>
      <c r="B7" t="s">
        <v>670</v>
      </c>
      <c r="C7" t="s">
        <v>669</v>
      </c>
      <c r="D7" t="s">
        <v>107</v>
      </c>
      <c r="E7">
        <v>28.096219999999999</v>
      </c>
      <c r="F7">
        <v>27.839510000000001</v>
      </c>
      <c r="G7">
        <v>27.934449999999998</v>
      </c>
      <c r="H7">
        <v>27.987217000000001</v>
      </c>
      <c r="I7">
        <v>27.814900999999999</v>
      </c>
      <c r="J7">
        <v>28.041070999999999</v>
      </c>
      <c r="K7">
        <v>28.029517999999999</v>
      </c>
      <c r="L7">
        <v>27.882774000000001</v>
      </c>
      <c r="M7">
        <v>27.414967999999998</v>
      </c>
      <c r="N7">
        <v>27.162400999999999</v>
      </c>
      <c r="O7">
        <v>26.851123999999999</v>
      </c>
      <c r="P7">
        <v>26.721969999999999</v>
      </c>
      <c r="Q7">
        <v>26.669319000000002</v>
      </c>
      <c r="R7">
        <v>26.478784999999998</v>
      </c>
      <c r="S7">
        <v>26.444293999999999</v>
      </c>
      <c r="T7">
        <v>26.71266</v>
      </c>
      <c r="U7">
        <v>26.969090000000001</v>
      </c>
      <c r="V7">
        <v>27.048577999999999</v>
      </c>
      <c r="W7">
        <v>27.202836999999999</v>
      </c>
      <c r="X7">
        <v>27.264697999999999</v>
      </c>
      <c r="Y7">
        <v>27.201111000000001</v>
      </c>
      <c r="Z7">
        <v>27.041689000000002</v>
      </c>
      <c r="AA7">
        <v>26.884602000000001</v>
      </c>
      <c r="AB7">
        <v>26.681749</v>
      </c>
      <c r="AC7">
        <v>26.394307999999999</v>
      </c>
      <c r="AD7">
        <v>25.994828999999999</v>
      </c>
      <c r="AE7" s="97">
        <v>-3.0000000000000001E-3</v>
      </c>
    </row>
    <row r="8" spans="1:31">
      <c r="A8" t="s">
        <v>536</v>
      </c>
      <c r="B8" t="s">
        <v>668</v>
      </c>
      <c r="C8" t="s">
        <v>667</v>
      </c>
      <c r="D8" t="s">
        <v>107</v>
      </c>
      <c r="E8">
        <v>9.6190329999999999</v>
      </c>
      <c r="F8">
        <v>9.7968050000000009</v>
      </c>
      <c r="G8">
        <v>10.516297</v>
      </c>
      <c r="H8">
        <v>10.408414</v>
      </c>
      <c r="I8">
        <v>10.449044000000001</v>
      </c>
      <c r="J8">
        <v>10.487188</v>
      </c>
      <c r="K8">
        <v>10.989504</v>
      </c>
      <c r="L8">
        <v>11.466013999999999</v>
      </c>
      <c r="M8">
        <v>11.930082000000001</v>
      </c>
      <c r="N8">
        <v>12.265281999999999</v>
      </c>
      <c r="O8">
        <v>12.51648</v>
      </c>
      <c r="P8">
        <v>12.657268</v>
      </c>
      <c r="Q8">
        <v>12.87834</v>
      </c>
      <c r="R8">
        <v>13.124127</v>
      </c>
      <c r="S8">
        <v>13.329017</v>
      </c>
      <c r="T8">
        <v>13.664953000000001</v>
      </c>
      <c r="U8">
        <v>13.958897</v>
      </c>
      <c r="V8">
        <v>14.123372</v>
      </c>
      <c r="W8">
        <v>14.198471</v>
      </c>
      <c r="X8">
        <v>14.139817000000001</v>
      </c>
      <c r="Y8">
        <v>13.995239</v>
      </c>
      <c r="Z8">
        <v>13.875278</v>
      </c>
      <c r="AA8">
        <v>13.909235000000001</v>
      </c>
      <c r="AB8">
        <v>14.003947</v>
      </c>
      <c r="AC8">
        <v>14.058703</v>
      </c>
      <c r="AD8">
        <v>14.029639</v>
      </c>
      <c r="AE8" s="97">
        <v>1.4999999999999999E-2</v>
      </c>
    </row>
    <row r="9" spans="1:31">
      <c r="A9" t="s">
        <v>535</v>
      </c>
      <c r="B9" t="s">
        <v>666</v>
      </c>
      <c r="C9" t="s">
        <v>665</v>
      </c>
      <c r="D9" t="s">
        <v>107</v>
      </c>
      <c r="E9">
        <v>40.570411999999997</v>
      </c>
      <c r="F9">
        <v>40.294426000000001</v>
      </c>
      <c r="G9">
        <v>39.723049000000003</v>
      </c>
      <c r="H9">
        <v>40.499924</v>
      </c>
      <c r="I9">
        <v>40.887130999999997</v>
      </c>
      <c r="J9">
        <v>42.027293999999998</v>
      </c>
      <c r="K9">
        <v>43.181033999999997</v>
      </c>
      <c r="L9">
        <v>44.259509999999999</v>
      </c>
      <c r="M9">
        <v>45.101624000000001</v>
      </c>
      <c r="N9">
        <v>46.168903</v>
      </c>
      <c r="O9">
        <v>46.665019999999998</v>
      </c>
      <c r="P9">
        <v>47.017207999999997</v>
      </c>
      <c r="Q9">
        <v>47.328975999999997</v>
      </c>
      <c r="R9">
        <v>47.659122000000004</v>
      </c>
      <c r="S9">
        <v>47.983775999999999</v>
      </c>
      <c r="T9">
        <v>48.581454999999998</v>
      </c>
      <c r="U9">
        <v>49.290066000000003</v>
      </c>
      <c r="V9">
        <v>49.974457000000001</v>
      </c>
      <c r="W9">
        <v>50.566367999999997</v>
      </c>
      <c r="X9">
        <v>51.117550000000001</v>
      </c>
      <c r="Y9">
        <v>51.666023000000003</v>
      </c>
      <c r="Z9">
        <v>52.372948000000001</v>
      </c>
      <c r="AA9">
        <v>52.807499</v>
      </c>
      <c r="AB9">
        <v>53.117049999999999</v>
      </c>
      <c r="AC9">
        <v>53.229816</v>
      </c>
      <c r="AD9">
        <v>53.342106000000001</v>
      </c>
      <c r="AE9" s="97">
        <v>1.0999999999999999E-2</v>
      </c>
    </row>
    <row r="10" spans="1:31">
      <c r="A10" t="s">
        <v>516</v>
      </c>
      <c r="B10" t="s">
        <v>664</v>
      </c>
      <c r="C10" t="s">
        <v>663</v>
      </c>
      <c r="D10" t="s">
        <v>107</v>
      </c>
      <c r="E10">
        <v>10.763646</v>
      </c>
      <c r="F10">
        <v>10.497858000000001</v>
      </c>
      <c r="G10">
        <v>10.141273</v>
      </c>
      <c r="H10">
        <v>9.5224829999999994</v>
      </c>
      <c r="I10">
        <v>9.2944239999999994</v>
      </c>
      <c r="J10">
        <v>9.3962699999999995</v>
      </c>
      <c r="K10">
        <v>8.459009</v>
      </c>
      <c r="L10">
        <v>8.2324610000000007</v>
      </c>
      <c r="M10">
        <v>8.0936369999999993</v>
      </c>
      <c r="N10">
        <v>7.8228400000000002</v>
      </c>
      <c r="O10">
        <v>7.8052409999999997</v>
      </c>
      <c r="P10">
        <v>7.6673910000000003</v>
      </c>
      <c r="Q10">
        <v>7.6439769999999996</v>
      </c>
      <c r="R10">
        <v>7.6521780000000001</v>
      </c>
      <c r="S10">
        <v>7.5884470000000004</v>
      </c>
      <c r="T10">
        <v>7.4383920000000003</v>
      </c>
      <c r="U10">
        <v>7.2742709999999997</v>
      </c>
      <c r="V10">
        <v>7.1509819999999999</v>
      </c>
      <c r="W10">
        <v>7.0768399999999998</v>
      </c>
      <c r="X10">
        <v>7.0096749999999997</v>
      </c>
      <c r="Y10">
        <v>6.9308670000000001</v>
      </c>
      <c r="Z10">
        <v>6.8666320000000001</v>
      </c>
      <c r="AA10">
        <v>6.8795169999999999</v>
      </c>
      <c r="AB10">
        <v>6.8542230000000002</v>
      </c>
      <c r="AC10">
        <v>6.7568630000000001</v>
      </c>
      <c r="AD10">
        <v>6.4970049999999997</v>
      </c>
      <c r="AE10" s="97">
        <v>-0.02</v>
      </c>
    </row>
    <row r="11" spans="1:31">
      <c r="A11" t="s">
        <v>533</v>
      </c>
      <c r="B11" t="s">
        <v>662</v>
      </c>
      <c r="C11" t="s">
        <v>661</v>
      </c>
      <c r="D11" t="s">
        <v>107</v>
      </c>
      <c r="E11">
        <v>8.1876510000000007</v>
      </c>
      <c r="F11">
        <v>8.372738</v>
      </c>
      <c r="G11">
        <v>8.3214430000000004</v>
      </c>
      <c r="H11">
        <v>8.3573319999999995</v>
      </c>
      <c r="I11">
        <v>8.3666149999999995</v>
      </c>
      <c r="J11">
        <v>8.3737069999999996</v>
      </c>
      <c r="K11">
        <v>8.3738580000000002</v>
      </c>
      <c r="L11">
        <v>8.3738650000000003</v>
      </c>
      <c r="M11">
        <v>8.373583</v>
      </c>
      <c r="N11">
        <v>8.373583</v>
      </c>
      <c r="O11">
        <v>8.3735769999999992</v>
      </c>
      <c r="P11">
        <v>8.3735780000000002</v>
      </c>
      <c r="Q11">
        <v>8.3709880000000005</v>
      </c>
      <c r="R11">
        <v>8.3668150000000008</v>
      </c>
      <c r="S11">
        <v>8.3689250000000008</v>
      </c>
      <c r="T11">
        <v>8.3634599999999999</v>
      </c>
      <c r="U11">
        <v>8.3577130000000004</v>
      </c>
      <c r="V11">
        <v>8.3714560000000002</v>
      </c>
      <c r="W11">
        <v>8.3654580000000003</v>
      </c>
      <c r="X11">
        <v>8.3735780000000002</v>
      </c>
      <c r="Y11">
        <v>8.3735780000000002</v>
      </c>
      <c r="Z11">
        <v>8.3735780000000002</v>
      </c>
      <c r="AA11">
        <v>8.3735789999999994</v>
      </c>
      <c r="AB11">
        <v>8.3735780000000002</v>
      </c>
      <c r="AC11">
        <v>8.3735780000000002</v>
      </c>
      <c r="AD11">
        <v>8.3732939999999996</v>
      </c>
      <c r="AE11" s="97">
        <v>1E-3</v>
      </c>
    </row>
    <row r="12" spans="1:31">
      <c r="A12" t="s">
        <v>532</v>
      </c>
      <c r="B12" t="s">
        <v>660</v>
      </c>
      <c r="C12" t="s">
        <v>659</v>
      </c>
      <c r="D12" t="s">
        <v>107</v>
      </c>
      <c r="E12">
        <v>0.83338599999999996</v>
      </c>
      <c r="F12">
        <v>0.89370700000000003</v>
      </c>
      <c r="G12">
        <v>0.914331</v>
      </c>
      <c r="H12">
        <v>0.93328299999999997</v>
      </c>
      <c r="I12">
        <v>0.938944</v>
      </c>
      <c r="J12">
        <v>0.93991499999999994</v>
      </c>
      <c r="K12">
        <v>0.94094699999999998</v>
      </c>
      <c r="L12">
        <v>0.94073799999999996</v>
      </c>
      <c r="M12">
        <v>0.94101599999999996</v>
      </c>
      <c r="N12">
        <v>0.94160500000000003</v>
      </c>
      <c r="O12">
        <v>0.94186899999999996</v>
      </c>
      <c r="P12">
        <v>0.94176199999999999</v>
      </c>
      <c r="Q12">
        <v>0.943859</v>
      </c>
      <c r="R12">
        <v>0.94409200000000004</v>
      </c>
      <c r="S12">
        <v>0.94402900000000001</v>
      </c>
      <c r="T12">
        <v>0.94357800000000003</v>
      </c>
      <c r="U12">
        <v>0.94409900000000002</v>
      </c>
      <c r="V12">
        <v>0.944191</v>
      </c>
      <c r="W12">
        <v>0.94418199999999997</v>
      </c>
      <c r="X12">
        <v>0.94419600000000004</v>
      </c>
      <c r="Y12">
        <v>0.94408999999999998</v>
      </c>
      <c r="Z12">
        <v>0.94428500000000004</v>
      </c>
      <c r="AA12">
        <v>0.94435599999999997</v>
      </c>
      <c r="AB12">
        <v>0.94456499999999999</v>
      </c>
      <c r="AC12">
        <v>0.94456300000000004</v>
      </c>
      <c r="AD12">
        <v>0.94437400000000005</v>
      </c>
      <c r="AE12" s="97">
        <v>5.0000000000000001E-3</v>
      </c>
    </row>
    <row r="13" spans="1:31">
      <c r="A13" t="s">
        <v>531</v>
      </c>
      <c r="B13" t="s">
        <v>658</v>
      </c>
      <c r="C13" t="s">
        <v>657</v>
      </c>
      <c r="D13" t="s">
        <v>107</v>
      </c>
      <c r="E13">
        <v>4.7536129999999996</v>
      </c>
      <c r="F13">
        <v>4.8761659999999996</v>
      </c>
      <c r="G13">
        <v>4.8353219999999997</v>
      </c>
      <c r="H13">
        <v>4.8395409999999996</v>
      </c>
      <c r="I13">
        <v>4.821688</v>
      </c>
      <c r="J13">
        <v>4.7519030000000004</v>
      </c>
      <c r="K13">
        <v>4.7137659999999997</v>
      </c>
      <c r="L13">
        <v>4.6898160000000004</v>
      </c>
      <c r="M13">
        <v>4.6800379999999997</v>
      </c>
      <c r="N13">
        <v>4.6839240000000002</v>
      </c>
      <c r="O13">
        <v>4.6901349999999997</v>
      </c>
      <c r="P13">
        <v>4.7162030000000001</v>
      </c>
      <c r="Q13">
        <v>4.7265790000000001</v>
      </c>
      <c r="R13">
        <v>4.7447819999999998</v>
      </c>
      <c r="S13">
        <v>4.7711040000000002</v>
      </c>
      <c r="T13">
        <v>4.7995489999999998</v>
      </c>
      <c r="U13">
        <v>4.8042870000000004</v>
      </c>
      <c r="V13">
        <v>4.8398659999999998</v>
      </c>
      <c r="W13">
        <v>4.852074</v>
      </c>
      <c r="X13">
        <v>4.8684229999999999</v>
      </c>
      <c r="Y13">
        <v>4.8910010000000002</v>
      </c>
      <c r="Z13">
        <v>4.9108169999999998</v>
      </c>
      <c r="AA13">
        <v>4.9486949999999998</v>
      </c>
      <c r="AB13">
        <v>4.9971420000000002</v>
      </c>
      <c r="AC13">
        <v>5.0549400000000002</v>
      </c>
      <c r="AD13">
        <v>5.2733739999999996</v>
      </c>
      <c r="AE13" s="97">
        <v>4.0000000000000001E-3</v>
      </c>
    </row>
    <row r="14" spans="1:31">
      <c r="A14" t="s">
        <v>530</v>
      </c>
      <c r="B14" t="s">
        <v>656</v>
      </c>
      <c r="C14" t="s">
        <v>655</v>
      </c>
      <c r="D14" t="s">
        <v>107</v>
      </c>
      <c r="E14">
        <v>2.8807119999999999</v>
      </c>
      <c r="F14">
        <v>3.1662330000000001</v>
      </c>
      <c r="G14">
        <v>3.7476440000000002</v>
      </c>
      <c r="H14">
        <v>4.1263719999999999</v>
      </c>
      <c r="I14">
        <v>4.3421620000000001</v>
      </c>
      <c r="J14">
        <v>4.504683</v>
      </c>
      <c r="K14">
        <v>4.661613</v>
      </c>
      <c r="L14">
        <v>4.7615040000000004</v>
      </c>
      <c r="M14">
        <v>4.8862379999999996</v>
      </c>
      <c r="N14">
        <v>5.0637660000000002</v>
      </c>
      <c r="O14">
        <v>5.2643890000000004</v>
      </c>
      <c r="P14">
        <v>5.4708209999999999</v>
      </c>
      <c r="Q14">
        <v>5.6158720000000004</v>
      </c>
      <c r="R14">
        <v>5.739579</v>
      </c>
      <c r="S14">
        <v>5.8666650000000002</v>
      </c>
      <c r="T14">
        <v>5.986307</v>
      </c>
      <c r="U14">
        <v>6.0917630000000003</v>
      </c>
      <c r="V14">
        <v>6.1381319999999997</v>
      </c>
      <c r="W14">
        <v>6.1587610000000002</v>
      </c>
      <c r="X14">
        <v>6.1755849999999999</v>
      </c>
      <c r="Y14">
        <v>6.1902520000000001</v>
      </c>
      <c r="Z14">
        <v>6.2093109999999996</v>
      </c>
      <c r="AA14">
        <v>6.2336340000000003</v>
      </c>
      <c r="AB14">
        <v>6.2474829999999999</v>
      </c>
      <c r="AC14">
        <v>6.276224</v>
      </c>
      <c r="AD14">
        <v>6.308211</v>
      </c>
      <c r="AE14" s="97">
        <v>3.2000000000000001E-2</v>
      </c>
    </row>
    <row r="15" spans="1:31">
      <c r="A15" t="s">
        <v>529</v>
      </c>
      <c r="B15" t="s">
        <v>654</v>
      </c>
      <c r="C15" t="s">
        <v>653</v>
      </c>
      <c r="D15" t="s">
        <v>107</v>
      </c>
      <c r="E15">
        <v>1.5976060000000001</v>
      </c>
      <c r="F15">
        <v>1.5390079999999999</v>
      </c>
      <c r="G15">
        <v>0.73208600000000001</v>
      </c>
      <c r="H15">
        <v>0.66405400000000003</v>
      </c>
      <c r="I15">
        <v>0.65621099999999999</v>
      </c>
      <c r="J15">
        <v>0.65082200000000001</v>
      </c>
      <c r="K15">
        <v>0.63445200000000002</v>
      </c>
      <c r="L15">
        <v>0.50650899999999999</v>
      </c>
      <c r="M15">
        <v>0.50855300000000003</v>
      </c>
      <c r="N15">
        <v>0.52654400000000001</v>
      </c>
      <c r="O15">
        <v>0.53212300000000001</v>
      </c>
      <c r="P15">
        <v>0.52919300000000002</v>
      </c>
      <c r="Q15">
        <v>0.54232800000000003</v>
      </c>
      <c r="R15">
        <v>0.54655500000000001</v>
      </c>
      <c r="S15">
        <v>0.54844599999999999</v>
      </c>
      <c r="T15">
        <v>0.543072</v>
      </c>
      <c r="U15">
        <v>0.54241099999999998</v>
      </c>
      <c r="V15">
        <v>0.53922899999999996</v>
      </c>
      <c r="W15">
        <v>0.54231300000000005</v>
      </c>
      <c r="X15">
        <v>0.55811699999999997</v>
      </c>
      <c r="Y15">
        <v>0.56413100000000005</v>
      </c>
      <c r="Z15">
        <v>0.56334899999999999</v>
      </c>
      <c r="AA15">
        <v>0.56512499999999999</v>
      </c>
      <c r="AB15">
        <v>0.56416999999999995</v>
      </c>
      <c r="AC15">
        <v>0.56378899999999998</v>
      </c>
      <c r="AD15">
        <v>0.56249000000000005</v>
      </c>
      <c r="AE15" s="97">
        <v>-4.1000000000000002E-2</v>
      </c>
    </row>
    <row r="16" spans="1:31">
      <c r="A16" t="s">
        <v>515</v>
      </c>
      <c r="B16" t="s">
        <v>652</v>
      </c>
      <c r="C16" t="s">
        <v>651</v>
      </c>
      <c r="D16" t="s">
        <v>107</v>
      </c>
      <c r="E16">
        <v>107.302277</v>
      </c>
      <c r="F16">
        <v>107.276443</v>
      </c>
      <c r="G16">
        <v>106.865891</v>
      </c>
      <c r="H16">
        <v>107.338615</v>
      </c>
      <c r="I16">
        <v>107.57112100000001</v>
      </c>
      <c r="J16">
        <v>109.17285200000001</v>
      </c>
      <c r="K16">
        <v>109.983704</v>
      </c>
      <c r="L16">
        <v>111.11319</v>
      </c>
      <c r="M16">
        <v>111.929733</v>
      </c>
      <c r="N16">
        <v>113.008842</v>
      </c>
      <c r="O16">
        <v>113.639954</v>
      </c>
      <c r="P16">
        <v>114.09538999999999</v>
      </c>
      <c r="Q16">
        <v>114.72023799999999</v>
      </c>
      <c r="R16">
        <v>115.256035</v>
      </c>
      <c r="S16">
        <v>115.844711</v>
      </c>
      <c r="T16">
        <v>117.033424</v>
      </c>
      <c r="U16">
        <v>118.232597</v>
      </c>
      <c r="V16">
        <v>119.13027200000001</v>
      </c>
      <c r="W16">
        <v>119.907303</v>
      </c>
      <c r="X16">
        <v>120.451645</v>
      </c>
      <c r="Y16">
        <v>120.75630200000001</v>
      </c>
      <c r="Z16">
        <v>121.15788999999999</v>
      </c>
      <c r="AA16">
        <v>121.54624200000001</v>
      </c>
      <c r="AB16">
        <v>121.783913</v>
      </c>
      <c r="AC16">
        <v>121.652794</v>
      </c>
      <c r="AD16">
        <v>121.32532500000001</v>
      </c>
      <c r="AE16" s="97">
        <v>5.0000000000000001E-3</v>
      </c>
    </row>
    <row r="17" spans="1:31" s="1" customFormat="1">
      <c r="A17" s="1" t="s">
        <v>22</v>
      </c>
    </row>
    <row r="18" spans="1:31">
      <c r="A18" t="s">
        <v>30</v>
      </c>
      <c r="B18" t="s">
        <v>650</v>
      </c>
      <c r="C18" t="s">
        <v>649</v>
      </c>
      <c r="D18" t="s">
        <v>107</v>
      </c>
      <c r="E18">
        <v>13.254901</v>
      </c>
      <c r="F18">
        <v>12.624510000000001</v>
      </c>
      <c r="G18">
        <v>13.906896</v>
      </c>
      <c r="H18">
        <v>14.053762000000001</v>
      </c>
      <c r="I18">
        <v>14.525437</v>
      </c>
      <c r="J18">
        <v>14.625463999999999</v>
      </c>
      <c r="K18">
        <v>14.482899</v>
      </c>
      <c r="L18">
        <v>14.885132</v>
      </c>
      <c r="M18">
        <v>15.092349</v>
      </c>
      <c r="N18">
        <v>15.432104000000001</v>
      </c>
      <c r="O18">
        <v>15.633177</v>
      </c>
      <c r="P18">
        <v>15.400255</v>
      </c>
      <c r="Q18">
        <v>15.428649999999999</v>
      </c>
      <c r="R18">
        <v>15.850073999999999</v>
      </c>
      <c r="S18">
        <v>15.792415</v>
      </c>
      <c r="T18">
        <v>15.533682000000001</v>
      </c>
      <c r="U18">
        <v>15.173124</v>
      </c>
      <c r="V18">
        <v>14.999949000000001</v>
      </c>
      <c r="W18">
        <v>14.883172999999999</v>
      </c>
      <c r="X18">
        <v>14.798785000000001</v>
      </c>
      <c r="Y18">
        <v>15.292476000000001</v>
      </c>
      <c r="Z18">
        <v>15.863901</v>
      </c>
      <c r="AA18">
        <v>16.235161000000002</v>
      </c>
      <c r="AB18">
        <v>16.110662000000001</v>
      </c>
      <c r="AC18">
        <v>16.079632</v>
      </c>
      <c r="AD18">
        <v>16.61627</v>
      </c>
      <c r="AE18" s="97">
        <v>8.9999999999999993E-3</v>
      </c>
    </row>
    <row r="19" spans="1:31">
      <c r="A19" t="s">
        <v>150</v>
      </c>
      <c r="B19" t="s">
        <v>648</v>
      </c>
      <c r="C19" t="s">
        <v>647</v>
      </c>
      <c r="D19" t="s">
        <v>107</v>
      </c>
      <c r="E19">
        <v>3.5063770000000001</v>
      </c>
      <c r="F19">
        <v>3.4195350000000002</v>
      </c>
      <c r="G19">
        <v>3.5740620000000001</v>
      </c>
      <c r="H19">
        <v>3.492604</v>
      </c>
      <c r="I19">
        <v>3.4092760000000002</v>
      </c>
      <c r="J19">
        <v>3.3867690000000001</v>
      </c>
      <c r="K19">
        <v>3.3401139999999998</v>
      </c>
      <c r="L19">
        <v>3.2886639999999998</v>
      </c>
      <c r="M19">
        <v>3.248637</v>
      </c>
      <c r="N19">
        <v>3.1996380000000002</v>
      </c>
      <c r="O19">
        <v>3.165486</v>
      </c>
      <c r="P19">
        <v>3.146207</v>
      </c>
      <c r="Q19">
        <v>3.146906</v>
      </c>
      <c r="R19">
        <v>3.138245</v>
      </c>
      <c r="S19">
        <v>3.1320510000000001</v>
      </c>
      <c r="T19">
        <v>3.1340729999999999</v>
      </c>
      <c r="U19">
        <v>3.1239249999999998</v>
      </c>
      <c r="V19">
        <v>3.1228120000000001</v>
      </c>
      <c r="W19">
        <v>3.1241129999999999</v>
      </c>
      <c r="X19">
        <v>3.1166130000000001</v>
      </c>
      <c r="Y19">
        <v>3.1429149999999999</v>
      </c>
      <c r="Z19">
        <v>3.1086719999999999</v>
      </c>
      <c r="AA19">
        <v>3.0985010000000002</v>
      </c>
      <c r="AB19">
        <v>3.1718540000000002</v>
      </c>
      <c r="AC19">
        <v>3.1704270000000001</v>
      </c>
      <c r="AD19">
        <v>3.1257920000000001</v>
      </c>
      <c r="AE19" s="97">
        <v>-5.0000000000000001E-3</v>
      </c>
    </row>
    <row r="20" spans="1:31" s="259" customFormat="1">
      <c r="A20" s="259" t="s">
        <v>517</v>
      </c>
      <c r="B20" s="259" t="s">
        <v>646</v>
      </c>
      <c r="C20" s="259" t="s">
        <v>645</v>
      </c>
      <c r="D20" s="259" t="s">
        <v>107</v>
      </c>
      <c r="E20" s="259">
        <v>3.2568959999999998</v>
      </c>
      <c r="F20" s="259">
        <v>3.3916620000000002</v>
      </c>
      <c r="G20" s="259">
        <v>3.244866</v>
      </c>
      <c r="H20" s="259">
        <v>2.9535830000000001</v>
      </c>
      <c r="I20" s="259">
        <v>2.8324579999999999</v>
      </c>
      <c r="J20" s="259">
        <v>2.9758900000000001</v>
      </c>
      <c r="K20" s="259">
        <v>2.9594079999999998</v>
      </c>
      <c r="L20" s="259">
        <v>2.754073</v>
      </c>
      <c r="M20" s="259">
        <v>2.5166750000000002</v>
      </c>
      <c r="N20" s="259">
        <v>2.3609819999999999</v>
      </c>
      <c r="O20" s="259">
        <v>2.385319</v>
      </c>
      <c r="P20" s="259">
        <v>2.451794</v>
      </c>
      <c r="Q20" s="259">
        <v>2.5223719999999998</v>
      </c>
      <c r="R20" s="259">
        <v>2.578678</v>
      </c>
      <c r="S20" s="259">
        <v>2.6520190000000001</v>
      </c>
      <c r="T20" s="259">
        <v>2.5527709999999999</v>
      </c>
      <c r="U20" s="259">
        <v>2.3065020000000001</v>
      </c>
      <c r="V20" s="259">
        <v>2.2827999999999999</v>
      </c>
      <c r="W20" s="259">
        <v>2.3454920000000001</v>
      </c>
      <c r="X20" s="259">
        <v>2.4572370000000001</v>
      </c>
      <c r="Y20" s="259">
        <v>2.509919</v>
      </c>
      <c r="Z20" s="259">
        <v>2.4422090000000001</v>
      </c>
      <c r="AA20" s="259">
        <v>2.5376259999999999</v>
      </c>
      <c r="AB20" s="259">
        <v>2.6705580000000002</v>
      </c>
      <c r="AC20" s="259">
        <v>2.8109320000000002</v>
      </c>
      <c r="AD20" s="259">
        <v>2.948299</v>
      </c>
      <c r="AE20" s="260">
        <v>-4.0000000000000001E-3</v>
      </c>
    </row>
    <row r="21" spans="1:31">
      <c r="A21" t="s">
        <v>529</v>
      </c>
      <c r="B21" t="s">
        <v>644</v>
      </c>
      <c r="C21" t="s">
        <v>643</v>
      </c>
      <c r="D21" t="s">
        <v>107</v>
      </c>
      <c r="E21">
        <v>9.4425999999999996E-2</v>
      </c>
      <c r="F21">
        <v>0.14599699999999999</v>
      </c>
      <c r="G21">
        <v>0.205067</v>
      </c>
      <c r="H21">
        <v>0.244731</v>
      </c>
      <c r="I21">
        <v>0.26544200000000001</v>
      </c>
      <c r="J21">
        <v>0.29066999999999998</v>
      </c>
      <c r="K21">
        <v>0.28867300000000001</v>
      </c>
      <c r="L21">
        <v>0.29434100000000002</v>
      </c>
      <c r="M21">
        <v>0.304539</v>
      </c>
      <c r="N21">
        <v>0.30891200000000002</v>
      </c>
      <c r="O21">
        <v>0.31407800000000002</v>
      </c>
      <c r="P21">
        <v>0.30591000000000002</v>
      </c>
      <c r="Q21">
        <v>0.30451499999999998</v>
      </c>
      <c r="R21">
        <v>0.30338399999999999</v>
      </c>
      <c r="S21">
        <v>0.30776999999999999</v>
      </c>
      <c r="T21">
        <v>0.30343399999999998</v>
      </c>
      <c r="U21">
        <v>0.30321700000000001</v>
      </c>
      <c r="V21">
        <v>0.290294</v>
      </c>
      <c r="W21">
        <v>0.27921299999999999</v>
      </c>
      <c r="X21">
        <v>0.274696</v>
      </c>
      <c r="Y21">
        <v>0.27356799999999998</v>
      </c>
      <c r="Z21">
        <v>0.26470900000000003</v>
      </c>
      <c r="AA21">
        <v>0.25519399999999998</v>
      </c>
      <c r="AB21">
        <v>0.24510999999999999</v>
      </c>
      <c r="AC21">
        <v>0.22992000000000001</v>
      </c>
      <c r="AD21">
        <v>0.22057599999999999</v>
      </c>
      <c r="AE21" s="97">
        <v>3.5000000000000003E-2</v>
      </c>
    </row>
    <row r="22" spans="1:31">
      <c r="A22" t="s">
        <v>515</v>
      </c>
      <c r="B22" t="s">
        <v>642</v>
      </c>
      <c r="C22" t="s">
        <v>641</v>
      </c>
      <c r="D22" t="s">
        <v>107</v>
      </c>
      <c r="E22">
        <v>20.112601999999999</v>
      </c>
      <c r="F22">
        <v>19.581704999999999</v>
      </c>
      <c r="G22">
        <v>20.930889000000001</v>
      </c>
      <c r="H22">
        <v>20.744679999999999</v>
      </c>
      <c r="I22">
        <v>21.032613999999999</v>
      </c>
      <c r="J22">
        <v>21.278793</v>
      </c>
      <c r="K22">
        <v>21.071095</v>
      </c>
      <c r="L22">
        <v>21.22221</v>
      </c>
      <c r="M22">
        <v>21.162201</v>
      </c>
      <c r="N22">
        <v>21.301638000000001</v>
      </c>
      <c r="O22">
        <v>21.498059999999999</v>
      </c>
      <c r="P22">
        <v>21.304167</v>
      </c>
      <c r="Q22">
        <v>21.402443000000002</v>
      </c>
      <c r="R22">
        <v>21.870381999999999</v>
      </c>
      <c r="S22">
        <v>21.884253999999999</v>
      </c>
      <c r="T22">
        <v>21.523959999999999</v>
      </c>
      <c r="U22">
        <v>20.906769000000001</v>
      </c>
      <c r="V22">
        <v>20.695855999999999</v>
      </c>
      <c r="W22">
        <v>20.631989999999998</v>
      </c>
      <c r="X22">
        <v>20.647331000000001</v>
      </c>
      <c r="Y22">
        <v>21.218876000000002</v>
      </c>
      <c r="Z22">
        <v>21.679490999999999</v>
      </c>
      <c r="AA22">
        <v>22.126481999999999</v>
      </c>
      <c r="AB22">
        <v>22.198184999999999</v>
      </c>
      <c r="AC22">
        <v>22.290911000000001</v>
      </c>
      <c r="AD22">
        <v>22.910936</v>
      </c>
      <c r="AE22" s="97">
        <v>5.0000000000000001E-3</v>
      </c>
    </row>
    <row r="23" spans="1:31">
      <c r="A23" t="s">
        <v>27</v>
      </c>
    </row>
    <row r="24" spans="1:31">
      <c r="A24" t="s">
        <v>150</v>
      </c>
      <c r="B24" t="s">
        <v>640</v>
      </c>
      <c r="C24" t="s">
        <v>639</v>
      </c>
      <c r="D24" t="s">
        <v>107</v>
      </c>
      <c r="E24">
        <v>20.076674000000001</v>
      </c>
      <c r="F24">
        <v>19.914588999999999</v>
      </c>
      <c r="G24">
        <v>21.616185999999999</v>
      </c>
      <c r="H24">
        <v>21.639195999999998</v>
      </c>
      <c r="I24">
        <v>22.136237999999999</v>
      </c>
      <c r="J24">
        <v>22.429478</v>
      </c>
      <c r="K24">
        <v>23.032070000000001</v>
      </c>
      <c r="L24">
        <v>23.705414000000001</v>
      </c>
      <c r="M24">
        <v>24.135605000000002</v>
      </c>
      <c r="N24">
        <v>24.560023999999999</v>
      </c>
      <c r="O24">
        <v>24.835128999999998</v>
      </c>
      <c r="P24">
        <v>24.702003000000001</v>
      </c>
      <c r="Q24">
        <v>24.975131999999999</v>
      </c>
      <c r="R24">
        <v>25.413768999999998</v>
      </c>
      <c r="S24">
        <v>25.593112999999999</v>
      </c>
      <c r="T24">
        <v>25.894386000000001</v>
      </c>
      <c r="U24">
        <v>26.133900000000001</v>
      </c>
      <c r="V24">
        <v>26.221857</v>
      </c>
      <c r="W24">
        <v>26.39142</v>
      </c>
      <c r="X24">
        <v>26.317416999999999</v>
      </c>
      <c r="Y24">
        <v>26.584334999999999</v>
      </c>
      <c r="Z24">
        <v>26.764486000000002</v>
      </c>
      <c r="AA24">
        <v>26.981876</v>
      </c>
      <c r="AB24">
        <v>26.844584000000001</v>
      </c>
      <c r="AC24">
        <v>26.653359999999999</v>
      </c>
      <c r="AD24">
        <v>26.702797</v>
      </c>
      <c r="AE24" s="97">
        <v>1.0999999999999999E-2</v>
      </c>
    </row>
    <row r="25" spans="1:31" s="259" customFormat="1">
      <c r="A25" s="259" t="s">
        <v>517</v>
      </c>
      <c r="B25" s="259" t="s">
        <v>638</v>
      </c>
      <c r="C25" s="259" t="s">
        <v>637</v>
      </c>
      <c r="D25" s="259" t="s">
        <v>107</v>
      </c>
      <c r="E25" s="259">
        <v>8.9756579999999992</v>
      </c>
      <c r="F25" s="259">
        <v>9.0884409999999995</v>
      </c>
      <c r="G25" s="259">
        <v>9.8221190000000007</v>
      </c>
      <c r="H25" s="259">
        <v>10.434996999999999</v>
      </c>
      <c r="I25" s="259">
        <v>10.937449000000001</v>
      </c>
      <c r="J25" s="259">
        <v>12.260552000000001</v>
      </c>
      <c r="K25" s="259">
        <v>12.868596999999999</v>
      </c>
      <c r="L25" s="259">
        <v>13.509771000000001</v>
      </c>
      <c r="M25" s="259">
        <v>13.987963000000001</v>
      </c>
      <c r="N25" s="259">
        <v>14.747662999999999</v>
      </c>
      <c r="O25" s="259">
        <v>15.282458</v>
      </c>
      <c r="P25" s="259">
        <v>15.722227</v>
      </c>
      <c r="Q25" s="259">
        <v>15.969493999999999</v>
      </c>
      <c r="R25" s="259">
        <v>16.216170999999999</v>
      </c>
      <c r="S25" s="259">
        <v>16.470880999999999</v>
      </c>
      <c r="T25" s="259">
        <v>16.730671000000001</v>
      </c>
      <c r="U25" s="259">
        <v>16.97636</v>
      </c>
      <c r="V25" s="259">
        <v>17.203733</v>
      </c>
      <c r="W25" s="259">
        <v>17.429587999999999</v>
      </c>
      <c r="X25" s="259">
        <v>17.687985999999999</v>
      </c>
      <c r="Y25" s="259">
        <v>17.891010000000001</v>
      </c>
      <c r="Z25" s="259">
        <v>18.132946</v>
      </c>
      <c r="AA25" s="259">
        <v>18.363717999999999</v>
      </c>
      <c r="AB25" s="259">
        <v>18.520009999999999</v>
      </c>
      <c r="AC25" s="259">
        <v>18.519235999999999</v>
      </c>
      <c r="AD25" s="259">
        <v>18.544718</v>
      </c>
      <c r="AE25" s="260">
        <v>2.9000000000000001E-2</v>
      </c>
    </row>
    <row r="26" spans="1:31">
      <c r="A26" t="s">
        <v>516</v>
      </c>
      <c r="B26" t="s">
        <v>636</v>
      </c>
      <c r="C26" t="s">
        <v>635</v>
      </c>
      <c r="D26" t="s">
        <v>107</v>
      </c>
      <c r="E26">
        <v>2.463368</v>
      </c>
      <c r="F26">
        <v>2.559237</v>
      </c>
      <c r="G26">
        <v>2.7359559999999998</v>
      </c>
      <c r="H26">
        <v>2.8496380000000001</v>
      </c>
      <c r="I26">
        <v>2.7515420000000002</v>
      </c>
      <c r="J26">
        <v>2.8862930000000002</v>
      </c>
      <c r="K26">
        <v>2.9079769999999998</v>
      </c>
      <c r="L26">
        <v>3.081553</v>
      </c>
      <c r="M26">
        <v>3.1110709999999999</v>
      </c>
      <c r="N26">
        <v>3.1031390000000001</v>
      </c>
      <c r="O26">
        <v>3.1274000000000002</v>
      </c>
      <c r="P26">
        <v>3.0674800000000002</v>
      </c>
      <c r="Q26">
        <v>3.1238049999999999</v>
      </c>
      <c r="R26">
        <v>3.1466780000000001</v>
      </c>
      <c r="S26">
        <v>3.1301779999999999</v>
      </c>
      <c r="T26">
        <v>3.1494330000000001</v>
      </c>
      <c r="U26">
        <v>3.0855959999999998</v>
      </c>
      <c r="V26">
        <v>3.0560489999999998</v>
      </c>
      <c r="W26">
        <v>3.095218</v>
      </c>
      <c r="X26">
        <v>3.1203240000000001</v>
      </c>
      <c r="Y26">
        <v>3.1084179999999999</v>
      </c>
      <c r="Z26">
        <v>3.122652</v>
      </c>
      <c r="AA26">
        <v>3.1185700000000001</v>
      </c>
      <c r="AB26">
        <v>3.1017739999999998</v>
      </c>
      <c r="AC26">
        <v>3.112857</v>
      </c>
      <c r="AD26">
        <v>3.0342030000000002</v>
      </c>
      <c r="AE26" s="97">
        <v>8.0000000000000002E-3</v>
      </c>
    </row>
    <row r="27" spans="1:31">
      <c r="A27" t="s">
        <v>515</v>
      </c>
      <c r="B27" t="s">
        <v>634</v>
      </c>
      <c r="C27" t="s">
        <v>633</v>
      </c>
      <c r="D27" t="s">
        <v>107</v>
      </c>
      <c r="E27">
        <v>31.515699000000001</v>
      </c>
      <c r="F27">
        <v>31.562266999999999</v>
      </c>
      <c r="G27">
        <v>34.174258999999999</v>
      </c>
      <c r="H27">
        <v>34.923828</v>
      </c>
      <c r="I27">
        <v>35.825226000000001</v>
      </c>
      <c r="J27">
        <v>37.576321</v>
      </c>
      <c r="K27">
        <v>38.808643000000004</v>
      </c>
      <c r="L27">
        <v>40.296737999999998</v>
      </c>
      <c r="M27">
        <v>41.234637999999997</v>
      </c>
      <c r="N27">
        <v>42.410823999999998</v>
      </c>
      <c r="O27">
        <v>43.244987000000002</v>
      </c>
      <c r="P27">
        <v>43.491711000000002</v>
      </c>
      <c r="Q27">
        <v>44.068432000000001</v>
      </c>
      <c r="R27">
        <v>44.776618999999997</v>
      </c>
      <c r="S27">
        <v>45.194175999999999</v>
      </c>
      <c r="T27">
        <v>45.77449</v>
      </c>
      <c r="U27">
        <v>46.195858000000001</v>
      </c>
      <c r="V27">
        <v>46.481639999999999</v>
      </c>
      <c r="W27">
        <v>46.916224999999997</v>
      </c>
      <c r="X27">
        <v>47.125725000000003</v>
      </c>
      <c r="Y27">
        <v>47.583762999999998</v>
      </c>
      <c r="Z27">
        <v>48.020080999999998</v>
      </c>
      <c r="AA27">
        <v>48.464165000000001</v>
      </c>
      <c r="AB27">
        <v>48.466366000000001</v>
      </c>
      <c r="AC27">
        <v>48.285454000000001</v>
      </c>
      <c r="AD27">
        <v>48.281714999999998</v>
      </c>
      <c r="AE27" s="97">
        <v>1.7000000000000001E-2</v>
      </c>
    </row>
    <row r="28" spans="1:31">
      <c r="A28" t="s">
        <v>534</v>
      </c>
      <c r="B28" t="s">
        <v>632</v>
      </c>
      <c r="C28" t="s">
        <v>631</v>
      </c>
      <c r="D28" t="s">
        <v>107</v>
      </c>
      <c r="E28">
        <v>0.609568</v>
      </c>
      <c r="F28">
        <v>-0.33013300000000001</v>
      </c>
      <c r="G28">
        <v>-0.56411</v>
      </c>
      <c r="H28">
        <v>-0.47351100000000002</v>
      </c>
      <c r="I28">
        <v>-0.33332099999999998</v>
      </c>
      <c r="J28">
        <v>2.8347000000000001E-2</v>
      </c>
      <c r="K28">
        <v>-1.4189999999999999E-3</v>
      </c>
      <c r="L28">
        <v>-2.0939999999999999E-3</v>
      </c>
      <c r="M28">
        <v>-8.3461999999999995E-2</v>
      </c>
      <c r="N28">
        <v>-4.7085000000000002E-2</v>
      </c>
      <c r="O28">
        <v>-0.115166</v>
      </c>
      <c r="P28">
        <v>-0.14168900000000001</v>
      </c>
      <c r="Q28">
        <v>-0.12896299999999999</v>
      </c>
      <c r="R28">
        <v>-4.2755000000000001E-2</v>
      </c>
      <c r="S28">
        <v>-7.8278E-2</v>
      </c>
      <c r="T28">
        <v>-5.3157999999999997E-2</v>
      </c>
      <c r="U28">
        <v>-9.9353999999999998E-2</v>
      </c>
      <c r="V28">
        <v>-1.2081E-2</v>
      </c>
      <c r="W28">
        <v>-8.1821000000000005E-2</v>
      </c>
      <c r="X28">
        <v>-7.2121000000000005E-2</v>
      </c>
      <c r="Y28">
        <v>-5.2273E-2</v>
      </c>
      <c r="Z28">
        <v>2.3467999999999999E-2</v>
      </c>
      <c r="AA28">
        <v>-2.6619E-2</v>
      </c>
      <c r="AB28">
        <v>-2.3872000000000001E-2</v>
      </c>
      <c r="AC28">
        <v>-5.1299999999999998E-2</v>
      </c>
      <c r="AD28">
        <v>-3.4362999999999998E-2</v>
      </c>
      <c r="AE28" t="s">
        <v>97</v>
      </c>
    </row>
    <row r="29" spans="1:31">
      <c r="A29" t="s">
        <v>98</v>
      </c>
    </row>
    <row r="30" spans="1:31">
      <c r="A30" t="s">
        <v>150</v>
      </c>
      <c r="B30" t="s">
        <v>630</v>
      </c>
      <c r="C30" t="s">
        <v>629</v>
      </c>
      <c r="D30" t="s">
        <v>107</v>
      </c>
      <c r="E30">
        <v>37.415314000000002</v>
      </c>
      <c r="F30">
        <v>37.397559999999999</v>
      </c>
      <c r="G30">
        <v>37.429805999999999</v>
      </c>
      <c r="H30">
        <v>37.393104999999998</v>
      </c>
      <c r="I30">
        <v>37.092776999999998</v>
      </c>
      <c r="J30">
        <v>36.903762999999998</v>
      </c>
      <c r="K30">
        <v>36.673175999999998</v>
      </c>
      <c r="L30">
        <v>36.545361</v>
      </c>
      <c r="M30">
        <v>36.386639000000002</v>
      </c>
      <c r="N30">
        <v>36.327778000000002</v>
      </c>
      <c r="O30">
        <v>36.269565999999998</v>
      </c>
      <c r="P30">
        <v>36.183342000000003</v>
      </c>
      <c r="Q30">
        <v>36.101165999999999</v>
      </c>
      <c r="R30">
        <v>36.030628</v>
      </c>
      <c r="S30">
        <v>35.997036000000001</v>
      </c>
      <c r="T30">
        <v>35.997504999999997</v>
      </c>
      <c r="U30">
        <v>35.993946000000001</v>
      </c>
      <c r="V30">
        <v>35.983074000000002</v>
      </c>
      <c r="W30">
        <v>36.004100999999999</v>
      </c>
      <c r="X30">
        <v>36.009082999999997</v>
      </c>
      <c r="Y30">
        <v>36.050690000000003</v>
      </c>
      <c r="Z30">
        <v>36.066440999999998</v>
      </c>
      <c r="AA30">
        <v>36.141716000000002</v>
      </c>
      <c r="AB30">
        <v>36.131622</v>
      </c>
      <c r="AC30">
        <v>36.106647000000002</v>
      </c>
      <c r="AD30">
        <v>36.114407</v>
      </c>
      <c r="AE30" s="97">
        <v>-1E-3</v>
      </c>
    </row>
    <row r="31" spans="1:31">
      <c r="A31" t="s">
        <v>517</v>
      </c>
      <c r="B31" t="s">
        <v>628</v>
      </c>
      <c r="C31" t="s">
        <v>627</v>
      </c>
      <c r="D31" t="s">
        <v>107</v>
      </c>
      <c r="E31">
        <v>34.309905999999998</v>
      </c>
      <c r="F31">
        <v>34.343494</v>
      </c>
      <c r="G31">
        <v>32.823554999999999</v>
      </c>
      <c r="H31">
        <v>32.586039999999997</v>
      </c>
      <c r="I31">
        <v>32.265926</v>
      </c>
      <c r="J31">
        <v>32.059547000000002</v>
      </c>
      <c r="K31">
        <v>32.53434</v>
      </c>
      <c r="L31">
        <v>32.775008999999997</v>
      </c>
      <c r="M31">
        <v>32.883018</v>
      </c>
      <c r="N31">
        <v>33.030529000000001</v>
      </c>
      <c r="O31">
        <v>32.972298000000002</v>
      </c>
      <c r="P31">
        <v>32.965488000000001</v>
      </c>
      <c r="Q31">
        <v>33.113276999999997</v>
      </c>
      <c r="R31">
        <v>33.272559999999999</v>
      </c>
      <c r="S31">
        <v>33.420219000000003</v>
      </c>
      <c r="T31">
        <v>33.683891000000003</v>
      </c>
      <c r="U31">
        <v>33.893101000000001</v>
      </c>
      <c r="V31">
        <v>34.241695</v>
      </c>
      <c r="W31">
        <v>34.675434000000003</v>
      </c>
      <c r="X31">
        <v>35.069262999999999</v>
      </c>
      <c r="Y31">
        <v>35.454762000000002</v>
      </c>
      <c r="Z31">
        <v>35.832901</v>
      </c>
      <c r="AA31">
        <v>36.141128999999999</v>
      </c>
      <c r="AB31">
        <v>36.424365999999999</v>
      </c>
      <c r="AC31">
        <v>36.691482999999998</v>
      </c>
      <c r="AD31">
        <v>36.904549000000003</v>
      </c>
      <c r="AE31" s="97">
        <v>3.0000000000000001E-3</v>
      </c>
    </row>
    <row r="32" spans="1:31">
      <c r="A32" t="s">
        <v>516</v>
      </c>
      <c r="B32" t="s">
        <v>626</v>
      </c>
      <c r="C32" t="s">
        <v>625</v>
      </c>
      <c r="D32" t="s">
        <v>107</v>
      </c>
      <c r="E32">
        <v>8.3123249999999995</v>
      </c>
      <c r="F32">
        <v>7.9784540000000002</v>
      </c>
      <c r="G32">
        <v>7.4120499999999998</v>
      </c>
      <c r="H32">
        <v>6.6806789999999996</v>
      </c>
      <c r="I32">
        <v>6.548737</v>
      </c>
      <c r="J32">
        <v>6.516286</v>
      </c>
      <c r="K32">
        <v>5.5498250000000002</v>
      </c>
      <c r="L32">
        <v>5.1524489999999998</v>
      </c>
      <c r="M32">
        <v>4.9806650000000001</v>
      </c>
      <c r="N32">
        <v>4.7157859999999996</v>
      </c>
      <c r="O32">
        <v>4.6825210000000004</v>
      </c>
      <c r="P32">
        <v>4.6039289999999999</v>
      </c>
      <c r="Q32">
        <v>4.5227279999999999</v>
      </c>
      <c r="R32">
        <v>4.5063050000000002</v>
      </c>
      <c r="S32">
        <v>4.4654530000000001</v>
      </c>
      <c r="T32">
        <v>4.2875920000000001</v>
      </c>
      <c r="U32">
        <v>4.18628</v>
      </c>
      <c r="V32">
        <v>4.0973439999999997</v>
      </c>
      <c r="W32">
        <v>3.978774</v>
      </c>
      <c r="X32">
        <v>3.8878910000000002</v>
      </c>
      <c r="Y32">
        <v>3.823375</v>
      </c>
      <c r="Z32">
        <v>3.7561420000000001</v>
      </c>
      <c r="AA32">
        <v>3.7697270000000001</v>
      </c>
      <c r="AB32">
        <v>3.763525</v>
      </c>
      <c r="AC32">
        <v>3.6447609999999999</v>
      </c>
      <c r="AD32">
        <v>3.4700350000000002</v>
      </c>
      <c r="AE32" s="97">
        <v>-3.4000000000000002E-2</v>
      </c>
    </row>
    <row r="33" spans="1:32">
      <c r="A33" t="s">
        <v>533</v>
      </c>
      <c r="B33" t="s">
        <v>624</v>
      </c>
      <c r="C33" t="s">
        <v>623</v>
      </c>
      <c r="D33" t="s">
        <v>107</v>
      </c>
      <c r="E33">
        <v>8.1876510000000007</v>
      </c>
      <c r="F33">
        <v>8.372738</v>
      </c>
      <c r="G33">
        <v>8.3214430000000004</v>
      </c>
      <c r="H33">
        <v>8.3573319999999995</v>
      </c>
      <c r="I33">
        <v>8.3666149999999995</v>
      </c>
      <c r="J33">
        <v>8.3737069999999996</v>
      </c>
      <c r="K33">
        <v>8.3738580000000002</v>
      </c>
      <c r="L33">
        <v>8.3738650000000003</v>
      </c>
      <c r="M33">
        <v>8.373583</v>
      </c>
      <c r="N33">
        <v>8.373583</v>
      </c>
      <c r="O33">
        <v>8.3735769999999992</v>
      </c>
      <c r="P33">
        <v>8.3735780000000002</v>
      </c>
      <c r="Q33">
        <v>8.3709880000000005</v>
      </c>
      <c r="R33">
        <v>8.3668150000000008</v>
      </c>
      <c r="S33">
        <v>8.3689250000000008</v>
      </c>
      <c r="T33">
        <v>8.3634599999999999</v>
      </c>
      <c r="U33">
        <v>8.3577130000000004</v>
      </c>
      <c r="V33">
        <v>8.3714560000000002</v>
      </c>
      <c r="W33">
        <v>8.3654580000000003</v>
      </c>
      <c r="X33">
        <v>8.3735780000000002</v>
      </c>
      <c r="Y33">
        <v>8.3735780000000002</v>
      </c>
      <c r="Z33">
        <v>8.3735780000000002</v>
      </c>
      <c r="AA33">
        <v>8.3735789999999994</v>
      </c>
      <c r="AB33">
        <v>8.3735780000000002</v>
      </c>
      <c r="AC33">
        <v>8.3735780000000002</v>
      </c>
      <c r="AD33">
        <v>8.3732939999999996</v>
      </c>
      <c r="AE33" s="97">
        <v>1E-3</v>
      </c>
    </row>
    <row r="34" spans="1:32">
      <c r="A34" t="s">
        <v>532</v>
      </c>
      <c r="B34" t="s">
        <v>622</v>
      </c>
      <c r="C34" t="s">
        <v>621</v>
      </c>
      <c r="D34" t="s">
        <v>107</v>
      </c>
      <c r="E34">
        <v>0.83338599999999996</v>
      </c>
      <c r="F34">
        <v>0.89370700000000003</v>
      </c>
      <c r="G34">
        <v>0.914331</v>
      </c>
      <c r="H34">
        <v>0.93328299999999997</v>
      </c>
      <c r="I34">
        <v>0.938944</v>
      </c>
      <c r="J34">
        <v>0.93991499999999994</v>
      </c>
      <c r="K34">
        <v>0.94094699999999998</v>
      </c>
      <c r="L34">
        <v>0.94073799999999996</v>
      </c>
      <c r="M34">
        <v>0.94101599999999996</v>
      </c>
      <c r="N34">
        <v>0.94160500000000003</v>
      </c>
      <c r="O34">
        <v>0.94186899999999996</v>
      </c>
      <c r="P34">
        <v>0.94176199999999999</v>
      </c>
      <c r="Q34">
        <v>0.943859</v>
      </c>
      <c r="R34">
        <v>0.94409200000000004</v>
      </c>
      <c r="S34">
        <v>0.94402900000000001</v>
      </c>
      <c r="T34">
        <v>0.94357800000000003</v>
      </c>
      <c r="U34">
        <v>0.94409900000000002</v>
      </c>
      <c r="V34">
        <v>0.944191</v>
      </c>
      <c r="W34">
        <v>0.94418199999999997</v>
      </c>
      <c r="X34">
        <v>0.94419600000000004</v>
      </c>
      <c r="Y34">
        <v>0.94408999999999998</v>
      </c>
      <c r="Z34">
        <v>0.94428500000000004</v>
      </c>
      <c r="AA34">
        <v>0.94435599999999997</v>
      </c>
      <c r="AB34">
        <v>0.94456499999999999</v>
      </c>
      <c r="AC34">
        <v>0.94456300000000004</v>
      </c>
      <c r="AD34">
        <v>0.94437400000000005</v>
      </c>
      <c r="AE34" s="97">
        <v>5.0000000000000001E-3</v>
      </c>
    </row>
    <row r="35" spans="1:32">
      <c r="A35" t="s">
        <v>531</v>
      </c>
      <c r="B35" t="s">
        <v>620</v>
      </c>
      <c r="C35" t="s">
        <v>619</v>
      </c>
      <c r="D35" t="s">
        <v>107</v>
      </c>
      <c r="E35">
        <v>2.9257460000000002</v>
      </c>
      <c r="F35">
        <v>3.020187</v>
      </c>
      <c r="G35">
        <v>2.9909859999999999</v>
      </c>
      <c r="H35">
        <v>2.9710730000000001</v>
      </c>
      <c r="I35">
        <v>2.9559299999999999</v>
      </c>
      <c r="J35">
        <v>2.9237359999999999</v>
      </c>
      <c r="K35">
        <v>2.881742</v>
      </c>
      <c r="L35">
        <v>2.8540990000000002</v>
      </c>
      <c r="M35">
        <v>2.8398089999999998</v>
      </c>
      <c r="N35">
        <v>2.8383159999999998</v>
      </c>
      <c r="O35">
        <v>2.8398479999999999</v>
      </c>
      <c r="P35">
        <v>2.852271</v>
      </c>
      <c r="Q35">
        <v>2.8577689999999998</v>
      </c>
      <c r="R35">
        <v>2.8731779999999998</v>
      </c>
      <c r="S35">
        <v>2.891686</v>
      </c>
      <c r="T35">
        <v>2.908722</v>
      </c>
      <c r="U35">
        <v>2.9070830000000001</v>
      </c>
      <c r="V35">
        <v>2.9208859999999999</v>
      </c>
      <c r="W35">
        <v>2.9256950000000002</v>
      </c>
      <c r="X35">
        <v>2.9349799999999999</v>
      </c>
      <c r="Y35">
        <v>2.9541759999999999</v>
      </c>
      <c r="Z35">
        <v>2.9698129999999998</v>
      </c>
      <c r="AA35">
        <v>2.9949020000000002</v>
      </c>
      <c r="AB35">
        <v>3.023774</v>
      </c>
      <c r="AC35">
        <v>3.0490629999999999</v>
      </c>
      <c r="AD35">
        <v>3.256605</v>
      </c>
      <c r="AE35" s="97">
        <v>4.0000000000000001E-3</v>
      </c>
    </row>
    <row r="36" spans="1:32">
      <c r="A36" t="s">
        <v>530</v>
      </c>
      <c r="B36" t="s">
        <v>618</v>
      </c>
      <c r="C36" t="s">
        <v>617</v>
      </c>
      <c r="D36" t="s">
        <v>107</v>
      </c>
      <c r="E36">
        <v>2.8807119999999999</v>
      </c>
      <c r="F36">
        <v>3.1662330000000001</v>
      </c>
      <c r="G36">
        <v>3.7476440000000002</v>
      </c>
      <c r="H36">
        <v>4.1263719999999999</v>
      </c>
      <c r="I36">
        <v>4.3421620000000001</v>
      </c>
      <c r="J36">
        <v>4.504683</v>
      </c>
      <c r="K36">
        <v>4.661613</v>
      </c>
      <c r="L36">
        <v>4.7615040000000004</v>
      </c>
      <c r="M36">
        <v>4.8862379999999996</v>
      </c>
      <c r="N36">
        <v>5.0637660000000002</v>
      </c>
      <c r="O36">
        <v>5.2643890000000004</v>
      </c>
      <c r="P36">
        <v>5.4708209999999999</v>
      </c>
      <c r="Q36">
        <v>5.6158720000000004</v>
      </c>
      <c r="R36">
        <v>5.739579</v>
      </c>
      <c r="S36">
        <v>5.8666650000000002</v>
      </c>
      <c r="T36">
        <v>5.986307</v>
      </c>
      <c r="U36">
        <v>6.0917630000000003</v>
      </c>
      <c r="V36">
        <v>6.1381319999999997</v>
      </c>
      <c r="W36">
        <v>6.1587610000000002</v>
      </c>
      <c r="X36">
        <v>6.1755849999999999</v>
      </c>
      <c r="Y36">
        <v>6.1902520000000001</v>
      </c>
      <c r="Z36">
        <v>6.2093109999999996</v>
      </c>
      <c r="AA36">
        <v>6.2336340000000003</v>
      </c>
      <c r="AB36">
        <v>6.2474829999999999</v>
      </c>
      <c r="AC36">
        <v>6.276224</v>
      </c>
      <c r="AD36">
        <v>6.308211</v>
      </c>
      <c r="AE36" s="97">
        <v>3.2000000000000001E-2</v>
      </c>
    </row>
    <row r="37" spans="1:32">
      <c r="A37" t="s">
        <v>529</v>
      </c>
      <c r="B37" t="s">
        <v>616</v>
      </c>
      <c r="C37" t="s">
        <v>615</v>
      </c>
      <c r="D37" t="s">
        <v>107</v>
      </c>
      <c r="E37">
        <v>0.42456899999999997</v>
      </c>
      <c r="F37">
        <v>0.45363599999999998</v>
      </c>
      <c r="G37">
        <v>0.54681900000000006</v>
      </c>
      <c r="H37">
        <v>0.58509599999999995</v>
      </c>
      <c r="I37">
        <v>0.60074000000000005</v>
      </c>
      <c r="J37">
        <v>0.62534100000000004</v>
      </c>
      <c r="K37">
        <v>0.63206300000000004</v>
      </c>
      <c r="L37">
        <v>0.63773299999999999</v>
      </c>
      <c r="M37">
        <v>0.64979900000000002</v>
      </c>
      <c r="N37">
        <v>0.65537000000000001</v>
      </c>
      <c r="O37">
        <v>0.66412400000000005</v>
      </c>
      <c r="P37">
        <v>0.65833600000000003</v>
      </c>
      <c r="Q37">
        <v>0.65754699999999999</v>
      </c>
      <c r="R37">
        <v>0.65940399999999999</v>
      </c>
      <c r="S37">
        <v>0.659049</v>
      </c>
      <c r="T37">
        <v>0.66499699999999995</v>
      </c>
      <c r="U37">
        <v>0.668879</v>
      </c>
      <c r="V37">
        <v>0.65978800000000004</v>
      </c>
      <c r="W37">
        <v>0.65248300000000004</v>
      </c>
      <c r="X37">
        <v>0.65079100000000001</v>
      </c>
      <c r="Y37">
        <v>0.65276000000000001</v>
      </c>
      <c r="Z37">
        <v>0.64136700000000002</v>
      </c>
      <c r="AA37">
        <v>0.63612100000000005</v>
      </c>
      <c r="AB37">
        <v>0.630691</v>
      </c>
      <c r="AC37">
        <v>0.62322999999999995</v>
      </c>
      <c r="AD37">
        <v>0.61743899999999996</v>
      </c>
      <c r="AE37" s="97">
        <v>1.4999999999999999E-2</v>
      </c>
    </row>
    <row r="38" spans="1:32">
      <c r="A38" t="s">
        <v>515</v>
      </c>
      <c r="B38" t="s">
        <v>614</v>
      </c>
      <c r="C38" t="s">
        <v>613</v>
      </c>
      <c r="D38" t="s">
        <v>107</v>
      </c>
      <c r="E38">
        <v>95.289612000000005</v>
      </c>
      <c r="F38">
        <v>95.626014999999995</v>
      </c>
      <c r="G38">
        <v>94.186629999999994</v>
      </c>
      <c r="H38">
        <v>93.632980000000003</v>
      </c>
      <c r="I38">
        <v>93.111832000000007</v>
      </c>
      <c r="J38">
        <v>92.846976999999995</v>
      </c>
      <c r="K38">
        <v>92.247574</v>
      </c>
      <c r="L38">
        <v>92.040756000000002</v>
      </c>
      <c r="M38">
        <v>91.940758000000002</v>
      </c>
      <c r="N38">
        <v>91.946738999999994</v>
      </c>
      <c r="O38">
        <v>92.008194000000003</v>
      </c>
      <c r="P38">
        <v>92.049537999999998</v>
      </c>
      <c r="Q38">
        <v>92.183211999999997</v>
      </c>
      <c r="R38">
        <v>92.392555000000002</v>
      </c>
      <c r="S38">
        <v>92.613067999999998</v>
      </c>
      <c r="T38">
        <v>92.836051999999995</v>
      </c>
      <c r="U38">
        <v>93.042862</v>
      </c>
      <c r="V38">
        <v>93.356566999999998</v>
      </c>
      <c r="W38">
        <v>93.704886999999999</v>
      </c>
      <c r="X38">
        <v>94.045372</v>
      </c>
      <c r="Y38">
        <v>94.443686999999997</v>
      </c>
      <c r="Z38">
        <v>94.793830999999997</v>
      </c>
      <c r="AA38">
        <v>95.235175999999996</v>
      </c>
      <c r="AB38">
        <v>95.539603999999997</v>
      </c>
      <c r="AC38">
        <v>95.709548999999996</v>
      </c>
      <c r="AD38">
        <v>95.988906999999998</v>
      </c>
      <c r="AE38" s="97">
        <v>0</v>
      </c>
    </row>
    <row r="39" spans="1:32">
      <c r="A39" t="s">
        <v>612</v>
      </c>
    </row>
    <row r="40" spans="1:32">
      <c r="A40" t="s">
        <v>528</v>
      </c>
      <c r="B40" t="s">
        <v>611</v>
      </c>
      <c r="C40" t="s">
        <v>610</v>
      </c>
      <c r="D40" t="s">
        <v>607</v>
      </c>
      <c r="E40">
        <v>68.758003000000002</v>
      </c>
      <c r="F40">
        <v>53.451850999999998</v>
      </c>
      <c r="G40">
        <v>58.008591000000003</v>
      </c>
      <c r="H40">
        <v>62.476402</v>
      </c>
      <c r="I40">
        <v>65.409324999999995</v>
      </c>
      <c r="J40">
        <v>65.158569</v>
      </c>
      <c r="K40">
        <v>68.833679000000004</v>
      </c>
      <c r="L40">
        <v>69.830489999999998</v>
      </c>
      <c r="M40">
        <v>71.635643000000002</v>
      </c>
      <c r="N40">
        <v>73.592147999999995</v>
      </c>
      <c r="O40">
        <v>74.762580999999997</v>
      </c>
      <c r="P40">
        <v>76.158562000000003</v>
      </c>
      <c r="Q40">
        <v>78.223350999999994</v>
      </c>
      <c r="R40">
        <v>79.690276999999995</v>
      </c>
      <c r="S40">
        <v>80.750777999999997</v>
      </c>
      <c r="T40">
        <v>81.161490999999998</v>
      </c>
      <c r="U40">
        <v>82.013199</v>
      </c>
      <c r="V40">
        <v>83.342215999999993</v>
      </c>
      <c r="W40">
        <v>84.728606999999997</v>
      </c>
      <c r="X40">
        <v>85.865302999999997</v>
      </c>
      <c r="Y40">
        <v>87.667793000000003</v>
      </c>
      <c r="Z40">
        <v>89.243423000000007</v>
      </c>
      <c r="AA40">
        <v>90.481903000000003</v>
      </c>
      <c r="AB40">
        <v>91.804817</v>
      </c>
      <c r="AC40">
        <v>92.957465999999997</v>
      </c>
      <c r="AD40">
        <v>94.122032000000004</v>
      </c>
      <c r="AE40" s="97">
        <v>1.2999999999999999E-2</v>
      </c>
    </row>
    <row r="41" spans="1:32">
      <c r="A41" t="s">
        <v>527</v>
      </c>
      <c r="B41" t="s">
        <v>609</v>
      </c>
      <c r="C41" t="s">
        <v>608</v>
      </c>
      <c r="D41" t="s">
        <v>607</v>
      </c>
      <c r="E41">
        <v>65.148003000000003</v>
      </c>
      <c r="F41">
        <v>49.889758999999998</v>
      </c>
      <c r="G41">
        <v>55.470398000000003</v>
      </c>
      <c r="H41">
        <v>59.830151000000001</v>
      </c>
      <c r="I41">
        <v>63.597237</v>
      </c>
      <c r="J41">
        <v>64.582808999999997</v>
      </c>
      <c r="K41">
        <v>67.595825000000005</v>
      </c>
      <c r="L41">
        <v>67.820969000000005</v>
      </c>
      <c r="M41">
        <v>69.813575999999998</v>
      </c>
      <c r="N41">
        <v>70.421333000000004</v>
      </c>
      <c r="O41">
        <v>71.756279000000006</v>
      </c>
      <c r="P41">
        <v>73.095161000000004</v>
      </c>
      <c r="Q41">
        <v>74.791466</v>
      </c>
      <c r="R41">
        <v>76.362281999999993</v>
      </c>
      <c r="S41">
        <v>77.228645</v>
      </c>
      <c r="T41">
        <v>77.679908999999995</v>
      </c>
      <c r="U41">
        <v>78.579802999999998</v>
      </c>
      <c r="V41">
        <v>79.948218999999995</v>
      </c>
      <c r="W41">
        <v>81.499611000000002</v>
      </c>
      <c r="X41">
        <v>82.588013000000004</v>
      </c>
      <c r="Y41">
        <v>84.446144000000004</v>
      </c>
      <c r="Z41">
        <v>85.794556</v>
      </c>
      <c r="AA41">
        <v>86.725136000000006</v>
      </c>
      <c r="AB41">
        <v>88.563857999999996</v>
      </c>
      <c r="AC41">
        <v>90.687331999999998</v>
      </c>
      <c r="AD41">
        <v>91.284041999999999</v>
      </c>
      <c r="AE41" s="97">
        <v>1.4E-2</v>
      </c>
    </row>
    <row r="42" spans="1:32">
      <c r="A42" t="s">
        <v>525</v>
      </c>
      <c r="B42" t="s">
        <v>606</v>
      </c>
      <c r="C42" t="s">
        <v>605</v>
      </c>
      <c r="D42" t="s">
        <v>597</v>
      </c>
      <c r="E42">
        <v>3.467273</v>
      </c>
      <c r="F42">
        <v>3.7231969999999999</v>
      </c>
      <c r="G42">
        <v>3.5804990000000001</v>
      </c>
      <c r="H42">
        <v>3.6962190000000001</v>
      </c>
      <c r="I42">
        <v>3.8122720000000001</v>
      </c>
      <c r="J42">
        <v>4.4103269999999997</v>
      </c>
      <c r="K42">
        <v>4.7644289999999998</v>
      </c>
      <c r="L42">
        <v>4.9507620000000001</v>
      </c>
      <c r="M42">
        <v>5.0083000000000002</v>
      </c>
      <c r="N42">
        <v>5.048673</v>
      </c>
      <c r="O42">
        <v>5.1743819999999996</v>
      </c>
      <c r="P42">
        <v>5.2727890000000004</v>
      </c>
      <c r="Q42">
        <v>5.3384830000000001</v>
      </c>
      <c r="R42">
        <v>5.475314</v>
      </c>
      <c r="S42">
        <v>5.644838</v>
      </c>
      <c r="T42">
        <v>5.7677880000000004</v>
      </c>
      <c r="U42">
        <v>5.7693000000000003</v>
      </c>
      <c r="V42">
        <v>5.5514099999999997</v>
      </c>
      <c r="W42">
        <v>5.2402629999999997</v>
      </c>
      <c r="X42">
        <v>4.9957079999999996</v>
      </c>
      <c r="Y42">
        <v>4.8815999999999997</v>
      </c>
      <c r="Z42">
        <v>4.8591199999999999</v>
      </c>
      <c r="AA42">
        <v>4.8591540000000002</v>
      </c>
      <c r="AB42">
        <v>4.8541800000000004</v>
      </c>
      <c r="AC42">
        <v>4.8168930000000003</v>
      </c>
      <c r="AD42">
        <v>4.7649840000000001</v>
      </c>
      <c r="AE42" s="97">
        <v>1.2999999999999999E-2</v>
      </c>
    </row>
    <row r="43" spans="1:32">
      <c r="A43" t="s">
        <v>516</v>
      </c>
      <c r="B43" t="s">
        <v>524</v>
      </c>
      <c r="C43" t="s">
        <v>604</v>
      </c>
      <c r="D43" t="s">
        <v>603</v>
      </c>
      <c r="E43" t="s">
        <v>602</v>
      </c>
      <c r="F43">
        <v>49.795895000000002</v>
      </c>
      <c r="G43">
        <v>50.747352999999997</v>
      </c>
      <c r="H43">
        <v>48.035724999999999</v>
      </c>
      <c r="I43">
        <v>49.787979</v>
      </c>
      <c r="J43">
        <v>50.350109000000003</v>
      </c>
      <c r="K43">
        <v>51.098655999999998</v>
      </c>
      <c r="L43">
        <v>54.688625000000002</v>
      </c>
      <c r="M43">
        <v>55.262580999999997</v>
      </c>
      <c r="N43">
        <v>55.603316999999997</v>
      </c>
      <c r="O43">
        <v>56.090031000000003</v>
      </c>
      <c r="P43">
        <v>56.297741000000002</v>
      </c>
      <c r="Q43">
        <v>56.275612000000002</v>
      </c>
      <c r="R43">
        <v>57.449317999999998</v>
      </c>
      <c r="S43">
        <v>57.694397000000002</v>
      </c>
      <c r="T43">
        <v>57.394179999999999</v>
      </c>
      <c r="U43">
        <v>58.235557999999997</v>
      </c>
      <c r="V43">
        <v>58.040581000000003</v>
      </c>
      <c r="W43">
        <v>58.814297000000003</v>
      </c>
      <c r="X43">
        <v>59.63015</v>
      </c>
      <c r="Y43">
        <v>60.090992</v>
      </c>
      <c r="Z43">
        <v>60.419445000000003</v>
      </c>
      <c r="AA43">
        <v>61.244205000000001</v>
      </c>
      <c r="AB43">
        <v>61.476044000000002</v>
      </c>
      <c r="AC43">
        <v>61.865074</v>
      </c>
      <c r="AD43">
        <v>63.074032000000003</v>
      </c>
      <c r="AE43">
        <v>64.450996000000004</v>
      </c>
      <c r="AF43" s="97">
        <v>0.01</v>
      </c>
    </row>
    <row r="44" spans="1:32">
      <c r="A44" t="s">
        <v>516</v>
      </c>
      <c r="B44" t="s">
        <v>522</v>
      </c>
      <c r="C44" t="s">
        <v>601</v>
      </c>
      <c r="D44" t="s">
        <v>600</v>
      </c>
      <c r="E44" t="s">
        <v>597</v>
      </c>
      <c r="F44">
        <v>2.3740209999999999</v>
      </c>
      <c r="G44">
        <v>2.4056690000000001</v>
      </c>
      <c r="H44">
        <v>2.308535</v>
      </c>
      <c r="I44">
        <v>2.3721679999999998</v>
      </c>
      <c r="J44">
        <v>2.3902770000000002</v>
      </c>
      <c r="K44">
        <v>2.417656</v>
      </c>
      <c r="L44">
        <v>2.5429499999999998</v>
      </c>
      <c r="M44">
        <v>2.5673189999999999</v>
      </c>
      <c r="N44">
        <v>2.5785650000000002</v>
      </c>
      <c r="O44">
        <v>2.5936849999999998</v>
      </c>
      <c r="P44">
        <v>2.6020979999999998</v>
      </c>
      <c r="Q44">
        <v>2.5984799999999999</v>
      </c>
      <c r="R44">
        <v>2.62642</v>
      </c>
      <c r="S44">
        <v>2.6313689999999998</v>
      </c>
      <c r="T44">
        <v>2.6123989999999999</v>
      </c>
      <c r="U44">
        <v>2.6375570000000002</v>
      </c>
      <c r="V44">
        <v>2.629111</v>
      </c>
      <c r="W44">
        <v>2.6469019999999999</v>
      </c>
      <c r="X44">
        <v>2.6702859999999999</v>
      </c>
      <c r="Y44">
        <v>2.6821950000000001</v>
      </c>
      <c r="Z44">
        <v>2.6919050000000002</v>
      </c>
      <c r="AA44">
        <v>2.7122679999999999</v>
      </c>
      <c r="AB44">
        <v>2.7180499999999999</v>
      </c>
      <c r="AC44">
        <v>2.7289110000000001</v>
      </c>
      <c r="AD44">
        <v>2.7621470000000001</v>
      </c>
      <c r="AE44">
        <v>2.8038620000000001</v>
      </c>
      <c r="AF44" s="97">
        <v>7.0000000000000001E-3</v>
      </c>
    </row>
    <row r="45" spans="1:32">
      <c r="A45" t="s">
        <v>516</v>
      </c>
      <c r="B45" t="s">
        <v>521</v>
      </c>
      <c r="C45" t="s">
        <v>599</v>
      </c>
      <c r="D45" t="s">
        <v>598</v>
      </c>
      <c r="E45" t="s">
        <v>597</v>
      </c>
      <c r="F45">
        <v>2.8279390000000002</v>
      </c>
      <c r="G45">
        <v>2.7949769999999998</v>
      </c>
      <c r="H45">
        <v>2.7800389999999999</v>
      </c>
      <c r="I45">
        <v>2.790127</v>
      </c>
      <c r="J45">
        <v>2.7829769999999998</v>
      </c>
      <c r="K45">
        <v>2.7899430000000001</v>
      </c>
      <c r="L45">
        <v>2.799445</v>
      </c>
      <c r="M45">
        <v>2.812125</v>
      </c>
      <c r="N45">
        <v>2.8159709999999998</v>
      </c>
      <c r="O45">
        <v>2.8097379999999998</v>
      </c>
      <c r="P45">
        <v>2.8028930000000001</v>
      </c>
      <c r="Q45">
        <v>2.7943389999999999</v>
      </c>
      <c r="R45">
        <v>2.8265340000000001</v>
      </c>
      <c r="S45">
        <v>2.822435</v>
      </c>
      <c r="T45">
        <v>2.826797</v>
      </c>
      <c r="U45">
        <v>2.840614</v>
      </c>
      <c r="V45">
        <v>2.8351000000000002</v>
      </c>
      <c r="W45">
        <v>2.8333469999999998</v>
      </c>
      <c r="X45">
        <v>2.8438249999999998</v>
      </c>
      <c r="Y45">
        <v>2.8355269999999999</v>
      </c>
      <c r="Z45">
        <v>2.8443369999999999</v>
      </c>
      <c r="AA45">
        <v>2.8529559999999998</v>
      </c>
      <c r="AB45">
        <v>2.8538990000000002</v>
      </c>
      <c r="AC45">
        <v>2.855855</v>
      </c>
      <c r="AD45">
        <v>2.8847619999999998</v>
      </c>
      <c r="AE45">
        <v>2.8955090000000001</v>
      </c>
      <c r="AF45" s="97">
        <v>1E-3</v>
      </c>
    </row>
    <row r="46" spans="1:32">
      <c r="A46" t="s">
        <v>519</v>
      </c>
      <c r="B46" t="s">
        <v>596</v>
      </c>
      <c r="C46" t="s">
        <v>595</v>
      </c>
      <c r="D46" t="s">
        <v>594</v>
      </c>
      <c r="E46">
        <v>13.537334</v>
      </c>
      <c r="F46">
        <v>13.475026</v>
      </c>
      <c r="G46">
        <v>13.066734</v>
      </c>
      <c r="H46">
        <v>12.770625000000001</v>
      </c>
      <c r="I46">
        <v>12.869842999999999</v>
      </c>
      <c r="J46">
        <v>13.016791</v>
      </c>
      <c r="K46">
        <v>13.150145999999999</v>
      </c>
      <c r="L46">
        <v>13.221062</v>
      </c>
      <c r="M46">
        <v>13.304499</v>
      </c>
      <c r="N46">
        <v>13.386029000000001</v>
      </c>
      <c r="O46">
        <v>13.426527</v>
      </c>
      <c r="P46">
        <v>13.45792</v>
      </c>
      <c r="Q46">
        <v>13.532384</v>
      </c>
      <c r="R46">
        <v>13.581625000000001</v>
      </c>
      <c r="S46">
        <v>13.653389000000001</v>
      </c>
      <c r="T46">
        <v>13.7295</v>
      </c>
      <c r="U46">
        <v>13.750996000000001</v>
      </c>
      <c r="V46">
        <v>13.735488</v>
      </c>
      <c r="W46">
        <v>13.698518999999999</v>
      </c>
      <c r="X46">
        <v>13.669256000000001</v>
      </c>
      <c r="Y46">
        <v>13.594911</v>
      </c>
      <c r="Z46">
        <v>13.655286</v>
      </c>
      <c r="AA46">
        <v>13.708774999999999</v>
      </c>
      <c r="AB46">
        <v>13.761915</v>
      </c>
      <c r="AC46">
        <v>13.780516</v>
      </c>
      <c r="AD46">
        <v>13.826503000000001</v>
      </c>
      <c r="AE46" s="97">
        <v>1E-3</v>
      </c>
    </row>
    <row r="47" spans="1:32">
      <c r="A47" t="s">
        <v>99</v>
      </c>
    </row>
    <row r="48" spans="1:32">
      <c r="A48" t="s">
        <v>528</v>
      </c>
      <c r="B48" t="s">
        <v>593</v>
      </c>
      <c r="C48" t="s">
        <v>592</v>
      </c>
      <c r="D48" t="s">
        <v>526</v>
      </c>
      <c r="E48">
        <v>68.758003000000002</v>
      </c>
      <c r="F48">
        <v>54.921000999999997</v>
      </c>
      <c r="G48">
        <v>60.734012999999997</v>
      </c>
      <c r="H48">
        <v>66.772827000000007</v>
      </c>
      <c r="I48">
        <v>71.344741999999997</v>
      </c>
      <c r="J48">
        <v>72.551765000000003</v>
      </c>
      <c r="K48">
        <v>78.250099000000006</v>
      </c>
      <c r="L48">
        <v>81.018799000000001</v>
      </c>
      <c r="M48">
        <v>84.889983999999998</v>
      </c>
      <c r="N48">
        <v>89.027457999999996</v>
      </c>
      <c r="O48">
        <v>92.352303000000006</v>
      </c>
      <c r="P48">
        <v>96.012343999999999</v>
      </c>
      <c r="Q48">
        <v>100.54858400000001</v>
      </c>
      <c r="R48">
        <v>104.44555699999999</v>
      </c>
      <c r="S48">
        <v>107.88986199999999</v>
      </c>
      <c r="T48">
        <v>110.55418400000001</v>
      </c>
      <c r="U48">
        <v>113.856827</v>
      </c>
      <c r="V48">
        <v>117.879242</v>
      </c>
      <c r="W48">
        <v>122.064217</v>
      </c>
      <c r="X48">
        <v>125.966476</v>
      </c>
      <c r="Y48">
        <v>130.94331399999999</v>
      </c>
      <c r="Z48">
        <v>135.71101400000001</v>
      </c>
      <c r="AA48">
        <v>140.09272799999999</v>
      </c>
      <c r="AB48">
        <v>144.74267599999999</v>
      </c>
      <c r="AC48">
        <v>149.22105400000001</v>
      </c>
      <c r="AD48">
        <v>153.79325900000001</v>
      </c>
      <c r="AE48" s="97">
        <v>3.3000000000000002E-2</v>
      </c>
    </row>
    <row r="49" spans="1:32">
      <c r="A49" t="s">
        <v>527</v>
      </c>
      <c r="B49" t="s">
        <v>591</v>
      </c>
      <c r="C49" t="s">
        <v>590</v>
      </c>
      <c r="D49" t="s">
        <v>526</v>
      </c>
      <c r="E49">
        <v>65.148003000000003</v>
      </c>
      <c r="F49">
        <v>51.261001999999998</v>
      </c>
      <c r="G49">
        <v>58.076568999999999</v>
      </c>
      <c r="H49">
        <v>63.944592</v>
      </c>
      <c r="I49">
        <v>69.368224999999995</v>
      </c>
      <c r="J49">
        <v>71.910674999999998</v>
      </c>
      <c r="K49">
        <v>76.842903000000007</v>
      </c>
      <c r="L49">
        <v>78.687308999999999</v>
      </c>
      <c r="M49">
        <v>82.730782000000005</v>
      </c>
      <c r="N49">
        <v>85.191597000000002</v>
      </c>
      <c r="O49">
        <v>88.638694999999998</v>
      </c>
      <c r="P49">
        <v>92.150345000000002</v>
      </c>
      <c r="Q49">
        <v>96.137230000000002</v>
      </c>
      <c r="R49">
        <v>100.08374000000001</v>
      </c>
      <c r="S49">
        <v>103.183998</v>
      </c>
      <c r="T49">
        <v>105.811752</v>
      </c>
      <c r="U49">
        <v>109.090332</v>
      </c>
      <c r="V49">
        <v>113.07878100000001</v>
      </c>
      <c r="W49">
        <v>117.412361</v>
      </c>
      <c r="X49">
        <v>121.158615</v>
      </c>
      <c r="Y49">
        <v>126.131355</v>
      </c>
      <c r="Z49">
        <v>130.466385</v>
      </c>
      <c r="AA49">
        <v>134.276138</v>
      </c>
      <c r="AB49">
        <v>139.632858</v>
      </c>
      <c r="AC49">
        <v>145.57690400000001</v>
      </c>
      <c r="AD49">
        <v>149.15605199999999</v>
      </c>
      <c r="AE49" s="97">
        <v>3.4000000000000002E-2</v>
      </c>
    </row>
    <row r="50" spans="1:32">
      <c r="A50" t="s">
        <v>525</v>
      </c>
      <c r="B50" t="s">
        <v>589</v>
      </c>
      <c r="C50" t="s">
        <v>588</v>
      </c>
      <c r="D50" t="s">
        <v>520</v>
      </c>
      <c r="E50">
        <v>3.467273</v>
      </c>
      <c r="F50">
        <v>3.8255309999999998</v>
      </c>
      <c r="G50">
        <v>3.7487219999999999</v>
      </c>
      <c r="H50">
        <v>3.9504039999999998</v>
      </c>
      <c r="I50">
        <v>4.1582080000000001</v>
      </c>
      <c r="J50">
        <v>4.9107430000000001</v>
      </c>
      <c r="K50">
        <v>5.4161999999999999</v>
      </c>
      <c r="L50">
        <v>5.7439780000000003</v>
      </c>
      <c r="M50">
        <v>5.934958</v>
      </c>
      <c r="N50">
        <v>6.1075879999999998</v>
      </c>
      <c r="O50">
        <v>6.3917809999999999</v>
      </c>
      <c r="P50">
        <v>6.6473529999999998</v>
      </c>
      <c r="Q50">
        <v>6.8621059999999998</v>
      </c>
      <c r="R50">
        <v>7.1761850000000003</v>
      </c>
      <c r="S50">
        <v>7.5419799999999997</v>
      </c>
      <c r="T50">
        <v>7.8565959999999997</v>
      </c>
      <c r="U50">
        <v>8.0093720000000008</v>
      </c>
      <c r="V50">
        <v>7.851915</v>
      </c>
      <c r="W50">
        <v>7.5493800000000002</v>
      </c>
      <c r="X50">
        <v>7.328824</v>
      </c>
      <c r="Y50">
        <v>7.2913079999999999</v>
      </c>
      <c r="Z50">
        <v>7.3891850000000003</v>
      </c>
      <c r="AA50">
        <v>7.5234069999999997</v>
      </c>
      <c r="AB50">
        <v>7.6532689999999999</v>
      </c>
      <c r="AC50">
        <v>7.7323740000000001</v>
      </c>
      <c r="AD50">
        <v>7.7858739999999997</v>
      </c>
      <c r="AE50" s="97">
        <v>3.3000000000000002E-2</v>
      </c>
    </row>
    <row r="51" spans="1:32">
      <c r="A51" t="s">
        <v>516</v>
      </c>
      <c r="B51" t="s">
        <v>524</v>
      </c>
      <c r="C51" t="s">
        <v>587</v>
      </c>
      <c r="D51" t="s">
        <v>586</v>
      </c>
      <c r="E51" t="s">
        <v>523</v>
      </c>
      <c r="F51">
        <v>49.795895000000002</v>
      </c>
      <c r="G51">
        <v>52.14217</v>
      </c>
      <c r="H51">
        <v>50.292586999999997</v>
      </c>
      <c r="I51">
        <v>53.211834000000003</v>
      </c>
      <c r="J51">
        <v>54.919013999999997</v>
      </c>
      <c r="K51">
        <v>56.896545000000003</v>
      </c>
      <c r="L51">
        <v>62.170001999999997</v>
      </c>
      <c r="M51">
        <v>64.116798000000003</v>
      </c>
      <c r="N51">
        <v>65.891289</v>
      </c>
      <c r="O51">
        <v>67.854423999999995</v>
      </c>
      <c r="P51">
        <v>69.543159000000003</v>
      </c>
      <c r="Q51">
        <v>70.946106</v>
      </c>
      <c r="R51">
        <v>73.845566000000005</v>
      </c>
      <c r="S51">
        <v>75.616791000000006</v>
      </c>
      <c r="T51">
        <v>76.683471999999995</v>
      </c>
      <c r="U51">
        <v>79.325607000000005</v>
      </c>
      <c r="V51">
        <v>80.576248000000007</v>
      </c>
      <c r="W51">
        <v>83.186950999999993</v>
      </c>
      <c r="X51">
        <v>85.906136000000004</v>
      </c>
      <c r="Y51">
        <v>88.154938000000001</v>
      </c>
      <c r="Z51">
        <v>90.244338999999997</v>
      </c>
      <c r="AA51">
        <v>93.133064000000005</v>
      </c>
      <c r="AB51">
        <v>95.183082999999996</v>
      </c>
      <c r="AC51">
        <v>97.538628000000003</v>
      </c>
      <c r="AD51">
        <v>101.250328</v>
      </c>
      <c r="AE51">
        <v>105.311455</v>
      </c>
      <c r="AF51" s="97">
        <v>0.03</v>
      </c>
    </row>
    <row r="52" spans="1:32">
      <c r="A52" t="s">
        <v>516</v>
      </c>
      <c r="B52" t="s">
        <v>522</v>
      </c>
      <c r="C52" t="s">
        <v>585</v>
      </c>
      <c r="D52" t="s">
        <v>584</v>
      </c>
      <c r="E52" t="s">
        <v>520</v>
      </c>
      <c r="F52">
        <v>2.3740209999999999</v>
      </c>
      <c r="G52">
        <v>2.4717910000000001</v>
      </c>
      <c r="H52">
        <v>2.4169969999999998</v>
      </c>
      <c r="I52">
        <v>2.5352990000000002</v>
      </c>
      <c r="J52">
        <v>2.6071780000000002</v>
      </c>
      <c r="K52">
        <v>2.6919749999999998</v>
      </c>
      <c r="L52">
        <v>2.890825</v>
      </c>
      <c r="M52">
        <v>2.9786570000000001</v>
      </c>
      <c r="N52">
        <v>3.0556619999999999</v>
      </c>
      <c r="O52">
        <v>3.1376879999999998</v>
      </c>
      <c r="P52">
        <v>3.2143060000000001</v>
      </c>
      <c r="Q52">
        <v>3.2758780000000001</v>
      </c>
      <c r="R52">
        <v>3.37601</v>
      </c>
      <c r="S52">
        <v>3.4487869999999998</v>
      </c>
      <c r="T52">
        <v>3.490386</v>
      </c>
      <c r="U52">
        <v>3.5927500000000001</v>
      </c>
      <c r="V52">
        <v>3.6499280000000001</v>
      </c>
      <c r="W52">
        <v>3.743779</v>
      </c>
      <c r="X52">
        <v>3.846946</v>
      </c>
      <c r="Y52">
        <v>3.9348450000000001</v>
      </c>
      <c r="Z52">
        <v>4.0207119999999996</v>
      </c>
      <c r="AA52">
        <v>4.1245019999999997</v>
      </c>
      <c r="AB52">
        <v>4.2083449999999996</v>
      </c>
      <c r="AC52">
        <v>4.3024959999999997</v>
      </c>
      <c r="AD52">
        <v>4.4339690000000003</v>
      </c>
      <c r="AE52">
        <v>4.5814459999999997</v>
      </c>
      <c r="AF52" s="97">
        <v>2.7E-2</v>
      </c>
    </row>
    <row r="53" spans="1:32">
      <c r="A53" t="s">
        <v>516</v>
      </c>
      <c r="B53" t="s">
        <v>521</v>
      </c>
      <c r="C53" t="s">
        <v>583</v>
      </c>
      <c r="D53" t="s">
        <v>582</v>
      </c>
      <c r="E53" t="s">
        <v>520</v>
      </c>
      <c r="F53">
        <v>2.8279390000000002</v>
      </c>
      <c r="G53">
        <v>2.8717990000000002</v>
      </c>
      <c r="H53">
        <v>2.9106529999999999</v>
      </c>
      <c r="I53">
        <v>2.9820000000000002</v>
      </c>
      <c r="J53">
        <v>3.0355120000000002</v>
      </c>
      <c r="K53">
        <v>3.106503</v>
      </c>
      <c r="L53">
        <v>3.1824080000000001</v>
      </c>
      <c r="M53">
        <v>3.2626870000000001</v>
      </c>
      <c r="N53">
        <v>3.3369949999999999</v>
      </c>
      <c r="O53">
        <v>3.399057</v>
      </c>
      <c r="P53">
        <v>3.462342</v>
      </c>
      <c r="Q53">
        <v>3.522796</v>
      </c>
      <c r="R53">
        <v>3.6332369999999998</v>
      </c>
      <c r="S53">
        <v>3.6992060000000002</v>
      </c>
      <c r="T53">
        <v>3.77684</v>
      </c>
      <c r="U53">
        <v>3.8693439999999999</v>
      </c>
      <c r="V53">
        <v>3.9358970000000002</v>
      </c>
      <c r="W53">
        <v>4.0074860000000001</v>
      </c>
      <c r="X53">
        <v>4.0969540000000002</v>
      </c>
      <c r="Y53">
        <v>4.1597869999999997</v>
      </c>
      <c r="Z53">
        <v>4.2483890000000004</v>
      </c>
      <c r="AA53">
        <v>4.3384429999999998</v>
      </c>
      <c r="AB53">
        <v>4.4186800000000002</v>
      </c>
      <c r="AC53">
        <v>4.5026400000000004</v>
      </c>
      <c r="AD53">
        <v>4.6307980000000004</v>
      </c>
      <c r="AE53">
        <v>4.7311949999999996</v>
      </c>
      <c r="AF53" s="97">
        <v>2.1000000000000001E-2</v>
      </c>
    </row>
    <row r="54" spans="1:32">
      <c r="A54" t="s">
        <v>519</v>
      </c>
      <c r="B54" t="s">
        <v>581</v>
      </c>
      <c r="C54" t="s">
        <v>580</v>
      </c>
      <c r="D54" t="s">
        <v>518</v>
      </c>
      <c r="E54">
        <v>13.537334</v>
      </c>
      <c r="F54">
        <v>13.845394000000001</v>
      </c>
      <c r="G54">
        <v>13.680649000000001</v>
      </c>
      <c r="H54">
        <v>13.648844</v>
      </c>
      <c r="I54">
        <v>14.037687</v>
      </c>
      <c r="J54">
        <v>14.493736999999999</v>
      </c>
      <c r="K54">
        <v>14.94908</v>
      </c>
      <c r="L54">
        <v>15.339352999999999</v>
      </c>
      <c r="M54">
        <v>15.766154999999999</v>
      </c>
      <c r="N54">
        <v>16.193632000000001</v>
      </c>
      <c r="O54">
        <v>16.585445</v>
      </c>
      <c r="P54">
        <v>16.966266999999998</v>
      </c>
      <c r="Q54">
        <v>17.394577000000002</v>
      </c>
      <c r="R54">
        <v>17.800671000000001</v>
      </c>
      <c r="S54">
        <v>18.242083000000001</v>
      </c>
      <c r="T54">
        <v>18.701649</v>
      </c>
      <c r="U54">
        <v>19.090154999999999</v>
      </c>
      <c r="V54">
        <v>19.427477</v>
      </c>
      <c r="W54">
        <v>19.734762</v>
      </c>
      <c r="X54">
        <v>20.053128999999998</v>
      </c>
      <c r="Y54">
        <v>20.305776999999999</v>
      </c>
      <c r="Z54">
        <v>20.765370999999998</v>
      </c>
      <c r="AA54">
        <v>21.225235000000001</v>
      </c>
      <c r="AB54">
        <v>21.697514999999999</v>
      </c>
      <c r="AC54">
        <v>22.121334000000001</v>
      </c>
      <c r="AD54">
        <v>22.592189999999999</v>
      </c>
      <c r="AE54" s="97">
        <v>2.1000000000000001E-2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6F26-D2C6-4A30-86BC-1FFF2C468578}">
  <dimension ref="A1:AE36"/>
  <sheetViews>
    <sheetView workbookViewId="0"/>
  </sheetViews>
  <sheetFormatPr defaultRowHeight="14.4"/>
  <cols>
    <col min="1" max="1" width="39.44140625" customWidth="1"/>
  </cols>
  <sheetData>
    <row r="1" spans="1:31">
      <c r="A1" t="s">
        <v>749</v>
      </c>
    </row>
    <row r="2" spans="1:31">
      <c r="A2" t="s">
        <v>748</v>
      </c>
    </row>
    <row r="3" spans="1:31">
      <c r="A3" t="s">
        <v>747</v>
      </c>
    </row>
    <row r="4" spans="1:31">
      <c r="A4" t="s">
        <v>481</v>
      </c>
    </row>
    <row r="5" spans="1:31">
      <c r="B5" t="s">
        <v>482</v>
      </c>
      <c r="C5" t="s">
        <v>483</v>
      </c>
      <c r="D5" t="s">
        <v>484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671</v>
      </c>
    </row>
    <row r="6" spans="1:31">
      <c r="A6" t="s">
        <v>16</v>
      </c>
    </row>
    <row r="7" spans="1:31">
      <c r="A7" t="s">
        <v>746</v>
      </c>
    </row>
    <row r="8" spans="1:31" s="264" customFormat="1">
      <c r="A8" s="264" t="s">
        <v>686</v>
      </c>
      <c r="B8" s="264" t="s">
        <v>745</v>
      </c>
      <c r="C8" s="264" t="s">
        <v>744</v>
      </c>
      <c r="D8" s="264" t="s">
        <v>674</v>
      </c>
      <c r="E8" s="264">
        <v>5.6595469999999999</v>
      </c>
      <c r="F8" s="264">
        <v>5.0328869999999997</v>
      </c>
      <c r="G8" s="264">
        <v>4.9927229999999998</v>
      </c>
      <c r="H8" s="264">
        <v>5.0197370000000001</v>
      </c>
      <c r="I8" s="264">
        <v>4.898739</v>
      </c>
      <c r="J8" s="264">
        <v>4.8793329999999999</v>
      </c>
      <c r="K8" s="264">
        <v>4.7890990000000002</v>
      </c>
      <c r="L8" s="264">
        <v>4.7696899999999998</v>
      </c>
      <c r="M8" s="264">
        <v>4.7907120000000001</v>
      </c>
      <c r="N8" s="264">
        <v>4.9366589999999997</v>
      </c>
      <c r="O8" s="264">
        <v>4.9824010000000003</v>
      </c>
      <c r="P8" s="264">
        <v>5.0158639999999997</v>
      </c>
      <c r="Q8" s="264">
        <v>5.4556009999999997</v>
      </c>
      <c r="R8" s="264">
        <v>5.6759310000000003</v>
      </c>
      <c r="S8" s="264">
        <v>5.7131160000000003</v>
      </c>
      <c r="T8" s="264">
        <v>5.7025100000000002</v>
      </c>
      <c r="U8" s="264">
        <v>5.9527330000000003</v>
      </c>
      <c r="V8" s="264">
        <v>5.9610659999999998</v>
      </c>
      <c r="W8" s="264">
        <v>6.0093639999999997</v>
      </c>
      <c r="X8" s="264">
        <v>6.1546919999999998</v>
      </c>
      <c r="Y8" s="264">
        <v>6.2438659999999997</v>
      </c>
      <c r="Z8" s="264">
        <v>6.2740280000000004</v>
      </c>
      <c r="AA8" s="264">
        <v>6.3295130000000004</v>
      </c>
      <c r="AB8" s="264">
        <v>6.3586799999999997</v>
      </c>
      <c r="AC8" s="264">
        <v>6.3830080000000002</v>
      </c>
      <c r="AD8" s="264">
        <v>6.4073539999999998</v>
      </c>
      <c r="AE8" s="265">
        <v>5.0000000000000001E-3</v>
      </c>
    </row>
    <row r="9" spans="1:31" s="264" customFormat="1">
      <c r="A9" s="264" t="s">
        <v>683</v>
      </c>
      <c r="B9" s="264" t="s">
        <v>743</v>
      </c>
      <c r="C9" s="264" t="s">
        <v>742</v>
      </c>
      <c r="D9" s="264" t="s">
        <v>674</v>
      </c>
      <c r="E9" s="264">
        <v>0.33485199999999998</v>
      </c>
      <c r="F9" s="264">
        <v>0.33485199999999998</v>
      </c>
      <c r="G9" s="264">
        <v>0.33485199999999998</v>
      </c>
      <c r="H9" s="264">
        <v>0.33485199999999998</v>
      </c>
      <c r="I9" s="264">
        <v>0.33485199999999998</v>
      </c>
      <c r="J9" s="264">
        <v>0.33485199999999998</v>
      </c>
      <c r="K9" s="264">
        <v>0.33485199999999998</v>
      </c>
      <c r="L9" s="264">
        <v>0.33485199999999998</v>
      </c>
      <c r="M9" s="264">
        <v>0.33485199999999998</v>
      </c>
      <c r="N9" s="264">
        <v>0.33485199999999998</v>
      </c>
      <c r="O9" s="264">
        <v>0.33485199999999998</v>
      </c>
      <c r="P9" s="264">
        <v>0.30476199999999998</v>
      </c>
      <c r="Q9" s="264">
        <v>0</v>
      </c>
      <c r="R9" s="264">
        <v>0</v>
      </c>
      <c r="S9" s="264">
        <v>0</v>
      </c>
      <c r="T9" s="264">
        <v>0</v>
      </c>
      <c r="U9" s="264">
        <v>0</v>
      </c>
      <c r="V9" s="264">
        <v>0</v>
      </c>
      <c r="W9" s="264">
        <v>0</v>
      </c>
      <c r="X9" s="264">
        <v>0</v>
      </c>
      <c r="Y9" s="264">
        <v>0</v>
      </c>
      <c r="Z9" s="264">
        <v>0</v>
      </c>
      <c r="AA9" s="264">
        <v>0</v>
      </c>
      <c r="AB9" s="264">
        <v>0</v>
      </c>
      <c r="AC9" s="264">
        <v>0</v>
      </c>
      <c r="AD9" s="264">
        <v>0</v>
      </c>
      <c r="AE9" s="265">
        <v>-1</v>
      </c>
    </row>
    <row r="10" spans="1:31" s="264" customFormat="1">
      <c r="A10" s="264" t="s">
        <v>680</v>
      </c>
      <c r="B10" s="264" t="s">
        <v>741</v>
      </c>
      <c r="C10" s="264" t="s">
        <v>740</v>
      </c>
      <c r="D10" s="264" t="s">
        <v>674</v>
      </c>
      <c r="E10" s="264">
        <v>0</v>
      </c>
      <c r="F10" s="264">
        <v>0.170512</v>
      </c>
      <c r="G10" s="264">
        <v>0.170512</v>
      </c>
      <c r="H10" s="264">
        <v>0.170512</v>
      </c>
      <c r="I10" s="264">
        <v>0.40120400000000001</v>
      </c>
      <c r="J10" s="264">
        <v>0.40120400000000001</v>
      </c>
      <c r="K10" s="264">
        <v>0.40120400000000001</v>
      </c>
      <c r="L10" s="264">
        <v>0.40120400000000001</v>
      </c>
      <c r="M10" s="264">
        <v>0.40120400000000001</v>
      </c>
      <c r="N10" s="264">
        <v>0.40120400000000001</v>
      </c>
      <c r="O10" s="264">
        <v>0.40120400000000001</v>
      </c>
      <c r="P10" s="264">
        <v>0.40120400000000001</v>
      </c>
      <c r="Q10" s="264">
        <v>0.40120400000000001</v>
      </c>
      <c r="R10" s="264">
        <v>0.23069200000000001</v>
      </c>
      <c r="S10" s="264">
        <v>0.23069200000000001</v>
      </c>
      <c r="T10" s="264">
        <v>0.23069200000000001</v>
      </c>
      <c r="U10" s="264">
        <v>0</v>
      </c>
      <c r="V10" s="264">
        <v>0</v>
      </c>
      <c r="W10" s="264">
        <v>0</v>
      </c>
      <c r="X10" s="264">
        <v>0</v>
      </c>
      <c r="Y10" s="264">
        <v>0</v>
      </c>
      <c r="Z10" s="264">
        <v>0</v>
      </c>
      <c r="AA10" s="264">
        <v>0</v>
      </c>
      <c r="AB10" s="264">
        <v>0</v>
      </c>
      <c r="AC10" s="264">
        <v>0</v>
      </c>
      <c r="AD10" s="264">
        <v>0</v>
      </c>
      <c r="AE10" s="264" t="s">
        <v>97</v>
      </c>
    </row>
    <row r="11" spans="1:31" s="264" customFormat="1">
      <c r="A11" s="264" t="s">
        <v>677</v>
      </c>
      <c r="B11" s="264" t="s">
        <v>739</v>
      </c>
      <c r="C11" s="264" t="s">
        <v>738</v>
      </c>
      <c r="D11" s="264" t="s">
        <v>674</v>
      </c>
      <c r="E11" s="264">
        <v>4.1999999999999998E-5</v>
      </c>
      <c r="F11" s="264">
        <v>1.439E-2</v>
      </c>
      <c r="G11" s="264">
        <v>1.6392E-2</v>
      </c>
      <c r="H11" s="264">
        <v>9.3109999999999998E-3</v>
      </c>
      <c r="I11" s="264">
        <v>8.0999999999999996E-3</v>
      </c>
      <c r="J11" s="264">
        <v>1.0323000000000001E-2</v>
      </c>
      <c r="K11" s="264">
        <v>4.8690000000000001E-3</v>
      </c>
      <c r="L11" s="264">
        <v>1.6149999999999999E-3</v>
      </c>
      <c r="M11" s="264">
        <v>1.4599999999999999E-3</v>
      </c>
      <c r="N11" s="264">
        <v>1.7589999999999999E-3</v>
      </c>
      <c r="O11" s="264">
        <v>2.0479999999999999E-3</v>
      </c>
      <c r="P11" s="264">
        <v>0</v>
      </c>
      <c r="Q11" s="264">
        <v>0</v>
      </c>
      <c r="R11" s="264">
        <v>0</v>
      </c>
      <c r="S11" s="264">
        <v>0</v>
      </c>
      <c r="T11" s="264">
        <v>0</v>
      </c>
      <c r="U11" s="264">
        <v>0</v>
      </c>
      <c r="V11" s="264">
        <v>0</v>
      </c>
      <c r="W11" s="264">
        <v>0</v>
      </c>
      <c r="X11" s="264">
        <v>0</v>
      </c>
      <c r="Y11" s="264">
        <v>0</v>
      </c>
      <c r="Z11" s="264">
        <v>0</v>
      </c>
      <c r="AA11" s="264">
        <v>0</v>
      </c>
      <c r="AB11" s="264">
        <v>0</v>
      </c>
      <c r="AC11" s="264">
        <v>0</v>
      </c>
      <c r="AD11" s="264">
        <v>0</v>
      </c>
      <c r="AE11" s="265">
        <v>-1</v>
      </c>
    </row>
    <row r="12" spans="1:31" s="1" customFormat="1">
      <c r="A12" s="1" t="s">
        <v>737</v>
      </c>
      <c r="B12" s="1" t="s">
        <v>736</v>
      </c>
      <c r="C12" s="1" t="s">
        <v>735</v>
      </c>
      <c r="D12" s="1" t="s">
        <v>674</v>
      </c>
      <c r="E12" s="1">
        <v>2.0255399999999999</v>
      </c>
      <c r="F12" s="1">
        <v>2.0638890000000001</v>
      </c>
      <c r="G12" s="1">
        <v>2.0872709999999999</v>
      </c>
      <c r="H12" s="1">
        <v>2.0771009999999999</v>
      </c>
      <c r="I12" s="1">
        <v>2.0436890000000001</v>
      </c>
      <c r="J12" s="1">
        <v>2.0441560000000001</v>
      </c>
      <c r="K12" s="1">
        <v>2.0520999999999998</v>
      </c>
      <c r="L12" s="1">
        <v>2.0549740000000001</v>
      </c>
      <c r="M12" s="1">
        <v>2.0707960000000001</v>
      </c>
      <c r="N12" s="1">
        <v>2.0808650000000002</v>
      </c>
      <c r="O12" s="1">
        <v>2.1089600000000002</v>
      </c>
      <c r="P12" s="1">
        <v>2.1284290000000001</v>
      </c>
      <c r="Q12" s="1">
        <v>2.1339640000000002</v>
      </c>
      <c r="R12" s="1">
        <v>2.1570279999999999</v>
      </c>
      <c r="S12" s="1">
        <v>2.1794769999999999</v>
      </c>
      <c r="T12" s="1">
        <v>2.1999409999999999</v>
      </c>
      <c r="U12" s="1">
        <v>2.2304140000000001</v>
      </c>
      <c r="V12" s="1">
        <v>2.2585150000000001</v>
      </c>
      <c r="W12" s="1">
        <v>2.2865660000000001</v>
      </c>
      <c r="X12" s="1">
        <v>2.3075549999999998</v>
      </c>
      <c r="Y12" s="1">
        <v>2.3307950000000002</v>
      </c>
      <c r="Z12" s="1">
        <v>2.3602319999999999</v>
      </c>
      <c r="AA12" s="1">
        <v>2.3913380000000002</v>
      </c>
      <c r="AB12" s="1">
        <v>2.4188610000000001</v>
      </c>
      <c r="AC12" s="1">
        <v>2.4384440000000001</v>
      </c>
      <c r="AD12" s="1">
        <v>2.4649480000000001</v>
      </c>
      <c r="AE12" s="263">
        <v>8.0000000000000002E-3</v>
      </c>
    </row>
    <row r="13" spans="1:31" s="1" customFormat="1">
      <c r="A13" s="1" t="s">
        <v>734</v>
      </c>
      <c r="B13" s="1" t="s">
        <v>733</v>
      </c>
      <c r="C13" s="1" t="s">
        <v>732</v>
      </c>
      <c r="D13" s="1" t="s">
        <v>674</v>
      </c>
      <c r="E13" s="1">
        <v>8.0199809999999996</v>
      </c>
      <c r="F13" s="1">
        <v>7.61653</v>
      </c>
      <c r="G13" s="1">
        <v>7.6017510000000001</v>
      </c>
      <c r="H13" s="1">
        <v>7.6115120000000003</v>
      </c>
      <c r="I13" s="1">
        <v>7.6865839999999999</v>
      </c>
      <c r="J13" s="1">
        <v>7.6698680000000001</v>
      </c>
      <c r="K13" s="1">
        <v>7.5821249999999996</v>
      </c>
      <c r="L13" s="1">
        <v>7.562335</v>
      </c>
      <c r="M13" s="1">
        <v>7.5990250000000001</v>
      </c>
      <c r="N13" s="1">
        <v>7.7553400000000003</v>
      </c>
      <c r="O13" s="1">
        <v>7.8294649999999999</v>
      </c>
      <c r="P13" s="1">
        <v>7.8502590000000003</v>
      </c>
      <c r="Q13" s="1">
        <v>7.9907690000000002</v>
      </c>
      <c r="R13" s="1">
        <v>8.0636510000000001</v>
      </c>
      <c r="S13" s="1">
        <v>8.1232849999999992</v>
      </c>
      <c r="T13" s="1">
        <v>8.1331419999999994</v>
      </c>
      <c r="U13" s="1">
        <v>8.1831460000000007</v>
      </c>
      <c r="V13" s="1">
        <v>8.2195809999999998</v>
      </c>
      <c r="W13" s="1">
        <v>8.2959289999999992</v>
      </c>
      <c r="X13" s="1">
        <v>8.4622469999999996</v>
      </c>
      <c r="Y13" s="1">
        <v>8.5746610000000008</v>
      </c>
      <c r="Z13" s="1">
        <v>8.6342599999999994</v>
      </c>
      <c r="AA13" s="1">
        <v>8.7208509999999997</v>
      </c>
      <c r="AB13" s="1">
        <v>8.7775409999999994</v>
      </c>
      <c r="AC13" s="1">
        <v>8.8214520000000007</v>
      </c>
      <c r="AD13" s="1">
        <v>8.8723030000000005</v>
      </c>
      <c r="AE13" s="263">
        <v>4.0000000000000001E-3</v>
      </c>
    </row>
    <row r="14" spans="1:31">
      <c r="A14" t="s">
        <v>98</v>
      </c>
      <c r="B14" t="s">
        <v>731</v>
      </c>
      <c r="C14" t="s">
        <v>730</v>
      </c>
      <c r="D14" t="s">
        <v>674</v>
      </c>
      <c r="E14">
        <v>8.0129870000000007</v>
      </c>
      <c r="F14">
        <v>7.6075439999999999</v>
      </c>
      <c r="G14">
        <v>7.5913490000000001</v>
      </c>
      <c r="H14">
        <v>7.6013830000000002</v>
      </c>
      <c r="I14">
        <v>7.6758069999999998</v>
      </c>
      <c r="J14">
        <v>7.6591459999999998</v>
      </c>
      <c r="K14">
        <v>7.5713509999999999</v>
      </c>
      <c r="L14">
        <v>7.5511710000000001</v>
      </c>
      <c r="M14">
        <v>7.5877679999999996</v>
      </c>
      <c r="N14">
        <v>7.7441969999999998</v>
      </c>
      <c r="O14">
        <v>7.8181820000000002</v>
      </c>
      <c r="P14">
        <v>7.839029</v>
      </c>
      <c r="Q14">
        <v>7.9794929999999997</v>
      </c>
      <c r="R14">
        <v>8.0524430000000002</v>
      </c>
      <c r="S14">
        <v>8.1119859999999999</v>
      </c>
      <c r="T14">
        <v>8.1215410000000006</v>
      </c>
      <c r="U14">
        <v>8.1716700000000007</v>
      </c>
      <c r="V14">
        <v>8.2082350000000002</v>
      </c>
      <c r="W14">
        <v>8.2843009999999992</v>
      </c>
      <c r="X14">
        <v>8.4504140000000003</v>
      </c>
      <c r="Y14">
        <v>8.562716</v>
      </c>
      <c r="Z14">
        <v>8.6221160000000001</v>
      </c>
      <c r="AA14">
        <v>8.7087489999999992</v>
      </c>
      <c r="AB14">
        <v>8.7655180000000001</v>
      </c>
      <c r="AC14">
        <v>8.8094839999999994</v>
      </c>
      <c r="AD14">
        <v>8.8604409999999998</v>
      </c>
      <c r="AE14" s="97">
        <v>4.0000000000000001E-3</v>
      </c>
    </row>
    <row r="15" spans="1:31">
      <c r="A15" t="s">
        <v>729</v>
      </c>
      <c r="B15" t="s">
        <v>728</v>
      </c>
      <c r="C15" t="s">
        <v>727</v>
      </c>
      <c r="D15" t="s">
        <v>674</v>
      </c>
      <c r="E15">
        <v>8.0098870000000009</v>
      </c>
      <c r="F15">
        <v>7.6045619999999996</v>
      </c>
      <c r="G15">
        <v>7.5885040000000004</v>
      </c>
      <c r="H15">
        <v>7.5986820000000002</v>
      </c>
      <c r="I15">
        <v>7.6732440000000004</v>
      </c>
      <c r="J15">
        <v>7.656733</v>
      </c>
      <c r="K15">
        <v>7.5690809999999997</v>
      </c>
      <c r="L15">
        <v>7.5490539999999999</v>
      </c>
      <c r="M15">
        <v>7.5857999999999999</v>
      </c>
      <c r="N15">
        <v>7.7423780000000004</v>
      </c>
      <c r="O15">
        <v>7.8165100000000001</v>
      </c>
      <c r="P15">
        <v>7.8375019999999997</v>
      </c>
      <c r="Q15">
        <v>7.9781069999999996</v>
      </c>
      <c r="R15">
        <v>8.0511909999999993</v>
      </c>
      <c r="S15">
        <v>8.1108650000000004</v>
      </c>
      <c r="T15">
        <v>8.1205390000000008</v>
      </c>
      <c r="U15">
        <v>8.1707800000000006</v>
      </c>
      <c r="V15">
        <v>8.2074370000000005</v>
      </c>
      <c r="W15">
        <v>8.2835819999999991</v>
      </c>
      <c r="X15">
        <v>8.4497560000000007</v>
      </c>
      <c r="Y15">
        <v>8.5621270000000003</v>
      </c>
      <c r="Z15">
        <v>8.621575</v>
      </c>
      <c r="AA15">
        <v>8.7082420000000003</v>
      </c>
      <c r="AB15">
        <v>8.7650469999999991</v>
      </c>
      <c r="AC15">
        <v>8.8089999999999993</v>
      </c>
      <c r="AD15">
        <v>8.8599739999999994</v>
      </c>
      <c r="AE15" s="97">
        <v>4.0000000000000001E-3</v>
      </c>
    </row>
    <row r="16" spans="1:31">
      <c r="A16" t="s">
        <v>726</v>
      </c>
      <c r="B16" t="s">
        <v>725</v>
      </c>
      <c r="C16" t="s">
        <v>724</v>
      </c>
      <c r="D16" t="s">
        <v>674</v>
      </c>
      <c r="E16">
        <v>4.3128609999999998</v>
      </c>
      <c r="F16">
        <v>4.2573809999999996</v>
      </c>
      <c r="G16">
        <v>4.2698109999999998</v>
      </c>
      <c r="H16">
        <v>4.2429129999999997</v>
      </c>
      <c r="I16">
        <v>4.2207340000000002</v>
      </c>
      <c r="J16">
        <v>4.2439220000000004</v>
      </c>
      <c r="K16">
        <v>4.2776880000000004</v>
      </c>
      <c r="L16">
        <v>4.2908280000000003</v>
      </c>
      <c r="M16">
        <v>4.3121970000000003</v>
      </c>
      <c r="N16">
        <v>4.3345779999999996</v>
      </c>
      <c r="O16">
        <v>4.3669409999999997</v>
      </c>
      <c r="P16">
        <v>4.4095519999999997</v>
      </c>
      <c r="Q16">
        <v>4.4520609999999996</v>
      </c>
      <c r="R16">
        <v>4.4933990000000001</v>
      </c>
      <c r="S16">
        <v>4.5387060000000004</v>
      </c>
      <c r="T16">
        <v>4.588114</v>
      </c>
      <c r="U16">
        <v>4.6429479999999996</v>
      </c>
      <c r="V16">
        <v>4.7029680000000003</v>
      </c>
      <c r="W16">
        <v>4.7557720000000003</v>
      </c>
      <c r="X16">
        <v>4.8038189999999998</v>
      </c>
      <c r="Y16">
        <v>4.8709829999999998</v>
      </c>
      <c r="Z16">
        <v>4.9358180000000003</v>
      </c>
      <c r="AA16">
        <v>5.0087859999999997</v>
      </c>
      <c r="AB16">
        <v>5.0722199999999997</v>
      </c>
      <c r="AC16">
        <v>5.1185020000000003</v>
      </c>
      <c r="AD16">
        <v>5.178623</v>
      </c>
      <c r="AE16" s="97">
        <v>7.0000000000000001E-3</v>
      </c>
    </row>
    <row r="17" spans="1:31">
      <c r="A17" t="s">
        <v>723</v>
      </c>
      <c r="B17" t="s">
        <v>722</v>
      </c>
      <c r="C17" t="s">
        <v>721</v>
      </c>
      <c r="D17" t="s">
        <v>674</v>
      </c>
      <c r="E17">
        <v>3.6966649999999999</v>
      </c>
      <c r="F17">
        <v>3.3467639999999999</v>
      </c>
      <c r="G17">
        <v>3.318238</v>
      </c>
      <c r="H17">
        <v>3.3552420000000001</v>
      </c>
      <c r="I17">
        <v>3.4518930000000001</v>
      </c>
      <c r="J17">
        <v>3.4120940000000002</v>
      </c>
      <c r="K17">
        <v>3.2905600000000002</v>
      </c>
      <c r="L17">
        <v>3.2572570000000001</v>
      </c>
      <c r="M17">
        <v>3.2724869999999999</v>
      </c>
      <c r="N17">
        <v>3.40652</v>
      </c>
      <c r="O17">
        <v>3.4480849999999998</v>
      </c>
      <c r="P17">
        <v>3.4262549999999998</v>
      </c>
      <c r="Q17">
        <v>3.5241120000000001</v>
      </c>
      <c r="R17">
        <v>3.5556000000000001</v>
      </c>
      <c r="S17">
        <v>3.56969</v>
      </c>
      <c r="T17">
        <v>3.5296530000000002</v>
      </c>
      <c r="U17">
        <v>3.5247289999999998</v>
      </c>
      <c r="V17">
        <v>3.501023</v>
      </c>
      <c r="W17">
        <v>3.5239959999999999</v>
      </c>
      <c r="X17">
        <v>3.6417380000000001</v>
      </c>
      <c r="Y17">
        <v>3.6865380000000001</v>
      </c>
      <c r="Z17">
        <v>3.6807120000000002</v>
      </c>
      <c r="AA17">
        <v>3.6939479999999998</v>
      </c>
      <c r="AB17">
        <v>3.6868340000000002</v>
      </c>
      <c r="AC17">
        <v>3.6839949999999999</v>
      </c>
      <c r="AD17">
        <v>3.6743160000000001</v>
      </c>
      <c r="AE17" s="97">
        <v>0</v>
      </c>
    </row>
    <row r="18" spans="1:31">
      <c r="A18" t="s">
        <v>720</v>
      </c>
      <c r="B18" t="s">
        <v>719</v>
      </c>
      <c r="C18" t="s">
        <v>718</v>
      </c>
      <c r="D18" t="s">
        <v>674</v>
      </c>
      <c r="E18">
        <v>3.6099999999999999E-4</v>
      </c>
      <c r="F18">
        <v>4.17E-4</v>
      </c>
      <c r="G18">
        <v>4.55E-4</v>
      </c>
      <c r="H18">
        <v>5.2800000000000004E-4</v>
      </c>
      <c r="I18">
        <v>6.1700000000000004E-4</v>
      </c>
      <c r="J18">
        <v>7.1699999999999997E-4</v>
      </c>
      <c r="K18">
        <v>8.3299999999999997E-4</v>
      </c>
      <c r="L18">
        <v>9.7000000000000005E-4</v>
      </c>
      <c r="M18">
        <v>1.116E-3</v>
      </c>
      <c r="N18">
        <v>1.2800000000000001E-3</v>
      </c>
      <c r="O18">
        <v>1.4829999999999999E-3</v>
      </c>
      <c r="P18">
        <v>1.6949999999999999E-3</v>
      </c>
      <c r="Q18">
        <v>1.934E-3</v>
      </c>
      <c r="R18">
        <v>2.1919999999999999E-3</v>
      </c>
      <c r="S18">
        <v>2.4689999999999998E-3</v>
      </c>
      <c r="T18">
        <v>2.7720000000000002E-3</v>
      </c>
      <c r="U18">
        <v>3.1029999999999999E-3</v>
      </c>
      <c r="V18">
        <v>3.4450000000000001E-3</v>
      </c>
      <c r="W18">
        <v>3.8140000000000001E-3</v>
      </c>
      <c r="X18">
        <v>4.1989999999999996E-3</v>
      </c>
      <c r="Y18">
        <v>4.6059999999999999E-3</v>
      </c>
      <c r="Z18">
        <v>5.045E-3</v>
      </c>
      <c r="AA18">
        <v>5.5079999999999999E-3</v>
      </c>
      <c r="AB18">
        <v>5.9930000000000001E-3</v>
      </c>
      <c r="AC18">
        <v>6.5030000000000001E-3</v>
      </c>
      <c r="AD18">
        <v>7.0349999999999996E-3</v>
      </c>
      <c r="AE18" s="97">
        <v>0.126</v>
      </c>
    </row>
    <row r="19" spans="1:31">
      <c r="A19" t="s">
        <v>693</v>
      </c>
      <c r="B19" t="s">
        <v>717</v>
      </c>
      <c r="C19" t="s">
        <v>716</v>
      </c>
      <c r="D19" t="s">
        <v>674</v>
      </c>
      <c r="E19">
        <v>3.101E-3</v>
      </c>
      <c r="F19">
        <v>2.9819999999999998E-3</v>
      </c>
      <c r="G19">
        <v>2.8449999999999999E-3</v>
      </c>
      <c r="H19">
        <v>2.7009999999999998E-3</v>
      </c>
      <c r="I19">
        <v>2.5630000000000002E-3</v>
      </c>
      <c r="J19">
        <v>2.4130000000000002E-3</v>
      </c>
      <c r="K19">
        <v>2.2699999999999999E-3</v>
      </c>
      <c r="L19">
        <v>2.117E-3</v>
      </c>
      <c r="M19">
        <v>1.9680000000000001E-3</v>
      </c>
      <c r="N19">
        <v>1.8190000000000001E-3</v>
      </c>
      <c r="O19">
        <v>1.671E-3</v>
      </c>
      <c r="P19">
        <v>1.5280000000000001E-3</v>
      </c>
      <c r="Q19">
        <v>1.3860000000000001E-3</v>
      </c>
      <c r="R19">
        <v>1.2509999999999999E-3</v>
      </c>
      <c r="S19">
        <v>1.122E-3</v>
      </c>
      <c r="T19">
        <v>1.003E-3</v>
      </c>
      <c r="U19">
        <v>8.8900000000000003E-4</v>
      </c>
      <c r="V19">
        <v>7.9799999999999999E-4</v>
      </c>
      <c r="W19">
        <v>7.1900000000000002E-4</v>
      </c>
      <c r="X19">
        <v>6.5799999999999995E-4</v>
      </c>
      <c r="Y19">
        <v>5.8900000000000001E-4</v>
      </c>
      <c r="Z19">
        <v>5.4100000000000003E-4</v>
      </c>
      <c r="AA19">
        <v>5.0699999999999996E-4</v>
      </c>
      <c r="AB19">
        <v>4.7100000000000001E-4</v>
      </c>
      <c r="AC19">
        <v>4.4799999999999999E-4</v>
      </c>
      <c r="AD19">
        <v>4.26E-4</v>
      </c>
      <c r="AE19" s="97">
        <v>-7.5999999999999998E-2</v>
      </c>
    </row>
    <row r="20" spans="1:31">
      <c r="A20" t="s">
        <v>715</v>
      </c>
      <c r="B20" t="s">
        <v>714</v>
      </c>
      <c r="C20" t="s">
        <v>713</v>
      </c>
      <c r="D20" t="s">
        <v>674</v>
      </c>
      <c r="E20">
        <v>2.8519999999999999E-3</v>
      </c>
      <c r="F20">
        <v>2.735E-3</v>
      </c>
      <c r="G20">
        <v>2.5990000000000002E-3</v>
      </c>
      <c r="H20">
        <v>2.4550000000000002E-3</v>
      </c>
      <c r="I20">
        <v>2.3180000000000002E-3</v>
      </c>
      <c r="J20">
        <v>2.1689999999999999E-3</v>
      </c>
      <c r="K20">
        <v>2.0270000000000002E-3</v>
      </c>
      <c r="L20">
        <v>1.8779999999999999E-3</v>
      </c>
      <c r="M20">
        <v>1.7309999999999999E-3</v>
      </c>
      <c r="N20">
        <v>1.5870000000000001E-3</v>
      </c>
      <c r="O20">
        <v>1.444E-3</v>
      </c>
      <c r="P20">
        <v>1.304E-3</v>
      </c>
      <c r="Q20">
        <v>1.1659999999999999E-3</v>
      </c>
      <c r="R20">
        <v>1.0349999999999999E-3</v>
      </c>
      <c r="S20">
        <v>9.0899999999999998E-4</v>
      </c>
      <c r="T20">
        <v>7.94E-4</v>
      </c>
      <c r="U20">
        <v>6.8499999999999995E-4</v>
      </c>
      <c r="V20">
        <v>5.9699999999999998E-4</v>
      </c>
      <c r="W20">
        <v>5.22E-4</v>
      </c>
      <c r="X20">
        <v>4.66E-4</v>
      </c>
      <c r="Y20">
        <v>4.0099999999999999E-4</v>
      </c>
      <c r="Z20">
        <v>3.5599999999999998E-4</v>
      </c>
      <c r="AA20">
        <v>3.2499999999999999E-4</v>
      </c>
      <c r="AB20">
        <v>2.9300000000000002E-4</v>
      </c>
      <c r="AC20">
        <v>2.7300000000000002E-4</v>
      </c>
      <c r="AD20">
        <v>2.5599999999999999E-4</v>
      </c>
      <c r="AE20" s="97">
        <v>-9.1999999999999998E-2</v>
      </c>
    </row>
    <row r="21" spans="1:31">
      <c r="A21" t="s">
        <v>712</v>
      </c>
      <c r="B21" t="s">
        <v>711</v>
      </c>
      <c r="C21" t="s">
        <v>710</v>
      </c>
      <c r="D21" t="s">
        <v>674</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97</v>
      </c>
    </row>
    <row r="22" spans="1:31">
      <c r="A22" t="s">
        <v>709</v>
      </c>
      <c r="B22" t="s">
        <v>708</v>
      </c>
      <c r="C22" t="s">
        <v>707</v>
      </c>
      <c r="D22" t="s">
        <v>674</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97</v>
      </c>
    </row>
    <row r="23" spans="1:31">
      <c r="A23" t="s">
        <v>706</v>
      </c>
      <c r="B23" t="s">
        <v>705</v>
      </c>
      <c r="C23" t="s">
        <v>704</v>
      </c>
      <c r="D23" t="s">
        <v>674</v>
      </c>
      <c r="E23">
        <v>2.4899999999999998E-4</v>
      </c>
      <c r="F23">
        <v>2.4800000000000001E-4</v>
      </c>
      <c r="G23">
        <v>2.4600000000000002E-4</v>
      </c>
      <c r="H23">
        <v>2.4600000000000002E-4</v>
      </c>
      <c r="I23">
        <v>2.4600000000000002E-4</v>
      </c>
      <c r="J23">
        <v>2.4399999999999999E-4</v>
      </c>
      <c r="K23">
        <v>2.43E-4</v>
      </c>
      <c r="L23">
        <v>2.3900000000000001E-4</v>
      </c>
      <c r="M23">
        <v>2.3699999999999999E-4</v>
      </c>
      <c r="N23">
        <v>2.32E-4</v>
      </c>
      <c r="O23">
        <v>2.2800000000000001E-4</v>
      </c>
      <c r="P23">
        <v>2.24E-4</v>
      </c>
      <c r="Q23">
        <v>2.2000000000000001E-4</v>
      </c>
      <c r="R23">
        <v>2.1699999999999999E-4</v>
      </c>
      <c r="S23">
        <v>2.12E-4</v>
      </c>
      <c r="T23">
        <v>2.0900000000000001E-4</v>
      </c>
      <c r="U23">
        <v>2.05E-4</v>
      </c>
      <c r="V23">
        <v>2.0100000000000001E-4</v>
      </c>
      <c r="W23">
        <v>1.9699999999999999E-4</v>
      </c>
      <c r="X23">
        <v>1.93E-4</v>
      </c>
      <c r="Y23">
        <v>1.8900000000000001E-4</v>
      </c>
      <c r="Z23">
        <v>1.85E-4</v>
      </c>
      <c r="AA23">
        <v>1.8200000000000001E-4</v>
      </c>
      <c r="AB23">
        <v>1.7799999999999999E-4</v>
      </c>
      <c r="AC23">
        <v>1.74E-4</v>
      </c>
      <c r="AD23">
        <v>1.7100000000000001E-4</v>
      </c>
      <c r="AE23" s="97">
        <v>-1.4999999999999999E-2</v>
      </c>
    </row>
    <row r="24" spans="1:31">
      <c r="A24" t="s">
        <v>690</v>
      </c>
      <c r="B24" t="s">
        <v>703</v>
      </c>
      <c r="C24" t="s">
        <v>702</v>
      </c>
      <c r="D24" t="s">
        <v>674</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3.6999999999999998E-5</v>
      </c>
      <c r="AD24">
        <v>4.1E-5</v>
      </c>
      <c r="AE24" t="s">
        <v>97</v>
      </c>
    </row>
    <row r="25" spans="1:31">
      <c r="A25" t="s">
        <v>534</v>
      </c>
      <c r="B25" t="s">
        <v>701</v>
      </c>
      <c r="C25" t="s">
        <v>700</v>
      </c>
      <c r="D25" t="s">
        <v>674</v>
      </c>
      <c r="E25">
        <v>6.9940000000000002E-3</v>
      </c>
      <c r="F25">
        <v>8.9859999999999992E-3</v>
      </c>
      <c r="G25">
        <v>1.0403000000000001E-2</v>
      </c>
      <c r="H25">
        <v>1.0129000000000001E-2</v>
      </c>
      <c r="I25">
        <v>1.0777E-2</v>
      </c>
      <c r="J25">
        <v>1.0723E-2</v>
      </c>
      <c r="K25">
        <v>1.0774000000000001E-2</v>
      </c>
      <c r="L25">
        <v>1.1164E-2</v>
      </c>
      <c r="M25">
        <v>1.1257E-2</v>
      </c>
      <c r="N25">
        <v>1.1143E-2</v>
      </c>
      <c r="O25">
        <v>1.1283E-2</v>
      </c>
      <c r="P25">
        <v>1.123E-2</v>
      </c>
      <c r="Q25">
        <v>1.1276E-2</v>
      </c>
      <c r="R25">
        <v>1.1209E-2</v>
      </c>
      <c r="S25">
        <v>1.1299E-2</v>
      </c>
      <c r="T25">
        <v>1.1601E-2</v>
      </c>
      <c r="U25">
        <v>1.1476999999999999E-2</v>
      </c>
      <c r="V25">
        <v>1.1346E-2</v>
      </c>
      <c r="W25">
        <v>1.1627999999999999E-2</v>
      </c>
      <c r="X25">
        <v>1.1833E-2</v>
      </c>
      <c r="Y25">
        <v>1.1945000000000001E-2</v>
      </c>
      <c r="Z25">
        <v>1.2144E-2</v>
      </c>
      <c r="AA25">
        <v>1.2102E-2</v>
      </c>
      <c r="AB25">
        <v>1.2023000000000001E-2</v>
      </c>
      <c r="AC25">
        <v>1.1967999999999999E-2</v>
      </c>
      <c r="AD25">
        <v>1.1861999999999999E-2</v>
      </c>
      <c r="AE25" s="97">
        <v>2.1000000000000001E-2</v>
      </c>
    </row>
    <row r="26" spans="1:31">
      <c r="A26" t="s">
        <v>575</v>
      </c>
    </row>
    <row r="27" spans="1:31">
      <c r="A27" t="s">
        <v>699</v>
      </c>
      <c r="B27" t="s">
        <v>698</v>
      </c>
      <c r="C27" t="s">
        <v>697</v>
      </c>
      <c r="D27" t="s">
        <v>597</v>
      </c>
      <c r="E27">
        <v>9.0607120000000005</v>
      </c>
      <c r="F27">
        <v>9.4486220000000003</v>
      </c>
      <c r="G27">
        <v>9.4422519999999999</v>
      </c>
      <c r="H27">
        <v>9.5782989999999995</v>
      </c>
      <c r="I27">
        <v>9.6609540000000003</v>
      </c>
      <c r="J27">
        <v>10.354512</v>
      </c>
      <c r="K27">
        <v>10.63828</v>
      </c>
      <c r="L27">
        <v>10.782045999999999</v>
      </c>
      <c r="M27">
        <v>10.856977000000001</v>
      </c>
      <c r="N27">
        <v>10.885521000000001</v>
      </c>
      <c r="O27">
        <v>10.817353000000001</v>
      </c>
      <c r="P27">
        <v>10.987251000000001</v>
      </c>
      <c r="Q27">
        <v>11.007936000000001</v>
      </c>
      <c r="R27">
        <v>11.107589000000001</v>
      </c>
      <c r="S27">
        <v>11.199712999999999</v>
      </c>
      <c r="T27">
        <v>11.249643000000001</v>
      </c>
      <c r="U27">
        <v>11.169209</v>
      </c>
      <c r="V27">
        <v>10.978045</v>
      </c>
      <c r="W27">
        <v>10.657317000000001</v>
      </c>
      <c r="X27">
        <v>10.390148999999999</v>
      </c>
      <c r="Y27">
        <v>10.252335</v>
      </c>
      <c r="Z27">
        <v>10.198344000000001</v>
      </c>
      <c r="AA27">
        <v>10.207758</v>
      </c>
      <c r="AB27">
        <v>10.212842999999999</v>
      </c>
      <c r="AC27">
        <v>10.180652</v>
      </c>
      <c r="AD27">
        <v>10.139825</v>
      </c>
      <c r="AE27" s="97">
        <v>5.0000000000000001E-3</v>
      </c>
    </row>
    <row r="28" spans="1:31">
      <c r="A28" t="s">
        <v>576</v>
      </c>
    </row>
    <row r="29" spans="1:31">
      <c r="A29" t="s">
        <v>696</v>
      </c>
      <c r="B29" t="s">
        <v>695</v>
      </c>
      <c r="C29" t="s">
        <v>694</v>
      </c>
      <c r="D29" t="s">
        <v>597</v>
      </c>
      <c r="E29">
        <v>11.501232999999999</v>
      </c>
      <c r="F29">
        <v>11.889143000000001</v>
      </c>
      <c r="G29">
        <v>11.882795</v>
      </c>
      <c r="H29">
        <v>12.018814000000001</v>
      </c>
      <c r="I29">
        <v>12.101516</v>
      </c>
      <c r="J29">
        <v>12.795125000000001</v>
      </c>
      <c r="K29">
        <v>13.078889999999999</v>
      </c>
      <c r="L29">
        <v>13.222678999999999</v>
      </c>
      <c r="M29">
        <v>13.297701999999999</v>
      </c>
      <c r="N29">
        <v>13.326264999999999</v>
      </c>
      <c r="O29">
        <v>13.258114000000001</v>
      </c>
      <c r="P29">
        <v>13.428031000000001</v>
      </c>
      <c r="Q29">
        <v>13.448741</v>
      </c>
      <c r="R29">
        <v>13.548419000000001</v>
      </c>
      <c r="S29">
        <v>13.640568999999999</v>
      </c>
      <c r="T29">
        <v>13.690514</v>
      </c>
      <c r="U29">
        <v>13.610089</v>
      </c>
      <c r="V29">
        <v>13.418937</v>
      </c>
      <c r="W29">
        <v>13.098224</v>
      </c>
      <c r="X29">
        <v>12.831071</v>
      </c>
      <c r="Y29">
        <v>12.693265999999999</v>
      </c>
      <c r="Z29">
        <v>12.639281</v>
      </c>
      <c r="AA29">
        <v>12.648698</v>
      </c>
      <c r="AB29">
        <v>12.653786999999999</v>
      </c>
      <c r="AC29">
        <v>12.621601</v>
      </c>
      <c r="AD29">
        <v>12.580778</v>
      </c>
      <c r="AE29" s="97">
        <v>4.0000000000000001E-3</v>
      </c>
    </row>
    <row r="30" spans="1:31">
      <c r="A30" t="s">
        <v>693</v>
      </c>
      <c r="B30" t="s">
        <v>692</v>
      </c>
      <c r="C30" t="s">
        <v>691</v>
      </c>
      <c r="D30" t="s">
        <v>597</v>
      </c>
      <c r="E30">
        <v>62.374836000000002</v>
      </c>
      <c r="F30">
        <v>62.746746000000002</v>
      </c>
      <c r="G30">
        <v>62.738456999999997</v>
      </c>
      <c r="H30">
        <v>63.015265999999997</v>
      </c>
      <c r="I30">
        <v>63.048782000000003</v>
      </c>
      <c r="J30">
        <v>63.657555000000002</v>
      </c>
      <c r="K30">
        <v>64.013808999999995</v>
      </c>
      <c r="L30">
        <v>64.172545999999997</v>
      </c>
      <c r="M30">
        <v>63.995075</v>
      </c>
      <c r="N30">
        <v>64.052963000000005</v>
      </c>
      <c r="O30">
        <v>64.015572000000006</v>
      </c>
      <c r="P30">
        <v>64.193886000000006</v>
      </c>
      <c r="Q30">
        <v>64.200798000000006</v>
      </c>
      <c r="R30">
        <v>64.280997999999997</v>
      </c>
      <c r="S30">
        <v>64.319580000000002</v>
      </c>
      <c r="T30">
        <v>64.383681999999993</v>
      </c>
      <c r="U30">
        <v>64.349739</v>
      </c>
      <c r="V30">
        <v>64.173012</v>
      </c>
      <c r="W30">
        <v>63.824421000000001</v>
      </c>
      <c r="X30">
        <v>63.489322999999999</v>
      </c>
      <c r="Y30">
        <v>63.327376999999998</v>
      </c>
      <c r="Z30">
        <v>63.308292000000002</v>
      </c>
      <c r="AA30">
        <v>63.319298000000003</v>
      </c>
      <c r="AB30">
        <v>63.316147000000001</v>
      </c>
      <c r="AC30">
        <v>63.268272000000003</v>
      </c>
      <c r="AD30">
        <v>63.212685</v>
      </c>
      <c r="AE30" s="97">
        <v>1E-3</v>
      </c>
    </row>
    <row r="31" spans="1:31">
      <c r="A31" t="s">
        <v>690</v>
      </c>
      <c r="B31" t="s">
        <v>689</v>
      </c>
      <c r="C31" t="s">
        <v>688</v>
      </c>
      <c r="D31" t="s">
        <v>597</v>
      </c>
      <c r="E31">
        <v>11.501232999999999</v>
      </c>
      <c r="F31">
        <v>11.889143000000001</v>
      </c>
      <c r="G31">
        <v>11.882795</v>
      </c>
      <c r="H31">
        <v>12.018814000000001</v>
      </c>
      <c r="I31">
        <v>12.101516</v>
      </c>
      <c r="J31">
        <v>12.795125000000001</v>
      </c>
      <c r="K31">
        <v>13.078889999999999</v>
      </c>
      <c r="L31">
        <v>13.222678999999999</v>
      </c>
      <c r="M31">
        <v>13.297701999999999</v>
      </c>
      <c r="N31">
        <v>13.326264999999999</v>
      </c>
      <c r="O31">
        <v>13.258114000000001</v>
      </c>
      <c r="P31">
        <v>13.428031000000001</v>
      </c>
      <c r="Q31">
        <v>13.448741</v>
      </c>
      <c r="R31">
        <v>13.548419000000001</v>
      </c>
      <c r="S31">
        <v>13.640568999999999</v>
      </c>
      <c r="T31">
        <v>13.690514</v>
      </c>
      <c r="U31">
        <v>13.610089</v>
      </c>
      <c r="V31">
        <v>13.418937</v>
      </c>
      <c r="W31">
        <v>13.098224</v>
      </c>
      <c r="X31">
        <v>12.831071</v>
      </c>
      <c r="Y31">
        <v>12.693265999999999</v>
      </c>
      <c r="Z31">
        <v>12.639281</v>
      </c>
      <c r="AA31">
        <v>12.648698</v>
      </c>
      <c r="AB31">
        <v>12.653786999999999</v>
      </c>
      <c r="AC31">
        <v>12.621601</v>
      </c>
      <c r="AD31">
        <v>12.580778</v>
      </c>
      <c r="AE31" s="97">
        <v>4.0000000000000001E-3</v>
      </c>
    </row>
    <row r="32" spans="1:31">
      <c r="A32" t="s">
        <v>687</v>
      </c>
    </row>
    <row r="33" spans="1:31">
      <c r="A33" t="s">
        <v>686</v>
      </c>
      <c r="B33" t="s">
        <v>685</v>
      </c>
      <c r="C33" t="s">
        <v>684</v>
      </c>
      <c r="D33" t="s">
        <v>674</v>
      </c>
      <c r="E33">
        <v>8.1087520000000008</v>
      </c>
      <c r="F33">
        <v>8.1087520000000008</v>
      </c>
      <c r="G33">
        <v>8.1087520000000008</v>
      </c>
      <c r="H33">
        <v>8.1087520000000008</v>
      </c>
      <c r="I33">
        <v>8.1087520000000008</v>
      </c>
      <c r="J33">
        <v>8.1087520000000008</v>
      </c>
      <c r="K33">
        <v>8.1087520000000008</v>
      </c>
      <c r="L33">
        <v>8.1087520000000008</v>
      </c>
      <c r="M33">
        <v>8.1087520000000008</v>
      </c>
      <c r="N33">
        <v>8.1087520000000008</v>
      </c>
      <c r="O33">
        <v>8.1087520000000008</v>
      </c>
      <c r="P33">
        <v>8.1087520000000008</v>
      </c>
      <c r="Q33">
        <v>8.1087520000000008</v>
      </c>
      <c r="R33">
        <v>8.1087520000000008</v>
      </c>
      <c r="S33">
        <v>8.1087520000000008</v>
      </c>
      <c r="T33">
        <v>8.1087520000000008</v>
      </c>
      <c r="U33">
        <v>8.1087520000000008</v>
      </c>
      <c r="V33">
        <v>8.1087520000000008</v>
      </c>
      <c r="W33">
        <v>8.1087520000000008</v>
      </c>
      <c r="X33">
        <v>8.1087520000000008</v>
      </c>
      <c r="Y33">
        <v>8.1087520000000008</v>
      </c>
      <c r="Z33">
        <v>8.1087520000000008</v>
      </c>
      <c r="AA33">
        <v>8.1087520000000008</v>
      </c>
      <c r="AB33">
        <v>8.1087520000000008</v>
      </c>
      <c r="AC33">
        <v>8.1104780000000005</v>
      </c>
      <c r="AD33">
        <v>8.1158710000000003</v>
      </c>
      <c r="AE33" s="97">
        <v>0</v>
      </c>
    </row>
    <row r="34" spans="1:31">
      <c r="A34" t="s">
        <v>683</v>
      </c>
      <c r="B34" t="s">
        <v>682</v>
      </c>
      <c r="C34" t="s">
        <v>681</v>
      </c>
      <c r="D34" t="s">
        <v>674</v>
      </c>
      <c r="E34">
        <v>0.53545399999999999</v>
      </c>
      <c r="F34">
        <v>0.53545399999999999</v>
      </c>
      <c r="G34">
        <v>0.53545399999999999</v>
      </c>
      <c r="H34">
        <v>0.53545399999999999</v>
      </c>
      <c r="I34">
        <v>0.53545399999999999</v>
      </c>
      <c r="J34">
        <v>0.53545399999999999</v>
      </c>
      <c r="K34">
        <v>0.53545399999999999</v>
      </c>
      <c r="L34">
        <v>0.53545399999999999</v>
      </c>
      <c r="M34">
        <v>0.53545399999999999</v>
      </c>
      <c r="N34">
        <v>0.53545399999999999</v>
      </c>
      <c r="O34">
        <v>0.53545399999999999</v>
      </c>
      <c r="P34">
        <v>0.53545399999999999</v>
      </c>
      <c r="Q34">
        <v>0.53545399999999999</v>
      </c>
      <c r="R34">
        <v>0.53545399999999999</v>
      </c>
      <c r="S34">
        <v>0.53545399999999999</v>
      </c>
      <c r="T34">
        <v>0.53545399999999999</v>
      </c>
      <c r="U34">
        <v>0.53545399999999999</v>
      </c>
      <c r="V34">
        <v>0.53545399999999999</v>
      </c>
      <c r="W34">
        <v>0.53545399999999999</v>
      </c>
      <c r="X34">
        <v>0.53545399999999999</v>
      </c>
      <c r="Y34">
        <v>0.53545399999999999</v>
      </c>
      <c r="Z34">
        <v>0.53545399999999999</v>
      </c>
      <c r="AA34">
        <v>0.53545399999999999</v>
      </c>
      <c r="AB34">
        <v>0.53545399999999999</v>
      </c>
      <c r="AC34">
        <v>0.53545399999999999</v>
      </c>
      <c r="AD34">
        <v>0.53545399999999999</v>
      </c>
      <c r="AE34" s="97">
        <v>0</v>
      </c>
    </row>
    <row r="35" spans="1:31">
      <c r="A35" t="s">
        <v>680</v>
      </c>
      <c r="B35" t="s">
        <v>679</v>
      </c>
      <c r="C35" t="s">
        <v>678</v>
      </c>
      <c r="D35" t="s">
        <v>674</v>
      </c>
      <c r="E35">
        <v>0</v>
      </c>
      <c r="F35">
        <v>0.170512</v>
      </c>
      <c r="G35">
        <v>0.170512</v>
      </c>
      <c r="H35">
        <v>0.170512</v>
      </c>
      <c r="I35">
        <v>0.40120400000000001</v>
      </c>
      <c r="J35">
        <v>0.40120400000000001</v>
      </c>
      <c r="K35">
        <v>0.40120400000000001</v>
      </c>
      <c r="L35">
        <v>0.40120400000000001</v>
      </c>
      <c r="M35">
        <v>0.40120400000000001</v>
      </c>
      <c r="N35">
        <v>0.40120400000000001</v>
      </c>
      <c r="O35">
        <v>0.40120400000000001</v>
      </c>
      <c r="P35">
        <v>0.40120400000000001</v>
      </c>
      <c r="Q35">
        <v>0.40120400000000001</v>
      </c>
      <c r="R35">
        <v>0.40120400000000001</v>
      </c>
      <c r="S35">
        <v>0.40120400000000001</v>
      </c>
      <c r="T35">
        <v>0.40120400000000001</v>
      </c>
      <c r="U35">
        <v>0.40120400000000001</v>
      </c>
      <c r="V35">
        <v>0.40120400000000001</v>
      </c>
      <c r="W35">
        <v>0.40120400000000001</v>
      </c>
      <c r="X35">
        <v>0.40120400000000001</v>
      </c>
      <c r="Y35">
        <v>0.40120400000000001</v>
      </c>
      <c r="Z35">
        <v>0.40120400000000001</v>
      </c>
      <c r="AA35">
        <v>0.40120400000000001</v>
      </c>
      <c r="AB35">
        <v>0.40120400000000001</v>
      </c>
      <c r="AC35">
        <v>0.40120400000000001</v>
      </c>
      <c r="AD35">
        <v>0.40120400000000001</v>
      </c>
      <c r="AE35" t="s">
        <v>97</v>
      </c>
    </row>
    <row r="36" spans="1:31">
      <c r="A36" t="s">
        <v>677</v>
      </c>
      <c r="B36" t="s">
        <v>676</v>
      </c>
      <c r="C36" t="s">
        <v>675</v>
      </c>
      <c r="D36" t="s">
        <v>674</v>
      </c>
      <c r="E36">
        <v>1.1264E-2</v>
      </c>
      <c r="F36">
        <v>7.4204999999999993E-2</v>
      </c>
      <c r="G36">
        <v>9.0132000000000004E-2</v>
      </c>
      <c r="H36">
        <v>9.0132000000000004E-2</v>
      </c>
      <c r="I36">
        <v>9.0132000000000004E-2</v>
      </c>
      <c r="J36">
        <v>9.0132000000000004E-2</v>
      </c>
      <c r="K36">
        <v>9.0132000000000004E-2</v>
      </c>
      <c r="L36">
        <v>9.0132000000000004E-2</v>
      </c>
      <c r="M36">
        <v>9.0132000000000004E-2</v>
      </c>
      <c r="N36">
        <v>9.0132000000000004E-2</v>
      </c>
      <c r="O36">
        <v>9.0132000000000004E-2</v>
      </c>
      <c r="P36">
        <v>9.0132000000000004E-2</v>
      </c>
      <c r="Q36">
        <v>9.0132000000000004E-2</v>
      </c>
      <c r="R36">
        <v>9.0132000000000004E-2</v>
      </c>
      <c r="S36">
        <v>9.0132000000000004E-2</v>
      </c>
      <c r="T36">
        <v>9.0132000000000004E-2</v>
      </c>
      <c r="U36">
        <v>9.0132000000000004E-2</v>
      </c>
      <c r="V36">
        <v>9.0132000000000004E-2</v>
      </c>
      <c r="W36">
        <v>9.0132000000000004E-2</v>
      </c>
      <c r="X36">
        <v>9.0132000000000004E-2</v>
      </c>
      <c r="Y36">
        <v>9.0132000000000004E-2</v>
      </c>
      <c r="Z36">
        <v>9.0132000000000004E-2</v>
      </c>
      <c r="AA36">
        <v>9.0132000000000004E-2</v>
      </c>
      <c r="AB36">
        <v>9.0132000000000004E-2</v>
      </c>
      <c r="AC36">
        <v>9.0132000000000004E-2</v>
      </c>
      <c r="AD36">
        <v>9.0132000000000004E-2</v>
      </c>
      <c r="AE36" s="97">
        <v>8.6999999999999994E-2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63"/>
  <sheetViews>
    <sheetView workbookViewId="0"/>
  </sheetViews>
  <sheetFormatPr defaultColWidth="9.109375" defaultRowHeight="14.4"/>
  <cols>
    <col min="1" max="1" width="33.109375" customWidth="1"/>
    <col min="2" max="2" width="13.44140625" bestFit="1" customWidth="1"/>
    <col min="3" max="3" width="11.5546875" customWidth="1"/>
    <col min="4" max="4" width="12.88671875" bestFit="1" customWidth="1"/>
    <col min="5" max="5" width="10.44140625" bestFit="1" customWidth="1"/>
    <col min="6" max="6" width="15.33203125" customWidth="1"/>
    <col min="7" max="7" width="13.44140625" customWidth="1"/>
    <col min="8" max="8" width="12.6640625" bestFit="1" customWidth="1"/>
    <col min="9" max="9" width="9.6640625" bestFit="1" customWidth="1"/>
    <col min="11" max="11" width="10.44140625" customWidth="1"/>
    <col min="12" max="12" width="12.44140625" bestFit="1" customWidth="1"/>
    <col min="15" max="15" width="12.88671875" bestFit="1" customWidth="1"/>
    <col min="19" max="19" width="10.44140625" customWidth="1"/>
    <col min="23" max="23" width="10.6640625" customWidth="1"/>
  </cols>
  <sheetData>
    <row r="1" spans="1:23" ht="15.6">
      <c r="A1" s="35" t="s">
        <v>240</v>
      </c>
    </row>
    <row r="2" spans="1:23">
      <c r="A2" s="36" t="s">
        <v>241</v>
      </c>
    </row>
    <row r="3" spans="1:23" ht="12.75" customHeight="1">
      <c r="A3" s="37" t="s">
        <v>103</v>
      </c>
      <c r="B3" s="38" t="s">
        <v>242</v>
      </c>
      <c r="C3" s="39"/>
      <c r="D3" s="39"/>
      <c r="E3" s="40" t="s">
        <v>243</v>
      </c>
      <c r="F3" s="40" t="s">
        <v>244</v>
      </c>
      <c r="G3" s="40" t="s">
        <v>245</v>
      </c>
      <c r="H3" s="40" t="s">
        <v>245</v>
      </c>
      <c r="I3" s="41"/>
    </row>
    <row r="4" spans="1:23" ht="27">
      <c r="A4" s="42"/>
      <c r="B4" s="43" t="s">
        <v>246</v>
      </c>
      <c r="C4" s="44" t="s">
        <v>247</v>
      </c>
      <c r="D4" s="44" t="s">
        <v>248</v>
      </c>
      <c r="E4" s="44"/>
      <c r="F4" s="44" t="s">
        <v>249</v>
      </c>
      <c r="G4" s="44" t="s">
        <v>250</v>
      </c>
      <c r="H4" s="45" t="s">
        <v>251</v>
      </c>
      <c r="I4" s="46" t="s">
        <v>252</v>
      </c>
    </row>
    <row r="5" spans="1:23">
      <c r="A5" s="47" t="s">
        <v>253</v>
      </c>
      <c r="B5" s="48">
        <v>1</v>
      </c>
      <c r="C5" s="49" t="s">
        <v>254</v>
      </c>
      <c r="D5" s="49"/>
      <c r="E5" s="50"/>
      <c r="F5" s="50"/>
      <c r="G5" s="50"/>
      <c r="H5" s="50"/>
      <c r="I5" s="51"/>
    </row>
    <row r="6" spans="1:23">
      <c r="A6" s="52" t="s">
        <v>255</v>
      </c>
      <c r="B6" s="53" t="s">
        <v>256</v>
      </c>
      <c r="C6" s="54" t="s">
        <v>256</v>
      </c>
      <c r="D6" s="54" t="s">
        <v>256</v>
      </c>
      <c r="E6" s="54" t="s">
        <v>257</v>
      </c>
      <c r="F6" s="55"/>
      <c r="G6" s="55"/>
      <c r="H6" s="55"/>
      <c r="I6" s="56"/>
    </row>
    <row r="7" spans="1:23">
      <c r="A7" s="57" t="s">
        <v>258</v>
      </c>
      <c r="B7" s="58">
        <v>129670</v>
      </c>
      <c r="C7" s="59">
        <v>129670</v>
      </c>
      <c r="D7" s="59">
        <v>138350</v>
      </c>
      <c r="E7" s="59">
        <v>3205</v>
      </c>
      <c r="F7" s="60">
        <v>0.85299999999999998</v>
      </c>
      <c r="G7" s="61">
        <v>16000</v>
      </c>
      <c r="H7" s="62">
        <v>1.6E-2</v>
      </c>
      <c r="I7" s="63">
        <v>0.93726057101554028</v>
      </c>
    </row>
    <row r="8" spans="1:23">
      <c r="A8" s="57" t="s">
        <v>259</v>
      </c>
      <c r="B8" s="58">
        <v>135084.91292306196</v>
      </c>
      <c r="C8" s="64">
        <v>135084.91292306196</v>
      </c>
      <c r="D8" s="64">
        <v>144475.84269846199</v>
      </c>
      <c r="E8" s="64">
        <v>3266</v>
      </c>
      <c r="F8" s="65">
        <v>0.85562068501529054</v>
      </c>
      <c r="G8" s="61">
        <v>1800</v>
      </c>
      <c r="H8" s="62">
        <v>1.8E-3</v>
      </c>
      <c r="I8" s="63">
        <v>0.93500000000000005</v>
      </c>
    </row>
    <row r="9" spans="1:23">
      <c r="A9" s="57" t="s">
        <v>260</v>
      </c>
      <c r="B9" s="58">
        <v>152370.90134048002</v>
      </c>
      <c r="C9" s="64">
        <v>152370.90134048002</v>
      </c>
      <c r="D9" s="64">
        <v>162963.53084543315</v>
      </c>
      <c r="E9" s="64">
        <v>3839.6821254480283</v>
      </c>
      <c r="F9" s="65">
        <v>0.83</v>
      </c>
      <c r="G9" s="61">
        <v>48000</v>
      </c>
      <c r="H9" s="62">
        <v>4.8000000000000001E-2</v>
      </c>
      <c r="I9" s="63">
        <v>0.93500000000000016</v>
      </c>
    </row>
    <row r="10" spans="1:23">
      <c r="A10" s="57" t="s">
        <v>261</v>
      </c>
      <c r="B10" s="58">
        <v>152370.90134048002</v>
      </c>
      <c r="C10" s="66">
        <v>152370.90134048002</v>
      </c>
      <c r="D10" s="66">
        <v>162963.53084543315</v>
      </c>
      <c r="E10" s="66">
        <v>3839.6821254480283</v>
      </c>
      <c r="F10" s="67">
        <v>0.83</v>
      </c>
      <c r="G10" s="66">
        <v>48000</v>
      </c>
      <c r="H10" s="62">
        <v>4.8000000000000001E-2</v>
      </c>
      <c r="I10" s="63">
        <v>0.93500000000000016</v>
      </c>
    </row>
    <row r="11" spans="1:23">
      <c r="A11" s="57" t="s">
        <v>262</v>
      </c>
      <c r="B11" s="58">
        <v>145194.18901496602</v>
      </c>
      <c r="C11" s="66">
        <v>145194.18901496602</v>
      </c>
      <c r="D11" s="66">
        <v>155287.90268980322</v>
      </c>
      <c r="E11" s="66">
        <v>3500.47748781362</v>
      </c>
      <c r="F11" s="67">
        <v>0.83245885654014951</v>
      </c>
      <c r="G11" s="66">
        <v>37227.389654331695</v>
      </c>
      <c r="H11" s="62">
        <v>3.7227389654331693E-2</v>
      </c>
      <c r="I11" s="63">
        <v>0.93500000000000005</v>
      </c>
      <c r="L11" s="66"/>
      <c r="M11" s="66"/>
      <c r="N11" s="66"/>
      <c r="O11" s="66"/>
      <c r="P11" s="67"/>
      <c r="Q11" s="66"/>
      <c r="R11" s="62"/>
      <c r="S11" s="68"/>
    </row>
    <row r="12" spans="1:23">
      <c r="A12" s="57" t="s">
        <v>263</v>
      </c>
      <c r="B12" s="58">
        <v>128448.52692210001</v>
      </c>
      <c r="C12" s="64">
        <v>128448.52692210001</v>
      </c>
      <c r="D12" s="64">
        <v>137378.10365999999</v>
      </c>
      <c r="E12" s="64">
        <v>2709</v>
      </c>
      <c r="F12" s="65">
        <v>0.84059083544303792</v>
      </c>
      <c r="G12" s="61">
        <v>1600</v>
      </c>
      <c r="H12" s="62">
        <v>1.6000000000000001E-3</v>
      </c>
      <c r="I12" s="63">
        <v>0.93500000000000005</v>
      </c>
    </row>
    <row r="13" spans="1:23">
      <c r="A13" t="s">
        <v>264</v>
      </c>
      <c r="B13" s="58">
        <v>125600.90733399388</v>
      </c>
      <c r="C13" s="69">
        <v>125600.90733399388</v>
      </c>
      <c r="D13" s="69">
        <v>134008.52571649614</v>
      </c>
      <c r="E13" s="70">
        <v>3087.2372132564833</v>
      </c>
      <c r="F13" s="71">
        <v>0.85299999999999998</v>
      </c>
      <c r="G13" s="71">
        <v>16000</v>
      </c>
      <c r="H13" s="62">
        <v>1.6E-2</v>
      </c>
      <c r="I13" s="63">
        <v>0.93726057101554028</v>
      </c>
    </row>
    <row r="14" spans="1:23">
      <c r="A14" t="s">
        <v>265</v>
      </c>
      <c r="B14" s="58">
        <v>122492.60888766299</v>
      </c>
      <c r="C14" s="69">
        <v>122492.60888766299</v>
      </c>
      <c r="D14" s="69">
        <v>130692.16040416578</v>
      </c>
      <c r="E14" s="70">
        <v>2984.0426545960995</v>
      </c>
      <c r="F14" s="71">
        <v>0.85299999999999998</v>
      </c>
      <c r="G14" s="71">
        <v>16000</v>
      </c>
      <c r="H14" s="62">
        <v>1.6E-2</v>
      </c>
      <c r="I14" s="63">
        <v>0.93726057101554017</v>
      </c>
    </row>
    <row r="15" spans="1:23">
      <c r="A15" s="57" t="s">
        <v>266</v>
      </c>
      <c r="B15" s="58">
        <v>116090</v>
      </c>
      <c r="C15" s="59">
        <v>116090</v>
      </c>
      <c r="D15" s="59">
        <v>124340</v>
      </c>
      <c r="E15" s="59">
        <v>2819</v>
      </c>
      <c r="F15" s="60">
        <v>0.86299999999999999</v>
      </c>
      <c r="G15" s="66">
        <v>10</v>
      </c>
      <c r="H15" s="62">
        <v>1.0000000000000001E-5</v>
      </c>
      <c r="I15" s="63">
        <v>0.93364967025896739</v>
      </c>
      <c r="P15" s="72"/>
      <c r="Q15" s="72"/>
      <c r="R15" s="72"/>
      <c r="S15" s="72"/>
      <c r="T15" s="72"/>
      <c r="U15" s="72"/>
      <c r="V15" s="27"/>
      <c r="W15" s="69"/>
    </row>
    <row r="16" spans="1:23">
      <c r="A16" s="57" t="s">
        <v>267</v>
      </c>
      <c r="B16" s="58">
        <v>112193.52</v>
      </c>
      <c r="C16" s="66">
        <v>112193.52</v>
      </c>
      <c r="D16" s="66">
        <v>120438.62000000001</v>
      </c>
      <c r="E16" s="66">
        <v>2835.5620000000004</v>
      </c>
      <c r="F16" s="67">
        <v>0.82778546968819577</v>
      </c>
      <c r="G16" s="73">
        <v>9.0261788360871336</v>
      </c>
      <c r="H16" s="62">
        <v>9.0261788360871334E-6</v>
      </c>
      <c r="I16" s="63">
        <v>0.931541062160958</v>
      </c>
      <c r="S16" s="72"/>
      <c r="T16" s="72"/>
      <c r="U16" s="72"/>
      <c r="V16" s="27"/>
      <c r="W16" s="69"/>
    </row>
    <row r="17" spans="1:23">
      <c r="A17" s="57" t="s">
        <v>268</v>
      </c>
      <c r="B17" s="58">
        <v>112193.52</v>
      </c>
      <c r="C17" s="66">
        <v>112193.52</v>
      </c>
      <c r="D17" s="66">
        <v>120438.62000000001</v>
      </c>
      <c r="E17" s="66">
        <v>2835.5620000000004</v>
      </c>
      <c r="F17" s="67">
        <v>0.82778546968819577</v>
      </c>
      <c r="G17" s="73">
        <v>9.0261788360871336</v>
      </c>
      <c r="H17" s="62">
        <v>9.0261788360871334E-6</v>
      </c>
      <c r="I17" s="63">
        <v>0.931541062160958</v>
      </c>
      <c r="P17" s="72"/>
      <c r="Q17" s="72"/>
      <c r="R17" s="72"/>
      <c r="S17" s="72"/>
      <c r="T17" s="72"/>
      <c r="U17" s="72"/>
      <c r="V17" s="27"/>
      <c r="W17" s="69"/>
    </row>
    <row r="18" spans="1:23">
      <c r="A18" s="57" t="s">
        <v>269</v>
      </c>
      <c r="B18" s="58">
        <v>106150</v>
      </c>
      <c r="C18" s="66">
        <v>106150</v>
      </c>
      <c r="D18" s="66">
        <v>114387.5</v>
      </c>
      <c r="E18" s="66">
        <v>2861.25</v>
      </c>
      <c r="F18" s="67">
        <v>0.77774999999999994</v>
      </c>
      <c r="G18" s="73">
        <v>7.642500028014183</v>
      </c>
      <c r="H18" s="62">
        <v>7.6425000280141833E-6</v>
      </c>
      <c r="I18" s="63">
        <v>0.92798601245765489</v>
      </c>
      <c r="S18" s="72"/>
      <c r="T18" s="72"/>
      <c r="U18" s="72"/>
      <c r="V18" s="27"/>
      <c r="W18" s="69"/>
    </row>
    <row r="19" spans="1:23">
      <c r="A19" s="57" t="s">
        <v>270</v>
      </c>
      <c r="B19" s="58">
        <v>100186</v>
      </c>
      <c r="C19" s="66">
        <v>100186</v>
      </c>
      <c r="D19" s="66">
        <v>108416</v>
      </c>
      <c r="E19" s="66">
        <v>2886.6</v>
      </c>
      <c r="F19" s="67">
        <v>0.72659999999999991</v>
      </c>
      <c r="G19" s="73">
        <v>6.2280000448226929</v>
      </c>
      <c r="H19" s="62">
        <v>6.2280000448226927E-6</v>
      </c>
      <c r="I19" s="63">
        <v>0.92408869539551353</v>
      </c>
      <c r="J19" s="72"/>
      <c r="K19" s="72"/>
      <c r="L19" s="72"/>
      <c r="M19" s="27"/>
      <c r="N19" s="69"/>
    </row>
    <row r="20" spans="1:23">
      <c r="A20" s="57" t="s">
        <v>271</v>
      </c>
      <c r="B20" s="58">
        <v>128450</v>
      </c>
      <c r="C20" s="59">
        <v>128450</v>
      </c>
      <c r="D20" s="59">
        <v>137380</v>
      </c>
      <c r="E20" s="59">
        <v>3167</v>
      </c>
      <c r="F20" s="60">
        <v>0.86499999999999999</v>
      </c>
      <c r="G20" s="66">
        <v>200</v>
      </c>
      <c r="H20" s="62">
        <v>2.0000000000000001E-4</v>
      </c>
      <c r="I20" s="63">
        <v>0.93499781627602274</v>
      </c>
      <c r="W20" s="69"/>
    </row>
    <row r="21" spans="1:23">
      <c r="A21" s="74" t="s">
        <v>456</v>
      </c>
      <c r="B21" s="58">
        <v>129487.84757606639</v>
      </c>
      <c r="C21" s="66">
        <v>129487.84757606639</v>
      </c>
      <c r="D21" s="66">
        <v>138490</v>
      </c>
      <c r="E21" s="66">
        <v>3206</v>
      </c>
      <c r="F21" s="75">
        <v>0.871</v>
      </c>
      <c r="G21" s="66">
        <v>11</v>
      </c>
      <c r="H21" s="62">
        <v>1.1E-5</v>
      </c>
      <c r="I21" s="63"/>
    </row>
    <row r="22" spans="1:23">
      <c r="A22" s="57" t="s">
        <v>272</v>
      </c>
      <c r="B22" s="58">
        <v>128450</v>
      </c>
      <c r="C22" s="66">
        <v>128450</v>
      </c>
      <c r="D22" s="66">
        <v>137380</v>
      </c>
      <c r="E22" s="66">
        <v>3167</v>
      </c>
      <c r="F22" s="67">
        <v>0.86499999999999999</v>
      </c>
      <c r="G22" s="66">
        <v>11</v>
      </c>
      <c r="H22" s="62">
        <v>1.1E-5</v>
      </c>
      <c r="I22" s="63">
        <v>0.93499781627602274</v>
      </c>
    </row>
    <row r="23" spans="1:23">
      <c r="A23" s="57" t="s">
        <v>273</v>
      </c>
      <c r="B23" s="58">
        <v>129487.84757606639</v>
      </c>
      <c r="C23" s="66">
        <v>129487.84757606639</v>
      </c>
      <c r="D23" s="59">
        <v>138490</v>
      </c>
      <c r="E23" s="59">
        <v>3206</v>
      </c>
      <c r="F23" s="60">
        <v>0.871</v>
      </c>
      <c r="G23" s="61">
        <v>11</v>
      </c>
      <c r="H23" s="62">
        <v>1.1E-5</v>
      </c>
      <c r="I23" s="63">
        <v>0.93499781627602274</v>
      </c>
    </row>
    <row r="24" spans="1:23">
      <c r="A24" s="57" t="s">
        <v>274</v>
      </c>
      <c r="B24" s="58">
        <v>116920</v>
      </c>
      <c r="C24" s="59">
        <v>116920</v>
      </c>
      <c r="D24" s="59">
        <v>125080</v>
      </c>
      <c r="E24" s="59">
        <v>2745</v>
      </c>
      <c r="F24" s="60">
        <v>0.85</v>
      </c>
      <c r="G24" s="61">
        <v>1</v>
      </c>
      <c r="H24" s="62">
        <v>9.9999999999999995E-7</v>
      </c>
      <c r="I24" s="63">
        <v>0.93476175247841387</v>
      </c>
    </row>
    <row r="25" spans="1:23">
      <c r="A25" s="57" t="s">
        <v>457</v>
      </c>
      <c r="B25" s="58">
        <v>118237.434842673</v>
      </c>
      <c r="C25" s="66">
        <v>118237.434842673</v>
      </c>
      <c r="D25" s="66">
        <v>126586.157141156</v>
      </c>
      <c r="E25" s="66">
        <v>2833.8569764657</v>
      </c>
      <c r="F25" s="67">
        <v>0.85315638757897505</v>
      </c>
      <c r="G25" s="66">
        <v>10</v>
      </c>
      <c r="H25" s="62">
        <v>1.0000000000000001E-5</v>
      </c>
      <c r="I25" s="63">
        <v>0.93404711473172097</v>
      </c>
    </row>
    <row r="26" spans="1:23">
      <c r="A26" s="57" t="s">
        <v>275</v>
      </c>
      <c r="B26" s="58">
        <v>124307.03423937227</v>
      </c>
      <c r="C26" s="66">
        <v>124307.03423937227</v>
      </c>
      <c r="D26" s="66">
        <v>132948.69438683367</v>
      </c>
      <c r="E26" s="66">
        <v>3035.8996219999995</v>
      </c>
      <c r="F26" s="67">
        <v>0.86199999999999999</v>
      </c>
      <c r="G26" s="66">
        <v>700</v>
      </c>
      <c r="H26" s="62">
        <v>6.9999999999999999E-4</v>
      </c>
      <c r="I26" s="63">
        <v>0.93500003751584637</v>
      </c>
    </row>
    <row r="27" spans="1:23">
      <c r="A27" s="57" t="s">
        <v>276</v>
      </c>
      <c r="B27" s="58">
        <v>123041.23110601204</v>
      </c>
      <c r="C27" s="59">
        <v>123041.23110601204</v>
      </c>
      <c r="D27" s="59">
        <v>131594.89429852215</v>
      </c>
      <c r="E27" s="76">
        <v>2998.0455119999997</v>
      </c>
      <c r="F27" s="60">
        <v>0.86</v>
      </c>
      <c r="G27" s="61">
        <v>11</v>
      </c>
      <c r="H27" s="62">
        <v>1.1E-5</v>
      </c>
      <c r="I27" s="63">
        <v>0.93500003751584626</v>
      </c>
    </row>
    <row r="28" spans="1:23">
      <c r="A28" s="57" t="s">
        <v>277</v>
      </c>
      <c r="B28" s="58">
        <v>111520</v>
      </c>
      <c r="C28" s="66">
        <v>111520</v>
      </c>
      <c r="D28" s="59">
        <v>119740</v>
      </c>
      <c r="E28" s="59">
        <v>2651</v>
      </c>
      <c r="F28" s="60">
        <v>0.84199999999999997</v>
      </c>
      <c r="G28" s="61">
        <v>0</v>
      </c>
      <c r="H28" s="62">
        <v>0</v>
      </c>
      <c r="I28" s="63">
        <v>0.93135126106564226</v>
      </c>
    </row>
    <row r="29" spans="1:23">
      <c r="A29" s="57" t="s">
        <v>278</v>
      </c>
      <c r="B29" s="58">
        <v>140352.52220119376</v>
      </c>
      <c r="C29" s="66">
        <v>140352.52220119376</v>
      </c>
      <c r="D29" s="66">
        <v>150110</v>
      </c>
      <c r="E29" s="66">
        <v>3752</v>
      </c>
      <c r="F29" s="67">
        <v>0.86799999999999999</v>
      </c>
      <c r="G29" s="61">
        <v>5000</v>
      </c>
      <c r="H29" s="62">
        <v>5.0000000000000001E-3</v>
      </c>
      <c r="I29" s="63">
        <v>0.93499781627602263</v>
      </c>
    </row>
    <row r="30" spans="1:23">
      <c r="A30" s="57" t="s">
        <v>279</v>
      </c>
      <c r="B30" s="58">
        <v>140352.52220119376</v>
      </c>
      <c r="C30" s="59">
        <v>140352.52220119376</v>
      </c>
      <c r="D30" s="59">
        <v>150110</v>
      </c>
      <c r="E30" s="59">
        <v>3752</v>
      </c>
      <c r="F30" s="77">
        <v>0.86799999999999999</v>
      </c>
      <c r="G30" s="61">
        <v>27000</v>
      </c>
      <c r="H30" s="62">
        <v>2.7E-2</v>
      </c>
      <c r="I30" s="63">
        <v>0.93499781627602263</v>
      </c>
    </row>
    <row r="31" spans="1:23">
      <c r="A31" s="57" t="s">
        <v>280</v>
      </c>
      <c r="B31" s="58">
        <v>57250</v>
      </c>
      <c r="C31" s="59">
        <v>57250</v>
      </c>
      <c r="D31" s="59">
        <v>65200</v>
      </c>
      <c r="E31" s="59">
        <v>3006</v>
      </c>
      <c r="F31" s="77">
        <v>0.375</v>
      </c>
      <c r="G31" s="66">
        <v>0</v>
      </c>
      <c r="H31" s="62">
        <v>0</v>
      </c>
      <c r="I31" s="63">
        <v>0.87806748466257667</v>
      </c>
    </row>
    <row r="32" spans="1:23">
      <c r="A32" s="57" t="s">
        <v>281</v>
      </c>
      <c r="B32" s="58">
        <v>76330</v>
      </c>
      <c r="C32" s="78">
        <v>76330</v>
      </c>
      <c r="D32" s="76">
        <v>84530</v>
      </c>
      <c r="E32" s="78">
        <v>2988</v>
      </c>
      <c r="F32" s="79">
        <v>0.52200000000000002</v>
      </c>
      <c r="G32" s="69">
        <v>0.57000011205673218</v>
      </c>
      <c r="H32" s="62">
        <v>5.7000011205673218E-7</v>
      </c>
      <c r="I32" s="63">
        <v>0.90299302022950434</v>
      </c>
    </row>
    <row r="33" spans="1:9">
      <c r="A33" s="57" t="s">
        <v>282</v>
      </c>
      <c r="B33" s="58">
        <v>99837</v>
      </c>
      <c r="C33" s="78">
        <v>99837</v>
      </c>
      <c r="D33" s="76">
        <v>108458</v>
      </c>
      <c r="E33" s="78">
        <v>3065</v>
      </c>
      <c r="F33" s="79">
        <v>0.64859999999999995</v>
      </c>
      <c r="G33" s="69">
        <v>0</v>
      </c>
      <c r="H33" s="62">
        <v>0</v>
      </c>
      <c r="I33" s="63">
        <v>0.92051300964428628</v>
      </c>
    </row>
    <row r="34" spans="1:9">
      <c r="A34" s="57" t="s">
        <v>283</v>
      </c>
      <c r="B34" s="58">
        <v>83127</v>
      </c>
      <c r="C34" s="66">
        <v>83127</v>
      </c>
      <c r="D34" s="66">
        <v>89511</v>
      </c>
      <c r="E34" s="66">
        <v>2964</v>
      </c>
      <c r="F34" s="67">
        <v>0.61980000000000002</v>
      </c>
      <c r="G34" s="66">
        <v>0</v>
      </c>
      <c r="H34" s="62">
        <v>0</v>
      </c>
      <c r="I34" s="63">
        <v>0.92867915675168411</v>
      </c>
    </row>
    <row r="35" spans="1:9">
      <c r="A35" s="57" t="s">
        <v>284</v>
      </c>
      <c r="B35" s="58">
        <v>116090</v>
      </c>
      <c r="C35" s="59">
        <v>116090</v>
      </c>
      <c r="D35" s="59">
        <v>124340</v>
      </c>
      <c r="E35" s="61">
        <v>2819</v>
      </c>
      <c r="F35" s="77">
        <v>0.86299999999999999</v>
      </c>
      <c r="G35" s="61">
        <v>10</v>
      </c>
      <c r="H35" s="62">
        <v>1.0000000000000001E-5</v>
      </c>
      <c r="I35" s="63">
        <v>0.93364967025896739</v>
      </c>
    </row>
    <row r="36" spans="1:9">
      <c r="A36" s="57" t="s">
        <v>285</v>
      </c>
      <c r="B36" s="58">
        <v>84950</v>
      </c>
      <c r="C36" s="59">
        <v>84950</v>
      </c>
      <c r="D36" s="59">
        <v>91410</v>
      </c>
      <c r="E36" s="59">
        <v>1923</v>
      </c>
      <c r="F36" s="60">
        <v>0.82</v>
      </c>
      <c r="G36" s="61">
        <v>0</v>
      </c>
      <c r="H36" s="62">
        <v>0</v>
      </c>
      <c r="I36" s="63">
        <v>0.9293293950333662</v>
      </c>
    </row>
    <row r="37" spans="1:9">
      <c r="A37" s="57" t="s">
        <v>286</v>
      </c>
      <c r="B37" s="58">
        <v>74720</v>
      </c>
      <c r="C37" s="59">
        <v>74720</v>
      </c>
      <c r="D37" s="59">
        <v>84820</v>
      </c>
      <c r="E37" s="59">
        <v>1621</v>
      </c>
      <c r="F37" s="80">
        <v>0.75</v>
      </c>
      <c r="G37" s="61">
        <v>0</v>
      </c>
      <c r="H37" s="62">
        <v>0</v>
      </c>
      <c r="I37" s="63">
        <v>0.88092431030417351</v>
      </c>
    </row>
    <row r="38" spans="1:9">
      <c r="A38" s="57" t="s">
        <v>287</v>
      </c>
      <c r="B38" s="58">
        <v>68930</v>
      </c>
      <c r="C38" s="61">
        <v>68930</v>
      </c>
      <c r="D38" s="66">
        <v>75610</v>
      </c>
      <c r="E38" s="61">
        <v>2518</v>
      </c>
      <c r="F38" s="77">
        <v>0.52200000000000002</v>
      </c>
      <c r="G38" s="61">
        <v>0</v>
      </c>
      <c r="H38" s="62">
        <v>0</v>
      </c>
      <c r="I38" s="63">
        <v>0.91165189789710355</v>
      </c>
    </row>
    <row r="39" spans="1:9">
      <c r="A39" s="57" t="s">
        <v>288</v>
      </c>
      <c r="B39" s="58">
        <v>72200</v>
      </c>
      <c r="C39" s="59">
        <v>72200</v>
      </c>
      <c r="D39" s="59">
        <v>79196.89540113158</v>
      </c>
      <c r="E39" s="59">
        <v>3255</v>
      </c>
      <c r="F39" s="60">
        <v>0.47399999999999998</v>
      </c>
      <c r="G39" s="61">
        <v>0</v>
      </c>
      <c r="H39" s="62">
        <v>0</v>
      </c>
      <c r="I39" s="63">
        <v>0.91165189789710355</v>
      </c>
    </row>
    <row r="40" spans="1:9">
      <c r="A40" s="57" t="s">
        <v>289</v>
      </c>
      <c r="B40" s="58">
        <v>119550</v>
      </c>
      <c r="C40" s="59">
        <v>119550</v>
      </c>
      <c r="D40" s="59">
        <v>127960</v>
      </c>
      <c r="E40" s="59">
        <v>3361</v>
      </c>
      <c r="F40" s="60">
        <v>0.77600000000000002</v>
      </c>
      <c r="G40" s="61">
        <v>0</v>
      </c>
      <c r="H40" s="62">
        <v>0</v>
      </c>
      <c r="I40" s="63">
        <v>0.93427633635511098</v>
      </c>
    </row>
    <row r="41" spans="1:9">
      <c r="A41" s="57" t="s">
        <v>290</v>
      </c>
      <c r="B41" s="58">
        <v>123670</v>
      </c>
      <c r="C41" s="61">
        <v>123670</v>
      </c>
      <c r="D41" s="61">
        <v>130030</v>
      </c>
      <c r="E41" s="61">
        <v>3017</v>
      </c>
      <c r="F41" s="77">
        <v>0.85299999999999998</v>
      </c>
      <c r="G41" s="66">
        <v>0</v>
      </c>
      <c r="H41" s="62">
        <v>0</v>
      </c>
      <c r="I41" s="63">
        <v>0.95108821041298164</v>
      </c>
    </row>
    <row r="42" spans="1:9">
      <c r="A42" s="57" t="s">
        <v>291</v>
      </c>
      <c r="B42" s="58">
        <v>117059</v>
      </c>
      <c r="C42" s="76">
        <v>117059</v>
      </c>
      <c r="D42" s="76">
        <v>125293.76528649101</v>
      </c>
      <c r="E42" s="76">
        <v>2835</v>
      </c>
      <c r="F42" s="77">
        <v>0.871</v>
      </c>
      <c r="G42" s="66">
        <v>0</v>
      </c>
      <c r="H42" s="62">
        <v>0</v>
      </c>
      <c r="I42" s="63">
        <v>0.93427633635511098</v>
      </c>
    </row>
    <row r="43" spans="1:9">
      <c r="A43" s="57" t="s">
        <v>292</v>
      </c>
      <c r="B43" s="58">
        <v>122887</v>
      </c>
      <c r="C43" s="76">
        <v>122887</v>
      </c>
      <c r="D43" s="76">
        <v>130817</v>
      </c>
      <c r="E43" s="76">
        <v>2948</v>
      </c>
      <c r="F43" s="77">
        <v>0.871</v>
      </c>
      <c r="G43" s="66">
        <v>0</v>
      </c>
      <c r="H43" s="62">
        <v>0</v>
      </c>
      <c r="I43" s="63">
        <v>0.93938096730547249</v>
      </c>
    </row>
    <row r="44" spans="1:9">
      <c r="A44" s="57" t="s">
        <v>293</v>
      </c>
      <c r="B44" s="58">
        <v>123542.426446789</v>
      </c>
      <c r="C44" s="76">
        <v>123542.426446789</v>
      </c>
      <c r="D44" s="76">
        <v>133070.13702382601</v>
      </c>
      <c r="E44" s="76">
        <v>3003.2639480974099</v>
      </c>
      <c r="F44" s="77">
        <v>0.871</v>
      </c>
      <c r="G44" s="66">
        <v>0</v>
      </c>
      <c r="H44" s="62">
        <v>0</v>
      </c>
      <c r="I44" s="63">
        <v>0.92840083590406852</v>
      </c>
    </row>
    <row r="45" spans="1:9">
      <c r="A45" t="s">
        <v>294</v>
      </c>
      <c r="B45" s="58">
        <v>115983</v>
      </c>
      <c r="C45" s="64">
        <v>115983</v>
      </c>
      <c r="D45" s="66">
        <v>124230</v>
      </c>
      <c r="E45" s="64">
        <v>2830</v>
      </c>
      <c r="F45" s="65">
        <v>0.84</v>
      </c>
      <c r="G45" s="61">
        <v>0</v>
      </c>
      <c r="H45" s="62">
        <v>0</v>
      </c>
      <c r="I45" s="63">
        <v>0.93361506882395562</v>
      </c>
    </row>
    <row r="46" spans="1:9">
      <c r="A46" s="57" t="s">
        <v>295</v>
      </c>
      <c r="B46" s="58">
        <v>113309</v>
      </c>
      <c r="C46" s="66">
        <v>113309</v>
      </c>
      <c r="D46" s="66">
        <v>121365.86456635887</v>
      </c>
      <c r="E46" s="66">
        <v>2713</v>
      </c>
      <c r="F46" s="67">
        <v>0.83109999999999995</v>
      </c>
      <c r="G46" s="81">
        <v>10</v>
      </c>
      <c r="H46" s="62">
        <v>1.0000000000000001E-5</v>
      </c>
      <c r="I46" s="63">
        <v>0.93361506882395551</v>
      </c>
    </row>
    <row r="47" spans="1:9">
      <c r="A47" s="57" t="s">
        <v>458</v>
      </c>
      <c r="B47" s="58">
        <v>112060.7</v>
      </c>
      <c r="C47" s="59">
        <v>112060.7</v>
      </c>
      <c r="D47" s="59">
        <v>120028.80388505213</v>
      </c>
      <c r="E47" s="59">
        <v>2819</v>
      </c>
      <c r="F47" s="77">
        <v>0.86430000000000007</v>
      </c>
      <c r="G47" s="61">
        <v>10</v>
      </c>
      <c r="H47" s="62">
        <v>1.0000000000000001E-5</v>
      </c>
      <c r="I47" s="63">
        <v>0.93361506882395551</v>
      </c>
    </row>
    <row r="48" spans="1:9">
      <c r="A48" s="57" t="s">
        <v>296</v>
      </c>
      <c r="B48" s="58">
        <v>119776.6214942081</v>
      </c>
      <c r="C48" s="59">
        <v>119776.6214942081</v>
      </c>
      <c r="D48" s="59">
        <v>128103.33335647394</v>
      </c>
      <c r="E48" s="59">
        <v>2865.5561269999994</v>
      </c>
      <c r="F48" s="77">
        <v>0.84699999999999998</v>
      </c>
      <c r="G48" s="61">
        <v>0</v>
      </c>
      <c r="H48" s="62">
        <v>0</v>
      </c>
      <c r="I48" s="63">
        <v>0.93500003751584626</v>
      </c>
    </row>
    <row r="49" spans="1:9">
      <c r="A49" s="57" t="s">
        <v>297</v>
      </c>
      <c r="B49" s="58">
        <v>30500</v>
      </c>
      <c r="C49" s="59">
        <v>30500</v>
      </c>
      <c r="D49" s="59">
        <v>36020</v>
      </c>
      <c r="E49" s="59">
        <v>268</v>
      </c>
      <c r="F49" s="77">
        <v>0</v>
      </c>
      <c r="G49" s="61">
        <v>0</v>
      </c>
      <c r="H49" s="62">
        <v>0</v>
      </c>
      <c r="I49" s="63">
        <v>0.84675180455302612</v>
      </c>
    </row>
    <row r="50" spans="1:9">
      <c r="A50" s="57" t="s">
        <v>298</v>
      </c>
      <c r="B50" s="58">
        <v>93540</v>
      </c>
      <c r="C50" s="59">
        <v>93540</v>
      </c>
      <c r="D50" s="59">
        <v>101130</v>
      </c>
      <c r="E50" s="59">
        <v>2811</v>
      </c>
      <c r="F50" s="77">
        <v>0.68100000000000005</v>
      </c>
      <c r="G50" s="61">
        <v>0</v>
      </c>
      <c r="H50" s="62">
        <v>0</v>
      </c>
      <c r="I50" s="63">
        <v>0.92494808662118067</v>
      </c>
    </row>
    <row r="51" spans="1:9">
      <c r="A51" s="57" t="s">
        <v>299</v>
      </c>
      <c r="B51" s="58">
        <v>96720</v>
      </c>
      <c r="C51" s="59">
        <v>96720</v>
      </c>
      <c r="D51" s="59">
        <v>104530</v>
      </c>
      <c r="E51" s="59">
        <v>2810</v>
      </c>
      <c r="F51" s="77">
        <v>0.70599999999999996</v>
      </c>
      <c r="G51" s="61">
        <v>0</v>
      </c>
      <c r="H51" s="62">
        <v>0</v>
      </c>
      <c r="I51" s="63">
        <v>0.92528460728977324</v>
      </c>
    </row>
    <row r="52" spans="1:9">
      <c r="A52" s="57" t="s">
        <v>300</v>
      </c>
      <c r="B52" s="58">
        <v>100480</v>
      </c>
      <c r="C52" s="59">
        <v>100480</v>
      </c>
      <c r="D52" s="59">
        <v>108570</v>
      </c>
      <c r="E52" s="59">
        <v>2913</v>
      </c>
      <c r="F52" s="77">
        <v>0.70599999999999996</v>
      </c>
      <c r="G52" s="61">
        <v>0</v>
      </c>
      <c r="H52" s="62">
        <v>0</v>
      </c>
      <c r="I52" s="63">
        <v>0.92548586165607438</v>
      </c>
    </row>
    <row r="53" spans="1:9">
      <c r="A53" s="57" t="s">
        <v>301</v>
      </c>
      <c r="B53" s="58">
        <v>94970</v>
      </c>
      <c r="C53" s="59">
        <v>94970</v>
      </c>
      <c r="D53" s="59">
        <v>103220</v>
      </c>
      <c r="E53" s="59">
        <v>2213</v>
      </c>
      <c r="F53" s="77">
        <v>0.82799999999999996</v>
      </c>
      <c r="G53" s="61">
        <v>0</v>
      </c>
      <c r="H53" s="62">
        <v>0</v>
      </c>
      <c r="I53" s="63">
        <v>0.92007362914163926</v>
      </c>
    </row>
    <row r="54" spans="1:9">
      <c r="A54" s="57" t="s">
        <v>38</v>
      </c>
      <c r="B54" s="58">
        <v>90060</v>
      </c>
      <c r="C54" s="59">
        <v>90060</v>
      </c>
      <c r="D54" s="59">
        <v>98560</v>
      </c>
      <c r="E54" s="59">
        <v>2118</v>
      </c>
      <c r="F54" s="77">
        <v>0.82799999999999996</v>
      </c>
      <c r="G54" s="61">
        <v>0</v>
      </c>
      <c r="H54" s="62">
        <v>0</v>
      </c>
      <c r="I54" s="63">
        <v>0.91375811688311692</v>
      </c>
    </row>
    <row r="55" spans="1:9">
      <c r="A55" s="57" t="s">
        <v>44</v>
      </c>
      <c r="B55" s="58">
        <v>95720</v>
      </c>
      <c r="C55" s="66">
        <v>95720</v>
      </c>
      <c r="D55" s="59">
        <v>103010</v>
      </c>
      <c r="E55" s="66">
        <v>2253</v>
      </c>
      <c r="F55" s="67">
        <v>0.85699999999999998</v>
      </c>
      <c r="G55" s="61">
        <v>0</v>
      </c>
      <c r="H55" s="62">
        <v>0</v>
      </c>
      <c r="I55" s="63">
        <v>0.92923017182797785</v>
      </c>
    </row>
    <row r="56" spans="1:9">
      <c r="A56" s="57" t="s">
        <v>36</v>
      </c>
      <c r="B56" s="58">
        <v>84250</v>
      </c>
      <c r="C56" s="82">
        <v>84250</v>
      </c>
      <c r="D56" s="66">
        <v>91420</v>
      </c>
      <c r="E56" s="82">
        <v>1920</v>
      </c>
      <c r="F56" s="83">
        <v>0.81799999999999995</v>
      </c>
      <c r="G56" s="61">
        <v>0</v>
      </c>
      <c r="H56" s="62">
        <v>0</v>
      </c>
      <c r="I56" s="63">
        <v>0.92157077225989936</v>
      </c>
    </row>
    <row r="57" spans="1:9">
      <c r="A57" s="57" t="s">
        <v>302</v>
      </c>
      <c r="B57" s="58">
        <v>83686.11202275462</v>
      </c>
      <c r="C57" s="61">
        <v>83686.11202275462</v>
      </c>
      <c r="D57" s="61">
        <v>90050</v>
      </c>
      <c r="E57" s="82">
        <v>2532</v>
      </c>
      <c r="F57" s="83"/>
      <c r="G57" s="61">
        <v>0</v>
      </c>
      <c r="H57" s="62">
        <v>0</v>
      </c>
      <c r="I57" s="63">
        <v>0.92932939503336609</v>
      </c>
    </row>
    <row r="58" spans="1:9">
      <c r="A58" s="52" t="s">
        <v>303</v>
      </c>
      <c r="B58" s="84">
        <v>105124.8</v>
      </c>
      <c r="C58" s="85">
        <v>105124.8</v>
      </c>
      <c r="D58" s="85">
        <v>112166.3</v>
      </c>
      <c r="E58" s="85">
        <v>2478.6999999999998</v>
      </c>
      <c r="F58" s="86">
        <v>0.83625099999999997</v>
      </c>
      <c r="G58" s="87">
        <v>0</v>
      </c>
      <c r="H58" s="88">
        <v>0</v>
      </c>
      <c r="I58" s="89">
        <v>0.93722267739953979</v>
      </c>
    </row>
    <row r="59" spans="1:9">
      <c r="A59" s="57" t="s">
        <v>305</v>
      </c>
      <c r="B59" s="58" t="s">
        <v>306</v>
      </c>
      <c r="C59" s="59" t="s">
        <v>306</v>
      </c>
      <c r="D59" s="59" t="s">
        <v>306</v>
      </c>
      <c r="E59" s="90" t="s">
        <v>307</v>
      </c>
      <c r="F59" s="60"/>
      <c r="G59" s="61"/>
      <c r="H59" s="62"/>
      <c r="I59" s="63" t="s">
        <v>252</v>
      </c>
    </row>
    <row r="60" spans="1:9">
      <c r="A60" s="57" t="s">
        <v>308</v>
      </c>
      <c r="B60" s="58">
        <v>983</v>
      </c>
      <c r="C60" s="91">
        <v>983</v>
      </c>
      <c r="D60" s="91">
        <v>1089</v>
      </c>
      <c r="E60" s="92">
        <v>22</v>
      </c>
      <c r="F60" s="77">
        <v>0.72399999999999998</v>
      </c>
      <c r="G60" s="61">
        <v>6</v>
      </c>
      <c r="H60" s="62">
        <v>6.0000000000000002E-6</v>
      </c>
      <c r="I60" s="63">
        <v>0.90266299357208446</v>
      </c>
    </row>
    <row r="61" spans="1:9">
      <c r="A61" s="57" t="s">
        <v>309</v>
      </c>
      <c r="B61" s="58">
        <v>962.18504920853229</v>
      </c>
      <c r="C61" s="91">
        <v>962.18504920853229</v>
      </c>
      <c r="D61" s="91">
        <v>1068.0254046214709</v>
      </c>
      <c r="E61" s="92">
        <v>20.303179298999996</v>
      </c>
      <c r="F61" s="77">
        <v>0.75</v>
      </c>
      <c r="G61" s="61">
        <v>0</v>
      </c>
      <c r="H61" s="62">
        <v>0</v>
      </c>
      <c r="I61" s="63">
        <v>0.9009009009009008</v>
      </c>
    </row>
    <row r="62" spans="1:9">
      <c r="A62" s="57" t="s">
        <v>310</v>
      </c>
      <c r="B62" s="58">
        <v>290</v>
      </c>
      <c r="C62" s="66">
        <v>290</v>
      </c>
      <c r="D62" s="66">
        <v>343</v>
      </c>
      <c r="E62" s="93">
        <v>2.5499999999999998</v>
      </c>
      <c r="F62" s="80">
        <v>0</v>
      </c>
      <c r="G62" s="61">
        <v>0</v>
      </c>
      <c r="H62" s="62">
        <v>0</v>
      </c>
      <c r="I62" s="63">
        <v>0.84548104956268222</v>
      </c>
    </row>
    <row r="63" spans="1:9">
      <c r="A63" s="57" t="s">
        <v>311</v>
      </c>
      <c r="B63" s="58"/>
      <c r="C63" s="64"/>
      <c r="D63" s="64"/>
      <c r="E63" s="94">
        <v>55.977829999999997</v>
      </c>
      <c r="F63" s="80">
        <v>0.27272727272727271</v>
      </c>
      <c r="G63" s="76">
        <v>0</v>
      </c>
      <c r="H63" s="62">
        <v>0</v>
      </c>
      <c r="I63" s="63"/>
    </row>
    <row r="64" spans="1:9">
      <c r="A64" s="52" t="s">
        <v>304</v>
      </c>
      <c r="B64" s="84">
        <v>1159.2737122826286</v>
      </c>
      <c r="C64" s="95">
        <v>1159.2737122826286</v>
      </c>
      <c r="D64" s="85">
        <v>1279.7381453012381</v>
      </c>
      <c r="E64" s="87">
        <v>25.019852271678111</v>
      </c>
      <c r="F64" s="86">
        <v>0.76981385823883608</v>
      </c>
      <c r="G64" s="87">
        <v>6</v>
      </c>
      <c r="H64" s="88">
        <v>6.0000000000000002E-6</v>
      </c>
      <c r="I64" s="89">
        <v>0.90586790472651468</v>
      </c>
    </row>
    <row r="65" spans="1:12">
      <c r="A65" s="57" t="s">
        <v>312</v>
      </c>
      <c r="B65" s="58" t="s">
        <v>313</v>
      </c>
      <c r="C65" s="66" t="s">
        <v>313</v>
      </c>
      <c r="D65" s="66" t="s">
        <v>313</v>
      </c>
      <c r="E65" s="66"/>
      <c r="F65" s="67"/>
      <c r="G65" s="66"/>
      <c r="H65" s="62"/>
      <c r="I65" s="63" t="s">
        <v>252</v>
      </c>
    </row>
    <row r="66" spans="1:12">
      <c r="A66" s="74" t="s">
        <v>314</v>
      </c>
      <c r="B66" s="58">
        <v>19474169.219601419</v>
      </c>
      <c r="C66" s="66">
        <v>19474169.219601419</v>
      </c>
      <c r="D66" s="59">
        <v>20673610.116392747</v>
      </c>
      <c r="E66" s="82"/>
      <c r="F66" s="60">
        <v>0.58571109877499994</v>
      </c>
      <c r="G66" s="76">
        <v>10455.988337376644</v>
      </c>
      <c r="H66" s="62">
        <v>1.0455988337376645E-2</v>
      </c>
      <c r="I66" s="96"/>
      <c r="K66" s="97"/>
    </row>
    <row r="67" spans="1:12">
      <c r="A67" s="74" t="s">
        <v>315</v>
      </c>
      <c r="B67" s="58">
        <v>22639319.979813498</v>
      </c>
      <c r="C67" s="66">
        <v>22639319.979813498</v>
      </c>
      <c r="D67" s="59">
        <v>23633492.9618803</v>
      </c>
      <c r="E67" s="82"/>
      <c r="F67" s="80">
        <v>0.61199999999999999</v>
      </c>
      <c r="G67" s="76">
        <v>15352.092718927001</v>
      </c>
      <c r="H67" s="62">
        <v>1.5352092718927001E-2</v>
      </c>
      <c r="I67" s="96">
        <v>0.95793372635732021</v>
      </c>
      <c r="K67" s="97"/>
    </row>
    <row r="68" spans="1:12">
      <c r="A68" s="74" t="s">
        <v>316</v>
      </c>
      <c r="B68" s="58">
        <v>16085444.010446707</v>
      </c>
      <c r="C68" s="66">
        <v>16085444.010446707</v>
      </c>
      <c r="D68" s="76">
        <v>17449319.671483699</v>
      </c>
      <c r="E68" s="82"/>
      <c r="F68" s="80">
        <v>0.53700000000000003</v>
      </c>
      <c r="G68" s="76">
        <v>3568.253687975</v>
      </c>
      <c r="H68" s="62">
        <v>3.5682536879749998E-3</v>
      </c>
      <c r="I68" s="96">
        <v>0.92183788899999997</v>
      </c>
      <c r="K68" s="97"/>
    </row>
    <row r="69" spans="1:12">
      <c r="A69" s="74" t="s">
        <v>317</v>
      </c>
      <c r="B69" s="58">
        <v>10805182.822031699</v>
      </c>
      <c r="C69" s="66">
        <v>10805182.822031699</v>
      </c>
      <c r="D69" s="76">
        <v>12992301.9717196</v>
      </c>
      <c r="E69" s="82"/>
      <c r="F69" s="65">
        <v>0.49099999999999999</v>
      </c>
      <c r="G69" s="76">
        <v>9064.2347162629994</v>
      </c>
      <c r="H69" s="62">
        <v>9.0642347162629994E-3</v>
      </c>
      <c r="I69" s="63">
        <v>0.83166038209020898</v>
      </c>
      <c r="K69" s="97"/>
    </row>
    <row r="70" spans="1:12">
      <c r="A70" s="74" t="s">
        <v>318</v>
      </c>
      <c r="B70" s="58">
        <v>22639319.979813498</v>
      </c>
      <c r="C70" s="66">
        <v>22639319.979813498</v>
      </c>
      <c r="D70" s="64">
        <v>23633492.9618803</v>
      </c>
      <c r="E70" s="82"/>
      <c r="F70" s="65">
        <v>0.80642049800000004</v>
      </c>
      <c r="G70" s="76">
        <v>16142.739251388</v>
      </c>
      <c r="H70" s="62">
        <v>1.6142739251388E-2</v>
      </c>
      <c r="I70" s="63">
        <v>0.95793372635732021</v>
      </c>
      <c r="K70" s="97"/>
    </row>
    <row r="71" spans="1:12">
      <c r="A71" s="57" t="s">
        <v>319</v>
      </c>
      <c r="B71" s="58">
        <v>9945646.340310514</v>
      </c>
      <c r="C71" s="66">
        <v>9945646.340310514</v>
      </c>
      <c r="D71" s="76">
        <v>11958783.362163</v>
      </c>
      <c r="E71" s="66"/>
      <c r="F71" s="80">
        <v>0.32642858499999999</v>
      </c>
      <c r="G71" s="98">
        <v>9064.2347162629994</v>
      </c>
      <c r="H71" s="62">
        <v>9.0642347162629994E-3</v>
      </c>
      <c r="I71" s="96">
        <v>0.83166038209020898</v>
      </c>
      <c r="K71" s="97"/>
      <c r="L71" s="97"/>
    </row>
    <row r="72" spans="1:12">
      <c r="A72" s="57" t="s">
        <v>320</v>
      </c>
      <c r="B72" s="58">
        <v>26949428.734871496</v>
      </c>
      <c r="C72" s="66">
        <v>26949428.734871496</v>
      </c>
      <c r="D72" s="76">
        <v>28595925.1717753</v>
      </c>
      <c r="E72" s="66"/>
      <c r="F72" s="80">
        <v>0.86670000000000003</v>
      </c>
      <c r="G72" s="66">
        <v>45137.714412408997</v>
      </c>
      <c r="H72" s="62">
        <v>4.5137714412408998E-2</v>
      </c>
      <c r="I72" s="63">
        <v>0.94242199100000001</v>
      </c>
      <c r="K72" s="97"/>
    </row>
    <row r="73" spans="1:12">
      <c r="A73" s="57" t="s">
        <v>321</v>
      </c>
      <c r="B73" s="58">
        <v>26664354.295994278</v>
      </c>
      <c r="C73" s="66">
        <v>26664354.295994278</v>
      </c>
      <c r="D73" s="59">
        <v>28293433.886979699</v>
      </c>
      <c r="E73" s="82"/>
      <c r="F73" s="80">
        <v>0.48798697000000002</v>
      </c>
      <c r="G73" s="61">
        <v>45137.714412408997</v>
      </c>
      <c r="H73" s="62">
        <v>4.5137714412408998E-2</v>
      </c>
      <c r="I73" s="63">
        <v>0.94242199100000001</v>
      </c>
    </row>
    <row r="74" spans="1:12" ht="12.6" customHeight="1">
      <c r="A74" s="57" t="s">
        <v>322</v>
      </c>
      <c r="B74" s="58">
        <v>24599421.97472629</v>
      </c>
      <c r="C74" s="76">
        <v>24599421.97472629</v>
      </c>
      <c r="D74" s="76">
        <v>25679670</v>
      </c>
      <c r="E74" s="82"/>
      <c r="F74" s="80">
        <v>0.747</v>
      </c>
      <c r="G74" s="61">
        <v>11800</v>
      </c>
      <c r="H74" s="62">
        <v>1.18E-2</v>
      </c>
      <c r="I74" s="63">
        <v>0.95793372635732044</v>
      </c>
      <c r="K74" s="99"/>
    </row>
    <row r="75" spans="1:12">
      <c r="A75" s="57" t="s">
        <v>459</v>
      </c>
      <c r="B75" s="58">
        <v>28385750.368920002</v>
      </c>
      <c r="C75" s="76">
        <v>28385750.368920002</v>
      </c>
      <c r="D75" s="76">
        <v>30120000</v>
      </c>
      <c r="E75" s="66"/>
      <c r="F75" s="80">
        <v>0.8641323406231759</v>
      </c>
      <c r="G75" s="76">
        <v>45137.714412408997</v>
      </c>
      <c r="H75" s="62">
        <v>4.5137714412408998E-2</v>
      </c>
      <c r="I75" s="63">
        <v>0.94242199100000001</v>
      </c>
      <c r="K75" s="99"/>
    </row>
    <row r="76" spans="1:12">
      <c r="A76" s="57" t="s">
        <v>323</v>
      </c>
      <c r="B76" s="58">
        <v>15396000</v>
      </c>
      <c r="C76" s="76">
        <v>15396000</v>
      </c>
      <c r="D76" s="59">
        <v>16524000</v>
      </c>
      <c r="E76" s="82"/>
      <c r="F76" s="60">
        <v>0.48699999999999999</v>
      </c>
      <c r="G76" s="61">
        <v>500</v>
      </c>
      <c r="H76" s="62">
        <v>5.0000000000000001E-4</v>
      </c>
      <c r="I76" s="63">
        <v>0.93173565722585328</v>
      </c>
    </row>
    <row r="77" spans="1:12">
      <c r="A77" s="57" t="s">
        <v>324</v>
      </c>
      <c r="B77" s="58">
        <v>15929000</v>
      </c>
      <c r="C77" s="98">
        <v>15929000</v>
      </c>
      <c r="D77" s="59">
        <v>17062000</v>
      </c>
      <c r="E77" s="82"/>
      <c r="F77" s="60">
        <v>0.501</v>
      </c>
      <c r="G77" s="61">
        <v>200</v>
      </c>
      <c r="H77" s="62">
        <v>2.0000000000000001E-4</v>
      </c>
      <c r="I77" s="63">
        <v>0.93359512366662756</v>
      </c>
      <c r="K77" s="100"/>
    </row>
    <row r="78" spans="1:12">
      <c r="A78" s="57" t="s">
        <v>325</v>
      </c>
      <c r="B78" s="58">
        <v>14447000</v>
      </c>
      <c r="C78" s="61">
        <v>14447000</v>
      </c>
      <c r="D78" s="61">
        <v>15583000</v>
      </c>
      <c r="E78" s="66"/>
      <c r="F78" s="77">
        <v>0.46600000000000003</v>
      </c>
      <c r="G78" s="61">
        <v>1100</v>
      </c>
      <c r="H78" s="62">
        <v>1.1000000000000001E-3</v>
      </c>
      <c r="I78" s="63">
        <v>0.92710004492074694</v>
      </c>
      <c r="K78" s="99"/>
    </row>
    <row r="79" spans="1:12">
      <c r="A79" s="57" t="s">
        <v>326</v>
      </c>
      <c r="B79" s="58">
        <v>15342000</v>
      </c>
      <c r="C79" s="61">
        <v>15342000</v>
      </c>
      <c r="D79" s="61">
        <v>16377000</v>
      </c>
      <c r="E79" s="66"/>
      <c r="F79" s="77">
        <v>0.47599999999999998</v>
      </c>
      <c r="G79" s="61">
        <v>800</v>
      </c>
      <c r="H79" s="62">
        <v>8.0000000000000004E-4</v>
      </c>
      <c r="I79" s="63">
        <v>0.93680161201685286</v>
      </c>
    </row>
    <row r="80" spans="1:12">
      <c r="A80" s="57" t="s">
        <v>327</v>
      </c>
      <c r="B80" s="58">
        <v>14716000</v>
      </c>
      <c r="C80" s="61">
        <v>14716000</v>
      </c>
      <c r="D80" s="66">
        <v>15774000</v>
      </c>
      <c r="E80" s="66"/>
      <c r="F80" s="77">
        <v>0.46700000000000003</v>
      </c>
      <c r="G80" s="61">
        <v>1000</v>
      </c>
      <c r="H80" s="62">
        <v>1E-3</v>
      </c>
      <c r="I80" s="63">
        <v>0.93292760238366934</v>
      </c>
    </row>
    <row r="81" spans="1:14">
      <c r="A81" s="57" t="s">
        <v>328</v>
      </c>
      <c r="B81" s="58">
        <v>17289000</v>
      </c>
      <c r="C81" s="76">
        <v>17289000</v>
      </c>
      <c r="D81" s="66">
        <v>17906000</v>
      </c>
      <c r="E81" s="66"/>
      <c r="F81" s="77">
        <v>0.503</v>
      </c>
      <c r="G81" s="66">
        <v>400</v>
      </c>
      <c r="H81" s="62">
        <v>4.0000000000000002E-4</v>
      </c>
      <c r="I81" s="63">
        <v>0.96554227633195577</v>
      </c>
    </row>
    <row r="82" spans="1:14">
      <c r="A82" s="57" t="s">
        <v>460</v>
      </c>
      <c r="B82" s="58">
        <v>15929000</v>
      </c>
      <c r="C82" s="61">
        <v>15929000</v>
      </c>
      <c r="D82" s="76">
        <v>17062000</v>
      </c>
      <c r="E82" s="66"/>
      <c r="F82" s="77">
        <v>0.501</v>
      </c>
      <c r="G82" s="66">
        <v>200</v>
      </c>
      <c r="H82" s="62">
        <v>2.0000000000000001E-4</v>
      </c>
      <c r="I82" s="63">
        <v>0.93359512366662756</v>
      </c>
    </row>
    <row r="83" spans="1:14">
      <c r="A83" s="74" t="s">
        <v>329</v>
      </c>
      <c r="B83" s="58">
        <v>14999999.999999998</v>
      </c>
      <c r="C83" s="61">
        <v>14999999.999999998</v>
      </c>
      <c r="D83" s="61"/>
      <c r="E83" s="66"/>
      <c r="F83" s="101">
        <v>0.47799999999999998</v>
      </c>
      <c r="G83" s="61">
        <v>400</v>
      </c>
      <c r="H83" s="102">
        <v>4.0000000000000002E-4</v>
      </c>
      <c r="I83" s="103"/>
    </row>
    <row r="84" spans="1:14">
      <c r="A84" s="104" t="s">
        <v>330</v>
      </c>
      <c r="B84" s="66">
        <v>13454048.892850777</v>
      </c>
      <c r="C84" s="76">
        <v>13454048.892850777</v>
      </c>
      <c r="D84" s="76">
        <v>15774000</v>
      </c>
      <c r="E84" s="66"/>
      <c r="F84" s="105">
        <v>0.5</v>
      </c>
      <c r="G84" s="61"/>
      <c r="H84" s="102"/>
      <c r="I84" s="103">
        <v>0.85292563033160751</v>
      </c>
    </row>
    <row r="85" spans="1:14">
      <c r="A85" s="104" t="s">
        <v>331</v>
      </c>
      <c r="B85" s="66">
        <v>12381771.311916806</v>
      </c>
      <c r="C85" s="76">
        <v>12381771.311916806</v>
      </c>
      <c r="D85" s="76">
        <v>14062678</v>
      </c>
      <c r="E85" s="66"/>
      <c r="F85" s="105">
        <v>0.46300000000000002</v>
      </c>
      <c r="G85" s="61"/>
      <c r="H85" s="102"/>
      <c r="I85" s="103">
        <v>0.88047037071579148</v>
      </c>
    </row>
    <row r="86" spans="1:14">
      <c r="A86" s="104" t="s">
        <v>332</v>
      </c>
      <c r="B86" s="66">
        <v>18916910.5715716</v>
      </c>
      <c r="C86" s="66">
        <v>18916910.5715716</v>
      </c>
      <c r="D86" s="66">
        <v>18916910.5715716</v>
      </c>
      <c r="E86" s="66"/>
      <c r="F86" s="106">
        <v>0.51200000000000001</v>
      </c>
      <c r="G86" s="76">
        <v>0</v>
      </c>
      <c r="H86" s="102">
        <v>0</v>
      </c>
      <c r="I86" s="103">
        <v>1</v>
      </c>
    </row>
    <row r="87" spans="1:14">
      <c r="A87" s="107" t="s">
        <v>333</v>
      </c>
      <c r="B87" s="66">
        <v>12781599.343864119</v>
      </c>
      <c r="C87" s="76">
        <v>12781599.343864119</v>
      </c>
      <c r="D87" s="76">
        <v>14131556.354955051</v>
      </c>
      <c r="E87" s="66"/>
      <c r="F87" s="105">
        <v>0.39339999999999997</v>
      </c>
      <c r="G87" s="61">
        <v>0</v>
      </c>
      <c r="H87" s="102">
        <v>0</v>
      </c>
      <c r="I87" s="103">
        <v>0.90447216306662592</v>
      </c>
    </row>
    <row r="88" spans="1:14">
      <c r="A88" s="108" t="s">
        <v>334</v>
      </c>
      <c r="B88" s="109">
        <v>14409931.248165678</v>
      </c>
      <c r="C88" s="110">
        <v>14409931.248165678</v>
      </c>
      <c r="D88" s="110">
        <v>15305245.093897162</v>
      </c>
      <c r="E88" s="109"/>
      <c r="F88" s="111">
        <v>0.41985</v>
      </c>
      <c r="G88" s="110">
        <v>0</v>
      </c>
      <c r="H88" s="112">
        <v>0</v>
      </c>
      <c r="I88" s="113">
        <v>0.94150280898876404</v>
      </c>
    </row>
    <row r="89" spans="1:14">
      <c r="A89" t="s">
        <v>335</v>
      </c>
      <c r="B89" s="66">
        <v>14409931.248165678</v>
      </c>
      <c r="C89" s="114">
        <v>14409931.248165678</v>
      </c>
      <c r="D89" s="114">
        <v>15305245.093897162</v>
      </c>
      <c r="E89" s="115"/>
      <c r="F89" s="116">
        <v>0.41985</v>
      </c>
      <c r="G89" s="69">
        <v>0</v>
      </c>
      <c r="H89" s="102">
        <v>0</v>
      </c>
      <c r="I89" s="117">
        <v>0.94150280898876404</v>
      </c>
    </row>
    <row r="90" spans="1:14">
      <c r="A90" s="36" t="s">
        <v>336</v>
      </c>
      <c r="B90" s="118">
        <v>11209638.734587256</v>
      </c>
      <c r="C90" s="118">
        <v>11209638.734587256</v>
      </c>
      <c r="D90" s="118">
        <v>13583444.58426456</v>
      </c>
      <c r="E90" s="118"/>
      <c r="F90" s="118">
        <v>0.49161518093556933</v>
      </c>
      <c r="G90">
        <v>1765.2250661959399</v>
      </c>
      <c r="H90">
        <v>1.7652250661959398E-3</v>
      </c>
      <c r="I90">
        <v>0.8252427184466018</v>
      </c>
    </row>
    <row r="91" spans="1:14">
      <c r="A91" t="s">
        <v>337</v>
      </c>
      <c r="B91" s="118">
        <v>14155275.214870876</v>
      </c>
      <c r="C91" s="118">
        <v>14155275.214870876</v>
      </c>
      <c r="D91" s="118">
        <v>16144032.889687445</v>
      </c>
      <c r="E91" s="118"/>
      <c r="F91" s="118">
        <v>0.50491510277033058</v>
      </c>
      <c r="G91">
        <v>1787.3100983020554</v>
      </c>
      <c r="H91">
        <v>1.7873100983020554E-3</v>
      </c>
      <c r="I91">
        <v>0.87681159420289856</v>
      </c>
    </row>
    <row r="92" spans="1:14">
      <c r="A92" s="119" t="s">
        <v>461</v>
      </c>
      <c r="B92" s="120">
        <v>152370.90134048002</v>
      </c>
      <c r="C92" s="121">
        <v>152370.90134048002</v>
      </c>
      <c r="D92" s="121">
        <v>162963.53084543315</v>
      </c>
      <c r="E92" s="121">
        <v>3839.6821254480283</v>
      </c>
      <c r="F92" s="121">
        <v>0.83</v>
      </c>
      <c r="G92" s="122">
        <v>48000</v>
      </c>
      <c r="H92" s="122">
        <v>4.8000000000000001E-2</v>
      </c>
      <c r="I92" s="122">
        <v>0.93500000000000016</v>
      </c>
      <c r="J92" s="122"/>
      <c r="K92" s="122"/>
      <c r="L92" s="122"/>
      <c r="M92" s="122"/>
      <c r="N92" s="123"/>
    </row>
    <row r="93" spans="1:14">
      <c r="A93" s="124" t="s">
        <v>76</v>
      </c>
      <c r="B93" s="125">
        <v>144230</v>
      </c>
      <c r="C93" s="126"/>
      <c r="D93" s="126"/>
      <c r="E93" s="126">
        <v>3785.4109999999991</v>
      </c>
      <c r="F93" s="126">
        <v>0.80800504236780391</v>
      </c>
      <c r="G93" s="126">
        <v>3510</v>
      </c>
      <c r="H93" s="126"/>
      <c r="I93" s="126"/>
      <c r="J93" s="126"/>
      <c r="K93" s="126"/>
      <c r="L93" s="126"/>
      <c r="M93" s="126"/>
      <c r="N93" s="127"/>
    </row>
    <row r="94" spans="1:14">
      <c r="A94" s="128"/>
      <c r="B94" s="129"/>
      <c r="N94" s="130"/>
    </row>
    <row r="95" spans="1:14">
      <c r="A95" s="128" t="s">
        <v>338</v>
      </c>
      <c r="B95" s="129"/>
      <c r="N95" s="130"/>
    </row>
    <row r="96" spans="1:14">
      <c r="A96" s="124" t="s">
        <v>339</v>
      </c>
      <c r="B96" s="131"/>
      <c r="C96" s="132"/>
      <c r="D96" s="132"/>
      <c r="E96" s="132"/>
      <c r="F96" s="132"/>
      <c r="G96" s="132"/>
      <c r="H96" s="132"/>
      <c r="I96" s="132"/>
      <c r="J96" s="132"/>
      <c r="K96" s="132"/>
      <c r="L96" s="132"/>
      <c r="M96" s="132"/>
      <c r="N96" s="133"/>
    </row>
    <row r="97" spans="1:14">
      <c r="A97" s="18" t="s">
        <v>340</v>
      </c>
      <c r="B97" s="69" t="s">
        <v>341</v>
      </c>
      <c r="C97" t="s">
        <v>341</v>
      </c>
      <c r="D97" t="s">
        <v>341</v>
      </c>
      <c r="E97" t="s">
        <v>342</v>
      </c>
      <c r="F97" t="s">
        <v>342</v>
      </c>
      <c r="G97" t="s">
        <v>343</v>
      </c>
      <c r="H97" t="s">
        <v>343</v>
      </c>
      <c r="I97" t="s">
        <v>344</v>
      </c>
      <c r="J97" t="s">
        <v>344</v>
      </c>
      <c r="K97" t="s">
        <v>345</v>
      </c>
      <c r="L97" t="s">
        <v>345</v>
      </c>
      <c r="M97" t="s">
        <v>346</v>
      </c>
      <c r="N97" t="s">
        <v>346</v>
      </c>
    </row>
    <row r="98" spans="1:14">
      <c r="A98" s="3" t="s">
        <v>347</v>
      </c>
      <c r="B98" s="69">
        <v>100</v>
      </c>
      <c r="C98">
        <v>100</v>
      </c>
      <c r="D98">
        <v>20</v>
      </c>
      <c r="E98">
        <v>100</v>
      </c>
      <c r="F98">
        <v>20</v>
      </c>
      <c r="G98">
        <v>100</v>
      </c>
      <c r="H98">
        <v>20</v>
      </c>
      <c r="I98">
        <v>100</v>
      </c>
      <c r="J98">
        <v>20</v>
      </c>
      <c r="K98">
        <v>100</v>
      </c>
      <c r="L98">
        <v>20</v>
      </c>
      <c r="M98">
        <v>100</v>
      </c>
      <c r="N98">
        <v>20</v>
      </c>
    </row>
    <row r="99" spans="1:14">
      <c r="A99" s="134" t="s">
        <v>348</v>
      </c>
      <c r="B99" s="135">
        <v>1</v>
      </c>
      <c r="C99" s="136">
        <v>1</v>
      </c>
      <c r="D99" s="136">
        <v>1</v>
      </c>
      <c r="E99" s="136">
        <v>1</v>
      </c>
      <c r="F99" s="136">
        <v>1</v>
      </c>
      <c r="G99" s="137">
        <v>1</v>
      </c>
      <c r="H99">
        <v>1</v>
      </c>
      <c r="I99">
        <v>1</v>
      </c>
      <c r="J99">
        <v>1</v>
      </c>
      <c r="K99">
        <v>1</v>
      </c>
      <c r="L99">
        <v>1</v>
      </c>
      <c r="M99">
        <v>1</v>
      </c>
      <c r="N99">
        <v>1</v>
      </c>
    </row>
    <row r="100" spans="1:14">
      <c r="A100" s="124" t="s">
        <v>349</v>
      </c>
      <c r="B100" s="125">
        <v>30</v>
      </c>
      <c r="C100" s="138">
        <v>30</v>
      </c>
      <c r="D100" s="138">
        <v>85</v>
      </c>
      <c r="E100" s="138">
        <v>6</v>
      </c>
      <c r="F100" s="138">
        <v>68</v>
      </c>
      <c r="G100" s="139">
        <v>25</v>
      </c>
      <c r="H100">
        <v>72</v>
      </c>
      <c r="I100">
        <v>23</v>
      </c>
      <c r="J100">
        <v>62</v>
      </c>
      <c r="K100">
        <v>21</v>
      </c>
      <c r="L100">
        <v>56</v>
      </c>
      <c r="M100">
        <v>21</v>
      </c>
      <c r="N100">
        <v>63</v>
      </c>
    </row>
    <row r="101" spans="1:14">
      <c r="A101" s="128" t="s">
        <v>350</v>
      </c>
      <c r="B101" s="129">
        <v>265</v>
      </c>
      <c r="C101">
        <v>265</v>
      </c>
      <c r="D101">
        <v>264</v>
      </c>
      <c r="E101" s="69">
        <v>234</v>
      </c>
      <c r="F101">
        <v>277</v>
      </c>
      <c r="G101" s="130">
        <v>298</v>
      </c>
      <c r="H101">
        <v>289</v>
      </c>
      <c r="I101">
        <v>296</v>
      </c>
      <c r="J101">
        <v>275</v>
      </c>
      <c r="K101">
        <v>310</v>
      </c>
      <c r="L101">
        <v>280</v>
      </c>
      <c r="M101">
        <v>290</v>
      </c>
      <c r="N101">
        <v>270</v>
      </c>
    </row>
    <row r="102" spans="1:14">
      <c r="A102" s="128"/>
      <c r="B102" s="129"/>
      <c r="G102" s="130"/>
    </row>
    <row r="103" spans="1:14">
      <c r="A103" s="128" t="s">
        <v>351</v>
      </c>
      <c r="B103" s="129"/>
      <c r="G103" s="130"/>
    </row>
    <row r="104" spans="1:14">
      <c r="A104" s="128" t="s">
        <v>352</v>
      </c>
      <c r="B104" s="129" t="s">
        <v>353</v>
      </c>
      <c r="C104" t="s">
        <v>353</v>
      </c>
      <c r="D104" s="140" t="s">
        <v>354</v>
      </c>
      <c r="E104" s="140" t="s">
        <v>354</v>
      </c>
      <c r="F104" s="140" t="s">
        <v>355</v>
      </c>
      <c r="G104" s="141" t="s">
        <v>355</v>
      </c>
    </row>
    <row r="105" spans="1:14">
      <c r="A105" s="124" t="s">
        <v>347</v>
      </c>
      <c r="B105" s="131">
        <v>100</v>
      </c>
      <c r="C105" s="132"/>
      <c r="D105" s="132">
        <v>100</v>
      </c>
      <c r="E105" s="132">
        <v>20</v>
      </c>
      <c r="F105" s="132">
        <v>100</v>
      </c>
      <c r="G105" s="133">
        <v>20</v>
      </c>
    </row>
    <row r="106" spans="1:14">
      <c r="A106" t="s">
        <v>356</v>
      </c>
      <c r="B106">
        <v>0</v>
      </c>
      <c r="C106">
        <v>0</v>
      </c>
      <c r="D106">
        <v>4.5</v>
      </c>
      <c r="E106">
        <v>14</v>
      </c>
      <c r="F106">
        <v>0.66</v>
      </c>
      <c r="G106">
        <v>7.5</v>
      </c>
    </row>
    <row r="107" spans="1:14">
      <c r="A107" s="36" t="s">
        <v>357</v>
      </c>
      <c r="B107">
        <v>0</v>
      </c>
      <c r="C107">
        <v>0</v>
      </c>
      <c r="D107">
        <v>2.65</v>
      </c>
      <c r="E107">
        <v>7.65</v>
      </c>
      <c r="F107">
        <v>0.42</v>
      </c>
      <c r="G107">
        <v>4.9000000000000004</v>
      </c>
    </row>
    <row r="108" spans="1:14">
      <c r="A108" s="119" t="s">
        <v>358</v>
      </c>
      <c r="B108" s="142">
        <v>0</v>
      </c>
      <c r="C108">
        <v>0</v>
      </c>
      <c r="D108">
        <v>-11</v>
      </c>
      <c r="E108">
        <v>19</v>
      </c>
      <c r="F108">
        <v>-2.9</v>
      </c>
      <c r="G108">
        <v>-87</v>
      </c>
    </row>
    <row r="109" spans="1:14">
      <c r="A109" s="128" t="s">
        <v>359</v>
      </c>
      <c r="B109" s="143">
        <v>0</v>
      </c>
      <c r="C109">
        <v>0</v>
      </c>
      <c r="D109">
        <v>900</v>
      </c>
      <c r="E109">
        <v>3200</v>
      </c>
      <c r="F109">
        <v>130</v>
      </c>
      <c r="G109">
        <v>920</v>
      </c>
    </row>
    <row r="110" spans="1:14">
      <c r="A110" s="128" t="s">
        <v>360</v>
      </c>
      <c r="B110" s="143">
        <v>0</v>
      </c>
      <c r="C110">
        <v>0</v>
      </c>
      <c r="D110">
        <v>-69</v>
      </c>
      <c r="E110">
        <v>-240</v>
      </c>
      <c r="F110">
        <v>-10</v>
      </c>
      <c r="G110">
        <v>-71</v>
      </c>
    </row>
    <row r="111" spans="1:14">
      <c r="A111" s="128"/>
      <c r="B111" s="143"/>
    </row>
    <row r="112" spans="1:14">
      <c r="A112" s="124" t="s">
        <v>361</v>
      </c>
      <c r="B112" s="144"/>
    </row>
    <row r="113" spans="1:24">
      <c r="A113" t="s">
        <v>362</v>
      </c>
      <c r="B113">
        <v>0.85</v>
      </c>
    </row>
    <row r="114" spans="1:24">
      <c r="A114" s="36" t="s">
        <v>363</v>
      </c>
      <c r="B114">
        <v>0.42857142857142855</v>
      </c>
    </row>
    <row r="115" spans="1:24">
      <c r="A115" t="s">
        <v>364</v>
      </c>
      <c r="B115">
        <v>0.75</v>
      </c>
    </row>
    <row r="116" spans="1:24">
      <c r="A116" t="s">
        <v>365</v>
      </c>
      <c r="B116" s="145">
        <v>0.27272727272727271</v>
      </c>
      <c r="F116" s="146"/>
      <c r="J116" s="146"/>
      <c r="N116" s="146"/>
      <c r="R116" s="147"/>
      <c r="V116" s="147"/>
    </row>
    <row r="117" spans="1:24">
      <c r="A117" t="s">
        <v>366</v>
      </c>
      <c r="B117" s="148">
        <v>0.5</v>
      </c>
      <c r="F117" s="149"/>
      <c r="J117" s="149"/>
      <c r="N117" s="149"/>
      <c r="R117" s="150"/>
      <c r="V117" s="150"/>
    </row>
    <row r="118" spans="1:24">
      <c r="B118" s="151"/>
      <c r="C118" s="152"/>
      <c r="D118" s="153"/>
      <c r="F118" s="151"/>
      <c r="G118" s="152"/>
      <c r="H118" s="153"/>
      <c r="J118" s="151"/>
      <c r="K118" s="154"/>
      <c r="L118" s="153"/>
      <c r="N118" s="151"/>
      <c r="O118" s="154"/>
      <c r="P118" s="153"/>
      <c r="R118" s="151"/>
      <c r="S118" s="154"/>
      <c r="T118" s="153"/>
      <c r="V118" s="151"/>
      <c r="W118" s="154"/>
      <c r="X118" s="153"/>
    </row>
    <row r="119" spans="1:24">
      <c r="A119" t="s">
        <v>367</v>
      </c>
      <c r="B119" s="155"/>
      <c r="C119" s="156"/>
      <c r="D119" s="157"/>
      <c r="F119" s="155"/>
      <c r="G119" s="156"/>
      <c r="H119" s="157"/>
      <c r="J119" s="155"/>
      <c r="K119" s="156"/>
      <c r="L119" s="157"/>
      <c r="N119" s="155"/>
      <c r="O119" s="156"/>
      <c r="P119" s="157"/>
      <c r="R119" s="155"/>
      <c r="S119" s="156"/>
      <c r="T119" s="157"/>
      <c r="V119" s="155"/>
      <c r="W119" s="156"/>
      <c r="X119" s="157"/>
    </row>
    <row r="120" spans="1:24">
      <c r="B120" s="158"/>
      <c r="C120" s="150"/>
      <c r="D120" s="159"/>
      <c r="F120" s="158"/>
      <c r="G120" s="150"/>
      <c r="H120" s="159"/>
      <c r="J120" s="158"/>
      <c r="K120" s="150"/>
      <c r="L120" s="159"/>
      <c r="N120" s="158"/>
      <c r="O120" s="150"/>
      <c r="P120" s="159"/>
      <c r="R120" s="158"/>
      <c r="S120" s="150"/>
      <c r="T120" s="159"/>
      <c r="V120" s="158"/>
      <c r="W120" s="150"/>
      <c r="X120" s="159"/>
    </row>
    <row r="121" spans="1:24">
      <c r="B121" s="158">
        <v>10</v>
      </c>
      <c r="C121" s="150"/>
      <c r="D121" s="159"/>
      <c r="F121" s="158">
        <v>200</v>
      </c>
      <c r="G121" s="150"/>
      <c r="H121" s="159"/>
      <c r="J121" s="158">
        <v>11</v>
      </c>
      <c r="K121" s="150"/>
      <c r="L121" s="159"/>
      <c r="N121" s="158">
        <v>11</v>
      </c>
      <c r="O121" s="150"/>
      <c r="P121" s="159"/>
      <c r="R121" s="158">
        <v>27000</v>
      </c>
      <c r="S121" s="150"/>
      <c r="T121" s="159"/>
      <c r="V121" s="158">
        <v>1000</v>
      </c>
      <c r="W121" s="150"/>
      <c r="X121" s="159"/>
    </row>
    <row r="122" spans="1:24">
      <c r="B122" s="158">
        <v>10</v>
      </c>
      <c r="C122" s="150"/>
      <c r="D122" s="159"/>
      <c r="F122" s="158">
        <v>200</v>
      </c>
      <c r="G122" s="150"/>
      <c r="H122" s="159"/>
      <c r="J122" s="158">
        <v>11</v>
      </c>
      <c r="K122" s="150"/>
      <c r="L122" s="159"/>
      <c r="N122" s="158">
        <v>11</v>
      </c>
      <c r="O122" s="150"/>
      <c r="P122" s="159"/>
      <c r="R122" s="158">
        <v>27000</v>
      </c>
      <c r="S122" s="150"/>
      <c r="T122" s="159"/>
      <c r="V122" s="158">
        <v>1000</v>
      </c>
      <c r="W122" s="150"/>
      <c r="X122" s="159"/>
    </row>
    <row r="123" spans="1:24">
      <c r="B123" s="158" t="s">
        <v>368</v>
      </c>
      <c r="C123" s="150" t="s">
        <v>369</v>
      </c>
      <c r="D123" s="159" t="s">
        <v>370</v>
      </c>
      <c r="F123" s="160" t="s">
        <v>368</v>
      </c>
      <c r="G123" s="161" t="s">
        <v>371</v>
      </c>
      <c r="H123" s="162" t="s">
        <v>370</v>
      </c>
      <c r="J123" s="160" t="s">
        <v>368</v>
      </c>
      <c r="K123" s="161" t="s">
        <v>372</v>
      </c>
      <c r="L123" s="162" t="s">
        <v>370</v>
      </c>
      <c r="N123" s="160" t="s">
        <v>368</v>
      </c>
      <c r="O123" s="161" t="s">
        <v>373</v>
      </c>
      <c r="P123" s="162" t="s">
        <v>370</v>
      </c>
      <c r="R123" s="160" t="s">
        <v>368</v>
      </c>
      <c r="S123" s="161" t="s">
        <v>374</v>
      </c>
      <c r="T123" s="162" t="s">
        <v>370</v>
      </c>
      <c r="V123" s="160" t="s">
        <v>368</v>
      </c>
      <c r="W123" s="161" t="s">
        <v>375</v>
      </c>
      <c r="X123" s="162" t="s">
        <v>370</v>
      </c>
    </row>
    <row r="124" spans="1:24">
      <c r="B124" s="158">
        <v>1990</v>
      </c>
      <c r="C124" s="150">
        <v>500</v>
      </c>
      <c r="D124" s="159">
        <v>19.607843137254903</v>
      </c>
      <c r="F124" s="158">
        <v>1990</v>
      </c>
      <c r="G124" s="150">
        <v>600</v>
      </c>
      <c r="H124" s="159">
        <v>3</v>
      </c>
      <c r="J124" s="158">
        <v>1990</v>
      </c>
      <c r="K124" s="150">
        <v>350</v>
      </c>
      <c r="L124" s="159">
        <v>31.818181818181817</v>
      </c>
      <c r="N124" s="158">
        <v>1990</v>
      </c>
      <c r="O124" s="150">
        <v>2283</v>
      </c>
      <c r="P124" s="159">
        <v>14.006134969325153</v>
      </c>
      <c r="R124" s="158">
        <v>1990</v>
      </c>
      <c r="S124" s="150">
        <v>27000</v>
      </c>
      <c r="T124" s="159">
        <v>1</v>
      </c>
      <c r="V124" s="158">
        <v>1990</v>
      </c>
      <c r="W124" s="150">
        <v>2000</v>
      </c>
      <c r="X124" s="159">
        <v>1</v>
      </c>
    </row>
    <row r="125" spans="1:24">
      <c r="B125" s="158">
        <v>1995</v>
      </c>
      <c r="C125" s="150">
        <v>340</v>
      </c>
      <c r="D125" s="159">
        <v>13.333333333333334</v>
      </c>
      <c r="F125" s="163">
        <v>1995</v>
      </c>
      <c r="G125" s="164">
        <v>350</v>
      </c>
      <c r="H125" s="165">
        <v>1.75</v>
      </c>
      <c r="J125" s="163">
        <v>1995</v>
      </c>
      <c r="K125" s="164">
        <v>200</v>
      </c>
      <c r="L125" s="165">
        <v>18.181818181818183</v>
      </c>
      <c r="N125" s="163">
        <v>1995</v>
      </c>
      <c r="O125" s="164">
        <v>2283</v>
      </c>
      <c r="P125" s="165">
        <v>14.006134969325153</v>
      </c>
      <c r="R125" s="163">
        <v>1995</v>
      </c>
      <c r="S125" s="164">
        <v>27000</v>
      </c>
      <c r="T125" s="165">
        <v>1</v>
      </c>
      <c r="V125" s="163">
        <v>1995</v>
      </c>
      <c r="W125" s="164">
        <v>2000</v>
      </c>
      <c r="X125" s="165">
        <v>1</v>
      </c>
    </row>
    <row r="126" spans="1:24">
      <c r="B126" s="163">
        <v>2000</v>
      </c>
      <c r="C126" s="164">
        <v>200</v>
      </c>
      <c r="D126" s="165">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c r="A128" s="36"/>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c r="A129" s="166"/>
      <c r="B129" s="167">
        <v>2015</v>
      </c>
      <c r="C129" s="167">
        <v>25.5</v>
      </c>
      <c r="D129" s="167">
        <v>1</v>
      </c>
      <c r="E129" s="167"/>
      <c r="F129" s="168">
        <v>2015</v>
      </c>
      <c r="G129">
        <v>200</v>
      </c>
      <c r="H129">
        <v>1</v>
      </c>
      <c r="J129">
        <v>2015</v>
      </c>
      <c r="K129">
        <v>11</v>
      </c>
      <c r="L129">
        <v>1</v>
      </c>
      <c r="N129">
        <v>2015</v>
      </c>
      <c r="O129">
        <v>11</v>
      </c>
      <c r="P129">
        <v>6.7484662576687116E-2</v>
      </c>
      <c r="R129">
        <v>2015</v>
      </c>
      <c r="S129">
        <v>27000</v>
      </c>
      <c r="T129">
        <v>1</v>
      </c>
      <c r="V129">
        <v>2015</v>
      </c>
      <c r="W129">
        <v>1000</v>
      </c>
      <c r="X129">
        <v>0.5</v>
      </c>
    </row>
    <row r="130" spans="1:24">
      <c r="A130" s="169"/>
      <c r="B130" s="170">
        <v>2017</v>
      </c>
      <c r="C130" s="170">
        <v>10</v>
      </c>
      <c r="D130" s="170">
        <v>0.39215686274509803</v>
      </c>
      <c r="E130" s="171"/>
      <c r="F130" s="172">
        <v>2020</v>
      </c>
      <c r="G130">
        <v>200</v>
      </c>
      <c r="H130">
        <v>1</v>
      </c>
      <c r="J130">
        <v>2020</v>
      </c>
      <c r="K130">
        <v>11</v>
      </c>
      <c r="L130">
        <v>1</v>
      </c>
      <c r="N130">
        <v>2020</v>
      </c>
      <c r="O130">
        <v>11</v>
      </c>
      <c r="P130">
        <v>6.7484662576687116E-2</v>
      </c>
      <c r="R130">
        <v>2020</v>
      </c>
      <c r="S130">
        <v>5000</v>
      </c>
      <c r="T130">
        <v>0.185</v>
      </c>
      <c r="V130">
        <v>2020</v>
      </c>
      <c r="W130">
        <v>1000</v>
      </c>
      <c r="X130">
        <v>0.5</v>
      </c>
    </row>
    <row r="131" spans="1:24">
      <c r="A131" s="169"/>
      <c r="B131" s="173">
        <v>2020</v>
      </c>
      <c r="C131" s="170">
        <v>10</v>
      </c>
      <c r="D131" s="170">
        <v>0.39215686274509803</v>
      </c>
      <c r="E131" s="171"/>
      <c r="F131" s="174"/>
    </row>
    <row r="132" spans="1:24">
      <c r="A132" s="169"/>
      <c r="B132" s="173"/>
      <c r="C132" s="173"/>
      <c r="D132" s="170"/>
      <c r="E132" s="173"/>
      <c r="F132" s="174"/>
    </row>
    <row r="133" spans="1:24">
      <c r="A133" s="169" t="s">
        <v>376</v>
      </c>
      <c r="B133" s="173"/>
      <c r="C133" s="171"/>
      <c r="D133" s="170"/>
      <c r="E133" s="170"/>
      <c r="F133" s="172"/>
    </row>
    <row r="134" spans="1:24">
      <c r="A134" s="175" t="s">
        <v>377</v>
      </c>
      <c r="B134" s="176" t="s">
        <v>378</v>
      </c>
      <c r="C134" s="176" t="s">
        <v>379</v>
      </c>
      <c r="D134" s="177" t="s">
        <v>380</v>
      </c>
      <c r="E134" s="176" t="s">
        <v>381</v>
      </c>
      <c r="F134" s="178" t="s">
        <v>382</v>
      </c>
    </row>
    <row r="135" spans="1:24">
      <c r="A135" t="s">
        <v>383</v>
      </c>
      <c r="B135">
        <v>1</v>
      </c>
      <c r="C135">
        <v>1000</v>
      </c>
      <c r="D135">
        <v>1000000</v>
      </c>
      <c r="E135">
        <v>453.59237000000002</v>
      </c>
      <c r="F135">
        <v>907184.74</v>
      </c>
    </row>
    <row r="136" spans="1:24">
      <c r="A136" s="166" t="s">
        <v>90</v>
      </c>
      <c r="B136" s="167">
        <v>1E-3</v>
      </c>
      <c r="C136" s="167">
        <v>1</v>
      </c>
      <c r="D136" s="167">
        <v>1000</v>
      </c>
      <c r="E136" s="167">
        <v>0.45359237000000002</v>
      </c>
      <c r="F136" s="168">
        <v>907.18474000000003</v>
      </c>
    </row>
    <row r="137" spans="1:24">
      <c r="A137" s="169" t="s">
        <v>384</v>
      </c>
      <c r="B137" s="148">
        <v>9.9999999999999995E-7</v>
      </c>
      <c r="C137" s="179">
        <v>1E-3</v>
      </c>
      <c r="D137" s="180">
        <v>1</v>
      </c>
      <c r="E137" s="181">
        <v>4.5359237000000004E-4</v>
      </c>
      <c r="F137" s="182">
        <v>0.90718474000000004</v>
      </c>
    </row>
    <row r="138" spans="1:24">
      <c r="A138" s="169" t="s">
        <v>385</v>
      </c>
      <c r="B138" s="170">
        <v>2.2046226218487759E-3</v>
      </c>
      <c r="C138" s="170">
        <v>2.2046226218487757</v>
      </c>
      <c r="D138" s="170">
        <v>2204.6226218487759</v>
      </c>
      <c r="E138" s="170">
        <v>1</v>
      </c>
      <c r="F138" s="172">
        <v>2000</v>
      </c>
    </row>
    <row r="139" spans="1:24">
      <c r="A139" s="169" t="s">
        <v>386</v>
      </c>
      <c r="B139" s="170">
        <v>1.102311310924388E-6</v>
      </c>
      <c r="C139" s="171">
        <v>1.1023113109243879E-3</v>
      </c>
      <c r="D139" s="170">
        <v>1.1023113109243878</v>
      </c>
      <c r="E139" s="171">
        <v>5.0000000000000001E-4</v>
      </c>
      <c r="F139" s="174">
        <v>1</v>
      </c>
    </row>
    <row r="140" spans="1:24">
      <c r="A140" s="169"/>
      <c r="B140" s="150"/>
      <c r="C140" s="173"/>
      <c r="D140" s="171"/>
      <c r="E140" s="170"/>
      <c r="F140" s="174"/>
    </row>
    <row r="141" spans="1:24">
      <c r="A141" s="175" t="s">
        <v>387</v>
      </c>
      <c r="B141" s="164" t="s">
        <v>388</v>
      </c>
      <c r="C141" s="176" t="s">
        <v>389</v>
      </c>
      <c r="D141" s="177" t="s">
        <v>390</v>
      </c>
      <c r="E141" s="177" t="s">
        <v>391</v>
      </c>
      <c r="F141" s="178" t="s">
        <v>392</v>
      </c>
    </row>
    <row r="142" spans="1:24">
      <c r="A142" t="s">
        <v>393</v>
      </c>
      <c r="B142">
        <v>1</v>
      </c>
      <c r="C142">
        <v>9.9999999999999995E-7</v>
      </c>
      <c r="D142">
        <v>1E-3</v>
      </c>
      <c r="E142">
        <v>3.7854109999999998E-3</v>
      </c>
      <c r="F142">
        <v>2.8316846999999999E-2</v>
      </c>
    </row>
    <row r="143" spans="1:24">
      <c r="A143" s="166" t="s">
        <v>394</v>
      </c>
      <c r="B143" s="167">
        <v>1000000</v>
      </c>
      <c r="C143" s="167">
        <v>1</v>
      </c>
      <c r="D143" s="167">
        <v>1000.0000000000001</v>
      </c>
      <c r="E143" s="167">
        <v>3785.4110000000001</v>
      </c>
      <c r="F143" s="167">
        <v>28316.847000000002</v>
      </c>
      <c r="G143" s="167"/>
      <c r="H143" s="167"/>
      <c r="I143" s="168"/>
    </row>
    <row r="144" spans="1:24">
      <c r="A144" s="169" t="s">
        <v>395</v>
      </c>
      <c r="B144" s="170">
        <v>1000</v>
      </c>
      <c r="C144" s="170">
        <v>1E-3</v>
      </c>
      <c r="D144" s="170">
        <v>1</v>
      </c>
      <c r="E144" s="170">
        <v>3.7854109999999999</v>
      </c>
      <c r="F144" s="170">
        <v>28.316846999999999</v>
      </c>
      <c r="G144" s="170"/>
      <c r="H144" s="170"/>
      <c r="I144" s="130"/>
    </row>
    <row r="145" spans="1:9">
      <c r="A145" s="169" t="s">
        <v>396</v>
      </c>
      <c r="B145" s="171">
        <v>264.17210707106841</v>
      </c>
      <c r="C145" s="170">
        <v>2.6417210707106839E-4</v>
      </c>
      <c r="D145" s="170">
        <v>0.26417210707106842</v>
      </c>
      <c r="E145" s="150">
        <v>1</v>
      </c>
      <c r="F145" s="170">
        <v>7.4805211375990615</v>
      </c>
      <c r="G145" s="171"/>
      <c r="H145" s="170"/>
      <c r="I145" s="130"/>
    </row>
    <row r="146" spans="1:9">
      <c r="A146" s="169" t="s">
        <v>397</v>
      </c>
      <c r="B146" s="173">
        <v>35.314666212661322</v>
      </c>
      <c r="C146" s="171">
        <v>3.5314666212661319E-5</v>
      </c>
      <c r="D146" s="170">
        <v>3.5314666212661321E-2</v>
      </c>
      <c r="E146" s="183">
        <v>0.13368052594273649</v>
      </c>
      <c r="F146" s="150">
        <v>1</v>
      </c>
      <c r="G146" s="173"/>
      <c r="H146" s="170"/>
      <c r="I146" s="130"/>
    </row>
    <row r="147" spans="1:9">
      <c r="A147" s="169"/>
      <c r="B147" s="173"/>
      <c r="C147" s="171"/>
      <c r="D147" s="170"/>
      <c r="E147" s="170"/>
      <c r="F147" s="170"/>
      <c r="G147" s="171"/>
      <c r="H147" s="170"/>
      <c r="I147" s="130"/>
    </row>
    <row r="148" spans="1:9">
      <c r="A148" s="169" t="s">
        <v>398</v>
      </c>
      <c r="B148" s="184" t="s">
        <v>399</v>
      </c>
      <c r="C148" s="173" t="s">
        <v>400</v>
      </c>
      <c r="D148" s="171" t="s">
        <v>401</v>
      </c>
      <c r="E148" s="171" t="s">
        <v>402</v>
      </c>
      <c r="F148" s="170" t="s">
        <v>403</v>
      </c>
      <c r="G148" s="173" t="s">
        <v>404</v>
      </c>
      <c r="H148" s="170" t="s">
        <v>405</v>
      </c>
      <c r="I148" s="130" t="s">
        <v>406</v>
      </c>
    </row>
    <row r="149" spans="1:9">
      <c r="A149" s="169" t="s">
        <v>407</v>
      </c>
      <c r="B149" s="173">
        <v>1</v>
      </c>
      <c r="C149" s="171">
        <v>1000</v>
      </c>
      <c r="D149" s="170">
        <v>1000000</v>
      </c>
      <c r="E149" s="171">
        <v>3600</v>
      </c>
      <c r="F149" s="170">
        <v>3600000</v>
      </c>
      <c r="G149" s="170">
        <v>1055.05585</v>
      </c>
      <c r="H149" s="170">
        <v>1055055850</v>
      </c>
      <c r="I149" s="130">
        <v>2684519.5376862194</v>
      </c>
    </row>
    <row r="150" spans="1:9">
      <c r="A150" s="169" t="s">
        <v>408</v>
      </c>
      <c r="B150" s="185">
        <v>1E-3</v>
      </c>
      <c r="C150" s="173">
        <v>1</v>
      </c>
      <c r="D150" s="173">
        <v>1000</v>
      </c>
      <c r="E150" s="186">
        <v>3.6</v>
      </c>
      <c r="F150" s="173">
        <v>3600</v>
      </c>
      <c r="G150" s="173">
        <v>1.05505585</v>
      </c>
      <c r="H150" s="170">
        <v>1055055.8500000001</v>
      </c>
      <c r="I150" s="130">
        <v>2684.5195376862198</v>
      </c>
    </row>
    <row r="151" spans="1:9">
      <c r="A151" s="175" t="s">
        <v>409</v>
      </c>
      <c r="B151" s="132">
        <v>9.9999999999999995E-7</v>
      </c>
      <c r="C151" s="132">
        <v>1E-3</v>
      </c>
      <c r="D151" s="132">
        <v>1</v>
      </c>
      <c r="E151" s="132">
        <v>3.5999999999999999E-3</v>
      </c>
      <c r="F151" s="132">
        <v>3.6</v>
      </c>
      <c r="G151" s="132">
        <v>1.0550558499999999E-3</v>
      </c>
      <c r="H151" s="132">
        <v>1055.05585</v>
      </c>
      <c r="I151" s="133">
        <v>2.6845195376862194</v>
      </c>
    </row>
    <row r="152" spans="1:9">
      <c r="A152" t="s">
        <v>410</v>
      </c>
      <c r="B152">
        <v>2.7777777777777778E-4</v>
      </c>
      <c r="C152">
        <v>0.27777777777777779</v>
      </c>
      <c r="D152">
        <v>277.77777777777777</v>
      </c>
      <c r="E152">
        <v>1</v>
      </c>
      <c r="F152">
        <v>1000</v>
      </c>
      <c r="G152">
        <v>0.29307106944444444</v>
      </c>
      <c r="H152">
        <v>293071.06944444444</v>
      </c>
      <c r="I152">
        <v>745.69987157950538</v>
      </c>
    </row>
    <row r="153" spans="1:9">
      <c r="A153" t="s">
        <v>411</v>
      </c>
      <c r="B153">
        <v>2.7777777777777776E-7</v>
      </c>
      <c r="C153">
        <v>2.7777777777777778E-4</v>
      </c>
      <c r="D153">
        <v>0.27777777777777779</v>
      </c>
      <c r="E153">
        <v>1E-3</v>
      </c>
      <c r="F153">
        <v>1</v>
      </c>
      <c r="G153">
        <v>2.9307106944444444E-4</v>
      </c>
      <c r="H153">
        <v>293.07106944444445</v>
      </c>
      <c r="I153">
        <v>0.74569987157950535</v>
      </c>
    </row>
    <row r="154" spans="1:9">
      <c r="A154" t="s">
        <v>412</v>
      </c>
      <c r="B154">
        <v>9.4781712266701337E-4</v>
      </c>
      <c r="C154">
        <v>0.94781712266701335</v>
      </c>
      <c r="D154">
        <v>947.81712266701334</v>
      </c>
      <c r="E154">
        <v>3.4121416416012482</v>
      </c>
      <c r="F154">
        <v>3412.141641601248</v>
      </c>
      <c r="G154">
        <v>1</v>
      </c>
      <c r="H154">
        <v>1000000</v>
      </c>
      <c r="I154">
        <v>2544.4335839531336</v>
      </c>
    </row>
    <row r="155" spans="1:9">
      <c r="A155" t="s">
        <v>413</v>
      </c>
      <c r="B155">
        <v>9.4781712266701324E-10</v>
      </c>
      <c r="C155">
        <v>9.4781712266701326E-7</v>
      </c>
      <c r="D155">
        <v>9.4781712266701326E-4</v>
      </c>
      <c r="E155">
        <v>3.4121416416012478E-6</v>
      </c>
      <c r="F155">
        <v>3.4121416416012479E-3</v>
      </c>
      <c r="G155">
        <v>9.9999999999999995E-7</v>
      </c>
      <c r="H155">
        <v>1</v>
      </c>
      <c r="I155">
        <v>2.5444335839531337E-3</v>
      </c>
    </row>
    <row r="156" spans="1:9">
      <c r="A156" t="s">
        <v>414</v>
      </c>
      <c r="B156">
        <v>3.72506136E-7</v>
      </c>
      <c r="C156">
        <v>3.7250613599999999E-4</v>
      </c>
      <c r="D156">
        <v>0.37250613599999999</v>
      </c>
      <c r="E156">
        <v>1.3410220896E-3</v>
      </c>
      <c r="F156">
        <v>1.3410220896</v>
      </c>
      <c r="G156">
        <v>3.9301477794769559E-4</v>
      </c>
      <c r="H156">
        <v>393.01477794769556</v>
      </c>
      <c r="I156">
        <v>1</v>
      </c>
    </row>
    <row r="158" spans="1:9">
      <c r="A158" t="s">
        <v>462</v>
      </c>
      <c r="B158" t="s">
        <v>463</v>
      </c>
      <c r="C158" t="s">
        <v>464</v>
      </c>
      <c r="D158" t="s">
        <v>465</v>
      </c>
      <c r="E158" t="s">
        <v>466</v>
      </c>
      <c r="F158" t="s">
        <v>467</v>
      </c>
    </row>
    <row r="159" spans="1:9">
      <c r="A159" t="s">
        <v>463</v>
      </c>
      <c r="B159">
        <v>1</v>
      </c>
      <c r="C159">
        <v>1000</v>
      </c>
      <c r="D159">
        <v>1000000</v>
      </c>
      <c r="E159">
        <v>304.8</v>
      </c>
      <c r="F159">
        <v>1609340</v>
      </c>
    </row>
    <row r="160" spans="1:9">
      <c r="A160" t="s">
        <v>464</v>
      </c>
      <c r="B160">
        <v>1E-3</v>
      </c>
      <c r="C160">
        <v>1</v>
      </c>
      <c r="D160">
        <v>1000</v>
      </c>
      <c r="E160">
        <v>0.30480000000000002</v>
      </c>
      <c r="F160">
        <v>1609.34</v>
      </c>
    </row>
    <row r="161" spans="1:6">
      <c r="A161" t="s">
        <v>465</v>
      </c>
      <c r="B161">
        <v>9.9999999999999995E-7</v>
      </c>
      <c r="C161">
        <v>1E-3</v>
      </c>
      <c r="D161">
        <v>1</v>
      </c>
      <c r="E161">
        <v>3.0480000000000004E-4</v>
      </c>
      <c r="F161">
        <v>1.60934</v>
      </c>
    </row>
    <row r="162" spans="1:6">
      <c r="A162" t="s">
        <v>466</v>
      </c>
      <c r="B162">
        <v>3.2808398950131233E-3</v>
      </c>
      <c r="C162">
        <v>3.2808398950131235</v>
      </c>
      <c r="D162">
        <v>3280.8398950131236</v>
      </c>
      <c r="E162">
        <v>1</v>
      </c>
      <c r="F162">
        <v>5280</v>
      </c>
    </row>
    <row r="163" spans="1:6">
      <c r="A163" t="s">
        <v>467</v>
      </c>
      <c r="B163">
        <v>6.2137273664980671E-7</v>
      </c>
      <c r="C163">
        <v>6.2137273664980672E-4</v>
      </c>
      <c r="D163">
        <v>0.62137273664980675</v>
      </c>
      <c r="E163">
        <v>1.8939393939393939E-4</v>
      </c>
      <c r="F163">
        <v>1</v>
      </c>
    </row>
  </sheetData>
  <dataValidations count="5">
    <dataValidation type="list" allowBlank="1" showInputMessage="1" showErrorMessage="1" sqref="B5" xr:uid="{00000000-0002-0000-0600-000000000000}">
      <formula1>"1,2"</formula1>
    </dataValidation>
    <dataValidation type="list" allowBlank="1" showInputMessage="1" showErrorMessage="1" sqref="B92" xr:uid="{00000000-0002-0000-0600-000001000000}">
      <formula1>"AR5/GWP,AR5/GTP,AR4/GWP,AR3/GWP,AR2/GWP,AR1/GWP"</formula1>
    </dataValidation>
    <dataValidation type="list" allowBlank="1" showInputMessage="1" showErrorMessage="1" sqref="B93" xr:uid="{00000000-0002-0000-0600-000002000000}">
      <formula1>$C$93:$D$93</formula1>
    </dataValidation>
    <dataValidation type="list" allowBlank="1" showInputMessage="1" showErrorMessage="1" sqref="B99" xr:uid="{00000000-0002-0000-0600-000003000000}">
      <formula1>"None, GWP, GTP"</formula1>
    </dataValidation>
    <dataValidation type="list" allowBlank="1" showInputMessage="1" showErrorMessage="1" sqref="B100" xr:uid="{00000000-0002-0000-0600-000004000000}">
      <formula1>$D$100:$E$100</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J51"/>
  <sheetViews>
    <sheetView workbookViewId="0"/>
  </sheetViews>
  <sheetFormatPr defaultRowHeight="14.4"/>
  <cols>
    <col min="1" max="1" width="44.5546875" customWidth="1"/>
    <col min="2" max="4" width="13.5546875" style="18" customWidth="1"/>
    <col min="5" max="5" width="16.33203125" style="18" customWidth="1"/>
    <col min="6" max="6" width="22.44140625" style="3" customWidth="1"/>
    <col min="8" max="8" width="14.109375" customWidth="1"/>
    <col min="9" max="9" width="8.88671875" customWidth="1"/>
    <col min="10" max="10" width="20.33203125" customWidth="1"/>
    <col min="11" max="11" width="14.44140625" customWidth="1"/>
  </cols>
  <sheetData>
    <row r="1" spans="1:7">
      <c r="A1" s="31" t="s">
        <v>103</v>
      </c>
      <c r="B1" s="32" t="s">
        <v>96</v>
      </c>
      <c r="C1" s="32" t="s">
        <v>22</v>
      </c>
      <c r="D1" s="32" t="s">
        <v>27</v>
      </c>
      <c r="E1" s="33" t="s">
        <v>104</v>
      </c>
      <c r="F1" s="34" t="s">
        <v>89</v>
      </c>
      <c r="G1" s="20" t="s">
        <v>105</v>
      </c>
    </row>
    <row r="2" spans="1:7">
      <c r="A2" s="30" t="s">
        <v>115</v>
      </c>
      <c r="B2" s="28"/>
      <c r="C2" s="28"/>
      <c r="D2" s="28"/>
      <c r="E2" s="28"/>
      <c r="F2" s="29"/>
    </row>
    <row r="3" spans="1:7">
      <c r="A3" t="s">
        <v>116</v>
      </c>
      <c r="B3" s="21">
        <f>'Uranium, Coal, MSW, Hydrogen'!B13</f>
        <v>472.52336600000007</v>
      </c>
      <c r="C3" s="21">
        <f>'Uranium, Coal, MSW, Hydrogen'!C13</f>
        <v>1.997711</v>
      </c>
      <c r="D3" s="21">
        <f>'Uranium, Coal, MSW, Hydrogen'!D13</f>
        <v>108.32638300000001</v>
      </c>
      <c r="E3" s="23">
        <f>B3+C3-D3</f>
        <v>366.19469400000003</v>
      </c>
      <c r="F3" t="s">
        <v>102</v>
      </c>
    </row>
    <row r="4" spans="1:7">
      <c r="A4" t="s">
        <v>106</v>
      </c>
      <c r="B4" s="21">
        <f>'AEO 2026 Table 1'!E9</f>
        <v>40.570411999999997</v>
      </c>
      <c r="C4" s="21">
        <f>'AEO 2026 Table 1'!E20</f>
        <v>3.2568959999999998</v>
      </c>
      <c r="D4" s="21">
        <f>'AEO 2026 Table 1'!E25</f>
        <v>8.9756579999999992</v>
      </c>
      <c r="E4" s="23">
        <f t="shared" ref="E4:E5" si="0">B4+C4-D4</f>
        <v>34.851649999999992</v>
      </c>
      <c r="F4" t="s">
        <v>107</v>
      </c>
    </row>
    <row r="5" spans="1:7">
      <c r="A5" t="s">
        <v>108</v>
      </c>
      <c r="B5" s="22">
        <f>'Uranium, Coal, MSW, Hydrogen'!B3</f>
        <v>0.67700000000000005</v>
      </c>
      <c r="C5" s="18">
        <f>'Uranium, Coal, MSW, Hydrogen'!C3</f>
        <v>55.222999999999999</v>
      </c>
      <c r="D5" s="18">
        <f>'Uranium, Coal, MSW, Hydrogen'!D3</f>
        <v>0</v>
      </c>
      <c r="E5" s="18">
        <f t="shared" si="0"/>
        <v>55.9</v>
      </c>
      <c r="F5" s="3" t="s">
        <v>101</v>
      </c>
    </row>
    <row r="6" spans="1:7">
      <c r="A6" s="7" t="s">
        <v>118</v>
      </c>
      <c r="B6" s="28"/>
      <c r="C6" s="28"/>
      <c r="D6" s="28"/>
      <c r="E6" s="28"/>
      <c r="F6" s="29"/>
    </row>
    <row r="7" spans="1:7">
      <c r="A7" s="7" t="s">
        <v>119</v>
      </c>
      <c r="B7" s="28"/>
      <c r="C7" s="28"/>
      <c r="D7" s="28"/>
      <c r="E7" s="28"/>
      <c r="F7" s="29"/>
    </row>
    <row r="8" spans="1:7">
      <c r="A8" s="7" t="s">
        <v>120</v>
      </c>
      <c r="B8" s="28"/>
      <c r="C8" s="28"/>
      <c r="D8" s="28"/>
      <c r="E8" s="28"/>
      <c r="F8" s="29"/>
    </row>
    <row r="9" spans="1:7">
      <c r="A9" t="s">
        <v>109</v>
      </c>
      <c r="B9" s="18">
        <f>'Biomass Data'!A18</f>
        <v>13341865</v>
      </c>
      <c r="C9" s="23">
        <f>'Biomass Data'!A26</f>
        <v>0</v>
      </c>
      <c r="D9" s="18">
        <f>'Biomass Data'!A21</f>
        <v>8871212</v>
      </c>
      <c r="E9" s="23">
        <f t="shared" ref="E9:E14" si="1">B9+C9-D9</f>
        <v>4470653</v>
      </c>
      <c r="F9" s="3" t="s">
        <v>426</v>
      </c>
    </row>
    <row r="10" spans="1:7">
      <c r="A10" t="s">
        <v>110</v>
      </c>
      <c r="B10" s="248">
        <f>SUM('Petroleum and Biofuels '!E37:F37)</f>
        <v>3523246</v>
      </c>
      <c r="C10" s="248">
        <f>'Petroleum and Biofuels '!G37</f>
        <v>39911</v>
      </c>
      <c r="D10" s="248">
        <f>'Petroleum and Biofuels '!L37</f>
        <v>291546</v>
      </c>
      <c r="E10" s="249">
        <f t="shared" si="1"/>
        <v>3271611</v>
      </c>
      <c r="F10" s="3" t="s">
        <v>111</v>
      </c>
    </row>
    <row r="11" spans="1:7">
      <c r="A11" t="s">
        <v>121</v>
      </c>
      <c r="B11" s="249">
        <f>SUM('Petroleum and Biofuels '!E43:F43)</f>
        <v>1806591</v>
      </c>
      <c r="C11" s="248">
        <f>'Petroleum and Biofuels '!G43</f>
        <v>53868</v>
      </c>
      <c r="D11" s="248">
        <f>'Petroleum and Biofuels '!L43</f>
        <v>472631</v>
      </c>
      <c r="E11" s="249">
        <f t="shared" si="1"/>
        <v>1387828</v>
      </c>
      <c r="F11" s="3" t="s">
        <v>111</v>
      </c>
    </row>
    <row r="12" spans="1:7">
      <c r="A12" t="s">
        <v>122</v>
      </c>
      <c r="B12" s="248">
        <f>SUM('Petroleum and Biofuels '!E25:F25)</f>
        <v>386316</v>
      </c>
      <c r="C12" s="249">
        <f>IF(ISNUMBER('Petroleum and Biofuels '!G25)=FALSE,0,'Petroleum and Biofuels '!G25)</f>
        <v>0</v>
      </c>
      <c r="D12" s="248">
        <f>'Petroleum and Biofuels '!L25</f>
        <v>46223</v>
      </c>
      <c r="E12" s="249">
        <f>B12+C12-D12</f>
        <v>340093</v>
      </c>
      <c r="F12" s="3" t="s">
        <v>111</v>
      </c>
    </row>
    <row r="13" spans="1:7">
      <c r="A13" t="s">
        <v>123</v>
      </c>
      <c r="B13" s="248">
        <f>SUM('Petroleum and Biofuels '!E26:F26)</f>
        <v>124142</v>
      </c>
      <c r="C13" s="248">
        <f>'Petroleum and Biofuels '!G26</f>
        <v>22625</v>
      </c>
      <c r="D13" s="248">
        <f>'Petroleum and Biofuels '!L26</f>
        <v>4303</v>
      </c>
      <c r="E13" s="249">
        <f t="shared" si="1"/>
        <v>142464</v>
      </c>
      <c r="F13" s="3" t="s">
        <v>111</v>
      </c>
    </row>
    <row r="14" spans="1:7">
      <c r="A14" t="s">
        <v>112</v>
      </c>
      <c r="B14" s="249">
        <f>SUM('Petroleum and Biofuels '!E41:F42)</f>
        <v>665538</v>
      </c>
      <c r="C14" s="248">
        <f>SUM('Petroleum and Biofuels '!G41:G42)</f>
        <v>38457</v>
      </c>
      <c r="D14" s="248">
        <f>SUM('Petroleum and Biofuels '!L41:L42)</f>
        <v>78860</v>
      </c>
      <c r="E14" s="249">
        <f t="shared" si="1"/>
        <v>625135</v>
      </c>
      <c r="F14" s="3" t="s">
        <v>111</v>
      </c>
    </row>
    <row r="15" spans="1:7">
      <c r="A15" s="7" t="s">
        <v>148</v>
      </c>
      <c r="B15" s="28"/>
      <c r="C15" s="28"/>
      <c r="D15" s="28"/>
      <c r="E15" s="28"/>
      <c r="F15" s="29"/>
    </row>
    <row r="16" spans="1:7">
      <c r="A16" s="7" t="s">
        <v>125</v>
      </c>
      <c r="B16" s="28"/>
      <c r="C16" s="28"/>
      <c r="D16" s="28"/>
      <c r="E16" s="28"/>
      <c r="F16" s="29"/>
    </row>
    <row r="17" spans="1:10">
      <c r="A17" t="s">
        <v>126</v>
      </c>
      <c r="B17" s="23">
        <f>'Uranium, Coal, MSW, Hydrogen'!B14</f>
        <v>40.016958000000002</v>
      </c>
      <c r="C17" s="18">
        <f>'Uranium, Coal, MSW, Hydrogen'!C14</f>
        <v>0</v>
      </c>
      <c r="D17" s="18">
        <f>'Uranium, Coal, MSW, Hydrogen'!D14</f>
        <v>0</v>
      </c>
      <c r="E17" s="23">
        <f t="shared" ref="E17:E22" si="2">B17+C17-D17</f>
        <v>40.016958000000002</v>
      </c>
      <c r="F17" t="s">
        <v>102</v>
      </c>
    </row>
    <row r="18" spans="1:10">
      <c r="A18" t="s">
        <v>113</v>
      </c>
      <c r="B18" s="250">
        <f>'Petroleum and Biofuels '!C6</f>
        <v>4843858</v>
      </c>
      <c r="C18" s="248">
        <f>'Petroleum and Biofuels '!G6</f>
        <v>2411095</v>
      </c>
      <c r="D18" s="248">
        <f>'Petroleum and Biofuels '!L6</f>
        <v>1498096</v>
      </c>
      <c r="E18" s="249">
        <f t="shared" si="2"/>
        <v>5756857</v>
      </c>
      <c r="F18" s="3" t="s">
        <v>111</v>
      </c>
    </row>
    <row r="19" spans="1:10">
      <c r="A19" t="s">
        <v>127</v>
      </c>
      <c r="B19" s="248">
        <f>SUM('Petroleum and Biofuels '!C47:F47)</f>
        <v>115747</v>
      </c>
      <c r="C19" s="248">
        <f>'Petroleum and Biofuels '!G47</f>
        <v>40046</v>
      </c>
      <c r="D19" s="248">
        <f>'Petroleum and Biofuels '!L47</f>
        <v>50003</v>
      </c>
      <c r="E19" s="249">
        <f t="shared" si="2"/>
        <v>105790</v>
      </c>
      <c r="F19" s="3" t="s">
        <v>111</v>
      </c>
    </row>
    <row r="20" spans="1:10">
      <c r="A20" t="s">
        <v>114</v>
      </c>
      <c r="B20" s="248">
        <f>SUM('Petroleum and Biofuels '!C9:F11)</f>
        <v>2217544</v>
      </c>
      <c r="C20" s="248">
        <f>SUM('Petroleum and Biofuels '!G9:G11)</f>
        <v>55423</v>
      </c>
      <c r="D20" s="248">
        <f>SUM('Petroleum and Biofuels '!L9:L11)</f>
        <v>1004275</v>
      </c>
      <c r="E20" s="249">
        <f t="shared" si="2"/>
        <v>1268692</v>
      </c>
      <c r="F20" s="3" t="s">
        <v>111</v>
      </c>
    </row>
    <row r="21" spans="1:10">
      <c r="A21" t="s">
        <v>128</v>
      </c>
      <c r="B21" s="18">
        <f>'Uranium, Coal, MSW, Hydrogen'!A18</f>
        <v>292</v>
      </c>
      <c r="C21" s="18">
        <v>0</v>
      </c>
      <c r="D21" s="18">
        <v>0</v>
      </c>
      <c r="E21" s="18">
        <f t="shared" si="2"/>
        <v>292</v>
      </c>
      <c r="F21" s="3" t="s">
        <v>102</v>
      </c>
      <c r="I21" s="193"/>
    </row>
    <row r="22" spans="1:10">
      <c r="A22" t="s">
        <v>129</v>
      </c>
      <c r="B22" s="18">
        <f>'Uranium, Coal, MSW, Hydrogen'!A31</f>
        <v>5.74</v>
      </c>
      <c r="C22" s="18">
        <v>0</v>
      </c>
      <c r="D22" s="18">
        <v>0</v>
      </c>
      <c r="E22" s="18">
        <f t="shared" si="2"/>
        <v>5.74</v>
      </c>
      <c r="F22" s="3" t="s">
        <v>143</v>
      </c>
    </row>
    <row r="24" spans="1:10">
      <c r="A24" s="187" t="s">
        <v>415</v>
      </c>
      <c r="B24" s="188"/>
      <c r="C24" s="188"/>
      <c r="D24" s="188"/>
      <c r="E24" s="188"/>
      <c r="F24" s="189"/>
    </row>
    <row r="25" spans="1:10">
      <c r="A25" s="31" t="s">
        <v>103</v>
      </c>
      <c r="B25" s="32" t="s">
        <v>96</v>
      </c>
      <c r="C25" s="32" t="s">
        <v>22</v>
      </c>
      <c r="D25" s="32" t="s">
        <v>27</v>
      </c>
      <c r="E25" s="33" t="s">
        <v>104</v>
      </c>
      <c r="F25" s="34" t="s">
        <v>89</v>
      </c>
      <c r="H25" s="194" t="s">
        <v>428</v>
      </c>
      <c r="I25" s="6"/>
      <c r="J25" s="6"/>
    </row>
    <row r="26" spans="1:10">
      <c r="A26" s="30" t="s">
        <v>115</v>
      </c>
      <c r="B26" s="28"/>
      <c r="C26" s="28"/>
      <c r="D26" s="28"/>
      <c r="E26" s="28"/>
      <c r="F26" s="29"/>
    </row>
    <row r="27" spans="1:10">
      <c r="A27" t="s">
        <v>116</v>
      </c>
      <c r="B27" s="190">
        <f>B3*$H27</f>
        <v>9289066568828650</v>
      </c>
      <c r="C27" s="190">
        <f>C3*$H27</f>
        <v>39271857858308</v>
      </c>
      <c r="D27" s="190">
        <f t="shared" ref="D27:E27" si="3">D3*$H27</f>
        <v>2129526400705924.3</v>
      </c>
      <c r="E27" s="190">
        <f t="shared" si="3"/>
        <v>7198812025981033</v>
      </c>
      <c r="F27" t="s">
        <v>412</v>
      </c>
      <c r="H27">
        <f>'AEO Conversion Factors'!$C66*10^12</f>
        <v>19658428000000</v>
      </c>
      <c r="I27" t="s">
        <v>427</v>
      </c>
      <c r="J27" t="s">
        <v>102</v>
      </c>
    </row>
    <row r="28" spans="1:10">
      <c r="A28" t="s">
        <v>106</v>
      </c>
      <c r="B28" s="190">
        <f>B4*$H28</f>
        <v>4.0570412E+16</v>
      </c>
      <c r="C28" s="190">
        <f t="shared" ref="B28:E29" si="4">C4*$H28</f>
        <v>3256896000000000</v>
      </c>
      <c r="D28" s="190">
        <f t="shared" si="4"/>
        <v>8975657999999999</v>
      </c>
      <c r="E28" s="190">
        <f t="shared" si="4"/>
        <v>3.4851649999999992E+16</v>
      </c>
      <c r="F28" t="s">
        <v>412</v>
      </c>
      <c r="H28">
        <f>10^15</f>
        <v>1000000000000000</v>
      </c>
      <c r="I28" t="s">
        <v>427</v>
      </c>
      <c r="J28" s="3" t="s">
        <v>429</v>
      </c>
    </row>
    <row r="29" spans="1:10">
      <c r="A29" t="s">
        <v>108</v>
      </c>
      <c r="B29" s="190">
        <f t="shared" si="4"/>
        <v>121860000000000.02</v>
      </c>
      <c r="C29" s="190">
        <f t="shared" si="4"/>
        <v>9940140000000000</v>
      </c>
      <c r="D29" s="190">
        <f t="shared" si="4"/>
        <v>0</v>
      </c>
      <c r="E29" s="190">
        <f t="shared" si="4"/>
        <v>1.0062E+16</v>
      </c>
      <c r="F29" t="s">
        <v>412</v>
      </c>
      <c r="H29">
        <f>10^6*1.8*10^8</f>
        <v>180000000000000</v>
      </c>
      <c r="I29" t="s">
        <v>427</v>
      </c>
      <c r="J29" s="3" t="s">
        <v>101</v>
      </c>
    </row>
    <row r="30" spans="1:10">
      <c r="A30" s="7" t="s">
        <v>118</v>
      </c>
      <c r="B30" s="191"/>
      <c r="C30" s="191"/>
      <c r="D30" s="191"/>
      <c r="E30" s="191"/>
      <c r="F30" s="29"/>
    </row>
    <row r="31" spans="1:10">
      <c r="A31" s="7" t="s">
        <v>119</v>
      </c>
      <c r="B31" s="191"/>
      <c r="C31" s="191"/>
      <c r="D31" s="191"/>
      <c r="E31" s="191"/>
      <c r="F31" s="29"/>
    </row>
    <row r="32" spans="1:10">
      <c r="A32" s="7" t="s">
        <v>120</v>
      </c>
      <c r="B32" s="191"/>
      <c r="C32" s="191"/>
      <c r="D32" s="191"/>
      <c r="E32" s="191"/>
      <c r="F32" s="29"/>
    </row>
    <row r="33" spans="1:10">
      <c r="A33" t="s">
        <v>109</v>
      </c>
      <c r="B33" s="190">
        <f>B9*$H33</f>
        <v>238899434690000</v>
      </c>
      <c r="C33" s="190">
        <f t="shared" ref="C33:E33" si="5">C9*$H33</f>
        <v>0</v>
      </c>
      <c r="D33" s="190">
        <f t="shared" si="5"/>
        <v>158847922072000</v>
      </c>
      <c r="E33" s="190">
        <f t="shared" si="5"/>
        <v>80051512618000</v>
      </c>
      <c r="F33" t="s">
        <v>412</v>
      </c>
      <c r="H33" s="69">
        <f>'GREET1 Fuel_Specs'!$D$81</f>
        <v>17906000</v>
      </c>
      <c r="I33" t="s">
        <v>427</v>
      </c>
      <c r="J33" s="3" t="s">
        <v>386</v>
      </c>
    </row>
    <row r="34" spans="1:10">
      <c r="A34" t="s">
        <v>110</v>
      </c>
      <c r="B34" s="190">
        <f t="shared" ref="B34:E38" si="6">B10*$H34</f>
        <v>1.7798420573906E+16</v>
      </c>
      <c r="C34" s="190">
        <f t="shared" si="6"/>
        <v>201618837721000</v>
      </c>
      <c r="D34" s="190">
        <f t="shared" si="6"/>
        <v>1472806135206000</v>
      </c>
      <c r="E34" s="190">
        <f t="shared" si="6"/>
        <v>1.6527233276421E+16</v>
      </c>
      <c r="F34" t="s">
        <v>412</v>
      </c>
      <c r="H34">
        <f>'AEO Conversion Factors'!$C32*10^9</f>
        <v>5051711000</v>
      </c>
      <c r="I34" t="s">
        <v>427</v>
      </c>
      <c r="J34" s="3" t="s">
        <v>111</v>
      </c>
    </row>
    <row r="35" spans="1:10">
      <c r="A35" t="s">
        <v>121</v>
      </c>
      <c r="B35" s="190">
        <f t="shared" si="6"/>
        <v>1.0523392575E+16</v>
      </c>
      <c r="C35" s="190">
        <f t="shared" si="6"/>
        <v>313781100000000</v>
      </c>
      <c r="D35" s="190">
        <f t="shared" si="6"/>
        <v>2753075575000000</v>
      </c>
      <c r="E35" s="190">
        <f t="shared" si="6"/>
        <v>8084098100000000</v>
      </c>
      <c r="F35" t="s">
        <v>412</v>
      </c>
      <c r="H35">
        <f>'AEO Conversion Factors'!$C19*10^9</f>
        <v>5825000000</v>
      </c>
      <c r="I35" t="s">
        <v>427</v>
      </c>
      <c r="J35" s="3" t="s">
        <v>111</v>
      </c>
    </row>
    <row r="36" spans="1:10">
      <c r="A36" t="s">
        <v>122</v>
      </c>
      <c r="B36" s="190">
        <f t="shared" si="6"/>
        <v>1543105652508000</v>
      </c>
      <c r="C36" s="190">
        <f t="shared" si="6"/>
        <v>0</v>
      </c>
      <c r="D36" s="190">
        <f t="shared" si="6"/>
        <v>184633752099000</v>
      </c>
      <c r="E36" s="190">
        <f t="shared" si="6"/>
        <v>1358471900409000</v>
      </c>
      <c r="F36" t="s">
        <v>412</v>
      </c>
      <c r="H36">
        <f>'AEO Conversion Factors'!$C29*10^9</f>
        <v>3994413000</v>
      </c>
      <c r="I36" t="s">
        <v>427</v>
      </c>
      <c r="J36" s="3" t="s">
        <v>111</v>
      </c>
    </row>
    <row r="37" spans="1:10">
      <c r="A37" t="s">
        <v>123</v>
      </c>
      <c r="B37" s="190">
        <f t="shared" si="6"/>
        <v>665276978000000</v>
      </c>
      <c r="C37" s="190">
        <f t="shared" si="6"/>
        <v>121247375000000</v>
      </c>
      <c r="D37" s="190">
        <f t="shared" si="6"/>
        <v>23059777000000</v>
      </c>
      <c r="E37" s="190">
        <f t="shared" si="6"/>
        <v>763464576000000</v>
      </c>
      <c r="F37" t="s">
        <v>412</v>
      </c>
      <c r="H37">
        <f>'AEO Conversion Factors'!$C18*10^9</f>
        <v>5359000000</v>
      </c>
      <c r="I37" t="s">
        <v>427</v>
      </c>
      <c r="J37" s="3" t="s">
        <v>111</v>
      </c>
    </row>
    <row r="38" spans="1:10">
      <c r="A38" t="s">
        <v>112</v>
      </c>
      <c r="B38" s="190">
        <f t="shared" si="6"/>
        <v>3773600460000000</v>
      </c>
      <c r="C38" s="190">
        <f t="shared" si="6"/>
        <v>218051190000000</v>
      </c>
      <c r="D38" s="190">
        <f t="shared" si="6"/>
        <v>447136200000000</v>
      </c>
      <c r="E38" s="190">
        <f t="shared" si="6"/>
        <v>3544515450000000</v>
      </c>
      <c r="F38" t="s">
        <v>412</v>
      </c>
      <c r="H38">
        <f>'AEO Conversion Factors'!$C30*10^9</f>
        <v>5670000000</v>
      </c>
      <c r="I38" t="s">
        <v>427</v>
      </c>
      <c r="J38" s="3" t="s">
        <v>111</v>
      </c>
    </row>
    <row r="39" spans="1:10">
      <c r="A39" s="7" t="s">
        <v>148</v>
      </c>
      <c r="B39" s="191"/>
      <c r="C39" s="191"/>
      <c r="D39" s="191"/>
      <c r="E39" s="191"/>
      <c r="F39" s="29"/>
    </row>
    <row r="40" spans="1:10">
      <c r="A40" s="7" t="s">
        <v>125</v>
      </c>
      <c r="B40" s="191"/>
      <c r="C40" s="191"/>
      <c r="D40" s="191"/>
      <c r="E40" s="191"/>
      <c r="F40" s="29"/>
    </row>
    <row r="41" spans="1:10">
      <c r="A41" t="s">
        <v>126</v>
      </c>
      <c r="B41" s="190">
        <f t="shared" ref="B41:E42" si="7">B17*$H41</f>
        <v>519912402325620.44</v>
      </c>
      <c r="C41" s="190">
        <f t="shared" si="7"/>
        <v>0</v>
      </c>
      <c r="D41" s="190">
        <f t="shared" si="7"/>
        <v>0</v>
      </c>
      <c r="E41" s="190">
        <f t="shared" si="7"/>
        <v>519912402325620.44</v>
      </c>
      <c r="F41" t="s">
        <v>412</v>
      </c>
      <c r="H41">
        <f>'GREET1 Fuel_Specs'!$D$69*10^6</f>
        <v>12992301971719.6</v>
      </c>
      <c r="I41" t="s">
        <v>427</v>
      </c>
      <c r="J41" t="s">
        <v>102</v>
      </c>
    </row>
    <row r="42" spans="1:10">
      <c r="A42" t="s">
        <v>113</v>
      </c>
      <c r="B42" s="205">
        <f>B18*$H42</f>
        <v>2.7585282080342E+16</v>
      </c>
      <c r="C42" s="190">
        <f t="shared" si="7"/>
        <v>1.3730942504405E+16</v>
      </c>
      <c r="D42" s="190">
        <f t="shared" si="7"/>
        <v>8531505412304000</v>
      </c>
      <c r="E42" s="190">
        <f t="shared" si="7"/>
        <v>3.2784719172443E+16</v>
      </c>
      <c r="F42" t="s">
        <v>412</v>
      </c>
      <c r="H42" s="261">
        <f>'AEO Conversion Factors'!C48*10^9</f>
        <v>5694899000</v>
      </c>
      <c r="I42" t="s">
        <v>427</v>
      </c>
      <c r="J42" s="3" t="s">
        <v>111</v>
      </c>
    </row>
    <row r="43" spans="1:10">
      <c r="A43" t="s">
        <v>127</v>
      </c>
      <c r="B43" s="190">
        <f t="shared" ref="B43:E43" si="8">B19*$H43</f>
        <v>727701389000000</v>
      </c>
      <c r="C43" s="190">
        <f t="shared" si="8"/>
        <v>251769202000000</v>
      </c>
      <c r="D43" s="190">
        <f t="shared" si="8"/>
        <v>314368861000000</v>
      </c>
      <c r="E43" s="190">
        <f t="shared" si="8"/>
        <v>665101730000000</v>
      </c>
      <c r="F43" t="s">
        <v>412</v>
      </c>
      <c r="H43">
        <f>'AEO Conversion Factors'!$C41*10^9</f>
        <v>6287000000</v>
      </c>
      <c r="I43" t="s">
        <v>427</v>
      </c>
      <c r="J43" s="3" t="s">
        <v>111</v>
      </c>
    </row>
    <row r="44" spans="1:10">
      <c r="A44" t="s">
        <v>114</v>
      </c>
      <c r="B44" s="190">
        <f t="shared" ref="B44:E44" si="9">B20*$H44</f>
        <v>8513639275680000</v>
      </c>
      <c r="C44" s="190">
        <f t="shared" si="9"/>
        <v>212781090060000</v>
      </c>
      <c r="D44" s="190">
        <f t="shared" si="9"/>
        <v>3855632665500000</v>
      </c>
      <c r="E44" s="190">
        <f t="shared" si="9"/>
        <v>4870787700240000</v>
      </c>
      <c r="F44" t="s">
        <v>412</v>
      </c>
      <c r="H44">
        <f>'GREET1 Fuel_Specs'!$D$36*10^3*42</f>
        <v>3839220000</v>
      </c>
      <c r="I44" t="s">
        <v>427</v>
      </c>
      <c r="J44" s="3" t="s">
        <v>111</v>
      </c>
    </row>
    <row r="45" spans="1:10">
      <c r="A45" t="s">
        <v>128</v>
      </c>
      <c r="B45" s="190">
        <f t="shared" ref="B45:E45" si="10">B21*$H45</f>
        <v>3966365818605251.5</v>
      </c>
      <c r="C45" s="190">
        <f t="shared" si="10"/>
        <v>0</v>
      </c>
      <c r="D45" s="190">
        <f t="shared" si="10"/>
        <v>0</v>
      </c>
      <c r="E45" s="190">
        <f t="shared" si="10"/>
        <v>3966365818605251.5</v>
      </c>
      <c r="F45" t="s">
        <v>412</v>
      </c>
      <c r="H45">
        <f>'GREET1 Fuel_Specs'!$D$90*10^6</f>
        <v>13583444584264.561</v>
      </c>
      <c r="I45" t="s">
        <v>427</v>
      </c>
      <c r="J45" t="s">
        <v>102</v>
      </c>
    </row>
    <row r="46" spans="1:10">
      <c r="A46" t="s">
        <v>129</v>
      </c>
      <c r="B46" s="190">
        <f t="shared" ref="B46:E46" si="11">B22*$H46</f>
        <v>772086274509804</v>
      </c>
      <c r="C46" s="190">
        <f t="shared" si="11"/>
        <v>0</v>
      </c>
      <c r="D46" s="190">
        <f t="shared" si="11"/>
        <v>0</v>
      </c>
      <c r="E46" s="190">
        <f t="shared" si="11"/>
        <v>772086274509804</v>
      </c>
      <c r="F46" t="s">
        <v>412</v>
      </c>
      <c r="H46">
        <f>'GREET1 Fuel_Specs'!$D$62/'GREET1 Fuel_Specs'!$E$62*10^12</f>
        <v>134509803921568.64</v>
      </c>
      <c r="I46" t="s">
        <v>427</v>
      </c>
      <c r="J46" s="3" t="s">
        <v>143</v>
      </c>
    </row>
    <row r="48" spans="1:10">
      <c r="H48">
        <f>'AEO Conversion Factors'!C48</f>
        <v>5.6948990000000004</v>
      </c>
    </row>
    <row r="49" spans="8:8">
      <c r="H49" s="261">
        <f>10^9</f>
        <v>1000000000</v>
      </c>
    </row>
    <row r="50" spans="8:8">
      <c r="H50" s="262">
        <f>H48*H49</f>
        <v>5694899000</v>
      </c>
    </row>
    <row r="51" spans="8:8">
      <c r="H51">
        <f>H50/H42</f>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C73"/>
  <sheetViews>
    <sheetView workbookViewId="0">
      <selection activeCell="A29" sqref="A29"/>
    </sheetView>
  </sheetViews>
  <sheetFormatPr defaultRowHeight="14.4"/>
  <cols>
    <col min="1" max="1" width="21.44140625" customWidth="1"/>
  </cols>
  <sheetData>
    <row r="1" spans="1:29">
      <c r="A1" s="195" t="s">
        <v>445</v>
      </c>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row>
    <row r="2" spans="1:29" s="1" customFormat="1">
      <c r="B2" s="1">
        <v>2025</v>
      </c>
      <c r="C2" s="1">
        <v>2026</v>
      </c>
      <c r="D2" s="1">
        <v>2027</v>
      </c>
      <c r="E2" s="1">
        <v>2028</v>
      </c>
      <c r="F2" s="1">
        <v>2029</v>
      </c>
      <c r="G2" s="1">
        <v>2030</v>
      </c>
      <c r="H2" s="1">
        <v>2031</v>
      </c>
      <c r="I2" s="1">
        <v>2032</v>
      </c>
      <c r="J2" s="1">
        <v>2033</v>
      </c>
      <c r="K2" s="1">
        <v>2034</v>
      </c>
      <c r="L2" s="1">
        <v>2035</v>
      </c>
      <c r="M2" s="1">
        <v>2036</v>
      </c>
      <c r="N2" s="1">
        <v>2037</v>
      </c>
      <c r="O2" s="1">
        <v>2038</v>
      </c>
      <c r="P2" s="1">
        <v>2039</v>
      </c>
      <c r="Q2" s="1">
        <v>2040</v>
      </c>
      <c r="R2" s="1">
        <v>2041</v>
      </c>
      <c r="S2" s="1">
        <v>2042</v>
      </c>
      <c r="T2" s="1">
        <v>2043</v>
      </c>
      <c r="U2" s="1">
        <v>2044</v>
      </c>
      <c r="V2" s="1">
        <v>2045</v>
      </c>
      <c r="W2" s="1">
        <v>2046</v>
      </c>
      <c r="X2" s="1">
        <v>2047</v>
      </c>
      <c r="Y2" s="1">
        <v>2048</v>
      </c>
      <c r="Z2" s="1">
        <v>2049</v>
      </c>
      <c r="AA2" s="1">
        <v>2050</v>
      </c>
    </row>
    <row r="3" spans="1:29" ht="28.8">
      <c r="A3" s="30" t="s">
        <v>115</v>
      </c>
      <c r="B3" s="7">
        <v>0</v>
      </c>
      <c r="C3" s="7">
        <v>0</v>
      </c>
      <c r="D3" s="7">
        <v>0</v>
      </c>
      <c r="E3" s="7">
        <v>0</v>
      </c>
      <c r="F3" s="7">
        <v>0</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c r="AC3" s="7"/>
    </row>
    <row r="4" spans="1:29">
      <c r="A4" t="s">
        <v>116</v>
      </c>
      <c r="B4" s="223">
        <f>'AEO 2026 Table 1'!E$10/'AEO 2026 Table 1'!$E$10</f>
        <v>1</v>
      </c>
      <c r="C4" s="223">
        <f>'AEO 2026 Table 1'!F$10/'AEO 2026 Table 1'!$E$10</f>
        <v>0.97530688021512424</v>
      </c>
      <c r="D4" s="223">
        <f>'AEO 2026 Table 1'!G$10/'AEO 2026 Table 1'!$E$10</f>
        <v>0.94217823588772809</v>
      </c>
      <c r="E4" s="223">
        <f>'AEO 2026 Table 1'!H$10/'AEO 2026 Table 1'!$E$10</f>
        <v>0.88468935154500616</v>
      </c>
      <c r="F4" s="223">
        <f>'AEO 2026 Table 1'!I$10/'AEO 2026 Table 1'!$E$10</f>
        <v>0.86350145666254718</v>
      </c>
      <c r="G4" s="223">
        <f>'AEO 2026 Table 1'!J$10/'AEO 2026 Table 1'!$E$10</f>
        <v>0.87296349211038715</v>
      </c>
      <c r="H4" s="223">
        <f>'AEO 2026 Table 1'!K$10/'AEO 2026 Table 1'!$E$10</f>
        <v>0.7858869568917447</v>
      </c>
      <c r="I4" s="223">
        <f>'AEO 2026 Table 1'!L$10/'AEO 2026 Table 1'!$E$10</f>
        <v>0.76483944195117537</v>
      </c>
      <c r="J4" s="223">
        <f>'AEO 2026 Table 1'!M$10/'AEO 2026 Table 1'!$E$10</f>
        <v>0.75194195349791326</v>
      </c>
      <c r="K4" s="223">
        <f>'AEO 2026 Table 1'!N$10/'AEO 2026 Table 1'!$E$10</f>
        <v>0.72678347095398721</v>
      </c>
      <c r="L4" s="223">
        <f>'AEO 2026 Table 1'!O$10/'AEO 2026 Table 1'!$E$10</f>
        <v>0.72514843018806086</v>
      </c>
      <c r="M4" s="223">
        <f>'AEO 2026 Table 1'!P$10/'AEO 2026 Table 1'!$E$10</f>
        <v>0.71234143151865092</v>
      </c>
      <c r="N4" s="223">
        <f>'AEO 2026 Table 1'!Q$10/'AEO 2026 Table 1'!$E$10</f>
        <v>0.7101661463039568</v>
      </c>
      <c r="O4" s="223">
        <f>'AEO 2026 Table 1'!R$10/'AEO 2026 Table 1'!$E$10</f>
        <v>0.7109280628515654</v>
      </c>
      <c r="P4" s="223">
        <f>'AEO 2026 Table 1'!S$10/'AEO 2026 Table 1'!$E$10</f>
        <v>0.70500711376052316</v>
      </c>
      <c r="Q4" s="223">
        <f>'AEO 2026 Table 1'!T$10/'AEO 2026 Table 1'!$E$10</f>
        <v>0.69106620563329568</v>
      </c>
      <c r="R4" s="223">
        <f>'AEO 2026 Table 1'!U$10/'AEO 2026 Table 1'!$E$10</f>
        <v>0.67581849124358051</v>
      </c>
      <c r="S4" s="223">
        <f>'AEO 2026 Table 1'!V$10/'AEO 2026 Table 1'!$E$10</f>
        <v>0.66436428697116201</v>
      </c>
      <c r="T4" s="223">
        <f>'AEO 2026 Table 1'!W$10/'AEO 2026 Table 1'!$E$10</f>
        <v>0.65747610057038297</v>
      </c>
      <c r="U4" s="223">
        <f>'AEO 2026 Table 1'!X$10/'AEO 2026 Table 1'!$E$10</f>
        <v>0.65123611460280284</v>
      </c>
      <c r="V4" s="223">
        <f>'AEO 2026 Table 1'!Y$10/'AEO 2026 Table 1'!$E$10</f>
        <v>0.6439144319684984</v>
      </c>
      <c r="W4" s="223">
        <f>'AEO 2026 Table 1'!Z$10/'AEO 2026 Table 1'!$E$10</f>
        <v>0.63794665859505229</v>
      </c>
      <c r="X4" s="223">
        <f>'AEO 2026 Table 1'!AA$10/'AEO 2026 Table 1'!$E$10</f>
        <v>0.63914374367198623</v>
      </c>
      <c r="Y4" s="223">
        <f>'AEO 2026 Table 1'!AB$10/'AEO 2026 Table 1'!$E$10</f>
        <v>0.63679379645149981</v>
      </c>
      <c r="Z4" s="223">
        <f>'AEO 2026 Table 1'!AC$10/'AEO 2026 Table 1'!$E$10</f>
        <v>0.62774853427918387</v>
      </c>
      <c r="AA4" s="223">
        <f>'AEO 2026 Table 1'!AD$10/'AEO 2026 Table 1'!$E$10</f>
        <v>0.60360634305513206</v>
      </c>
    </row>
    <row r="5" spans="1:29">
      <c r="A5" t="s">
        <v>106</v>
      </c>
      <c r="B5" s="223">
        <f>'AEO 2026 Table 1'!E9/'AEO 2026 Table 1'!$E$9</f>
        <v>1</v>
      </c>
      <c r="C5" s="223">
        <f>'AEO 2026 Table 1'!F9/'AEO 2026 Table 1'!$E$9</f>
        <v>0.99319735771970974</v>
      </c>
      <c r="D5" s="223">
        <f>'AEO 2026 Table 1'!G9/'AEO 2026 Table 1'!$E$9</f>
        <v>0.97911376892105517</v>
      </c>
      <c r="E5" s="223">
        <f>'AEO 2026 Table 1'!H9/'AEO 2026 Table 1'!$E$9</f>
        <v>0.9982625761848315</v>
      </c>
      <c r="F5" s="223">
        <f>'AEO 2026 Table 1'!I9/'AEO 2026 Table 1'!$E$9</f>
        <v>1.0078066498314091</v>
      </c>
      <c r="G5" s="223">
        <f>'AEO 2026 Table 1'!J9/'AEO 2026 Table 1'!$E$9</f>
        <v>1.0359099631524571</v>
      </c>
      <c r="H5" s="223">
        <f>'AEO 2026 Table 1'!K9/'AEO 2026 Table 1'!$E$9</f>
        <v>1.0643479292248745</v>
      </c>
      <c r="I5" s="223">
        <f>'AEO 2026 Table 1'!L9/'AEO 2026 Table 1'!$E$9</f>
        <v>1.0909307502226007</v>
      </c>
      <c r="J5" s="223">
        <f>'AEO 2026 Table 1'!M9/'AEO 2026 Table 1'!$E$9</f>
        <v>1.1116876012991932</v>
      </c>
      <c r="K5" s="223">
        <f>'AEO 2026 Table 1'!N9/'AEO 2026 Table 1'!$E$9</f>
        <v>1.1379944329872718</v>
      </c>
      <c r="L5" s="223">
        <f>'AEO 2026 Table 1'!O9/'AEO 2026 Table 1'!$E$9</f>
        <v>1.1502229753052544</v>
      </c>
      <c r="M5" s="223">
        <f>'AEO 2026 Table 1'!P9/'AEO 2026 Table 1'!$E$9</f>
        <v>1.1589038829578562</v>
      </c>
      <c r="N5" s="223">
        <f>'AEO 2026 Table 1'!Q9/'AEO 2026 Table 1'!$E$9</f>
        <v>1.1665884980413805</v>
      </c>
      <c r="O5" s="223">
        <f>'AEO 2026 Table 1'!R9/'AEO 2026 Table 1'!$E$9</f>
        <v>1.1747261033484206</v>
      </c>
      <c r="P5" s="223">
        <f>'AEO 2026 Table 1'!S9/'AEO 2026 Table 1'!$E$9</f>
        <v>1.1827283390664114</v>
      </c>
      <c r="Q5" s="223">
        <f>'AEO 2026 Table 1'!T9/'AEO 2026 Table 1'!$E$9</f>
        <v>1.1974602328416089</v>
      </c>
      <c r="R5" s="223">
        <f>'AEO 2026 Table 1'!U9/'AEO 2026 Table 1'!$E$9</f>
        <v>1.2149264345651705</v>
      </c>
      <c r="S5" s="223">
        <f>'AEO 2026 Table 1'!V9/'AEO 2026 Table 1'!$E$9</f>
        <v>1.2317956494994431</v>
      </c>
      <c r="T5" s="223">
        <f>'AEO 2026 Table 1'!W9/'AEO 2026 Table 1'!$E$9</f>
        <v>1.246385370698232</v>
      </c>
      <c r="U5" s="223">
        <f>'AEO 2026 Table 1'!X9/'AEO 2026 Table 1'!$E$9</f>
        <v>1.2599711829399221</v>
      </c>
      <c r="V5" s="223">
        <f>'AEO 2026 Table 1'!Y9/'AEO 2026 Table 1'!$E$9</f>
        <v>1.2734902223817695</v>
      </c>
      <c r="W5" s="223">
        <f>'AEO 2026 Table 1'!Z9/'AEO 2026 Table 1'!$E$9</f>
        <v>1.2909148667260268</v>
      </c>
      <c r="X5" s="223">
        <f>'AEO 2026 Table 1'!AA9/'AEO 2026 Table 1'!$E$9</f>
        <v>1.301625899189784</v>
      </c>
      <c r="Y5" s="223">
        <f>'AEO 2026 Table 1'!AB9/'AEO 2026 Table 1'!$E$9</f>
        <v>1.3092558685378892</v>
      </c>
      <c r="Z5" s="223">
        <f>'AEO 2026 Table 1'!AC9/'AEO 2026 Table 1'!$E$9</f>
        <v>1.312035381844286</v>
      </c>
      <c r="AA5" s="223">
        <f>'AEO 2026 Table 1'!AD9/'AEO 2026 Table 1'!$E$9</f>
        <v>1.3148031624623384</v>
      </c>
    </row>
    <row r="6" spans="1:29">
      <c r="A6" t="s">
        <v>108</v>
      </c>
      <c r="B6" s="223">
        <f>'AEO 2026 Table 1'!E11/'AEO 2026 Table 1'!$E$11</f>
        <v>1</v>
      </c>
      <c r="C6" s="223">
        <f>'AEO 2026 Table 1'!F11/'AEO 2026 Table 1'!$E$11</f>
        <v>1.0226056288916074</v>
      </c>
      <c r="D6" s="223">
        <f>'AEO 2026 Table 1'!G11/'AEO 2026 Table 1'!$E$11</f>
        <v>1.0163407062660585</v>
      </c>
      <c r="E6" s="223">
        <f>'AEO 2026 Table 1'!H11/'AEO 2026 Table 1'!$E$11</f>
        <v>1.0207240147387815</v>
      </c>
      <c r="F6" s="223">
        <f>'AEO 2026 Table 1'!I11/'AEO 2026 Table 1'!$E$11</f>
        <v>1.0218577953554686</v>
      </c>
      <c r="G6" s="223">
        <f>'AEO 2026 Table 1'!J11/'AEO 2026 Table 1'!$E$11</f>
        <v>1.0227239778539656</v>
      </c>
      <c r="H6" s="223">
        <f>'AEO 2026 Table 1'!K11/'AEO 2026 Table 1'!$E$11</f>
        <v>1.0227424202619286</v>
      </c>
      <c r="I6" s="223">
        <f>'AEO 2026 Table 1'!L11/'AEO 2026 Table 1'!$E$11</f>
        <v>1.022743275207993</v>
      </c>
      <c r="J6" s="223">
        <f>'AEO 2026 Table 1'!M11/'AEO 2026 Table 1'!$E$11</f>
        <v>1.0227088330951086</v>
      </c>
      <c r="K6" s="223">
        <f>'AEO 2026 Table 1'!N11/'AEO 2026 Table 1'!$E$11</f>
        <v>1.0227088330951086</v>
      </c>
      <c r="L6" s="223">
        <f>'AEO 2026 Table 1'!O11/'AEO 2026 Table 1'!$E$11</f>
        <v>1.022708100284196</v>
      </c>
      <c r="M6" s="223">
        <f>'AEO 2026 Table 1'!P11/'AEO 2026 Table 1'!$E$11</f>
        <v>1.0227082224193482</v>
      </c>
      <c r="N6" s="223">
        <f>'AEO 2026 Table 1'!Q11/'AEO 2026 Table 1'!$E$11</f>
        <v>1.0223918923754811</v>
      </c>
      <c r="O6" s="223">
        <f>'AEO 2026 Table 1'!R11/'AEO 2026 Table 1'!$E$11</f>
        <v>1.0218822223858834</v>
      </c>
      <c r="P6" s="223">
        <f>'AEO 2026 Table 1'!S11/'AEO 2026 Table 1'!$E$11</f>
        <v>1.022139927556756</v>
      </c>
      <c r="Q6" s="223">
        <f>'AEO 2026 Table 1'!T11/'AEO 2026 Table 1'!$E$11</f>
        <v>1.0214724589506807</v>
      </c>
      <c r="R6" s="223">
        <f>'AEO 2026 Table 1'!U11/'AEO 2026 Table 1'!$E$11</f>
        <v>1.0207705482317211</v>
      </c>
      <c r="S6" s="223">
        <f>'AEO 2026 Table 1'!V11/'AEO 2026 Table 1'!$E$11</f>
        <v>1.0224490516266509</v>
      </c>
      <c r="T6" s="223">
        <f>'AEO 2026 Table 1'!W11/'AEO 2026 Table 1'!$E$11</f>
        <v>1.0217164849845211</v>
      </c>
      <c r="U6" s="223">
        <f>'AEO 2026 Table 1'!X11/'AEO 2026 Table 1'!$E$11</f>
        <v>1.0227082224193482</v>
      </c>
      <c r="V6" s="223">
        <f>'AEO 2026 Table 1'!Y11/'AEO 2026 Table 1'!$E$11</f>
        <v>1.0227082224193482</v>
      </c>
      <c r="W6" s="223">
        <f>'AEO 2026 Table 1'!Z11/'AEO 2026 Table 1'!$E$11</f>
        <v>1.0227082224193482</v>
      </c>
      <c r="X6" s="223">
        <f>'AEO 2026 Table 1'!AA11/'AEO 2026 Table 1'!$E$11</f>
        <v>1.0227083445545002</v>
      </c>
      <c r="Y6" s="223">
        <f>'AEO 2026 Table 1'!AB11/'AEO 2026 Table 1'!$E$11</f>
        <v>1.0227082224193482</v>
      </c>
      <c r="Z6" s="223">
        <f>'AEO 2026 Table 1'!AC11/'AEO 2026 Table 1'!$E$11</f>
        <v>1.0227082224193482</v>
      </c>
      <c r="AA6" s="223">
        <f>'AEO 2026 Table 1'!AD11/'AEO 2026 Table 1'!$E$11</f>
        <v>1.0226735360361596</v>
      </c>
    </row>
    <row r="7" spans="1:29">
      <c r="A7" s="7" t="s">
        <v>118</v>
      </c>
      <c r="B7" s="7">
        <v>0</v>
      </c>
      <c r="C7" s="7">
        <v>0</v>
      </c>
      <c r="D7" s="7">
        <v>0</v>
      </c>
      <c r="E7" s="7">
        <v>0</v>
      </c>
      <c r="F7" s="7">
        <v>0</v>
      </c>
      <c r="G7" s="7">
        <v>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c r="AC7" s="7"/>
    </row>
    <row r="8" spans="1:29">
      <c r="A8" s="7" t="s">
        <v>119</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c r="AC8" s="7"/>
    </row>
    <row r="9" spans="1:29">
      <c r="A9" s="7" t="s">
        <v>120</v>
      </c>
      <c r="B9" s="7">
        <v>0</v>
      </c>
      <c r="C9" s="7">
        <v>0</v>
      </c>
      <c r="D9" s="7">
        <v>0</v>
      </c>
      <c r="E9" s="7">
        <v>0</v>
      </c>
      <c r="F9" s="7">
        <v>0</v>
      </c>
      <c r="G9" s="7">
        <v>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c r="AC9" s="7"/>
    </row>
    <row r="10" spans="1:29">
      <c r="A10" t="s">
        <v>109</v>
      </c>
      <c r="B10" s="223">
        <f>'AEO 2026 Table 1'!E13/'AEO 2026 Table 1'!$E$13</f>
        <v>1</v>
      </c>
      <c r="C10" s="223">
        <f>'AEO 2026 Table 1'!F13/'AEO 2026 Table 1'!$E$13</f>
        <v>1.0257810217196899</v>
      </c>
      <c r="D10" s="223">
        <f>'AEO 2026 Table 1'!G13/'AEO 2026 Table 1'!$E$13</f>
        <v>1.0171888203772583</v>
      </c>
      <c r="E10" s="223">
        <f>'AEO 2026 Table 1'!H13/'AEO 2026 Table 1'!$E$13</f>
        <v>1.0180763558160919</v>
      </c>
      <c r="F10" s="223">
        <f>'AEO 2026 Table 1'!I13/'AEO 2026 Table 1'!$E$13</f>
        <v>1.0143206861812268</v>
      </c>
      <c r="G10" s="223">
        <f>'AEO 2026 Table 1'!J13/'AEO 2026 Table 1'!$E$13</f>
        <v>0.99964027361924512</v>
      </c>
      <c r="H10" s="223">
        <f>'AEO 2026 Table 1'!K13/'AEO 2026 Table 1'!$E$13</f>
        <v>0.99161753386318996</v>
      </c>
      <c r="I10" s="223">
        <f>'AEO 2026 Table 1'!L13/'AEO 2026 Table 1'!$E$13</f>
        <v>0.98657926086957448</v>
      </c>
      <c r="J10" s="223">
        <f>'AEO 2026 Table 1'!M13/'AEO 2026 Table 1'!$E$13</f>
        <v>0.98452229914383016</v>
      </c>
      <c r="K10" s="223">
        <f>'AEO 2026 Table 1'!N13/'AEO 2026 Table 1'!$E$13</f>
        <v>0.98533978260325372</v>
      </c>
      <c r="L10" s="223">
        <f>'AEO 2026 Table 1'!O13/'AEO 2026 Table 1'!$E$13</f>
        <v>0.98664636772072112</v>
      </c>
      <c r="M10" s="223">
        <f>'AEO 2026 Table 1'!P13/'AEO 2026 Table 1'!$E$13</f>
        <v>0.99213019654734214</v>
      </c>
      <c r="N10" s="223">
        <f>'AEO 2026 Table 1'!Q13/'AEO 2026 Table 1'!$E$13</f>
        <v>0.99431295732319824</v>
      </c>
      <c r="O10" s="223">
        <f>'AEO 2026 Table 1'!R13/'AEO 2026 Table 1'!$E$13</f>
        <v>0.9981422551646506</v>
      </c>
      <c r="P10" s="223">
        <f>'AEO 2026 Table 1'!S13/'AEO 2026 Table 1'!$E$13</f>
        <v>1.0036795170326236</v>
      </c>
      <c r="Q10" s="223">
        <f>'AEO 2026 Table 1'!T13/'AEO 2026 Table 1'!$E$13</f>
        <v>1.0096633865651243</v>
      </c>
      <c r="R10" s="223">
        <f>'AEO 2026 Table 1'!U13/'AEO 2026 Table 1'!$E$13</f>
        <v>1.0106601021160118</v>
      </c>
      <c r="S10" s="223">
        <f>'AEO 2026 Table 1'!V13/'AEO 2026 Table 1'!$E$13</f>
        <v>1.0181447248650659</v>
      </c>
      <c r="T10" s="223">
        <f>'AEO 2026 Table 1'!W13/'AEO 2026 Table 1'!$E$13</f>
        <v>1.0207128767108304</v>
      </c>
      <c r="U10" s="223">
        <f>'AEO 2026 Table 1'!X13/'AEO 2026 Table 1'!$E$13</f>
        <v>1.0241521554236745</v>
      </c>
      <c r="V10" s="223">
        <f>'AEO 2026 Table 1'!Y13/'AEO 2026 Table 1'!$E$13</f>
        <v>1.0289018058474682</v>
      </c>
      <c r="W10" s="223">
        <f>'AEO 2026 Table 1'!Z13/'AEO 2026 Table 1'!$E$13</f>
        <v>1.0330704245381355</v>
      </c>
      <c r="X10" s="223">
        <f>'AEO 2026 Table 1'!AA13/'AEO 2026 Table 1'!$E$13</f>
        <v>1.041038679421316</v>
      </c>
      <c r="Y10" s="223">
        <f>'AEO 2026 Table 1'!AB13/'AEO 2026 Table 1'!$E$13</f>
        <v>1.051230295777128</v>
      </c>
      <c r="Z10" s="223">
        <f>'AEO 2026 Table 1'!AC13/'AEO 2026 Table 1'!$E$13</f>
        <v>1.0633890474466476</v>
      </c>
      <c r="AA10" s="223">
        <f>'AEO 2026 Table 1'!AD13/'AEO 2026 Table 1'!$E$13</f>
        <v>1.109340200811467</v>
      </c>
    </row>
    <row r="11" spans="1:29">
      <c r="A11" t="s">
        <v>110</v>
      </c>
      <c r="B11" s="226">
        <f>'AEO 2026 Table 1'!E$7/'AEO 2026 Table 1'!$E$7</f>
        <v>1</v>
      </c>
      <c r="C11" s="226">
        <f>'AEO 2026 Table 1'!F$7/'AEO 2026 Table 1'!$E$7</f>
        <v>0.99086318373076532</v>
      </c>
      <c r="D11" s="226">
        <f>'AEO 2026 Table 1'!G$7/'AEO 2026 Table 1'!$E$7</f>
        <v>0.99424228597298847</v>
      </c>
      <c r="E11" s="226">
        <f>'AEO 2026 Table 1'!H$7/'AEO 2026 Table 1'!$E$7</f>
        <v>0.99612036779324775</v>
      </c>
      <c r="F11" s="226">
        <f>'AEO 2026 Table 1'!I$7/'AEO 2026 Table 1'!$E$7</f>
        <v>0.98998730078280994</v>
      </c>
      <c r="G11" s="226">
        <f>'AEO 2026 Table 1'!J$7/'AEO 2026 Table 1'!$E$7</f>
        <v>0.99803713809188566</v>
      </c>
      <c r="H11" s="226">
        <f>'AEO 2026 Table 1'!K$7/'AEO 2026 Table 1'!$E$7</f>
        <v>0.99762594398819493</v>
      </c>
      <c r="I11" s="226">
        <f>'AEO 2026 Table 1'!L$7/'AEO 2026 Table 1'!$E$7</f>
        <v>0.99240303499901417</v>
      </c>
      <c r="J11" s="226">
        <f>'AEO 2026 Table 1'!M$7/'AEO 2026 Table 1'!$E$7</f>
        <v>0.97575289487340289</v>
      </c>
      <c r="K11" s="226">
        <f>'AEO 2026 Table 1'!N$7/'AEO 2026 Table 1'!$E$7</f>
        <v>0.96676353616251587</v>
      </c>
      <c r="L11" s="226">
        <f>'AEO 2026 Table 1'!O$7/'AEO 2026 Table 1'!$E$7</f>
        <v>0.95568457251544869</v>
      </c>
      <c r="M11" s="226">
        <f>'AEO 2026 Table 1'!P$7/'AEO 2026 Table 1'!$E$7</f>
        <v>0.95108772639166406</v>
      </c>
      <c r="N11" s="226">
        <f>'AEO 2026 Table 1'!Q$7/'AEO 2026 Table 1'!$E$7</f>
        <v>0.94921377324067091</v>
      </c>
      <c r="O11" s="226">
        <f>'AEO 2026 Table 1'!R$7/'AEO 2026 Table 1'!$E$7</f>
        <v>0.94243229160363917</v>
      </c>
      <c r="P11" s="226">
        <f>'AEO 2026 Table 1'!S$7/'AEO 2026 Table 1'!$E$7</f>
        <v>0.94120468874460694</v>
      </c>
      <c r="Q11" s="226">
        <f>'AEO 2026 Table 1'!T$7/'AEO 2026 Table 1'!$E$7</f>
        <v>0.95075636509110484</v>
      </c>
      <c r="R11" s="226">
        <f>'AEO 2026 Table 1'!U$7/'AEO 2026 Table 1'!$E$7</f>
        <v>0.95988321560693934</v>
      </c>
      <c r="S11" s="226">
        <f>'AEO 2026 Table 1'!V$7/'AEO 2026 Table 1'!$E$7</f>
        <v>0.96271235062937288</v>
      </c>
      <c r="T11" s="226">
        <f>'AEO 2026 Table 1'!W$7/'AEO 2026 Table 1'!$E$7</f>
        <v>0.96820273332142193</v>
      </c>
      <c r="U11" s="226">
        <f>'AEO 2026 Table 1'!X$7/'AEO 2026 Table 1'!$E$7</f>
        <v>0.97040448857533146</v>
      </c>
      <c r="V11" s="226">
        <f>'AEO 2026 Table 1'!Y$7/'AEO 2026 Table 1'!$E$7</f>
        <v>0.96814130157010447</v>
      </c>
      <c r="W11" s="226">
        <f>'AEO 2026 Table 1'!Z$7/'AEO 2026 Table 1'!$E$7</f>
        <v>0.96246715750374967</v>
      </c>
      <c r="X11" s="226">
        <f>'AEO 2026 Table 1'!AA$7/'AEO 2026 Table 1'!$E$7</f>
        <v>0.95687612070235795</v>
      </c>
      <c r="Y11" s="226">
        <f>'AEO 2026 Table 1'!AB$7/'AEO 2026 Table 1'!$E$7</f>
        <v>0.94965618150769038</v>
      </c>
      <c r="Z11" s="226">
        <f>'AEO 2026 Table 1'!AC$7/'AEO 2026 Table 1'!$E$7</f>
        <v>0.93942558821079847</v>
      </c>
      <c r="AA11" s="226">
        <f>'AEO 2026 Table 1'!AD$7/'AEO 2026 Table 1'!$E$7</f>
        <v>0.92520734105869051</v>
      </c>
    </row>
    <row r="12" spans="1:29">
      <c r="A12" t="s">
        <v>121</v>
      </c>
      <c r="B12" s="226">
        <f>'AEO 2026 Table 1'!E$7/'AEO 2026 Table 1'!$E$7</f>
        <v>1</v>
      </c>
      <c r="C12" s="226">
        <f>'AEO 2026 Table 1'!F$7/'AEO 2026 Table 1'!$E$7</f>
        <v>0.99086318373076532</v>
      </c>
      <c r="D12" s="226">
        <f>'AEO 2026 Table 1'!G$7/'AEO 2026 Table 1'!$E$7</f>
        <v>0.99424228597298847</v>
      </c>
      <c r="E12" s="226">
        <f>'AEO 2026 Table 1'!H$7/'AEO 2026 Table 1'!$E$7</f>
        <v>0.99612036779324775</v>
      </c>
      <c r="F12" s="226">
        <f>'AEO 2026 Table 1'!I$7/'AEO 2026 Table 1'!$E$7</f>
        <v>0.98998730078280994</v>
      </c>
      <c r="G12" s="226">
        <f>'AEO 2026 Table 1'!J$7/'AEO 2026 Table 1'!$E$7</f>
        <v>0.99803713809188566</v>
      </c>
      <c r="H12" s="226">
        <f>'AEO 2026 Table 1'!K$7/'AEO 2026 Table 1'!$E$7</f>
        <v>0.99762594398819493</v>
      </c>
      <c r="I12" s="226">
        <f>'AEO 2026 Table 1'!L$7/'AEO 2026 Table 1'!$E$7</f>
        <v>0.99240303499901417</v>
      </c>
      <c r="J12" s="226">
        <f>'AEO 2026 Table 1'!M$7/'AEO 2026 Table 1'!$E$7</f>
        <v>0.97575289487340289</v>
      </c>
      <c r="K12" s="226">
        <f>'AEO 2026 Table 1'!N$7/'AEO 2026 Table 1'!$E$7</f>
        <v>0.96676353616251587</v>
      </c>
      <c r="L12" s="226">
        <f>'AEO 2026 Table 1'!O$7/'AEO 2026 Table 1'!$E$7</f>
        <v>0.95568457251544869</v>
      </c>
      <c r="M12" s="226">
        <f>'AEO 2026 Table 1'!P$7/'AEO 2026 Table 1'!$E$7</f>
        <v>0.95108772639166406</v>
      </c>
      <c r="N12" s="226">
        <f>'AEO 2026 Table 1'!Q$7/'AEO 2026 Table 1'!$E$7</f>
        <v>0.94921377324067091</v>
      </c>
      <c r="O12" s="226">
        <f>'AEO 2026 Table 1'!R$7/'AEO 2026 Table 1'!$E$7</f>
        <v>0.94243229160363917</v>
      </c>
      <c r="P12" s="226">
        <f>'AEO 2026 Table 1'!S$7/'AEO 2026 Table 1'!$E$7</f>
        <v>0.94120468874460694</v>
      </c>
      <c r="Q12" s="226">
        <f>'AEO 2026 Table 1'!T$7/'AEO 2026 Table 1'!$E$7</f>
        <v>0.95075636509110484</v>
      </c>
      <c r="R12" s="226">
        <f>'AEO 2026 Table 1'!U$7/'AEO 2026 Table 1'!$E$7</f>
        <v>0.95988321560693934</v>
      </c>
      <c r="S12" s="226">
        <f>'AEO 2026 Table 1'!V$7/'AEO 2026 Table 1'!$E$7</f>
        <v>0.96271235062937288</v>
      </c>
      <c r="T12" s="226">
        <f>'AEO 2026 Table 1'!W$7/'AEO 2026 Table 1'!$E$7</f>
        <v>0.96820273332142193</v>
      </c>
      <c r="U12" s="226">
        <f>'AEO 2026 Table 1'!X$7/'AEO 2026 Table 1'!$E$7</f>
        <v>0.97040448857533146</v>
      </c>
      <c r="V12" s="226">
        <f>'AEO 2026 Table 1'!Y$7/'AEO 2026 Table 1'!$E$7</f>
        <v>0.96814130157010447</v>
      </c>
      <c r="W12" s="226">
        <f>'AEO 2026 Table 1'!Z$7/'AEO 2026 Table 1'!$E$7</f>
        <v>0.96246715750374967</v>
      </c>
      <c r="X12" s="226">
        <f>'AEO 2026 Table 1'!AA$7/'AEO 2026 Table 1'!$E$7</f>
        <v>0.95687612070235795</v>
      </c>
      <c r="Y12" s="226">
        <f>'AEO 2026 Table 1'!AB$7/'AEO 2026 Table 1'!$E$7</f>
        <v>0.94965618150769038</v>
      </c>
      <c r="Z12" s="226">
        <f>'AEO 2026 Table 1'!AC$7/'AEO 2026 Table 1'!$E$7</f>
        <v>0.93942558821079847</v>
      </c>
      <c r="AA12" s="226">
        <f>'AEO 2026 Table 1'!AD$7/'AEO 2026 Table 1'!$E$7</f>
        <v>0.92520734105869051</v>
      </c>
    </row>
    <row r="13" spans="1:29">
      <c r="A13" t="s">
        <v>122</v>
      </c>
      <c r="B13" s="226">
        <f>'AEO 2026 Table 1'!E$7/'AEO 2026 Table 1'!$E$7</f>
        <v>1</v>
      </c>
      <c r="C13" s="226">
        <f>'AEO 2026 Table 1'!F$7/'AEO 2026 Table 1'!$E$7</f>
        <v>0.99086318373076532</v>
      </c>
      <c r="D13" s="226">
        <f>'AEO 2026 Table 1'!G$7/'AEO 2026 Table 1'!$E$7</f>
        <v>0.99424228597298847</v>
      </c>
      <c r="E13" s="226">
        <f>'AEO 2026 Table 1'!H$7/'AEO 2026 Table 1'!$E$7</f>
        <v>0.99612036779324775</v>
      </c>
      <c r="F13" s="226">
        <f>'AEO 2026 Table 1'!I$7/'AEO 2026 Table 1'!$E$7</f>
        <v>0.98998730078280994</v>
      </c>
      <c r="G13" s="226">
        <f>'AEO 2026 Table 1'!J$7/'AEO 2026 Table 1'!$E$7</f>
        <v>0.99803713809188566</v>
      </c>
      <c r="H13" s="226">
        <f>'AEO 2026 Table 1'!K$7/'AEO 2026 Table 1'!$E$7</f>
        <v>0.99762594398819493</v>
      </c>
      <c r="I13" s="226">
        <f>'AEO 2026 Table 1'!L$7/'AEO 2026 Table 1'!$E$7</f>
        <v>0.99240303499901417</v>
      </c>
      <c r="J13" s="226">
        <f>'AEO 2026 Table 1'!M$7/'AEO 2026 Table 1'!$E$7</f>
        <v>0.97575289487340289</v>
      </c>
      <c r="K13" s="226">
        <f>'AEO 2026 Table 1'!N$7/'AEO 2026 Table 1'!$E$7</f>
        <v>0.96676353616251587</v>
      </c>
      <c r="L13" s="226">
        <f>'AEO 2026 Table 1'!O$7/'AEO 2026 Table 1'!$E$7</f>
        <v>0.95568457251544869</v>
      </c>
      <c r="M13" s="226">
        <f>'AEO 2026 Table 1'!P$7/'AEO 2026 Table 1'!$E$7</f>
        <v>0.95108772639166406</v>
      </c>
      <c r="N13" s="226">
        <f>'AEO 2026 Table 1'!Q$7/'AEO 2026 Table 1'!$E$7</f>
        <v>0.94921377324067091</v>
      </c>
      <c r="O13" s="226">
        <f>'AEO 2026 Table 1'!R$7/'AEO 2026 Table 1'!$E$7</f>
        <v>0.94243229160363917</v>
      </c>
      <c r="P13" s="226">
        <f>'AEO 2026 Table 1'!S$7/'AEO 2026 Table 1'!$E$7</f>
        <v>0.94120468874460694</v>
      </c>
      <c r="Q13" s="226">
        <f>'AEO 2026 Table 1'!T$7/'AEO 2026 Table 1'!$E$7</f>
        <v>0.95075636509110484</v>
      </c>
      <c r="R13" s="226">
        <f>'AEO 2026 Table 1'!U$7/'AEO 2026 Table 1'!$E$7</f>
        <v>0.95988321560693934</v>
      </c>
      <c r="S13" s="226">
        <f>'AEO 2026 Table 1'!V$7/'AEO 2026 Table 1'!$E$7</f>
        <v>0.96271235062937288</v>
      </c>
      <c r="T13" s="226">
        <f>'AEO 2026 Table 1'!W$7/'AEO 2026 Table 1'!$E$7</f>
        <v>0.96820273332142193</v>
      </c>
      <c r="U13" s="226">
        <f>'AEO 2026 Table 1'!X$7/'AEO 2026 Table 1'!$E$7</f>
        <v>0.97040448857533146</v>
      </c>
      <c r="V13" s="226">
        <f>'AEO 2026 Table 1'!Y$7/'AEO 2026 Table 1'!$E$7</f>
        <v>0.96814130157010447</v>
      </c>
      <c r="W13" s="226">
        <f>'AEO 2026 Table 1'!Z$7/'AEO 2026 Table 1'!$E$7</f>
        <v>0.96246715750374967</v>
      </c>
      <c r="X13" s="226">
        <f>'AEO 2026 Table 1'!AA$7/'AEO 2026 Table 1'!$E$7</f>
        <v>0.95687612070235795</v>
      </c>
      <c r="Y13" s="226">
        <f>'AEO 2026 Table 1'!AB$7/'AEO 2026 Table 1'!$E$7</f>
        <v>0.94965618150769038</v>
      </c>
      <c r="Z13" s="226">
        <f>'AEO 2026 Table 1'!AC$7/'AEO 2026 Table 1'!$E$7</f>
        <v>0.93942558821079847</v>
      </c>
      <c r="AA13" s="226">
        <f>'AEO 2026 Table 1'!AD$7/'AEO 2026 Table 1'!$E$7</f>
        <v>0.92520734105869051</v>
      </c>
    </row>
    <row r="14" spans="1:29">
      <c r="A14" t="s">
        <v>123</v>
      </c>
      <c r="B14" s="226">
        <f>'AEO 2026 Table 1'!E$7/'AEO 2026 Table 1'!$E$7</f>
        <v>1</v>
      </c>
      <c r="C14" s="226">
        <f>'AEO 2026 Table 1'!F$7/'AEO 2026 Table 1'!$E$7</f>
        <v>0.99086318373076532</v>
      </c>
      <c r="D14" s="226">
        <f>'AEO 2026 Table 1'!G$7/'AEO 2026 Table 1'!$E$7</f>
        <v>0.99424228597298847</v>
      </c>
      <c r="E14" s="226">
        <f>'AEO 2026 Table 1'!H$7/'AEO 2026 Table 1'!$E$7</f>
        <v>0.99612036779324775</v>
      </c>
      <c r="F14" s="226">
        <f>'AEO 2026 Table 1'!I$7/'AEO 2026 Table 1'!$E$7</f>
        <v>0.98998730078280994</v>
      </c>
      <c r="G14" s="226">
        <f>'AEO 2026 Table 1'!J$7/'AEO 2026 Table 1'!$E$7</f>
        <v>0.99803713809188566</v>
      </c>
      <c r="H14" s="226">
        <f>'AEO 2026 Table 1'!K$7/'AEO 2026 Table 1'!$E$7</f>
        <v>0.99762594398819493</v>
      </c>
      <c r="I14" s="226">
        <f>'AEO 2026 Table 1'!L$7/'AEO 2026 Table 1'!$E$7</f>
        <v>0.99240303499901417</v>
      </c>
      <c r="J14" s="226">
        <f>'AEO 2026 Table 1'!M$7/'AEO 2026 Table 1'!$E$7</f>
        <v>0.97575289487340289</v>
      </c>
      <c r="K14" s="226">
        <f>'AEO 2026 Table 1'!N$7/'AEO 2026 Table 1'!$E$7</f>
        <v>0.96676353616251587</v>
      </c>
      <c r="L14" s="226">
        <f>'AEO 2026 Table 1'!O$7/'AEO 2026 Table 1'!$E$7</f>
        <v>0.95568457251544869</v>
      </c>
      <c r="M14" s="226">
        <f>'AEO 2026 Table 1'!P$7/'AEO 2026 Table 1'!$E$7</f>
        <v>0.95108772639166406</v>
      </c>
      <c r="N14" s="226">
        <f>'AEO 2026 Table 1'!Q$7/'AEO 2026 Table 1'!$E$7</f>
        <v>0.94921377324067091</v>
      </c>
      <c r="O14" s="226">
        <f>'AEO 2026 Table 1'!R$7/'AEO 2026 Table 1'!$E$7</f>
        <v>0.94243229160363917</v>
      </c>
      <c r="P14" s="226">
        <f>'AEO 2026 Table 1'!S$7/'AEO 2026 Table 1'!$E$7</f>
        <v>0.94120468874460694</v>
      </c>
      <c r="Q14" s="226">
        <f>'AEO 2026 Table 1'!T$7/'AEO 2026 Table 1'!$E$7</f>
        <v>0.95075636509110484</v>
      </c>
      <c r="R14" s="226">
        <f>'AEO 2026 Table 1'!U$7/'AEO 2026 Table 1'!$E$7</f>
        <v>0.95988321560693934</v>
      </c>
      <c r="S14" s="226">
        <f>'AEO 2026 Table 1'!V$7/'AEO 2026 Table 1'!$E$7</f>
        <v>0.96271235062937288</v>
      </c>
      <c r="T14" s="226">
        <f>'AEO 2026 Table 1'!W$7/'AEO 2026 Table 1'!$E$7</f>
        <v>0.96820273332142193</v>
      </c>
      <c r="U14" s="226">
        <f>'AEO 2026 Table 1'!X$7/'AEO 2026 Table 1'!$E$7</f>
        <v>0.97040448857533146</v>
      </c>
      <c r="V14" s="226">
        <f>'AEO 2026 Table 1'!Y$7/'AEO 2026 Table 1'!$E$7</f>
        <v>0.96814130157010447</v>
      </c>
      <c r="W14" s="226">
        <f>'AEO 2026 Table 1'!Z$7/'AEO 2026 Table 1'!$E$7</f>
        <v>0.96246715750374967</v>
      </c>
      <c r="X14" s="226">
        <f>'AEO 2026 Table 1'!AA$7/'AEO 2026 Table 1'!$E$7</f>
        <v>0.95687612070235795</v>
      </c>
      <c r="Y14" s="226">
        <f>'AEO 2026 Table 1'!AB$7/'AEO 2026 Table 1'!$E$7</f>
        <v>0.94965618150769038</v>
      </c>
      <c r="Z14" s="226">
        <f>'AEO 2026 Table 1'!AC$7/'AEO 2026 Table 1'!$E$7</f>
        <v>0.93942558821079847</v>
      </c>
      <c r="AA14" s="226">
        <f>'AEO 2026 Table 1'!AD$7/'AEO 2026 Table 1'!$E$7</f>
        <v>0.92520734105869051</v>
      </c>
    </row>
    <row r="15" spans="1:29">
      <c r="A15" t="s">
        <v>112</v>
      </c>
      <c r="B15" s="226">
        <f>'AEO 2026 Table 1'!E$7/'AEO 2026 Table 1'!$E$7</f>
        <v>1</v>
      </c>
      <c r="C15" s="226">
        <f>'AEO 2026 Table 1'!F$7/'AEO 2026 Table 1'!$E$7</f>
        <v>0.99086318373076532</v>
      </c>
      <c r="D15" s="226">
        <f>'AEO 2026 Table 1'!G$7/'AEO 2026 Table 1'!$E$7</f>
        <v>0.99424228597298847</v>
      </c>
      <c r="E15" s="226">
        <f>'AEO 2026 Table 1'!H$7/'AEO 2026 Table 1'!$E$7</f>
        <v>0.99612036779324775</v>
      </c>
      <c r="F15" s="226">
        <f>'AEO 2026 Table 1'!I$7/'AEO 2026 Table 1'!$E$7</f>
        <v>0.98998730078280994</v>
      </c>
      <c r="G15" s="226">
        <f>'AEO 2026 Table 1'!J$7/'AEO 2026 Table 1'!$E$7</f>
        <v>0.99803713809188566</v>
      </c>
      <c r="H15" s="226">
        <f>'AEO 2026 Table 1'!K$7/'AEO 2026 Table 1'!$E$7</f>
        <v>0.99762594398819493</v>
      </c>
      <c r="I15" s="226">
        <f>'AEO 2026 Table 1'!L$7/'AEO 2026 Table 1'!$E$7</f>
        <v>0.99240303499901417</v>
      </c>
      <c r="J15" s="226">
        <f>'AEO 2026 Table 1'!M$7/'AEO 2026 Table 1'!$E$7</f>
        <v>0.97575289487340289</v>
      </c>
      <c r="K15" s="226">
        <f>'AEO 2026 Table 1'!N$7/'AEO 2026 Table 1'!$E$7</f>
        <v>0.96676353616251587</v>
      </c>
      <c r="L15" s="226">
        <f>'AEO 2026 Table 1'!O$7/'AEO 2026 Table 1'!$E$7</f>
        <v>0.95568457251544869</v>
      </c>
      <c r="M15" s="226">
        <f>'AEO 2026 Table 1'!P$7/'AEO 2026 Table 1'!$E$7</f>
        <v>0.95108772639166406</v>
      </c>
      <c r="N15" s="226">
        <f>'AEO 2026 Table 1'!Q$7/'AEO 2026 Table 1'!$E$7</f>
        <v>0.94921377324067091</v>
      </c>
      <c r="O15" s="226">
        <f>'AEO 2026 Table 1'!R$7/'AEO 2026 Table 1'!$E$7</f>
        <v>0.94243229160363917</v>
      </c>
      <c r="P15" s="226">
        <f>'AEO 2026 Table 1'!S$7/'AEO 2026 Table 1'!$E$7</f>
        <v>0.94120468874460694</v>
      </c>
      <c r="Q15" s="226">
        <f>'AEO 2026 Table 1'!T$7/'AEO 2026 Table 1'!$E$7</f>
        <v>0.95075636509110484</v>
      </c>
      <c r="R15" s="226">
        <f>'AEO 2026 Table 1'!U$7/'AEO 2026 Table 1'!$E$7</f>
        <v>0.95988321560693934</v>
      </c>
      <c r="S15" s="226">
        <f>'AEO 2026 Table 1'!V$7/'AEO 2026 Table 1'!$E$7</f>
        <v>0.96271235062937288</v>
      </c>
      <c r="T15" s="226">
        <f>'AEO 2026 Table 1'!W$7/'AEO 2026 Table 1'!$E$7</f>
        <v>0.96820273332142193</v>
      </c>
      <c r="U15" s="226">
        <f>'AEO 2026 Table 1'!X$7/'AEO 2026 Table 1'!$E$7</f>
        <v>0.97040448857533146</v>
      </c>
      <c r="V15" s="226">
        <f>'AEO 2026 Table 1'!Y$7/'AEO 2026 Table 1'!$E$7</f>
        <v>0.96814130157010447</v>
      </c>
      <c r="W15" s="226">
        <f>'AEO 2026 Table 1'!Z$7/'AEO 2026 Table 1'!$E$7</f>
        <v>0.96246715750374967</v>
      </c>
      <c r="X15" s="226">
        <f>'AEO 2026 Table 1'!AA$7/'AEO 2026 Table 1'!$E$7</f>
        <v>0.95687612070235795</v>
      </c>
      <c r="Y15" s="226">
        <f>'AEO 2026 Table 1'!AB$7/'AEO 2026 Table 1'!$E$7</f>
        <v>0.94965618150769038</v>
      </c>
      <c r="Z15" s="226">
        <f>'AEO 2026 Table 1'!AC$7/'AEO 2026 Table 1'!$E$7</f>
        <v>0.93942558821079847</v>
      </c>
      <c r="AA15" s="226">
        <f>'AEO 2026 Table 1'!AD$7/'AEO 2026 Table 1'!$E$7</f>
        <v>0.92520734105869051</v>
      </c>
    </row>
    <row r="16" spans="1:29">
      <c r="A16" s="7" t="s">
        <v>148</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c r="AC16" s="7"/>
    </row>
    <row r="17" spans="1:29">
      <c r="A17" s="7" t="s">
        <v>125</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c r="AC17" s="7"/>
    </row>
    <row r="18" spans="1:29">
      <c r="A18" t="s">
        <v>126</v>
      </c>
      <c r="B18" s="223">
        <f>'AEO 2026 Table 1'!E$10/'AEO 2026 Table 1'!$E$10</f>
        <v>1</v>
      </c>
      <c r="C18" s="223">
        <f>'AEO 2026 Table 1'!F$10/'AEO 2026 Table 1'!$E$10</f>
        <v>0.97530688021512424</v>
      </c>
      <c r="D18" s="223">
        <f>'AEO 2026 Table 1'!G$10/'AEO 2026 Table 1'!$E$10</f>
        <v>0.94217823588772809</v>
      </c>
      <c r="E18" s="223">
        <f>'AEO 2026 Table 1'!H$10/'AEO 2026 Table 1'!$E$10</f>
        <v>0.88468935154500616</v>
      </c>
      <c r="F18" s="223">
        <f>'AEO 2026 Table 1'!I$10/'AEO 2026 Table 1'!$E$10</f>
        <v>0.86350145666254718</v>
      </c>
      <c r="G18" s="223">
        <f>'AEO 2026 Table 1'!J$10/'AEO 2026 Table 1'!$E$10</f>
        <v>0.87296349211038715</v>
      </c>
      <c r="H18" s="223">
        <f>'AEO 2026 Table 1'!K$10/'AEO 2026 Table 1'!$E$10</f>
        <v>0.7858869568917447</v>
      </c>
      <c r="I18" s="223">
        <f>'AEO 2026 Table 1'!L$10/'AEO 2026 Table 1'!$E$10</f>
        <v>0.76483944195117537</v>
      </c>
      <c r="J18" s="223">
        <f>'AEO 2026 Table 1'!M$10/'AEO 2026 Table 1'!$E$10</f>
        <v>0.75194195349791326</v>
      </c>
      <c r="K18" s="223">
        <f>'AEO 2026 Table 1'!N$10/'AEO 2026 Table 1'!$E$10</f>
        <v>0.72678347095398721</v>
      </c>
      <c r="L18" s="223">
        <f>'AEO 2026 Table 1'!O$10/'AEO 2026 Table 1'!$E$10</f>
        <v>0.72514843018806086</v>
      </c>
      <c r="M18" s="223">
        <f>'AEO 2026 Table 1'!P$10/'AEO 2026 Table 1'!$E$10</f>
        <v>0.71234143151865092</v>
      </c>
      <c r="N18" s="223">
        <f>'AEO 2026 Table 1'!Q$10/'AEO 2026 Table 1'!$E$10</f>
        <v>0.7101661463039568</v>
      </c>
      <c r="O18" s="223">
        <f>'AEO 2026 Table 1'!R$10/'AEO 2026 Table 1'!$E$10</f>
        <v>0.7109280628515654</v>
      </c>
      <c r="P18" s="223">
        <f>'AEO 2026 Table 1'!S$10/'AEO 2026 Table 1'!$E$10</f>
        <v>0.70500711376052316</v>
      </c>
      <c r="Q18" s="223">
        <f>'AEO 2026 Table 1'!T$10/'AEO 2026 Table 1'!$E$10</f>
        <v>0.69106620563329568</v>
      </c>
      <c r="R18" s="223">
        <f>'AEO 2026 Table 1'!U$10/'AEO 2026 Table 1'!$E$10</f>
        <v>0.67581849124358051</v>
      </c>
      <c r="S18" s="223">
        <f>'AEO 2026 Table 1'!V$10/'AEO 2026 Table 1'!$E$10</f>
        <v>0.66436428697116201</v>
      </c>
      <c r="T18" s="223">
        <f>'AEO 2026 Table 1'!W$10/'AEO 2026 Table 1'!$E$10</f>
        <v>0.65747610057038297</v>
      </c>
      <c r="U18" s="223">
        <f>'AEO 2026 Table 1'!X$10/'AEO 2026 Table 1'!$E$10</f>
        <v>0.65123611460280284</v>
      </c>
      <c r="V18" s="223">
        <f>'AEO 2026 Table 1'!Y$10/'AEO 2026 Table 1'!$E$10</f>
        <v>0.6439144319684984</v>
      </c>
      <c r="W18" s="223">
        <f>'AEO 2026 Table 1'!Z$10/'AEO 2026 Table 1'!$E$10</f>
        <v>0.63794665859505229</v>
      </c>
      <c r="X18" s="223">
        <f>'AEO 2026 Table 1'!AA$10/'AEO 2026 Table 1'!$E$10</f>
        <v>0.63914374367198623</v>
      </c>
      <c r="Y18" s="223">
        <f>'AEO 2026 Table 1'!AB$10/'AEO 2026 Table 1'!$E$10</f>
        <v>0.63679379645149981</v>
      </c>
      <c r="Z18" s="223">
        <f>'AEO 2026 Table 1'!AC$10/'AEO 2026 Table 1'!$E$10</f>
        <v>0.62774853427918387</v>
      </c>
      <c r="AA18" s="223">
        <f>'AEO 2026 Table 1'!AD$10/'AEO 2026 Table 1'!$E$10</f>
        <v>0.60360634305513206</v>
      </c>
    </row>
    <row r="19" spans="1:29">
      <c r="A19" t="s">
        <v>113</v>
      </c>
      <c r="B19" s="226">
        <f>'AEO 2026 Table 1'!E$7/'AEO 2026 Table 1'!$E$7</f>
        <v>1</v>
      </c>
      <c r="C19" s="226">
        <f>'AEO 2026 Table 1'!F$7/'AEO 2026 Table 1'!$E$7</f>
        <v>0.99086318373076532</v>
      </c>
      <c r="D19" s="226">
        <f>'AEO 2026 Table 1'!G$7/'AEO 2026 Table 1'!$E$7</f>
        <v>0.99424228597298847</v>
      </c>
      <c r="E19" s="226">
        <f>'AEO 2026 Table 1'!H$7/'AEO 2026 Table 1'!$E$7</f>
        <v>0.99612036779324775</v>
      </c>
      <c r="F19" s="226">
        <f>'AEO 2026 Table 1'!I$7/'AEO 2026 Table 1'!$E$7</f>
        <v>0.98998730078280994</v>
      </c>
      <c r="G19" s="226">
        <f>'AEO 2026 Table 1'!J$7/'AEO 2026 Table 1'!$E$7</f>
        <v>0.99803713809188566</v>
      </c>
      <c r="H19" s="226">
        <f>'AEO 2026 Table 1'!K$7/'AEO 2026 Table 1'!$E$7</f>
        <v>0.99762594398819493</v>
      </c>
      <c r="I19" s="226">
        <f>'AEO 2026 Table 1'!L$7/'AEO 2026 Table 1'!$E$7</f>
        <v>0.99240303499901417</v>
      </c>
      <c r="J19" s="226">
        <f>'AEO 2026 Table 1'!M$7/'AEO 2026 Table 1'!$E$7</f>
        <v>0.97575289487340289</v>
      </c>
      <c r="K19" s="226">
        <f>'AEO 2026 Table 1'!N$7/'AEO 2026 Table 1'!$E$7</f>
        <v>0.96676353616251587</v>
      </c>
      <c r="L19" s="226">
        <f>'AEO 2026 Table 1'!O$7/'AEO 2026 Table 1'!$E$7</f>
        <v>0.95568457251544869</v>
      </c>
      <c r="M19" s="226">
        <f>'AEO 2026 Table 1'!P$7/'AEO 2026 Table 1'!$E$7</f>
        <v>0.95108772639166406</v>
      </c>
      <c r="N19" s="226">
        <f>'AEO 2026 Table 1'!Q$7/'AEO 2026 Table 1'!$E$7</f>
        <v>0.94921377324067091</v>
      </c>
      <c r="O19" s="226">
        <f>'AEO 2026 Table 1'!R$7/'AEO 2026 Table 1'!$E$7</f>
        <v>0.94243229160363917</v>
      </c>
      <c r="P19" s="226">
        <f>'AEO 2026 Table 1'!S$7/'AEO 2026 Table 1'!$E$7</f>
        <v>0.94120468874460694</v>
      </c>
      <c r="Q19" s="226">
        <f>'AEO 2026 Table 1'!T$7/'AEO 2026 Table 1'!$E$7</f>
        <v>0.95075636509110484</v>
      </c>
      <c r="R19" s="226">
        <f>'AEO 2026 Table 1'!U$7/'AEO 2026 Table 1'!$E$7</f>
        <v>0.95988321560693934</v>
      </c>
      <c r="S19" s="226">
        <f>'AEO 2026 Table 1'!V$7/'AEO 2026 Table 1'!$E$7</f>
        <v>0.96271235062937288</v>
      </c>
      <c r="T19" s="226">
        <f>'AEO 2026 Table 1'!W$7/'AEO 2026 Table 1'!$E$7</f>
        <v>0.96820273332142193</v>
      </c>
      <c r="U19" s="226">
        <f>'AEO 2026 Table 1'!X$7/'AEO 2026 Table 1'!$E$7</f>
        <v>0.97040448857533146</v>
      </c>
      <c r="V19" s="226">
        <f>'AEO 2026 Table 1'!Y$7/'AEO 2026 Table 1'!$E$7</f>
        <v>0.96814130157010447</v>
      </c>
      <c r="W19" s="226">
        <f>'AEO 2026 Table 1'!Z$7/'AEO 2026 Table 1'!$E$7</f>
        <v>0.96246715750374967</v>
      </c>
      <c r="X19" s="226">
        <f>'AEO 2026 Table 1'!AA$7/'AEO 2026 Table 1'!$E$7</f>
        <v>0.95687612070235795</v>
      </c>
      <c r="Y19" s="226">
        <f>'AEO 2026 Table 1'!AB$7/'AEO 2026 Table 1'!$E$7</f>
        <v>0.94965618150769038</v>
      </c>
      <c r="Z19" s="226">
        <f>'AEO 2026 Table 1'!AC$7/'AEO 2026 Table 1'!$E$7</f>
        <v>0.93942558821079847</v>
      </c>
      <c r="AA19" s="226">
        <f>'AEO 2026 Table 1'!AD$7/'AEO 2026 Table 1'!$E$7</f>
        <v>0.92520734105869051</v>
      </c>
    </row>
    <row r="20" spans="1:29">
      <c r="A20" t="s">
        <v>127</v>
      </c>
      <c r="B20" s="226">
        <f>'AEO 2026 Table 1'!E$7/'AEO 2026 Table 1'!$E$7</f>
        <v>1</v>
      </c>
      <c r="C20" s="226">
        <f>'AEO 2026 Table 1'!F$7/'AEO 2026 Table 1'!$E$7</f>
        <v>0.99086318373076532</v>
      </c>
      <c r="D20" s="226">
        <f>'AEO 2026 Table 1'!G$7/'AEO 2026 Table 1'!$E$7</f>
        <v>0.99424228597298847</v>
      </c>
      <c r="E20" s="226">
        <f>'AEO 2026 Table 1'!H$7/'AEO 2026 Table 1'!$E$7</f>
        <v>0.99612036779324775</v>
      </c>
      <c r="F20" s="226">
        <f>'AEO 2026 Table 1'!I$7/'AEO 2026 Table 1'!$E$7</f>
        <v>0.98998730078280994</v>
      </c>
      <c r="G20" s="226">
        <f>'AEO 2026 Table 1'!J$7/'AEO 2026 Table 1'!$E$7</f>
        <v>0.99803713809188566</v>
      </c>
      <c r="H20" s="226">
        <f>'AEO 2026 Table 1'!K$7/'AEO 2026 Table 1'!$E$7</f>
        <v>0.99762594398819493</v>
      </c>
      <c r="I20" s="226">
        <f>'AEO 2026 Table 1'!L$7/'AEO 2026 Table 1'!$E$7</f>
        <v>0.99240303499901417</v>
      </c>
      <c r="J20" s="226">
        <f>'AEO 2026 Table 1'!M$7/'AEO 2026 Table 1'!$E$7</f>
        <v>0.97575289487340289</v>
      </c>
      <c r="K20" s="226">
        <f>'AEO 2026 Table 1'!N$7/'AEO 2026 Table 1'!$E$7</f>
        <v>0.96676353616251587</v>
      </c>
      <c r="L20" s="226">
        <f>'AEO 2026 Table 1'!O$7/'AEO 2026 Table 1'!$E$7</f>
        <v>0.95568457251544869</v>
      </c>
      <c r="M20" s="226">
        <f>'AEO 2026 Table 1'!P$7/'AEO 2026 Table 1'!$E$7</f>
        <v>0.95108772639166406</v>
      </c>
      <c r="N20" s="226">
        <f>'AEO 2026 Table 1'!Q$7/'AEO 2026 Table 1'!$E$7</f>
        <v>0.94921377324067091</v>
      </c>
      <c r="O20" s="226">
        <f>'AEO 2026 Table 1'!R$7/'AEO 2026 Table 1'!$E$7</f>
        <v>0.94243229160363917</v>
      </c>
      <c r="P20" s="226">
        <f>'AEO 2026 Table 1'!S$7/'AEO 2026 Table 1'!$E$7</f>
        <v>0.94120468874460694</v>
      </c>
      <c r="Q20" s="226">
        <f>'AEO 2026 Table 1'!T$7/'AEO 2026 Table 1'!$E$7</f>
        <v>0.95075636509110484</v>
      </c>
      <c r="R20" s="226">
        <f>'AEO 2026 Table 1'!U$7/'AEO 2026 Table 1'!$E$7</f>
        <v>0.95988321560693934</v>
      </c>
      <c r="S20" s="226">
        <f>'AEO 2026 Table 1'!V$7/'AEO 2026 Table 1'!$E$7</f>
        <v>0.96271235062937288</v>
      </c>
      <c r="T20" s="226">
        <f>'AEO 2026 Table 1'!W$7/'AEO 2026 Table 1'!$E$7</f>
        <v>0.96820273332142193</v>
      </c>
      <c r="U20" s="226">
        <f>'AEO 2026 Table 1'!X$7/'AEO 2026 Table 1'!$E$7</f>
        <v>0.97040448857533146</v>
      </c>
      <c r="V20" s="226">
        <f>'AEO 2026 Table 1'!Y$7/'AEO 2026 Table 1'!$E$7</f>
        <v>0.96814130157010447</v>
      </c>
      <c r="W20" s="226">
        <f>'AEO 2026 Table 1'!Z$7/'AEO 2026 Table 1'!$E$7</f>
        <v>0.96246715750374967</v>
      </c>
      <c r="X20" s="226">
        <f>'AEO 2026 Table 1'!AA$7/'AEO 2026 Table 1'!$E$7</f>
        <v>0.95687612070235795</v>
      </c>
      <c r="Y20" s="226">
        <f>'AEO 2026 Table 1'!AB$7/'AEO 2026 Table 1'!$E$7</f>
        <v>0.94965618150769038</v>
      </c>
      <c r="Z20" s="226">
        <f>'AEO 2026 Table 1'!AC$7/'AEO 2026 Table 1'!$E$7</f>
        <v>0.93942558821079847</v>
      </c>
      <c r="AA20" s="226">
        <f>'AEO 2026 Table 1'!AD$7/'AEO 2026 Table 1'!$E$7</f>
        <v>0.92520734105869051</v>
      </c>
    </row>
    <row r="21" spans="1:29">
      <c r="A21" t="s">
        <v>114</v>
      </c>
      <c r="B21" s="226">
        <f>'AEO 2026 Table 1'!E8/'AEO 2026 Table 1'!$E$8</f>
        <v>1</v>
      </c>
      <c r="C21" s="226">
        <f>'AEO 2026 Table 1'!F8/'AEO 2026 Table 1'!$E$8</f>
        <v>1.0184812756126318</v>
      </c>
      <c r="D21" s="226">
        <f>'AEO 2026 Table 1'!G8/'AEO 2026 Table 1'!$E$8</f>
        <v>1.0932800625593029</v>
      </c>
      <c r="E21" s="226">
        <f>'AEO 2026 Table 1'!H8/'AEO 2026 Table 1'!$E$8</f>
        <v>1.0820644861079072</v>
      </c>
      <c r="F21" s="226">
        <f>'AEO 2026 Table 1'!I8/'AEO 2026 Table 1'!$E$8</f>
        <v>1.0862884034185143</v>
      </c>
      <c r="G21" s="226">
        <f>'AEO 2026 Table 1'!J8/'AEO 2026 Table 1'!$E$8</f>
        <v>1.09025387479178</v>
      </c>
      <c r="H21" s="226">
        <f>'AEO 2026 Table 1'!K8/'AEO 2026 Table 1'!$E$8</f>
        <v>1.1424749244544645</v>
      </c>
      <c r="I21" s="226">
        <f>'AEO 2026 Table 1'!L8/'AEO 2026 Table 1'!$E$8</f>
        <v>1.1920131680596167</v>
      </c>
      <c r="J21" s="226">
        <f>'AEO 2026 Table 1'!M8/'AEO 2026 Table 1'!$E$8</f>
        <v>1.2402579344514153</v>
      </c>
      <c r="K21" s="226">
        <f>'AEO 2026 Table 1'!N8/'AEO 2026 Table 1'!$E$8</f>
        <v>1.2751055121653081</v>
      </c>
      <c r="L21" s="226">
        <f>'AEO 2026 Table 1'!O8/'AEO 2026 Table 1'!$E$8</f>
        <v>1.3012201954188118</v>
      </c>
      <c r="M21" s="226">
        <f>'AEO 2026 Table 1'!P8/'AEO 2026 Table 1'!$E$8</f>
        <v>1.3158565939008631</v>
      </c>
      <c r="N21" s="226">
        <f>'AEO 2026 Table 1'!Q8/'AEO 2026 Table 1'!$E$8</f>
        <v>1.338839361503386</v>
      </c>
      <c r="O21" s="226">
        <f>'AEO 2026 Table 1'!R8/'AEO 2026 Table 1'!$E$8</f>
        <v>1.3643915141989844</v>
      </c>
      <c r="P21" s="226">
        <f>'AEO 2026 Table 1'!S8/'AEO 2026 Table 1'!$E$8</f>
        <v>1.3856919921160475</v>
      </c>
      <c r="Q21" s="226">
        <f>'AEO 2026 Table 1'!T8/'AEO 2026 Table 1'!$E$8</f>
        <v>1.4206160847977132</v>
      </c>
      <c r="R21" s="226">
        <f>'AEO 2026 Table 1'!U8/'AEO 2026 Table 1'!$E$8</f>
        <v>1.4511746658941704</v>
      </c>
      <c r="S21" s="226">
        <f>'AEO 2026 Table 1'!V8/'AEO 2026 Table 1'!$E$8</f>
        <v>1.4682735780197449</v>
      </c>
      <c r="T21" s="226">
        <f>'AEO 2026 Table 1'!W8/'AEO 2026 Table 1'!$E$8</f>
        <v>1.4760809116675242</v>
      </c>
      <c r="U21" s="226">
        <f>'AEO 2026 Table 1'!X8/'AEO 2026 Table 1'!$E$8</f>
        <v>1.4699832093309173</v>
      </c>
      <c r="V21" s="226">
        <f>'AEO 2026 Table 1'!Y8/'AEO 2026 Table 1'!$E$8</f>
        <v>1.4549528003490579</v>
      </c>
      <c r="W21" s="226">
        <f>'AEO 2026 Table 1'!Z8/'AEO 2026 Table 1'!$E$8</f>
        <v>1.4424815883259783</v>
      </c>
      <c r="X21" s="226">
        <f>'AEO 2026 Table 1'!AA8/'AEO 2026 Table 1'!$E$8</f>
        <v>1.4460117768594827</v>
      </c>
      <c r="Y21" s="226">
        <f>'AEO 2026 Table 1'!AB8/'AEO 2026 Table 1'!$E$8</f>
        <v>1.4558580888536301</v>
      </c>
      <c r="Z21" s="226">
        <f>'AEO 2026 Table 1'!AC8/'AEO 2026 Table 1'!$E$8</f>
        <v>1.4615505529505928</v>
      </c>
      <c r="AA21" s="226">
        <f>'AEO 2026 Table 1'!AD8/'AEO 2026 Table 1'!$E$8</f>
        <v>1.4585290434080016</v>
      </c>
    </row>
    <row r="22" spans="1:29">
      <c r="A22" t="s">
        <v>128</v>
      </c>
      <c r="B22" s="226">
        <f>'AEO 2026 Table 1'!E15/'AEO 2026 Table 1'!$E$15</f>
        <v>1</v>
      </c>
      <c r="C22" s="226">
        <f>'AEO 2026 Table 1'!F15/'AEO 2026 Table 1'!$E$15</f>
        <v>0.96332136959926284</v>
      </c>
      <c r="D22" s="226">
        <f>'AEO 2026 Table 1'!G15/'AEO 2026 Table 1'!$E$15</f>
        <v>0.45823939068831737</v>
      </c>
      <c r="E22" s="226">
        <f>'AEO 2026 Table 1'!H15/'AEO 2026 Table 1'!$E$15</f>
        <v>0.41565567480342464</v>
      </c>
      <c r="F22" s="226">
        <f>'AEO 2026 Table 1'!I15/'AEO 2026 Table 1'!$E$15</f>
        <v>0.41074645438236962</v>
      </c>
      <c r="G22" s="226">
        <f>'AEO 2026 Table 1'!J15/'AEO 2026 Table 1'!$E$15</f>
        <v>0.40737328227360187</v>
      </c>
      <c r="H22" s="226">
        <f>'AEO 2026 Table 1'!K15/'AEO 2026 Table 1'!$E$15</f>
        <v>0.39712670082611107</v>
      </c>
      <c r="I22" s="226">
        <f>'AEO 2026 Table 1'!L15/'AEO 2026 Table 1'!$E$15</f>
        <v>0.31704249984038613</v>
      </c>
      <c r="J22" s="226">
        <f>'AEO 2026 Table 1'!M15/'AEO 2026 Table 1'!$E$15</f>
        <v>0.31832191416406797</v>
      </c>
      <c r="K22" s="226">
        <f>'AEO 2026 Table 1'!N15/'AEO 2026 Table 1'!$E$15</f>
        <v>0.32958313877138667</v>
      </c>
      <c r="L22" s="226">
        <f>'AEO 2026 Table 1'!O15/'AEO 2026 Table 1'!$E$15</f>
        <v>0.33307523882609352</v>
      </c>
      <c r="M22" s="226">
        <f>'AEO 2026 Table 1'!P15/'AEO 2026 Table 1'!$E$15</f>
        <v>0.33124124471240091</v>
      </c>
      <c r="N22" s="226">
        <f>'AEO 2026 Table 1'!Q15/'AEO 2026 Table 1'!$E$15</f>
        <v>0.33946292139613898</v>
      </c>
      <c r="O22" s="226">
        <f>'AEO 2026 Table 1'!R15/'AEO 2026 Table 1'!$E$15</f>
        <v>0.34210875522500539</v>
      </c>
      <c r="P22" s="226">
        <f>'AEO 2026 Table 1'!S15/'AEO 2026 Table 1'!$E$15</f>
        <v>0.34329240125537835</v>
      </c>
      <c r="Q22" s="226">
        <f>'AEO 2026 Table 1'!T15/'AEO 2026 Table 1'!$E$15</f>
        <v>0.33992861819497422</v>
      </c>
      <c r="R22" s="226">
        <f>'AEO 2026 Table 1'!U15/'AEO 2026 Table 1'!$E$15</f>
        <v>0.33951487413041759</v>
      </c>
      <c r="S22" s="226">
        <f>'AEO 2026 Table 1'!V15/'AEO 2026 Table 1'!$E$15</f>
        <v>0.33752314400421629</v>
      </c>
      <c r="T22" s="226">
        <f>'AEO 2026 Table 1'!W15/'AEO 2026 Table 1'!$E$15</f>
        <v>0.33945353234777537</v>
      </c>
      <c r="U22" s="226">
        <f>'AEO 2026 Table 1'!X15/'AEO 2026 Table 1'!$E$15</f>
        <v>0.34934583370367911</v>
      </c>
      <c r="V22" s="226">
        <f>'AEO 2026 Table 1'!Y15/'AEO 2026 Table 1'!$E$15</f>
        <v>0.3531102161609308</v>
      </c>
      <c r="W22" s="226">
        <f>'AEO 2026 Table 1'!Z15/'AEO 2026 Table 1'!$E$15</f>
        <v>0.3526207337729077</v>
      </c>
      <c r="X22" s="226">
        <f>'AEO 2026 Table 1'!AA15/'AEO 2026 Table 1'!$E$15</f>
        <v>0.3537323970991596</v>
      </c>
      <c r="Y22" s="226">
        <f>'AEO 2026 Table 1'!AB15/'AEO 2026 Table 1'!$E$15</f>
        <v>0.35313462768667614</v>
      </c>
      <c r="Z22" s="226">
        <f>'AEO 2026 Table 1'!AC15/'AEO 2026 Table 1'!$E$15</f>
        <v>0.35289614585824036</v>
      </c>
      <c r="AA22" s="226">
        <f>'AEO 2026 Table 1'!AD15/'AEO 2026 Table 1'!$E$15</f>
        <v>0.3520830542699514</v>
      </c>
    </row>
    <row r="23" spans="1:29">
      <c r="A23" t="s">
        <v>129</v>
      </c>
      <c r="B23" s="226">
        <f>SUM('AEO 2026 Table 19'!E8:E11)/SUM('AEO 2026 Table 19'!$E$8:$E$11)</f>
        <v>1</v>
      </c>
      <c r="C23" s="226">
        <f>SUM('AEO 2026 Table 19'!F8:F11)/SUM('AEO 2026 Table 19'!$E$8:$E$11)</f>
        <v>0.92629838211769855</v>
      </c>
      <c r="D23" s="226">
        <f>SUM('AEO 2026 Table 19'!G8:G11)/SUM('AEO 2026 Table 19'!$E$8:$E$11)</f>
        <v>0.9199321504707445</v>
      </c>
      <c r="E23" s="226">
        <f>SUM('AEO 2026 Table 19'!H8:H11)/SUM('AEO 2026 Table 19'!$E$8:$E$11)</f>
        <v>0.92325739797922779</v>
      </c>
      <c r="F23" s="226">
        <f>SUM('AEO 2026 Table 19'!I8:I11)/SUM('AEO 2026 Table 19'!$E$8:$E$11)</f>
        <v>0.94135466509721255</v>
      </c>
      <c r="G23" s="226">
        <f>SUM('AEO 2026 Table 19'!J8:J11)/SUM('AEO 2026 Table 19'!$E$8:$E$11)</f>
        <v>0.9384881759616952</v>
      </c>
      <c r="H23" s="226">
        <f>SUM('AEO 2026 Table 19'!K8:K11)/SUM('AEO 2026 Table 19'!$E$8:$E$11)</f>
        <v>0.92252538643720083</v>
      </c>
      <c r="I23" s="226">
        <f>SUM('AEO 2026 Table 19'!L8:L11)/SUM('AEO 2026 Table 19'!$E$8:$E$11)</f>
        <v>0.91874471698028226</v>
      </c>
      <c r="J23" s="226">
        <f>SUM('AEO 2026 Table 19'!M8:M11)/SUM('AEO 2026 Table 19'!$E$8:$E$11)</f>
        <v>0.92222577551434737</v>
      </c>
      <c r="K23" s="226">
        <f>SUM('AEO 2026 Table 19'!N8:N11)/SUM('AEO 2026 Table 19'!$E$8:$E$11)</f>
        <v>0.94662271260989972</v>
      </c>
      <c r="L23" s="226">
        <f>SUM('AEO 2026 Table 19'!O8:O11)/SUM('AEO 2026 Table 19'!$E$8:$E$11)</f>
        <v>0.95430166048844267</v>
      </c>
      <c r="M23" s="226">
        <f>SUM('AEO 2026 Table 19'!P8:P11)/SUM('AEO 2026 Table 19'!$E$8:$E$11)</f>
        <v>0.95452269861359895</v>
      </c>
      <c r="N23" s="226">
        <f>SUM('AEO 2026 Table 19'!Q8:Q11)/SUM('AEO 2026 Table 19'!$E$8:$E$11)</f>
        <v>0.97703939366489723</v>
      </c>
      <c r="O23" s="226">
        <f>SUM('AEO 2026 Table 19'!R8:R11)/SUM('AEO 2026 Table 19'!$E$8:$E$11)</f>
        <v>0.98535009352832092</v>
      </c>
      <c r="P23" s="226">
        <f>SUM('AEO 2026 Table 19'!S8:S11)/SUM('AEO 2026 Table 19'!$E$8:$E$11)</f>
        <v>0.99155334083695235</v>
      </c>
      <c r="Q23" s="226">
        <f>SUM('AEO 2026 Table 19'!T8:T11)/SUM('AEO 2026 Table 19'!$E$8:$E$11)</f>
        <v>0.98978403490834277</v>
      </c>
      <c r="R23" s="226">
        <f>SUM('AEO 2026 Table 19'!U8:U11)/SUM('AEO 2026 Table 19'!$E$8:$E$11)</f>
        <v>0.99304222028375977</v>
      </c>
      <c r="S23" s="226">
        <f>SUM('AEO 2026 Table 19'!V8:V11)/SUM('AEO 2026 Table 19'!$E$8:$E$11)</f>
        <v>0.99443234156445959</v>
      </c>
      <c r="T23" s="226">
        <f>SUM('AEO 2026 Table 19'!W8:W11)/SUM('AEO 2026 Table 19'!$E$8:$E$11)</f>
        <v>1.0024894731635527</v>
      </c>
      <c r="U23" s="226">
        <f>SUM('AEO 2026 Table 19'!X8:X11)/SUM('AEO 2026 Table 19'!$E$8:$E$11)</f>
        <v>1.0267332683731478</v>
      </c>
      <c r="V23" s="226">
        <f>SUM('AEO 2026 Table 19'!Y8:Y11)/SUM('AEO 2026 Table 19'!$E$8:$E$11)</f>
        <v>1.0416093844280059</v>
      </c>
      <c r="W23" s="226">
        <f>SUM('AEO 2026 Table 19'!Z8:Z11)/SUM('AEO 2026 Table 19'!$E$8:$E$11)</f>
        <v>1.0466410462626958</v>
      </c>
      <c r="X23" s="226">
        <f>SUM('AEO 2026 Table 19'!AA8:AA11)/SUM('AEO 2026 Table 19'!$E$8:$E$11)</f>
        <v>1.0558971220168822</v>
      </c>
      <c r="Y23" s="226">
        <f>SUM('AEO 2026 Table 19'!AB8:AB11)/SUM('AEO 2026 Table 19'!$E$8:$E$11)</f>
        <v>1.0607627967311715</v>
      </c>
      <c r="Z23" s="226">
        <f>SUM('AEO 2026 Table 19'!AC8:AC11)/SUM('AEO 2026 Table 19'!$E$8:$E$11)</f>
        <v>1.0648212235302676</v>
      </c>
      <c r="AA23" s="226">
        <f>SUM('AEO 2026 Table 19'!AD8:AD11)/SUM('AEO 2026 Table 19'!$E$8:$E$11)</f>
        <v>1.0688826531114413</v>
      </c>
    </row>
    <row r="26" spans="1:29">
      <c r="A26" s="195" t="s">
        <v>453</v>
      </c>
      <c r="B26" s="196"/>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row>
    <row r="27" spans="1:29" s="1" customFormat="1">
      <c r="B27" s="1">
        <f t="shared" ref="B27:AA27" si="0">B2</f>
        <v>2025</v>
      </c>
      <c r="C27" s="1">
        <f t="shared" si="0"/>
        <v>2026</v>
      </c>
      <c r="D27" s="1">
        <f t="shared" si="0"/>
        <v>2027</v>
      </c>
      <c r="E27" s="1">
        <f t="shared" si="0"/>
        <v>2028</v>
      </c>
      <c r="F27" s="1">
        <f t="shared" si="0"/>
        <v>2029</v>
      </c>
      <c r="G27" s="1">
        <f t="shared" si="0"/>
        <v>2030</v>
      </c>
      <c r="H27" s="1">
        <f t="shared" si="0"/>
        <v>2031</v>
      </c>
      <c r="I27" s="1">
        <f t="shared" si="0"/>
        <v>2032</v>
      </c>
      <c r="J27" s="1">
        <f t="shared" si="0"/>
        <v>2033</v>
      </c>
      <c r="K27" s="1">
        <f t="shared" si="0"/>
        <v>2034</v>
      </c>
      <c r="L27" s="1">
        <f t="shared" si="0"/>
        <v>2035</v>
      </c>
      <c r="M27" s="1">
        <f t="shared" si="0"/>
        <v>2036</v>
      </c>
      <c r="N27" s="1">
        <f t="shared" si="0"/>
        <v>2037</v>
      </c>
      <c r="O27" s="1">
        <f t="shared" si="0"/>
        <v>2038</v>
      </c>
      <c r="P27" s="1">
        <f t="shared" si="0"/>
        <v>2039</v>
      </c>
      <c r="Q27" s="1">
        <f t="shared" si="0"/>
        <v>2040</v>
      </c>
      <c r="R27" s="1">
        <f t="shared" si="0"/>
        <v>2041</v>
      </c>
      <c r="S27" s="1">
        <f t="shared" si="0"/>
        <v>2042</v>
      </c>
      <c r="T27" s="1">
        <f t="shared" si="0"/>
        <v>2043</v>
      </c>
      <c r="U27" s="1">
        <f t="shared" si="0"/>
        <v>2044</v>
      </c>
      <c r="V27" s="1">
        <f t="shared" si="0"/>
        <v>2045</v>
      </c>
      <c r="W27" s="1">
        <f t="shared" si="0"/>
        <v>2046</v>
      </c>
      <c r="X27" s="1">
        <f t="shared" si="0"/>
        <v>2047</v>
      </c>
      <c r="Y27" s="1">
        <f t="shared" si="0"/>
        <v>2048</v>
      </c>
      <c r="Z27" s="1">
        <f t="shared" si="0"/>
        <v>2049</v>
      </c>
      <c r="AA27" s="1">
        <f t="shared" si="0"/>
        <v>2050</v>
      </c>
    </row>
    <row r="28" spans="1:29" ht="28.8">
      <c r="A28" s="30" t="s">
        <v>115</v>
      </c>
      <c r="B28" s="7">
        <v>0</v>
      </c>
      <c r="C28" s="7">
        <v>0</v>
      </c>
      <c r="D28" s="7">
        <v>0</v>
      </c>
      <c r="E28" s="7">
        <v>0</v>
      </c>
      <c r="F28" s="7">
        <v>0</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c r="AC28" s="7"/>
    </row>
    <row r="29" spans="1:29">
      <c r="A29" t="s">
        <v>116</v>
      </c>
      <c r="B29" s="223">
        <f>'AEO 2026 Table 1'!E$21/'AEO 2026 Table 1'!$E$21</f>
        <v>1</v>
      </c>
      <c r="C29" s="223">
        <f>'AEO 2026 Table 1'!F$21/'AEO 2026 Table 1'!$E$21</f>
        <v>1.5461525427318745</v>
      </c>
      <c r="D29" s="223">
        <f>'AEO 2026 Table 1'!G$21/'AEO 2026 Table 1'!$E$21</f>
        <v>2.1717217715459727</v>
      </c>
      <c r="E29" s="223">
        <f>'AEO 2026 Table 1'!H$21/'AEO 2026 Table 1'!$E$21</f>
        <v>2.5917755702878447</v>
      </c>
      <c r="F29" s="223">
        <f>'AEO 2026 Table 1'!I$21/'AEO 2026 Table 1'!$E$21</f>
        <v>2.8111113464511894</v>
      </c>
      <c r="G29" s="223">
        <f>'AEO 2026 Table 1'!J$21/'AEO 2026 Table 1'!$E$21</f>
        <v>3.0782835236057866</v>
      </c>
      <c r="H29" s="223">
        <f>'AEO 2026 Table 1'!K$21/'AEO 2026 Table 1'!$E$21</f>
        <v>3.0571346874801435</v>
      </c>
      <c r="I29" s="223">
        <f>'AEO 2026 Table 1'!L$21/'AEO 2026 Table 1'!$E$21</f>
        <v>3.1171605278207277</v>
      </c>
      <c r="J29" s="223">
        <f>'AEO 2026 Table 1'!M$21/'AEO 2026 Table 1'!$E$21</f>
        <v>3.2251604430982992</v>
      </c>
      <c r="K29" s="223">
        <f>'AEO 2026 Table 1'!N$21/'AEO 2026 Table 1'!$E$21</f>
        <v>3.2714718403829459</v>
      </c>
      <c r="L29" s="223">
        <f>'AEO 2026 Table 1'!O$21/'AEO 2026 Table 1'!$E$21</f>
        <v>3.3261813483574443</v>
      </c>
      <c r="M29" s="223">
        <f>'AEO 2026 Table 1'!P$21/'AEO 2026 Table 1'!$E$21</f>
        <v>3.2396797492216129</v>
      </c>
      <c r="N29" s="223">
        <f>'AEO 2026 Table 1'!Q$21/'AEO 2026 Table 1'!$E$21</f>
        <v>3.2249062758138649</v>
      </c>
      <c r="O29" s="223">
        <f>'AEO 2026 Table 1'!R$21/'AEO 2026 Table 1'!$E$21</f>
        <v>3.2129286425348949</v>
      </c>
      <c r="P29" s="223">
        <f>'AEO 2026 Table 1'!S$21/'AEO 2026 Table 1'!$E$21</f>
        <v>3.2593777137652764</v>
      </c>
      <c r="Q29" s="223">
        <f>'AEO 2026 Table 1'!T$21/'AEO 2026 Table 1'!$E$21</f>
        <v>3.2134581577108001</v>
      </c>
      <c r="R29" s="223">
        <f>'AEO 2026 Table 1'!U$21/'AEO 2026 Table 1'!$E$21</f>
        <v>3.211160061847373</v>
      </c>
      <c r="S29" s="223">
        <f>'AEO 2026 Table 1'!V$21/'AEO 2026 Table 1'!$E$21</f>
        <v>3.0743015694829814</v>
      </c>
      <c r="T29" s="223">
        <f>'AEO 2026 Table 1'!W$21/'AEO 2026 Table 1'!$E$21</f>
        <v>2.9569504161989282</v>
      </c>
      <c r="U29" s="223">
        <f>'AEO 2026 Table 1'!X$21/'AEO 2026 Table 1'!$E$21</f>
        <v>2.9091140152076758</v>
      </c>
      <c r="V29" s="223">
        <f>'AEO 2026 Table 1'!Y$21/'AEO 2026 Table 1'!$E$21</f>
        <v>2.8971681528392601</v>
      </c>
      <c r="W29" s="223">
        <f>'AEO 2026 Table 1'!Z$21/'AEO 2026 Table 1'!$E$21</f>
        <v>2.8033486539724231</v>
      </c>
      <c r="X29" s="223">
        <f>'AEO 2026 Table 1'!AA$21/'AEO 2026 Table 1'!$E$21</f>
        <v>2.7025819159977122</v>
      </c>
      <c r="Y29" s="223">
        <f>'AEO 2026 Table 1'!AB$21/'AEO 2026 Table 1'!$E$21</f>
        <v>2.5957892953212038</v>
      </c>
      <c r="Z29" s="223">
        <f>'AEO 2026 Table 1'!AC$21/'AEO 2026 Table 1'!$E$21</f>
        <v>2.4349225848812828</v>
      </c>
      <c r="AA29" s="223">
        <f>'AEO 2026 Table 1'!AD$21/'AEO 2026 Table 1'!$E$21</f>
        <v>2.3359667888081672</v>
      </c>
    </row>
    <row r="30" spans="1:29">
      <c r="A30" t="s">
        <v>106</v>
      </c>
      <c r="B30" s="223">
        <f>'AEO 2026 Table 1'!E$20/'AEO 2026 Table 1'!$E$20</f>
        <v>1</v>
      </c>
      <c r="C30" s="223">
        <f>'AEO 2026 Table 1'!F$20/'AEO 2026 Table 1'!$E$20</f>
        <v>1.0413786623828334</v>
      </c>
      <c r="D30" s="223">
        <f>'AEO 2026 Table 1'!G$20/'AEO 2026 Table 1'!$E$20</f>
        <v>0.99630629900371404</v>
      </c>
      <c r="E30" s="223">
        <f>'AEO 2026 Table 1'!H$20/'AEO 2026 Table 1'!$E$20</f>
        <v>0.90687052948574354</v>
      </c>
      <c r="F30" s="223">
        <f>'AEO 2026 Table 1'!I$20/'AEO 2026 Table 1'!$E$20</f>
        <v>0.86968021085106806</v>
      </c>
      <c r="G30" s="223">
        <f>'AEO 2026 Table 1'!J$20/'AEO 2026 Table 1'!$E$20</f>
        <v>0.91371968893081035</v>
      </c>
      <c r="H30" s="223">
        <f>'AEO 2026 Table 1'!K$20/'AEO 2026 Table 1'!$E$20</f>
        <v>0.90865904222916549</v>
      </c>
      <c r="I30" s="223">
        <f>'AEO 2026 Table 1'!L$20/'AEO 2026 Table 1'!$E$20</f>
        <v>0.84561281662048782</v>
      </c>
      <c r="J30" s="223">
        <f>'AEO 2026 Table 1'!M$20/'AEO 2026 Table 1'!$E$20</f>
        <v>0.77272194138222416</v>
      </c>
      <c r="K30" s="223">
        <f>'AEO 2026 Table 1'!N$20/'AEO 2026 Table 1'!$E$20</f>
        <v>0.72491783587808767</v>
      </c>
      <c r="L30" s="223">
        <f>'AEO 2026 Table 1'!O$20/'AEO 2026 Table 1'!$E$20</f>
        <v>0.73239028817622676</v>
      </c>
      <c r="M30" s="223">
        <f>'AEO 2026 Table 1'!P$20/'AEO 2026 Table 1'!$E$20</f>
        <v>0.75280082630823952</v>
      </c>
      <c r="N30" s="223">
        <f>'AEO 2026 Table 1'!Q$20/'AEO 2026 Table 1'!$E$20</f>
        <v>0.77447115290141288</v>
      </c>
      <c r="O30" s="223">
        <f>'AEO 2026 Table 1'!R$20/'AEO 2026 Table 1'!$E$20</f>
        <v>0.79175939299259179</v>
      </c>
      <c r="P30" s="223">
        <f>'AEO 2026 Table 1'!S$20/'AEO 2026 Table 1'!$E$20</f>
        <v>0.8142780733557351</v>
      </c>
      <c r="Q30" s="223">
        <f>'AEO 2026 Table 1'!T$20/'AEO 2026 Table 1'!$E$20</f>
        <v>0.78380488661596814</v>
      </c>
      <c r="R30" s="223">
        <f>'AEO 2026 Table 1'!U$20/'AEO 2026 Table 1'!$E$20</f>
        <v>0.70819025231385968</v>
      </c>
      <c r="S30" s="223">
        <f>'AEO 2026 Table 1'!V$20/'AEO 2026 Table 1'!$E$20</f>
        <v>0.70091277093281457</v>
      </c>
      <c r="T30" s="223">
        <f>'AEO 2026 Table 1'!W$20/'AEO 2026 Table 1'!$E$20</f>
        <v>0.72016177366424972</v>
      </c>
      <c r="U30" s="223">
        <f>'AEO 2026 Table 1'!X$20/'AEO 2026 Table 1'!$E$20</f>
        <v>0.75447204946059077</v>
      </c>
      <c r="V30" s="223">
        <f>'AEO 2026 Table 1'!Y$20/'AEO 2026 Table 1'!$E$20</f>
        <v>0.77064757364066894</v>
      </c>
      <c r="W30" s="223">
        <f>'AEO 2026 Table 1'!Z$20/'AEO 2026 Table 1'!$E$20</f>
        <v>0.7498578401029693</v>
      </c>
      <c r="X30" s="223">
        <f>'AEO 2026 Table 1'!AA$20/'AEO 2026 Table 1'!$E$20</f>
        <v>0.77915475348307106</v>
      </c>
      <c r="Y30" s="223">
        <f>'AEO 2026 Table 1'!AB$20/'AEO 2026 Table 1'!$E$20</f>
        <v>0.81997030301243901</v>
      </c>
      <c r="Z30" s="223">
        <f>'AEO 2026 Table 1'!AC$20/'AEO 2026 Table 1'!$E$20</f>
        <v>0.86307085028198638</v>
      </c>
      <c r="AA30" s="223">
        <f>'AEO 2026 Table 1'!AD$20/'AEO 2026 Table 1'!$E$20</f>
        <v>0.9052481258228694</v>
      </c>
    </row>
    <row r="31" spans="1:29">
      <c r="A31" t="s">
        <v>108</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9">
      <c r="A32" s="7" t="s">
        <v>118</v>
      </c>
      <c r="B32" s="7">
        <v>0</v>
      </c>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c r="AC32" s="7"/>
    </row>
    <row r="33" spans="1:29">
      <c r="A33" s="7" t="s">
        <v>119</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c r="AC33" s="7"/>
    </row>
    <row r="34" spans="1:29">
      <c r="A34" s="7" t="s">
        <v>120</v>
      </c>
      <c r="B34" s="7">
        <v>0</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c r="AC34" s="7"/>
    </row>
    <row r="35" spans="1:29">
      <c r="A35" t="s">
        <v>109</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9">
      <c r="A36" t="s">
        <v>110</v>
      </c>
      <c r="B36" s="226">
        <f>'AEO 2026 Table 1'!E$19/'AEO 2026 Table 1'!$E$19</f>
        <v>1</v>
      </c>
      <c r="C36" s="226">
        <f>'AEO 2026 Table 1'!F$19/'AEO 2026 Table 1'!$E$19</f>
        <v>0.97523312524580219</v>
      </c>
      <c r="D36" s="226">
        <f>'AEO 2026 Table 1'!G$19/'AEO 2026 Table 1'!$E$19</f>
        <v>1.0193034006326187</v>
      </c>
      <c r="E36" s="226">
        <f>'AEO 2026 Table 1'!H$19/'AEO 2026 Table 1'!$E$19</f>
        <v>0.99607201393347033</v>
      </c>
      <c r="F36" s="226">
        <f>'AEO 2026 Table 1'!I$19/'AEO 2026 Table 1'!$E$19</f>
        <v>0.97230731321817365</v>
      </c>
      <c r="G36" s="226">
        <f>'AEO 2026 Table 1'!J$19/'AEO 2026 Table 1'!$E$19</f>
        <v>0.96588843698210436</v>
      </c>
      <c r="H36" s="226">
        <f>'AEO 2026 Table 1'!K$19/'AEO 2026 Table 1'!$E$19</f>
        <v>0.95258268007119595</v>
      </c>
      <c r="I36" s="226">
        <f>'AEO 2026 Table 1'!L$19/'AEO 2026 Table 1'!$E$19</f>
        <v>0.93790941476059186</v>
      </c>
      <c r="J36" s="226">
        <f>'AEO 2026 Table 1'!M$19/'AEO 2026 Table 1'!$E$19</f>
        <v>0.92649392806306907</v>
      </c>
      <c r="K36" s="226">
        <f>'AEO 2026 Table 1'!N$19/'AEO 2026 Table 1'!$E$19</f>
        <v>0.91251967486667862</v>
      </c>
      <c r="L36" s="226">
        <f>'AEO 2026 Table 1'!O$19/'AEO 2026 Table 1'!$E$19</f>
        <v>0.90277970680277675</v>
      </c>
      <c r="M36" s="226">
        <f>'AEO 2026 Table 1'!P$19/'AEO 2026 Table 1'!$E$19</f>
        <v>0.89728143893255063</v>
      </c>
      <c r="N36" s="226">
        <f>'AEO 2026 Table 1'!Q$19/'AEO 2026 Table 1'!$E$19</f>
        <v>0.89748079000061887</v>
      </c>
      <c r="O36" s="226">
        <f>'AEO 2026 Table 1'!R$19/'AEO 2026 Table 1'!$E$19</f>
        <v>0.89501071904133522</v>
      </c>
      <c r="P36" s="226">
        <f>'AEO 2026 Table 1'!S$19/'AEO 2026 Table 1'!$E$19</f>
        <v>0.89324422331084197</v>
      </c>
      <c r="Q36" s="226">
        <f>'AEO 2026 Table 1'!T$19/'AEO 2026 Table 1'!$E$19</f>
        <v>0.89382088691546857</v>
      </c>
      <c r="R36" s="226">
        <f>'AEO 2026 Table 1'!U$19/'AEO 2026 Table 1'!$E$19</f>
        <v>0.89092673149521562</v>
      </c>
      <c r="S36" s="226">
        <f>'AEO 2026 Table 1'!V$19/'AEO 2026 Table 1'!$E$19</f>
        <v>0.8906093098374761</v>
      </c>
      <c r="T36" s="226">
        <f>'AEO 2026 Table 1'!W$19/'AEO 2026 Table 1'!$E$19</f>
        <v>0.89098034809149151</v>
      </c>
      <c r="U36" s="226">
        <f>'AEO 2026 Table 1'!X$19/'AEO 2026 Table 1'!$E$19</f>
        <v>0.88884138813367763</v>
      </c>
      <c r="V36" s="226">
        <f>'AEO 2026 Table 1'!Y$19/'AEO 2026 Table 1'!$E$19</f>
        <v>0.89634257810840068</v>
      </c>
      <c r="W36" s="226">
        <f>'AEO 2026 Table 1'!Z$19/'AEO 2026 Table 1'!$E$19</f>
        <v>0.88657665733034408</v>
      </c>
      <c r="X36" s="226">
        <f>'AEO 2026 Table 1'!AA$19/'AEO 2026 Table 1'!$E$19</f>
        <v>0.88367594243288727</v>
      </c>
      <c r="Y36" s="226">
        <f>'AEO 2026 Table 1'!AB$19/'AEO 2026 Table 1'!$E$19</f>
        <v>0.90459582640429137</v>
      </c>
      <c r="Z36" s="226">
        <f>'AEO 2026 Table 1'!AC$19/'AEO 2026 Table 1'!$E$19</f>
        <v>0.90418885362298462</v>
      </c>
      <c r="AA36" s="226">
        <f>'AEO 2026 Table 1'!AD$19/'AEO 2026 Table 1'!$E$19</f>
        <v>0.89145918992738094</v>
      </c>
    </row>
    <row r="37" spans="1:29">
      <c r="A37" t="s">
        <v>121</v>
      </c>
      <c r="B37" s="226">
        <f>'AEO 2026 Table 1'!E$19/'AEO 2026 Table 1'!$E$19</f>
        <v>1</v>
      </c>
      <c r="C37" s="226">
        <f>'AEO 2026 Table 1'!F$19/'AEO 2026 Table 1'!$E$19</f>
        <v>0.97523312524580219</v>
      </c>
      <c r="D37" s="226">
        <f>'AEO 2026 Table 1'!G$19/'AEO 2026 Table 1'!$E$19</f>
        <v>1.0193034006326187</v>
      </c>
      <c r="E37" s="226">
        <f>'AEO 2026 Table 1'!H$19/'AEO 2026 Table 1'!$E$19</f>
        <v>0.99607201393347033</v>
      </c>
      <c r="F37" s="226">
        <f>'AEO 2026 Table 1'!I$19/'AEO 2026 Table 1'!$E$19</f>
        <v>0.97230731321817365</v>
      </c>
      <c r="G37" s="226">
        <f>'AEO 2026 Table 1'!J$19/'AEO 2026 Table 1'!$E$19</f>
        <v>0.96588843698210436</v>
      </c>
      <c r="H37" s="226">
        <f>'AEO 2026 Table 1'!K$19/'AEO 2026 Table 1'!$E$19</f>
        <v>0.95258268007119595</v>
      </c>
      <c r="I37" s="226">
        <f>'AEO 2026 Table 1'!L$19/'AEO 2026 Table 1'!$E$19</f>
        <v>0.93790941476059186</v>
      </c>
      <c r="J37" s="226">
        <f>'AEO 2026 Table 1'!M$19/'AEO 2026 Table 1'!$E$19</f>
        <v>0.92649392806306907</v>
      </c>
      <c r="K37" s="226">
        <f>'AEO 2026 Table 1'!N$19/'AEO 2026 Table 1'!$E$19</f>
        <v>0.91251967486667862</v>
      </c>
      <c r="L37" s="226">
        <f>'AEO 2026 Table 1'!O$19/'AEO 2026 Table 1'!$E$19</f>
        <v>0.90277970680277675</v>
      </c>
      <c r="M37" s="226">
        <f>'AEO 2026 Table 1'!P$19/'AEO 2026 Table 1'!$E$19</f>
        <v>0.89728143893255063</v>
      </c>
      <c r="N37" s="226">
        <f>'AEO 2026 Table 1'!Q$19/'AEO 2026 Table 1'!$E$19</f>
        <v>0.89748079000061887</v>
      </c>
      <c r="O37" s="226">
        <f>'AEO 2026 Table 1'!R$19/'AEO 2026 Table 1'!$E$19</f>
        <v>0.89501071904133522</v>
      </c>
      <c r="P37" s="226">
        <f>'AEO 2026 Table 1'!S$19/'AEO 2026 Table 1'!$E$19</f>
        <v>0.89324422331084197</v>
      </c>
      <c r="Q37" s="226">
        <f>'AEO 2026 Table 1'!T$19/'AEO 2026 Table 1'!$E$19</f>
        <v>0.89382088691546857</v>
      </c>
      <c r="R37" s="226">
        <f>'AEO 2026 Table 1'!U$19/'AEO 2026 Table 1'!$E$19</f>
        <v>0.89092673149521562</v>
      </c>
      <c r="S37" s="226">
        <f>'AEO 2026 Table 1'!V$19/'AEO 2026 Table 1'!$E$19</f>
        <v>0.8906093098374761</v>
      </c>
      <c r="T37" s="226">
        <f>'AEO 2026 Table 1'!W$19/'AEO 2026 Table 1'!$E$19</f>
        <v>0.89098034809149151</v>
      </c>
      <c r="U37" s="226">
        <f>'AEO 2026 Table 1'!X$19/'AEO 2026 Table 1'!$E$19</f>
        <v>0.88884138813367763</v>
      </c>
      <c r="V37" s="226">
        <f>'AEO 2026 Table 1'!Y$19/'AEO 2026 Table 1'!$E$19</f>
        <v>0.89634257810840068</v>
      </c>
      <c r="W37" s="226">
        <f>'AEO 2026 Table 1'!Z$19/'AEO 2026 Table 1'!$E$19</f>
        <v>0.88657665733034408</v>
      </c>
      <c r="X37" s="226">
        <f>'AEO 2026 Table 1'!AA$19/'AEO 2026 Table 1'!$E$19</f>
        <v>0.88367594243288727</v>
      </c>
      <c r="Y37" s="226">
        <f>'AEO 2026 Table 1'!AB$19/'AEO 2026 Table 1'!$E$19</f>
        <v>0.90459582640429137</v>
      </c>
      <c r="Z37" s="226">
        <f>'AEO 2026 Table 1'!AC$19/'AEO 2026 Table 1'!$E$19</f>
        <v>0.90418885362298462</v>
      </c>
      <c r="AA37" s="226">
        <f>'AEO 2026 Table 1'!AD$19/'AEO 2026 Table 1'!$E$19</f>
        <v>0.89145918992738094</v>
      </c>
    </row>
    <row r="38" spans="1:29">
      <c r="A38" t="s">
        <v>122</v>
      </c>
      <c r="B38" s="226">
        <f>'AEO 2026 Table 1'!E$19/'AEO 2026 Table 1'!$E$19</f>
        <v>1</v>
      </c>
      <c r="C38" s="226">
        <f>'AEO 2026 Table 1'!F$19/'AEO 2026 Table 1'!$E$19</f>
        <v>0.97523312524580219</v>
      </c>
      <c r="D38" s="226">
        <f>'AEO 2026 Table 1'!G$19/'AEO 2026 Table 1'!$E$19</f>
        <v>1.0193034006326187</v>
      </c>
      <c r="E38" s="226">
        <f>'AEO 2026 Table 1'!H$19/'AEO 2026 Table 1'!$E$19</f>
        <v>0.99607201393347033</v>
      </c>
      <c r="F38" s="226">
        <f>'AEO 2026 Table 1'!I$19/'AEO 2026 Table 1'!$E$19</f>
        <v>0.97230731321817365</v>
      </c>
      <c r="G38" s="226">
        <f>'AEO 2026 Table 1'!J$19/'AEO 2026 Table 1'!$E$19</f>
        <v>0.96588843698210436</v>
      </c>
      <c r="H38" s="226">
        <f>'AEO 2026 Table 1'!K$19/'AEO 2026 Table 1'!$E$19</f>
        <v>0.95258268007119595</v>
      </c>
      <c r="I38" s="226">
        <f>'AEO 2026 Table 1'!L$19/'AEO 2026 Table 1'!$E$19</f>
        <v>0.93790941476059186</v>
      </c>
      <c r="J38" s="226">
        <f>'AEO 2026 Table 1'!M$19/'AEO 2026 Table 1'!$E$19</f>
        <v>0.92649392806306907</v>
      </c>
      <c r="K38" s="226">
        <f>'AEO 2026 Table 1'!N$19/'AEO 2026 Table 1'!$E$19</f>
        <v>0.91251967486667862</v>
      </c>
      <c r="L38" s="226">
        <f>'AEO 2026 Table 1'!O$19/'AEO 2026 Table 1'!$E$19</f>
        <v>0.90277970680277675</v>
      </c>
      <c r="M38" s="226">
        <f>'AEO 2026 Table 1'!P$19/'AEO 2026 Table 1'!$E$19</f>
        <v>0.89728143893255063</v>
      </c>
      <c r="N38" s="226">
        <f>'AEO 2026 Table 1'!Q$19/'AEO 2026 Table 1'!$E$19</f>
        <v>0.89748079000061887</v>
      </c>
      <c r="O38" s="226">
        <f>'AEO 2026 Table 1'!R$19/'AEO 2026 Table 1'!$E$19</f>
        <v>0.89501071904133522</v>
      </c>
      <c r="P38" s="226">
        <f>'AEO 2026 Table 1'!S$19/'AEO 2026 Table 1'!$E$19</f>
        <v>0.89324422331084197</v>
      </c>
      <c r="Q38" s="226">
        <f>'AEO 2026 Table 1'!T$19/'AEO 2026 Table 1'!$E$19</f>
        <v>0.89382088691546857</v>
      </c>
      <c r="R38" s="226">
        <f>'AEO 2026 Table 1'!U$19/'AEO 2026 Table 1'!$E$19</f>
        <v>0.89092673149521562</v>
      </c>
      <c r="S38" s="226">
        <f>'AEO 2026 Table 1'!V$19/'AEO 2026 Table 1'!$E$19</f>
        <v>0.8906093098374761</v>
      </c>
      <c r="T38" s="226">
        <f>'AEO 2026 Table 1'!W$19/'AEO 2026 Table 1'!$E$19</f>
        <v>0.89098034809149151</v>
      </c>
      <c r="U38" s="226">
        <f>'AEO 2026 Table 1'!X$19/'AEO 2026 Table 1'!$E$19</f>
        <v>0.88884138813367763</v>
      </c>
      <c r="V38" s="226">
        <f>'AEO 2026 Table 1'!Y$19/'AEO 2026 Table 1'!$E$19</f>
        <v>0.89634257810840068</v>
      </c>
      <c r="W38" s="226">
        <f>'AEO 2026 Table 1'!Z$19/'AEO 2026 Table 1'!$E$19</f>
        <v>0.88657665733034408</v>
      </c>
      <c r="X38" s="226">
        <f>'AEO 2026 Table 1'!AA$19/'AEO 2026 Table 1'!$E$19</f>
        <v>0.88367594243288727</v>
      </c>
      <c r="Y38" s="226">
        <f>'AEO 2026 Table 1'!AB$19/'AEO 2026 Table 1'!$E$19</f>
        <v>0.90459582640429137</v>
      </c>
      <c r="Z38" s="226">
        <f>'AEO 2026 Table 1'!AC$19/'AEO 2026 Table 1'!$E$19</f>
        <v>0.90418885362298462</v>
      </c>
      <c r="AA38" s="226">
        <f>'AEO 2026 Table 1'!AD$19/'AEO 2026 Table 1'!$E$19</f>
        <v>0.89145918992738094</v>
      </c>
    </row>
    <row r="39" spans="1:29">
      <c r="A39" t="s">
        <v>123</v>
      </c>
      <c r="B39" s="226">
        <f>'AEO 2026 Table 1'!E$19/'AEO 2026 Table 1'!$E$19</f>
        <v>1</v>
      </c>
      <c r="C39" s="226">
        <f>'AEO 2026 Table 1'!F$19/'AEO 2026 Table 1'!$E$19</f>
        <v>0.97523312524580219</v>
      </c>
      <c r="D39" s="226">
        <f>'AEO 2026 Table 1'!G$19/'AEO 2026 Table 1'!$E$19</f>
        <v>1.0193034006326187</v>
      </c>
      <c r="E39" s="226">
        <f>'AEO 2026 Table 1'!H$19/'AEO 2026 Table 1'!$E$19</f>
        <v>0.99607201393347033</v>
      </c>
      <c r="F39" s="226">
        <f>'AEO 2026 Table 1'!I$19/'AEO 2026 Table 1'!$E$19</f>
        <v>0.97230731321817365</v>
      </c>
      <c r="G39" s="226">
        <f>'AEO 2026 Table 1'!J$19/'AEO 2026 Table 1'!$E$19</f>
        <v>0.96588843698210436</v>
      </c>
      <c r="H39" s="226">
        <f>'AEO 2026 Table 1'!K$19/'AEO 2026 Table 1'!$E$19</f>
        <v>0.95258268007119595</v>
      </c>
      <c r="I39" s="226">
        <f>'AEO 2026 Table 1'!L$19/'AEO 2026 Table 1'!$E$19</f>
        <v>0.93790941476059186</v>
      </c>
      <c r="J39" s="226">
        <f>'AEO 2026 Table 1'!M$19/'AEO 2026 Table 1'!$E$19</f>
        <v>0.92649392806306907</v>
      </c>
      <c r="K39" s="226">
        <f>'AEO 2026 Table 1'!N$19/'AEO 2026 Table 1'!$E$19</f>
        <v>0.91251967486667862</v>
      </c>
      <c r="L39" s="226">
        <f>'AEO 2026 Table 1'!O$19/'AEO 2026 Table 1'!$E$19</f>
        <v>0.90277970680277675</v>
      </c>
      <c r="M39" s="226">
        <f>'AEO 2026 Table 1'!P$19/'AEO 2026 Table 1'!$E$19</f>
        <v>0.89728143893255063</v>
      </c>
      <c r="N39" s="226">
        <f>'AEO 2026 Table 1'!Q$19/'AEO 2026 Table 1'!$E$19</f>
        <v>0.89748079000061887</v>
      </c>
      <c r="O39" s="226">
        <f>'AEO 2026 Table 1'!R$19/'AEO 2026 Table 1'!$E$19</f>
        <v>0.89501071904133522</v>
      </c>
      <c r="P39" s="226">
        <f>'AEO 2026 Table 1'!S$19/'AEO 2026 Table 1'!$E$19</f>
        <v>0.89324422331084197</v>
      </c>
      <c r="Q39" s="226">
        <f>'AEO 2026 Table 1'!T$19/'AEO 2026 Table 1'!$E$19</f>
        <v>0.89382088691546857</v>
      </c>
      <c r="R39" s="226">
        <f>'AEO 2026 Table 1'!U$19/'AEO 2026 Table 1'!$E$19</f>
        <v>0.89092673149521562</v>
      </c>
      <c r="S39" s="226">
        <f>'AEO 2026 Table 1'!V$19/'AEO 2026 Table 1'!$E$19</f>
        <v>0.8906093098374761</v>
      </c>
      <c r="T39" s="226">
        <f>'AEO 2026 Table 1'!W$19/'AEO 2026 Table 1'!$E$19</f>
        <v>0.89098034809149151</v>
      </c>
      <c r="U39" s="226">
        <f>'AEO 2026 Table 1'!X$19/'AEO 2026 Table 1'!$E$19</f>
        <v>0.88884138813367763</v>
      </c>
      <c r="V39" s="226">
        <f>'AEO 2026 Table 1'!Y$19/'AEO 2026 Table 1'!$E$19</f>
        <v>0.89634257810840068</v>
      </c>
      <c r="W39" s="226">
        <f>'AEO 2026 Table 1'!Z$19/'AEO 2026 Table 1'!$E$19</f>
        <v>0.88657665733034408</v>
      </c>
      <c r="X39" s="226">
        <f>'AEO 2026 Table 1'!AA$19/'AEO 2026 Table 1'!$E$19</f>
        <v>0.88367594243288727</v>
      </c>
      <c r="Y39" s="226">
        <f>'AEO 2026 Table 1'!AB$19/'AEO 2026 Table 1'!$E$19</f>
        <v>0.90459582640429137</v>
      </c>
      <c r="Z39" s="226">
        <f>'AEO 2026 Table 1'!AC$19/'AEO 2026 Table 1'!$E$19</f>
        <v>0.90418885362298462</v>
      </c>
      <c r="AA39" s="226">
        <f>'AEO 2026 Table 1'!AD$19/'AEO 2026 Table 1'!$E$19</f>
        <v>0.89145918992738094</v>
      </c>
    </row>
    <row r="40" spans="1:29">
      <c r="A40" t="s">
        <v>112</v>
      </c>
      <c r="B40" s="226">
        <f>'AEO 2026 Table 1'!E$19/'AEO 2026 Table 1'!$E$19</f>
        <v>1</v>
      </c>
      <c r="C40" s="226">
        <f>'AEO 2026 Table 1'!F$19/'AEO 2026 Table 1'!$E$19</f>
        <v>0.97523312524580219</v>
      </c>
      <c r="D40" s="226">
        <f>'AEO 2026 Table 1'!G$19/'AEO 2026 Table 1'!$E$19</f>
        <v>1.0193034006326187</v>
      </c>
      <c r="E40" s="226">
        <f>'AEO 2026 Table 1'!H$19/'AEO 2026 Table 1'!$E$19</f>
        <v>0.99607201393347033</v>
      </c>
      <c r="F40" s="226">
        <f>'AEO 2026 Table 1'!I$19/'AEO 2026 Table 1'!$E$19</f>
        <v>0.97230731321817365</v>
      </c>
      <c r="G40" s="226">
        <f>'AEO 2026 Table 1'!J$19/'AEO 2026 Table 1'!$E$19</f>
        <v>0.96588843698210436</v>
      </c>
      <c r="H40" s="226">
        <f>'AEO 2026 Table 1'!K$19/'AEO 2026 Table 1'!$E$19</f>
        <v>0.95258268007119595</v>
      </c>
      <c r="I40" s="226">
        <f>'AEO 2026 Table 1'!L$19/'AEO 2026 Table 1'!$E$19</f>
        <v>0.93790941476059186</v>
      </c>
      <c r="J40" s="226">
        <f>'AEO 2026 Table 1'!M$19/'AEO 2026 Table 1'!$E$19</f>
        <v>0.92649392806306907</v>
      </c>
      <c r="K40" s="226">
        <f>'AEO 2026 Table 1'!N$19/'AEO 2026 Table 1'!$E$19</f>
        <v>0.91251967486667862</v>
      </c>
      <c r="L40" s="226">
        <f>'AEO 2026 Table 1'!O$19/'AEO 2026 Table 1'!$E$19</f>
        <v>0.90277970680277675</v>
      </c>
      <c r="M40" s="226">
        <f>'AEO 2026 Table 1'!P$19/'AEO 2026 Table 1'!$E$19</f>
        <v>0.89728143893255063</v>
      </c>
      <c r="N40" s="226">
        <f>'AEO 2026 Table 1'!Q$19/'AEO 2026 Table 1'!$E$19</f>
        <v>0.89748079000061887</v>
      </c>
      <c r="O40" s="226">
        <f>'AEO 2026 Table 1'!R$19/'AEO 2026 Table 1'!$E$19</f>
        <v>0.89501071904133522</v>
      </c>
      <c r="P40" s="226">
        <f>'AEO 2026 Table 1'!S$19/'AEO 2026 Table 1'!$E$19</f>
        <v>0.89324422331084197</v>
      </c>
      <c r="Q40" s="226">
        <f>'AEO 2026 Table 1'!T$19/'AEO 2026 Table 1'!$E$19</f>
        <v>0.89382088691546857</v>
      </c>
      <c r="R40" s="226">
        <f>'AEO 2026 Table 1'!U$19/'AEO 2026 Table 1'!$E$19</f>
        <v>0.89092673149521562</v>
      </c>
      <c r="S40" s="226">
        <f>'AEO 2026 Table 1'!V$19/'AEO 2026 Table 1'!$E$19</f>
        <v>0.8906093098374761</v>
      </c>
      <c r="T40" s="226">
        <f>'AEO 2026 Table 1'!W$19/'AEO 2026 Table 1'!$E$19</f>
        <v>0.89098034809149151</v>
      </c>
      <c r="U40" s="226">
        <f>'AEO 2026 Table 1'!X$19/'AEO 2026 Table 1'!$E$19</f>
        <v>0.88884138813367763</v>
      </c>
      <c r="V40" s="226">
        <f>'AEO 2026 Table 1'!Y$19/'AEO 2026 Table 1'!$E$19</f>
        <v>0.89634257810840068</v>
      </c>
      <c r="W40" s="226">
        <f>'AEO 2026 Table 1'!Z$19/'AEO 2026 Table 1'!$E$19</f>
        <v>0.88657665733034408</v>
      </c>
      <c r="X40" s="226">
        <f>'AEO 2026 Table 1'!AA$19/'AEO 2026 Table 1'!$E$19</f>
        <v>0.88367594243288727</v>
      </c>
      <c r="Y40" s="226">
        <f>'AEO 2026 Table 1'!AB$19/'AEO 2026 Table 1'!$E$19</f>
        <v>0.90459582640429137</v>
      </c>
      <c r="Z40" s="226">
        <f>'AEO 2026 Table 1'!AC$19/'AEO 2026 Table 1'!$E$19</f>
        <v>0.90418885362298462</v>
      </c>
      <c r="AA40" s="226">
        <f>'AEO 2026 Table 1'!AD$19/'AEO 2026 Table 1'!$E$19</f>
        <v>0.89145918992738094</v>
      </c>
    </row>
    <row r="41" spans="1:29">
      <c r="A41" s="7" t="s">
        <v>148</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c r="AC41" s="7"/>
    </row>
    <row r="42" spans="1:29">
      <c r="A42" s="7" t="s">
        <v>125</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c r="AC42" s="7"/>
    </row>
    <row r="43" spans="1:29">
      <c r="A43" t="s">
        <v>126</v>
      </c>
      <c r="B43" s="223">
        <f>'AEO 2026 Table 1'!E$21/'AEO 2026 Table 1'!$E$21</f>
        <v>1</v>
      </c>
      <c r="C43" s="223">
        <f>'AEO 2026 Table 1'!F$21/'AEO 2026 Table 1'!$E$21</f>
        <v>1.5461525427318745</v>
      </c>
      <c r="D43" s="223">
        <f>'AEO 2026 Table 1'!G$21/'AEO 2026 Table 1'!$E$21</f>
        <v>2.1717217715459727</v>
      </c>
      <c r="E43" s="223">
        <f>'AEO 2026 Table 1'!H$21/'AEO 2026 Table 1'!$E$21</f>
        <v>2.5917755702878447</v>
      </c>
      <c r="F43" s="223">
        <f>'AEO 2026 Table 1'!I$21/'AEO 2026 Table 1'!$E$21</f>
        <v>2.8111113464511894</v>
      </c>
      <c r="G43" s="223">
        <f>'AEO 2026 Table 1'!J$21/'AEO 2026 Table 1'!$E$21</f>
        <v>3.0782835236057866</v>
      </c>
      <c r="H43" s="223">
        <f>'AEO 2026 Table 1'!K$21/'AEO 2026 Table 1'!$E$21</f>
        <v>3.0571346874801435</v>
      </c>
      <c r="I43" s="223">
        <f>'AEO 2026 Table 1'!L$21/'AEO 2026 Table 1'!$E$21</f>
        <v>3.1171605278207277</v>
      </c>
      <c r="J43" s="223">
        <f>'AEO 2026 Table 1'!M$21/'AEO 2026 Table 1'!$E$21</f>
        <v>3.2251604430982992</v>
      </c>
      <c r="K43" s="223">
        <f>'AEO 2026 Table 1'!N$21/'AEO 2026 Table 1'!$E$21</f>
        <v>3.2714718403829459</v>
      </c>
      <c r="L43" s="223">
        <f>'AEO 2026 Table 1'!O$21/'AEO 2026 Table 1'!$E$21</f>
        <v>3.3261813483574443</v>
      </c>
      <c r="M43" s="223">
        <f>'AEO 2026 Table 1'!P$21/'AEO 2026 Table 1'!$E$21</f>
        <v>3.2396797492216129</v>
      </c>
      <c r="N43" s="223">
        <f>'AEO 2026 Table 1'!Q$21/'AEO 2026 Table 1'!$E$21</f>
        <v>3.2249062758138649</v>
      </c>
      <c r="O43" s="223">
        <f>'AEO 2026 Table 1'!R$21/'AEO 2026 Table 1'!$E$21</f>
        <v>3.2129286425348949</v>
      </c>
      <c r="P43" s="223">
        <f>'AEO 2026 Table 1'!S$21/'AEO 2026 Table 1'!$E$21</f>
        <v>3.2593777137652764</v>
      </c>
      <c r="Q43" s="223">
        <f>'AEO 2026 Table 1'!T$21/'AEO 2026 Table 1'!$E$21</f>
        <v>3.2134581577108001</v>
      </c>
      <c r="R43" s="223">
        <f>'AEO 2026 Table 1'!U$21/'AEO 2026 Table 1'!$E$21</f>
        <v>3.211160061847373</v>
      </c>
      <c r="S43" s="223">
        <f>'AEO 2026 Table 1'!V$21/'AEO 2026 Table 1'!$E$21</f>
        <v>3.0743015694829814</v>
      </c>
      <c r="T43" s="223">
        <f>'AEO 2026 Table 1'!W$21/'AEO 2026 Table 1'!$E$21</f>
        <v>2.9569504161989282</v>
      </c>
      <c r="U43" s="223">
        <f>'AEO 2026 Table 1'!X$21/'AEO 2026 Table 1'!$E$21</f>
        <v>2.9091140152076758</v>
      </c>
      <c r="V43" s="223">
        <f>'AEO 2026 Table 1'!Y$21/'AEO 2026 Table 1'!$E$21</f>
        <v>2.8971681528392601</v>
      </c>
      <c r="W43" s="223">
        <f>'AEO 2026 Table 1'!Z$21/'AEO 2026 Table 1'!$E$21</f>
        <v>2.8033486539724231</v>
      </c>
      <c r="X43" s="223">
        <f>'AEO 2026 Table 1'!AA$21/'AEO 2026 Table 1'!$E$21</f>
        <v>2.7025819159977122</v>
      </c>
      <c r="Y43" s="223">
        <f>'AEO 2026 Table 1'!AB$21/'AEO 2026 Table 1'!$E$21</f>
        <v>2.5957892953212038</v>
      </c>
      <c r="Z43" s="223">
        <f>'AEO 2026 Table 1'!AC$21/'AEO 2026 Table 1'!$E$21</f>
        <v>2.4349225848812828</v>
      </c>
      <c r="AA43" s="223">
        <f>'AEO 2026 Table 1'!AD$21/'AEO 2026 Table 1'!$E$21</f>
        <v>2.3359667888081672</v>
      </c>
    </row>
    <row r="44" spans="1:29">
      <c r="A44" t="s">
        <v>113</v>
      </c>
      <c r="B44" s="226">
        <f>'AEO 2026 Table 1'!E$18/'AEO 2026 Table 1'!$E$18</f>
        <v>1</v>
      </c>
      <c r="C44" s="226">
        <f>'AEO 2026 Table 1'!F$18/'AEO 2026 Table 1'!$E$18</f>
        <v>0.95244091223314309</v>
      </c>
      <c r="D44" s="226">
        <f>'AEO 2026 Table 1'!G$18/'AEO 2026 Table 1'!$E$18</f>
        <v>1.0491889754589641</v>
      </c>
      <c r="E44" s="226">
        <f>'AEO 2026 Table 1'!H$18/'AEO 2026 Table 1'!$E$18</f>
        <v>1.0602691034810445</v>
      </c>
      <c r="F44" s="226">
        <f>'AEO 2026 Table 1'!I$18/'AEO 2026 Table 1'!$E$18</f>
        <v>1.095854054285279</v>
      </c>
      <c r="G44" s="226">
        <f>'AEO 2026 Table 1'!J$18/'AEO 2026 Table 1'!$E$18</f>
        <v>1.1034004705127558</v>
      </c>
      <c r="H44" s="226">
        <f>'AEO 2026 Table 1'!K$18/'AEO 2026 Table 1'!$E$18</f>
        <v>1.0926448262420065</v>
      </c>
      <c r="I44" s="226">
        <f>'AEO 2026 Table 1'!L$18/'AEO 2026 Table 1'!$E$18</f>
        <v>1.1229908092108722</v>
      </c>
      <c r="J44" s="226">
        <f>'AEO 2026 Table 1'!M$18/'AEO 2026 Table 1'!$E$18</f>
        <v>1.1386240455511512</v>
      </c>
      <c r="K44" s="226">
        <f>'AEO 2026 Table 1'!N$18/'AEO 2026 Table 1'!$E$18</f>
        <v>1.1642564512552753</v>
      </c>
      <c r="L44" s="226">
        <f>'AEO 2026 Table 1'!O$18/'AEO 2026 Table 1'!$E$18</f>
        <v>1.1794261609347365</v>
      </c>
      <c r="M44" s="226">
        <f>'AEO 2026 Table 1'!P$18/'AEO 2026 Table 1'!$E$18</f>
        <v>1.1618536419095096</v>
      </c>
      <c r="N44" s="226">
        <f>'AEO 2026 Table 1'!Q$18/'AEO 2026 Table 1'!$E$18</f>
        <v>1.1639958683961502</v>
      </c>
      <c r="O44" s="226">
        <f>'AEO 2026 Table 1'!R$18/'AEO 2026 Table 1'!$E$18</f>
        <v>1.1957896931859393</v>
      </c>
      <c r="P44" s="226">
        <f>'AEO 2026 Table 1'!S$18/'AEO 2026 Table 1'!$E$18</f>
        <v>1.1914396795570181</v>
      </c>
      <c r="Q44" s="226">
        <f>'AEO 2026 Table 1'!T$18/'AEO 2026 Table 1'!$E$18</f>
        <v>1.1719198808048434</v>
      </c>
      <c r="R44" s="226">
        <f>'AEO 2026 Table 1'!U$18/'AEO 2026 Table 1'!$E$18</f>
        <v>1.1447180178863652</v>
      </c>
      <c r="S44" s="226">
        <f>'AEO 2026 Table 1'!V$18/'AEO 2026 Table 1'!$E$18</f>
        <v>1.1316530391286967</v>
      </c>
      <c r="T44" s="226">
        <f>'AEO 2026 Table 1'!W$18/'AEO 2026 Table 1'!$E$18</f>
        <v>1.122843014821461</v>
      </c>
      <c r="U44" s="226">
        <f>'AEO 2026 Table 1'!X$18/'AEO 2026 Table 1'!$E$18</f>
        <v>1.1164764640641225</v>
      </c>
      <c r="V44" s="226">
        <f>'AEO 2026 Table 1'!Y$18/'AEO 2026 Table 1'!$E$18</f>
        <v>1.1537223854029539</v>
      </c>
      <c r="W44" s="226">
        <f>'AEO 2026 Table 1'!Z$18/'AEO 2026 Table 1'!$E$18</f>
        <v>1.1968328545041567</v>
      </c>
      <c r="X44" s="226">
        <f>'AEO 2026 Table 1'!AA$18/'AEO 2026 Table 1'!$E$18</f>
        <v>1.2248421168894434</v>
      </c>
      <c r="Y44" s="226">
        <f>'AEO 2026 Table 1'!AB$18/'AEO 2026 Table 1'!$E$18</f>
        <v>1.2154494401731104</v>
      </c>
      <c r="Z44" s="226">
        <f>'AEO 2026 Table 1'!AC$18/'AEO 2026 Table 1'!$E$18</f>
        <v>1.2131084192933617</v>
      </c>
      <c r="AA44" s="226">
        <f>'AEO 2026 Table 1'!AD$18/'AEO 2026 Table 1'!$E$18</f>
        <v>1.253594425186578</v>
      </c>
    </row>
    <row r="45" spans="1:29">
      <c r="A45" t="s">
        <v>127</v>
      </c>
      <c r="B45" s="226">
        <f>'AEO 2026 Table 1'!E$19/'AEO 2026 Table 1'!$E$19</f>
        <v>1</v>
      </c>
      <c r="C45" s="226">
        <f>'AEO 2026 Table 1'!F$19/'AEO 2026 Table 1'!$E$19</f>
        <v>0.97523312524580219</v>
      </c>
      <c r="D45" s="226">
        <f>'AEO 2026 Table 1'!G$19/'AEO 2026 Table 1'!$E$19</f>
        <v>1.0193034006326187</v>
      </c>
      <c r="E45" s="226">
        <f>'AEO 2026 Table 1'!H$19/'AEO 2026 Table 1'!$E$19</f>
        <v>0.99607201393347033</v>
      </c>
      <c r="F45" s="226">
        <f>'AEO 2026 Table 1'!I$19/'AEO 2026 Table 1'!$E$19</f>
        <v>0.97230731321817365</v>
      </c>
      <c r="G45" s="226">
        <f>'AEO 2026 Table 1'!J$19/'AEO 2026 Table 1'!$E$19</f>
        <v>0.96588843698210436</v>
      </c>
      <c r="H45" s="226">
        <f>'AEO 2026 Table 1'!K$19/'AEO 2026 Table 1'!$E$19</f>
        <v>0.95258268007119595</v>
      </c>
      <c r="I45" s="226">
        <f>'AEO 2026 Table 1'!L$19/'AEO 2026 Table 1'!$E$19</f>
        <v>0.93790941476059186</v>
      </c>
      <c r="J45" s="226">
        <f>'AEO 2026 Table 1'!M$19/'AEO 2026 Table 1'!$E$19</f>
        <v>0.92649392806306907</v>
      </c>
      <c r="K45" s="226">
        <f>'AEO 2026 Table 1'!N$19/'AEO 2026 Table 1'!$E$19</f>
        <v>0.91251967486667862</v>
      </c>
      <c r="L45" s="226">
        <f>'AEO 2026 Table 1'!O$19/'AEO 2026 Table 1'!$E$19</f>
        <v>0.90277970680277675</v>
      </c>
      <c r="M45" s="226">
        <f>'AEO 2026 Table 1'!P$19/'AEO 2026 Table 1'!$E$19</f>
        <v>0.89728143893255063</v>
      </c>
      <c r="N45" s="226">
        <f>'AEO 2026 Table 1'!Q$19/'AEO 2026 Table 1'!$E$19</f>
        <v>0.89748079000061887</v>
      </c>
      <c r="O45" s="226">
        <f>'AEO 2026 Table 1'!R$19/'AEO 2026 Table 1'!$E$19</f>
        <v>0.89501071904133522</v>
      </c>
      <c r="P45" s="226">
        <f>'AEO 2026 Table 1'!S$19/'AEO 2026 Table 1'!$E$19</f>
        <v>0.89324422331084197</v>
      </c>
      <c r="Q45" s="226">
        <f>'AEO 2026 Table 1'!T$19/'AEO 2026 Table 1'!$E$19</f>
        <v>0.89382088691546857</v>
      </c>
      <c r="R45" s="226">
        <f>'AEO 2026 Table 1'!U$19/'AEO 2026 Table 1'!$E$19</f>
        <v>0.89092673149521562</v>
      </c>
      <c r="S45" s="226">
        <f>'AEO 2026 Table 1'!V$19/'AEO 2026 Table 1'!$E$19</f>
        <v>0.8906093098374761</v>
      </c>
      <c r="T45" s="226">
        <f>'AEO 2026 Table 1'!W$19/'AEO 2026 Table 1'!$E$19</f>
        <v>0.89098034809149151</v>
      </c>
      <c r="U45" s="226">
        <f>'AEO 2026 Table 1'!X$19/'AEO 2026 Table 1'!$E$19</f>
        <v>0.88884138813367763</v>
      </c>
      <c r="V45" s="226">
        <f>'AEO 2026 Table 1'!Y$19/'AEO 2026 Table 1'!$E$19</f>
        <v>0.89634257810840068</v>
      </c>
      <c r="W45" s="226">
        <f>'AEO 2026 Table 1'!Z$19/'AEO 2026 Table 1'!$E$19</f>
        <v>0.88657665733034408</v>
      </c>
      <c r="X45" s="226">
        <f>'AEO 2026 Table 1'!AA$19/'AEO 2026 Table 1'!$E$19</f>
        <v>0.88367594243288727</v>
      </c>
      <c r="Y45" s="226">
        <f>'AEO 2026 Table 1'!AB$19/'AEO 2026 Table 1'!$E$19</f>
        <v>0.90459582640429137</v>
      </c>
      <c r="Z45" s="226">
        <f>'AEO 2026 Table 1'!AC$19/'AEO 2026 Table 1'!$E$19</f>
        <v>0.90418885362298462</v>
      </c>
      <c r="AA45" s="226">
        <f>'AEO 2026 Table 1'!AD$19/'AEO 2026 Table 1'!$E$19</f>
        <v>0.89145918992738094</v>
      </c>
    </row>
    <row r="46" spans="1:29">
      <c r="A46" t="s">
        <v>114</v>
      </c>
      <c r="B46" s="226">
        <f>'AEO 2026 Table 1'!E$19/'AEO 2026 Table 1'!$E$19</f>
        <v>1</v>
      </c>
      <c r="C46" s="226">
        <f>'AEO 2026 Table 1'!F$19/'AEO 2026 Table 1'!$E$19</f>
        <v>0.97523312524580219</v>
      </c>
      <c r="D46" s="226">
        <f>'AEO 2026 Table 1'!G$19/'AEO 2026 Table 1'!$E$19</f>
        <v>1.0193034006326187</v>
      </c>
      <c r="E46" s="226">
        <f>'AEO 2026 Table 1'!H$19/'AEO 2026 Table 1'!$E$19</f>
        <v>0.99607201393347033</v>
      </c>
      <c r="F46" s="226">
        <f>'AEO 2026 Table 1'!I$19/'AEO 2026 Table 1'!$E$19</f>
        <v>0.97230731321817365</v>
      </c>
      <c r="G46" s="226">
        <f>'AEO 2026 Table 1'!J$19/'AEO 2026 Table 1'!$E$19</f>
        <v>0.96588843698210436</v>
      </c>
      <c r="H46" s="226">
        <f>'AEO 2026 Table 1'!K$19/'AEO 2026 Table 1'!$E$19</f>
        <v>0.95258268007119595</v>
      </c>
      <c r="I46" s="226">
        <f>'AEO 2026 Table 1'!L$19/'AEO 2026 Table 1'!$E$19</f>
        <v>0.93790941476059186</v>
      </c>
      <c r="J46" s="226">
        <f>'AEO 2026 Table 1'!M$19/'AEO 2026 Table 1'!$E$19</f>
        <v>0.92649392806306907</v>
      </c>
      <c r="K46" s="226">
        <f>'AEO 2026 Table 1'!N$19/'AEO 2026 Table 1'!$E$19</f>
        <v>0.91251967486667862</v>
      </c>
      <c r="L46" s="226">
        <f>'AEO 2026 Table 1'!O$19/'AEO 2026 Table 1'!$E$19</f>
        <v>0.90277970680277675</v>
      </c>
      <c r="M46" s="226">
        <f>'AEO 2026 Table 1'!P$19/'AEO 2026 Table 1'!$E$19</f>
        <v>0.89728143893255063</v>
      </c>
      <c r="N46" s="226">
        <f>'AEO 2026 Table 1'!Q$19/'AEO 2026 Table 1'!$E$19</f>
        <v>0.89748079000061887</v>
      </c>
      <c r="O46" s="226">
        <f>'AEO 2026 Table 1'!R$19/'AEO 2026 Table 1'!$E$19</f>
        <v>0.89501071904133522</v>
      </c>
      <c r="P46" s="226">
        <f>'AEO 2026 Table 1'!S$19/'AEO 2026 Table 1'!$E$19</f>
        <v>0.89324422331084197</v>
      </c>
      <c r="Q46" s="226">
        <f>'AEO 2026 Table 1'!T$19/'AEO 2026 Table 1'!$E$19</f>
        <v>0.89382088691546857</v>
      </c>
      <c r="R46" s="226">
        <f>'AEO 2026 Table 1'!U$19/'AEO 2026 Table 1'!$E$19</f>
        <v>0.89092673149521562</v>
      </c>
      <c r="S46" s="226">
        <f>'AEO 2026 Table 1'!V$19/'AEO 2026 Table 1'!$E$19</f>
        <v>0.8906093098374761</v>
      </c>
      <c r="T46" s="226">
        <f>'AEO 2026 Table 1'!W$19/'AEO 2026 Table 1'!$E$19</f>
        <v>0.89098034809149151</v>
      </c>
      <c r="U46" s="226">
        <f>'AEO 2026 Table 1'!X$19/'AEO 2026 Table 1'!$E$19</f>
        <v>0.88884138813367763</v>
      </c>
      <c r="V46" s="226">
        <f>'AEO 2026 Table 1'!Y$19/'AEO 2026 Table 1'!$E$19</f>
        <v>0.89634257810840068</v>
      </c>
      <c r="W46" s="226">
        <f>'AEO 2026 Table 1'!Z$19/'AEO 2026 Table 1'!$E$19</f>
        <v>0.88657665733034408</v>
      </c>
      <c r="X46" s="226">
        <f>'AEO 2026 Table 1'!AA$19/'AEO 2026 Table 1'!$E$19</f>
        <v>0.88367594243288727</v>
      </c>
      <c r="Y46" s="226">
        <f>'AEO 2026 Table 1'!AB$19/'AEO 2026 Table 1'!$E$19</f>
        <v>0.90459582640429137</v>
      </c>
      <c r="Z46" s="226">
        <f>'AEO 2026 Table 1'!AC$19/'AEO 2026 Table 1'!$E$19</f>
        <v>0.90418885362298462</v>
      </c>
      <c r="AA46" s="226">
        <f>'AEO 2026 Table 1'!AD$19/'AEO 2026 Table 1'!$E$19</f>
        <v>0.89145918992738094</v>
      </c>
    </row>
    <row r="47" spans="1:29">
      <c r="A47" t="s">
        <v>128</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9">
      <c r="A48" t="s">
        <v>129</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51" spans="1:29">
      <c r="A51" s="195" t="s">
        <v>446</v>
      </c>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c r="AA51" s="196"/>
      <c r="AB51" s="196"/>
      <c r="AC51" s="196"/>
    </row>
    <row r="52" spans="1:29" s="1" customFormat="1">
      <c r="B52" s="1">
        <f t="shared" ref="B52:AA52" si="1">B2</f>
        <v>2025</v>
      </c>
      <c r="C52" s="1">
        <f t="shared" si="1"/>
        <v>2026</v>
      </c>
      <c r="D52" s="1">
        <f t="shared" si="1"/>
        <v>2027</v>
      </c>
      <c r="E52" s="1">
        <f t="shared" si="1"/>
        <v>2028</v>
      </c>
      <c r="F52" s="1">
        <f t="shared" si="1"/>
        <v>2029</v>
      </c>
      <c r="G52" s="1">
        <f t="shared" si="1"/>
        <v>2030</v>
      </c>
      <c r="H52" s="1">
        <f t="shared" si="1"/>
        <v>2031</v>
      </c>
      <c r="I52" s="1">
        <f t="shared" si="1"/>
        <v>2032</v>
      </c>
      <c r="J52" s="1">
        <f t="shared" si="1"/>
        <v>2033</v>
      </c>
      <c r="K52" s="1">
        <f t="shared" si="1"/>
        <v>2034</v>
      </c>
      <c r="L52" s="1">
        <f t="shared" si="1"/>
        <v>2035</v>
      </c>
      <c r="M52" s="1">
        <f t="shared" si="1"/>
        <v>2036</v>
      </c>
      <c r="N52" s="1">
        <f t="shared" si="1"/>
        <v>2037</v>
      </c>
      <c r="O52" s="1">
        <f t="shared" si="1"/>
        <v>2038</v>
      </c>
      <c r="P52" s="1">
        <f t="shared" si="1"/>
        <v>2039</v>
      </c>
      <c r="Q52" s="1">
        <f t="shared" si="1"/>
        <v>2040</v>
      </c>
      <c r="R52" s="1">
        <f t="shared" si="1"/>
        <v>2041</v>
      </c>
      <c r="S52" s="1">
        <f t="shared" si="1"/>
        <v>2042</v>
      </c>
      <c r="T52" s="1">
        <f t="shared" si="1"/>
        <v>2043</v>
      </c>
      <c r="U52" s="1">
        <f t="shared" si="1"/>
        <v>2044</v>
      </c>
      <c r="V52" s="1">
        <f t="shared" si="1"/>
        <v>2045</v>
      </c>
      <c r="W52" s="1">
        <f t="shared" si="1"/>
        <v>2046</v>
      </c>
      <c r="X52" s="1">
        <f t="shared" si="1"/>
        <v>2047</v>
      </c>
      <c r="Y52" s="1">
        <f t="shared" si="1"/>
        <v>2048</v>
      </c>
      <c r="Z52" s="1">
        <f t="shared" si="1"/>
        <v>2049</v>
      </c>
      <c r="AA52" s="1">
        <f t="shared" si="1"/>
        <v>2050</v>
      </c>
    </row>
    <row r="53" spans="1:29" ht="28.8">
      <c r="A53" s="30" t="s">
        <v>115</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c r="AC53" s="7"/>
    </row>
    <row r="54" spans="1:29">
      <c r="A54" t="s">
        <v>116</v>
      </c>
      <c r="B54" s="223">
        <f>'AEO 2026 Table 1'!E$26/'AEO 2026 Table 1'!$E$26</f>
        <v>1</v>
      </c>
      <c r="C54" s="223">
        <f>'AEO 2026 Table 1'!F$26/'AEO 2026 Table 1'!$E$26</f>
        <v>1.0389178555538596</v>
      </c>
      <c r="D54" s="223">
        <f>'AEO 2026 Table 1'!G$26/'AEO 2026 Table 1'!$E$26</f>
        <v>1.1106566294601536</v>
      </c>
      <c r="E54" s="223">
        <f>'AEO 2026 Table 1'!H$26/'AEO 2026 Table 1'!$E$26</f>
        <v>1.1568056417068016</v>
      </c>
      <c r="F54" s="223">
        <f>'AEO 2026 Table 1'!I$26/'AEO 2026 Table 1'!$E$26</f>
        <v>1.1169837393357387</v>
      </c>
      <c r="G54" s="223">
        <f>'AEO 2026 Table 1'!J$26/'AEO 2026 Table 1'!$E$26</f>
        <v>1.1716856758714087</v>
      </c>
      <c r="H54" s="223">
        <f>'AEO 2026 Table 1'!K$26/'AEO 2026 Table 1'!$E$26</f>
        <v>1.1804882583519798</v>
      </c>
      <c r="I54" s="223">
        <f>'AEO 2026 Table 1'!L$26/'AEO 2026 Table 1'!$E$26</f>
        <v>1.2509511368175603</v>
      </c>
      <c r="J54" s="223">
        <f>'AEO 2026 Table 1'!M$26/'AEO 2026 Table 1'!$E$26</f>
        <v>1.2629339181153607</v>
      </c>
      <c r="K54" s="223">
        <f>'AEO 2026 Table 1'!N$26/'AEO 2026 Table 1'!$E$26</f>
        <v>1.2597139363667955</v>
      </c>
      <c r="L54" s="223">
        <f>'AEO 2026 Table 1'!O$26/'AEO 2026 Table 1'!$E$26</f>
        <v>1.2695626475621995</v>
      </c>
      <c r="M54" s="223">
        <f>'AEO 2026 Table 1'!P$26/'AEO 2026 Table 1'!$E$26</f>
        <v>1.2452382266880142</v>
      </c>
      <c r="N54" s="223">
        <f>'AEO 2026 Table 1'!Q$26/'AEO 2026 Table 1'!$E$26</f>
        <v>1.2681032634994041</v>
      </c>
      <c r="O54" s="223">
        <f>'AEO 2026 Table 1'!R$26/'AEO 2026 Table 1'!$E$26</f>
        <v>1.2773885184836371</v>
      </c>
      <c r="P54" s="223">
        <f>'AEO 2026 Table 1'!S$26/'AEO 2026 Table 1'!$E$26</f>
        <v>1.2706903718810993</v>
      </c>
      <c r="Q54" s="223">
        <f>'AEO 2026 Table 1'!T$26/'AEO 2026 Table 1'!$E$26</f>
        <v>1.2785069059921215</v>
      </c>
      <c r="R54" s="223">
        <f>'AEO 2026 Table 1'!U$26/'AEO 2026 Table 1'!$E$26</f>
        <v>1.2525923857093215</v>
      </c>
      <c r="S54" s="223">
        <f>'AEO 2026 Table 1'!V$26/'AEO 2026 Table 1'!$E$26</f>
        <v>1.2405978319114317</v>
      </c>
      <c r="T54" s="223">
        <f>'AEO 2026 Table 1'!W$26/'AEO 2026 Table 1'!$E$26</f>
        <v>1.2564984200492983</v>
      </c>
      <c r="U54" s="223">
        <f>'AEO 2026 Table 1'!X$26/'AEO 2026 Table 1'!$E$26</f>
        <v>1.2666901575404081</v>
      </c>
      <c r="V54" s="223">
        <f>'AEO 2026 Table 1'!Y$26/'AEO 2026 Table 1'!$E$26</f>
        <v>1.2618569373313284</v>
      </c>
      <c r="W54" s="223">
        <f>'AEO 2026 Table 1'!Z$26/'AEO 2026 Table 1'!$E$26</f>
        <v>1.2676352051337842</v>
      </c>
      <c r="X54" s="223">
        <f>'AEO 2026 Table 1'!AA$26/'AEO 2026 Table 1'!$E$26</f>
        <v>1.2659781242591444</v>
      </c>
      <c r="Y54" s="223">
        <f>'AEO 2026 Table 1'!AB$26/'AEO 2026 Table 1'!$E$26</f>
        <v>1.2591598169660398</v>
      </c>
      <c r="Z54" s="223">
        <f>'AEO 2026 Table 1'!AC$26/'AEO 2026 Table 1'!$E$26</f>
        <v>1.2636589417415507</v>
      </c>
      <c r="AA54" s="223">
        <f>'AEO 2026 Table 1'!AD$26/'AEO 2026 Table 1'!$E$26</f>
        <v>1.2317294858096721</v>
      </c>
    </row>
    <row r="55" spans="1:29">
      <c r="A55" t="s">
        <v>106</v>
      </c>
      <c r="B55" s="223">
        <f>'AEO 2026 Table 1'!E$25/'AEO 2026 Table 1'!$E$25</f>
        <v>1</v>
      </c>
      <c r="C55" s="223">
        <f>'AEO 2026 Table 1'!F$25/'AEO 2026 Table 1'!$E$25</f>
        <v>1.0125654297434239</v>
      </c>
      <c r="D55" s="223">
        <f>'AEO 2026 Table 1'!G$25/'AEO 2026 Table 1'!$E$25</f>
        <v>1.0943062892993474</v>
      </c>
      <c r="E55" s="223">
        <f>'AEO 2026 Table 1'!H$25/'AEO 2026 Table 1'!$E$25</f>
        <v>1.1625885255431969</v>
      </c>
      <c r="F55" s="223">
        <f>'AEO 2026 Table 1'!I$25/'AEO 2026 Table 1'!$E$25</f>
        <v>1.218567931175631</v>
      </c>
      <c r="G55" s="223">
        <f>'AEO 2026 Table 1'!J$25/'AEO 2026 Table 1'!$E$25</f>
        <v>1.3659780709113474</v>
      </c>
      <c r="H55" s="223">
        <f>'AEO 2026 Table 1'!K$25/'AEO 2026 Table 1'!$E$25</f>
        <v>1.4337218508102694</v>
      </c>
      <c r="I55" s="223">
        <f>'AEO 2026 Table 1'!L$25/'AEO 2026 Table 1'!$E$25</f>
        <v>1.50515661358755</v>
      </c>
      <c r="J55" s="223">
        <f>'AEO 2026 Table 1'!M$25/'AEO 2026 Table 1'!$E$25</f>
        <v>1.5584331533131055</v>
      </c>
      <c r="K55" s="223">
        <f>'AEO 2026 Table 1'!N$25/'AEO 2026 Table 1'!$E$25</f>
        <v>1.6430731875033564</v>
      </c>
      <c r="L55" s="223">
        <f>'AEO 2026 Table 1'!O$25/'AEO 2026 Table 1'!$E$25</f>
        <v>1.7026560058326645</v>
      </c>
      <c r="M55" s="223">
        <f>'AEO 2026 Table 1'!P$25/'AEO 2026 Table 1'!$E$25</f>
        <v>1.7516517451979567</v>
      </c>
      <c r="N55" s="223">
        <f>'AEO 2026 Table 1'!Q$25/'AEO 2026 Table 1'!$E$25</f>
        <v>1.7792003661458582</v>
      </c>
      <c r="O55" s="223">
        <f>'AEO 2026 Table 1'!R$25/'AEO 2026 Table 1'!$E$25</f>
        <v>1.8066832537514241</v>
      </c>
      <c r="P55" s="223">
        <f>'AEO 2026 Table 1'!S$25/'AEO 2026 Table 1'!$E$25</f>
        <v>1.8350611175247542</v>
      </c>
      <c r="Q55" s="223">
        <f>'AEO 2026 Table 1'!T$25/'AEO 2026 Table 1'!$E$25</f>
        <v>1.8640049565168373</v>
      </c>
      <c r="R55" s="223">
        <f>'AEO 2026 Table 1'!U$25/'AEO 2026 Table 1'!$E$25</f>
        <v>1.8913777686271025</v>
      </c>
      <c r="S55" s="223">
        <f>'AEO 2026 Table 1'!V$25/'AEO 2026 Table 1'!$E$25</f>
        <v>1.916709950401408</v>
      </c>
      <c r="T55" s="223">
        <f>'AEO 2026 Table 1'!W$25/'AEO 2026 Table 1'!$E$25</f>
        <v>1.9418730080847555</v>
      </c>
      <c r="U55" s="223">
        <f>'AEO 2026 Table 1'!X$25/'AEO 2026 Table 1'!$E$25</f>
        <v>1.9706617609539046</v>
      </c>
      <c r="V55" s="223">
        <f>'AEO 2026 Table 1'!Y$25/'AEO 2026 Table 1'!$E$25</f>
        <v>1.9932811611137593</v>
      </c>
      <c r="W55" s="223">
        <f>'AEO 2026 Table 1'!Z$25/'AEO 2026 Table 1'!$E$25</f>
        <v>2.0202358423193041</v>
      </c>
      <c r="X55" s="223">
        <f>'AEO 2026 Table 1'!AA$25/'AEO 2026 Table 1'!$E$25</f>
        <v>2.0459467149929287</v>
      </c>
      <c r="Y55" s="223">
        <f>'AEO 2026 Table 1'!AB$25/'AEO 2026 Table 1'!$E$25</f>
        <v>2.0633595887900364</v>
      </c>
      <c r="Z55" s="223">
        <f>'AEO 2026 Table 1'!AC$25/'AEO 2026 Table 1'!$E$25</f>
        <v>2.0632733555578877</v>
      </c>
      <c r="AA55" s="223">
        <f>'AEO 2026 Table 1'!AD$25/'AEO 2026 Table 1'!$E$25</f>
        <v>2.0661123674721118</v>
      </c>
    </row>
    <row r="56" spans="1:29">
      <c r="A56" t="s">
        <v>108</v>
      </c>
      <c r="B56" s="208">
        <v>1</v>
      </c>
      <c r="C56" s="208">
        <v>1</v>
      </c>
      <c r="D56" s="208">
        <v>1</v>
      </c>
      <c r="E56" s="208">
        <v>1</v>
      </c>
      <c r="F56" s="208">
        <v>1</v>
      </c>
      <c r="G56" s="208">
        <v>1</v>
      </c>
      <c r="H56" s="208">
        <v>1</v>
      </c>
      <c r="I56" s="208">
        <v>1</v>
      </c>
      <c r="J56" s="208">
        <v>1</v>
      </c>
      <c r="K56" s="208">
        <v>1</v>
      </c>
      <c r="L56" s="208">
        <v>1</v>
      </c>
      <c r="M56" s="208">
        <v>1</v>
      </c>
      <c r="N56" s="208">
        <v>1</v>
      </c>
      <c r="O56" s="208">
        <v>1</v>
      </c>
      <c r="P56" s="208">
        <v>1</v>
      </c>
      <c r="Q56" s="208">
        <v>1</v>
      </c>
      <c r="R56" s="208">
        <v>1</v>
      </c>
      <c r="S56" s="208">
        <v>1</v>
      </c>
      <c r="T56" s="208">
        <v>1</v>
      </c>
      <c r="U56" s="208">
        <v>1</v>
      </c>
      <c r="V56" s="208">
        <v>1</v>
      </c>
      <c r="W56" s="208">
        <v>1</v>
      </c>
      <c r="X56" s="208">
        <v>1</v>
      </c>
      <c r="Y56" s="208">
        <v>1</v>
      </c>
      <c r="Z56" s="208">
        <v>1</v>
      </c>
      <c r="AA56" s="208">
        <v>1</v>
      </c>
    </row>
    <row r="57" spans="1:29">
      <c r="A57" s="7" t="s">
        <v>118</v>
      </c>
      <c r="B57" s="225">
        <v>0</v>
      </c>
      <c r="C57" s="225">
        <v>0</v>
      </c>
      <c r="D57" s="225">
        <v>0</v>
      </c>
      <c r="E57" s="225">
        <v>0</v>
      </c>
      <c r="F57" s="225">
        <v>0</v>
      </c>
      <c r="G57" s="225">
        <v>0</v>
      </c>
      <c r="H57" s="225">
        <v>0</v>
      </c>
      <c r="I57" s="225">
        <v>0</v>
      </c>
      <c r="J57" s="225">
        <v>0</v>
      </c>
      <c r="K57" s="225">
        <v>0</v>
      </c>
      <c r="L57" s="225">
        <v>0</v>
      </c>
      <c r="M57" s="225">
        <v>0</v>
      </c>
      <c r="N57" s="225">
        <v>0</v>
      </c>
      <c r="O57" s="225">
        <v>0</v>
      </c>
      <c r="P57" s="225">
        <v>0</v>
      </c>
      <c r="Q57" s="225">
        <v>0</v>
      </c>
      <c r="R57" s="225">
        <v>0</v>
      </c>
      <c r="S57" s="225">
        <v>0</v>
      </c>
      <c r="T57" s="225">
        <v>0</v>
      </c>
      <c r="U57" s="225">
        <v>0</v>
      </c>
      <c r="V57" s="225">
        <v>0</v>
      </c>
      <c r="W57" s="225">
        <v>0</v>
      </c>
      <c r="X57" s="225">
        <v>0</v>
      </c>
      <c r="Y57" s="225">
        <v>0</v>
      </c>
      <c r="Z57" s="225">
        <v>0</v>
      </c>
      <c r="AA57" s="225">
        <v>0</v>
      </c>
      <c r="AB57" s="7"/>
      <c r="AC57" s="7"/>
    </row>
    <row r="58" spans="1:29">
      <c r="A58" s="7" t="s">
        <v>119</v>
      </c>
      <c r="B58" s="225">
        <v>0</v>
      </c>
      <c r="C58" s="225">
        <v>0</v>
      </c>
      <c r="D58" s="225">
        <v>0</v>
      </c>
      <c r="E58" s="225">
        <v>0</v>
      </c>
      <c r="F58" s="225">
        <v>0</v>
      </c>
      <c r="G58" s="225">
        <v>0</v>
      </c>
      <c r="H58" s="225">
        <v>0</v>
      </c>
      <c r="I58" s="225">
        <v>0</v>
      </c>
      <c r="J58" s="225">
        <v>0</v>
      </c>
      <c r="K58" s="225">
        <v>0</v>
      </c>
      <c r="L58" s="225">
        <v>0</v>
      </c>
      <c r="M58" s="225">
        <v>0</v>
      </c>
      <c r="N58" s="225">
        <v>0</v>
      </c>
      <c r="O58" s="225">
        <v>0</v>
      </c>
      <c r="P58" s="225">
        <v>0</v>
      </c>
      <c r="Q58" s="225">
        <v>0</v>
      </c>
      <c r="R58" s="225">
        <v>0</v>
      </c>
      <c r="S58" s="225">
        <v>0</v>
      </c>
      <c r="T58" s="225">
        <v>0</v>
      </c>
      <c r="U58" s="225">
        <v>0</v>
      </c>
      <c r="V58" s="225">
        <v>0</v>
      </c>
      <c r="W58" s="225">
        <v>0</v>
      </c>
      <c r="X58" s="225">
        <v>0</v>
      </c>
      <c r="Y58" s="225">
        <v>0</v>
      </c>
      <c r="Z58" s="225">
        <v>0</v>
      </c>
      <c r="AA58" s="225">
        <v>0</v>
      </c>
      <c r="AB58" s="7"/>
      <c r="AC58" s="7"/>
    </row>
    <row r="59" spans="1:29">
      <c r="A59" s="7" t="s">
        <v>120</v>
      </c>
      <c r="B59" s="225">
        <v>0</v>
      </c>
      <c r="C59" s="225">
        <v>0</v>
      </c>
      <c r="D59" s="225">
        <v>0</v>
      </c>
      <c r="E59" s="225">
        <v>0</v>
      </c>
      <c r="F59" s="225">
        <v>0</v>
      </c>
      <c r="G59" s="225">
        <v>0</v>
      </c>
      <c r="H59" s="225">
        <v>0</v>
      </c>
      <c r="I59" s="225">
        <v>0</v>
      </c>
      <c r="J59" s="225">
        <v>0</v>
      </c>
      <c r="K59" s="225">
        <v>0</v>
      </c>
      <c r="L59" s="225">
        <v>0</v>
      </c>
      <c r="M59" s="225">
        <v>0</v>
      </c>
      <c r="N59" s="225">
        <v>0</v>
      </c>
      <c r="O59" s="225">
        <v>0</v>
      </c>
      <c r="P59" s="225">
        <v>0</v>
      </c>
      <c r="Q59" s="225">
        <v>0</v>
      </c>
      <c r="R59" s="225">
        <v>0</v>
      </c>
      <c r="S59" s="225">
        <v>0</v>
      </c>
      <c r="T59" s="225">
        <v>0</v>
      </c>
      <c r="U59" s="225">
        <v>0</v>
      </c>
      <c r="V59" s="225">
        <v>0</v>
      </c>
      <c r="W59" s="225">
        <v>0</v>
      </c>
      <c r="X59" s="225">
        <v>0</v>
      </c>
      <c r="Y59" s="225">
        <v>0</v>
      </c>
      <c r="Z59" s="225">
        <v>0</v>
      </c>
      <c r="AA59" s="225">
        <v>0</v>
      </c>
      <c r="AB59" s="7"/>
      <c r="AC59" s="7"/>
    </row>
    <row r="60" spans="1:29">
      <c r="A60" t="s">
        <v>109</v>
      </c>
      <c r="B60" s="208">
        <v>1</v>
      </c>
      <c r="C60" s="208">
        <v>1</v>
      </c>
      <c r="D60" s="208">
        <v>1</v>
      </c>
      <c r="E60" s="208">
        <v>1</v>
      </c>
      <c r="F60" s="208">
        <v>1</v>
      </c>
      <c r="G60" s="208">
        <v>1</v>
      </c>
      <c r="H60" s="208">
        <v>1</v>
      </c>
      <c r="I60" s="208">
        <v>1</v>
      </c>
      <c r="J60" s="208">
        <v>1</v>
      </c>
      <c r="K60" s="208">
        <v>1</v>
      </c>
      <c r="L60" s="208">
        <v>1</v>
      </c>
      <c r="M60" s="208">
        <v>1</v>
      </c>
      <c r="N60" s="208">
        <v>1</v>
      </c>
      <c r="O60" s="208">
        <v>1</v>
      </c>
      <c r="P60" s="208">
        <v>1</v>
      </c>
      <c r="Q60" s="208">
        <v>1</v>
      </c>
      <c r="R60" s="208">
        <v>1</v>
      </c>
      <c r="S60" s="208">
        <v>1</v>
      </c>
      <c r="T60" s="208">
        <v>1</v>
      </c>
      <c r="U60" s="208">
        <v>1</v>
      </c>
      <c r="V60" s="208">
        <v>1</v>
      </c>
      <c r="W60" s="208">
        <v>1</v>
      </c>
      <c r="X60" s="208">
        <v>1</v>
      </c>
      <c r="Y60" s="208">
        <v>1</v>
      </c>
      <c r="Z60" s="208">
        <v>1</v>
      </c>
      <c r="AA60" s="208">
        <v>1</v>
      </c>
    </row>
    <row r="61" spans="1:29">
      <c r="A61" s="224" t="s">
        <v>110</v>
      </c>
      <c r="B61" s="226">
        <f>'AEO 2026 Table 1'!E$24/'AEO 2026 Table 1'!$E$24</f>
        <v>1</v>
      </c>
      <c r="C61" s="226">
        <f>'AEO 2026 Table 1'!F$24/'AEO 2026 Table 1'!$E$24</f>
        <v>0.99192670060787946</v>
      </c>
      <c r="D61" s="226">
        <f>'AEO 2026 Table 1'!G$24/'AEO 2026 Table 1'!$E$24</f>
        <v>1.0766816256517389</v>
      </c>
      <c r="E61" s="226">
        <f>'AEO 2026 Table 1'!H$24/'AEO 2026 Table 1'!$E$24</f>
        <v>1.0778277318245042</v>
      </c>
      <c r="F61" s="226">
        <f>'AEO 2026 Table 1'!I$24/'AEO 2026 Table 1'!$E$24</f>
        <v>1.1025849201914619</v>
      </c>
      <c r="G61" s="226">
        <f>'AEO 2026 Table 1'!J$24/'AEO 2026 Table 1'!$E$24</f>
        <v>1.1171909251502514</v>
      </c>
      <c r="H61" s="226">
        <f>'AEO 2026 Table 1'!K$24/'AEO 2026 Table 1'!$E$24</f>
        <v>1.1472054584340017</v>
      </c>
      <c r="I61" s="226">
        <f>'AEO 2026 Table 1'!L$24/'AEO 2026 Table 1'!$E$24</f>
        <v>1.1807440814150791</v>
      </c>
      <c r="J61" s="226">
        <f>'AEO 2026 Table 1'!M$24/'AEO 2026 Table 1'!$E$24</f>
        <v>1.202171485177276</v>
      </c>
      <c r="K61" s="226">
        <f>'AEO 2026 Table 1'!N$24/'AEO 2026 Table 1'!$E$24</f>
        <v>1.2233113911198636</v>
      </c>
      <c r="L61" s="226">
        <f>'AEO 2026 Table 1'!O$24/'AEO 2026 Table 1'!$E$24</f>
        <v>1.2370141090102871</v>
      </c>
      <c r="M61" s="226">
        <f>'AEO 2026 Table 1'!P$24/'AEO 2026 Table 1'!$E$24</f>
        <v>1.2303832298118702</v>
      </c>
      <c r="N61" s="226">
        <f>'AEO 2026 Table 1'!Q$24/'AEO 2026 Table 1'!$E$24</f>
        <v>1.2439875250253103</v>
      </c>
      <c r="O61" s="226">
        <f>'AEO 2026 Table 1'!R$24/'AEO 2026 Table 1'!$E$24</f>
        <v>1.2658356159989448</v>
      </c>
      <c r="P61" s="226">
        <f>'AEO 2026 Table 1'!S$24/'AEO 2026 Table 1'!$E$24</f>
        <v>1.2747685697342099</v>
      </c>
      <c r="Q61" s="226">
        <f>'AEO 2026 Table 1'!T$24/'AEO 2026 Table 1'!$E$24</f>
        <v>1.2897746907680028</v>
      </c>
      <c r="R61" s="226">
        <f>'AEO 2026 Table 1'!U$24/'AEO 2026 Table 1'!$E$24</f>
        <v>1.3017046548646454</v>
      </c>
      <c r="S61" s="226">
        <f>'AEO 2026 Table 1'!V$24/'AEO 2026 Table 1'!$E$24</f>
        <v>1.3060857092165763</v>
      </c>
      <c r="T61" s="226">
        <f>'AEO 2026 Table 1'!W$24/'AEO 2026 Table 1'!$E$24</f>
        <v>1.3145314806625839</v>
      </c>
      <c r="U61" s="226">
        <f>'AEO 2026 Table 1'!X$24/'AEO 2026 Table 1'!$E$24</f>
        <v>1.3108454617532763</v>
      </c>
      <c r="V61" s="226">
        <f>'AEO 2026 Table 1'!Y$24/'AEO 2026 Table 1'!$E$24</f>
        <v>1.3241403929754501</v>
      </c>
      <c r="W61" s="226">
        <f>'AEO 2026 Table 1'!Z$24/'AEO 2026 Table 1'!$E$24</f>
        <v>1.3331135426116896</v>
      </c>
      <c r="X61" s="226">
        <f>'AEO 2026 Table 1'!AA$24/'AEO 2026 Table 1'!$E$24</f>
        <v>1.3439415313512586</v>
      </c>
      <c r="Y61" s="226">
        <f>'AEO 2026 Table 1'!AB$24/'AEO 2026 Table 1'!$E$24</f>
        <v>1.337103147662805</v>
      </c>
      <c r="Z61" s="226">
        <f>'AEO 2026 Table 1'!AC$24/'AEO 2026 Table 1'!$E$24</f>
        <v>1.327578462448511</v>
      </c>
      <c r="AA61" s="226">
        <f>'AEO 2026 Table 1'!AD$24/'AEO 2026 Table 1'!$E$24</f>
        <v>1.3300408723078334</v>
      </c>
    </row>
    <row r="62" spans="1:29">
      <c r="A62" s="224" t="s">
        <v>121</v>
      </c>
      <c r="B62" s="226">
        <f>'AEO 2026 Table 1'!E$24/'AEO 2026 Table 1'!$E$24</f>
        <v>1</v>
      </c>
      <c r="C62" s="226">
        <f>'AEO 2026 Table 1'!F$24/'AEO 2026 Table 1'!$E$24</f>
        <v>0.99192670060787946</v>
      </c>
      <c r="D62" s="226">
        <f>'AEO 2026 Table 1'!G$24/'AEO 2026 Table 1'!$E$24</f>
        <v>1.0766816256517389</v>
      </c>
      <c r="E62" s="226">
        <f>'AEO 2026 Table 1'!H$24/'AEO 2026 Table 1'!$E$24</f>
        <v>1.0778277318245042</v>
      </c>
      <c r="F62" s="226">
        <f>'AEO 2026 Table 1'!I$24/'AEO 2026 Table 1'!$E$24</f>
        <v>1.1025849201914619</v>
      </c>
      <c r="G62" s="226">
        <f>'AEO 2026 Table 1'!J$24/'AEO 2026 Table 1'!$E$24</f>
        <v>1.1171909251502514</v>
      </c>
      <c r="H62" s="226">
        <f>'AEO 2026 Table 1'!K$24/'AEO 2026 Table 1'!$E$24</f>
        <v>1.1472054584340017</v>
      </c>
      <c r="I62" s="226">
        <f>'AEO 2026 Table 1'!L$24/'AEO 2026 Table 1'!$E$24</f>
        <v>1.1807440814150791</v>
      </c>
      <c r="J62" s="226">
        <f>'AEO 2026 Table 1'!M$24/'AEO 2026 Table 1'!$E$24</f>
        <v>1.202171485177276</v>
      </c>
      <c r="K62" s="226">
        <f>'AEO 2026 Table 1'!N$24/'AEO 2026 Table 1'!$E$24</f>
        <v>1.2233113911198636</v>
      </c>
      <c r="L62" s="226">
        <f>'AEO 2026 Table 1'!O$24/'AEO 2026 Table 1'!$E$24</f>
        <v>1.2370141090102871</v>
      </c>
      <c r="M62" s="226">
        <f>'AEO 2026 Table 1'!P$24/'AEO 2026 Table 1'!$E$24</f>
        <v>1.2303832298118702</v>
      </c>
      <c r="N62" s="226">
        <f>'AEO 2026 Table 1'!Q$24/'AEO 2026 Table 1'!$E$24</f>
        <v>1.2439875250253103</v>
      </c>
      <c r="O62" s="226">
        <f>'AEO 2026 Table 1'!R$24/'AEO 2026 Table 1'!$E$24</f>
        <v>1.2658356159989448</v>
      </c>
      <c r="P62" s="226">
        <f>'AEO 2026 Table 1'!S$24/'AEO 2026 Table 1'!$E$24</f>
        <v>1.2747685697342099</v>
      </c>
      <c r="Q62" s="226">
        <f>'AEO 2026 Table 1'!T$24/'AEO 2026 Table 1'!$E$24</f>
        <v>1.2897746907680028</v>
      </c>
      <c r="R62" s="226">
        <f>'AEO 2026 Table 1'!U$24/'AEO 2026 Table 1'!$E$24</f>
        <v>1.3017046548646454</v>
      </c>
      <c r="S62" s="226">
        <f>'AEO 2026 Table 1'!V$24/'AEO 2026 Table 1'!$E$24</f>
        <v>1.3060857092165763</v>
      </c>
      <c r="T62" s="226">
        <f>'AEO 2026 Table 1'!W$24/'AEO 2026 Table 1'!$E$24</f>
        <v>1.3145314806625839</v>
      </c>
      <c r="U62" s="226">
        <f>'AEO 2026 Table 1'!X$24/'AEO 2026 Table 1'!$E$24</f>
        <v>1.3108454617532763</v>
      </c>
      <c r="V62" s="226">
        <f>'AEO 2026 Table 1'!Y$24/'AEO 2026 Table 1'!$E$24</f>
        <v>1.3241403929754501</v>
      </c>
      <c r="W62" s="226">
        <f>'AEO 2026 Table 1'!Z$24/'AEO 2026 Table 1'!$E$24</f>
        <v>1.3331135426116896</v>
      </c>
      <c r="X62" s="226">
        <f>'AEO 2026 Table 1'!AA$24/'AEO 2026 Table 1'!$E$24</f>
        <v>1.3439415313512586</v>
      </c>
      <c r="Y62" s="226">
        <f>'AEO 2026 Table 1'!AB$24/'AEO 2026 Table 1'!$E$24</f>
        <v>1.337103147662805</v>
      </c>
      <c r="Z62" s="226">
        <f>'AEO 2026 Table 1'!AC$24/'AEO 2026 Table 1'!$E$24</f>
        <v>1.327578462448511</v>
      </c>
      <c r="AA62" s="226">
        <f>'AEO 2026 Table 1'!AD$24/'AEO 2026 Table 1'!$E$24</f>
        <v>1.3300408723078334</v>
      </c>
    </row>
    <row r="63" spans="1:29">
      <c r="A63" t="s">
        <v>122</v>
      </c>
      <c r="B63" s="226">
        <f>'AEO 2026 Table 1'!E$24/'AEO 2026 Table 1'!$E$24</f>
        <v>1</v>
      </c>
      <c r="C63" s="226">
        <f>'AEO 2026 Table 1'!F$24/'AEO 2026 Table 1'!$E$24</f>
        <v>0.99192670060787946</v>
      </c>
      <c r="D63" s="226">
        <f>'AEO 2026 Table 1'!G$24/'AEO 2026 Table 1'!$E$24</f>
        <v>1.0766816256517389</v>
      </c>
      <c r="E63" s="226">
        <f>'AEO 2026 Table 1'!H$24/'AEO 2026 Table 1'!$E$24</f>
        <v>1.0778277318245042</v>
      </c>
      <c r="F63" s="226">
        <f>'AEO 2026 Table 1'!I$24/'AEO 2026 Table 1'!$E$24</f>
        <v>1.1025849201914619</v>
      </c>
      <c r="G63" s="226">
        <f>'AEO 2026 Table 1'!J$24/'AEO 2026 Table 1'!$E$24</f>
        <v>1.1171909251502514</v>
      </c>
      <c r="H63" s="226">
        <f>'AEO 2026 Table 1'!K$24/'AEO 2026 Table 1'!$E$24</f>
        <v>1.1472054584340017</v>
      </c>
      <c r="I63" s="226">
        <f>'AEO 2026 Table 1'!L$24/'AEO 2026 Table 1'!$E$24</f>
        <v>1.1807440814150791</v>
      </c>
      <c r="J63" s="226">
        <f>'AEO 2026 Table 1'!M$24/'AEO 2026 Table 1'!$E$24</f>
        <v>1.202171485177276</v>
      </c>
      <c r="K63" s="226">
        <f>'AEO 2026 Table 1'!N$24/'AEO 2026 Table 1'!$E$24</f>
        <v>1.2233113911198636</v>
      </c>
      <c r="L63" s="226">
        <f>'AEO 2026 Table 1'!O$24/'AEO 2026 Table 1'!$E$24</f>
        <v>1.2370141090102871</v>
      </c>
      <c r="M63" s="226">
        <f>'AEO 2026 Table 1'!P$24/'AEO 2026 Table 1'!$E$24</f>
        <v>1.2303832298118702</v>
      </c>
      <c r="N63" s="226">
        <f>'AEO 2026 Table 1'!Q$24/'AEO 2026 Table 1'!$E$24</f>
        <v>1.2439875250253103</v>
      </c>
      <c r="O63" s="226">
        <f>'AEO 2026 Table 1'!R$24/'AEO 2026 Table 1'!$E$24</f>
        <v>1.2658356159989448</v>
      </c>
      <c r="P63" s="226">
        <f>'AEO 2026 Table 1'!S$24/'AEO 2026 Table 1'!$E$24</f>
        <v>1.2747685697342099</v>
      </c>
      <c r="Q63" s="226">
        <f>'AEO 2026 Table 1'!T$24/'AEO 2026 Table 1'!$E$24</f>
        <v>1.2897746907680028</v>
      </c>
      <c r="R63" s="226">
        <f>'AEO 2026 Table 1'!U$24/'AEO 2026 Table 1'!$E$24</f>
        <v>1.3017046548646454</v>
      </c>
      <c r="S63" s="226">
        <f>'AEO 2026 Table 1'!V$24/'AEO 2026 Table 1'!$E$24</f>
        <v>1.3060857092165763</v>
      </c>
      <c r="T63" s="226">
        <f>'AEO 2026 Table 1'!W$24/'AEO 2026 Table 1'!$E$24</f>
        <v>1.3145314806625839</v>
      </c>
      <c r="U63" s="226">
        <f>'AEO 2026 Table 1'!X$24/'AEO 2026 Table 1'!$E$24</f>
        <v>1.3108454617532763</v>
      </c>
      <c r="V63" s="226">
        <f>'AEO 2026 Table 1'!Y$24/'AEO 2026 Table 1'!$E$24</f>
        <v>1.3241403929754501</v>
      </c>
      <c r="W63" s="226">
        <f>'AEO 2026 Table 1'!Z$24/'AEO 2026 Table 1'!$E$24</f>
        <v>1.3331135426116896</v>
      </c>
      <c r="X63" s="226">
        <f>'AEO 2026 Table 1'!AA$24/'AEO 2026 Table 1'!$E$24</f>
        <v>1.3439415313512586</v>
      </c>
      <c r="Y63" s="226">
        <f>'AEO 2026 Table 1'!AB$24/'AEO 2026 Table 1'!$E$24</f>
        <v>1.337103147662805</v>
      </c>
      <c r="Z63" s="226">
        <f>'AEO 2026 Table 1'!AC$24/'AEO 2026 Table 1'!$E$24</f>
        <v>1.327578462448511</v>
      </c>
      <c r="AA63" s="226">
        <f>'AEO 2026 Table 1'!AD$24/'AEO 2026 Table 1'!$E$24</f>
        <v>1.3300408723078334</v>
      </c>
    </row>
    <row r="64" spans="1:29">
      <c r="A64" t="s">
        <v>123</v>
      </c>
      <c r="B64" s="226">
        <f>'AEO 2026 Table 1'!E$24/'AEO 2026 Table 1'!$E$24</f>
        <v>1</v>
      </c>
      <c r="C64" s="226">
        <f>'AEO 2026 Table 1'!F$24/'AEO 2026 Table 1'!$E$24</f>
        <v>0.99192670060787946</v>
      </c>
      <c r="D64" s="226">
        <f>'AEO 2026 Table 1'!G$24/'AEO 2026 Table 1'!$E$24</f>
        <v>1.0766816256517389</v>
      </c>
      <c r="E64" s="226">
        <f>'AEO 2026 Table 1'!H$24/'AEO 2026 Table 1'!$E$24</f>
        <v>1.0778277318245042</v>
      </c>
      <c r="F64" s="226">
        <f>'AEO 2026 Table 1'!I$24/'AEO 2026 Table 1'!$E$24</f>
        <v>1.1025849201914619</v>
      </c>
      <c r="G64" s="226">
        <f>'AEO 2026 Table 1'!J$24/'AEO 2026 Table 1'!$E$24</f>
        <v>1.1171909251502514</v>
      </c>
      <c r="H64" s="226">
        <f>'AEO 2026 Table 1'!K$24/'AEO 2026 Table 1'!$E$24</f>
        <v>1.1472054584340017</v>
      </c>
      <c r="I64" s="226">
        <f>'AEO 2026 Table 1'!L$24/'AEO 2026 Table 1'!$E$24</f>
        <v>1.1807440814150791</v>
      </c>
      <c r="J64" s="226">
        <f>'AEO 2026 Table 1'!M$24/'AEO 2026 Table 1'!$E$24</f>
        <v>1.202171485177276</v>
      </c>
      <c r="K64" s="226">
        <f>'AEO 2026 Table 1'!N$24/'AEO 2026 Table 1'!$E$24</f>
        <v>1.2233113911198636</v>
      </c>
      <c r="L64" s="226">
        <f>'AEO 2026 Table 1'!O$24/'AEO 2026 Table 1'!$E$24</f>
        <v>1.2370141090102871</v>
      </c>
      <c r="M64" s="226">
        <f>'AEO 2026 Table 1'!P$24/'AEO 2026 Table 1'!$E$24</f>
        <v>1.2303832298118702</v>
      </c>
      <c r="N64" s="226">
        <f>'AEO 2026 Table 1'!Q$24/'AEO 2026 Table 1'!$E$24</f>
        <v>1.2439875250253103</v>
      </c>
      <c r="O64" s="226">
        <f>'AEO 2026 Table 1'!R$24/'AEO 2026 Table 1'!$E$24</f>
        <v>1.2658356159989448</v>
      </c>
      <c r="P64" s="226">
        <f>'AEO 2026 Table 1'!S$24/'AEO 2026 Table 1'!$E$24</f>
        <v>1.2747685697342099</v>
      </c>
      <c r="Q64" s="226">
        <f>'AEO 2026 Table 1'!T$24/'AEO 2026 Table 1'!$E$24</f>
        <v>1.2897746907680028</v>
      </c>
      <c r="R64" s="226">
        <f>'AEO 2026 Table 1'!U$24/'AEO 2026 Table 1'!$E$24</f>
        <v>1.3017046548646454</v>
      </c>
      <c r="S64" s="226">
        <f>'AEO 2026 Table 1'!V$24/'AEO 2026 Table 1'!$E$24</f>
        <v>1.3060857092165763</v>
      </c>
      <c r="T64" s="226">
        <f>'AEO 2026 Table 1'!W$24/'AEO 2026 Table 1'!$E$24</f>
        <v>1.3145314806625839</v>
      </c>
      <c r="U64" s="226">
        <f>'AEO 2026 Table 1'!X$24/'AEO 2026 Table 1'!$E$24</f>
        <v>1.3108454617532763</v>
      </c>
      <c r="V64" s="226">
        <f>'AEO 2026 Table 1'!Y$24/'AEO 2026 Table 1'!$E$24</f>
        <v>1.3241403929754501</v>
      </c>
      <c r="W64" s="226">
        <f>'AEO 2026 Table 1'!Z$24/'AEO 2026 Table 1'!$E$24</f>
        <v>1.3331135426116896</v>
      </c>
      <c r="X64" s="226">
        <f>'AEO 2026 Table 1'!AA$24/'AEO 2026 Table 1'!$E$24</f>
        <v>1.3439415313512586</v>
      </c>
      <c r="Y64" s="226">
        <f>'AEO 2026 Table 1'!AB$24/'AEO 2026 Table 1'!$E$24</f>
        <v>1.337103147662805</v>
      </c>
      <c r="Z64" s="226">
        <f>'AEO 2026 Table 1'!AC$24/'AEO 2026 Table 1'!$E$24</f>
        <v>1.327578462448511</v>
      </c>
      <c r="AA64" s="226">
        <f>'AEO 2026 Table 1'!AD$24/'AEO 2026 Table 1'!$E$24</f>
        <v>1.3300408723078334</v>
      </c>
    </row>
    <row r="65" spans="1:29">
      <c r="A65" t="s">
        <v>112</v>
      </c>
      <c r="B65" s="226">
        <f>'AEO 2026 Table 1'!E$24/'AEO 2026 Table 1'!$E$24</f>
        <v>1</v>
      </c>
      <c r="C65" s="226">
        <f>'AEO 2026 Table 1'!F$24/'AEO 2026 Table 1'!$E$24</f>
        <v>0.99192670060787946</v>
      </c>
      <c r="D65" s="226">
        <f>'AEO 2026 Table 1'!G$24/'AEO 2026 Table 1'!$E$24</f>
        <v>1.0766816256517389</v>
      </c>
      <c r="E65" s="226">
        <f>'AEO 2026 Table 1'!H$24/'AEO 2026 Table 1'!$E$24</f>
        <v>1.0778277318245042</v>
      </c>
      <c r="F65" s="226">
        <f>'AEO 2026 Table 1'!I$24/'AEO 2026 Table 1'!$E$24</f>
        <v>1.1025849201914619</v>
      </c>
      <c r="G65" s="226">
        <f>'AEO 2026 Table 1'!J$24/'AEO 2026 Table 1'!$E$24</f>
        <v>1.1171909251502514</v>
      </c>
      <c r="H65" s="226">
        <f>'AEO 2026 Table 1'!K$24/'AEO 2026 Table 1'!$E$24</f>
        <v>1.1472054584340017</v>
      </c>
      <c r="I65" s="226">
        <f>'AEO 2026 Table 1'!L$24/'AEO 2026 Table 1'!$E$24</f>
        <v>1.1807440814150791</v>
      </c>
      <c r="J65" s="226">
        <f>'AEO 2026 Table 1'!M$24/'AEO 2026 Table 1'!$E$24</f>
        <v>1.202171485177276</v>
      </c>
      <c r="K65" s="226">
        <f>'AEO 2026 Table 1'!N$24/'AEO 2026 Table 1'!$E$24</f>
        <v>1.2233113911198636</v>
      </c>
      <c r="L65" s="226">
        <f>'AEO 2026 Table 1'!O$24/'AEO 2026 Table 1'!$E$24</f>
        <v>1.2370141090102871</v>
      </c>
      <c r="M65" s="226">
        <f>'AEO 2026 Table 1'!P$24/'AEO 2026 Table 1'!$E$24</f>
        <v>1.2303832298118702</v>
      </c>
      <c r="N65" s="226">
        <f>'AEO 2026 Table 1'!Q$24/'AEO 2026 Table 1'!$E$24</f>
        <v>1.2439875250253103</v>
      </c>
      <c r="O65" s="226">
        <f>'AEO 2026 Table 1'!R$24/'AEO 2026 Table 1'!$E$24</f>
        <v>1.2658356159989448</v>
      </c>
      <c r="P65" s="226">
        <f>'AEO 2026 Table 1'!S$24/'AEO 2026 Table 1'!$E$24</f>
        <v>1.2747685697342099</v>
      </c>
      <c r="Q65" s="226">
        <f>'AEO 2026 Table 1'!T$24/'AEO 2026 Table 1'!$E$24</f>
        <v>1.2897746907680028</v>
      </c>
      <c r="R65" s="226">
        <f>'AEO 2026 Table 1'!U$24/'AEO 2026 Table 1'!$E$24</f>
        <v>1.3017046548646454</v>
      </c>
      <c r="S65" s="226">
        <f>'AEO 2026 Table 1'!V$24/'AEO 2026 Table 1'!$E$24</f>
        <v>1.3060857092165763</v>
      </c>
      <c r="T65" s="226">
        <f>'AEO 2026 Table 1'!W$24/'AEO 2026 Table 1'!$E$24</f>
        <v>1.3145314806625839</v>
      </c>
      <c r="U65" s="226">
        <f>'AEO 2026 Table 1'!X$24/'AEO 2026 Table 1'!$E$24</f>
        <v>1.3108454617532763</v>
      </c>
      <c r="V65" s="226">
        <f>'AEO 2026 Table 1'!Y$24/'AEO 2026 Table 1'!$E$24</f>
        <v>1.3241403929754501</v>
      </c>
      <c r="W65" s="226">
        <f>'AEO 2026 Table 1'!Z$24/'AEO 2026 Table 1'!$E$24</f>
        <v>1.3331135426116896</v>
      </c>
      <c r="X65" s="226">
        <f>'AEO 2026 Table 1'!AA$24/'AEO 2026 Table 1'!$E$24</f>
        <v>1.3439415313512586</v>
      </c>
      <c r="Y65" s="226">
        <f>'AEO 2026 Table 1'!AB$24/'AEO 2026 Table 1'!$E$24</f>
        <v>1.337103147662805</v>
      </c>
      <c r="Z65" s="226">
        <f>'AEO 2026 Table 1'!AC$24/'AEO 2026 Table 1'!$E$24</f>
        <v>1.327578462448511</v>
      </c>
      <c r="AA65" s="226">
        <f>'AEO 2026 Table 1'!AD$24/'AEO 2026 Table 1'!$E$24</f>
        <v>1.3300408723078334</v>
      </c>
    </row>
    <row r="66" spans="1:29">
      <c r="A66" s="7" t="s">
        <v>148</v>
      </c>
      <c r="B66" s="225">
        <v>0</v>
      </c>
      <c r="C66" s="225">
        <v>0</v>
      </c>
      <c r="D66" s="225">
        <v>0</v>
      </c>
      <c r="E66" s="225">
        <v>0</v>
      </c>
      <c r="F66" s="225">
        <v>0</v>
      </c>
      <c r="G66" s="225">
        <v>0</v>
      </c>
      <c r="H66" s="225">
        <v>0</v>
      </c>
      <c r="I66" s="225">
        <v>0</v>
      </c>
      <c r="J66" s="225">
        <v>0</v>
      </c>
      <c r="K66" s="225">
        <v>0</v>
      </c>
      <c r="L66" s="225">
        <v>0</v>
      </c>
      <c r="M66" s="225">
        <v>0</v>
      </c>
      <c r="N66" s="225">
        <v>0</v>
      </c>
      <c r="O66" s="225">
        <v>0</v>
      </c>
      <c r="P66" s="225">
        <v>0</v>
      </c>
      <c r="Q66" s="225">
        <v>0</v>
      </c>
      <c r="R66" s="225">
        <v>0</v>
      </c>
      <c r="S66" s="225">
        <v>0</v>
      </c>
      <c r="T66" s="225">
        <v>0</v>
      </c>
      <c r="U66" s="225">
        <v>0</v>
      </c>
      <c r="V66" s="225">
        <v>0</v>
      </c>
      <c r="W66" s="225">
        <v>0</v>
      </c>
      <c r="X66" s="225">
        <v>0</v>
      </c>
      <c r="Y66" s="225">
        <v>0</v>
      </c>
      <c r="Z66" s="225">
        <v>0</v>
      </c>
      <c r="AA66" s="225">
        <v>0</v>
      </c>
      <c r="AB66" s="7"/>
      <c r="AC66" s="7"/>
    </row>
    <row r="67" spans="1:29">
      <c r="A67" s="7" t="s">
        <v>125</v>
      </c>
      <c r="B67" s="225">
        <v>0</v>
      </c>
      <c r="C67" s="225">
        <v>0</v>
      </c>
      <c r="D67" s="225">
        <v>0</v>
      </c>
      <c r="E67" s="225">
        <v>0</v>
      </c>
      <c r="F67" s="225">
        <v>0</v>
      </c>
      <c r="G67" s="225">
        <v>0</v>
      </c>
      <c r="H67" s="225">
        <v>0</v>
      </c>
      <c r="I67" s="225">
        <v>0</v>
      </c>
      <c r="J67" s="225">
        <v>0</v>
      </c>
      <c r="K67" s="225">
        <v>0</v>
      </c>
      <c r="L67" s="225">
        <v>0</v>
      </c>
      <c r="M67" s="225">
        <v>0</v>
      </c>
      <c r="N67" s="225">
        <v>0</v>
      </c>
      <c r="O67" s="225">
        <v>0</v>
      </c>
      <c r="P67" s="225">
        <v>0</v>
      </c>
      <c r="Q67" s="225">
        <v>0</v>
      </c>
      <c r="R67" s="225">
        <v>0</v>
      </c>
      <c r="S67" s="225">
        <v>0</v>
      </c>
      <c r="T67" s="225">
        <v>0</v>
      </c>
      <c r="U67" s="225">
        <v>0</v>
      </c>
      <c r="V67" s="225">
        <v>0</v>
      </c>
      <c r="W67" s="225">
        <v>0</v>
      </c>
      <c r="X67" s="225">
        <v>0</v>
      </c>
      <c r="Y67" s="225">
        <v>0</v>
      </c>
      <c r="Z67" s="225">
        <v>0</v>
      </c>
      <c r="AA67" s="225">
        <v>0</v>
      </c>
      <c r="AB67" s="7"/>
      <c r="AC67" s="7"/>
    </row>
    <row r="68" spans="1:29">
      <c r="A68" t="s">
        <v>126</v>
      </c>
      <c r="B68" s="223">
        <f>'AEO 2026 Table 1'!E$26/'AEO 2026 Table 1'!$E$26</f>
        <v>1</v>
      </c>
      <c r="C68" s="223">
        <f>'AEO 2026 Table 1'!F$26/'AEO 2026 Table 1'!$E$26</f>
        <v>1.0389178555538596</v>
      </c>
      <c r="D68" s="223">
        <f>'AEO 2026 Table 1'!G$26/'AEO 2026 Table 1'!$E$26</f>
        <v>1.1106566294601536</v>
      </c>
      <c r="E68" s="223">
        <f>'AEO 2026 Table 1'!H$26/'AEO 2026 Table 1'!$E$26</f>
        <v>1.1568056417068016</v>
      </c>
      <c r="F68" s="223">
        <f>'AEO 2026 Table 1'!I$26/'AEO 2026 Table 1'!$E$26</f>
        <v>1.1169837393357387</v>
      </c>
      <c r="G68" s="223">
        <f>'AEO 2026 Table 1'!J$26/'AEO 2026 Table 1'!$E$26</f>
        <v>1.1716856758714087</v>
      </c>
      <c r="H68" s="223">
        <f>'AEO 2026 Table 1'!K$26/'AEO 2026 Table 1'!$E$26</f>
        <v>1.1804882583519798</v>
      </c>
      <c r="I68" s="223">
        <f>'AEO 2026 Table 1'!L$26/'AEO 2026 Table 1'!$E$26</f>
        <v>1.2509511368175603</v>
      </c>
      <c r="J68" s="223">
        <f>'AEO 2026 Table 1'!M$26/'AEO 2026 Table 1'!$E$26</f>
        <v>1.2629339181153607</v>
      </c>
      <c r="K68" s="223">
        <f>'AEO 2026 Table 1'!N$26/'AEO 2026 Table 1'!$E$26</f>
        <v>1.2597139363667955</v>
      </c>
      <c r="L68" s="223">
        <f>'AEO 2026 Table 1'!O$26/'AEO 2026 Table 1'!$E$26</f>
        <v>1.2695626475621995</v>
      </c>
      <c r="M68" s="223">
        <f>'AEO 2026 Table 1'!P$26/'AEO 2026 Table 1'!$E$26</f>
        <v>1.2452382266880142</v>
      </c>
      <c r="N68" s="223">
        <f>'AEO 2026 Table 1'!Q$26/'AEO 2026 Table 1'!$E$26</f>
        <v>1.2681032634994041</v>
      </c>
      <c r="O68" s="223">
        <f>'AEO 2026 Table 1'!R$26/'AEO 2026 Table 1'!$E$26</f>
        <v>1.2773885184836371</v>
      </c>
      <c r="P68" s="223">
        <f>'AEO 2026 Table 1'!S$26/'AEO 2026 Table 1'!$E$26</f>
        <v>1.2706903718810993</v>
      </c>
      <c r="Q68" s="223">
        <f>'AEO 2026 Table 1'!T$26/'AEO 2026 Table 1'!$E$26</f>
        <v>1.2785069059921215</v>
      </c>
      <c r="R68" s="223">
        <f>'AEO 2026 Table 1'!U$26/'AEO 2026 Table 1'!$E$26</f>
        <v>1.2525923857093215</v>
      </c>
      <c r="S68" s="223">
        <f>'AEO 2026 Table 1'!V$26/'AEO 2026 Table 1'!$E$26</f>
        <v>1.2405978319114317</v>
      </c>
      <c r="T68" s="223">
        <f>'AEO 2026 Table 1'!W$26/'AEO 2026 Table 1'!$E$26</f>
        <v>1.2564984200492983</v>
      </c>
      <c r="U68" s="223">
        <f>'AEO 2026 Table 1'!X$26/'AEO 2026 Table 1'!$E$26</f>
        <v>1.2666901575404081</v>
      </c>
      <c r="V68" s="223">
        <f>'AEO 2026 Table 1'!Y$26/'AEO 2026 Table 1'!$E$26</f>
        <v>1.2618569373313284</v>
      </c>
      <c r="W68" s="223">
        <f>'AEO 2026 Table 1'!Z$26/'AEO 2026 Table 1'!$E$26</f>
        <v>1.2676352051337842</v>
      </c>
      <c r="X68" s="223">
        <f>'AEO 2026 Table 1'!AA$26/'AEO 2026 Table 1'!$E$26</f>
        <v>1.2659781242591444</v>
      </c>
      <c r="Y68" s="223">
        <f>'AEO 2026 Table 1'!AB$26/'AEO 2026 Table 1'!$E$26</f>
        <v>1.2591598169660398</v>
      </c>
      <c r="Z68" s="223">
        <f>'AEO 2026 Table 1'!AC$26/'AEO 2026 Table 1'!$E$26</f>
        <v>1.2636589417415507</v>
      </c>
      <c r="AA68" s="223">
        <f>'AEO 2026 Table 1'!AD$26/'AEO 2026 Table 1'!$E$26</f>
        <v>1.2317294858096721</v>
      </c>
    </row>
    <row r="69" spans="1:29">
      <c r="A69" t="s">
        <v>113</v>
      </c>
      <c r="B69" s="226">
        <f>'AEO 2026 Table 1'!E$24/'AEO 2026 Table 1'!$E$24</f>
        <v>1</v>
      </c>
      <c r="C69" s="226">
        <f>'AEO 2026 Table 1'!F$24/'AEO 2026 Table 1'!$E$24</f>
        <v>0.99192670060787946</v>
      </c>
      <c r="D69" s="226">
        <f>'AEO 2026 Table 1'!G$24/'AEO 2026 Table 1'!$E$24</f>
        <v>1.0766816256517389</v>
      </c>
      <c r="E69" s="226">
        <f>'AEO 2026 Table 1'!H$24/'AEO 2026 Table 1'!$E$24</f>
        <v>1.0778277318245042</v>
      </c>
      <c r="F69" s="226">
        <f>'AEO 2026 Table 1'!I$24/'AEO 2026 Table 1'!$E$24</f>
        <v>1.1025849201914619</v>
      </c>
      <c r="G69" s="226">
        <f>'AEO 2026 Table 1'!J$24/'AEO 2026 Table 1'!$E$24</f>
        <v>1.1171909251502514</v>
      </c>
      <c r="H69" s="226">
        <f>'AEO 2026 Table 1'!K$24/'AEO 2026 Table 1'!$E$24</f>
        <v>1.1472054584340017</v>
      </c>
      <c r="I69" s="226">
        <f>'AEO 2026 Table 1'!L$24/'AEO 2026 Table 1'!$E$24</f>
        <v>1.1807440814150791</v>
      </c>
      <c r="J69" s="226">
        <f>'AEO 2026 Table 1'!M$24/'AEO 2026 Table 1'!$E$24</f>
        <v>1.202171485177276</v>
      </c>
      <c r="K69" s="226">
        <f>'AEO 2026 Table 1'!N$24/'AEO 2026 Table 1'!$E$24</f>
        <v>1.2233113911198636</v>
      </c>
      <c r="L69" s="226">
        <f>'AEO 2026 Table 1'!O$24/'AEO 2026 Table 1'!$E$24</f>
        <v>1.2370141090102871</v>
      </c>
      <c r="M69" s="226">
        <f>'AEO 2026 Table 1'!P$24/'AEO 2026 Table 1'!$E$24</f>
        <v>1.2303832298118702</v>
      </c>
      <c r="N69" s="226">
        <f>'AEO 2026 Table 1'!Q$24/'AEO 2026 Table 1'!$E$24</f>
        <v>1.2439875250253103</v>
      </c>
      <c r="O69" s="226">
        <f>'AEO 2026 Table 1'!R$24/'AEO 2026 Table 1'!$E$24</f>
        <v>1.2658356159989448</v>
      </c>
      <c r="P69" s="226">
        <f>'AEO 2026 Table 1'!S$24/'AEO 2026 Table 1'!$E$24</f>
        <v>1.2747685697342099</v>
      </c>
      <c r="Q69" s="226">
        <f>'AEO 2026 Table 1'!T$24/'AEO 2026 Table 1'!$E$24</f>
        <v>1.2897746907680028</v>
      </c>
      <c r="R69" s="226">
        <f>'AEO 2026 Table 1'!U$24/'AEO 2026 Table 1'!$E$24</f>
        <v>1.3017046548646454</v>
      </c>
      <c r="S69" s="226">
        <f>'AEO 2026 Table 1'!V$24/'AEO 2026 Table 1'!$E$24</f>
        <v>1.3060857092165763</v>
      </c>
      <c r="T69" s="226">
        <f>'AEO 2026 Table 1'!W$24/'AEO 2026 Table 1'!$E$24</f>
        <v>1.3145314806625839</v>
      </c>
      <c r="U69" s="226">
        <f>'AEO 2026 Table 1'!X$24/'AEO 2026 Table 1'!$E$24</f>
        <v>1.3108454617532763</v>
      </c>
      <c r="V69" s="226">
        <f>'AEO 2026 Table 1'!Y$24/'AEO 2026 Table 1'!$E$24</f>
        <v>1.3241403929754501</v>
      </c>
      <c r="W69" s="226">
        <f>'AEO 2026 Table 1'!Z$24/'AEO 2026 Table 1'!$E$24</f>
        <v>1.3331135426116896</v>
      </c>
      <c r="X69" s="226">
        <f>'AEO 2026 Table 1'!AA$24/'AEO 2026 Table 1'!$E$24</f>
        <v>1.3439415313512586</v>
      </c>
      <c r="Y69" s="226">
        <f>'AEO 2026 Table 1'!AB$24/'AEO 2026 Table 1'!$E$24</f>
        <v>1.337103147662805</v>
      </c>
      <c r="Z69" s="226">
        <f>'AEO 2026 Table 1'!AC$24/'AEO 2026 Table 1'!$E$24</f>
        <v>1.327578462448511</v>
      </c>
      <c r="AA69" s="226">
        <f>'AEO 2026 Table 1'!AD$24/'AEO 2026 Table 1'!$E$24</f>
        <v>1.3300408723078334</v>
      </c>
    </row>
    <row r="70" spans="1:29">
      <c r="A70" t="s">
        <v>127</v>
      </c>
      <c r="B70" s="226">
        <f>'AEO 2026 Table 1'!E$24/'AEO 2026 Table 1'!$E$24</f>
        <v>1</v>
      </c>
      <c r="C70" s="226">
        <f>'AEO 2026 Table 1'!F$24/'AEO 2026 Table 1'!$E$24</f>
        <v>0.99192670060787946</v>
      </c>
      <c r="D70" s="226">
        <f>'AEO 2026 Table 1'!G$24/'AEO 2026 Table 1'!$E$24</f>
        <v>1.0766816256517389</v>
      </c>
      <c r="E70" s="226">
        <f>'AEO 2026 Table 1'!H$24/'AEO 2026 Table 1'!$E$24</f>
        <v>1.0778277318245042</v>
      </c>
      <c r="F70" s="226">
        <f>'AEO 2026 Table 1'!I$24/'AEO 2026 Table 1'!$E$24</f>
        <v>1.1025849201914619</v>
      </c>
      <c r="G70" s="226">
        <f>'AEO 2026 Table 1'!J$24/'AEO 2026 Table 1'!$E$24</f>
        <v>1.1171909251502514</v>
      </c>
      <c r="H70" s="226">
        <f>'AEO 2026 Table 1'!K$24/'AEO 2026 Table 1'!$E$24</f>
        <v>1.1472054584340017</v>
      </c>
      <c r="I70" s="226">
        <f>'AEO 2026 Table 1'!L$24/'AEO 2026 Table 1'!$E$24</f>
        <v>1.1807440814150791</v>
      </c>
      <c r="J70" s="226">
        <f>'AEO 2026 Table 1'!M$24/'AEO 2026 Table 1'!$E$24</f>
        <v>1.202171485177276</v>
      </c>
      <c r="K70" s="226">
        <f>'AEO 2026 Table 1'!N$24/'AEO 2026 Table 1'!$E$24</f>
        <v>1.2233113911198636</v>
      </c>
      <c r="L70" s="226">
        <f>'AEO 2026 Table 1'!O$24/'AEO 2026 Table 1'!$E$24</f>
        <v>1.2370141090102871</v>
      </c>
      <c r="M70" s="226">
        <f>'AEO 2026 Table 1'!P$24/'AEO 2026 Table 1'!$E$24</f>
        <v>1.2303832298118702</v>
      </c>
      <c r="N70" s="226">
        <f>'AEO 2026 Table 1'!Q$24/'AEO 2026 Table 1'!$E$24</f>
        <v>1.2439875250253103</v>
      </c>
      <c r="O70" s="226">
        <f>'AEO 2026 Table 1'!R$24/'AEO 2026 Table 1'!$E$24</f>
        <v>1.2658356159989448</v>
      </c>
      <c r="P70" s="226">
        <f>'AEO 2026 Table 1'!S$24/'AEO 2026 Table 1'!$E$24</f>
        <v>1.2747685697342099</v>
      </c>
      <c r="Q70" s="226">
        <f>'AEO 2026 Table 1'!T$24/'AEO 2026 Table 1'!$E$24</f>
        <v>1.2897746907680028</v>
      </c>
      <c r="R70" s="226">
        <f>'AEO 2026 Table 1'!U$24/'AEO 2026 Table 1'!$E$24</f>
        <v>1.3017046548646454</v>
      </c>
      <c r="S70" s="226">
        <f>'AEO 2026 Table 1'!V$24/'AEO 2026 Table 1'!$E$24</f>
        <v>1.3060857092165763</v>
      </c>
      <c r="T70" s="226">
        <f>'AEO 2026 Table 1'!W$24/'AEO 2026 Table 1'!$E$24</f>
        <v>1.3145314806625839</v>
      </c>
      <c r="U70" s="226">
        <f>'AEO 2026 Table 1'!X$24/'AEO 2026 Table 1'!$E$24</f>
        <v>1.3108454617532763</v>
      </c>
      <c r="V70" s="226">
        <f>'AEO 2026 Table 1'!Y$24/'AEO 2026 Table 1'!$E$24</f>
        <v>1.3241403929754501</v>
      </c>
      <c r="W70" s="226">
        <f>'AEO 2026 Table 1'!Z$24/'AEO 2026 Table 1'!$E$24</f>
        <v>1.3331135426116896</v>
      </c>
      <c r="X70" s="226">
        <f>'AEO 2026 Table 1'!AA$24/'AEO 2026 Table 1'!$E$24</f>
        <v>1.3439415313512586</v>
      </c>
      <c r="Y70" s="226">
        <f>'AEO 2026 Table 1'!AB$24/'AEO 2026 Table 1'!$E$24</f>
        <v>1.337103147662805</v>
      </c>
      <c r="Z70" s="226">
        <f>'AEO 2026 Table 1'!AC$24/'AEO 2026 Table 1'!$E$24</f>
        <v>1.327578462448511</v>
      </c>
      <c r="AA70" s="226">
        <f>'AEO 2026 Table 1'!AD$24/'AEO 2026 Table 1'!$E$24</f>
        <v>1.3300408723078334</v>
      </c>
    </row>
    <row r="71" spans="1:29">
      <c r="A71" t="s">
        <v>114</v>
      </c>
      <c r="B71" s="226">
        <f>'AEO 2026 Table 1'!E$24/'AEO 2026 Table 1'!$E$24</f>
        <v>1</v>
      </c>
      <c r="C71" s="226">
        <f>'AEO 2026 Table 1'!F$24/'AEO 2026 Table 1'!$E$24</f>
        <v>0.99192670060787946</v>
      </c>
      <c r="D71" s="226">
        <f>'AEO 2026 Table 1'!G$24/'AEO 2026 Table 1'!$E$24</f>
        <v>1.0766816256517389</v>
      </c>
      <c r="E71" s="226">
        <f>'AEO 2026 Table 1'!H$24/'AEO 2026 Table 1'!$E$24</f>
        <v>1.0778277318245042</v>
      </c>
      <c r="F71" s="226">
        <f>'AEO 2026 Table 1'!I$24/'AEO 2026 Table 1'!$E$24</f>
        <v>1.1025849201914619</v>
      </c>
      <c r="G71" s="226">
        <f>'AEO 2026 Table 1'!J$24/'AEO 2026 Table 1'!$E$24</f>
        <v>1.1171909251502514</v>
      </c>
      <c r="H71" s="226">
        <f>'AEO 2026 Table 1'!K$24/'AEO 2026 Table 1'!$E$24</f>
        <v>1.1472054584340017</v>
      </c>
      <c r="I71" s="226">
        <f>'AEO 2026 Table 1'!L$24/'AEO 2026 Table 1'!$E$24</f>
        <v>1.1807440814150791</v>
      </c>
      <c r="J71" s="226">
        <f>'AEO 2026 Table 1'!M$24/'AEO 2026 Table 1'!$E$24</f>
        <v>1.202171485177276</v>
      </c>
      <c r="K71" s="226">
        <f>'AEO 2026 Table 1'!N$24/'AEO 2026 Table 1'!$E$24</f>
        <v>1.2233113911198636</v>
      </c>
      <c r="L71" s="226">
        <f>'AEO 2026 Table 1'!O$24/'AEO 2026 Table 1'!$E$24</f>
        <v>1.2370141090102871</v>
      </c>
      <c r="M71" s="226">
        <f>'AEO 2026 Table 1'!P$24/'AEO 2026 Table 1'!$E$24</f>
        <v>1.2303832298118702</v>
      </c>
      <c r="N71" s="226">
        <f>'AEO 2026 Table 1'!Q$24/'AEO 2026 Table 1'!$E$24</f>
        <v>1.2439875250253103</v>
      </c>
      <c r="O71" s="226">
        <f>'AEO 2026 Table 1'!R$24/'AEO 2026 Table 1'!$E$24</f>
        <v>1.2658356159989448</v>
      </c>
      <c r="P71" s="226">
        <f>'AEO 2026 Table 1'!S$24/'AEO 2026 Table 1'!$E$24</f>
        <v>1.2747685697342099</v>
      </c>
      <c r="Q71" s="226">
        <f>'AEO 2026 Table 1'!T$24/'AEO 2026 Table 1'!$E$24</f>
        <v>1.2897746907680028</v>
      </c>
      <c r="R71" s="226">
        <f>'AEO 2026 Table 1'!U$24/'AEO 2026 Table 1'!$E$24</f>
        <v>1.3017046548646454</v>
      </c>
      <c r="S71" s="226">
        <f>'AEO 2026 Table 1'!V$24/'AEO 2026 Table 1'!$E$24</f>
        <v>1.3060857092165763</v>
      </c>
      <c r="T71" s="226">
        <f>'AEO 2026 Table 1'!W$24/'AEO 2026 Table 1'!$E$24</f>
        <v>1.3145314806625839</v>
      </c>
      <c r="U71" s="226">
        <f>'AEO 2026 Table 1'!X$24/'AEO 2026 Table 1'!$E$24</f>
        <v>1.3108454617532763</v>
      </c>
      <c r="V71" s="226">
        <f>'AEO 2026 Table 1'!Y$24/'AEO 2026 Table 1'!$E$24</f>
        <v>1.3241403929754501</v>
      </c>
      <c r="W71" s="226">
        <f>'AEO 2026 Table 1'!Z$24/'AEO 2026 Table 1'!$E$24</f>
        <v>1.3331135426116896</v>
      </c>
      <c r="X71" s="226">
        <f>'AEO 2026 Table 1'!AA$24/'AEO 2026 Table 1'!$E$24</f>
        <v>1.3439415313512586</v>
      </c>
      <c r="Y71" s="226">
        <f>'AEO 2026 Table 1'!AB$24/'AEO 2026 Table 1'!$E$24</f>
        <v>1.337103147662805</v>
      </c>
      <c r="Z71" s="226">
        <f>'AEO 2026 Table 1'!AC$24/'AEO 2026 Table 1'!$E$24</f>
        <v>1.327578462448511</v>
      </c>
      <c r="AA71" s="226">
        <f>'AEO 2026 Table 1'!AD$24/'AEO 2026 Table 1'!$E$24</f>
        <v>1.3300408723078334</v>
      </c>
    </row>
    <row r="72" spans="1:29">
      <c r="A72" t="s">
        <v>128</v>
      </c>
      <c r="B72" s="208">
        <v>1</v>
      </c>
      <c r="C72" s="208">
        <v>1</v>
      </c>
      <c r="D72" s="208">
        <v>1</v>
      </c>
      <c r="E72" s="208">
        <v>1</v>
      </c>
      <c r="F72" s="208">
        <v>1</v>
      </c>
      <c r="G72" s="208">
        <v>1</v>
      </c>
      <c r="H72" s="208">
        <v>1</v>
      </c>
      <c r="I72" s="208">
        <v>1</v>
      </c>
      <c r="J72" s="208">
        <v>1</v>
      </c>
      <c r="K72" s="208">
        <v>1</v>
      </c>
      <c r="L72" s="208">
        <v>1</v>
      </c>
      <c r="M72" s="208">
        <v>1</v>
      </c>
      <c r="N72" s="208">
        <v>1</v>
      </c>
      <c r="O72" s="208">
        <v>1</v>
      </c>
      <c r="P72" s="208">
        <v>1</v>
      </c>
      <c r="Q72" s="208">
        <v>1</v>
      </c>
      <c r="R72" s="208">
        <v>1</v>
      </c>
      <c r="S72" s="208">
        <v>1</v>
      </c>
      <c r="T72" s="208">
        <v>1</v>
      </c>
      <c r="U72" s="208">
        <v>1</v>
      </c>
      <c r="V72" s="208">
        <v>1</v>
      </c>
      <c r="W72" s="208">
        <v>1</v>
      </c>
      <c r="X72" s="208">
        <v>1</v>
      </c>
      <c r="Y72" s="208">
        <v>1</v>
      </c>
      <c r="Z72" s="208">
        <v>1</v>
      </c>
      <c r="AA72" s="208">
        <v>1</v>
      </c>
    </row>
    <row r="73" spans="1:29">
      <c r="A73" t="s">
        <v>129</v>
      </c>
      <c r="B73" s="208">
        <v>1</v>
      </c>
      <c r="C73" s="208">
        <v>1</v>
      </c>
      <c r="D73" s="208">
        <v>1</v>
      </c>
      <c r="E73" s="208">
        <v>1</v>
      </c>
      <c r="F73" s="208">
        <v>1</v>
      </c>
      <c r="G73" s="208">
        <v>1</v>
      </c>
      <c r="H73" s="208">
        <v>1</v>
      </c>
      <c r="I73" s="208">
        <v>1</v>
      </c>
      <c r="J73" s="208">
        <v>1</v>
      </c>
      <c r="K73" s="208">
        <v>1</v>
      </c>
      <c r="L73" s="208">
        <v>1</v>
      </c>
      <c r="M73" s="208">
        <v>1</v>
      </c>
      <c r="N73" s="208">
        <v>1</v>
      </c>
      <c r="O73" s="208">
        <v>1</v>
      </c>
      <c r="P73" s="208">
        <v>1</v>
      </c>
      <c r="Q73" s="208">
        <v>1</v>
      </c>
      <c r="R73" s="208">
        <v>1</v>
      </c>
      <c r="S73" s="208">
        <v>1</v>
      </c>
      <c r="T73" s="208">
        <v>1</v>
      </c>
      <c r="U73" s="208">
        <v>1</v>
      </c>
      <c r="V73" s="208">
        <v>1</v>
      </c>
      <c r="W73" s="208">
        <v>1</v>
      </c>
      <c r="X73" s="208">
        <v>1</v>
      </c>
      <c r="Y73" s="208">
        <v>1</v>
      </c>
      <c r="Z73" s="208">
        <v>1</v>
      </c>
      <c r="AA73" s="208">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D5621-6AEF-4A8F-B55C-089084FEFE53}">
  <dimension ref="A1:AA29"/>
  <sheetViews>
    <sheetView tabSelected="1" workbookViewId="0"/>
  </sheetViews>
  <sheetFormatPr defaultRowHeight="14.4"/>
  <cols>
    <col min="1" max="1" width="34.77734375" customWidth="1"/>
  </cols>
  <sheetData>
    <row r="1" spans="1:27">
      <c r="A1" s="1" t="s">
        <v>752</v>
      </c>
    </row>
    <row r="2" spans="1:27" ht="94.95" customHeight="1">
      <c r="A2" s="284" t="s">
        <v>753</v>
      </c>
      <c r="B2" s="284"/>
      <c r="C2" s="284"/>
      <c r="D2" s="284"/>
      <c r="E2" s="284"/>
      <c r="F2" s="284"/>
      <c r="G2" s="284"/>
      <c r="H2" s="284"/>
      <c r="I2" s="284"/>
      <c r="J2" s="284"/>
      <c r="K2" s="284"/>
      <c r="L2" s="284"/>
      <c r="M2" s="284"/>
      <c r="N2" s="284"/>
    </row>
    <row r="4" spans="1:27">
      <c r="A4" s="1" t="s">
        <v>754</v>
      </c>
      <c r="B4" s="1">
        <v>2025</v>
      </c>
      <c r="C4" s="1">
        <v>2026</v>
      </c>
      <c r="D4" s="1">
        <v>2027</v>
      </c>
      <c r="E4" s="1">
        <v>2028</v>
      </c>
      <c r="F4" s="1">
        <v>2029</v>
      </c>
      <c r="G4" s="1">
        <v>2030</v>
      </c>
      <c r="H4" s="1">
        <v>2031</v>
      </c>
      <c r="I4" s="1">
        <v>2032</v>
      </c>
      <c r="J4" s="1">
        <v>2033</v>
      </c>
      <c r="K4" s="1">
        <v>2034</v>
      </c>
      <c r="L4" s="1">
        <v>2035</v>
      </c>
      <c r="M4" s="1">
        <v>2036</v>
      </c>
      <c r="N4" s="1">
        <v>2037</v>
      </c>
      <c r="O4" s="1">
        <v>2038</v>
      </c>
      <c r="P4" s="1">
        <v>2039</v>
      </c>
      <c r="Q4" s="1">
        <v>2040</v>
      </c>
      <c r="R4" s="1">
        <v>2041</v>
      </c>
      <c r="S4" s="1">
        <v>2042</v>
      </c>
      <c r="T4" s="1">
        <v>2043</v>
      </c>
      <c r="U4" s="1">
        <v>2044</v>
      </c>
      <c r="V4" s="1">
        <v>2045</v>
      </c>
      <c r="W4" s="1">
        <v>2046</v>
      </c>
      <c r="X4" s="1">
        <v>2047</v>
      </c>
      <c r="Y4" s="1">
        <v>2048</v>
      </c>
      <c r="Z4" s="1">
        <v>2049</v>
      </c>
      <c r="AA4" s="1">
        <v>2050</v>
      </c>
    </row>
    <row r="5" spans="1:27">
      <c r="A5" t="s">
        <v>116</v>
      </c>
      <c r="B5">
        <v>1.04799E+16</v>
      </c>
      <c r="C5">
        <v>1.06788E+16</v>
      </c>
      <c r="D5">
        <v>1.01839E+16</v>
      </c>
      <c r="E5">
        <v>9984090000000000</v>
      </c>
      <c r="F5">
        <v>9726380000000000</v>
      </c>
      <c r="G5">
        <v>9584610000000000</v>
      </c>
      <c r="H5">
        <v>9332700000000000</v>
      </c>
      <c r="I5">
        <v>9201520000000000</v>
      </c>
      <c r="J5">
        <v>9054640000000000</v>
      </c>
      <c r="K5">
        <v>8877260000000000</v>
      </c>
      <c r="L5">
        <v>8697290000000000</v>
      </c>
      <c r="M5">
        <v>8559620000000000</v>
      </c>
      <c r="N5">
        <v>8401000000000000</v>
      </c>
      <c r="O5">
        <v>8019630000000000</v>
      </c>
      <c r="P5">
        <v>7648290000000000</v>
      </c>
      <c r="Q5">
        <v>7502130000000000</v>
      </c>
      <c r="R5">
        <v>7359830000000000</v>
      </c>
      <c r="S5">
        <v>7215480000000000</v>
      </c>
      <c r="T5">
        <v>7061020000000000</v>
      </c>
      <c r="U5">
        <v>6900540000000000</v>
      </c>
      <c r="V5">
        <v>6656030000000000</v>
      </c>
      <c r="W5">
        <v>6596870000000000</v>
      </c>
      <c r="X5">
        <v>6450640000000000</v>
      </c>
      <c r="Y5">
        <v>6357380000000000</v>
      </c>
      <c r="Z5">
        <v>6250300000000000</v>
      </c>
      <c r="AA5">
        <v>6102480000000000</v>
      </c>
    </row>
    <row r="6" spans="1:27">
      <c r="A6" t="s">
        <v>106</v>
      </c>
      <c r="B6">
        <v>4.02559E+16</v>
      </c>
      <c r="C6">
        <v>3.93077E+16</v>
      </c>
      <c r="D6">
        <v>3.9636E+16</v>
      </c>
      <c r="E6">
        <v>4.00058E+16</v>
      </c>
      <c r="F6">
        <v>4.00633E+16</v>
      </c>
      <c r="G6">
        <v>4.09295E+16</v>
      </c>
      <c r="H6">
        <v>4.1477E+16</v>
      </c>
      <c r="I6">
        <v>4.26306E+16</v>
      </c>
      <c r="J6">
        <v>4.35282E+16</v>
      </c>
      <c r="K6">
        <v>4.4492E+16</v>
      </c>
      <c r="L6">
        <v>4.4772E+16</v>
      </c>
      <c r="M6">
        <v>4.46882E+16</v>
      </c>
      <c r="N6">
        <v>4.4387E+16</v>
      </c>
      <c r="O6">
        <v>4.41782E+16</v>
      </c>
      <c r="P6">
        <v>4.4009E+16</v>
      </c>
      <c r="Q6">
        <v>4.41575E+16</v>
      </c>
      <c r="R6">
        <v>4.46017E+16</v>
      </c>
      <c r="S6">
        <v>4.49927E+16</v>
      </c>
      <c r="T6">
        <v>4.53008E+16</v>
      </c>
      <c r="U6">
        <v>4.56496E+16</v>
      </c>
      <c r="V6">
        <v>4.5917E+16</v>
      </c>
      <c r="W6">
        <v>4.62669E+16</v>
      </c>
      <c r="X6">
        <v>4.62888E+16</v>
      </c>
      <c r="Y6">
        <v>4.61087E+16</v>
      </c>
      <c r="Z6">
        <v>4.59025E+16</v>
      </c>
      <c r="AA6">
        <v>4.56889E+16</v>
      </c>
    </row>
    <row r="7" spans="1:27">
      <c r="A7" t="s">
        <v>110</v>
      </c>
      <c r="B7">
        <v>1.62789E+16</v>
      </c>
      <c r="C7">
        <v>1.61356E+16</v>
      </c>
      <c r="D7">
        <v>1.61235E+16</v>
      </c>
      <c r="E7">
        <v>1.59605E+16</v>
      </c>
      <c r="F7">
        <v>1.58372E+16</v>
      </c>
      <c r="G7">
        <v>1.5683E+16</v>
      </c>
      <c r="H7">
        <v>1.55359E+16</v>
      </c>
      <c r="I7">
        <v>1.53932E+16</v>
      </c>
      <c r="J7">
        <v>1.52006E+16</v>
      </c>
      <c r="K7">
        <v>1.50055E+16</v>
      </c>
      <c r="L7">
        <v>1.47734E+16</v>
      </c>
      <c r="M7">
        <v>1.45131E+16</v>
      </c>
      <c r="N7">
        <v>1.42719E+16</v>
      </c>
      <c r="O7">
        <v>1.40362E+16</v>
      </c>
      <c r="P7">
        <v>1.3767E+16</v>
      </c>
      <c r="Q7">
        <v>1.3488E+16</v>
      </c>
      <c r="R7">
        <v>1.31953E+16</v>
      </c>
      <c r="S7">
        <v>1.29323E+16</v>
      </c>
      <c r="T7">
        <v>1.26583E+16</v>
      </c>
      <c r="U7">
        <v>1.2358E+16</v>
      </c>
      <c r="V7">
        <v>1.20801E+16</v>
      </c>
      <c r="W7">
        <v>1.17996E+16</v>
      </c>
      <c r="X7">
        <v>1.15154E+16</v>
      </c>
      <c r="Y7">
        <v>1.1208E+16</v>
      </c>
      <c r="Z7">
        <v>1.091E+16</v>
      </c>
      <c r="AA7">
        <v>1.06482E+16</v>
      </c>
    </row>
    <row r="8" spans="1:27">
      <c r="A8" t="s">
        <v>121</v>
      </c>
      <c r="B8">
        <v>1.20202E+16</v>
      </c>
      <c r="C8">
        <v>1.19648E+16</v>
      </c>
      <c r="D8">
        <v>1.22513E+16</v>
      </c>
      <c r="E8">
        <v>1.23122E+16</v>
      </c>
      <c r="F8">
        <v>1.2385E+16</v>
      </c>
      <c r="G8">
        <v>1.2481E+16</v>
      </c>
      <c r="H8">
        <v>1.25351E+16</v>
      </c>
      <c r="I8">
        <v>1.26178E+16</v>
      </c>
      <c r="J8">
        <v>1.26332E+16</v>
      </c>
      <c r="K8">
        <v>1.2656E+16</v>
      </c>
      <c r="L8">
        <v>1.2653E+16</v>
      </c>
      <c r="M8">
        <v>1.26001E+16</v>
      </c>
      <c r="N8">
        <v>1.25842E+16</v>
      </c>
      <c r="O8">
        <v>1.25925E+16</v>
      </c>
      <c r="P8">
        <v>1.25618E+16</v>
      </c>
      <c r="Q8">
        <v>1.25639E+16</v>
      </c>
      <c r="R8">
        <v>1.25458E+16</v>
      </c>
      <c r="S8">
        <v>1.2481E+16</v>
      </c>
      <c r="T8">
        <v>1.24261E+16</v>
      </c>
      <c r="U8">
        <v>1.23518E+16</v>
      </c>
      <c r="V8">
        <v>1.23449E+16</v>
      </c>
      <c r="W8">
        <v>1.23315E+16</v>
      </c>
      <c r="X8">
        <v>1.23244E+16</v>
      </c>
      <c r="Y8">
        <v>1.2255E+16</v>
      </c>
      <c r="Z8">
        <v>1.21821E+16</v>
      </c>
      <c r="AA8">
        <v>1.21471E+16</v>
      </c>
    </row>
    <row r="9" spans="1:27">
      <c r="A9" t="s">
        <v>112</v>
      </c>
      <c r="B9">
        <v>2297000000000000</v>
      </c>
      <c r="C9">
        <v>2341880000000000</v>
      </c>
      <c r="D9">
        <v>2388800000000000</v>
      </c>
      <c r="E9">
        <v>2392570000000000</v>
      </c>
      <c r="F9">
        <v>2416360000000000</v>
      </c>
      <c r="G9">
        <v>2439320000000000</v>
      </c>
      <c r="H9">
        <v>2468830000000000</v>
      </c>
      <c r="I9">
        <v>2508140000000000</v>
      </c>
      <c r="J9">
        <v>2544400000000000</v>
      </c>
      <c r="K9">
        <v>2584800000000000</v>
      </c>
      <c r="L9">
        <v>2625260000000000</v>
      </c>
      <c r="M9">
        <v>2642990000000000</v>
      </c>
      <c r="N9">
        <v>2668570000000000</v>
      </c>
      <c r="O9">
        <v>2697760000000000</v>
      </c>
      <c r="P9">
        <v>2719100000000000</v>
      </c>
      <c r="Q9">
        <v>2743420000000000</v>
      </c>
      <c r="R9">
        <v>2764630000000000</v>
      </c>
      <c r="S9">
        <v>2783800000000000</v>
      </c>
      <c r="T9">
        <v>2806690000000000</v>
      </c>
      <c r="U9">
        <v>2824410000000000</v>
      </c>
      <c r="V9">
        <v>2847880000000000</v>
      </c>
      <c r="W9">
        <v>2871380000000000</v>
      </c>
      <c r="X9">
        <v>2888270000000000</v>
      </c>
      <c r="Y9">
        <v>2891940000000000</v>
      </c>
      <c r="Z9">
        <v>2903050000000000</v>
      </c>
      <c r="AA9">
        <v>2922550000000000</v>
      </c>
    </row>
    <row r="10" spans="1:27">
      <c r="A10" t="s">
        <v>126</v>
      </c>
      <c r="B10">
        <v>291061000000000</v>
      </c>
      <c r="C10">
        <v>310291000000000</v>
      </c>
      <c r="D10">
        <v>303830000000000</v>
      </c>
      <c r="E10">
        <v>313770000000000</v>
      </c>
      <c r="F10">
        <v>300343000000000</v>
      </c>
      <c r="G10">
        <v>290715000000000</v>
      </c>
      <c r="H10">
        <v>285962000000000</v>
      </c>
      <c r="I10">
        <v>268040000000000</v>
      </c>
      <c r="J10">
        <v>262311000000000</v>
      </c>
      <c r="K10">
        <v>255140000000000</v>
      </c>
      <c r="L10">
        <v>241968000000000</v>
      </c>
      <c r="M10">
        <v>239771000000000</v>
      </c>
      <c r="N10">
        <v>230867000000000</v>
      </c>
      <c r="O10">
        <v>213300000000000</v>
      </c>
      <c r="P10">
        <v>204190000000000</v>
      </c>
      <c r="Q10">
        <v>198549000000000</v>
      </c>
      <c r="R10">
        <v>193348000000000</v>
      </c>
      <c r="S10">
        <v>184627000000000</v>
      </c>
      <c r="T10">
        <v>172050000000000</v>
      </c>
      <c r="U10">
        <v>160458000000000</v>
      </c>
      <c r="V10">
        <v>149801000000000</v>
      </c>
      <c r="W10">
        <v>145869000000000</v>
      </c>
      <c r="X10">
        <v>138144000000000</v>
      </c>
      <c r="Y10">
        <v>134030000000000</v>
      </c>
      <c r="Z10">
        <v>128211000000000</v>
      </c>
      <c r="AA10">
        <v>124186000000000</v>
      </c>
    </row>
    <row r="11" spans="1:27">
      <c r="A11" t="s">
        <v>114</v>
      </c>
      <c r="B11">
        <v>8877070000000000</v>
      </c>
      <c r="C11">
        <v>8735660000000000</v>
      </c>
      <c r="D11">
        <v>9246560000000000</v>
      </c>
      <c r="E11">
        <v>9354660000000000</v>
      </c>
      <c r="F11">
        <v>9382950000000000</v>
      </c>
      <c r="G11">
        <v>9435760000000000</v>
      </c>
      <c r="H11">
        <v>9586250000000000</v>
      </c>
      <c r="I11">
        <v>9744980000000000</v>
      </c>
      <c r="J11">
        <v>9867510000000000</v>
      </c>
      <c r="K11">
        <v>9996800000000000</v>
      </c>
      <c r="L11">
        <v>1.0103E+16</v>
      </c>
      <c r="M11">
        <v>1.01424E+16</v>
      </c>
      <c r="N11">
        <v>1.02461E+16</v>
      </c>
      <c r="O11">
        <v>1.03835E+16</v>
      </c>
      <c r="P11">
        <v>1.05018E+16</v>
      </c>
      <c r="Q11">
        <v>1.06338E+16</v>
      </c>
      <c r="R11">
        <v>1.07625E+16</v>
      </c>
      <c r="S11">
        <v>1.08743E+16</v>
      </c>
      <c r="T11">
        <v>1.09943E+16</v>
      </c>
      <c r="U11">
        <v>1.10697E+16</v>
      </c>
      <c r="V11">
        <v>1.12163E+16</v>
      </c>
      <c r="W11">
        <v>1.13502E+16</v>
      </c>
      <c r="X11">
        <v>1.14994E+16</v>
      </c>
      <c r="Y11">
        <v>1.15639E+16</v>
      </c>
      <c r="Z11">
        <v>1.15967E+16</v>
      </c>
      <c r="AA11">
        <v>1.17026E+16</v>
      </c>
    </row>
    <row r="13" spans="1:27">
      <c r="A13" s="1" t="s">
        <v>755</v>
      </c>
      <c r="B13" s="1">
        <v>2025</v>
      </c>
      <c r="C13" s="1">
        <v>2026</v>
      </c>
      <c r="D13" s="1">
        <v>2027</v>
      </c>
      <c r="E13" s="1">
        <v>2028</v>
      </c>
      <c r="F13" s="1">
        <v>2029</v>
      </c>
      <c r="G13" s="1">
        <v>2030</v>
      </c>
      <c r="H13" s="1">
        <v>2031</v>
      </c>
      <c r="I13" s="1">
        <v>2032</v>
      </c>
      <c r="J13" s="1">
        <v>2033</v>
      </c>
      <c r="K13" s="1">
        <v>2034</v>
      </c>
      <c r="L13" s="1">
        <v>2035</v>
      </c>
      <c r="M13" s="1">
        <v>2036</v>
      </c>
      <c r="N13" s="1">
        <v>2037</v>
      </c>
      <c r="O13" s="1">
        <v>2038</v>
      </c>
      <c r="P13" s="1">
        <v>2039</v>
      </c>
      <c r="Q13" s="1">
        <v>2040</v>
      </c>
      <c r="R13" s="1">
        <v>2041</v>
      </c>
      <c r="S13" s="1">
        <v>2042</v>
      </c>
      <c r="T13" s="1">
        <v>2043</v>
      </c>
      <c r="U13" s="1">
        <v>2044</v>
      </c>
      <c r="V13" s="1">
        <v>2045</v>
      </c>
      <c r="W13" s="1">
        <v>2046</v>
      </c>
      <c r="X13" s="1">
        <v>2047</v>
      </c>
      <c r="Y13" s="1">
        <v>2048</v>
      </c>
      <c r="Z13" s="1">
        <v>2049</v>
      </c>
      <c r="AA13" s="1">
        <v>2050</v>
      </c>
    </row>
    <row r="14" spans="1:27">
      <c r="A14" t="s">
        <v>116</v>
      </c>
      <c r="B14">
        <v>9289070000000000</v>
      </c>
      <c r="C14">
        <v>9059690000000000</v>
      </c>
      <c r="D14">
        <v>8751960000000000</v>
      </c>
      <c r="E14">
        <v>8217940000000000</v>
      </c>
      <c r="F14">
        <v>8021120000000000</v>
      </c>
      <c r="G14">
        <v>8109020000000000</v>
      </c>
      <c r="H14">
        <v>7300160000000000</v>
      </c>
      <c r="I14">
        <v>7104640000000000</v>
      </c>
      <c r="J14">
        <v>6984840000000000</v>
      </c>
      <c r="K14">
        <v>6751140000000000</v>
      </c>
      <c r="L14">
        <v>6735950000000000</v>
      </c>
      <c r="M14">
        <v>6616990000000000</v>
      </c>
      <c r="N14">
        <v>6596780000000000</v>
      </c>
      <c r="O14">
        <v>6603860000000000</v>
      </c>
      <c r="P14">
        <v>6548860000000000</v>
      </c>
      <c r="Q14">
        <v>6419360000000000</v>
      </c>
      <c r="R14">
        <v>6277720000000000</v>
      </c>
      <c r="S14">
        <v>6171320000000000</v>
      </c>
      <c r="T14">
        <v>6107340000000000</v>
      </c>
      <c r="U14">
        <v>6049380000000000</v>
      </c>
      <c r="V14">
        <v>5981360000000000</v>
      </c>
      <c r="W14">
        <v>5925930000000000</v>
      </c>
      <c r="X14">
        <v>5937050000000000</v>
      </c>
      <c r="Y14">
        <v>5915220000000000</v>
      </c>
      <c r="Z14">
        <v>5831200000000000</v>
      </c>
      <c r="AA14">
        <v>5606940000000000</v>
      </c>
    </row>
    <row r="15" spans="1:27">
      <c r="A15" t="s">
        <v>106</v>
      </c>
      <c r="B15">
        <v>4.05704E+16</v>
      </c>
      <c r="C15">
        <v>4.02944E+16</v>
      </c>
      <c r="D15">
        <v>3.9723E+16</v>
      </c>
      <c r="E15">
        <v>4.04999E+16</v>
      </c>
      <c r="F15">
        <v>4.08871E+16</v>
      </c>
      <c r="G15">
        <v>4.20273E+16</v>
      </c>
      <c r="H15">
        <v>4.3181E+16</v>
      </c>
      <c r="I15">
        <v>4.42595E+16</v>
      </c>
      <c r="J15">
        <v>4.51016E+16</v>
      </c>
      <c r="K15">
        <v>4.61689E+16</v>
      </c>
      <c r="L15">
        <v>4.6665E+16</v>
      </c>
      <c r="M15">
        <v>4.70172E+16</v>
      </c>
      <c r="N15">
        <v>4.7329E+16</v>
      </c>
      <c r="O15">
        <v>4.76591E+16</v>
      </c>
      <c r="P15">
        <v>4.79838E+16</v>
      </c>
      <c r="Q15">
        <v>4.85815E+16</v>
      </c>
      <c r="R15">
        <v>4.92901E+16</v>
      </c>
      <c r="S15">
        <v>4.99745E+16</v>
      </c>
      <c r="T15">
        <v>5.05664E+16</v>
      </c>
      <c r="U15">
        <v>5.11176E+16</v>
      </c>
      <c r="V15">
        <v>5.1666E+16</v>
      </c>
      <c r="W15">
        <v>5.23729E+16</v>
      </c>
      <c r="X15">
        <v>5.28075E+16</v>
      </c>
      <c r="Y15">
        <v>5.31171E+16</v>
      </c>
      <c r="Z15">
        <v>5.32298E+16</v>
      </c>
      <c r="AA15">
        <v>5.33421E+16</v>
      </c>
    </row>
    <row r="16" spans="1:27">
      <c r="A16" t="s">
        <v>110</v>
      </c>
      <c r="B16">
        <v>1.77984E+16</v>
      </c>
      <c r="C16">
        <v>1.76358E+16</v>
      </c>
      <c r="D16">
        <v>1.76959E+16</v>
      </c>
      <c r="E16">
        <v>1.77294E+16</v>
      </c>
      <c r="F16">
        <v>1.76202E+16</v>
      </c>
      <c r="G16">
        <v>1.77635E+16</v>
      </c>
      <c r="H16">
        <v>1.77562E+16</v>
      </c>
      <c r="I16">
        <v>1.76632E+16</v>
      </c>
      <c r="J16">
        <v>1.73669E+16</v>
      </c>
      <c r="K16">
        <v>1.72069E+16</v>
      </c>
      <c r="L16">
        <v>1.70097E+16</v>
      </c>
      <c r="M16">
        <v>1.69279E+16</v>
      </c>
      <c r="N16">
        <v>1.68945E+16</v>
      </c>
      <c r="O16">
        <v>1.67738E+16</v>
      </c>
      <c r="P16">
        <v>1.6752E+16</v>
      </c>
      <c r="Q16">
        <v>1.6922E+16</v>
      </c>
      <c r="R16">
        <v>1.70844E+16</v>
      </c>
      <c r="S16">
        <v>1.71348E+16</v>
      </c>
      <c r="T16">
        <v>1.72325E+16</v>
      </c>
      <c r="U16">
        <v>1.72717E+16</v>
      </c>
      <c r="V16">
        <v>1.72314E+16</v>
      </c>
      <c r="W16">
        <v>1.71304E+16</v>
      </c>
      <c r="X16">
        <v>1.70309E+16</v>
      </c>
      <c r="Y16">
        <v>1.69024E+16</v>
      </c>
      <c r="Z16">
        <v>1.67203E+16</v>
      </c>
      <c r="AA16">
        <v>1.64672E+16</v>
      </c>
    </row>
    <row r="17" spans="1:27">
      <c r="A17" t="s">
        <v>121</v>
      </c>
      <c r="B17">
        <v>1.05234E+16</v>
      </c>
      <c r="C17">
        <v>1.04272E+16</v>
      </c>
      <c r="D17">
        <v>1.04628E+16</v>
      </c>
      <c r="E17">
        <v>1.04826E+16</v>
      </c>
      <c r="F17">
        <v>1.0418E+16</v>
      </c>
      <c r="G17">
        <v>1.05027E+16</v>
      </c>
      <c r="H17">
        <v>1.04984E+16</v>
      </c>
      <c r="I17">
        <v>1.04434E+16</v>
      </c>
      <c r="J17">
        <v>1.02682E+16</v>
      </c>
      <c r="K17">
        <v>1.01736E+16</v>
      </c>
      <c r="L17">
        <v>1.0057E+16</v>
      </c>
      <c r="M17">
        <v>1.00087E+16</v>
      </c>
      <c r="N17">
        <v>9988950000000000</v>
      </c>
      <c r="O17">
        <v>9917580000000000</v>
      </c>
      <c r="P17">
        <v>9904670000000000</v>
      </c>
      <c r="Q17">
        <v>1.00052E+16</v>
      </c>
      <c r="R17">
        <v>1.01012E+16</v>
      </c>
      <c r="S17">
        <v>1.0131E+16</v>
      </c>
      <c r="T17">
        <v>1.01888E+16</v>
      </c>
      <c r="U17">
        <v>1.02119E+16</v>
      </c>
      <c r="V17">
        <v>1.01881E+16</v>
      </c>
      <c r="W17">
        <v>1.01284E+16</v>
      </c>
      <c r="X17">
        <v>1.00696E+16</v>
      </c>
      <c r="Y17">
        <v>9993600000000000</v>
      </c>
      <c r="Z17">
        <v>9885940000000000</v>
      </c>
      <c r="AA17">
        <v>9736320000000000</v>
      </c>
    </row>
    <row r="18" spans="1:27">
      <c r="A18" t="s">
        <v>112</v>
      </c>
      <c r="B18">
        <v>3773600000000000</v>
      </c>
      <c r="C18">
        <v>3739120000000000</v>
      </c>
      <c r="D18">
        <v>3751870000000000</v>
      </c>
      <c r="E18">
        <v>3758960000000000</v>
      </c>
      <c r="F18">
        <v>3735820000000000</v>
      </c>
      <c r="G18">
        <v>3766190000000000</v>
      </c>
      <c r="H18">
        <v>3764640000000000</v>
      </c>
      <c r="I18">
        <v>3744930000000000</v>
      </c>
      <c r="J18">
        <v>3682100000000000</v>
      </c>
      <c r="K18">
        <v>3648180000000000</v>
      </c>
      <c r="L18">
        <v>3606370000000000</v>
      </c>
      <c r="M18">
        <v>3589030000000000</v>
      </c>
      <c r="N18">
        <v>3581950000000000</v>
      </c>
      <c r="O18">
        <v>3556360000000000</v>
      </c>
      <c r="P18">
        <v>3551730000000000</v>
      </c>
      <c r="Q18">
        <v>3587770000000000</v>
      </c>
      <c r="R18">
        <v>3622220000000000</v>
      </c>
      <c r="S18">
        <v>3632890000000000</v>
      </c>
      <c r="T18">
        <v>3653610000000000</v>
      </c>
      <c r="U18">
        <v>3661920000000000</v>
      </c>
      <c r="V18">
        <v>3653380000000000</v>
      </c>
      <c r="W18">
        <v>3631970000000000</v>
      </c>
      <c r="X18">
        <v>3610870000000000</v>
      </c>
      <c r="Y18">
        <v>3583620000000000</v>
      </c>
      <c r="Z18">
        <v>3545020000000000</v>
      </c>
      <c r="AA18">
        <v>3491360000000000</v>
      </c>
    </row>
    <row r="19" spans="1:27">
      <c r="A19" t="s">
        <v>126</v>
      </c>
      <c r="B19">
        <v>519912000000000</v>
      </c>
      <c r="C19">
        <v>507074000000000</v>
      </c>
      <c r="D19">
        <v>489850000000000</v>
      </c>
      <c r="E19">
        <v>459961000000000</v>
      </c>
      <c r="F19">
        <v>448945000000000</v>
      </c>
      <c r="G19">
        <v>453865000000000</v>
      </c>
      <c r="H19">
        <v>408592000000000</v>
      </c>
      <c r="I19">
        <v>397650000000000</v>
      </c>
      <c r="J19">
        <v>390944000000000</v>
      </c>
      <c r="K19">
        <v>377864000000000</v>
      </c>
      <c r="L19">
        <v>377014000000000</v>
      </c>
      <c r="M19">
        <v>370355000000000</v>
      </c>
      <c r="N19">
        <v>369224000000000</v>
      </c>
      <c r="O19">
        <v>369620000000000</v>
      </c>
      <c r="P19">
        <v>366542000000000</v>
      </c>
      <c r="Q19">
        <v>359294000000000</v>
      </c>
      <c r="R19">
        <v>351366000000000</v>
      </c>
      <c r="S19">
        <v>345411000000000</v>
      </c>
      <c r="T19">
        <v>341830000000000</v>
      </c>
      <c r="U19">
        <v>338586000000000</v>
      </c>
      <c r="V19">
        <v>334779000000000</v>
      </c>
      <c r="W19">
        <v>331676000000000</v>
      </c>
      <c r="X19">
        <v>332299000000000</v>
      </c>
      <c r="Y19">
        <v>331077000000000</v>
      </c>
      <c r="Z19">
        <v>326374000000000</v>
      </c>
      <c r="AA19">
        <v>313822000000000</v>
      </c>
    </row>
    <row r="20" spans="1:27">
      <c r="A20" t="s">
        <v>114</v>
      </c>
      <c r="B20">
        <v>8513640000000000</v>
      </c>
      <c r="C20">
        <v>8670980000000000</v>
      </c>
      <c r="D20">
        <v>9307790000000000</v>
      </c>
      <c r="E20">
        <v>9212310000000000</v>
      </c>
      <c r="F20">
        <v>9248270000000000</v>
      </c>
      <c r="G20">
        <v>9282030000000000</v>
      </c>
      <c r="H20">
        <v>9726620000000000</v>
      </c>
      <c r="I20">
        <v>1.01484E+16</v>
      </c>
      <c r="J20">
        <v>1.05591E+16</v>
      </c>
      <c r="K20">
        <v>1.08558E+16</v>
      </c>
      <c r="L20">
        <v>1.10781E+16</v>
      </c>
      <c r="M20">
        <v>1.12027E+16</v>
      </c>
      <c r="N20">
        <v>1.13984E+16</v>
      </c>
      <c r="O20">
        <v>1.16159E+16</v>
      </c>
      <c r="P20">
        <v>1.17973E+16</v>
      </c>
      <c r="Q20">
        <v>1.20946E+16</v>
      </c>
      <c r="R20">
        <v>1.23548E+16</v>
      </c>
      <c r="S20">
        <v>1.25004E+16</v>
      </c>
      <c r="T20">
        <v>1.25668E+16</v>
      </c>
      <c r="U20">
        <v>1.25149E+16</v>
      </c>
      <c r="V20">
        <v>1.23869E+16</v>
      </c>
      <c r="W20">
        <v>1.22808E+16</v>
      </c>
      <c r="X20">
        <v>1.23108E+16</v>
      </c>
      <c r="Y20">
        <v>1.23947E+16</v>
      </c>
      <c r="Z20">
        <v>1.24431E+16</v>
      </c>
      <c r="AA20">
        <v>1.24174E+16</v>
      </c>
    </row>
    <row r="22" spans="1:27">
      <c r="A22" s="1" t="s">
        <v>756</v>
      </c>
      <c r="B22" s="1">
        <v>2025</v>
      </c>
      <c r="C22" s="1">
        <v>2026</v>
      </c>
      <c r="D22" s="1">
        <v>2027</v>
      </c>
      <c r="E22" s="1">
        <v>2028</v>
      </c>
      <c r="F22" s="1">
        <v>2029</v>
      </c>
      <c r="G22" s="1">
        <v>2030</v>
      </c>
      <c r="H22" s="1">
        <v>2031</v>
      </c>
      <c r="I22" s="1">
        <v>2032</v>
      </c>
      <c r="J22" s="1">
        <v>2033</v>
      </c>
      <c r="K22" s="1">
        <v>2034</v>
      </c>
      <c r="L22" s="1">
        <v>2035</v>
      </c>
      <c r="M22" s="1">
        <v>2036</v>
      </c>
      <c r="N22" s="1">
        <v>2037</v>
      </c>
      <c r="O22" s="1">
        <v>2038</v>
      </c>
      <c r="P22" s="1">
        <v>2039</v>
      </c>
      <c r="Q22" s="1">
        <v>2040</v>
      </c>
      <c r="R22" s="1">
        <v>2041</v>
      </c>
      <c r="S22" s="1">
        <v>2042</v>
      </c>
      <c r="T22" s="1">
        <v>2043</v>
      </c>
      <c r="U22" s="1">
        <v>2044</v>
      </c>
      <c r="V22" s="1">
        <v>2045</v>
      </c>
      <c r="W22" s="1">
        <v>2046</v>
      </c>
      <c r="X22" s="1">
        <v>2047</v>
      </c>
      <c r="Y22" s="1">
        <v>2048</v>
      </c>
      <c r="Z22" s="1">
        <v>2049</v>
      </c>
      <c r="AA22" s="1">
        <v>2050</v>
      </c>
    </row>
    <row r="23" spans="1:27">
      <c r="A23" t="s">
        <v>116</v>
      </c>
      <c r="B23">
        <f>IFERROR(B5/B14,"")</f>
        <v>1.1281969023809704</v>
      </c>
      <c r="C23">
        <f>IFERROR(C5/C14,"")</f>
        <v>1.1787158280250207</v>
      </c>
      <c r="D23">
        <f>IFERROR(D5/D14,"")</f>
        <v>1.1636136362597636</v>
      </c>
      <c r="E23">
        <f>IFERROR(E5/E14,"")</f>
        <v>1.2149139565389866</v>
      </c>
      <c r="F23">
        <f>IFERROR(F5/F14,"")</f>
        <v>1.2125962459107955</v>
      </c>
      <c r="G23">
        <f>IFERROR(G5/G14,"")</f>
        <v>1.181968967890078</v>
      </c>
      <c r="H23">
        <f>IFERROR(H5/H14,"")</f>
        <v>1.2784240345417086</v>
      </c>
      <c r="I23">
        <f>IFERROR(I5/I14,"")</f>
        <v>1.295142329519863</v>
      </c>
      <c r="J23">
        <f>IFERROR(J5/J14,"")</f>
        <v>1.2963274749314229</v>
      </c>
      <c r="K23">
        <f>IFERROR(K5/K14,"")</f>
        <v>1.3149275529762381</v>
      </c>
      <c r="L23">
        <f>IFERROR(L5/L14,"")</f>
        <v>1.2911749641847103</v>
      </c>
      <c r="M23">
        <f>IFERROR(M5/M14,"")</f>
        <v>1.2935821272209871</v>
      </c>
      <c r="N23">
        <f>IFERROR(N5/N14,"")</f>
        <v>1.2735001015647027</v>
      </c>
      <c r="O23">
        <f>IFERROR(O5/O14,"")</f>
        <v>1.2143852231876509</v>
      </c>
      <c r="P23">
        <f>IFERROR(P5/P14,"")</f>
        <v>1.1678811274023264</v>
      </c>
      <c r="Q23">
        <f>IFERROR(Q5/Q14,"")</f>
        <v>1.1686725779516962</v>
      </c>
      <c r="R23">
        <f>IFERROR(R5/R14,"")</f>
        <v>1.1723730908673851</v>
      </c>
      <c r="S23">
        <f>IFERROR(S5/S14,"")</f>
        <v>1.1691955691813096</v>
      </c>
      <c r="T23">
        <f>IFERROR(T5/T14,"")</f>
        <v>1.1561530879237114</v>
      </c>
      <c r="U23">
        <f>IFERROR(U5/U14,"")</f>
        <v>1.14070202235601</v>
      </c>
      <c r="V23">
        <f>IFERROR(V5/V14,"")</f>
        <v>1.1127954177645218</v>
      </c>
      <c r="W23">
        <f>IFERROR(W5/W14,"")</f>
        <v>1.1132210471605302</v>
      </c>
      <c r="X23">
        <f>IFERROR(X5/X14,"")</f>
        <v>1.0865059246595532</v>
      </c>
      <c r="Y23">
        <f>IFERROR(Y5/Y14,"")</f>
        <v>1.0747495443956439</v>
      </c>
      <c r="Z23">
        <f>IFERROR(Z5/Z14,"")</f>
        <v>1.0718719989024557</v>
      </c>
      <c r="AA23">
        <f>IFERROR(AA5/AA14,"")</f>
        <v>1.0883797579428351</v>
      </c>
    </row>
    <row r="24" spans="1:27">
      <c r="A24" t="s">
        <v>106</v>
      </c>
      <c r="B24">
        <f>IFERROR(B6/B15,"")</f>
        <v>0.99224804290813007</v>
      </c>
      <c r="C24">
        <f>IFERROR(C6/C15,"")</f>
        <v>0.9755127263341804</v>
      </c>
      <c r="D24">
        <f>IFERROR(D6/D15,"")</f>
        <v>0.99780983309417715</v>
      </c>
      <c r="E24">
        <f>IFERROR(E6/E15,"")</f>
        <v>0.98779996987646879</v>
      </c>
      <c r="F24">
        <f>IFERROR(F6/F15,"")</f>
        <v>0.97985183590912539</v>
      </c>
      <c r="G24">
        <f>IFERROR(G6/G15,"")</f>
        <v>0.97387888348763785</v>
      </c>
      <c r="H24">
        <f>IFERROR(H6/H15,"")</f>
        <v>0.96053819967115162</v>
      </c>
      <c r="I24">
        <f>IFERROR(I6/I15,"")</f>
        <v>0.96319660185948774</v>
      </c>
      <c r="J24">
        <f>IFERROR(J6/J15,"")</f>
        <v>0.96511431966936867</v>
      </c>
      <c r="K24">
        <f>IFERROR(K6/K15,"")</f>
        <v>0.9636790133618085</v>
      </c>
      <c r="L24">
        <f>IFERROR(L6/L15,"")</f>
        <v>0.95943426550948252</v>
      </c>
      <c r="M24">
        <f>IFERROR(M6/M15,"")</f>
        <v>0.95046493623610084</v>
      </c>
      <c r="N24">
        <f>IFERROR(N6/N15,"")</f>
        <v>0.93783937966151831</v>
      </c>
      <c r="O24">
        <f>IFERROR(O6/O15,"")</f>
        <v>0.92696253181449084</v>
      </c>
      <c r="P24">
        <f>IFERROR(P6/P15,"")</f>
        <v>0.91716370941859549</v>
      </c>
      <c r="Q24">
        <f>IFERROR(Q6/Q15,"")</f>
        <v>0.90893652933729918</v>
      </c>
      <c r="R24">
        <f>IFERROR(R6/R15,"")</f>
        <v>0.90488150764555153</v>
      </c>
      <c r="S24">
        <f>IFERROR(S6/S15,"")</f>
        <v>0.90031315971145287</v>
      </c>
      <c r="T24">
        <f>IFERROR(T6/T15,"")</f>
        <v>0.89586761169472218</v>
      </c>
      <c r="U24">
        <f>IFERROR(U6/U15,"")</f>
        <v>0.89303097172011203</v>
      </c>
      <c r="V24">
        <f>IFERROR(V6/V15,"")</f>
        <v>0.8887275964851159</v>
      </c>
      <c r="W24">
        <f>IFERROR(W6/W15,"")</f>
        <v>0.88341298648728639</v>
      </c>
      <c r="X24">
        <f>IFERROR(X6/X15,"")</f>
        <v>0.8765573072006817</v>
      </c>
      <c r="Y24">
        <f>IFERROR(Y6/Y15,"")</f>
        <v>0.86805755585301159</v>
      </c>
      <c r="Z24">
        <f>IFERROR(Z6/Z15,"")</f>
        <v>0.86234590398611299</v>
      </c>
      <c r="AA24">
        <f>IFERROR(AA6/AA15,"")</f>
        <v>0.85652608352502058</v>
      </c>
    </row>
    <row r="25" spans="1:27">
      <c r="A25" t="s">
        <v>110</v>
      </c>
      <c r="B25">
        <f>IFERROR(B7/B16,"")</f>
        <v>0.91462715749730317</v>
      </c>
      <c r="C25">
        <f>IFERROR(C7/C16,"")</f>
        <v>0.91493439481055583</v>
      </c>
      <c r="D25">
        <f>IFERROR(D7/D16,"")</f>
        <v>0.91114325917302874</v>
      </c>
      <c r="E25">
        <f>IFERROR(E7/E16,"")</f>
        <v>0.90022787009148642</v>
      </c>
      <c r="F25">
        <f>IFERROR(F7/F16,"")</f>
        <v>0.89880932112007805</v>
      </c>
      <c r="G25">
        <f>IFERROR(G7/G16,"")</f>
        <v>0.88287781124215381</v>
      </c>
      <c r="H25">
        <f>IFERROR(H7/H16,"")</f>
        <v>0.87495635327378607</v>
      </c>
      <c r="I25">
        <f>IFERROR(I7/I16,"")</f>
        <v>0.87148421577064183</v>
      </c>
      <c r="J25">
        <f>IFERROR(J7/J16,"")</f>
        <v>0.87526271240117692</v>
      </c>
      <c r="K25">
        <f>IFERROR(K7/K16,"")</f>
        <v>0.87206295149039048</v>
      </c>
      <c r="L25">
        <f>IFERROR(L7/L16,"")</f>
        <v>0.86852795757714718</v>
      </c>
      <c r="M25">
        <f>IFERROR(M7/M16,"")</f>
        <v>0.85734792856763098</v>
      </c>
      <c r="N25">
        <f>IFERROR(N7/N16,"")</f>
        <v>0.84476604812216993</v>
      </c>
      <c r="O25">
        <f>IFERROR(O7/O16,"")</f>
        <v>0.83679309399182056</v>
      </c>
      <c r="P25">
        <f>IFERROR(P7/P16,"")</f>
        <v>0.82181232091690548</v>
      </c>
      <c r="Q25">
        <f>IFERROR(Q7/Q16,"")</f>
        <v>0.79706890438482447</v>
      </c>
      <c r="R25">
        <f>IFERROR(R7/R16,"")</f>
        <v>0.77235957949942635</v>
      </c>
      <c r="S25">
        <f>IFERROR(S7/S16,"")</f>
        <v>0.7547388939468217</v>
      </c>
      <c r="T25">
        <f>IFERROR(T7/T16,"")</f>
        <v>0.73455969824459599</v>
      </c>
      <c r="U25">
        <f>IFERROR(U7/U16,"")</f>
        <v>0.71550571165548271</v>
      </c>
      <c r="V25">
        <f>IFERROR(V7/V16,"")</f>
        <v>0.70105156864793339</v>
      </c>
      <c r="W25">
        <f>IFERROR(W7/W16,"")</f>
        <v>0.68881053565590999</v>
      </c>
      <c r="X25">
        <f>IFERROR(X7/X16,"")</f>
        <v>0.67614747312238344</v>
      </c>
      <c r="Y25">
        <f>IFERROR(Y7/Y16,"")</f>
        <v>0.66310109806891326</v>
      </c>
      <c r="Z25">
        <f>IFERROR(Z7/Z16,"")</f>
        <v>0.65250025418204216</v>
      </c>
      <c r="AA25">
        <f>IFERROR(AA7/AA16,"")</f>
        <v>0.64663087835211819</v>
      </c>
    </row>
    <row r="26" spans="1:27">
      <c r="A26" t="s">
        <v>121</v>
      </c>
      <c r="B26">
        <f>IFERROR(B8/B17,"")</f>
        <v>1.14223539920558</v>
      </c>
      <c r="C26">
        <f>IFERROR(C8/C17,"")</f>
        <v>1.1474604879545802</v>
      </c>
      <c r="D26">
        <f>IFERROR(D8/D17,"")</f>
        <v>1.1709389455977368</v>
      </c>
      <c r="E26">
        <f>IFERROR(E8/E17,"")</f>
        <v>1.1745368515444641</v>
      </c>
      <c r="F26">
        <f>IFERROR(F8/F17,"")</f>
        <v>1.1888078325974276</v>
      </c>
      <c r="G26">
        <f>IFERROR(G8/G17,"")</f>
        <v>1.188361088101155</v>
      </c>
      <c r="H26">
        <f>IFERROR(H8/H17,"")</f>
        <v>1.1940009906271432</v>
      </c>
      <c r="I26">
        <f>IFERROR(I8/I17,"")</f>
        <v>1.2082080548480381</v>
      </c>
      <c r="J26">
        <f>IFERROR(J8/J17,"")</f>
        <v>1.2303227440057654</v>
      </c>
      <c r="K26">
        <f>IFERROR(K8/K17,"")</f>
        <v>1.2440040890147048</v>
      </c>
      <c r="L26">
        <f>IFERROR(L8/L17,"")</f>
        <v>1.2581286666003779</v>
      </c>
      <c r="M26">
        <f>IFERROR(M8/M17,"")</f>
        <v>1.2589147441725699</v>
      </c>
      <c r="N26">
        <f>IFERROR(N8/N17,"")</f>
        <v>1.2598120923620602</v>
      </c>
      <c r="O26">
        <f>IFERROR(O8/O17,"")</f>
        <v>1.2697149909554548</v>
      </c>
      <c r="P26">
        <f>IFERROR(P8/P17,"")</f>
        <v>1.2682704219322805</v>
      </c>
      <c r="Q26">
        <f>IFERROR(Q8/Q17,"")</f>
        <v>1.2557370167512893</v>
      </c>
      <c r="R26">
        <f>IFERROR(R8/R17,"")</f>
        <v>1.2420108501960163</v>
      </c>
      <c r="S26">
        <f>IFERROR(S8/S17,"")</f>
        <v>1.2319613068798736</v>
      </c>
      <c r="T26">
        <f>IFERROR(T8/T17,"")</f>
        <v>1.2195842493718594</v>
      </c>
      <c r="U26">
        <f>IFERROR(U8/U17,"")</f>
        <v>1.2095496430634847</v>
      </c>
      <c r="V26">
        <f>IFERROR(V8/V17,"")</f>
        <v>1.2116979613470618</v>
      </c>
      <c r="W26">
        <f>IFERROR(W8/W17,"")</f>
        <v>1.2175170806840172</v>
      </c>
      <c r="X26">
        <f>IFERROR(X8/X17,"")</f>
        <v>1.2239215063160405</v>
      </c>
      <c r="Y26">
        <f>IFERROR(Y8/Y17,"")</f>
        <v>1.2262848222862632</v>
      </c>
      <c r="Z26">
        <f>IFERROR(Z8/Z17,"")</f>
        <v>1.232265217065853</v>
      </c>
      <c r="AA26">
        <f>IFERROR(AA8/AA17,"")</f>
        <v>1.2476068987050548</v>
      </c>
    </row>
    <row r="27" spans="1:27">
      <c r="A27" t="s">
        <v>112</v>
      </c>
      <c r="B27">
        <f>IFERROR(B9/B18,"")</f>
        <v>0.6087025651897392</v>
      </c>
      <c r="C27">
        <f>IFERROR(C9/C18,"")</f>
        <v>0.62631849205160572</v>
      </c>
      <c r="D27">
        <f>IFERROR(D9/D18,"")</f>
        <v>0.6366958343439405</v>
      </c>
      <c r="E27">
        <f>IFERROR(E9/E18,"")</f>
        <v>0.63649786111051998</v>
      </c>
      <c r="F27">
        <f>IFERROR(F9/F18,"")</f>
        <v>0.64680846507594048</v>
      </c>
      <c r="G27">
        <f>IFERROR(G9/G18,"")</f>
        <v>0.64768904383475079</v>
      </c>
      <c r="H27">
        <f>IFERROR(H9/H18,"")</f>
        <v>0.65579444515279017</v>
      </c>
      <c r="I27">
        <f>IFERROR(I9/I18,"")</f>
        <v>0.66974282563359</v>
      </c>
      <c r="J27">
        <f>IFERROR(J9/J18,"")</f>
        <v>0.69101871214795907</v>
      </c>
      <c r="K27">
        <f>IFERROR(K9/K18,"")</f>
        <v>0.70851767182540337</v>
      </c>
      <c r="L27">
        <f>IFERROR(L9/L18,"")</f>
        <v>0.72795082035398473</v>
      </c>
      <c r="M27">
        <f>IFERROR(M9/M18,"")</f>
        <v>0.73640788736789609</v>
      </c>
      <c r="N27">
        <f>IFERROR(N9/N18,"")</f>
        <v>0.74500481581261602</v>
      </c>
      <c r="O27">
        <f>IFERROR(O9/O18,"")</f>
        <v>0.75857337277440984</v>
      </c>
      <c r="P27">
        <f>IFERROR(P9/P18,"")</f>
        <v>0.76557058109709919</v>
      </c>
      <c r="Q27">
        <f>IFERROR(Q9/Q18,"")</f>
        <v>0.76465882707085464</v>
      </c>
      <c r="R27">
        <f>IFERROR(R9/R18,"")</f>
        <v>0.76324187928949649</v>
      </c>
      <c r="S27">
        <f>IFERROR(S9/S18,"")</f>
        <v>0.7662769860909634</v>
      </c>
      <c r="T27">
        <f>IFERROR(T9/T18,"")</f>
        <v>0.7681963865875121</v>
      </c>
      <c r="U27">
        <f>IFERROR(U9/U18,"")</f>
        <v>0.77129210905754353</v>
      </c>
      <c r="V27">
        <f>IFERROR(V9/V18,"")</f>
        <v>0.77951923971774084</v>
      </c>
      <c r="W27">
        <f>IFERROR(W9/W18,"")</f>
        <v>0.79058472399276425</v>
      </c>
      <c r="X27">
        <f>IFERROR(X9/X18,"")</f>
        <v>0.79988202289199006</v>
      </c>
      <c r="Y27">
        <f>IFERROR(Y9/Y18,"")</f>
        <v>0.80698846417867964</v>
      </c>
      <c r="Z27">
        <f>IFERROR(Z9/Z18,"")</f>
        <v>0.81890934324771092</v>
      </c>
      <c r="AA27">
        <f>IFERROR(AA9/AA18,"")</f>
        <v>0.83708067916227491</v>
      </c>
    </row>
    <row r="28" spans="1:27">
      <c r="A28" t="s">
        <v>126</v>
      </c>
      <c r="B28">
        <f>IFERROR(B10/B19,"")</f>
        <v>0.55982743233470278</v>
      </c>
      <c r="C28">
        <f>IFERROR(C10/C19,"")</f>
        <v>0.61192449228317758</v>
      </c>
      <c r="D28">
        <f>IFERROR(D10/D19,"")</f>
        <v>0.62025109727467587</v>
      </c>
      <c r="E28">
        <f>IFERROR(E10/E19,"")</f>
        <v>0.68216653151028017</v>
      </c>
      <c r="F28">
        <f>IFERROR(F10/F19,"")</f>
        <v>0.66899731592956824</v>
      </c>
      <c r="G28">
        <f>IFERROR(G10/G19,"")</f>
        <v>0.64053187621869945</v>
      </c>
      <c r="H28">
        <f>IFERROR(H10/H19,"")</f>
        <v>0.69987175470885377</v>
      </c>
      <c r="I28">
        <f>IFERROR(I10/I19,"")</f>
        <v>0.67406010310574627</v>
      </c>
      <c r="J28">
        <f>IFERROR(J10/J19,"")</f>
        <v>0.67096822051240079</v>
      </c>
      <c r="K28">
        <f>IFERROR(K10/K19,"")</f>
        <v>0.67521648000338741</v>
      </c>
      <c r="L28">
        <f>IFERROR(L10/L19,"")</f>
        <v>0.64180110022439485</v>
      </c>
      <c r="M28">
        <f>IFERROR(M10/M19,"")</f>
        <v>0.64740856745554942</v>
      </c>
      <c r="N28">
        <f>IFERROR(N10/N19,"")</f>
        <v>0.62527625506467621</v>
      </c>
      <c r="O28">
        <f>IFERROR(O10/O19,"")</f>
        <v>0.57707916238298795</v>
      </c>
      <c r="P28">
        <f>IFERROR(P10/P19,"")</f>
        <v>0.55707122239743334</v>
      </c>
      <c r="Q28">
        <f>IFERROR(Q10/Q19,"")</f>
        <v>0.55260872711484188</v>
      </c>
      <c r="R28">
        <f>IFERROR(R10/R19,"")</f>
        <v>0.55027521160271631</v>
      </c>
      <c r="S28">
        <f>IFERROR(S10/S19,"")</f>
        <v>0.53451395583811745</v>
      </c>
      <c r="T28">
        <f>IFERROR(T10/T19,"")</f>
        <v>0.5033203639235877</v>
      </c>
      <c r="U28">
        <f>IFERROR(U10/U19,"")</f>
        <v>0.47390618631603199</v>
      </c>
      <c r="V28">
        <f>IFERROR(V10/V19,"")</f>
        <v>0.44746235576305565</v>
      </c>
      <c r="W28">
        <f>IFERROR(W10/W19,"")</f>
        <v>0.43979365404792631</v>
      </c>
      <c r="X28">
        <f>IFERROR(X10/X19,"")</f>
        <v>0.41572198532044935</v>
      </c>
      <c r="Y28">
        <f>IFERROR(Y10/Y19,"")</f>
        <v>0.40483029627548878</v>
      </c>
      <c r="Z28">
        <f>IFERROR(Z10/Z19,"")</f>
        <v>0.3928346007954065</v>
      </c>
      <c r="AA28">
        <f>IFERROR(AA10/AA19,"")</f>
        <v>0.39572114128391256</v>
      </c>
    </row>
    <row r="29" spans="1:27">
      <c r="A29" t="s">
        <v>114</v>
      </c>
      <c r="B29">
        <f>IFERROR(B11/B20,"")</f>
        <v>1.0426879689533501</v>
      </c>
      <c r="C29">
        <f>IFERROR(C11/C20,"")</f>
        <v>1.0074593644547676</v>
      </c>
      <c r="D29">
        <f>IFERROR(D11/D20,"")</f>
        <v>0.99342163929353799</v>
      </c>
      <c r="E29">
        <f>IFERROR(E11/E20,"")</f>
        <v>1.015452150437838</v>
      </c>
      <c r="F29">
        <f>IFERROR(F11/F20,"")</f>
        <v>1.0145627236229047</v>
      </c>
      <c r="G29">
        <f>IFERROR(G11/G20,"")</f>
        <v>1.0165621097971025</v>
      </c>
      <c r="H29">
        <f>IFERROR(H11/H20,"")</f>
        <v>0.98556847085626864</v>
      </c>
      <c r="I29">
        <f>IFERROR(I11/I20,"")</f>
        <v>0.96024792085451893</v>
      </c>
      <c r="J29">
        <f>IFERROR(J11/J20,"")</f>
        <v>0.93450294059152772</v>
      </c>
      <c r="K29">
        <f>IFERROR(K11/K20,"")</f>
        <v>0.92087179203743619</v>
      </c>
      <c r="L29">
        <f>IFERROR(L11/L20,"")</f>
        <v>0.91197949106796294</v>
      </c>
      <c r="M29">
        <f>IFERROR(M11/M20,"")</f>
        <v>0.9053531737884617</v>
      </c>
      <c r="N29">
        <f>IFERROR(N11/N20,"")</f>
        <v>0.89890686412128018</v>
      </c>
      <c r="O29">
        <f>IFERROR(O11/O20,"")</f>
        <v>0.89390404531719458</v>
      </c>
      <c r="P29">
        <f>IFERROR(P11/P20,"")</f>
        <v>0.89018673764335909</v>
      </c>
      <c r="Q29">
        <f>IFERROR(Q11/Q20,"")</f>
        <v>0.87921882493013415</v>
      </c>
      <c r="R29">
        <f>IFERROR(R11/R20,"")</f>
        <v>0.87111891734386637</v>
      </c>
      <c r="S29">
        <f>IFERROR(S11/S20,"")</f>
        <v>0.86991616268279415</v>
      </c>
      <c r="T29">
        <f>IFERROR(T11/T20,"")</f>
        <v>0.87486870165833786</v>
      </c>
      <c r="U29">
        <f>IFERROR(U11/U20,"")</f>
        <v>0.88452165019297002</v>
      </c>
      <c r="V29">
        <f>IFERROR(V11/V20,"")</f>
        <v>0.90549693627945649</v>
      </c>
      <c r="W29">
        <f>IFERROR(W11/W20,"")</f>
        <v>0.92422317764315032</v>
      </c>
      <c r="X29">
        <f>IFERROR(X11/X20,"")</f>
        <v>0.93409039217597556</v>
      </c>
      <c r="Y29">
        <f>IFERROR(Y11/Y20,"")</f>
        <v>0.93297135065794246</v>
      </c>
      <c r="Z29">
        <f>IFERROR(Z11/Z20,"")</f>
        <v>0.93197836551984636</v>
      </c>
      <c r="AA29">
        <f>IFERROR(AA11/AA20,"")</f>
        <v>0.9424356145408862</v>
      </c>
    </row>
  </sheetData>
  <mergeCells count="1">
    <mergeCell ref="A2:N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C22"/>
  <sheetViews>
    <sheetView workbookViewId="0"/>
  </sheetViews>
  <sheetFormatPr defaultRowHeight="14.4"/>
  <cols>
    <col min="1" max="1" width="36.33203125" customWidth="1"/>
    <col min="2" max="30" width="13" customWidth="1"/>
  </cols>
  <sheetData>
    <row r="1" spans="1:29">
      <c r="A1" s="24" t="s">
        <v>454</v>
      </c>
      <c r="B1" s="18">
        <v>2025</v>
      </c>
      <c r="C1" s="18">
        <v>2026</v>
      </c>
      <c r="D1" s="18">
        <v>2027</v>
      </c>
      <c r="E1" s="18">
        <v>2028</v>
      </c>
      <c r="F1" s="18">
        <v>2029</v>
      </c>
      <c r="G1" s="18">
        <v>2030</v>
      </c>
      <c r="H1" s="18">
        <v>2031</v>
      </c>
      <c r="I1" s="18">
        <v>2032</v>
      </c>
      <c r="J1" s="18">
        <v>2033</v>
      </c>
      <c r="K1" s="18">
        <v>2034</v>
      </c>
      <c r="L1" s="18">
        <v>2035</v>
      </c>
      <c r="M1" s="18">
        <v>2036</v>
      </c>
      <c r="N1" s="18">
        <v>2037</v>
      </c>
      <c r="O1" s="18">
        <v>2038</v>
      </c>
      <c r="P1" s="18">
        <v>2039</v>
      </c>
      <c r="Q1" s="18">
        <v>2040</v>
      </c>
      <c r="R1" s="18">
        <v>2041</v>
      </c>
      <c r="S1" s="18">
        <v>2042</v>
      </c>
      <c r="T1" s="18">
        <v>2043</v>
      </c>
      <c r="U1" s="18">
        <v>2044</v>
      </c>
      <c r="V1" s="18">
        <v>2045</v>
      </c>
      <c r="W1" s="18">
        <v>2046</v>
      </c>
      <c r="X1" s="18">
        <v>2047</v>
      </c>
      <c r="Y1" s="18">
        <v>2048</v>
      </c>
      <c r="Z1" s="18">
        <v>2049</v>
      </c>
      <c r="AA1" s="18">
        <v>2050</v>
      </c>
      <c r="AB1" s="18"/>
      <c r="AC1" s="18"/>
    </row>
    <row r="2" spans="1:29">
      <c r="A2" s="24" t="s">
        <v>115</v>
      </c>
      <c r="B2">
        <f>'Start Year Data'!B26</f>
        <v>0</v>
      </c>
      <c r="C2">
        <f>$B2*'Time Series Scaling Factors'!C3</f>
        <v>0</v>
      </c>
      <c r="D2">
        <f>$B2*'Time Series Scaling Factors'!D3</f>
        <v>0</v>
      </c>
      <c r="E2">
        <f>$B2*'Time Series Scaling Factors'!E3</f>
        <v>0</v>
      </c>
      <c r="F2">
        <f>$B2*'Time Series Scaling Factors'!F3</f>
        <v>0</v>
      </c>
      <c r="G2">
        <f>$B2*'Time Series Scaling Factors'!G3</f>
        <v>0</v>
      </c>
      <c r="H2">
        <f>$B2*'Time Series Scaling Factors'!H3</f>
        <v>0</v>
      </c>
      <c r="I2">
        <f>$B2*'Time Series Scaling Factors'!I3</f>
        <v>0</v>
      </c>
      <c r="J2">
        <f>$B2*'Time Series Scaling Factors'!J3</f>
        <v>0</v>
      </c>
      <c r="K2">
        <f>$B2*'Time Series Scaling Factors'!K3</f>
        <v>0</v>
      </c>
      <c r="L2">
        <f>$B2*'Time Series Scaling Factors'!L3</f>
        <v>0</v>
      </c>
      <c r="M2">
        <f>$B2*'Time Series Scaling Factors'!M3</f>
        <v>0</v>
      </c>
      <c r="N2">
        <f>$B2*'Time Series Scaling Factors'!N3</f>
        <v>0</v>
      </c>
      <c r="O2">
        <f>$B2*'Time Series Scaling Factors'!O3</f>
        <v>0</v>
      </c>
      <c r="P2">
        <f>$B2*'Time Series Scaling Factors'!P3</f>
        <v>0</v>
      </c>
      <c r="Q2">
        <f>$B2*'Time Series Scaling Factors'!Q3</f>
        <v>0</v>
      </c>
      <c r="R2">
        <f>$B2*'Time Series Scaling Factors'!R3</f>
        <v>0</v>
      </c>
      <c r="S2">
        <f>$B2*'Time Series Scaling Factors'!S3</f>
        <v>0</v>
      </c>
      <c r="T2">
        <f>$B2*'Time Series Scaling Factors'!T3</f>
        <v>0</v>
      </c>
      <c r="U2">
        <f>$B2*'Time Series Scaling Factors'!U3</f>
        <v>0</v>
      </c>
      <c r="V2">
        <f>$B2*'Time Series Scaling Factors'!V3</f>
        <v>0</v>
      </c>
      <c r="W2">
        <f>$B2*'Time Series Scaling Factors'!W3</f>
        <v>0</v>
      </c>
      <c r="X2">
        <f>$B2*'Time Series Scaling Factors'!X3</f>
        <v>0</v>
      </c>
      <c r="Y2">
        <f>$B2*'Time Series Scaling Factors'!Y3</f>
        <v>0</v>
      </c>
      <c r="Z2">
        <f>$B2*'Time Series Scaling Factors'!Z3</f>
        <v>0</v>
      </c>
      <c r="AA2">
        <f>$B2*'Time Series Scaling Factors'!AA3</f>
        <v>0</v>
      </c>
    </row>
    <row r="3" spans="1:29">
      <c r="A3" s="1" t="s">
        <v>116</v>
      </c>
      <c r="B3">
        <f>Calibration!B5</f>
        <v>1.04799E+16</v>
      </c>
      <c r="C3">
        <f>Calibration!C5</f>
        <v>1.06788E+16</v>
      </c>
      <c r="D3">
        <f>Calibration!D5</f>
        <v>1.01839E+16</v>
      </c>
      <c r="E3">
        <f>Calibration!E5</f>
        <v>9984090000000000</v>
      </c>
      <c r="F3">
        <f>Calibration!F5</f>
        <v>9726380000000000</v>
      </c>
      <c r="G3">
        <f>Calibration!G5</f>
        <v>9584610000000000</v>
      </c>
      <c r="H3">
        <f>Calibration!H5</f>
        <v>9332700000000000</v>
      </c>
      <c r="I3">
        <f>Calibration!I5</f>
        <v>9201520000000000</v>
      </c>
      <c r="J3">
        <f>Calibration!J5</f>
        <v>9054640000000000</v>
      </c>
      <c r="K3">
        <f>Calibration!K5</f>
        <v>8877260000000000</v>
      </c>
      <c r="L3">
        <f>Calibration!L5</f>
        <v>8697290000000000</v>
      </c>
      <c r="M3">
        <f>Calibration!M5</f>
        <v>8559620000000000</v>
      </c>
      <c r="N3">
        <f>Calibration!N5</f>
        <v>8401000000000000</v>
      </c>
      <c r="O3">
        <f>Calibration!O5</f>
        <v>8019630000000000</v>
      </c>
      <c r="P3">
        <f>Calibration!P5</f>
        <v>7648290000000000</v>
      </c>
      <c r="Q3">
        <f>Calibration!Q5</f>
        <v>7502130000000000</v>
      </c>
      <c r="R3">
        <f>Calibration!R5</f>
        <v>7359830000000000</v>
      </c>
      <c r="S3">
        <f>Calibration!S5</f>
        <v>7215480000000000</v>
      </c>
      <c r="T3">
        <f>Calibration!T5</f>
        <v>7061020000000000</v>
      </c>
      <c r="U3">
        <f>Calibration!U5</f>
        <v>6900540000000000</v>
      </c>
      <c r="V3">
        <f>Calibration!V5</f>
        <v>6656030000000000</v>
      </c>
      <c r="W3">
        <f>Calibration!W5</f>
        <v>6596870000000000</v>
      </c>
      <c r="X3">
        <f>Calibration!X5</f>
        <v>6450640000000000</v>
      </c>
      <c r="Y3">
        <f>Calibration!Y5</f>
        <v>6357380000000000</v>
      </c>
      <c r="Z3">
        <f>Calibration!Z5</f>
        <v>6250300000000000</v>
      </c>
      <c r="AA3">
        <f>Calibration!AA5</f>
        <v>6102480000000000</v>
      </c>
    </row>
    <row r="4" spans="1:29">
      <c r="A4" s="1" t="s">
        <v>106</v>
      </c>
      <c r="B4">
        <f>Calibration!B6</f>
        <v>4.02559E+16</v>
      </c>
      <c r="C4">
        <f>Calibration!C6</f>
        <v>3.93077E+16</v>
      </c>
      <c r="D4">
        <f>Calibration!D6</f>
        <v>3.9636E+16</v>
      </c>
      <c r="E4">
        <f>Calibration!E6</f>
        <v>4.00058E+16</v>
      </c>
      <c r="F4">
        <f>Calibration!F6</f>
        <v>4.00633E+16</v>
      </c>
      <c r="G4">
        <f>Calibration!G6</f>
        <v>4.09295E+16</v>
      </c>
      <c r="H4">
        <f>Calibration!H6</f>
        <v>4.1477E+16</v>
      </c>
      <c r="I4">
        <f>Calibration!I6</f>
        <v>4.26306E+16</v>
      </c>
      <c r="J4">
        <f>Calibration!J6</f>
        <v>4.35282E+16</v>
      </c>
      <c r="K4">
        <f>Calibration!K6</f>
        <v>4.4492E+16</v>
      </c>
      <c r="L4">
        <f>Calibration!L6</f>
        <v>4.4772E+16</v>
      </c>
      <c r="M4">
        <f>Calibration!M6</f>
        <v>4.46882E+16</v>
      </c>
      <c r="N4">
        <f>Calibration!N6</f>
        <v>4.4387E+16</v>
      </c>
      <c r="O4">
        <f>Calibration!O6</f>
        <v>4.41782E+16</v>
      </c>
      <c r="P4">
        <f>Calibration!P6</f>
        <v>4.4009E+16</v>
      </c>
      <c r="Q4">
        <f>Calibration!Q6</f>
        <v>4.41575E+16</v>
      </c>
      <c r="R4">
        <f>Calibration!R6</f>
        <v>4.46017E+16</v>
      </c>
      <c r="S4">
        <f>Calibration!S6</f>
        <v>4.49927E+16</v>
      </c>
      <c r="T4">
        <f>Calibration!T6</f>
        <v>4.53008E+16</v>
      </c>
      <c r="U4">
        <f>Calibration!U6</f>
        <v>4.56496E+16</v>
      </c>
      <c r="V4">
        <f>Calibration!V6</f>
        <v>4.5917E+16</v>
      </c>
      <c r="W4">
        <f>Calibration!W6</f>
        <v>4.62669E+16</v>
      </c>
      <c r="X4">
        <f>Calibration!X6</f>
        <v>4.62888E+16</v>
      </c>
      <c r="Y4">
        <f>Calibration!Y6</f>
        <v>4.61087E+16</v>
      </c>
      <c r="Z4">
        <f>Calibration!Z6</f>
        <v>4.59025E+16</v>
      </c>
      <c r="AA4">
        <f>Calibration!AA6</f>
        <v>4.56889E+16</v>
      </c>
    </row>
    <row r="5" spans="1:29">
      <c r="A5" s="1" t="s">
        <v>117</v>
      </c>
      <c r="B5">
        <f>'Start Year Data'!B29</f>
        <v>121860000000000.02</v>
      </c>
      <c r="C5">
        <f>$B5*'Time Series Scaling Factors'!C6</f>
        <v>124614721936731.3</v>
      </c>
      <c r="D5">
        <f>$B5*'Time Series Scaling Factors'!D6</f>
        <v>123851278465581.91</v>
      </c>
      <c r="E5">
        <f>$B5*'Time Series Scaling Factors'!E6</f>
        <v>124385428436067.92</v>
      </c>
      <c r="F5">
        <f>$B5*'Time Series Scaling Factors'!F6</f>
        <v>124523590942017.42</v>
      </c>
      <c r="G5">
        <f>$B5*'Time Series Scaling Factors'!G6</f>
        <v>124629143941284.27</v>
      </c>
      <c r="H5">
        <f>$B5*'Time Series Scaling Factors'!H6</f>
        <v>124631391333118.64</v>
      </c>
      <c r="I5">
        <f>$B5*'Time Series Scaling Factors'!I6</f>
        <v>124631495516846.05</v>
      </c>
      <c r="J5">
        <f>$B5*'Time Series Scaling Factors'!J6</f>
        <v>124627298400969.95</v>
      </c>
      <c r="K5">
        <f>$B5*'Time Series Scaling Factors'!K6</f>
        <v>124627298400969.95</v>
      </c>
      <c r="L5">
        <f>$B5*'Time Series Scaling Factors'!L6</f>
        <v>124627209100632.14</v>
      </c>
      <c r="M5">
        <f>$B5*'Time Series Scaling Factors'!M6</f>
        <v>124627223984021.8</v>
      </c>
      <c r="N5">
        <f>$B5*'Time Series Scaling Factors'!N6</f>
        <v>124588676004876.14</v>
      </c>
      <c r="O5">
        <f>$B5*'Time Series Scaling Factors'!O6</f>
        <v>124526567619943.77</v>
      </c>
      <c r="P5">
        <f>$B5*'Time Series Scaling Factors'!P6</f>
        <v>124557971572066.3</v>
      </c>
      <c r="Q5">
        <f>$B5*'Time Series Scaling Factors'!Q6</f>
        <v>124476633847729.97</v>
      </c>
      <c r="R5">
        <f>$B5*'Time Series Scaling Factors'!R6</f>
        <v>124391099007517.55</v>
      </c>
      <c r="S5">
        <f>$B5*'Time Series Scaling Factors'!S6</f>
        <v>124595641431223.69</v>
      </c>
      <c r="T5">
        <f>$B5*'Time Series Scaling Factors'!T6</f>
        <v>124506370860213.75</v>
      </c>
      <c r="U5">
        <f>$B5*'Time Series Scaling Factors'!U6</f>
        <v>124627223984021.8</v>
      </c>
      <c r="V5">
        <f>$B5*'Time Series Scaling Factors'!V6</f>
        <v>124627223984021.8</v>
      </c>
      <c r="W5">
        <f>$B5*'Time Series Scaling Factors'!W6</f>
        <v>124627223984021.8</v>
      </c>
      <c r="X5">
        <f>$B5*'Time Series Scaling Factors'!X6</f>
        <v>124627238867411.41</v>
      </c>
      <c r="Y5">
        <f>$B5*'Time Series Scaling Factors'!Y6</f>
        <v>124627223984021.8</v>
      </c>
      <c r="Z5">
        <f>$B5*'Time Series Scaling Factors'!Z6</f>
        <v>124627223984021.8</v>
      </c>
      <c r="AA5">
        <f>$B5*'Time Series Scaling Factors'!AA6</f>
        <v>124622997101366.42</v>
      </c>
    </row>
    <row r="6" spans="1:29">
      <c r="A6" s="1" t="s">
        <v>118</v>
      </c>
      <c r="B6">
        <f>'Start Year Data'!B30</f>
        <v>0</v>
      </c>
      <c r="C6">
        <f>$B6*'Time Series Scaling Factors'!C7</f>
        <v>0</v>
      </c>
      <c r="D6">
        <f>$B6*'Time Series Scaling Factors'!D7</f>
        <v>0</v>
      </c>
      <c r="E6">
        <f>$B6*'Time Series Scaling Factors'!E7</f>
        <v>0</v>
      </c>
      <c r="F6">
        <f>$B6*'Time Series Scaling Factors'!F7</f>
        <v>0</v>
      </c>
      <c r="G6">
        <f>$B6*'Time Series Scaling Factors'!G7</f>
        <v>0</v>
      </c>
      <c r="H6">
        <f>$B6*'Time Series Scaling Factors'!H7</f>
        <v>0</v>
      </c>
      <c r="I6">
        <f>$B6*'Time Series Scaling Factors'!I7</f>
        <v>0</v>
      </c>
      <c r="J6">
        <f>$B6*'Time Series Scaling Factors'!J7</f>
        <v>0</v>
      </c>
      <c r="K6">
        <f>$B6*'Time Series Scaling Factors'!K7</f>
        <v>0</v>
      </c>
      <c r="L6">
        <f>$B6*'Time Series Scaling Factors'!L7</f>
        <v>0</v>
      </c>
      <c r="M6">
        <f>$B6*'Time Series Scaling Factors'!M7</f>
        <v>0</v>
      </c>
      <c r="N6">
        <f>$B6*'Time Series Scaling Factors'!N7</f>
        <v>0</v>
      </c>
      <c r="O6">
        <f>$B6*'Time Series Scaling Factors'!O7</f>
        <v>0</v>
      </c>
      <c r="P6">
        <f>$B6*'Time Series Scaling Factors'!P7</f>
        <v>0</v>
      </c>
      <c r="Q6">
        <f>$B6*'Time Series Scaling Factors'!Q7</f>
        <v>0</v>
      </c>
      <c r="R6">
        <f>$B6*'Time Series Scaling Factors'!R7</f>
        <v>0</v>
      </c>
      <c r="S6">
        <f>$B6*'Time Series Scaling Factors'!S7</f>
        <v>0</v>
      </c>
      <c r="T6">
        <f>$B6*'Time Series Scaling Factors'!T7</f>
        <v>0</v>
      </c>
      <c r="U6">
        <f>$B6*'Time Series Scaling Factors'!U7</f>
        <v>0</v>
      </c>
      <c r="V6">
        <f>$B6*'Time Series Scaling Factors'!V7</f>
        <v>0</v>
      </c>
      <c r="W6">
        <f>$B6*'Time Series Scaling Factors'!W7</f>
        <v>0</v>
      </c>
      <c r="X6">
        <f>$B6*'Time Series Scaling Factors'!X7</f>
        <v>0</v>
      </c>
      <c r="Y6">
        <f>$B6*'Time Series Scaling Factors'!Y7</f>
        <v>0</v>
      </c>
      <c r="Z6">
        <f>$B6*'Time Series Scaling Factors'!Z7</f>
        <v>0</v>
      </c>
      <c r="AA6">
        <f>$B6*'Time Series Scaling Factors'!AA7</f>
        <v>0</v>
      </c>
    </row>
    <row r="7" spans="1:29">
      <c r="A7" s="1" t="s">
        <v>119</v>
      </c>
      <c r="B7">
        <f>'Start Year Data'!B31</f>
        <v>0</v>
      </c>
      <c r="C7">
        <f>$B7*'Time Series Scaling Factors'!C8</f>
        <v>0</v>
      </c>
      <c r="D7">
        <f>$B7*'Time Series Scaling Factors'!D8</f>
        <v>0</v>
      </c>
      <c r="E7">
        <f>$B7*'Time Series Scaling Factors'!E8</f>
        <v>0</v>
      </c>
      <c r="F7">
        <f>$B7*'Time Series Scaling Factors'!F8</f>
        <v>0</v>
      </c>
      <c r="G7">
        <f>$B7*'Time Series Scaling Factors'!G8</f>
        <v>0</v>
      </c>
      <c r="H7">
        <f>$B7*'Time Series Scaling Factors'!H8</f>
        <v>0</v>
      </c>
      <c r="I7">
        <f>$B7*'Time Series Scaling Factors'!I8</f>
        <v>0</v>
      </c>
      <c r="J7">
        <f>$B7*'Time Series Scaling Factors'!J8</f>
        <v>0</v>
      </c>
      <c r="K7">
        <f>$B7*'Time Series Scaling Factors'!K8</f>
        <v>0</v>
      </c>
      <c r="L7">
        <f>$B7*'Time Series Scaling Factors'!L8</f>
        <v>0</v>
      </c>
      <c r="M7">
        <f>$B7*'Time Series Scaling Factors'!M8</f>
        <v>0</v>
      </c>
      <c r="N7">
        <f>$B7*'Time Series Scaling Factors'!N8</f>
        <v>0</v>
      </c>
      <c r="O7">
        <f>$B7*'Time Series Scaling Factors'!O8</f>
        <v>0</v>
      </c>
      <c r="P7">
        <f>$B7*'Time Series Scaling Factors'!P8</f>
        <v>0</v>
      </c>
      <c r="Q7">
        <f>$B7*'Time Series Scaling Factors'!Q8</f>
        <v>0</v>
      </c>
      <c r="R7">
        <f>$B7*'Time Series Scaling Factors'!R8</f>
        <v>0</v>
      </c>
      <c r="S7">
        <f>$B7*'Time Series Scaling Factors'!S8</f>
        <v>0</v>
      </c>
      <c r="T7">
        <f>$B7*'Time Series Scaling Factors'!T8</f>
        <v>0</v>
      </c>
      <c r="U7">
        <f>$B7*'Time Series Scaling Factors'!U8</f>
        <v>0</v>
      </c>
      <c r="V7">
        <f>$B7*'Time Series Scaling Factors'!V8</f>
        <v>0</v>
      </c>
      <c r="W7">
        <f>$B7*'Time Series Scaling Factors'!W8</f>
        <v>0</v>
      </c>
      <c r="X7">
        <f>$B7*'Time Series Scaling Factors'!X8</f>
        <v>0</v>
      </c>
      <c r="Y7">
        <f>$B7*'Time Series Scaling Factors'!Y8</f>
        <v>0</v>
      </c>
      <c r="Z7">
        <f>$B7*'Time Series Scaling Factors'!Z8</f>
        <v>0</v>
      </c>
      <c r="AA7">
        <f>$B7*'Time Series Scaling Factors'!AA8</f>
        <v>0</v>
      </c>
    </row>
    <row r="8" spans="1:29">
      <c r="A8" s="1" t="s">
        <v>120</v>
      </c>
      <c r="B8">
        <f>'Start Year Data'!B32</f>
        <v>0</v>
      </c>
      <c r="C8">
        <f>$B8*'Time Series Scaling Factors'!C9</f>
        <v>0</v>
      </c>
      <c r="D8">
        <f>$B8*'Time Series Scaling Factors'!D9</f>
        <v>0</v>
      </c>
      <c r="E8">
        <f>$B8*'Time Series Scaling Factors'!E9</f>
        <v>0</v>
      </c>
      <c r="F8">
        <f>$B8*'Time Series Scaling Factors'!F9</f>
        <v>0</v>
      </c>
      <c r="G8">
        <f>$B8*'Time Series Scaling Factors'!G9</f>
        <v>0</v>
      </c>
      <c r="H8">
        <f>$B8*'Time Series Scaling Factors'!H9</f>
        <v>0</v>
      </c>
      <c r="I8">
        <f>$B8*'Time Series Scaling Factors'!I9</f>
        <v>0</v>
      </c>
      <c r="J8">
        <f>$B8*'Time Series Scaling Factors'!J9</f>
        <v>0</v>
      </c>
      <c r="K8">
        <f>$B8*'Time Series Scaling Factors'!K9</f>
        <v>0</v>
      </c>
      <c r="L8">
        <f>$B8*'Time Series Scaling Factors'!L9</f>
        <v>0</v>
      </c>
      <c r="M8">
        <f>$B8*'Time Series Scaling Factors'!M9</f>
        <v>0</v>
      </c>
      <c r="N8">
        <f>$B8*'Time Series Scaling Factors'!N9</f>
        <v>0</v>
      </c>
      <c r="O8">
        <f>$B8*'Time Series Scaling Factors'!O9</f>
        <v>0</v>
      </c>
      <c r="P8">
        <f>$B8*'Time Series Scaling Factors'!P9</f>
        <v>0</v>
      </c>
      <c r="Q8">
        <f>$B8*'Time Series Scaling Factors'!Q9</f>
        <v>0</v>
      </c>
      <c r="R8">
        <f>$B8*'Time Series Scaling Factors'!R9</f>
        <v>0</v>
      </c>
      <c r="S8">
        <f>$B8*'Time Series Scaling Factors'!S9</f>
        <v>0</v>
      </c>
      <c r="T8">
        <f>$B8*'Time Series Scaling Factors'!T9</f>
        <v>0</v>
      </c>
      <c r="U8">
        <f>$B8*'Time Series Scaling Factors'!U9</f>
        <v>0</v>
      </c>
      <c r="V8">
        <f>$B8*'Time Series Scaling Factors'!V9</f>
        <v>0</v>
      </c>
      <c r="W8">
        <f>$B8*'Time Series Scaling Factors'!W9</f>
        <v>0</v>
      </c>
      <c r="X8">
        <f>$B8*'Time Series Scaling Factors'!X9</f>
        <v>0</v>
      </c>
      <c r="Y8">
        <f>$B8*'Time Series Scaling Factors'!Y9</f>
        <v>0</v>
      </c>
      <c r="Z8">
        <f>$B8*'Time Series Scaling Factors'!Z9</f>
        <v>0</v>
      </c>
      <c r="AA8">
        <f>$B8*'Time Series Scaling Factors'!AA9</f>
        <v>0</v>
      </c>
    </row>
    <row r="9" spans="1:29">
      <c r="A9" s="1" t="s">
        <v>109</v>
      </c>
      <c r="B9">
        <f>'Start Year Data'!B33</f>
        <v>238899434690000</v>
      </c>
      <c r="C9">
        <f>$B9*'Time Series Scaling Factors'!C10</f>
        <v>245058506204564.53</v>
      </c>
      <c r="D9">
        <f>$B9*'Time Series Scaling Factors'!D10</f>
        <v>243005834161114.97</v>
      </c>
      <c r="E9">
        <f>$B9*'Time Series Scaling Factors'!E10</f>
        <v>243217865875719.66</v>
      </c>
      <c r="F9">
        <f>$B9*'Time Series Scaling Factors'!F10</f>
        <v>242320638523068</v>
      </c>
      <c r="G9">
        <f>$B9*'Time Series Scaling Factors'!G10</f>
        <v>238813496260994.59</v>
      </c>
      <c r="H9">
        <f>$B9*'Time Series Scaling Factors'!H10</f>
        <v>236896868268608</v>
      </c>
      <c r="I9">
        <f>$B9*'Time Series Scaling Factors'!I10</f>
        <v>235693227698619.38</v>
      </c>
      <c r="J9">
        <f>$B9*'Time Series Scaling Factors'!J10</f>
        <v>235201820705160.09</v>
      </c>
      <c r="K9">
        <f>$B9*'Time Series Scaling Factors'!K10</f>
        <v>235397117041484.81</v>
      </c>
      <c r="L9">
        <f>$B9*'Time Series Scaling Factors'!L10</f>
        <v>235709259487422.13</v>
      </c>
      <c r="M9">
        <f>$B9*'Time Series Scaling Factors'!M10</f>
        <v>237019343094038.63</v>
      </c>
      <c r="N9">
        <f>$B9*'Time Series Scaling Factors'!N10</f>
        <v>237540803409454.16</v>
      </c>
      <c r="O9">
        <f>$B9*'Time Series Scaling Factors'!O10</f>
        <v>238455620499036.75</v>
      </c>
      <c r="P9">
        <f>$B9*'Time Series Scaling Factors'!P10</f>
        <v>239778469229026</v>
      </c>
      <c r="Q9">
        <f>$B9*'Time Series Scaling Factors'!Q10</f>
        <v>241208012277599.16</v>
      </c>
      <c r="R9">
        <f>$B9*'Time Series Scaling Factors'!R10</f>
        <v>241446127059252.88</v>
      </c>
      <c r="S9">
        <f>$B9*'Time Series Scaling Factors'!S10</f>
        <v>243234199202869.84</v>
      </c>
      <c r="T9">
        <f>$B9*'Time Series Scaling Factors'!T10</f>
        <v>243847729227021.06</v>
      </c>
      <c r="U9">
        <f>$B9*'Time Series Scaling Factors'!U10</f>
        <v>244669370967260.88</v>
      </c>
      <c r="V9">
        <f>$B9*'Time Series Scaling Factors'!V10</f>
        <v>245804059768480.28</v>
      </c>
      <c r="W9">
        <f>$B9*'Time Series Scaling Factors'!W10</f>
        <v>246799940417118.88</v>
      </c>
      <c r="X9">
        <f>$B9*'Time Series Scaling Factors'!X10</f>
        <v>248703552004176.53</v>
      </c>
      <c r="Y9">
        <f>$B9*'Time Series Scaling Factors'!Y10</f>
        <v>251138323390157.38</v>
      </c>
      <c r="Z9">
        <f>$B9*'Time Series Scaling Factors'!Z10</f>
        <v>254043042290541.72</v>
      </c>
      <c r="AA9">
        <f>$B9*'Time Series Scaling Factors'!AA10</f>
        <v>265020746852750.53</v>
      </c>
    </row>
    <row r="10" spans="1:29">
      <c r="A10" s="1" t="s">
        <v>110</v>
      </c>
      <c r="B10">
        <f>Calibration!B7</f>
        <v>1.62789E+16</v>
      </c>
      <c r="C10">
        <f>Calibration!C7</f>
        <v>1.61356E+16</v>
      </c>
      <c r="D10">
        <f>Calibration!D7</f>
        <v>1.61235E+16</v>
      </c>
      <c r="E10">
        <f>Calibration!E7</f>
        <v>1.59605E+16</v>
      </c>
      <c r="F10">
        <f>Calibration!F7</f>
        <v>1.58372E+16</v>
      </c>
      <c r="G10">
        <f>Calibration!G7</f>
        <v>1.5683E+16</v>
      </c>
      <c r="H10">
        <f>Calibration!H7</f>
        <v>1.55359E+16</v>
      </c>
      <c r="I10">
        <f>Calibration!I7</f>
        <v>1.53932E+16</v>
      </c>
      <c r="J10">
        <f>Calibration!J7</f>
        <v>1.52006E+16</v>
      </c>
      <c r="K10">
        <f>Calibration!K7</f>
        <v>1.50055E+16</v>
      </c>
      <c r="L10">
        <f>Calibration!L7</f>
        <v>1.47734E+16</v>
      </c>
      <c r="M10">
        <f>Calibration!M7</f>
        <v>1.45131E+16</v>
      </c>
      <c r="N10">
        <f>Calibration!N7</f>
        <v>1.42719E+16</v>
      </c>
      <c r="O10">
        <f>Calibration!O7</f>
        <v>1.40362E+16</v>
      </c>
      <c r="P10">
        <f>Calibration!P7</f>
        <v>1.3767E+16</v>
      </c>
      <c r="Q10">
        <f>Calibration!Q7</f>
        <v>1.3488E+16</v>
      </c>
      <c r="R10">
        <f>Calibration!R7</f>
        <v>1.31953E+16</v>
      </c>
      <c r="S10">
        <f>Calibration!S7</f>
        <v>1.29323E+16</v>
      </c>
      <c r="T10">
        <f>Calibration!T7</f>
        <v>1.26583E+16</v>
      </c>
      <c r="U10">
        <f>Calibration!U7</f>
        <v>1.2358E+16</v>
      </c>
      <c r="V10">
        <f>Calibration!V7</f>
        <v>1.20801E+16</v>
      </c>
      <c r="W10">
        <f>Calibration!W7</f>
        <v>1.17996E+16</v>
      </c>
      <c r="X10">
        <f>Calibration!X7</f>
        <v>1.15154E+16</v>
      </c>
      <c r="Y10">
        <f>Calibration!Y7</f>
        <v>1.1208E+16</v>
      </c>
      <c r="Z10">
        <f>Calibration!Z7</f>
        <v>1.091E+16</v>
      </c>
      <c r="AA10">
        <f>Calibration!AA7</f>
        <v>1.06482E+16</v>
      </c>
    </row>
    <row r="11" spans="1:29">
      <c r="A11" s="1" t="s">
        <v>121</v>
      </c>
      <c r="B11">
        <f>Calibration!B8</f>
        <v>1.20202E+16</v>
      </c>
      <c r="C11">
        <f>Calibration!C8</f>
        <v>1.19648E+16</v>
      </c>
      <c r="D11">
        <f>Calibration!D8</f>
        <v>1.22513E+16</v>
      </c>
      <c r="E11">
        <f>Calibration!E8</f>
        <v>1.23122E+16</v>
      </c>
      <c r="F11">
        <f>Calibration!F8</f>
        <v>1.2385E+16</v>
      </c>
      <c r="G11">
        <f>Calibration!G8</f>
        <v>1.2481E+16</v>
      </c>
      <c r="H11">
        <f>Calibration!H8</f>
        <v>1.25351E+16</v>
      </c>
      <c r="I11">
        <f>Calibration!I8</f>
        <v>1.26178E+16</v>
      </c>
      <c r="J11">
        <f>Calibration!J8</f>
        <v>1.26332E+16</v>
      </c>
      <c r="K11">
        <f>Calibration!K8</f>
        <v>1.2656E+16</v>
      </c>
      <c r="L11">
        <f>Calibration!L8</f>
        <v>1.2653E+16</v>
      </c>
      <c r="M11">
        <f>Calibration!M8</f>
        <v>1.26001E+16</v>
      </c>
      <c r="N11">
        <f>Calibration!N8</f>
        <v>1.25842E+16</v>
      </c>
      <c r="O11">
        <f>Calibration!O8</f>
        <v>1.25925E+16</v>
      </c>
      <c r="P11">
        <f>Calibration!P8</f>
        <v>1.25618E+16</v>
      </c>
      <c r="Q11">
        <f>Calibration!Q8</f>
        <v>1.25639E+16</v>
      </c>
      <c r="R11">
        <f>Calibration!R8</f>
        <v>1.25458E+16</v>
      </c>
      <c r="S11">
        <f>Calibration!S8</f>
        <v>1.2481E+16</v>
      </c>
      <c r="T11">
        <f>Calibration!T8</f>
        <v>1.24261E+16</v>
      </c>
      <c r="U11">
        <f>Calibration!U8</f>
        <v>1.23518E+16</v>
      </c>
      <c r="V11">
        <f>Calibration!V8</f>
        <v>1.23449E+16</v>
      </c>
      <c r="W11">
        <f>Calibration!W8</f>
        <v>1.23315E+16</v>
      </c>
      <c r="X11">
        <f>Calibration!X8</f>
        <v>1.23244E+16</v>
      </c>
      <c r="Y11">
        <f>Calibration!Y8</f>
        <v>1.2255E+16</v>
      </c>
      <c r="Z11">
        <f>Calibration!Z8</f>
        <v>1.21821E+16</v>
      </c>
      <c r="AA11">
        <f>Calibration!AA8</f>
        <v>1.21471E+16</v>
      </c>
    </row>
    <row r="12" spans="1:29">
      <c r="A12" s="1" t="s">
        <v>122</v>
      </c>
      <c r="B12">
        <f>'Start Year Data'!B36</f>
        <v>1543105652508000</v>
      </c>
      <c r="C12">
        <f>$B12*'Time Series Scaling Factors'!C13</f>
        <v>1529006579677017</v>
      </c>
      <c r="D12">
        <f>$B12*'Time Series Scaling Factors'!D13</f>
        <v>1534220891447394</v>
      </c>
      <c r="E12">
        <f>$B12*'Time Series Scaling Factors'!E13</f>
        <v>1537118970120108.5</v>
      </c>
      <c r="F12">
        <f>$B12*'Time Series Scaling Factors'!F13</f>
        <v>1527654999749091.5</v>
      </c>
      <c r="G12">
        <f>$B12*'Time Series Scaling Factors'!G13</f>
        <v>1540076749202496</v>
      </c>
      <c r="H12">
        <f>$B12*'Time Series Scaling Factors'!H13</f>
        <v>1539442233256813</v>
      </c>
      <c r="I12">
        <f>$B12*'Time Series Scaling Factors'!I13</f>
        <v>1531382732873073.3</v>
      </c>
      <c r="J12">
        <f>$B12*'Time Series Scaling Factors'!J13</f>
        <v>1505689807530192.3</v>
      </c>
      <c r="K12">
        <f>$B12*'Time Series Scaling Factors'!K13</f>
        <v>1491818277291000.5</v>
      </c>
      <c r="L12">
        <f>$B12*'Time Series Scaling Factors'!L13</f>
        <v>1474722265863280.5</v>
      </c>
      <c r="M12">
        <f>$B12*'Time Series Scaling Factors'!M13</f>
        <v>1467628846625959</v>
      </c>
      <c r="N12">
        <f>$B12*'Time Series Scaling Factors'!N13</f>
        <v>1464737138926126.3</v>
      </c>
      <c r="O12">
        <f>$B12*'Time Series Scaling Factors'!O13</f>
        <v>1454272596279643.3</v>
      </c>
      <c r="P12">
        <f>$B12*'Time Series Scaling Factors'!P13</f>
        <v>1452378275368835.8</v>
      </c>
      <c r="Q12">
        <f>$B12*'Time Series Scaling Factors'!Q13</f>
        <v>1467117521130043.5</v>
      </c>
      <c r="R12">
        <f>$B12*'Time Series Scaling Factors'!R13</f>
        <v>1481201215750623.5</v>
      </c>
      <c r="S12">
        <f>$B12*'Time Series Scaling Factors'!S13</f>
        <v>1485566869995449</v>
      </c>
      <c r="T12">
        <f>$B12*'Time Series Scaling Factors'!T13</f>
        <v>1494039110561982</v>
      </c>
      <c r="U12">
        <f>$B12*'Time Series Scaling Factors'!U13</f>
        <v>1497436651539729</v>
      </c>
      <c r="V12">
        <f>$B12*'Time Series Scaling Factors'!V13</f>
        <v>1493944314879280.5</v>
      </c>
      <c r="W12">
        <f>$B12*'Time Series Scaling Factors'!W13</f>
        <v>1485188511097343.8</v>
      </c>
      <c r="X12">
        <f>$B12*'Time Series Scaling Factors'!X13</f>
        <v>1476560950605735.8</v>
      </c>
      <c r="Y12">
        <f>$B12*'Time Series Scaling Factors'!Y13</f>
        <v>1465419821623680.3</v>
      </c>
      <c r="Z12">
        <f>$B12*'Time Series Scaling Factors'!Z13</f>
        <v>1449632935278736</v>
      </c>
      <c r="AA12">
        <f>$B12*'Time Series Scaling Factors'!AA13</f>
        <v>1427692677729562.3</v>
      </c>
    </row>
    <row r="13" spans="1:29">
      <c r="A13" s="1" t="s">
        <v>123</v>
      </c>
      <c r="B13">
        <f>'Start Year Data'!B37</f>
        <v>665276978000000</v>
      </c>
      <c r="C13">
        <f>$B13*'Time Series Scaling Factors'!C14</f>
        <v>659198464483862.38</v>
      </c>
      <c r="D13">
        <f>$B13*'Time Series Scaling Factors'!D14</f>
        <v>661446503411921.5</v>
      </c>
      <c r="E13">
        <f>$B13*'Time Series Scaling Factors'!E14</f>
        <v>662695948009740.38</v>
      </c>
      <c r="F13">
        <f>$B13*'Time Series Scaling Factors'!F14</f>
        <v>658615759723164.88</v>
      </c>
      <c r="G13">
        <f>$B13*'Time Series Scaling Factors'!G14</f>
        <v>663971131161538.38</v>
      </c>
      <c r="H13">
        <f>$B13*'Time Series Scaling Factors'!H14</f>
        <v>663697573190863.63</v>
      </c>
      <c r="I13">
        <f>$B13*'Time Series Scaling Factors'!I14</f>
        <v>660222892082172.38</v>
      </c>
      <c r="J13">
        <f>$B13*'Time Series Scaling Factors'!J14</f>
        <v>649145937176129.13</v>
      </c>
      <c r="K13">
        <f>$B13*'Time Series Scaling Factors'!K14</f>
        <v>643165523778792.25</v>
      </c>
      <c r="L13">
        <f>$B13*'Time Series Scaling Factors'!L14</f>
        <v>635794944324299.63</v>
      </c>
      <c r="M13">
        <f>$B13*'Time Series Scaling Factors'!M14</f>
        <v>632736768426737.13</v>
      </c>
      <c r="N13">
        <f>$B13*'Time Series Scaling Factors'!N14</f>
        <v>631490070537530.75</v>
      </c>
      <c r="O13">
        <f>$B13*'Time Series Scaling Factors'!O14</f>
        <v>626978506927683.88</v>
      </c>
      <c r="P13">
        <f>$B13*'Time Series Scaling Factors'!P14</f>
        <v>626161811007442.75</v>
      </c>
      <c r="Q13">
        <f>$B13*'Time Series Scaling Factors'!Q14</f>
        <v>632516321382074.88</v>
      </c>
      <c r="R13">
        <f>$B13*'Time Series Scaling Factors'!R14</f>
        <v>638588204911907</v>
      </c>
      <c r="S13">
        <f>$B13*'Time Series Scaling Factors'!S14</f>
        <v>640470363309985.63</v>
      </c>
      <c r="T13">
        <f>$B13*'Time Series Scaling Factors'!T14</f>
        <v>644122988515415.5</v>
      </c>
      <c r="U13">
        <f>$B13*'Time Series Scaling Factors'!U14</f>
        <v>645587765597032</v>
      </c>
      <c r="V13">
        <f>$B13*'Time Series Scaling Factors'!V14</f>
        <v>644082119385545.75</v>
      </c>
      <c r="W13">
        <f>$B13*'Time Series Scaling Factors'!W14</f>
        <v>640307241968344.63</v>
      </c>
      <c r="X13">
        <f>$B13*'Time Series Scaling Factors'!X14</f>
        <v>636587653901227.88</v>
      </c>
      <c r="Y13">
        <f>$B13*'Time Series Scaling Factors'!Y14</f>
        <v>631784394572455.75</v>
      </c>
      <c r="Z13">
        <f>$B13*'Time Series Scaling Factors'!Z14</f>
        <v>624978216380752.38</v>
      </c>
      <c r="AA13">
        <f>$B13*'Time Series Scaling Factors'!AA14</f>
        <v>615519143882941</v>
      </c>
    </row>
    <row r="14" spans="1:29">
      <c r="A14" s="1" t="s">
        <v>112</v>
      </c>
      <c r="B14">
        <f>Calibration!B9</f>
        <v>2297000000000000</v>
      </c>
      <c r="C14">
        <f>Calibration!C9</f>
        <v>2341880000000000</v>
      </c>
      <c r="D14">
        <f>Calibration!D9</f>
        <v>2388800000000000</v>
      </c>
      <c r="E14">
        <f>Calibration!E9</f>
        <v>2392570000000000</v>
      </c>
      <c r="F14">
        <f>Calibration!F9</f>
        <v>2416360000000000</v>
      </c>
      <c r="G14">
        <f>Calibration!G9</f>
        <v>2439320000000000</v>
      </c>
      <c r="H14">
        <f>Calibration!H9</f>
        <v>2468830000000000</v>
      </c>
      <c r="I14">
        <f>Calibration!I9</f>
        <v>2508140000000000</v>
      </c>
      <c r="J14">
        <f>Calibration!J9</f>
        <v>2544400000000000</v>
      </c>
      <c r="K14">
        <f>Calibration!K9</f>
        <v>2584800000000000</v>
      </c>
      <c r="L14">
        <f>Calibration!L9</f>
        <v>2625260000000000</v>
      </c>
      <c r="M14">
        <f>Calibration!M9</f>
        <v>2642990000000000</v>
      </c>
      <c r="N14">
        <f>Calibration!N9</f>
        <v>2668570000000000</v>
      </c>
      <c r="O14">
        <f>Calibration!O9</f>
        <v>2697760000000000</v>
      </c>
      <c r="P14">
        <f>Calibration!P9</f>
        <v>2719100000000000</v>
      </c>
      <c r="Q14">
        <f>Calibration!Q9</f>
        <v>2743420000000000</v>
      </c>
      <c r="R14">
        <f>Calibration!R9</f>
        <v>2764630000000000</v>
      </c>
      <c r="S14">
        <f>Calibration!S9</f>
        <v>2783800000000000</v>
      </c>
      <c r="T14">
        <f>Calibration!T9</f>
        <v>2806690000000000</v>
      </c>
      <c r="U14">
        <f>Calibration!U9</f>
        <v>2824410000000000</v>
      </c>
      <c r="V14">
        <f>Calibration!V9</f>
        <v>2847880000000000</v>
      </c>
      <c r="W14">
        <f>Calibration!W9</f>
        <v>2871380000000000</v>
      </c>
      <c r="X14">
        <f>Calibration!X9</f>
        <v>2888270000000000</v>
      </c>
      <c r="Y14">
        <f>Calibration!Y9</f>
        <v>2891940000000000</v>
      </c>
      <c r="Z14">
        <f>Calibration!Z9</f>
        <v>2903050000000000</v>
      </c>
      <c r="AA14">
        <f>Calibration!AA9</f>
        <v>2922550000000000</v>
      </c>
    </row>
    <row r="15" spans="1:29">
      <c r="A15" s="1" t="s">
        <v>148</v>
      </c>
      <c r="B15">
        <f>'Start Year Data'!B39</f>
        <v>0</v>
      </c>
      <c r="C15">
        <f>$B15*'Time Series Scaling Factors'!C16</f>
        <v>0</v>
      </c>
      <c r="D15">
        <f>$B15*'Time Series Scaling Factors'!D16</f>
        <v>0</v>
      </c>
      <c r="E15">
        <f>$B15*'Time Series Scaling Factors'!E16</f>
        <v>0</v>
      </c>
      <c r="F15">
        <f>$B15*'Time Series Scaling Factors'!F16</f>
        <v>0</v>
      </c>
      <c r="G15">
        <f>$B15*'Time Series Scaling Factors'!G16</f>
        <v>0</v>
      </c>
      <c r="H15">
        <f>$B15*'Time Series Scaling Factors'!H16</f>
        <v>0</v>
      </c>
      <c r="I15">
        <f>$B15*'Time Series Scaling Factors'!I16</f>
        <v>0</v>
      </c>
      <c r="J15">
        <f>$B15*'Time Series Scaling Factors'!J16</f>
        <v>0</v>
      </c>
      <c r="K15">
        <f>$B15*'Time Series Scaling Factors'!K16</f>
        <v>0</v>
      </c>
      <c r="L15">
        <f>$B15*'Time Series Scaling Factors'!L16</f>
        <v>0</v>
      </c>
      <c r="M15">
        <f>$B15*'Time Series Scaling Factors'!M16</f>
        <v>0</v>
      </c>
      <c r="N15">
        <f>$B15*'Time Series Scaling Factors'!N16</f>
        <v>0</v>
      </c>
      <c r="O15">
        <f>$B15*'Time Series Scaling Factors'!O16</f>
        <v>0</v>
      </c>
      <c r="P15">
        <f>$B15*'Time Series Scaling Factors'!P16</f>
        <v>0</v>
      </c>
      <c r="Q15">
        <f>$B15*'Time Series Scaling Factors'!Q16</f>
        <v>0</v>
      </c>
      <c r="R15">
        <f>$B15*'Time Series Scaling Factors'!R16</f>
        <v>0</v>
      </c>
      <c r="S15">
        <f>$B15*'Time Series Scaling Factors'!S16</f>
        <v>0</v>
      </c>
      <c r="T15">
        <f>$B15*'Time Series Scaling Factors'!T16</f>
        <v>0</v>
      </c>
      <c r="U15">
        <f>$B15*'Time Series Scaling Factors'!U16</f>
        <v>0</v>
      </c>
      <c r="V15">
        <f>$B15*'Time Series Scaling Factors'!V16</f>
        <v>0</v>
      </c>
      <c r="W15">
        <f>$B15*'Time Series Scaling Factors'!W16</f>
        <v>0</v>
      </c>
      <c r="X15">
        <f>$B15*'Time Series Scaling Factors'!X16</f>
        <v>0</v>
      </c>
      <c r="Y15">
        <f>$B15*'Time Series Scaling Factors'!Y16</f>
        <v>0</v>
      </c>
      <c r="Z15">
        <f>$B15*'Time Series Scaling Factors'!Z16</f>
        <v>0</v>
      </c>
      <c r="AA15">
        <f>$B15*'Time Series Scaling Factors'!AA16</f>
        <v>0</v>
      </c>
    </row>
    <row r="16" spans="1:29">
      <c r="A16" s="1" t="s">
        <v>125</v>
      </c>
      <c r="B16">
        <f>'Start Year Data'!B40</f>
        <v>0</v>
      </c>
      <c r="C16">
        <f>$B16*'Time Series Scaling Factors'!C17</f>
        <v>0</v>
      </c>
      <c r="D16">
        <f>$B16*'Time Series Scaling Factors'!D17</f>
        <v>0</v>
      </c>
      <c r="E16">
        <f>$B16*'Time Series Scaling Factors'!E17</f>
        <v>0</v>
      </c>
      <c r="F16">
        <f>$B16*'Time Series Scaling Factors'!F17</f>
        <v>0</v>
      </c>
      <c r="G16">
        <f>$B16*'Time Series Scaling Factors'!G17</f>
        <v>0</v>
      </c>
      <c r="H16">
        <f>$B16*'Time Series Scaling Factors'!H17</f>
        <v>0</v>
      </c>
      <c r="I16">
        <f>$B16*'Time Series Scaling Factors'!I17</f>
        <v>0</v>
      </c>
      <c r="J16">
        <f>$B16*'Time Series Scaling Factors'!J17</f>
        <v>0</v>
      </c>
      <c r="K16">
        <f>$B16*'Time Series Scaling Factors'!K17</f>
        <v>0</v>
      </c>
      <c r="L16">
        <f>$B16*'Time Series Scaling Factors'!L17</f>
        <v>0</v>
      </c>
      <c r="M16">
        <f>$B16*'Time Series Scaling Factors'!M17</f>
        <v>0</v>
      </c>
      <c r="N16">
        <f>$B16*'Time Series Scaling Factors'!N17</f>
        <v>0</v>
      </c>
      <c r="O16">
        <f>$B16*'Time Series Scaling Factors'!O17</f>
        <v>0</v>
      </c>
      <c r="P16">
        <f>$B16*'Time Series Scaling Factors'!P17</f>
        <v>0</v>
      </c>
      <c r="Q16">
        <f>$B16*'Time Series Scaling Factors'!Q17</f>
        <v>0</v>
      </c>
      <c r="R16">
        <f>$B16*'Time Series Scaling Factors'!R17</f>
        <v>0</v>
      </c>
      <c r="S16">
        <f>$B16*'Time Series Scaling Factors'!S17</f>
        <v>0</v>
      </c>
      <c r="T16">
        <f>$B16*'Time Series Scaling Factors'!T17</f>
        <v>0</v>
      </c>
      <c r="U16">
        <f>$B16*'Time Series Scaling Factors'!U17</f>
        <v>0</v>
      </c>
      <c r="V16">
        <f>$B16*'Time Series Scaling Factors'!V17</f>
        <v>0</v>
      </c>
      <c r="W16">
        <f>$B16*'Time Series Scaling Factors'!W17</f>
        <v>0</v>
      </c>
      <c r="X16">
        <f>$B16*'Time Series Scaling Factors'!X17</f>
        <v>0</v>
      </c>
      <c r="Y16">
        <f>$B16*'Time Series Scaling Factors'!Y17</f>
        <v>0</v>
      </c>
      <c r="Z16">
        <f>$B16*'Time Series Scaling Factors'!Z17</f>
        <v>0</v>
      </c>
      <c r="AA16">
        <f>$B16*'Time Series Scaling Factors'!AA17</f>
        <v>0</v>
      </c>
    </row>
    <row r="17" spans="1:27">
      <c r="A17" s="1" t="s">
        <v>126</v>
      </c>
      <c r="B17">
        <f>Calibration!B10</f>
        <v>291061000000000</v>
      </c>
      <c r="C17">
        <f>Calibration!C10</f>
        <v>310291000000000</v>
      </c>
      <c r="D17">
        <f>Calibration!D10</f>
        <v>303830000000000</v>
      </c>
      <c r="E17">
        <f>Calibration!E10</f>
        <v>313770000000000</v>
      </c>
      <c r="F17">
        <f>Calibration!F10</f>
        <v>300343000000000</v>
      </c>
      <c r="G17">
        <f>Calibration!G10</f>
        <v>290715000000000</v>
      </c>
      <c r="H17">
        <f>Calibration!H10</f>
        <v>285962000000000</v>
      </c>
      <c r="I17">
        <f>Calibration!I10</f>
        <v>268040000000000</v>
      </c>
      <c r="J17">
        <f>Calibration!J10</f>
        <v>262311000000000</v>
      </c>
      <c r="K17">
        <f>Calibration!K10</f>
        <v>255140000000000</v>
      </c>
      <c r="L17">
        <f>Calibration!L10</f>
        <v>241968000000000</v>
      </c>
      <c r="M17">
        <f>Calibration!M10</f>
        <v>239771000000000</v>
      </c>
      <c r="N17">
        <f>Calibration!N10</f>
        <v>230867000000000</v>
      </c>
      <c r="O17">
        <f>Calibration!O10</f>
        <v>213300000000000</v>
      </c>
      <c r="P17">
        <f>Calibration!P10</f>
        <v>204190000000000</v>
      </c>
      <c r="Q17">
        <f>Calibration!Q10</f>
        <v>198549000000000</v>
      </c>
      <c r="R17">
        <f>Calibration!R10</f>
        <v>193348000000000</v>
      </c>
      <c r="S17">
        <f>Calibration!S10</f>
        <v>184627000000000</v>
      </c>
      <c r="T17">
        <f>Calibration!T10</f>
        <v>172050000000000</v>
      </c>
      <c r="U17">
        <f>Calibration!U10</f>
        <v>160458000000000</v>
      </c>
      <c r="V17">
        <f>Calibration!V10</f>
        <v>149801000000000</v>
      </c>
      <c r="W17">
        <f>Calibration!W10</f>
        <v>145869000000000</v>
      </c>
      <c r="X17">
        <f>Calibration!X10</f>
        <v>138144000000000</v>
      </c>
      <c r="Y17">
        <f>Calibration!Y10</f>
        <v>134030000000000</v>
      </c>
      <c r="Z17">
        <f>Calibration!Z10</f>
        <v>128211000000000</v>
      </c>
      <c r="AA17">
        <f>Calibration!AA10</f>
        <v>124186000000000</v>
      </c>
    </row>
    <row r="18" spans="1:27">
      <c r="A18" s="1" t="s">
        <v>113</v>
      </c>
      <c r="B18">
        <f>'Start Year Data'!B42</f>
        <v>2.7585282080342E+16</v>
      </c>
      <c r="C18">
        <f>$B18*'Time Series Scaling Factors'!C19</f>
        <v>2.7333240426238904E+16</v>
      </c>
      <c r="D18">
        <f>$B18*'Time Series Scaling Factors'!D19</f>
        <v>2.7426453914768944E+16</v>
      </c>
      <c r="E18">
        <f>$B18*'Time Series Scaling Factors'!E19</f>
        <v>2.747826133155076E+16</v>
      </c>
      <c r="F18">
        <f>$B18*'Time Series Scaling Factors'!F19</f>
        <v>2.7309078948050192E+16</v>
      </c>
      <c r="G18">
        <f>$B18*'Time Series Scaling Factors'!G19</f>
        <v>2.7531135980921908E+16</v>
      </c>
      <c r="H18">
        <f>$B18*'Time Series Scaling Factors'!H19</f>
        <v>2.7519793075581824E+16</v>
      </c>
      <c r="I18">
        <f>$B18*'Time Series Scaling Factors'!I19</f>
        <v>2.737571765783532E+16</v>
      </c>
      <c r="J18">
        <f>$B18*'Time Series Scaling Factors'!J19</f>
        <v>2.6916418845793112E+16</v>
      </c>
      <c r="K18">
        <f>$B18*'Time Series Scaling Factors'!K19</f>
        <v>2.6668444850031916E+16</v>
      </c>
      <c r="L18">
        <f>$B18*'Time Series Scaling Factors'!L19</f>
        <v>2.6362828512669712E+16</v>
      </c>
      <c r="M18">
        <f>$B18*'Time Series Scaling Factors'!M19</f>
        <v>2.6236023215665184E+16</v>
      </c>
      <c r="N18">
        <f>$B18*'Time Series Scaling Factors'!N19</f>
        <v>2.6184329689389692E+16</v>
      </c>
      <c r="O18">
        <f>$B18*'Time Series Scaling Factors'!O19</f>
        <v>2.5997260605509512E+16</v>
      </c>
      <c r="P18">
        <f>$B18*'Time Series Scaling Factors'!P19</f>
        <v>2.5963396834360476E+16</v>
      </c>
      <c r="Q18">
        <f>$B18*'Time Series Scaling Factors'!Q19</f>
        <v>2.6226882520718752E+16</v>
      </c>
      <c r="R18">
        <f>$B18*'Time Series Scaling Factors'!R19</f>
        <v>2.647864926670316E+16</v>
      </c>
      <c r="S18">
        <f>$B18*'Time Series Scaling Factors'!S19</f>
        <v>2.6556691754340364E+16</v>
      </c>
      <c r="T18">
        <f>$B18*'Time Series Scaling Factors'!T19</f>
        <v>2.6708145509629564E+16</v>
      </c>
      <c r="U18">
        <f>$B18*'Time Series Scaling Factors'!U19</f>
        <v>2.6768881549380532E+16</v>
      </c>
      <c r="V18">
        <f>$B18*'Time Series Scaling Factors'!V19</f>
        <v>2.6706450897440784E+16</v>
      </c>
      <c r="W18">
        <f>$B18*'Time Series Scaling Factors'!W19</f>
        <v>2.6549928032805888E+16</v>
      </c>
      <c r="X18">
        <f>$B18*'Time Series Scaling Factors'!X19</f>
        <v>2.6395697705517924E+16</v>
      </c>
      <c r="Y18">
        <f>$B18*'Time Series Scaling Factors'!Y19</f>
        <v>2.61965336462301E+16</v>
      </c>
      <c r="Z18">
        <f>$B18*'Time Series Scaling Factors'!Z19</f>
        <v>2.591431984428608E+16</v>
      </c>
      <c r="AA18">
        <f>$B18*'Time Series Scaling Factors'!AA19</f>
        <v>2.5522105485907164E+16</v>
      </c>
    </row>
    <row r="19" spans="1:27">
      <c r="A19" s="1" t="s">
        <v>127</v>
      </c>
      <c r="B19">
        <f>'Start Year Data'!B43</f>
        <v>727701389000000</v>
      </c>
      <c r="C19">
        <f>$B19*'Time Series Scaling Factors'!C20</f>
        <v>721052515109840.13</v>
      </c>
      <c r="D19">
        <f>$B19*'Time Series Scaling Factors'!D20</f>
        <v>723511492505078.88</v>
      </c>
      <c r="E19">
        <f>$B19*'Time Series Scaling Factors'!E20</f>
        <v>724878175254337.25</v>
      </c>
      <c r="F19">
        <f>$B19*'Time Series Scaling Factors'!F20</f>
        <v>720415133872011.63</v>
      </c>
      <c r="G19">
        <f>$B19*'Time Series Scaling Factors'!G20</f>
        <v>726273011663050</v>
      </c>
      <c r="H19">
        <f>$B19*'Time Series Scaling Factors'!H20</f>
        <v>725973785142645.63</v>
      </c>
      <c r="I19">
        <f>$B19*'Time Series Scaling Factors'!I20</f>
        <v>722173067016598.25</v>
      </c>
      <c r="J19">
        <f>$B19*'Time Series Scaling Factors'!J20</f>
        <v>710056736920146.25</v>
      </c>
      <c r="K19">
        <f>$B19*'Time Series Scaling Factors'!K20</f>
        <v>703515168100014.5</v>
      </c>
      <c r="L19">
        <f>$B19*'Time Series Scaling Factors'!L20</f>
        <v>695452990865363.25</v>
      </c>
      <c r="M19">
        <f>$B19*'Time Series Scaling Factors'!M20</f>
        <v>692107859556065.88</v>
      </c>
      <c r="N19">
        <f>$B19*'Time Series Scaling Factors'!N20</f>
        <v>690744181245167.25</v>
      </c>
      <c r="O19">
        <f>$B19*'Time Series Scaling Factors'!O20</f>
        <v>685809287638421.25</v>
      </c>
      <c r="P19">
        <f>$B19*'Time Series Scaling Factors'!P20</f>
        <v>684915959332763.13</v>
      </c>
      <c r="Q19">
        <f>$B19*'Time Series Scaling Factors'!Q20</f>
        <v>691866727477388.13</v>
      </c>
      <c r="R19">
        <f>$B19*'Time Series Scaling Factors'!R20</f>
        <v>698508349274956.25</v>
      </c>
      <c r="S19">
        <f>$B19*'Time Series Scaling Factors'!S20</f>
        <v>700567114760449.63</v>
      </c>
      <c r="T19">
        <f>$B19*'Time Series Scaling Factors'!T20</f>
        <v>704562473871595.38</v>
      </c>
      <c r="U19">
        <f>$B19*'Time Series Scaling Factors'!U20</f>
        <v>706164694228103.38</v>
      </c>
      <c r="V19">
        <f>$B19*'Time Series Scaling Factors'!V20</f>
        <v>704517769900832.88</v>
      </c>
      <c r="W19">
        <f>$B19*'Time Series Scaling Factors'!W20</f>
        <v>700388687382360.38</v>
      </c>
      <c r="X19">
        <f>$B19*'Time Series Scaling Factors'!X20</f>
        <v>696320082136037.5</v>
      </c>
      <c r="Y19">
        <f>$B19*'Time Series Scaling Factors'!Y20</f>
        <v>691066122355582.38</v>
      </c>
      <c r="Z19">
        <f>$B19*'Time Series Scaling Factors'!Z20</f>
        <v>683621305403140.13</v>
      </c>
      <c r="AA19">
        <f>$B19*'Time Series Scaling Factors'!AA20</f>
        <v>673274667201405.88</v>
      </c>
    </row>
    <row r="20" spans="1:27">
      <c r="A20" s="1" t="s">
        <v>114</v>
      </c>
      <c r="B20">
        <f>Calibration!B11</f>
        <v>8877070000000000</v>
      </c>
      <c r="C20">
        <f>Calibration!C11</f>
        <v>8735660000000000</v>
      </c>
      <c r="D20">
        <f>Calibration!D11</f>
        <v>9246560000000000</v>
      </c>
      <c r="E20">
        <f>Calibration!E11</f>
        <v>9354660000000000</v>
      </c>
      <c r="F20">
        <f>Calibration!F11</f>
        <v>9382950000000000</v>
      </c>
      <c r="G20">
        <f>Calibration!G11</f>
        <v>9435760000000000</v>
      </c>
      <c r="H20">
        <f>Calibration!H11</f>
        <v>9586250000000000</v>
      </c>
      <c r="I20">
        <f>Calibration!I11</f>
        <v>9744980000000000</v>
      </c>
      <c r="J20">
        <f>Calibration!J11</f>
        <v>9867510000000000</v>
      </c>
      <c r="K20">
        <f>Calibration!K11</f>
        <v>9996800000000000</v>
      </c>
      <c r="L20">
        <f>Calibration!L11</f>
        <v>1.0103E+16</v>
      </c>
      <c r="M20">
        <f>Calibration!M11</f>
        <v>1.01424E+16</v>
      </c>
      <c r="N20">
        <f>Calibration!N11</f>
        <v>1.02461E+16</v>
      </c>
      <c r="O20">
        <f>Calibration!O11</f>
        <v>1.03835E+16</v>
      </c>
      <c r="P20">
        <f>Calibration!P11</f>
        <v>1.05018E+16</v>
      </c>
      <c r="Q20">
        <f>Calibration!Q11</f>
        <v>1.06338E+16</v>
      </c>
      <c r="R20">
        <f>Calibration!R11</f>
        <v>1.07625E+16</v>
      </c>
      <c r="S20">
        <f>Calibration!S11</f>
        <v>1.08743E+16</v>
      </c>
      <c r="T20">
        <f>Calibration!T11</f>
        <v>1.09943E+16</v>
      </c>
      <c r="U20">
        <f>Calibration!U11</f>
        <v>1.10697E+16</v>
      </c>
      <c r="V20">
        <f>Calibration!V11</f>
        <v>1.12163E+16</v>
      </c>
      <c r="W20">
        <f>Calibration!W11</f>
        <v>1.13502E+16</v>
      </c>
      <c r="X20">
        <f>Calibration!X11</f>
        <v>1.14994E+16</v>
      </c>
      <c r="Y20">
        <f>Calibration!Y11</f>
        <v>1.15639E+16</v>
      </c>
      <c r="Z20">
        <f>Calibration!Z11</f>
        <v>1.15967E+16</v>
      </c>
      <c r="AA20">
        <f>Calibration!AA11</f>
        <v>1.17026E+16</v>
      </c>
    </row>
    <row r="21" spans="1:27">
      <c r="A21" s="1" t="s">
        <v>128</v>
      </c>
      <c r="B21">
        <f>'Start Year Data'!B45</f>
        <v>3966365818605251.5</v>
      </c>
      <c r="C21">
        <f>$B21*'Time Series Scaling Factors'!C22</f>
        <v>3820884952710512</v>
      </c>
      <c r="D21">
        <f>$B21*'Time Series Scaling Factors'!D22</f>
        <v>1817545055964639.5</v>
      </c>
      <c r="E21">
        <f>$B21*'Time Series Scaling Factors'!E22</f>
        <v>1648642460849603.5</v>
      </c>
      <c r="F21">
        <f>$B21*'Time Series Scaling Factors'!F22</f>
        <v>1629170696775532</v>
      </c>
      <c r="G21">
        <f>$B21*'Time Series Scaling Factors'!G22</f>
        <v>1615791462223043</v>
      </c>
      <c r="H21">
        <f>$B21*'Time Series Scaling Factors'!H22</f>
        <v>1575149771812160.8</v>
      </c>
      <c r="I21">
        <f>$B21*'Time Series Scaling Factors'!I22</f>
        <v>1257506534412068.5</v>
      </c>
      <c r="J21">
        <f>$B21*'Time Series Scaling Factors'!J22</f>
        <v>1262581159653354</v>
      </c>
      <c r="K21">
        <f>$B21*'Time Series Scaling Factors'!K22</f>
        <v>1307247296011459.3</v>
      </c>
      <c r="L21">
        <f>$B21*'Time Series Scaling Factors'!L22</f>
        <v>1321098242303598</v>
      </c>
      <c r="M21">
        <f>$B21*'Time Series Scaling Factors'!M22</f>
        <v>1313823950739524.5</v>
      </c>
      <c r="N21">
        <f>$B21*'Time Series Scaling Factors'!N22</f>
        <v>1346434128109527</v>
      </c>
      <c r="O21">
        <f>$B21*'Time Series Scaling Factors'!O22</f>
        <v>1356928472970052</v>
      </c>
      <c r="P21">
        <f>$B21*'Time Series Scaling Factors'!P22</f>
        <v>1361623246126251.3</v>
      </c>
      <c r="Q21">
        <f>$B21*'Time Series Scaling Factors'!Q22</f>
        <v>1348281251974261</v>
      </c>
      <c r="R21">
        <f>$B21*'Time Series Scaling Factors'!R22</f>
        <v>1346640191658952.8</v>
      </c>
      <c r="S21">
        <f>$B21*'Time Series Scaling Factors'!S22</f>
        <v>1338740261366501.5</v>
      </c>
      <c r="T21">
        <f>$B21*'Time Series Scaling Factors'!T22</f>
        <v>1346396887709028.3</v>
      </c>
      <c r="U21">
        <f>$B21*'Time Series Scaling Factors'!U22</f>
        <v>1385633373674427.3</v>
      </c>
      <c r="V21">
        <f>$B21*'Time Series Scaling Factors'!V22</f>
        <v>1400564291581027.5</v>
      </c>
      <c r="W21">
        <f>$B21*'Time Series Scaling Factors'!W22</f>
        <v>1398622825368363.5</v>
      </c>
      <c r="X21">
        <f>$B21*'Time Series Scaling Factors'!X22</f>
        <v>1403032088787406</v>
      </c>
      <c r="Y21">
        <f>$B21*'Time Series Scaling Factors'!Y22</f>
        <v>1400661116622324</v>
      </c>
      <c r="Z21">
        <f>$B21*'Time Series Scaling Factors'!Z22</f>
        <v>1399715210449657.8</v>
      </c>
      <c r="AA21">
        <f>$B21*'Time Series Scaling Factors'!AA22</f>
        <v>1396490191766473</v>
      </c>
    </row>
    <row r="22" spans="1:27">
      <c r="A22" s="1" t="s">
        <v>129</v>
      </c>
      <c r="B22">
        <f>'Start Year Data'!B46</f>
        <v>772086274509804</v>
      </c>
      <c r="C22">
        <f>$B22*'Time Series Scaling Factors'!C23</f>
        <v>715182266933712.75</v>
      </c>
      <c r="D22">
        <f>$B22*'Time Series Scaling Factors'!D23</f>
        <v>710266986858749.5</v>
      </c>
      <c r="E22">
        <f>$B22*'Time Series Scaling Factors'!E23</f>
        <v>712834364819397.38</v>
      </c>
      <c r="F22">
        <f>$B22*'Time Series Scaling Factors'!F23</f>
        <v>726807016367331</v>
      </c>
      <c r="G22">
        <f>$B22*'Time Series Scaling Factors'!G23</f>
        <v>724593839449766.63</v>
      </c>
      <c r="H22">
        <f>$B22*'Time Series Scaling Factors'!H23</f>
        <v>712269188755015.63</v>
      </c>
      <c r="I22">
        <f>$B22*'Time Series Scaling Factors'!I23</f>
        <v>709350185758870.38</v>
      </c>
      <c r="J22">
        <f>$B22*'Time Series Scaling Factors'!J23</f>
        <v>712037863273787.25</v>
      </c>
      <c r="K22">
        <f>$B22*'Time Series Scaling Factors'!K23</f>
        <v>730874403545342.38</v>
      </c>
      <c r="L22">
        <f>$B22*'Time Series Scaling Factors'!L23</f>
        <v>736803213805041.5</v>
      </c>
      <c r="M22">
        <f>$B22*'Time Series Scaling Factors'!M23</f>
        <v>736973874307618.13</v>
      </c>
      <c r="N22">
        <f>$B22*'Time Series Scaling Factors'!N23</f>
        <v>754358705504048.25</v>
      </c>
      <c r="O22">
        <f>$B22*'Time Series Scaling Factors'!O23</f>
        <v>760775282800168.25</v>
      </c>
      <c r="P22">
        <f>$B22*'Time Series Scaling Factors'!P23</f>
        <v>765564724904552.5</v>
      </c>
      <c r="Q22">
        <f>$B22*'Time Series Scaling Factors'!Q23</f>
        <v>764198668081664.13</v>
      </c>
      <c r="R22">
        <f>$B22*'Time Series Scaling Factors'!R23</f>
        <v>766714268289832.25</v>
      </c>
      <c r="S22">
        <f>$B22*'Time Series Scaling Factors'!S23</f>
        <v>767787561850564.5</v>
      </c>
      <c r="T22">
        <f>$B22*'Time Series Scaling Factors'!T23</f>
        <v>774008362570143.63</v>
      </c>
      <c r="U22">
        <f>$B22*'Time Series Scaling Factors'!U23</f>
        <v>792726664093498.5</v>
      </c>
      <c r="V22">
        <f>$B22*'Time Series Scaling Factors'!V23</f>
        <v>804212309117469.25</v>
      </c>
      <c r="W22">
        <f>$B22*'Time Series Scaling Factors'!W23</f>
        <v>808097186158008.25</v>
      </c>
      <c r="X22">
        <f>$B22*'Time Series Scaling Factors'!X23</f>
        <v>815243675203638.5</v>
      </c>
      <c r="Y22">
        <f>$B22*'Time Series Scaling Factors'!Y23</f>
        <v>819000395866770.63</v>
      </c>
      <c r="Z22">
        <f>$B22*'Time Series Scaling Factors'!Z23</f>
        <v>822133851494455.63</v>
      </c>
      <c r="AA22">
        <f>$B22*'Time Series Scaling Factors'!AA23</f>
        <v>825269625528967.88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C22"/>
  <sheetViews>
    <sheetView topLeftCell="H1" workbookViewId="0">
      <selection activeCell="AA1" sqref="AA1"/>
    </sheetView>
  </sheetViews>
  <sheetFormatPr defaultRowHeight="14.4"/>
  <cols>
    <col min="1" max="1" width="36.33203125" customWidth="1"/>
    <col min="2" max="30" width="13" customWidth="1"/>
  </cols>
  <sheetData>
    <row r="1" spans="1:29">
      <c r="A1" s="24" t="s">
        <v>454</v>
      </c>
      <c r="B1" s="18">
        <v>2025</v>
      </c>
      <c r="C1" s="18">
        <v>2026</v>
      </c>
      <c r="D1" s="18">
        <v>2027</v>
      </c>
      <c r="E1" s="18">
        <v>2028</v>
      </c>
      <c r="F1" s="18">
        <v>2029</v>
      </c>
      <c r="G1" s="18">
        <v>2030</v>
      </c>
      <c r="H1" s="18">
        <v>2031</v>
      </c>
      <c r="I1" s="18">
        <v>2032</v>
      </c>
      <c r="J1" s="18">
        <v>2033</v>
      </c>
      <c r="K1" s="18">
        <v>2034</v>
      </c>
      <c r="L1" s="18">
        <v>2035</v>
      </c>
      <c r="M1" s="18">
        <v>2036</v>
      </c>
      <c r="N1" s="18">
        <v>2037</v>
      </c>
      <c r="O1" s="18">
        <v>2038</v>
      </c>
      <c r="P1" s="18">
        <v>2039</v>
      </c>
      <c r="Q1" s="18">
        <v>2040</v>
      </c>
      <c r="R1" s="18">
        <v>2041</v>
      </c>
      <c r="S1" s="18">
        <v>2042</v>
      </c>
      <c r="T1" s="18">
        <v>2043</v>
      </c>
      <c r="U1" s="18">
        <v>2044</v>
      </c>
      <c r="V1" s="18">
        <v>2045</v>
      </c>
      <c r="W1" s="18">
        <v>2046</v>
      </c>
      <c r="X1" s="18">
        <v>2047</v>
      </c>
      <c r="Y1" s="18">
        <v>2048</v>
      </c>
      <c r="Z1" s="18">
        <v>2049</v>
      </c>
      <c r="AA1" s="18">
        <v>2050</v>
      </c>
      <c r="AB1" s="18"/>
      <c r="AC1" s="18"/>
    </row>
    <row r="2" spans="1:29">
      <c r="A2" s="24" t="s">
        <v>115</v>
      </c>
      <c r="B2">
        <f>'Start Year Data'!C26</f>
        <v>0</v>
      </c>
      <c r="C2">
        <f>$B2*'Time Series Scaling Factors'!C28</f>
        <v>0</v>
      </c>
      <c r="D2">
        <f>$B2*'Time Series Scaling Factors'!D28</f>
        <v>0</v>
      </c>
      <c r="E2">
        <f>$B2*'Time Series Scaling Factors'!E28</f>
        <v>0</v>
      </c>
      <c r="F2">
        <f>$B2*'Time Series Scaling Factors'!F28</f>
        <v>0</v>
      </c>
      <c r="G2">
        <f>$B2*'Time Series Scaling Factors'!G28</f>
        <v>0</v>
      </c>
      <c r="H2">
        <f>$B2*'Time Series Scaling Factors'!H28</f>
        <v>0</v>
      </c>
      <c r="I2">
        <f>$B2*'Time Series Scaling Factors'!I28</f>
        <v>0</v>
      </c>
      <c r="J2">
        <f>$B2*'Time Series Scaling Factors'!J28</f>
        <v>0</v>
      </c>
      <c r="K2">
        <f>$B2*'Time Series Scaling Factors'!K28</f>
        <v>0</v>
      </c>
      <c r="L2">
        <f>$B2*'Time Series Scaling Factors'!L28</f>
        <v>0</v>
      </c>
      <c r="M2">
        <f>$B2*'Time Series Scaling Factors'!M28</f>
        <v>0</v>
      </c>
      <c r="N2">
        <f>$B2*'Time Series Scaling Factors'!N28</f>
        <v>0</v>
      </c>
      <c r="O2">
        <f>$B2*'Time Series Scaling Factors'!O28</f>
        <v>0</v>
      </c>
      <c r="P2">
        <f>$B2*'Time Series Scaling Factors'!P28</f>
        <v>0</v>
      </c>
      <c r="Q2">
        <f>$B2*'Time Series Scaling Factors'!Q28</f>
        <v>0</v>
      </c>
      <c r="R2">
        <f>$B2*'Time Series Scaling Factors'!R28</f>
        <v>0</v>
      </c>
      <c r="S2">
        <f>$B2*'Time Series Scaling Factors'!S28</f>
        <v>0</v>
      </c>
      <c r="T2">
        <f>$B2*'Time Series Scaling Factors'!T28</f>
        <v>0</v>
      </c>
      <c r="U2">
        <f>$B2*'Time Series Scaling Factors'!U28</f>
        <v>0</v>
      </c>
      <c r="V2">
        <f>$B2*'Time Series Scaling Factors'!V28</f>
        <v>0</v>
      </c>
      <c r="W2">
        <f>$B2*'Time Series Scaling Factors'!W28</f>
        <v>0</v>
      </c>
      <c r="X2">
        <f>$B2*'Time Series Scaling Factors'!X28</f>
        <v>0</v>
      </c>
      <c r="Y2">
        <f>$B2*'Time Series Scaling Factors'!Y28</f>
        <v>0</v>
      </c>
      <c r="Z2">
        <f>$B2*'Time Series Scaling Factors'!Z28</f>
        <v>0</v>
      </c>
      <c r="AA2">
        <f>$B2*'Time Series Scaling Factors'!AA28</f>
        <v>0</v>
      </c>
    </row>
    <row r="3" spans="1:29">
      <c r="A3" s="1" t="s">
        <v>116</v>
      </c>
      <c r="B3">
        <f>'Start Year Data'!C27</f>
        <v>39271857858308</v>
      </c>
      <c r="C3">
        <f>$B3*'Time Series Scaling Factors'!C29</f>
        <v>60720282885427.664</v>
      </c>
      <c r="D3">
        <f>$B3*'Time Series Scaling Factors'!D29</f>
        <v>85287548719946.281</v>
      </c>
      <c r="E3">
        <f>$B3*'Time Series Scaling Factors'!E29</f>
        <v>101783841796979.39</v>
      </c>
      <c r="F3">
        <f>$B3*'Time Series Scaling Factors'!F29</f>
        <v>110397565221707.92</v>
      </c>
      <c r="G3">
        <f>$B3*'Time Series Scaling Factors'!G29</f>
        <v>120889912986617.95</v>
      </c>
      <c r="H3">
        <f>$B3*'Time Series Scaling Factors'!H29</f>
        <v>120059358900423.05</v>
      </c>
      <c r="I3">
        <f>$B3*'Time Series Scaling Factors'!I29</f>
        <v>122416685170103.95</v>
      </c>
      <c r="J3">
        <f>$B3*'Time Series Scaling Factors'!J29</f>
        <v>126658042491594.05</v>
      </c>
      <c r="K3">
        <f>$B3*'Time Series Scaling Factors'!K29</f>
        <v>128476777102976.33</v>
      </c>
      <c r="L3">
        <f>$B3*'Time Series Scaling Factors'!L29</f>
        <v>130625321123648.8</v>
      </c>
      <c r="M3">
        <f>$B3*'Time Series Scaling Factors'!M29</f>
        <v>127228242617870.09</v>
      </c>
      <c r="N3">
        <f>$B3*'Time Series Scaling Factors'!N29</f>
        <v>126648060870127.52</v>
      </c>
      <c r="O3">
        <f>$B3*'Time Series Scaling Factors'!O29</f>
        <v>126177676958516.86</v>
      </c>
      <c r="P3">
        <f>$B3*'Time Series Scaling Factors'!P29</f>
        <v>128001818281526.83</v>
      </c>
      <c r="Q3">
        <f>$B3*'Time Series Scaling Factors'!Q29</f>
        <v>126198472003238.83</v>
      </c>
      <c r="R3">
        <f>$B3*'Time Series Scaling Factors'!R29</f>
        <v>126108221509145.56</v>
      </c>
      <c r="S3">
        <f>$B3*'Time Series Scaling Factors'!S29</f>
        <v>120733534250308.84</v>
      </c>
      <c r="T3">
        <f>$B3*'Time Series Scaling Factors'!T29</f>
        <v>116124936439028.98</v>
      </c>
      <c r="U3">
        <f>$B3*'Time Series Scaling Factors'!U29</f>
        <v>114246312098847.5</v>
      </c>
      <c r="V3">
        <f>$B3*'Time Series Scaling Factors'!V29</f>
        <v>113777175889920.17</v>
      </c>
      <c r="W3">
        <f>$B3*'Time Series Scaling Factors'!W29</f>
        <v>110092709866084.06</v>
      </c>
      <c r="X3">
        <f>$B3*'Time Series Scaling Factors'!X29</f>
        <v>106135412855495.84</v>
      </c>
      <c r="Y3">
        <f>$B3*'Time Series Scaling Factors'!Y29</f>
        <v>101941468235971.8</v>
      </c>
      <c r="Z3">
        <f>$B3*'Time Series Scaling Factors'!Z29</f>
        <v>95623933649441.641</v>
      </c>
      <c r="AA3">
        <f>$B3*'Time Series Scaling Factors'!AA29</f>
        <v>91737755691802.531</v>
      </c>
    </row>
    <row r="4" spans="1:29">
      <c r="A4" s="1" t="s">
        <v>106</v>
      </c>
      <c r="B4">
        <f>'Start Year Data'!C28</f>
        <v>3256896000000000</v>
      </c>
      <c r="C4">
        <f>$B4*'Time Series Scaling Factors'!C30</f>
        <v>3391662000000000.5</v>
      </c>
      <c r="D4">
        <f>$B4*'Time Series Scaling Factors'!D30</f>
        <v>3244866000000000</v>
      </c>
      <c r="E4">
        <f>$B4*'Time Series Scaling Factors'!E30</f>
        <v>2953583000000000</v>
      </c>
      <c r="F4">
        <f>$B4*'Time Series Scaling Factors'!F30</f>
        <v>2832458000000000</v>
      </c>
      <c r="G4">
        <f>$B4*'Time Series Scaling Factors'!G30</f>
        <v>2975890000000000.5</v>
      </c>
      <c r="H4">
        <f>$B4*'Time Series Scaling Factors'!H30</f>
        <v>2959408000000000</v>
      </c>
      <c r="I4">
        <f>$B4*'Time Series Scaling Factors'!I30</f>
        <v>2754073000000000.5</v>
      </c>
      <c r="J4">
        <f>$B4*'Time Series Scaling Factors'!J30</f>
        <v>2516675000000000.5</v>
      </c>
      <c r="K4">
        <f>$B4*'Time Series Scaling Factors'!K30</f>
        <v>2360982000000000</v>
      </c>
      <c r="L4">
        <f>$B4*'Time Series Scaling Factors'!L30</f>
        <v>2385319000000000</v>
      </c>
      <c r="M4">
        <f>$B4*'Time Series Scaling Factors'!M30</f>
        <v>2451794000000000</v>
      </c>
      <c r="N4">
        <f>$B4*'Time Series Scaling Factors'!N30</f>
        <v>2522372000000000</v>
      </c>
      <c r="O4">
        <f>$B4*'Time Series Scaling Factors'!O30</f>
        <v>2578678000000000</v>
      </c>
      <c r="P4">
        <f>$B4*'Time Series Scaling Factors'!P30</f>
        <v>2652019000000000</v>
      </c>
      <c r="Q4">
        <f>$B4*'Time Series Scaling Factors'!Q30</f>
        <v>2552771000000000</v>
      </c>
      <c r="R4">
        <f>$B4*'Time Series Scaling Factors'!R30</f>
        <v>2306502000000000.5</v>
      </c>
      <c r="S4">
        <f>$B4*'Time Series Scaling Factors'!S30</f>
        <v>2282800000000000</v>
      </c>
      <c r="T4">
        <f>$B4*'Time Series Scaling Factors'!T30</f>
        <v>2345492000000000</v>
      </c>
      <c r="U4">
        <f>$B4*'Time Series Scaling Factors'!U30</f>
        <v>2457237000000000</v>
      </c>
      <c r="V4">
        <f>$B4*'Time Series Scaling Factors'!V30</f>
        <v>2509919000000000</v>
      </c>
      <c r="W4">
        <f>$B4*'Time Series Scaling Factors'!W30</f>
        <v>2442209000000000.5</v>
      </c>
      <c r="X4">
        <f>$B4*'Time Series Scaling Factors'!X30</f>
        <v>2537626000000000</v>
      </c>
      <c r="Y4">
        <f>$B4*'Time Series Scaling Factors'!Y30</f>
        <v>2670558000000000.5</v>
      </c>
      <c r="Z4">
        <f>$B4*'Time Series Scaling Factors'!Z30</f>
        <v>2810932000000000.5</v>
      </c>
      <c r="AA4">
        <f>$B4*'Time Series Scaling Factors'!AA30</f>
        <v>2948299000000000</v>
      </c>
    </row>
    <row r="5" spans="1:29">
      <c r="A5" s="1" t="s">
        <v>117</v>
      </c>
      <c r="B5">
        <f>'Start Year Data'!C29</f>
        <v>9940140000000000</v>
      </c>
      <c r="C5">
        <f>$B5*'Time Series Scaling Factors'!C31</f>
        <v>9940140000000000</v>
      </c>
      <c r="D5">
        <f>$B5*'Time Series Scaling Factors'!D31</f>
        <v>9940140000000000</v>
      </c>
      <c r="E5">
        <f>$B5*'Time Series Scaling Factors'!E31</f>
        <v>9940140000000000</v>
      </c>
      <c r="F5">
        <f>$B5*'Time Series Scaling Factors'!F31</f>
        <v>9940140000000000</v>
      </c>
      <c r="G5">
        <f>$B5*'Time Series Scaling Factors'!G31</f>
        <v>9940140000000000</v>
      </c>
      <c r="H5">
        <f>$B5*'Time Series Scaling Factors'!H31</f>
        <v>9940140000000000</v>
      </c>
      <c r="I5">
        <f>$B5*'Time Series Scaling Factors'!I31</f>
        <v>9940140000000000</v>
      </c>
      <c r="J5">
        <f>$B5*'Time Series Scaling Factors'!J31</f>
        <v>9940140000000000</v>
      </c>
      <c r="K5">
        <f>$B5*'Time Series Scaling Factors'!K31</f>
        <v>9940140000000000</v>
      </c>
      <c r="L5">
        <f>$B5*'Time Series Scaling Factors'!L31</f>
        <v>9940140000000000</v>
      </c>
      <c r="M5">
        <f>$B5*'Time Series Scaling Factors'!M31</f>
        <v>9940140000000000</v>
      </c>
      <c r="N5">
        <f>$B5*'Time Series Scaling Factors'!N31</f>
        <v>9940140000000000</v>
      </c>
      <c r="O5">
        <f>$B5*'Time Series Scaling Factors'!O31</f>
        <v>9940140000000000</v>
      </c>
      <c r="P5">
        <f>$B5*'Time Series Scaling Factors'!P31</f>
        <v>9940140000000000</v>
      </c>
      <c r="Q5">
        <f>$B5*'Time Series Scaling Factors'!Q31</f>
        <v>9940140000000000</v>
      </c>
      <c r="R5">
        <f>$B5*'Time Series Scaling Factors'!R31</f>
        <v>9940140000000000</v>
      </c>
      <c r="S5">
        <f>$B5*'Time Series Scaling Factors'!S31</f>
        <v>9940140000000000</v>
      </c>
      <c r="T5">
        <f>$B5*'Time Series Scaling Factors'!T31</f>
        <v>9940140000000000</v>
      </c>
      <c r="U5">
        <f>$B5*'Time Series Scaling Factors'!U31</f>
        <v>9940140000000000</v>
      </c>
      <c r="V5">
        <f>$B5*'Time Series Scaling Factors'!V31</f>
        <v>9940140000000000</v>
      </c>
      <c r="W5">
        <f>$B5*'Time Series Scaling Factors'!W31</f>
        <v>9940140000000000</v>
      </c>
      <c r="X5">
        <f>$B5*'Time Series Scaling Factors'!X31</f>
        <v>9940140000000000</v>
      </c>
      <c r="Y5">
        <f>$B5*'Time Series Scaling Factors'!Y31</f>
        <v>9940140000000000</v>
      </c>
      <c r="Z5">
        <f>$B5*'Time Series Scaling Factors'!Z31</f>
        <v>9940140000000000</v>
      </c>
      <c r="AA5">
        <f>$B5*'Time Series Scaling Factors'!AA31</f>
        <v>9940140000000000</v>
      </c>
    </row>
    <row r="6" spans="1:29">
      <c r="A6" s="1" t="s">
        <v>118</v>
      </c>
      <c r="B6">
        <f>'Start Year Data'!C30</f>
        <v>0</v>
      </c>
      <c r="C6">
        <f>$B6*'Time Series Scaling Factors'!C32</f>
        <v>0</v>
      </c>
      <c r="D6">
        <f>$B6*'Time Series Scaling Factors'!D32</f>
        <v>0</v>
      </c>
      <c r="E6">
        <f>$B6*'Time Series Scaling Factors'!E32</f>
        <v>0</v>
      </c>
      <c r="F6">
        <f>$B6*'Time Series Scaling Factors'!F32</f>
        <v>0</v>
      </c>
      <c r="G6">
        <f>$B6*'Time Series Scaling Factors'!G32</f>
        <v>0</v>
      </c>
      <c r="H6">
        <f>$B6*'Time Series Scaling Factors'!H32</f>
        <v>0</v>
      </c>
      <c r="I6">
        <f>$B6*'Time Series Scaling Factors'!I32</f>
        <v>0</v>
      </c>
      <c r="J6">
        <f>$B6*'Time Series Scaling Factors'!J32</f>
        <v>0</v>
      </c>
      <c r="K6">
        <f>$B6*'Time Series Scaling Factors'!K32</f>
        <v>0</v>
      </c>
      <c r="L6">
        <f>$B6*'Time Series Scaling Factors'!L32</f>
        <v>0</v>
      </c>
      <c r="M6">
        <f>$B6*'Time Series Scaling Factors'!M32</f>
        <v>0</v>
      </c>
      <c r="N6">
        <f>$B6*'Time Series Scaling Factors'!N32</f>
        <v>0</v>
      </c>
      <c r="O6">
        <f>$B6*'Time Series Scaling Factors'!O32</f>
        <v>0</v>
      </c>
      <c r="P6">
        <f>$B6*'Time Series Scaling Factors'!P32</f>
        <v>0</v>
      </c>
      <c r="Q6">
        <f>$B6*'Time Series Scaling Factors'!Q32</f>
        <v>0</v>
      </c>
      <c r="R6">
        <f>$B6*'Time Series Scaling Factors'!R32</f>
        <v>0</v>
      </c>
      <c r="S6">
        <f>$B6*'Time Series Scaling Factors'!S32</f>
        <v>0</v>
      </c>
      <c r="T6">
        <f>$B6*'Time Series Scaling Factors'!T32</f>
        <v>0</v>
      </c>
      <c r="U6">
        <f>$B6*'Time Series Scaling Factors'!U32</f>
        <v>0</v>
      </c>
      <c r="V6">
        <f>$B6*'Time Series Scaling Factors'!V32</f>
        <v>0</v>
      </c>
      <c r="W6">
        <f>$B6*'Time Series Scaling Factors'!W32</f>
        <v>0</v>
      </c>
      <c r="X6">
        <f>$B6*'Time Series Scaling Factors'!X32</f>
        <v>0</v>
      </c>
      <c r="Y6">
        <f>$B6*'Time Series Scaling Factors'!Y32</f>
        <v>0</v>
      </c>
      <c r="Z6">
        <f>$B6*'Time Series Scaling Factors'!Z32</f>
        <v>0</v>
      </c>
      <c r="AA6">
        <f>$B6*'Time Series Scaling Factors'!AA32</f>
        <v>0</v>
      </c>
    </row>
    <row r="7" spans="1:29">
      <c r="A7" s="1" t="s">
        <v>119</v>
      </c>
      <c r="B7">
        <f>'Start Year Data'!C31</f>
        <v>0</v>
      </c>
      <c r="C7">
        <f>$B7*'Time Series Scaling Factors'!C33</f>
        <v>0</v>
      </c>
      <c r="D7">
        <f>$B7*'Time Series Scaling Factors'!D33</f>
        <v>0</v>
      </c>
      <c r="E7">
        <f>$B7*'Time Series Scaling Factors'!E33</f>
        <v>0</v>
      </c>
      <c r="F7">
        <f>$B7*'Time Series Scaling Factors'!F33</f>
        <v>0</v>
      </c>
      <c r="G7">
        <f>$B7*'Time Series Scaling Factors'!G33</f>
        <v>0</v>
      </c>
      <c r="H7">
        <f>$B7*'Time Series Scaling Factors'!H33</f>
        <v>0</v>
      </c>
      <c r="I7">
        <f>$B7*'Time Series Scaling Factors'!I33</f>
        <v>0</v>
      </c>
      <c r="J7">
        <f>$B7*'Time Series Scaling Factors'!J33</f>
        <v>0</v>
      </c>
      <c r="K7">
        <f>$B7*'Time Series Scaling Factors'!K33</f>
        <v>0</v>
      </c>
      <c r="L7">
        <f>$B7*'Time Series Scaling Factors'!L33</f>
        <v>0</v>
      </c>
      <c r="M7">
        <f>$B7*'Time Series Scaling Factors'!M33</f>
        <v>0</v>
      </c>
      <c r="N7">
        <f>$B7*'Time Series Scaling Factors'!N33</f>
        <v>0</v>
      </c>
      <c r="O7">
        <f>$B7*'Time Series Scaling Factors'!O33</f>
        <v>0</v>
      </c>
      <c r="P7">
        <f>$B7*'Time Series Scaling Factors'!P33</f>
        <v>0</v>
      </c>
      <c r="Q7">
        <f>$B7*'Time Series Scaling Factors'!Q33</f>
        <v>0</v>
      </c>
      <c r="R7">
        <f>$B7*'Time Series Scaling Factors'!R33</f>
        <v>0</v>
      </c>
      <c r="S7">
        <f>$B7*'Time Series Scaling Factors'!S33</f>
        <v>0</v>
      </c>
      <c r="T7">
        <f>$B7*'Time Series Scaling Factors'!T33</f>
        <v>0</v>
      </c>
      <c r="U7">
        <f>$B7*'Time Series Scaling Factors'!U33</f>
        <v>0</v>
      </c>
      <c r="V7">
        <f>$B7*'Time Series Scaling Factors'!V33</f>
        <v>0</v>
      </c>
      <c r="W7">
        <f>$B7*'Time Series Scaling Factors'!W33</f>
        <v>0</v>
      </c>
      <c r="X7">
        <f>$B7*'Time Series Scaling Factors'!X33</f>
        <v>0</v>
      </c>
      <c r="Y7">
        <f>$B7*'Time Series Scaling Factors'!Y33</f>
        <v>0</v>
      </c>
      <c r="Z7">
        <f>$B7*'Time Series Scaling Factors'!Z33</f>
        <v>0</v>
      </c>
      <c r="AA7">
        <f>$B7*'Time Series Scaling Factors'!AA33</f>
        <v>0</v>
      </c>
    </row>
    <row r="8" spans="1:29">
      <c r="A8" s="1" t="s">
        <v>120</v>
      </c>
      <c r="B8">
        <f>'Start Year Data'!C32</f>
        <v>0</v>
      </c>
      <c r="C8">
        <f>$B8*'Time Series Scaling Factors'!C34</f>
        <v>0</v>
      </c>
      <c r="D8">
        <f>$B8*'Time Series Scaling Factors'!D34</f>
        <v>0</v>
      </c>
      <c r="E8">
        <f>$B8*'Time Series Scaling Factors'!E34</f>
        <v>0</v>
      </c>
      <c r="F8">
        <f>$B8*'Time Series Scaling Factors'!F34</f>
        <v>0</v>
      </c>
      <c r="G8">
        <f>$B8*'Time Series Scaling Factors'!G34</f>
        <v>0</v>
      </c>
      <c r="H8">
        <f>$B8*'Time Series Scaling Factors'!H34</f>
        <v>0</v>
      </c>
      <c r="I8">
        <f>$B8*'Time Series Scaling Factors'!I34</f>
        <v>0</v>
      </c>
      <c r="J8">
        <f>$B8*'Time Series Scaling Factors'!J34</f>
        <v>0</v>
      </c>
      <c r="K8">
        <f>$B8*'Time Series Scaling Factors'!K34</f>
        <v>0</v>
      </c>
      <c r="L8">
        <f>$B8*'Time Series Scaling Factors'!L34</f>
        <v>0</v>
      </c>
      <c r="M8">
        <f>$B8*'Time Series Scaling Factors'!M34</f>
        <v>0</v>
      </c>
      <c r="N8">
        <f>$B8*'Time Series Scaling Factors'!N34</f>
        <v>0</v>
      </c>
      <c r="O8">
        <f>$B8*'Time Series Scaling Factors'!O34</f>
        <v>0</v>
      </c>
      <c r="P8">
        <f>$B8*'Time Series Scaling Factors'!P34</f>
        <v>0</v>
      </c>
      <c r="Q8">
        <f>$B8*'Time Series Scaling Factors'!Q34</f>
        <v>0</v>
      </c>
      <c r="R8">
        <f>$B8*'Time Series Scaling Factors'!R34</f>
        <v>0</v>
      </c>
      <c r="S8">
        <f>$B8*'Time Series Scaling Factors'!S34</f>
        <v>0</v>
      </c>
      <c r="T8">
        <f>$B8*'Time Series Scaling Factors'!T34</f>
        <v>0</v>
      </c>
      <c r="U8">
        <f>$B8*'Time Series Scaling Factors'!U34</f>
        <v>0</v>
      </c>
      <c r="V8">
        <f>$B8*'Time Series Scaling Factors'!V34</f>
        <v>0</v>
      </c>
      <c r="W8">
        <f>$B8*'Time Series Scaling Factors'!W34</f>
        <v>0</v>
      </c>
      <c r="X8">
        <f>$B8*'Time Series Scaling Factors'!X34</f>
        <v>0</v>
      </c>
      <c r="Y8">
        <f>$B8*'Time Series Scaling Factors'!Y34</f>
        <v>0</v>
      </c>
      <c r="Z8">
        <f>$B8*'Time Series Scaling Factors'!Z34</f>
        <v>0</v>
      </c>
      <c r="AA8">
        <f>$B8*'Time Series Scaling Factors'!AA34</f>
        <v>0</v>
      </c>
    </row>
    <row r="9" spans="1:29">
      <c r="A9" s="1" t="s">
        <v>109</v>
      </c>
      <c r="B9">
        <f>'Start Year Data'!C33</f>
        <v>0</v>
      </c>
      <c r="C9">
        <f>$B9*'Time Series Scaling Factors'!C35</f>
        <v>0</v>
      </c>
      <c r="D9">
        <f>$B9*'Time Series Scaling Factors'!D35</f>
        <v>0</v>
      </c>
      <c r="E9">
        <f>$B9*'Time Series Scaling Factors'!E35</f>
        <v>0</v>
      </c>
      <c r="F9">
        <f>$B9*'Time Series Scaling Factors'!F35</f>
        <v>0</v>
      </c>
      <c r="G9">
        <f>$B9*'Time Series Scaling Factors'!G35</f>
        <v>0</v>
      </c>
      <c r="H9">
        <f>$B9*'Time Series Scaling Factors'!H35</f>
        <v>0</v>
      </c>
      <c r="I9">
        <f>$B9*'Time Series Scaling Factors'!I35</f>
        <v>0</v>
      </c>
      <c r="J9">
        <f>$B9*'Time Series Scaling Factors'!J35</f>
        <v>0</v>
      </c>
      <c r="K9">
        <f>$B9*'Time Series Scaling Factors'!K35</f>
        <v>0</v>
      </c>
      <c r="L9">
        <f>$B9*'Time Series Scaling Factors'!L35</f>
        <v>0</v>
      </c>
      <c r="M9">
        <f>$B9*'Time Series Scaling Factors'!M35</f>
        <v>0</v>
      </c>
      <c r="N9">
        <f>$B9*'Time Series Scaling Factors'!N35</f>
        <v>0</v>
      </c>
      <c r="O9">
        <f>$B9*'Time Series Scaling Factors'!O35</f>
        <v>0</v>
      </c>
      <c r="P9">
        <f>$B9*'Time Series Scaling Factors'!P35</f>
        <v>0</v>
      </c>
      <c r="Q9">
        <f>$B9*'Time Series Scaling Factors'!Q35</f>
        <v>0</v>
      </c>
      <c r="R9">
        <f>$B9*'Time Series Scaling Factors'!R35</f>
        <v>0</v>
      </c>
      <c r="S9">
        <f>$B9*'Time Series Scaling Factors'!S35</f>
        <v>0</v>
      </c>
      <c r="T9">
        <f>$B9*'Time Series Scaling Factors'!T35</f>
        <v>0</v>
      </c>
      <c r="U9">
        <f>$B9*'Time Series Scaling Factors'!U35</f>
        <v>0</v>
      </c>
      <c r="V9">
        <f>$B9*'Time Series Scaling Factors'!V35</f>
        <v>0</v>
      </c>
      <c r="W9">
        <f>$B9*'Time Series Scaling Factors'!W35</f>
        <v>0</v>
      </c>
      <c r="X9">
        <f>$B9*'Time Series Scaling Factors'!X35</f>
        <v>0</v>
      </c>
      <c r="Y9">
        <f>$B9*'Time Series Scaling Factors'!Y35</f>
        <v>0</v>
      </c>
      <c r="Z9">
        <f>$B9*'Time Series Scaling Factors'!Z35</f>
        <v>0</v>
      </c>
      <c r="AA9">
        <f>$B9*'Time Series Scaling Factors'!AA35</f>
        <v>0</v>
      </c>
    </row>
    <row r="10" spans="1:29">
      <c r="A10" s="1" t="s">
        <v>110</v>
      </c>
      <c r="B10">
        <f>'Start Year Data'!C34</f>
        <v>201618837721000</v>
      </c>
      <c r="C10">
        <f>$B10*'Time Series Scaling Factors'!C36</f>
        <v>196625369219077.06</v>
      </c>
      <c r="D10">
        <f>$B10*'Time Series Scaling Factors'!D36</f>
        <v>205510766920611.41</v>
      </c>
      <c r="E10">
        <f>$B10*'Time Series Scaling Factors'!E36</f>
        <v>200826881735682</v>
      </c>
      <c r="F10">
        <f>$B10*'Time Series Scaling Factors'!F36</f>
        <v>196035470398676.47</v>
      </c>
      <c r="G10">
        <f>$B10*'Time Series Scaling Factors'!G36</f>
        <v>194741304032485.22</v>
      </c>
      <c r="H10">
        <f>$B10*'Time Series Scaling Factors'!H36</f>
        <v>192058612789109.72</v>
      </c>
      <c r="I10">
        <f>$B10*'Time Series Scaling Factors'!I36</f>
        <v>189100206091613.84</v>
      </c>
      <c r="J10">
        <f>$B10*'Time Series Scaling Factors'!J36</f>
        <v>186798628931639.78</v>
      </c>
      <c r="K10">
        <f>$B10*'Time Series Scaling Factors'!K36</f>
        <v>183981156244164.56</v>
      </c>
      <c r="L10">
        <f>$B10*'Time Series Scaling Factors'!L36</f>
        <v>182017395203681</v>
      </c>
      <c r="M10">
        <f>$B10*'Time Series Scaling Factors'!M36</f>
        <v>180908840826207.31</v>
      </c>
      <c r="N10">
        <f>$B10*'Time Series Scaling Factors'!N36</f>
        <v>180949033756849.66</v>
      </c>
      <c r="O10">
        <f>$B10*'Time Series Scaling Factors'!O36</f>
        <v>180451020920950.5</v>
      </c>
      <c r="P10">
        <f>$B10*'Time Series Scaling Factors'!P36</f>
        <v>180094862104929.34</v>
      </c>
      <c r="Q10">
        <f>$B10*'Time Series Scaling Factors'!Q36</f>
        <v>180211128350650.16</v>
      </c>
      <c r="R10">
        <f>$B10*'Time Series Scaling Factors'!R36</f>
        <v>179627612098634.81</v>
      </c>
      <c r="S10">
        <f>$B10*'Time Series Scaling Factors'!S36</f>
        <v>179563613912933.91</v>
      </c>
      <c r="T10">
        <f>$B10*'Time Series Scaling Factors'!T36</f>
        <v>179638422214458.53</v>
      </c>
      <c r="U10">
        <f>$B10*'Time Series Scaling Factors'!U36</f>
        <v>179207167593832.31</v>
      </c>
      <c r="V10">
        <f>$B10*'Time Series Scaling Factors'!V36</f>
        <v>180719548798060.41</v>
      </c>
      <c r="W10">
        <f>$B10*'Time Series Scaling Factors'!W36</f>
        <v>178750555201513.28</v>
      </c>
      <c r="X10">
        <f>$B10*'Time Series Scaling Factors'!X36</f>
        <v>178165716435328.03</v>
      </c>
      <c r="Y10">
        <f>$B10*'Time Series Scaling Factors'!Y36</f>
        <v>182383559126900.72</v>
      </c>
      <c r="Z10">
        <f>$B10*'Time Series Scaling Factors'!Z36</f>
        <v>182301505747749.56</v>
      </c>
      <c r="AA10">
        <f>$B10*'Time Series Scaling Factors'!AA36</f>
        <v>179734965748862.75</v>
      </c>
    </row>
    <row r="11" spans="1:29">
      <c r="A11" s="1" t="s">
        <v>121</v>
      </c>
      <c r="B11">
        <f>'Start Year Data'!C35</f>
        <v>313781100000000</v>
      </c>
      <c r="C11">
        <f>$B11*'Time Series Scaling Factors'!C37</f>
        <v>306009722796065.56</v>
      </c>
      <c r="D11">
        <f>$B11*'Time Series Scaling Factors'!D37</f>
        <v>319838142284243.81</v>
      </c>
      <c r="E11">
        <f>$B11*'Time Series Scaling Factors'!E37</f>
        <v>312548572211259.63</v>
      </c>
      <c r="F11">
        <f>$B11*'Time Series Scaling Factors'!F37</f>
        <v>305091658279643.06</v>
      </c>
      <c r="G11">
        <f>$B11*'Time Series Scaling Factors'!G37</f>
        <v>303077536233525.38</v>
      </c>
      <c r="H11">
        <f>$B11*'Time Series Scaling Factors'!H37</f>
        <v>298902441193687.94</v>
      </c>
      <c r="I11">
        <f>$B11*'Time Series Scaling Factors'!I37</f>
        <v>294298247863934.75</v>
      </c>
      <c r="J11">
        <f>$B11*'Time Series Scaling Factors'!J37</f>
        <v>290716283890950.69</v>
      </c>
      <c r="K11">
        <f>$B11*'Time Series Scaling Factors'!K37</f>
        <v>286331427351308.75</v>
      </c>
      <c r="L11">
        <f>$B11*'Time Series Scaling Factors'!L37</f>
        <v>283275209458252.75</v>
      </c>
      <c r="M11">
        <f>$B11*'Time Series Scaling Factors'!M37</f>
        <v>281549956917838.56</v>
      </c>
      <c r="N11">
        <f>$B11*'Time Series Scaling Factors'!N37</f>
        <v>281612509515263.19</v>
      </c>
      <c r="O11">
        <f>$B11*'Time Series Scaling Factors'!O37</f>
        <v>280837447932581.13</v>
      </c>
      <c r="P11">
        <f>$B11*'Time Series Scaling Factors'!P37</f>
        <v>280283154959121.63</v>
      </c>
      <c r="Q11">
        <f>$B11*'Time Series Scaling Factors'!Q37</f>
        <v>280464101099311.34</v>
      </c>
      <c r="R11">
        <f>$B11*'Time Series Scaling Factors'!R37</f>
        <v>279555969827973.41</v>
      </c>
      <c r="S11">
        <f>$B11*'Time Series Scaling Factors'!S37</f>
        <v>279456368911044.06</v>
      </c>
      <c r="T11">
        <f>$B11*'Time Series Scaling Factors'!T37</f>
        <v>279572793702531.09</v>
      </c>
      <c r="U11">
        <f>$B11*'Time Series Scaling Factors'!U37</f>
        <v>278901628494112.31</v>
      </c>
      <c r="V11">
        <f>$B11*'Time Series Scaling Factors'!V37</f>
        <v>281255360135689.88</v>
      </c>
      <c r="W11">
        <f>$B11*'Time Series Scaling Factors'!W37</f>
        <v>278190998771438.44</v>
      </c>
      <c r="X11">
        <f>$B11*'Time Series Scaling Factors'!X37</f>
        <v>277280809260128.03</v>
      </c>
      <c r="Y11">
        <f>$B11*'Time Series Scaling Factors'!Y37</f>
        <v>283845073464547.56</v>
      </c>
      <c r="Z11">
        <f>$B11*'Time Series Scaling Factors'!Z37</f>
        <v>283717373097559.13</v>
      </c>
      <c r="AA11">
        <f>$B11*'Time Series Scaling Factors'!AA37</f>
        <v>279723045220522.5</v>
      </c>
    </row>
    <row r="12" spans="1:29">
      <c r="A12" s="1" t="s">
        <v>122</v>
      </c>
      <c r="B12">
        <f>'Start Year Data'!C36</f>
        <v>0</v>
      </c>
      <c r="C12">
        <f>$B12*'Time Series Scaling Factors'!C38</f>
        <v>0</v>
      </c>
      <c r="D12">
        <f>$B12*'Time Series Scaling Factors'!D38</f>
        <v>0</v>
      </c>
      <c r="E12">
        <f>$B12*'Time Series Scaling Factors'!E38</f>
        <v>0</v>
      </c>
      <c r="F12">
        <f>$B12*'Time Series Scaling Factors'!F38</f>
        <v>0</v>
      </c>
      <c r="G12">
        <f>$B12*'Time Series Scaling Factors'!G38</f>
        <v>0</v>
      </c>
      <c r="H12">
        <f>$B12*'Time Series Scaling Factors'!H38</f>
        <v>0</v>
      </c>
      <c r="I12">
        <f>$B12*'Time Series Scaling Factors'!I38</f>
        <v>0</v>
      </c>
      <c r="J12">
        <f>$B12*'Time Series Scaling Factors'!J38</f>
        <v>0</v>
      </c>
      <c r="K12">
        <f>$B12*'Time Series Scaling Factors'!K38</f>
        <v>0</v>
      </c>
      <c r="L12">
        <f>$B12*'Time Series Scaling Factors'!L38</f>
        <v>0</v>
      </c>
      <c r="M12">
        <f>$B12*'Time Series Scaling Factors'!M38</f>
        <v>0</v>
      </c>
      <c r="N12">
        <f>$B12*'Time Series Scaling Factors'!N38</f>
        <v>0</v>
      </c>
      <c r="O12">
        <f>$B12*'Time Series Scaling Factors'!O38</f>
        <v>0</v>
      </c>
      <c r="P12">
        <f>$B12*'Time Series Scaling Factors'!P38</f>
        <v>0</v>
      </c>
      <c r="Q12">
        <f>$B12*'Time Series Scaling Factors'!Q38</f>
        <v>0</v>
      </c>
      <c r="R12">
        <f>$B12*'Time Series Scaling Factors'!R38</f>
        <v>0</v>
      </c>
      <c r="S12">
        <f>$B12*'Time Series Scaling Factors'!S38</f>
        <v>0</v>
      </c>
      <c r="T12">
        <f>$B12*'Time Series Scaling Factors'!T38</f>
        <v>0</v>
      </c>
      <c r="U12">
        <f>$B12*'Time Series Scaling Factors'!U38</f>
        <v>0</v>
      </c>
      <c r="V12">
        <f>$B12*'Time Series Scaling Factors'!V38</f>
        <v>0</v>
      </c>
      <c r="W12">
        <f>$B12*'Time Series Scaling Factors'!W38</f>
        <v>0</v>
      </c>
      <c r="X12">
        <f>$B12*'Time Series Scaling Factors'!X38</f>
        <v>0</v>
      </c>
      <c r="Y12">
        <f>$B12*'Time Series Scaling Factors'!Y38</f>
        <v>0</v>
      </c>
      <c r="Z12">
        <f>$B12*'Time Series Scaling Factors'!Z38</f>
        <v>0</v>
      </c>
      <c r="AA12">
        <f>$B12*'Time Series Scaling Factors'!AA38</f>
        <v>0</v>
      </c>
    </row>
    <row r="13" spans="1:29">
      <c r="A13" s="1" t="s">
        <v>123</v>
      </c>
      <c r="B13">
        <f>'Start Year Data'!C37</f>
        <v>121247375000000</v>
      </c>
      <c r="C13">
        <f>$B13*'Time Series Scaling Factors'!C39</f>
        <v>118244456449099.75</v>
      </c>
      <c r="D13">
        <f>$B13*'Time Series Scaling Factors'!D39</f>
        <v>123587861655278.36</v>
      </c>
      <c r="E13">
        <f>$B13*'Time Series Scaling Factors'!E39</f>
        <v>120771117000396.7</v>
      </c>
      <c r="F13">
        <f>$B13*'Time Series Scaling Factors'!F39</f>
        <v>117889709421006.36</v>
      </c>
      <c r="G13">
        <f>$B13*'Time Series Scaling Factors'!G39</f>
        <v>117111437526933.08</v>
      </c>
      <c r="H13">
        <f>$B13*'Time Series Scaling Factors'!H39</f>
        <v>115498149429097.33</v>
      </c>
      <c r="I13">
        <f>$B13*'Time Series Scaling Factors'!I39</f>
        <v>113719054527508.02</v>
      </c>
      <c r="J13">
        <f>$B13*'Time Series Scaling Factors'!J39</f>
        <v>112334956731085.95</v>
      </c>
      <c r="K13">
        <f>$B13*'Time Series Scaling Factors'!K39</f>
        <v>110640615213438.25</v>
      </c>
      <c r="L13">
        <f>$B13*'Time Series Scaling Factors'!L39</f>
        <v>109459669653106.33</v>
      </c>
      <c r="M13">
        <f>$B13*'Time Series Scaling Factors'!M39</f>
        <v>108793019106794.56</v>
      </c>
      <c r="N13">
        <f>$B13*'Time Series Scaling Factors'!N39</f>
        <v>108817189900501.28</v>
      </c>
      <c r="O13">
        <f>$B13*'Time Series Scaling Factors'!O39</f>
        <v>108517700280624.41</v>
      </c>
      <c r="P13">
        <f>$B13*'Time Series Scaling Factors'!P39</f>
        <v>108303517310353.39</v>
      </c>
      <c r="Q13">
        <f>$B13*'Time Series Scaling Factors'!Q39</f>
        <v>108373436258672.41</v>
      </c>
      <c r="R13">
        <f>$B13*'Time Series Scaling Factors'!R39</f>
        <v>108022527511124.72</v>
      </c>
      <c r="S13">
        <f>$B13*'Time Series Scaling Factors'!S39</f>
        <v>107984040968355.66</v>
      </c>
      <c r="T13">
        <f>$B13*'Time Series Scaling Factors'!T39</f>
        <v>108029028382679.61</v>
      </c>
      <c r="U13">
        <f>$B13*'Time Series Scaling Factors'!U39</f>
        <v>107769685102564.56</v>
      </c>
      <c r="V13">
        <f>$B13*'Time Series Scaling Factors'!V39</f>
        <v>108679184696376.05</v>
      </c>
      <c r="W13">
        <f>$B13*'Time Series Scaling Factors'!W39</f>
        <v>107495092437578.73</v>
      </c>
      <c r="X13">
        <f>$B13*'Time Series Scaling Factors'!X39</f>
        <v>107143388370638.7</v>
      </c>
      <c r="Y13">
        <f>$B13*'Time Series Scaling Factors'!Y39</f>
        <v>109679869387476.02</v>
      </c>
      <c r="Z13">
        <f>$B13*'Time Series Scaling Factors'!Z39</f>
        <v>109630525006046.13</v>
      </c>
      <c r="AA13">
        <f>$B13*'Time Series Scaling Factors'!AA39</f>
        <v>108087086698321.38</v>
      </c>
    </row>
    <row r="14" spans="1:29">
      <c r="A14" s="1" t="s">
        <v>112</v>
      </c>
      <c r="B14">
        <f>'Start Year Data'!C38</f>
        <v>218051190000000</v>
      </c>
      <c r="C14">
        <f>$B14*'Time Series Scaling Factors'!C40</f>
        <v>212650743487266.22</v>
      </c>
      <c r="D14">
        <f>$B14*'Time Series Scaling Factors'!D40</f>
        <v>222260319478989.25</v>
      </c>
      <c r="E14">
        <f>$B14*'Time Series Scaling Factors'!E40</f>
        <v>217194687963889.78</v>
      </c>
      <c r="F14">
        <f>$B14*'Time Series Scaling Factors'!F40</f>
        <v>212012766692925.5</v>
      </c>
      <c r="G14">
        <f>$B14*'Time Series Scaling Factors'!G40</f>
        <v>210613123091187.88</v>
      </c>
      <c r="H14">
        <f>$B14*'Time Series Scaling Factors'!H40</f>
        <v>207711786962913.56</v>
      </c>
      <c r="I14">
        <f>$B14*'Time Series Scaling Factors'!I40</f>
        <v>204512264000750.63</v>
      </c>
      <c r="J14">
        <f>$B14*'Time Series Scaling Factors'!J40</f>
        <v>202023103541926.59</v>
      </c>
      <c r="K14">
        <f>$B14*'Time Series Scaling Factors'!K40</f>
        <v>198976001003092.38</v>
      </c>
      <c r="L14">
        <f>$B14*'Time Series Scaling Factors'!L40</f>
        <v>196852189376196.56</v>
      </c>
      <c r="M14">
        <f>$B14*'Time Series Scaling Factors'!M40</f>
        <v>195653285524155</v>
      </c>
      <c r="N14">
        <f>$B14*'Time Series Scaling Factors'!N40</f>
        <v>195696754261775.03</v>
      </c>
      <c r="O14">
        <f>$B14*'Time Series Scaling Factors'!O40</f>
        <v>195158152349718.81</v>
      </c>
      <c r="P14">
        <f>$B14*'Time Series Scaling Factors'!P40</f>
        <v>194772965853554.84</v>
      </c>
      <c r="Q14">
        <f>$B14*'Time Series Scaling Factors'!Q40</f>
        <v>194898708038773.34</v>
      </c>
      <c r="R14">
        <f>$B14*'Time Series Scaling Factors'!R40</f>
        <v>194267634005342.25</v>
      </c>
      <c r="S14">
        <f>$B14*'Time Series Scaling Factors'!S40</f>
        <v>194198419835140.38</v>
      </c>
      <c r="T14">
        <f>$B14*'Time Series Scaling Factors'!T40</f>
        <v>194279325167963.97</v>
      </c>
      <c r="U14">
        <f>$B14*'Time Series Scaling Factors'!U40</f>
        <v>193812922403800.28</v>
      </c>
      <c r="V14">
        <f>$B14*'Time Series Scaling Factors'!V40</f>
        <v>195448565804204.72</v>
      </c>
      <c r="W14">
        <f>$B14*'Time Series Scaling Factors'!W40</f>
        <v>193319095157103.75</v>
      </c>
      <c r="X14">
        <f>$B14*'Time Series Scaling Factors'!X40</f>
        <v>192686590821862.56</v>
      </c>
      <c r="Y14">
        <f>$B14*'Time Series Scaling Factors'!Y40</f>
        <v>197248196416489.16</v>
      </c>
      <c r="Z14">
        <f>$B14*'Time Series Scaling Factors'!Z40</f>
        <v>197159455517227.59</v>
      </c>
      <c r="AA14">
        <f>$B14*'Time Series Scaling Factors'!AA40</f>
        <v>194383737200101.44</v>
      </c>
    </row>
    <row r="15" spans="1:29">
      <c r="A15" s="1" t="s">
        <v>124</v>
      </c>
      <c r="B15">
        <f>'Start Year Data'!C39</f>
        <v>0</v>
      </c>
      <c r="C15">
        <f>$B15*'Time Series Scaling Factors'!C41</f>
        <v>0</v>
      </c>
      <c r="D15">
        <f>$B15*'Time Series Scaling Factors'!D41</f>
        <v>0</v>
      </c>
      <c r="E15">
        <f>$B15*'Time Series Scaling Factors'!E41</f>
        <v>0</v>
      </c>
      <c r="F15">
        <f>$B15*'Time Series Scaling Factors'!F41</f>
        <v>0</v>
      </c>
      <c r="G15">
        <f>$B15*'Time Series Scaling Factors'!G41</f>
        <v>0</v>
      </c>
      <c r="H15">
        <f>$B15*'Time Series Scaling Factors'!H41</f>
        <v>0</v>
      </c>
      <c r="I15">
        <f>$B15*'Time Series Scaling Factors'!I41</f>
        <v>0</v>
      </c>
      <c r="J15">
        <f>$B15*'Time Series Scaling Factors'!J41</f>
        <v>0</v>
      </c>
      <c r="K15">
        <f>$B15*'Time Series Scaling Factors'!K41</f>
        <v>0</v>
      </c>
      <c r="L15">
        <f>$B15*'Time Series Scaling Factors'!L41</f>
        <v>0</v>
      </c>
      <c r="M15">
        <f>$B15*'Time Series Scaling Factors'!M41</f>
        <v>0</v>
      </c>
      <c r="N15">
        <f>$B15*'Time Series Scaling Factors'!N41</f>
        <v>0</v>
      </c>
      <c r="O15">
        <f>$B15*'Time Series Scaling Factors'!O41</f>
        <v>0</v>
      </c>
      <c r="P15">
        <f>$B15*'Time Series Scaling Factors'!P41</f>
        <v>0</v>
      </c>
      <c r="Q15">
        <f>$B15*'Time Series Scaling Factors'!Q41</f>
        <v>0</v>
      </c>
      <c r="R15">
        <f>$B15*'Time Series Scaling Factors'!R41</f>
        <v>0</v>
      </c>
      <c r="S15">
        <f>$B15*'Time Series Scaling Factors'!S41</f>
        <v>0</v>
      </c>
      <c r="T15">
        <f>$B15*'Time Series Scaling Factors'!T41</f>
        <v>0</v>
      </c>
      <c r="U15">
        <f>$B15*'Time Series Scaling Factors'!U41</f>
        <v>0</v>
      </c>
      <c r="V15">
        <f>$B15*'Time Series Scaling Factors'!V41</f>
        <v>0</v>
      </c>
      <c r="W15">
        <f>$B15*'Time Series Scaling Factors'!W41</f>
        <v>0</v>
      </c>
      <c r="X15">
        <f>$B15*'Time Series Scaling Factors'!X41</f>
        <v>0</v>
      </c>
      <c r="Y15">
        <f>$B15*'Time Series Scaling Factors'!Y41</f>
        <v>0</v>
      </c>
      <c r="Z15">
        <f>$B15*'Time Series Scaling Factors'!Z41</f>
        <v>0</v>
      </c>
      <c r="AA15">
        <f>$B15*'Time Series Scaling Factors'!AA41</f>
        <v>0</v>
      </c>
    </row>
    <row r="16" spans="1:29">
      <c r="A16" s="1" t="s">
        <v>125</v>
      </c>
      <c r="B16">
        <f>'Start Year Data'!C40</f>
        <v>0</v>
      </c>
      <c r="C16">
        <f>$B16*'Time Series Scaling Factors'!C42</f>
        <v>0</v>
      </c>
      <c r="D16">
        <f>$B16*'Time Series Scaling Factors'!D42</f>
        <v>0</v>
      </c>
      <c r="E16">
        <f>$B16*'Time Series Scaling Factors'!E42</f>
        <v>0</v>
      </c>
      <c r="F16">
        <f>$B16*'Time Series Scaling Factors'!F42</f>
        <v>0</v>
      </c>
      <c r="G16">
        <f>$B16*'Time Series Scaling Factors'!G42</f>
        <v>0</v>
      </c>
      <c r="H16">
        <f>$B16*'Time Series Scaling Factors'!H42</f>
        <v>0</v>
      </c>
      <c r="I16">
        <f>$B16*'Time Series Scaling Factors'!I42</f>
        <v>0</v>
      </c>
      <c r="J16">
        <f>$B16*'Time Series Scaling Factors'!J42</f>
        <v>0</v>
      </c>
      <c r="K16">
        <f>$B16*'Time Series Scaling Factors'!K42</f>
        <v>0</v>
      </c>
      <c r="L16">
        <f>$B16*'Time Series Scaling Factors'!L42</f>
        <v>0</v>
      </c>
      <c r="M16">
        <f>$B16*'Time Series Scaling Factors'!M42</f>
        <v>0</v>
      </c>
      <c r="N16">
        <f>$B16*'Time Series Scaling Factors'!N42</f>
        <v>0</v>
      </c>
      <c r="O16">
        <f>$B16*'Time Series Scaling Factors'!O42</f>
        <v>0</v>
      </c>
      <c r="P16">
        <f>$B16*'Time Series Scaling Factors'!P42</f>
        <v>0</v>
      </c>
      <c r="Q16">
        <f>$B16*'Time Series Scaling Factors'!Q42</f>
        <v>0</v>
      </c>
      <c r="R16">
        <f>$B16*'Time Series Scaling Factors'!R42</f>
        <v>0</v>
      </c>
      <c r="S16">
        <f>$B16*'Time Series Scaling Factors'!S42</f>
        <v>0</v>
      </c>
      <c r="T16">
        <f>$B16*'Time Series Scaling Factors'!T42</f>
        <v>0</v>
      </c>
      <c r="U16">
        <f>$B16*'Time Series Scaling Factors'!U42</f>
        <v>0</v>
      </c>
      <c r="V16">
        <f>$B16*'Time Series Scaling Factors'!V42</f>
        <v>0</v>
      </c>
      <c r="W16">
        <f>$B16*'Time Series Scaling Factors'!W42</f>
        <v>0</v>
      </c>
      <c r="X16">
        <f>$B16*'Time Series Scaling Factors'!X42</f>
        <v>0</v>
      </c>
      <c r="Y16">
        <f>$B16*'Time Series Scaling Factors'!Y42</f>
        <v>0</v>
      </c>
      <c r="Z16">
        <f>$B16*'Time Series Scaling Factors'!Z42</f>
        <v>0</v>
      </c>
      <c r="AA16">
        <f>$B16*'Time Series Scaling Factors'!AA42</f>
        <v>0</v>
      </c>
    </row>
    <row r="17" spans="1:27">
      <c r="A17" s="1" t="s">
        <v>126</v>
      </c>
      <c r="B17">
        <f>'Start Year Data'!C41</f>
        <v>0</v>
      </c>
      <c r="C17">
        <f>$B17*'Time Series Scaling Factors'!C43</f>
        <v>0</v>
      </c>
      <c r="D17">
        <f>$B17*'Time Series Scaling Factors'!D43</f>
        <v>0</v>
      </c>
      <c r="E17">
        <f>$B17*'Time Series Scaling Factors'!E43</f>
        <v>0</v>
      </c>
      <c r="F17">
        <f>$B17*'Time Series Scaling Factors'!F43</f>
        <v>0</v>
      </c>
      <c r="G17">
        <f>$B17*'Time Series Scaling Factors'!G43</f>
        <v>0</v>
      </c>
      <c r="H17">
        <f>$B17*'Time Series Scaling Factors'!H43</f>
        <v>0</v>
      </c>
      <c r="I17">
        <f>$B17*'Time Series Scaling Factors'!I43</f>
        <v>0</v>
      </c>
      <c r="J17">
        <f>$B17*'Time Series Scaling Factors'!J43</f>
        <v>0</v>
      </c>
      <c r="K17">
        <f>$B17*'Time Series Scaling Factors'!K43</f>
        <v>0</v>
      </c>
      <c r="L17">
        <f>$B17*'Time Series Scaling Factors'!L43</f>
        <v>0</v>
      </c>
      <c r="M17">
        <f>$B17*'Time Series Scaling Factors'!M43</f>
        <v>0</v>
      </c>
      <c r="N17">
        <f>$B17*'Time Series Scaling Factors'!N43</f>
        <v>0</v>
      </c>
      <c r="O17">
        <f>$B17*'Time Series Scaling Factors'!O43</f>
        <v>0</v>
      </c>
      <c r="P17">
        <f>$B17*'Time Series Scaling Factors'!P43</f>
        <v>0</v>
      </c>
      <c r="Q17">
        <f>$B17*'Time Series Scaling Factors'!Q43</f>
        <v>0</v>
      </c>
      <c r="R17">
        <f>$B17*'Time Series Scaling Factors'!R43</f>
        <v>0</v>
      </c>
      <c r="S17">
        <f>$B17*'Time Series Scaling Factors'!S43</f>
        <v>0</v>
      </c>
      <c r="T17">
        <f>$B17*'Time Series Scaling Factors'!T43</f>
        <v>0</v>
      </c>
      <c r="U17">
        <f>$B17*'Time Series Scaling Factors'!U43</f>
        <v>0</v>
      </c>
      <c r="V17">
        <f>$B17*'Time Series Scaling Factors'!V43</f>
        <v>0</v>
      </c>
      <c r="W17">
        <f>$B17*'Time Series Scaling Factors'!W43</f>
        <v>0</v>
      </c>
      <c r="X17">
        <f>$B17*'Time Series Scaling Factors'!X43</f>
        <v>0</v>
      </c>
      <c r="Y17">
        <f>$B17*'Time Series Scaling Factors'!Y43</f>
        <v>0</v>
      </c>
      <c r="Z17">
        <f>$B17*'Time Series Scaling Factors'!Z43</f>
        <v>0</v>
      </c>
      <c r="AA17">
        <f>$B17*'Time Series Scaling Factors'!AA43</f>
        <v>0</v>
      </c>
    </row>
    <row r="18" spans="1:27">
      <c r="A18" s="1" t="s">
        <v>113</v>
      </c>
      <c r="B18">
        <f>'Start Year Data'!C42</f>
        <v>1.3730942504405E+16</v>
      </c>
      <c r="C18">
        <f>$B18*'Time Series Scaling Factors'!C44</f>
        <v>1.3077911404716336E+16</v>
      </c>
      <c r="D18">
        <f>$B18*'Time Series Scaling Factors'!D44</f>
        <v>1.4406353498282624E+16</v>
      </c>
      <c r="E18">
        <f>$B18*'Time Series Scaling Factors'!E44</f>
        <v>1.4558494099095258E+16</v>
      </c>
      <c r="F18">
        <f>$B18*'Time Series Scaling Factors'!F44</f>
        <v>1.5047109012610282E+16</v>
      </c>
      <c r="G18">
        <f>$B18*'Time Series Scaling Factors'!G44</f>
        <v>1.5150728419944074E+16</v>
      </c>
      <c r="H18">
        <f>$B18*'Time Series Scaling Factors'!H44</f>
        <v>1.5003043286864584E+16</v>
      </c>
      <c r="I18">
        <f>$B18*'Time Series Scaling Factors'!I44</f>
        <v>1.5419722234249732E+16</v>
      </c>
      <c r="J18">
        <f>$B18*'Time Series Scaling Factors'!J44</f>
        <v>1.5634381303595876E+16</v>
      </c>
      <c r="K18">
        <f>$B18*'Time Series Scaling Factors'!K44</f>
        <v>1.5986338392568788E+16</v>
      </c>
      <c r="L18">
        <f>$B18*'Time Series Scaling Factors'!L44</f>
        <v>1.6194632803985986E+16</v>
      </c>
      <c r="M18">
        <f>$B18*'Time Series Scaling Factors'!M44</f>
        <v>1.5953345555593032E+16</v>
      </c>
      <c r="N18">
        <f>$B18*'Time Series Scaling Factors'!N44</f>
        <v>1.5982760344312508E+16</v>
      </c>
      <c r="O18">
        <f>$B18*'Time Series Scaling Factors'!O44</f>
        <v>1.6419319524496228E+16</v>
      </c>
      <c r="P18">
        <f>$B18*'Time Series Scaling Factors'!P44</f>
        <v>1.6359589737464134E+16</v>
      </c>
      <c r="Q18">
        <f>$B18*'Time Series Scaling Factors'!Q44</f>
        <v>1.6091564503100466E+16</v>
      </c>
      <c r="R18">
        <f>$B18*'Time Series Scaling Factors'!R44</f>
        <v>1.5718057287354134E+16</v>
      </c>
      <c r="S18">
        <f>$B18*'Time Series Scaling Factors'!S44</f>
        <v>1.5538662815211316E+16</v>
      </c>
      <c r="T18">
        <f>$B18*'Time Series Scaling Factors'!T44</f>
        <v>1.5417692877986252E+16</v>
      </c>
      <c r="U18">
        <f>$B18*'Time Series Scaling Factors'!U44</f>
        <v>1.5330274135585862E+16</v>
      </c>
      <c r="V18">
        <f>$B18*'Time Series Scaling Factors'!V44</f>
        <v>1.5841695740012946E+16</v>
      </c>
      <c r="W18">
        <f>$B18*'Time Series Scaling Factors'!W44</f>
        <v>1.643364311257949E+16</v>
      </c>
      <c r="X18">
        <f>$B18*'Time Series Scaling Factors'!X44</f>
        <v>1.6818236683982656E+16</v>
      </c>
      <c r="Y18">
        <f>$B18*'Time Series Scaling Factors'!Y44</f>
        <v>1.6689266380028224E+16</v>
      </c>
      <c r="Z18">
        <f>$B18*'Time Series Scaling Factors'!Z44</f>
        <v>1.6657121956926782E+16</v>
      </c>
      <c r="AA18">
        <f>$B18*'Time Series Scaling Factors'!AA44</f>
        <v>1.7213032976079538E+16</v>
      </c>
    </row>
    <row r="19" spans="1:27">
      <c r="A19" s="1" t="s">
        <v>127</v>
      </c>
      <c r="B19">
        <f>'Start Year Data'!C43</f>
        <v>251769202000000</v>
      </c>
      <c r="C19">
        <f>$B19*'Time Series Scaling Factors'!C45</f>
        <v>245533665707101.66</v>
      </c>
      <c r="D19">
        <f>$B19*'Time Series Scaling Factors'!D45</f>
        <v>256629203773160.72</v>
      </c>
      <c r="E19">
        <f>$B19*'Time Series Scaling Factors'!E45</f>
        <v>250780256082562.72</v>
      </c>
      <c r="F19">
        <f>$B19*'Time Series Scaling Factors'!F45</f>
        <v>244797036347703.63</v>
      </c>
      <c r="G19">
        <f>$B19*'Time Series Scaling Factors'!G45</f>
        <v>243180961000011.69</v>
      </c>
      <c r="H19">
        <f>$B19*'Time Series Scaling Factors'!H45</f>
        <v>239830981200546.31</v>
      </c>
      <c r="I19">
        <f>$B19*'Time Series Scaling Factors'!I45</f>
        <v>236136704902561.25</v>
      </c>
      <c r="J19">
        <f>$B19*'Time Series Scaling Factors'!J45</f>
        <v>233262636926284.31</v>
      </c>
      <c r="K19">
        <f>$B19*'Time Series Scaling Factors'!K45</f>
        <v>229744350350483.13</v>
      </c>
      <c r="L19">
        <f>$B19*'Time Series Scaling Factors'!L45</f>
        <v>227292126363529.06</v>
      </c>
      <c r="M19">
        <f>$B19*'Time Series Scaling Factors'!M45</f>
        <v>225907831849460</v>
      </c>
      <c r="N19">
        <f>$B19*'Time Series Scaling Factors'!N45</f>
        <v>225958022308785.41</v>
      </c>
      <c r="O19">
        <f>$B19*'Time Series Scaling Factors'!O45</f>
        <v>225336134514483.19</v>
      </c>
      <c r="P19">
        <f>$B19*'Time Series Scaling Factors'!P45</f>
        <v>224891385294080.47</v>
      </c>
      <c r="Q19">
        <f>$B19*'Time Series Scaling Factors'!Q45</f>
        <v>225036571429639.75</v>
      </c>
      <c r="R19">
        <f>$B19*'Time Series Scaling Factors'!R45</f>
        <v>224307912229018.69</v>
      </c>
      <c r="S19">
        <f>$B19*'Time Series Scaling Factors'!S45</f>
        <v>224227995231552.09</v>
      </c>
      <c r="T19">
        <f>$B19*'Time Series Scaling Factors'!T45</f>
        <v>224321411236677.03</v>
      </c>
      <c r="U19">
        <f>$B19*'Time Series Scaling Factors'!U45</f>
        <v>223782886994988.28</v>
      </c>
      <c r="V19">
        <f>$B19*'Time Series Scaling Factors'!V45</f>
        <v>225671455608974.72</v>
      </c>
      <c r="W19">
        <f>$B19*'Time Series Scaling Factors'!W45</f>
        <v>223212697527888.19</v>
      </c>
      <c r="X19">
        <f>$B19*'Time Series Scaling Factors'!X45</f>
        <v>222482386852925.97</v>
      </c>
      <c r="Y19">
        <f>$B19*'Time Series Scaling Factors'!Y45</f>
        <v>227749369346338.97</v>
      </c>
      <c r="Z19">
        <f>$B19*'Time Series Scaling Factors'!Z45</f>
        <v>227646906133953.66</v>
      </c>
      <c r="AA19">
        <f>$B19*'Time Series Scaling Factors'!AA45</f>
        <v>224441968863583.13</v>
      </c>
    </row>
    <row r="20" spans="1:27">
      <c r="A20" s="1" t="s">
        <v>114</v>
      </c>
      <c r="B20">
        <f>'Start Year Data'!C44</f>
        <v>212781090060000</v>
      </c>
      <c r="C20">
        <f>$B20*'Time Series Scaling Factors'!C46</f>
        <v>207511167452422.28</v>
      </c>
      <c r="D20">
        <f>$B20*'Time Series Scaling Factors'!D46</f>
        <v>216888488688473.5</v>
      </c>
      <c r="E20">
        <f>$B20*'Time Series Scaling Factors'!E46</f>
        <v>211945288903023.31</v>
      </c>
      <c r="F20">
        <f>$B20*'Time Series Scaling Factors'!F46</f>
        <v>206888609979872.84</v>
      </c>
      <c r="G20">
        <f>$B20*'Time Series Scaling Factors'!G46</f>
        <v>205522794497401.78</v>
      </c>
      <c r="H20">
        <f>$B20*'Time Series Scaling Factors'!H46</f>
        <v>202691581037825.31</v>
      </c>
      <c r="I20">
        <f>$B20*'Time Series Scaling Factors'!I46</f>
        <v>199569387650295.41</v>
      </c>
      <c r="J20">
        <f>$B20*'Time Series Scaling Factors'!J46</f>
        <v>197140387947231.06</v>
      </c>
      <c r="K20">
        <f>$B20*'Time Series Scaling Factors'!K46</f>
        <v>194166931119328.66</v>
      </c>
      <c r="L20">
        <f>$B20*'Time Series Scaling Factors'!L46</f>
        <v>192094450097542.03</v>
      </c>
      <c r="M20">
        <f>$B20*'Time Series Scaling Factors'!M46</f>
        <v>190924522666673.44</v>
      </c>
      <c r="N20">
        <f>$B20*'Time Series Scaling Factors'!N46</f>
        <v>190966940804241.63</v>
      </c>
      <c r="O20">
        <f>$B20*'Time Series Scaling Factors'!O46</f>
        <v>190441356412999.72</v>
      </c>
      <c r="P20">
        <f>$B20*'Time Series Scaling Factors'!P46</f>
        <v>190065479525879.03</v>
      </c>
      <c r="Q20">
        <f>$B20*'Time Series Scaling Factors'!Q46</f>
        <v>190188182636269.41</v>
      </c>
      <c r="R20">
        <f>$B20*'Time Series Scaling Factors'!R46</f>
        <v>189572361091144.91</v>
      </c>
      <c r="S20">
        <f>$B20*'Time Series Scaling Factors'!S46</f>
        <v>189504819764802.44</v>
      </c>
      <c r="T20">
        <f>$B20*'Time Series Scaling Factors'!T46</f>
        <v>189583769688945.81</v>
      </c>
      <c r="U20">
        <f>$B20*'Time Series Scaling Factors'!U46</f>
        <v>189128639457527.47</v>
      </c>
      <c r="V20">
        <f>$B20*'Time Series Scaling Factors'!V46</f>
        <v>190724750837096.19</v>
      </c>
      <c r="W20">
        <f>$B20*'Time Series Scaling Factors'!W46</f>
        <v>188646747568501.69</v>
      </c>
      <c r="X20">
        <f>$B20*'Time Series Scaling Factors'!X46</f>
        <v>188029530290667.56</v>
      </c>
      <c r="Y20">
        <f>$B20*'Time Series Scaling Factors'!Y46</f>
        <v>192480886006031.66</v>
      </c>
      <c r="Z20">
        <f>$B20*'Time Series Scaling Factors'!Z46</f>
        <v>192394289894000.44</v>
      </c>
      <c r="AA20">
        <f>$B20*'Time Series Scaling Factors'!AA46</f>
        <v>189685658176752.69</v>
      </c>
    </row>
    <row r="21" spans="1:27">
      <c r="A21" s="1" t="s">
        <v>128</v>
      </c>
      <c r="B21">
        <f>'Start Year Data'!C45</f>
        <v>0</v>
      </c>
      <c r="C21">
        <f>$B21*'Time Series Scaling Factors'!C47</f>
        <v>0</v>
      </c>
      <c r="D21">
        <f>$B21*'Time Series Scaling Factors'!D47</f>
        <v>0</v>
      </c>
      <c r="E21">
        <f>$B21*'Time Series Scaling Factors'!E47</f>
        <v>0</v>
      </c>
      <c r="F21">
        <f>$B21*'Time Series Scaling Factors'!F47</f>
        <v>0</v>
      </c>
      <c r="G21">
        <f>$B21*'Time Series Scaling Factors'!G47</f>
        <v>0</v>
      </c>
      <c r="H21">
        <f>$B21*'Time Series Scaling Factors'!H47</f>
        <v>0</v>
      </c>
      <c r="I21">
        <f>$B21*'Time Series Scaling Factors'!I47</f>
        <v>0</v>
      </c>
      <c r="J21">
        <f>$B21*'Time Series Scaling Factors'!J47</f>
        <v>0</v>
      </c>
      <c r="K21">
        <f>$B21*'Time Series Scaling Factors'!K47</f>
        <v>0</v>
      </c>
      <c r="L21">
        <f>$B21*'Time Series Scaling Factors'!L47</f>
        <v>0</v>
      </c>
      <c r="M21">
        <f>$B21*'Time Series Scaling Factors'!M47</f>
        <v>0</v>
      </c>
      <c r="N21">
        <f>$B21*'Time Series Scaling Factors'!N47</f>
        <v>0</v>
      </c>
      <c r="O21">
        <f>$B21*'Time Series Scaling Factors'!O47</f>
        <v>0</v>
      </c>
      <c r="P21">
        <f>$B21*'Time Series Scaling Factors'!P47</f>
        <v>0</v>
      </c>
      <c r="Q21">
        <f>$B21*'Time Series Scaling Factors'!Q47</f>
        <v>0</v>
      </c>
      <c r="R21">
        <f>$B21*'Time Series Scaling Factors'!R47</f>
        <v>0</v>
      </c>
      <c r="S21">
        <f>$B21*'Time Series Scaling Factors'!S47</f>
        <v>0</v>
      </c>
      <c r="T21">
        <f>$B21*'Time Series Scaling Factors'!T47</f>
        <v>0</v>
      </c>
      <c r="U21">
        <f>$B21*'Time Series Scaling Factors'!U47</f>
        <v>0</v>
      </c>
      <c r="V21">
        <f>$B21*'Time Series Scaling Factors'!V47</f>
        <v>0</v>
      </c>
      <c r="W21">
        <f>$B21*'Time Series Scaling Factors'!W47</f>
        <v>0</v>
      </c>
      <c r="X21">
        <f>$B21*'Time Series Scaling Factors'!X47</f>
        <v>0</v>
      </c>
      <c r="Y21">
        <f>$B21*'Time Series Scaling Factors'!Y47</f>
        <v>0</v>
      </c>
      <c r="Z21">
        <f>$B21*'Time Series Scaling Factors'!Z47</f>
        <v>0</v>
      </c>
      <c r="AA21">
        <f>$B21*'Time Series Scaling Factors'!AA47</f>
        <v>0</v>
      </c>
    </row>
    <row r="22" spans="1:27">
      <c r="A22" s="1" t="s">
        <v>129</v>
      </c>
      <c r="B22">
        <f>'Start Year Data'!C46</f>
        <v>0</v>
      </c>
      <c r="C22">
        <f>$B22*'Time Series Scaling Factors'!C48</f>
        <v>0</v>
      </c>
      <c r="D22">
        <f>$B22*'Time Series Scaling Factors'!D48</f>
        <v>0</v>
      </c>
      <c r="E22">
        <f>$B22*'Time Series Scaling Factors'!E48</f>
        <v>0</v>
      </c>
      <c r="F22">
        <f>$B22*'Time Series Scaling Factors'!F48</f>
        <v>0</v>
      </c>
      <c r="G22">
        <f>$B22*'Time Series Scaling Factors'!G48</f>
        <v>0</v>
      </c>
      <c r="H22">
        <f>$B22*'Time Series Scaling Factors'!H48</f>
        <v>0</v>
      </c>
      <c r="I22">
        <f>$B22*'Time Series Scaling Factors'!I48</f>
        <v>0</v>
      </c>
      <c r="J22">
        <f>$B22*'Time Series Scaling Factors'!J48</f>
        <v>0</v>
      </c>
      <c r="K22">
        <f>$B22*'Time Series Scaling Factors'!K48</f>
        <v>0</v>
      </c>
      <c r="L22">
        <f>$B22*'Time Series Scaling Factors'!L48</f>
        <v>0</v>
      </c>
      <c r="M22">
        <f>$B22*'Time Series Scaling Factors'!M48</f>
        <v>0</v>
      </c>
      <c r="N22">
        <f>$B22*'Time Series Scaling Factors'!N48</f>
        <v>0</v>
      </c>
      <c r="O22">
        <f>$B22*'Time Series Scaling Factors'!O48</f>
        <v>0</v>
      </c>
      <c r="P22">
        <f>$B22*'Time Series Scaling Factors'!P48</f>
        <v>0</v>
      </c>
      <c r="Q22">
        <f>$B22*'Time Series Scaling Factors'!Q48</f>
        <v>0</v>
      </c>
      <c r="R22">
        <f>$B22*'Time Series Scaling Factors'!R48</f>
        <v>0</v>
      </c>
      <c r="S22">
        <f>$B22*'Time Series Scaling Factors'!S48</f>
        <v>0</v>
      </c>
      <c r="T22">
        <f>$B22*'Time Series Scaling Factors'!T48</f>
        <v>0</v>
      </c>
      <c r="U22">
        <f>$B22*'Time Series Scaling Factors'!U48</f>
        <v>0</v>
      </c>
      <c r="V22">
        <f>$B22*'Time Series Scaling Factors'!V48</f>
        <v>0</v>
      </c>
      <c r="W22">
        <f>$B22*'Time Series Scaling Factors'!W48</f>
        <v>0</v>
      </c>
      <c r="X22">
        <f>$B22*'Time Series Scaling Factors'!X48</f>
        <v>0</v>
      </c>
      <c r="Y22">
        <f>$B22*'Time Series Scaling Factors'!Y48</f>
        <v>0</v>
      </c>
      <c r="Z22">
        <f>$B22*'Time Series Scaling Factors'!Z48</f>
        <v>0</v>
      </c>
      <c r="AA22">
        <f>$B22*'Time Series Scaling Factors'!AA48</f>
        <v>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C22"/>
  <sheetViews>
    <sheetView topLeftCell="H1" workbookViewId="0">
      <selection activeCell="AA1" sqref="AA1"/>
    </sheetView>
  </sheetViews>
  <sheetFormatPr defaultRowHeight="14.4"/>
  <cols>
    <col min="1" max="1" width="36.33203125" customWidth="1"/>
    <col min="2" max="28" width="13" customWidth="1"/>
    <col min="29" max="29" width="16.33203125" customWidth="1"/>
    <col min="30" max="30" width="13" customWidth="1"/>
  </cols>
  <sheetData>
    <row r="1" spans="1:29">
      <c r="A1" s="24" t="s">
        <v>454</v>
      </c>
      <c r="B1" s="18">
        <v>2025</v>
      </c>
      <c r="C1" s="18">
        <v>2026</v>
      </c>
      <c r="D1" s="18">
        <v>2027</v>
      </c>
      <c r="E1" s="18">
        <v>2028</v>
      </c>
      <c r="F1" s="18">
        <v>2029</v>
      </c>
      <c r="G1" s="18">
        <v>2030</v>
      </c>
      <c r="H1" s="18">
        <v>2031</v>
      </c>
      <c r="I1" s="18">
        <v>2032</v>
      </c>
      <c r="J1" s="18">
        <v>2033</v>
      </c>
      <c r="K1" s="18">
        <v>2034</v>
      </c>
      <c r="L1" s="18">
        <v>2035</v>
      </c>
      <c r="M1" s="18">
        <v>2036</v>
      </c>
      <c r="N1" s="18">
        <v>2037</v>
      </c>
      <c r="O1" s="18">
        <v>2038</v>
      </c>
      <c r="P1" s="18">
        <v>2039</v>
      </c>
      <c r="Q1" s="18">
        <v>2040</v>
      </c>
      <c r="R1" s="18">
        <v>2041</v>
      </c>
      <c r="S1" s="18">
        <v>2042</v>
      </c>
      <c r="T1" s="18">
        <v>2043</v>
      </c>
      <c r="U1" s="18">
        <v>2044</v>
      </c>
      <c r="V1" s="18">
        <v>2045</v>
      </c>
      <c r="W1" s="18">
        <v>2046</v>
      </c>
      <c r="X1" s="18">
        <v>2047</v>
      </c>
      <c r="Y1" s="18">
        <v>2048</v>
      </c>
      <c r="Z1" s="18">
        <v>2049</v>
      </c>
      <c r="AA1" s="18">
        <v>2050</v>
      </c>
      <c r="AB1" s="18"/>
      <c r="AC1" s="18"/>
    </row>
    <row r="2" spans="1:29">
      <c r="A2" s="24" t="s">
        <v>115</v>
      </c>
      <c r="B2">
        <f>'Start Year Data'!$D26</f>
        <v>0</v>
      </c>
      <c r="C2">
        <f>$B2*'Time Series Scaling Factors'!C53</f>
        <v>0</v>
      </c>
      <c r="D2">
        <f>$B2*'Time Series Scaling Factors'!D53</f>
        <v>0</v>
      </c>
      <c r="E2">
        <f>$B2*'Time Series Scaling Factors'!E53</f>
        <v>0</v>
      </c>
      <c r="F2">
        <f>$B2*'Time Series Scaling Factors'!F53</f>
        <v>0</v>
      </c>
      <c r="G2">
        <f>$B2*'Time Series Scaling Factors'!G53</f>
        <v>0</v>
      </c>
      <c r="H2">
        <f>$B2*'Time Series Scaling Factors'!H53</f>
        <v>0</v>
      </c>
      <c r="I2">
        <f>$B2*'Time Series Scaling Factors'!I53</f>
        <v>0</v>
      </c>
      <c r="J2">
        <f>$B2*'Time Series Scaling Factors'!J53</f>
        <v>0</v>
      </c>
      <c r="K2">
        <f>$B2*'Time Series Scaling Factors'!K53</f>
        <v>0</v>
      </c>
      <c r="L2">
        <f>$B2*'Time Series Scaling Factors'!L53</f>
        <v>0</v>
      </c>
      <c r="M2">
        <f>$B2*'Time Series Scaling Factors'!M53</f>
        <v>0</v>
      </c>
      <c r="N2">
        <f>$B2*'Time Series Scaling Factors'!N53</f>
        <v>0</v>
      </c>
      <c r="O2">
        <f>$B2*'Time Series Scaling Factors'!O53</f>
        <v>0</v>
      </c>
      <c r="P2">
        <f>$B2*'Time Series Scaling Factors'!P53</f>
        <v>0</v>
      </c>
      <c r="Q2">
        <f>$B2*'Time Series Scaling Factors'!Q53</f>
        <v>0</v>
      </c>
      <c r="R2">
        <f>$B2*'Time Series Scaling Factors'!R53</f>
        <v>0</v>
      </c>
      <c r="S2">
        <f>$B2*'Time Series Scaling Factors'!S53</f>
        <v>0</v>
      </c>
      <c r="T2">
        <f>$B2*'Time Series Scaling Factors'!T53</f>
        <v>0</v>
      </c>
      <c r="U2">
        <f>$B2*'Time Series Scaling Factors'!U53</f>
        <v>0</v>
      </c>
      <c r="V2">
        <f>$B2*'Time Series Scaling Factors'!V53</f>
        <v>0</v>
      </c>
      <c r="W2">
        <f>$B2*'Time Series Scaling Factors'!W53</f>
        <v>0</v>
      </c>
      <c r="X2">
        <f>$B2*'Time Series Scaling Factors'!X53</f>
        <v>0</v>
      </c>
      <c r="Y2">
        <f>$B2*'Time Series Scaling Factors'!Y53</f>
        <v>0</v>
      </c>
      <c r="Z2">
        <f>$B2*'Time Series Scaling Factors'!Z53</f>
        <v>0</v>
      </c>
      <c r="AA2">
        <f>$B2*'Time Series Scaling Factors'!AA53</f>
        <v>0</v>
      </c>
    </row>
    <row r="3" spans="1:29">
      <c r="A3" s="1" t="s">
        <v>116</v>
      </c>
      <c r="B3">
        <f>'Start Year Data'!$D$27</f>
        <v>2129526400705924.3</v>
      </c>
      <c r="C3">
        <f>$B3*'Time Series Scaling Factors'!C54</f>
        <v>2212403001566728</v>
      </c>
      <c r="D3">
        <f>$B3*'Time Series Scaling Factors'!D54</f>
        <v>2365172614554454.5</v>
      </c>
      <c r="E3">
        <f>$B3*'Time Series Scaling Factors'!E54</f>
        <v>2463448154500192</v>
      </c>
      <c r="F3">
        <f>$B3*'Time Series Scaling Factors'!F54</f>
        <v>2378646362074680</v>
      </c>
      <c r="G3">
        <f>$B3*'Time Series Scaling Factors'!G54</f>
        <v>2495135580097129</v>
      </c>
      <c r="H3">
        <f>$B3*'Time Series Scaling Factors'!H54</f>
        <v>2513880911883896.5</v>
      </c>
      <c r="I3">
        <f>$B3*'Time Series Scaling Factors'!I54</f>
        <v>2663933471846083.5</v>
      </c>
      <c r="J3">
        <f>$B3*'Time Series Scaling Factors'!J54</f>
        <v>2689451120973634.5</v>
      </c>
      <c r="K3">
        <f>$B3*'Time Series Scaling Factors'!K54</f>
        <v>2682594084830274</v>
      </c>
      <c r="L3">
        <f>$B3*'Time Series Scaling Factors'!L54</f>
        <v>2703567175333814.5</v>
      </c>
      <c r="M3">
        <f>$B3*'Time Series Scaling Factors'!M54</f>
        <v>2651767678900354.5</v>
      </c>
      <c r="N3">
        <f>$B3*'Time Series Scaling Factors'!N54</f>
        <v>2700459378443322</v>
      </c>
      <c r="O3">
        <f>$B3*'Time Series Scaling Factors'!O54</f>
        <v>2720232574069532.5</v>
      </c>
      <c r="P3">
        <f>$B3*'Time Series Scaling Factors'!P54</f>
        <v>2705968694043630</v>
      </c>
      <c r="Q3">
        <f>$B3*'Time Series Scaling Factors'!Q54</f>
        <v>2722614209795070</v>
      </c>
      <c r="R3">
        <f>$B3*'Time Series Scaling Factors'!R54</f>
        <v>2667428554691218</v>
      </c>
      <c r="S3">
        <f>$B3*'Time Series Scaling Factors'!S54</f>
        <v>2641885835713924.5</v>
      </c>
      <c r="T3">
        <f>$B3*'Time Series Scaling Factors'!T54</f>
        <v>2675746557940263</v>
      </c>
      <c r="U3">
        <f>$B3*'Time Series Scaling Factors'!U54</f>
        <v>2697450131996645.5</v>
      </c>
      <c r="V3">
        <f>$B3*'Time Series Scaling Factors'!V54</f>
        <v>2687157661960985</v>
      </c>
      <c r="W3">
        <f>$B3*'Time Series Scaling Factors'!W54</f>
        <v>2699462635796663.5</v>
      </c>
      <c r="X3">
        <f>$B3*'Time Series Scaling Factors'!X54</f>
        <v>2695933838326013</v>
      </c>
      <c r="Y3">
        <f>$B3*'Time Series Scaling Factors'!Y54</f>
        <v>2681414072937221</v>
      </c>
      <c r="Z3">
        <f>$B3*'Time Series Scaling Factors'!Z54</f>
        <v>2690995077926741.5</v>
      </c>
      <c r="AA3">
        <f>$B3*'Time Series Scaling Factors'!AA54</f>
        <v>2623000458559630</v>
      </c>
    </row>
    <row r="4" spans="1:29">
      <c r="A4" s="1" t="s">
        <v>106</v>
      </c>
      <c r="B4">
        <f>'Start Year Data'!$D$28</f>
        <v>8975657999999999</v>
      </c>
      <c r="C4">
        <f>$B4*'Time Series Scaling Factors'!C55</f>
        <v>9088441000000000</v>
      </c>
      <c r="D4">
        <f>$B4*'Time Series Scaling Factors'!D55</f>
        <v>9822119000000000</v>
      </c>
      <c r="E4">
        <f>$B4*'Time Series Scaling Factors'!E55</f>
        <v>1.0434996999999998E+16</v>
      </c>
      <c r="F4">
        <f>$B4*'Time Series Scaling Factors'!F55</f>
        <v>1.0937449E+16</v>
      </c>
      <c r="G4">
        <f>$B4*'Time Series Scaling Factors'!G55</f>
        <v>1.2260552E+16</v>
      </c>
      <c r="H4">
        <f>$B4*'Time Series Scaling Factors'!H55</f>
        <v>1.2868597E+16</v>
      </c>
      <c r="I4">
        <f>$B4*'Time Series Scaling Factors'!I55</f>
        <v>1.3509771E+16</v>
      </c>
      <c r="J4">
        <f>$B4*'Time Series Scaling Factors'!J55</f>
        <v>1.3987963E+16</v>
      </c>
      <c r="K4">
        <f>$B4*'Time Series Scaling Factors'!K55</f>
        <v>1.4747663E+16</v>
      </c>
      <c r="L4">
        <f>$B4*'Time Series Scaling Factors'!L55</f>
        <v>1.5282458E+16</v>
      </c>
      <c r="M4">
        <f>$B4*'Time Series Scaling Factors'!M55</f>
        <v>1.5722227E+16</v>
      </c>
      <c r="N4">
        <f>$B4*'Time Series Scaling Factors'!N55</f>
        <v>1.5969494E+16</v>
      </c>
      <c r="O4">
        <f>$B4*'Time Series Scaling Factors'!O55</f>
        <v>1.6216170999999998E+16</v>
      </c>
      <c r="P4">
        <f>$B4*'Time Series Scaling Factors'!P55</f>
        <v>1.6470880999999998E+16</v>
      </c>
      <c r="Q4">
        <f>$B4*'Time Series Scaling Factors'!Q55</f>
        <v>1.6730671E+16</v>
      </c>
      <c r="R4">
        <f>$B4*'Time Series Scaling Factors'!R55</f>
        <v>1.697636E+16</v>
      </c>
      <c r="S4">
        <f>$B4*'Time Series Scaling Factors'!S55</f>
        <v>1.7203733E+16</v>
      </c>
      <c r="T4">
        <f>$B4*'Time Series Scaling Factors'!T55</f>
        <v>1.7429587999999998E+16</v>
      </c>
      <c r="U4">
        <f>$B4*'Time Series Scaling Factors'!U55</f>
        <v>1.7687986E+16</v>
      </c>
      <c r="V4">
        <f>$B4*'Time Series Scaling Factors'!V55</f>
        <v>1.789101E+16</v>
      </c>
      <c r="W4">
        <f>$B4*'Time Series Scaling Factors'!W55</f>
        <v>1.8132946E+16</v>
      </c>
      <c r="X4">
        <f>$B4*'Time Series Scaling Factors'!X55</f>
        <v>1.8363718E+16</v>
      </c>
      <c r="Y4">
        <f>$B4*'Time Series Scaling Factors'!Y55</f>
        <v>1.852001E+16</v>
      </c>
      <c r="Z4">
        <f>$B4*'Time Series Scaling Factors'!Z55</f>
        <v>1.8519235999999996E+16</v>
      </c>
      <c r="AA4">
        <f>$B4*'Time Series Scaling Factors'!AA55</f>
        <v>1.8544717999999996E+16</v>
      </c>
    </row>
    <row r="5" spans="1:29">
      <c r="A5" s="1" t="s">
        <v>117</v>
      </c>
      <c r="B5">
        <f>'Start Year Data'!$D$29</f>
        <v>0</v>
      </c>
      <c r="C5">
        <f>$B5*'Time Series Scaling Factors'!C56</f>
        <v>0</v>
      </c>
      <c r="D5">
        <f>$B5*'Time Series Scaling Factors'!D56</f>
        <v>0</v>
      </c>
      <c r="E5">
        <f>$B5*'Time Series Scaling Factors'!E56</f>
        <v>0</v>
      </c>
      <c r="F5">
        <f>$B5*'Time Series Scaling Factors'!F56</f>
        <v>0</v>
      </c>
      <c r="G5">
        <f>$B5*'Time Series Scaling Factors'!G56</f>
        <v>0</v>
      </c>
      <c r="H5">
        <f>$B5*'Time Series Scaling Factors'!H56</f>
        <v>0</v>
      </c>
      <c r="I5">
        <f>$B5*'Time Series Scaling Factors'!I56</f>
        <v>0</v>
      </c>
      <c r="J5">
        <f>$B5*'Time Series Scaling Factors'!J56</f>
        <v>0</v>
      </c>
      <c r="K5">
        <f>$B5*'Time Series Scaling Factors'!K56</f>
        <v>0</v>
      </c>
      <c r="L5">
        <f>$B5*'Time Series Scaling Factors'!L56</f>
        <v>0</v>
      </c>
      <c r="M5">
        <f>$B5*'Time Series Scaling Factors'!M56</f>
        <v>0</v>
      </c>
      <c r="N5">
        <f>$B5*'Time Series Scaling Factors'!N56</f>
        <v>0</v>
      </c>
      <c r="O5">
        <f>$B5*'Time Series Scaling Factors'!O56</f>
        <v>0</v>
      </c>
      <c r="P5">
        <f>$B5*'Time Series Scaling Factors'!P56</f>
        <v>0</v>
      </c>
      <c r="Q5">
        <f>$B5*'Time Series Scaling Factors'!Q56</f>
        <v>0</v>
      </c>
      <c r="R5">
        <f>$B5*'Time Series Scaling Factors'!R56</f>
        <v>0</v>
      </c>
      <c r="S5">
        <f>$B5*'Time Series Scaling Factors'!S56</f>
        <v>0</v>
      </c>
      <c r="T5">
        <f>$B5*'Time Series Scaling Factors'!T56</f>
        <v>0</v>
      </c>
      <c r="U5">
        <f>$B5*'Time Series Scaling Factors'!U56</f>
        <v>0</v>
      </c>
      <c r="V5">
        <f>$B5*'Time Series Scaling Factors'!V56</f>
        <v>0</v>
      </c>
      <c r="W5">
        <f>$B5*'Time Series Scaling Factors'!W56</f>
        <v>0</v>
      </c>
      <c r="X5">
        <f>$B5*'Time Series Scaling Factors'!X56</f>
        <v>0</v>
      </c>
      <c r="Y5">
        <f>$B5*'Time Series Scaling Factors'!Y56</f>
        <v>0</v>
      </c>
      <c r="Z5">
        <f>$B5*'Time Series Scaling Factors'!Z56</f>
        <v>0</v>
      </c>
      <c r="AA5">
        <f>$B5*'Time Series Scaling Factors'!AA56</f>
        <v>0</v>
      </c>
    </row>
    <row r="6" spans="1:29">
      <c r="A6" s="1" t="s">
        <v>118</v>
      </c>
      <c r="B6">
        <f>'Start Year Data'!$D$30</f>
        <v>0</v>
      </c>
      <c r="C6">
        <f>$B6*'Time Series Scaling Factors'!C57</f>
        <v>0</v>
      </c>
      <c r="D6">
        <f>$B6*'Time Series Scaling Factors'!D57</f>
        <v>0</v>
      </c>
      <c r="E6">
        <f>$B6*'Time Series Scaling Factors'!E57</f>
        <v>0</v>
      </c>
      <c r="F6">
        <f>$B6*'Time Series Scaling Factors'!F57</f>
        <v>0</v>
      </c>
      <c r="G6">
        <f>$B6*'Time Series Scaling Factors'!G57</f>
        <v>0</v>
      </c>
      <c r="H6">
        <f>$B6*'Time Series Scaling Factors'!H57</f>
        <v>0</v>
      </c>
      <c r="I6">
        <f>$B6*'Time Series Scaling Factors'!I57</f>
        <v>0</v>
      </c>
      <c r="J6">
        <f>$B6*'Time Series Scaling Factors'!J57</f>
        <v>0</v>
      </c>
      <c r="K6">
        <f>$B6*'Time Series Scaling Factors'!K57</f>
        <v>0</v>
      </c>
      <c r="L6">
        <f>$B6*'Time Series Scaling Factors'!L57</f>
        <v>0</v>
      </c>
      <c r="M6">
        <f>$B6*'Time Series Scaling Factors'!M57</f>
        <v>0</v>
      </c>
      <c r="N6">
        <f>$B6*'Time Series Scaling Factors'!N57</f>
        <v>0</v>
      </c>
      <c r="O6">
        <f>$B6*'Time Series Scaling Factors'!O57</f>
        <v>0</v>
      </c>
      <c r="P6">
        <f>$B6*'Time Series Scaling Factors'!P57</f>
        <v>0</v>
      </c>
      <c r="Q6">
        <f>$B6*'Time Series Scaling Factors'!Q57</f>
        <v>0</v>
      </c>
      <c r="R6">
        <f>$B6*'Time Series Scaling Factors'!R57</f>
        <v>0</v>
      </c>
      <c r="S6">
        <f>$B6*'Time Series Scaling Factors'!S57</f>
        <v>0</v>
      </c>
      <c r="T6">
        <f>$B6*'Time Series Scaling Factors'!T57</f>
        <v>0</v>
      </c>
      <c r="U6">
        <f>$B6*'Time Series Scaling Factors'!U57</f>
        <v>0</v>
      </c>
      <c r="V6">
        <f>$B6*'Time Series Scaling Factors'!V57</f>
        <v>0</v>
      </c>
      <c r="W6">
        <f>$B6*'Time Series Scaling Factors'!W57</f>
        <v>0</v>
      </c>
      <c r="X6">
        <f>$B6*'Time Series Scaling Factors'!X57</f>
        <v>0</v>
      </c>
      <c r="Y6">
        <f>$B6*'Time Series Scaling Factors'!Y57</f>
        <v>0</v>
      </c>
      <c r="Z6">
        <f>$B6*'Time Series Scaling Factors'!Z57</f>
        <v>0</v>
      </c>
      <c r="AA6">
        <f>$B6*'Time Series Scaling Factors'!AA57</f>
        <v>0</v>
      </c>
    </row>
    <row r="7" spans="1:29">
      <c r="A7" s="1" t="s">
        <v>119</v>
      </c>
      <c r="B7">
        <f>'Start Year Data'!$D$31</f>
        <v>0</v>
      </c>
      <c r="C7">
        <f>$B7*'Time Series Scaling Factors'!C58</f>
        <v>0</v>
      </c>
      <c r="D7">
        <f>$B7*'Time Series Scaling Factors'!D58</f>
        <v>0</v>
      </c>
      <c r="E7">
        <f>$B7*'Time Series Scaling Factors'!E58</f>
        <v>0</v>
      </c>
      <c r="F7">
        <f>$B7*'Time Series Scaling Factors'!F58</f>
        <v>0</v>
      </c>
      <c r="G7">
        <f>$B7*'Time Series Scaling Factors'!G58</f>
        <v>0</v>
      </c>
      <c r="H7">
        <f>$B7*'Time Series Scaling Factors'!H58</f>
        <v>0</v>
      </c>
      <c r="I7">
        <f>$B7*'Time Series Scaling Factors'!I58</f>
        <v>0</v>
      </c>
      <c r="J7">
        <f>$B7*'Time Series Scaling Factors'!J58</f>
        <v>0</v>
      </c>
      <c r="K7">
        <f>$B7*'Time Series Scaling Factors'!K58</f>
        <v>0</v>
      </c>
      <c r="L7">
        <f>$B7*'Time Series Scaling Factors'!L58</f>
        <v>0</v>
      </c>
      <c r="M7">
        <f>$B7*'Time Series Scaling Factors'!M58</f>
        <v>0</v>
      </c>
      <c r="N7">
        <f>$B7*'Time Series Scaling Factors'!N58</f>
        <v>0</v>
      </c>
      <c r="O7">
        <f>$B7*'Time Series Scaling Factors'!O58</f>
        <v>0</v>
      </c>
      <c r="P7">
        <f>$B7*'Time Series Scaling Factors'!P58</f>
        <v>0</v>
      </c>
      <c r="Q7">
        <f>$B7*'Time Series Scaling Factors'!Q58</f>
        <v>0</v>
      </c>
      <c r="R7">
        <f>$B7*'Time Series Scaling Factors'!R58</f>
        <v>0</v>
      </c>
      <c r="S7">
        <f>$B7*'Time Series Scaling Factors'!S58</f>
        <v>0</v>
      </c>
      <c r="T7">
        <f>$B7*'Time Series Scaling Factors'!T58</f>
        <v>0</v>
      </c>
      <c r="U7">
        <f>$B7*'Time Series Scaling Factors'!U58</f>
        <v>0</v>
      </c>
      <c r="V7">
        <f>$B7*'Time Series Scaling Factors'!V58</f>
        <v>0</v>
      </c>
      <c r="W7">
        <f>$B7*'Time Series Scaling Factors'!W58</f>
        <v>0</v>
      </c>
      <c r="X7">
        <f>$B7*'Time Series Scaling Factors'!X58</f>
        <v>0</v>
      </c>
      <c r="Y7">
        <f>$B7*'Time Series Scaling Factors'!Y58</f>
        <v>0</v>
      </c>
      <c r="Z7">
        <f>$B7*'Time Series Scaling Factors'!Z58</f>
        <v>0</v>
      </c>
      <c r="AA7">
        <f>$B7*'Time Series Scaling Factors'!AA58</f>
        <v>0</v>
      </c>
    </row>
    <row r="8" spans="1:29">
      <c r="A8" s="1" t="s">
        <v>120</v>
      </c>
      <c r="B8">
        <f>'Start Year Data'!$D$32</f>
        <v>0</v>
      </c>
      <c r="C8">
        <f>$B8*'Time Series Scaling Factors'!C59</f>
        <v>0</v>
      </c>
      <c r="D8">
        <f>$B8*'Time Series Scaling Factors'!D59</f>
        <v>0</v>
      </c>
      <c r="E8">
        <f>$B8*'Time Series Scaling Factors'!E59</f>
        <v>0</v>
      </c>
      <c r="F8">
        <f>$B8*'Time Series Scaling Factors'!F59</f>
        <v>0</v>
      </c>
      <c r="G8">
        <f>$B8*'Time Series Scaling Factors'!G59</f>
        <v>0</v>
      </c>
      <c r="H8">
        <f>$B8*'Time Series Scaling Factors'!H59</f>
        <v>0</v>
      </c>
      <c r="I8">
        <f>$B8*'Time Series Scaling Factors'!I59</f>
        <v>0</v>
      </c>
      <c r="J8">
        <f>$B8*'Time Series Scaling Factors'!J59</f>
        <v>0</v>
      </c>
      <c r="K8">
        <f>$B8*'Time Series Scaling Factors'!K59</f>
        <v>0</v>
      </c>
      <c r="L8">
        <f>$B8*'Time Series Scaling Factors'!L59</f>
        <v>0</v>
      </c>
      <c r="M8">
        <f>$B8*'Time Series Scaling Factors'!M59</f>
        <v>0</v>
      </c>
      <c r="N8">
        <f>$B8*'Time Series Scaling Factors'!N59</f>
        <v>0</v>
      </c>
      <c r="O8">
        <f>$B8*'Time Series Scaling Factors'!O59</f>
        <v>0</v>
      </c>
      <c r="P8">
        <f>$B8*'Time Series Scaling Factors'!P59</f>
        <v>0</v>
      </c>
      <c r="Q8">
        <f>$B8*'Time Series Scaling Factors'!Q59</f>
        <v>0</v>
      </c>
      <c r="R8">
        <f>$B8*'Time Series Scaling Factors'!R59</f>
        <v>0</v>
      </c>
      <c r="S8">
        <f>$B8*'Time Series Scaling Factors'!S59</f>
        <v>0</v>
      </c>
      <c r="T8">
        <f>$B8*'Time Series Scaling Factors'!T59</f>
        <v>0</v>
      </c>
      <c r="U8">
        <f>$B8*'Time Series Scaling Factors'!U59</f>
        <v>0</v>
      </c>
      <c r="V8">
        <f>$B8*'Time Series Scaling Factors'!V59</f>
        <v>0</v>
      </c>
      <c r="W8">
        <f>$B8*'Time Series Scaling Factors'!W59</f>
        <v>0</v>
      </c>
      <c r="X8">
        <f>$B8*'Time Series Scaling Factors'!X59</f>
        <v>0</v>
      </c>
      <c r="Y8">
        <f>$B8*'Time Series Scaling Factors'!Y59</f>
        <v>0</v>
      </c>
      <c r="Z8">
        <f>$B8*'Time Series Scaling Factors'!Z59</f>
        <v>0</v>
      </c>
      <c r="AA8">
        <f>$B8*'Time Series Scaling Factors'!AA59</f>
        <v>0</v>
      </c>
    </row>
    <row r="9" spans="1:29">
      <c r="A9" s="1" t="s">
        <v>109</v>
      </c>
      <c r="B9">
        <f>'Start Year Data'!$D$33</f>
        <v>158847922072000</v>
      </c>
      <c r="C9">
        <f>$B9*'Time Series Scaling Factors'!C60</f>
        <v>158847922072000</v>
      </c>
      <c r="D9">
        <f>$B9*'Time Series Scaling Factors'!D60</f>
        <v>158847922072000</v>
      </c>
      <c r="E9">
        <f>$B9*'Time Series Scaling Factors'!E60</f>
        <v>158847922072000</v>
      </c>
      <c r="F9">
        <f>$B9*'Time Series Scaling Factors'!F60</f>
        <v>158847922072000</v>
      </c>
      <c r="G9">
        <f>$B9*'Time Series Scaling Factors'!G60</f>
        <v>158847922072000</v>
      </c>
      <c r="H9">
        <f>$B9*'Time Series Scaling Factors'!H60</f>
        <v>158847922072000</v>
      </c>
      <c r="I9">
        <f>$B9*'Time Series Scaling Factors'!I60</f>
        <v>158847922072000</v>
      </c>
      <c r="J9">
        <f>$B9*'Time Series Scaling Factors'!J60</f>
        <v>158847922072000</v>
      </c>
      <c r="K9">
        <f>$B9*'Time Series Scaling Factors'!K60</f>
        <v>158847922072000</v>
      </c>
      <c r="L9">
        <f>$B9*'Time Series Scaling Factors'!L60</f>
        <v>158847922072000</v>
      </c>
      <c r="M9">
        <f>$B9*'Time Series Scaling Factors'!M60</f>
        <v>158847922072000</v>
      </c>
      <c r="N9">
        <f>$B9*'Time Series Scaling Factors'!N60</f>
        <v>158847922072000</v>
      </c>
      <c r="O9">
        <f>$B9*'Time Series Scaling Factors'!O60</f>
        <v>158847922072000</v>
      </c>
      <c r="P9">
        <f>$B9*'Time Series Scaling Factors'!P60</f>
        <v>158847922072000</v>
      </c>
      <c r="Q9">
        <f>$B9*'Time Series Scaling Factors'!Q60</f>
        <v>158847922072000</v>
      </c>
      <c r="R9">
        <f>$B9*'Time Series Scaling Factors'!R60</f>
        <v>158847922072000</v>
      </c>
      <c r="S9">
        <f>$B9*'Time Series Scaling Factors'!S60</f>
        <v>158847922072000</v>
      </c>
      <c r="T9">
        <f>$B9*'Time Series Scaling Factors'!T60</f>
        <v>158847922072000</v>
      </c>
      <c r="U9">
        <f>$B9*'Time Series Scaling Factors'!U60</f>
        <v>158847922072000</v>
      </c>
      <c r="V9">
        <f>$B9*'Time Series Scaling Factors'!V60</f>
        <v>158847922072000</v>
      </c>
      <c r="W9">
        <f>$B9*'Time Series Scaling Factors'!W60</f>
        <v>158847922072000</v>
      </c>
      <c r="X9">
        <f>$B9*'Time Series Scaling Factors'!X60</f>
        <v>158847922072000</v>
      </c>
      <c r="Y9">
        <f>$B9*'Time Series Scaling Factors'!Y60</f>
        <v>158847922072000</v>
      </c>
      <c r="Z9">
        <f>$B9*'Time Series Scaling Factors'!Z60</f>
        <v>158847922072000</v>
      </c>
      <c r="AA9">
        <f>$B9*'Time Series Scaling Factors'!AA60</f>
        <v>158847922072000</v>
      </c>
    </row>
    <row r="10" spans="1:29">
      <c r="A10" s="1" t="s">
        <v>110</v>
      </c>
      <c r="B10">
        <f>'Start Year Data'!$D$34</f>
        <v>1472806135206000</v>
      </c>
      <c r="C10">
        <f>$B10*'Time Series Scaling Factors'!C61</f>
        <v>1460915730329930</v>
      </c>
      <c r="D10">
        <f>$B10*'Time Series Scaling Factors'!D61</f>
        <v>1585743303923450.8</v>
      </c>
      <c r="E10">
        <f>$B10*'Time Series Scaling Factors'!E61</f>
        <v>1587431296126297</v>
      </c>
      <c r="F10">
        <f>$B10*'Time Series Scaling Factors'!F61</f>
        <v>1623893835043603</v>
      </c>
      <c r="G10">
        <f>$B10*'Time Series Scaling Factors'!G61</f>
        <v>1645405648757757.5</v>
      </c>
      <c r="H10">
        <f>$B10*'Time Series Scaling Factors'!H61</f>
        <v>1689611237523409.5</v>
      </c>
      <c r="I10">
        <f>$B10*'Time Series Scaling Factors'!I61</f>
        <v>1739007127216301.3</v>
      </c>
      <c r="J10">
        <f>$B10*'Time Series Scaling Factors'!J61</f>
        <v>1770565538938801</v>
      </c>
      <c r="K10">
        <f>$B10*'Time Series Scaling Factors'!K61</f>
        <v>1801700522108721.8</v>
      </c>
      <c r="L10">
        <f>$B10*'Time Series Scaling Factors'!L61</f>
        <v>1821881969086734.5</v>
      </c>
      <c r="M10">
        <f>$B10*'Time Series Scaling Factors'!M61</f>
        <v>1812115969521496.3</v>
      </c>
      <c r="N10">
        <f>$B10*'Time Series Scaling Factors'!N61</f>
        <v>1832152458977004.5</v>
      </c>
      <c r="O10">
        <f>$B10*'Time Series Scaling Factors'!O61</f>
        <v>1864330461405512.3</v>
      </c>
      <c r="P10">
        <f>$B10*'Time Series Scaling Factors'!P61</f>
        <v>1877486970472322</v>
      </c>
      <c r="Q10">
        <f>$B10*'Time Series Scaling Factors'!Q61</f>
        <v>1899588077596536</v>
      </c>
      <c r="R10">
        <f>$B10*'Time Series Scaling Factors'!R61</f>
        <v>1917158601910858.5</v>
      </c>
      <c r="S10">
        <f>$B10*'Time Series Scaling Factors'!S61</f>
        <v>1923611045639053.3</v>
      </c>
      <c r="T10">
        <f>$B10*'Time Series Scaling Factors'!T61</f>
        <v>1936050029641280.8</v>
      </c>
      <c r="U10">
        <f>$B10*'Time Series Scaling Factors'!U61</f>
        <v>1930621238377167.5</v>
      </c>
      <c r="V10">
        <f>$B10*'Time Series Scaling Factors'!V61</f>
        <v>1950202094648326.8</v>
      </c>
      <c r="W10">
        <f>$B10*'Time Series Scaling Factors'!W61</f>
        <v>1963417804484701.8</v>
      </c>
      <c r="X10">
        <f>$B10*'Time Series Scaling Factors'!X61</f>
        <v>1979365332732280.5</v>
      </c>
      <c r="Y10">
        <f>$B10*'Time Series Scaling Factors'!Y61</f>
        <v>1969293719281033.5</v>
      </c>
      <c r="Z10">
        <f>$B10*'Time Series Scaling Factors'!Z61</f>
        <v>1955265704461515.3</v>
      </c>
      <c r="AA10">
        <f>$B10*'Time Series Scaling Factors'!AA61</f>
        <v>1958892356809717</v>
      </c>
    </row>
    <row r="11" spans="1:29">
      <c r="A11" s="1" t="s">
        <v>121</v>
      </c>
      <c r="B11">
        <f>'Start Year Data'!$D$35</f>
        <v>2753075575000000</v>
      </c>
      <c r="C11">
        <f>$B11*'Time Series Scaling Factors'!C62</f>
        <v>2730849171633890.5</v>
      </c>
      <c r="D11">
        <f>$B11*'Time Series Scaling Factors'!D62</f>
        <v>2964185885633095.5</v>
      </c>
      <c r="E11">
        <f>$B11*'Time Series Scaling Factors'!E62</f>
        <v>2967341202543692.5</v>
      </c>
      <c r="F11">
        <f>$B11*'Time Series Scaling Factors'!F62</f>
        <v>3035499613142438</v>
      </c>
      <c r="G11">
        <f>$B11*'Time Series Scaling Factors'!G62</f>
        <v>3075711048642810.5</v>
      </c>
      <c r="H11">
        <f>$B11*'Time Series Scaling Factors'!H62</f>
        <v>3158343327121328</v>
      </c>
      <c r="I11">
        <f>$B11*'Time Series Scaling Factors'!I62</f>
        <v>3250677690869666</v>
      </c>
      <c r="J11">
        <f>$B11*'Time Series Scaling Factors'!J62</f>
        <v>3309668952803033</v>
      </c>
      <c r="K11">
        <f>$B11*'Time Series Scaling Factors'!K62</f>
        <v>3367868711511368.5</v>
      </c>
      <c r="L11">
        <f>$B11*'Time Series Scaling Factors'!L62</f>
        <v>3405593329446609</v>
      </c>
      <c r="M11">
        <f>$B11*'Time Series Scaling Factors'!M62</f>
        <v>3387338017884671.5</v>
      </c>
      <c r="N11">
        <f>$B11*'Time Series Scaling Factors'!N62</f>
        <v>3424791670751883</v>
      </c>
      <c r="O11">
        <f>$B11*'Time Series Scaling Factors'!O62</f>
        <v>3484941116371774</v>
      </c>
      <c r="P11">
        <f>$B11*'Time Series Scaling Factors'!P62</f>
        <v>3509534213112937.5</v>
      </c>
      <c r="Q11">
        <f>$B11*'Time Series Scaling Factors'!Q62</f>
        <v>3550847198406566.5</v>
      </c>
      <c r="R11">
        <f>$B11*'Time Series Scaling Factors'!R62</f>
        <v>3583691291171660</v>
      </c>
      <c r="S11">
        <f>$B11*'Time Series Scaling Factors'!S62</f>
        <v>3595752664900708.5</v>
      </c>
      <c r="T11">
        <f>$B11*'Time Series Scaling Factors'!T62</f>
        <v>3619004511980744.5</v>
      </c>
      <c r="U11">
        <f>$B11*'Time Series Scaling Factors'!U62</f>
        <v>3608856623352541.5</v>
      </c>
      <c r="V11">
        <f>$B11*'Time Series Scaling Factors'!V62</f>
        <v>3645458573771613</v>
      </c>
      <c r="W11">
        <f>$B11*'Time Series Scaling Factors'!W62</f>
        <v>3670162332865964.5</v>
      </c>
      <c r="X11">
        <f>$B11*'Time Series Scaling Factors'!X62</f>
        <v>3699972604191247</v>
      </c>
      <c r="Y11">
        <f>$B11*'Time Series Scaling Factors'!Y62</f>
        <v>3681146017086087</v>
      </c>
      <c r="Z11">
        <f>$B11*'Time Series Scaling Factors'!Z62</f>
        <v>3654923838863050</v>
      </c>
      <c r="AA11">
        <f>$B11*'Time Series Scaling Factors'!AA62</f>
        <v>3661703039302390</v>
      </c>
    </row>
    <row r="12" spans="1:29">
      <c r="A12" s="1" t="s">
        <v>122</v>
      </c>
      <c r="B12">
        <f>'Start Year Data'!$D$36</f>
        <v>184633752099000</v>
      </c>
      <c r="C12">
        <f>$B12*'Time Series Scaling Factors'!C63</f>
        <v>183143148540414.22</v>
      </c>
      <c r="D12">
        <f>$B12*'Time Series Scaling Factors'!D63</f>
        <v>198791768360131.47</v>
      </c>
      <c r="E12">
        <f>$B12*'Time Series Scaling Factors'!E63</f>
        <v>199003378243112.97</v>
      </c>
      <c r="F12">
        <f>$B12*'Time Series Scaling Factors'!F63</f>
        <v>203574390822726.09</v>
      </c>
      <c r="G12">
        <f>$B12*'Time Series Scaling Factors'!G63</f>
        <v>206271152321444</v>
      </c>
      <c r="H12">
        <f>$B12*'Time Series Scaling Factors'!H63</f>
        <v>211812848219123.13</v>
      </c>
      <c r="I12">
        <f>$B12*'Time Series Scaling Factors'!I63</f>
        <v>218005210020353.19</v>
      </c>
      <c r="J12">
        <f>$B12*'Time Series Scaling Factors'!J63</f>
        <v>221961431974707.84</v>
      </c>
      <c r="K12">
        <f>$B12*'Time Series Scaling Factors'!K63</f>
        <v>225864572127907.72</v>
      </c>
      <c r="L12">
        <f>$B12*'Time Series Scaling Factors'!L63</f>
        <v>228394556345970.72</v>
      </c>
      <c r="M12">
        <f>$B12*'Time Series Scaling Factors'!M63</f>
        <v>227170272239851.78</v>
      </c>
      <c r="N12">
        <f>$B12*'Time Series Scaling Factors'!N63</f>
        <v>229682084309771.69</v>
      </c>
      <c r="O12">
        <f>$B12*'Time Series Scaling Factors'!O63</f>
        <v>233715979322434.13</v>
      </c>
      <c r="P12">
        <f>$B12*'Time Series Scaling Factors'!P63</f>
        <v>235365304087902.91</v>
      </c>
      <c r="Q12">
        <f>$B12*'Time Series Scaling Factors'!Q63</f>
        <v>238135940518823.81</v>
      </c>
      <c r="R12">
        <f>$B12*'Time Series Scaling Factors'!R63</f>
        <v>240338614552393.28</v>
      </c>
      <c r="S12">
        <f>$B12*'Time Series Scaling Factors'!S63</f>
        <v>241147505055539.94</v>
      </c>
      <c r="T12">
        <f>$B12*'Time Series Scaling Factors'!T63</f>
        <v>242706879526986.91</v>
      </c>
      <c r="U12">
        <f>$B12*'Time Series Scaling Factors'!U63</f>
        <v>242026316025453.59</v>
      </c>
      <c r="V12">
        <f>$B12*'Time Series Scaling Factors'!V63</f>
        <v>244481009060901.69</v>
      </c>
      <c r="W12">
        <f>$B12*'Time Series Scaling Factors'!W63</f>
        <v>246137755346386.38</v>
      </c>
      <c r="X12">
        <f>$B12*'Time Series Scaling Factors'!X63</f>
        <v>248136967535058.72</v>
      </c>
      <c r="Y12">
        <f>$B12*'Time Series Scaling Factors'!Y63</f>
        <v>246874371096366.94</v>
      </c>
      <c r="Z12">
        <f>$B12*'Time Series Scaling Factors'!Z63</f>
        <v>245115792727689.97</v>
      </c>
      <c r="AA12">
        <f>$B12*'Time Series Scaling Factors'!AA63</f>
        <v>245570436699222.22</v>
      </c>
    </row>
    <row r="13" spans="1:29">
      <c r="A13" s="1" t="s">
        <v>123</v>
      </c>
      <c r="B13">
        <f>'Start Year Data'!$D$37</f>
        <v>23059777000000</v>
      </c>
      <c r="C13">
        <f>$B13*'Time Series Scaling Factors'!C64</f>
        <v>22873608516363.465</v>
      </c>
      <c r="D13">
        <f>$B13*'Time Series Scaling Factors'!D64</f>
        <v>24828038187526.578</v>
      </c>
      <c r="E13">
        <f>$B13*'Time Series Scaling Factors'!E64</f>
        <v>24854467140288.871</v>
      </c>
      <c r="F13">
        <f>$B13*'Time Series Scaling Factors'!F64</f>
        <v>25425362383177.91</v>
      </c>
      <c r="G13">
        <f>$B13*'Time Series Scaling Factors'!G64</f>
        <v>25762173600388.488</v>
      </c>
      <c r="H13">
        <f>$B13*'Time Series Scaling Factors'!H64</f>
        <v>26454302044670.848</v>
      </c>
      <c r="I13">
        <f>$B13*'Time Series Scaling Factors'!I64</f>
        <v>27227695211501.57</v>
      </c>
      <c r="J13">
        <f>$B13*'Time Series Scaling Factors'!J64</f>
        <v>27721806363946.789</v>
      </c>
      <c r="K13">
        <f>$B13*'Time Series Scaling Factors'!K64</f>
        <v>28209287880783.836</v>
      </c>
      <c r="L13">
        <f>$B13*'Time Series Scaling Factors'!L64</f>
        <v>28525269499630.91</v>
      </c>
      <c r="M13">
        <f>$B13*'Time Series Scaling Factors'!M64</f>
        <v>28372362904001.48</v>
      </c>
      <c r="N13">
        <f>$B13*'Time Series Scaling Factors'!N64</f>
        <v>28686074917865.574</v>
      </c>
      <c r="O13">
        <f>$B13*'Time Series Scaling Factors'!O64</f>
        <v>29189887023593.301</v>
      </c>
      <c r="P13">
        <f>$B13*'Time Series Scaling Factors'!P64</f>
        <v>29395878944679.832</v>
      </c>
      <c r="Q13">
        <f>$B13*'Time Series Scaling Factors'!Q64</f>
        <v>29741916749354.102</v>
      </c>
      <c r="R13">
        <f>$B13*'Time Series Scaling Factors'!R64</f>
        <v>30017019061040.688</v>
      </c>
      <c r="S13">
        <f>$B13*'Time Series Scaling Factors'!S64</f>
        <v>30118045197421.094</v>
      </c>
      <c r="T13">
        <f>$B13*'Time Series Scaling Factors'!T64</f>
        <v>30312802803558.996</v>
      </c>
      <c r="U13">
        <f>$B13*'Time Series Scaling Factors'!U64</f>
        <v>30227804029492.582</v>
      </c>
      <c r="V13">
        <f>$B13*'Time Series Scaling Factors'!V64</f>
        <v>30534382178706.246</v>
      </c>
      <c r="W13">
        <f>$B13*'Time Series Scaling Factors'!W64</f>
        <v>30741301008305.559</v>
      </c>
      <c r="X13">
        <f>$B13*'Time Series Scaling Factors'!X64</f>
        <v>30990992013998.531</v>
      </c>
      <c r="Y13">
        <f>$B13*'Time Series Scaling Factors'!Y64</f>
        <v>30833300411102.355</v>
      </c>
      <c r="Z13">
        <f>$B13*'Time Series Scaling Factors'!Z64</f>
        <v>30613663294065.535</v>
      </c>
      <c r="AA13">
        <f>$B13*'Time Series Scaling Factors'!AA64</f>
        <v>30670445916304.113</v>
      </c>
    </row>
    <row r="14" spans="1:29">
      <c r="A14" s="1" t="s">
        <v>112</v>
      </c>
      <c r="B14">
        <f>'Start Year Data'!$D$38</f>
        <v>447136200000000</v>
      </c>
      <c r="C14">
        <f>$B14*'Time Series Scaling Factors'!C65</f>
        <v>443526335588344.94</v>
      </c>
      <c r="D14">
        <f>$B14*'Time Series Scaling Factors'!D65</f>
        <v>481423330703741.06</v>
      </c>
      <c r="E14">
        <f>$B14*'Time Series Scaling Factors'!E65</f>
        <v>481935796262627.88</v>
      </c>
      <c r="F14">
        <f>$B14*'Time Series Scaling Factors'!F65</f>
        <v>493005631391713.56</v>
      </c>
      <c r="G14">
        <f>$B14*'Time Series Scaling Factors'!G65</f>
        <v>499536504946167.88</v>
      </c>
      <c r="H14">
        <f>$B14*'Time Series Scaling Factors'!H65</f>
        <v>512957089303437.44</v>
      </c>
      <c r="I14">
        <f>$B14*'Time Series Scaling Factors'!I65</f>
        <v>527953421736429.13</v>
      </c>
      <c r="J14">
        <f>$B14*'Time Series Scaling Factors'!J65</f>
        <v>537534389630523.5</v>
      </c>
      <c r="K14">
        <f>$B14*'Time Series Scaling Factors'!K65</f>
        <v>546986806842049.56</v>
      </c>
      <c r="L14">
        <f>$B14*'Time Series Scaling Factors'!L65</f>
        <v>553113788049245.5</v>
      </c>
      <c r="M14">
        <f>$B14*'Time Series Scaling Factors'!M65</f>
        <v>550148881921806.38</v>
      </c>
      <c r="N14">
        <f>$B14*'Time Series Scaling Factors'!N65</f>
        <v>556231854787222.13</v>
      </c>
      <c r="O14">
        <f>$B14*'Time Series Scaling Factors'!O65</f>
        <v>566000927162427.38</v>
      </c>
      <c r="P14">
        <f>$B14*'Time Series Scaling Factors'!P65</f>
        <v>569995174150389.63</v>
      </c>
      <c r="Q14">
        <f>$B14*'Time Series Scaling Factors'!Q65</f>
        <v>576704954086179.88</v>
      </c>
      <c r="R14">
        <f>$B14*'Time Series Scaling Factors'!R65</f>
        <v>582039272898489</v>
      </c>
      <c r="S14">
        <f>$B14*'Time Series Scaling Factors'!S65</f>
        <v>583998200893404.88</v>
      </c>
      <c r="T14">
        <f>$B14*'Time Series Scaling Factors'!T65</f>
        <v>587774611043841.25</v>
      </c>
      <c r="U14">
        <f>$B14*'Time Series Scaling Factors'!U65</f>
        <v>586126458555605.25</v>
      </c>
      <c r="V14">
        <f>$B14*'Time Series Scaling Factors'!V65</f>
        <v>592071103581549.38</v>
      </c>
      <c r="W14">
        <f>$B14*'Time Series Scaling Factors'!W65</f>
        <v>596083323611929</v>
      </c>
      <c r="X14">
        <f>$B14*'Time Series Scaling Factors'!X65</f>
        <v>600924909350582.63</v>
      </c>
      <c r="Y14">
        <f>$B14*'Time Series Scaling Factors'!Y65</f>
        <v>597867220453985.5</v>
      </c>
      <c r="Z14">
        <f>$B14*'Time Series Scaling Factors'!Z65</f>
        <v>593608388901069.88</v>
      </c>
      <c r="AA14">
        <f>$B14*'Time Series Scaling Factors'!AA65</f>
        <v>594709421488409.88</v>
      </c>
    </row>
    <row r="15" spans="1:29">
      <c r="A15" s="1" t="s">
        <v>124</v>
      </c>
      <c r="B15">
        <f>'Start Year Data'!$D$39</f>
        <v>0</v>
      </c>
      <c r="C15">
        <f>$B15*'Time Series Scaling Factors'!C66</f>
        <v>0</v>
      </c>
      <c r="D15">
        <f>$B15*'Time Series Scaling Factors'!D66</f>
        <v>0</v>
      </c>
      <c r="E15">
        <f>$B15*'Time Series Scaling Factors'!E66</f>
        <v>0</v>
      </c>
      <c r="F15">
        <f>$B15*'Time Series Scaling Factors'!F66</f>
        <v>0</v>
      </c>
      <c r="G15">
        <f>$B15*'Time Series Scaling Factors'!G66</f>
        <v>0</v>
      </c>
      <c r="H15">
        <f>$B15*'Time Series Scaling Factors'!H66</f>
        <v>0</v>
      </c>
      <c r="I15">
        <f>$B15*'Time Series Scaling Factors'!I66</f>
        <v>0</v>
      </c>
      <c r="J15">
        <f>$B15*'Time Series Scaling Factors'!J66</f>
        <v>0</v>
      </c>
      <c r="K15">
        <f>$B15*'Time Series Scaling Factors'!K66</f>
        <v>0</v>
      </c>
      <c r="L15">
        <f>$B15*'Time Series Scaling Factors'!L66</f>
        <v>0</v>
      </c>
      <c r="M15">
        <f>$B15*'Time Series Scaling Factors'!M66</f>
        <v>0</v>
      </c>
      <c r="N15">
        <f>$B15*'Time Series Scaling Factors'!N66</f>
        <v>0</v>
      </c>
      <c r="O15">
        <f>$B15*'Time Series Scaling Factors'!O66</f>
        <v>0</v>
      </c>
      <c r="P15">
        <f>$B15*'Time Series Scaling Factors'!P66</f>
        <v>0</v>
      </c>
      <c r="Q15">
        <f>$B15*'Time Series Scaling Factors'!Q66</f>
        <v>0</v>
      </c>
      <c r="R15">
        <f>$B15*'Time Series Scaling Factors'!R66</f>
        <v>0</v>
      </c>
      <c r="S15">
        <f>$B15*'Time Series Scaling Factors'!S66</f>
        <v>0</v>
      </c>
      <c r="T15">
        <f>$B15*'Time Series Scaling Factors'!T66</f>
        <v>0</v>
      </c>
      <c r="U15">
        <f>$B15*'Time Series Scaling Factors'!U66</f>
        <v>0</v>
      </c>
      <c r="V15">
        <f>$B15*'Time Series Scaling Factors'!V66</f>
        <v>0</v>
      </c>
      <c r="W15">
        <f>$B15*'Time Series Scaling Factors'!W66</f>
        <v>0</v>
      </c>
      <c r="X15">
        <f>$B15*'Time Series Scaling Factors'!X66</f>
        <v>0</v>
      </c>
      <c r="Y15">
        <f>$B15*'Time Series Scaling Factors'!Y66</f>
        <v>0</v>
      </c>
      <c r="Z15">
        <f>$B15*'Time Series Scaling Factors'!Z66</f>
        <v>0</v>
      </c>
      <c r="AA15">
        <f>$B15*'Time Series Scaling Factors'!AA66</f>
        <v>0</v>
      </c>
    </row>
    <row r="16" spans="1:29">
      <c r="A16" s="1" t="s">
        <v>125</v>
      </c>
      <c r="B16">
        <f>'Start Year Data'!$D$40</f>
        <v>0</v>
      </c>
      <c r="C16">
        <f>$B16*'Time Series Scaling Factors'!C67</f>
        <v>0</v>
      </c>
      <c r="D16">
        <f>$B16*'Time Series Scaling Factors'!D67</f>
        <v>0</v>
      </c>
      <c r="E16">
        <f>$B16*'Time Series Scaling Factors'!E67</f>
        <v>0</v>
      </c>
      <c r="F16">
        <f>$B16*'Time Series Scaling Factors'!F67</f>
        <v>0</v>
      </c>
      <c r="G16">
        <f>$B16*'Time Series Scaling Factors'!G67</f>
        <v>0</v>
      </c>
      <c r="H16">
        <f>$B16*'Time Series Scaling Factors'!H67</f>
        <v>0</v>
      </c>
      <c r="I16">
        <f>$B16*'Time Series Scaling Factors'!I67</f>
        <v>0</v>
      </c>
      <c r="J16">
        <f>$B16*'Time Series Scaling Factors'!J67</f>
        <v>0</v>
      </c>
      <c r="K16">
        <f>$B16*'Time Series Scaling Factors'!K67</f>
        <v>0</v>
      </c>
      <c r="L16">
        <f>$B16*'Time Series Scaling Factors'!L67</f>
        <v>0</v>
      </c>
      <c r="M16">
        <f>$B16*'Time Series Scaling Factors'!M67</f>
        <v>0</v>
      </c>
      <c r="N16">
        <f>$B16*'Time Series Scaling Factors'!N67</f>
        <v>0</v>
      </c>
      <c r="O16">
        <f>$B16*'Time Series Scaling Factors'!O67</f>
        <v>0</v>
      </c>
      <c r="P16">
        <f>$B16*'Time Series Scaling Factors'!P67</f>
        <v>0</v>
      </c>
      <c r="Q16">
        <f>$B16*'Time Series Scaling Factors'!Q67</f>
        <v>0</v>
      </c>
      <c r="R16">
        <f>$B16*'Time Series Scaling Factors'!R67</f>
        <v>0</v>
      </c>
      <c r="S16">
        <f>$B16*'Time Series Scaling Factors'!S67</f>
        <v>0</v>
      </c>
      <c r="T16">
        <f>$B16*'Time Series Scaling Factors'!T67</f>
        <v>0</v>
      </c>
      <c r="U16">
        <f>$B16*'Time Series Scaling Factors'!U67</f>
        <v>0</v>
      </c>
      <c r="V16">
        <f>$B16*'Time Series Scaling Factors'!V67</f>
        <v>0</v>
      </c>
      <c r="W16">
        <f>$B16*'Time Series Scaling Factors'!W67</f>
        <v>0</v>
      </c>
      <c r="X16">
        <f>$B16*'Time Series Scaling Factors'!X67</f>
        <v>0</v>
      </c>
      <c r="Y16">
        <f>$B16*'Time Series Scaling Factors'!Y67</f>
        <v>0</v>
      </c>
      <c r="Z16">
        <f>$B16*'Time Series Scaling Factors'!Z67</f>
        <v>0</v>
      </c>
      <c r="AA16">
        <f>$B16*'Time Series Scaling Factors'!AA67</f>
        <v>0</v>
      </c>
    </row>
    <row r="17" spans="1:27">
      <c r="A17" s="1" t="s">
        <v>126</v>
      </c>
      <c r="B17">
        <f>'Start Year Data'!$D$41</f>
        <v>0</v>
      </c>
      <c r="C17">
        <f>$B17*'Time Series Scaling Factors'!C68</f>
        <v>0</v>
      </c>
      <c r="D17">
        <f>$B17*'Time Series Scaling Factors'!D68</f>
        <v>0</v>
      </c>
      <c r="E17">
        <f>$B17*'Time Series Scaling Factors'!E68</f>
        <v>0</v>
      </c>
      <c r="F17">
        <f>$B17*'Time Series Scaling Factors'!F68</f>
        <v>0</v>
      </c>
      <c r="G17">
        <f>$B17*'Time Series Scaling Factors'!G68</f>
        <v>0</v>
      </c>
      <c r="H17">
        <f>$B17*'Time Series Scaling Factors'!H68</f>
        <v>0</v>
      </c>
      <c r="I17">
        <f>$B17*'Time Series Scaling Factors'!I68</f>
        <v>0</v>
      </c>
      <c r="J17">
        <f>$B17*'Time Series Scaling Factors'!J68</f>
        <v>0</v>
      </c>
      <c r="K17">
        <f>$B17*'Time Series Scaling Factors'!K68</f>
        <v>0</v>
      </c>
      <c r="L17">
        <f>$B17*'Time Series Scaling Factors'!L68</f>
        <v>0</v>
      </c>
      <c r="M17">
        <f>$B17*'Time Series Scaling Factors'!M68</f>
        <v>0</v>
      </c>
      <c r="N17">
        <f>$B17*'Time Series Scaling Factors'!N68</f>
        <v>0</v>
      </c>
      <c r="O17">
        <f>$B17*'Time Series Scaling Factors'!O68</f>
        <v>0</v>
      </c>
      <c r="P17">
        <f>$B17*'Time Series Scaling Factors'!P68</f>
        <v>0</v>
      </c>
      <c r="Q17">
        <f>$B17*'Time Series Scaling Factors'!Q68</f>
        <v>0</v>
      </c>
      <c r="R17">
        <f>$B17*'Time Series Scaling Factors'!R68</f>
        <v>0</v>
      </c>
      <c r="S17">
        <f>$B17*'Time Series Scaling Factors'!S68</f>
        <v>0</v>
      </c>
      <c r="T17">
        <f>$B17*'Time Series Scaling Factors'!T68</f>
        <v>0</v>
      </c>
      <c r="U17">
        <f>$B17*'Time Series Scaling Factors'!U68</f>
        <v>0</v>
      </c>
      <c r="V17">
        <f>$B17*'Time Series Scaling Factors'!V68</f>
        <v>0</v>
      </c>
      <c r="W17">
        <f>$B17*'Time Series Scaling Factors'!W68</f>
        <v>0</v>
      </c>
      <c r="X17">
        <f>$B17*'Time Series Scaling Factors'!X68</f>
        <v>0</v>
      </c>
      <c r="Y17">
        <f>$B17*'Time Series Scaling Factors'!Y68</f>
        <v>0</v>
      </c>
      <c r="Z17">
        <f>$B17*'Time Series Scaling Factors'!Z68</f>
        <v>0</v>
      </c>
      <c r="AA17">
        <f>$B17*'Time Series Scaling Factors'!AA68</f>
        <v>0</v>
      </c>
    </row>
    <row r="18" spans="1:27">
      <c r="A18" s="1" t="s">
        <v>113</v>
      </c>
      <c r="B18">
        <f>'Start Year Data'!$D$42</f>
        <v>8531505412304000</v>
      </c>
      <c r="C18">
        <f>$B18*'Time Series Scaling Factors'!C69</f>
        <v>8462628014844973</v>
      </c>
      <c r="D18">
        <f>$B18*'Time Series Scaling Factors'!D69</f>
        <v>9185715116576080</v>
      </c>
      <c r="E18">
        <f>$B18*'Time Series Scaling Factors'!E69</f>
        <v>9195493127592102</v>
      </c>
      <c r="F18">
        <f>$B18*'Time Series Scaling Factors'!F69</f>
        <v>9406709214138232</v>
      </c>
      <c r="G18">
        <f>$B18*'Time Series Scaling Factors'!G69</f>
        <v>9531320424496282</v>
      </c>
      <c r="H18">
        <f>$B18*'Time Series Scaling Factors'!H69</f>
        <v>9787389577654376</v>
      </c>
      <c r="I18">
        <f>$B18*'Time Series Scaling Factors'!I69</f>
        <v>1.0073524521138662E+16</v>
      </c>
      <c r="J18">
        <f>$B18*'Time Series Scaling Factors'!J69</f>
        <v>1.0256332532307468E+16</v>
      </c>
      <c r="K18">
        <f>$B18*'Time Series Scaling Factors'!K69</f>
        <v>1.0436687754272252E+16</v>
      </c>
      <c r="L18">
        <f>$B18*'Time Series Scaling Factors'!L69</f>
        <v>1.0553592566117674E+16</v>
      </c>
      <c r="M18">
        <f>$B18*'Time Series Scaling Factors'!M69</f>
        <v>1.0497021184348046E+16</v>
      </c>
      <c r="N18">
        <f>$B18*'Time Series Scaling Factors'!N69</f>
        <v>1.0613086302592092E+16</v>
      </c>
      <c r="O18">
        <f>$B18*'Time Series Scaling Factors'!O69</f>
        <v>1.0799483408982166E+16</v>
      </c>
      <c r="P18">
        <f>$B18*'Time Series Scaling Factors'!P69</f>
        <v>1.0875694952122442E+16</v>
      </c>
      <c r="Q18">
        <f>$B18*'Time Series Scaling Factors'!Q69</f>
        <v>1.1003719754939934E+16</v>
      </c>
      <c r="R18">
        <f>$B18*'Time Series Scaling Factors'!R69</f>
        <v>1.1105500308199032E+16</v>
      </c>
      <c r="S18">
        <f>$B18*'Time Series Scaling Factors'!S69</f>
        <v>1.114287729711413E+16</v>
      </c>
      <c r="T18">
        <f>$B18*'Time Series Scaling Factors'!T69</f>
        <v>1.1214932441916826E+16</v>
      </c>
      <c r="U18">
        <f>$B18*'Time Series Scaling Factors'!U69</f>
        <v>1.1183485151642212E+16</v>
      </c>
      <c r="V18">
        <f>$B18*'Time Series Scaling Factors'!V69</f>
        <v>1.1296910929320398E+16</v>
      </c>
      <c r="W18">
        <f>$B18*'Time Series Scaling Factors'!W69</f>
        <v>1.1373465404007388E+16</v>
      </c>
      <c r="X18">
        <f>$B18*'Time Series Scaling Factors'!X69</f>
        <v>1.1465844448543388E+16</v>
      </c>
      <c r="Y18">
        <f>$B18*'Time Series Scaling Factors'!Y69</f>
        <v>1.1407502741093936E+16</v>
      </c>
      <c r="Z18">
        <f>$B18*'Time Series Scaling Factors'!Z69</f>
        <v>1.1326242837637694E+16</v>
      </c>
      <c r="AA18">
        <f>$B18*'Time Series Scaling Factors'!AA69</f>
        <v>1.1347250900679814E+16</v>
      </c>
    </row>
    <row r="19" spans="1:27">
      <c r="A19" s="1" t="s">
        <v>127</v>
      </c>
      <c r="B19">
        <f>'Start Year Data'!$D$43</f>
        <v>314368861000000</v>
      </c>
      <c r="C19">
        <f>$B19*'Time Series Scaling Factors'!C70</f>
        <v>311830867065587.06</v>
      </c>
      <c r="D19">
        <f>$B19*'Time Series Scaling Factors'!D70</f>
        <v>338475176315765.5</v>
      </c>
      <c r="E19">
        <f>$B19*'Time Series Scaling Factors'!E70</f>
        <v>338835476407882.81</v>
      </c>
      <c r="F19">
        <f>$B19*'Time Series Scaling Factors'!F70</f>
        <v>346618365516365.81</v>
      </c>
      <c r="G19">
        <f>$B19*'Time Series Scaling Factors'!G70</f>
        <v>351210038659020.81</v>
      </c>
      <c r="H19">
        <f>$B19*'Time Series Scaling Factors'!H70</f>
        <v>360645673300879.94</v>
      </c>
      <c r="I19">
        <f>$B19*'Time Series Scaling Factors'!I70</f>
        <v>371189172006949.69</v>
      </c>
      <c r="J19">
        <f>$B19*'Time Series Scaling Factors'!J70</f>
        <v>377925280521858.63</v>
      </c>
      <c r="K19">
        <f>$B19*'Time Series Scaling Factors'!K70</f>
        <v>384571008674677.06</v>
      </c>
      <c r="L19">
        <f>$B19*'Time Series Scaling Factors'!L70</f>
        <v>388878716490493.81</v>
      </c>
      <c r="M19">
        <f>$B19*'Time Series Scaling Factors'!M70</f>
        <v>386794174549458.88</v>
      </c>
      <c r="N19">
        <f>$B19*'Time Series Scaling Factors'!N70</f>
        <v>391070941340415.81</v>
      </c>
      <c r="O19">
        <f>$B19*'Time Series Scaling Factors'!O70</f>
        <v>397939300814821.63</v>
      </c>
      <c r="P19">
        <f>$B19*'Time Series Scaling Factors'!P70</f>
        <v>400747543305942.63</v>
      </c>
      <c r="Q19">
        <f>$B19*'Time Series Scaling Factors'!Q70</f>
        <v>405465000483364.25</v>
      </c>
      <c r="R19">
        <f>$B19*'Time Series Scaling Factors'!R70</f>
        <v>409215409708196.69</v>
      </c>
      <c r="S19">
        <f>$B19*'Time Series Scaling Factors'!S70</f>
        <v>410592676774792.31</v>
      </c>
      <c r="T19">
        <f>$B19*'Time Series Scaling Factors'!T70</f>
        <v>413247764324540</v>
      </c>
      <c r="U19">
        <f>$B19*'Time Series Scaling Factors'!U70</f>
        <v>412088994758396.56</v>
      </c>
      <c r="V19">
        <f>$B19*'Time Series Scaling Factors'!V70</f>
        <v>416268507143784.63</v>
      </c>
      <c r="W19">
        <f>$B19*'Time Series Scaling Factors'!W70</f>
        <v>419089385974511.81</v>
      </c>
      <c r="X19">
        <f>$B19*'Time Series Scaling Factors'!X70</f>
        <v>422493368461490.94</v>
      </c>
      <c r="Y19">
        <f>$B19*'Time Series Scaling Factors'!Y70</f>
        <v>420343593570270.81</v>
      </c>
      <c r="Z19">
        <f>$B19*'Time Series Scaling Factors'!Z70</f>
        <v>417349329128069.69</v>
      </c>
      <c r="AA19">
        <f>$B19*'Time Series Scaling Factors'!AA70</f>
        <v>418123434110860</v>
      </c>
    </row>
    <row r="20" spans="1:27">
      <c r="A20" s="1" t="s">
        <v>114</v>
      </c>
      <c r="B20">
        <f>'Start Year Data'!$D$44</f>
        <v>3855632665500000</v>
      </c>
      <c r="C20">
        <f>$B20*'Time Series Scaling Factors'!C71</f>
        <v>3824504988645379</v>
      </c>
      <c r="D20">
        <f>$B20*'Time Series Scaling Factors'!D71</f>
        <v>4151288846206487</v>
      </c>
      <c r="E20">
        <f>$B20*'Time Series Scaling Factors'!E71</f>
        <v>4155707810604332.5</v>
      </c>
      <c r="F20">
        <f>$B20*'Time Series Scaling Factors'!F71</f>
        <v>4251162434777911</v>
      </c>
      <c r="G20">
        <f>$B20*'Time Series Scaling Factors'!G71</f>
        <v>4307477824609475</v>
      </c>
      <c r="H20">
        <f>$B20*'Time Series Scaling Factors'!H71</f>
        <v>4423202839578039.5</v>
      </c>
      <c r="I20">
        <f>$B20*'Time Series Scaling Factors'!I71</f>
        <v>4552515449899771</v>
      </c>
      <c r="J20">
        <f>$B20*'Time Series Scaling Factors'!J71</f>
        <v>4635131647782154</v>
      </c>
      <c r="K20">
        <f>$B20*'Time Series Scaling Factors'!K71</f>
        <v>4716639359679993</v>
      </c>
      <c r="L20">
        <f>$B20*'Time Series Scaling Factors'!L71</f>
        <v>4769472006384441</v>
      </c>
      <c r="M20">
        <f>$B20*'Time Series Scaling Factors'!M71</f>
        <v>4743905771946040</v>
      </c>
      <c r="N20">
        <f>$B20*'Time Series Scaling Factors'!N71</f>
        <v>4796358936962085</v>
      </c>
      <c r="O20">
        <f>$B20*'Time Series Scaling Factors'!O71</f>
        <v>4880597150198846</v>
      </c>
      <c r="P20">
        <f>$B20*'Time Series Scaling Factors'!P71</f>
        <v>4915039338419934</v>
      </c>
      <c r="Q20">
        <f>$B20*'Time Series Scaling Factors'!Q71</f>
        <v>4972897428860273</v>
      </c>
      <c r="R20">
        <f>$B20*'Time Series Scaling Factors'!R71</f>
        <v>5018894988129530</v>
      </c>
      <c r="S20">
        <f>$B20*'Time Series Scaling Factors'!S71</f>
        <v>5035786724398166</v>
      </c>
      <c r="T20">
        <f>$B20*'Time Series Scaling Factors'!T71</f>
        <v>5068350516670740</v>
      </c>
      <c r="U20">
        <f>$B20*'Time Series Scaling Factors'!U71</f>
        <v>5054138581758363</v>
      </c>
      <c r="V20">
        <f>$B20*'Time Series Scaling Factors'!V71</f>
        <v>5105398952864152</v>
      </c>
      <c r="W20">
        <f>$B20*'Time Series Scaling Factors'!W71</f>
        <v>5139996121714056</v>
      </c>
      <c r="X20">
        <f>$B20*'Time Series Scaling Factors'!X71</f>
        <v>5181744868800005</v>
      </c>
      <c r="Y20">
        <f>$B20*'Time Series Scaling Factors'!Y71</f>
        <v>5155378573271581</v>
      </c>
      <c r="Z20">
        <f>$B20*'Time Series Scaling Factors'!Z71</f>
        <v>5118654885830744</v>
      </c>
      <c r="AA20">
        <f>$B20*'Time Series Scaling Factors'!AA71</f>
        <v>5128149033720197</v>
      </c>
    </row>
    <row r="21" spans="1:27">
      <c r="A21" s="1" t="s">
        <v>128</v>
      </c>
      <c r="B21">
        <f>'Start Year Data'!$D$45</f>
        <v>0</v>
      </c>
      <c r="C21">
        <f>$B21*'Time Series Scaling Factors'!C72</f>
        <v>0</v>
      </c>
      <c r="D21">
        <f>$B21*'Time Series Scaling Factors'!D72</f>
        <v>0</v>
      </c>
      <c r="E21">
        <f>$B21*'Time Series Scaling Factors'!E72</f>
        <v>0</v>
      </c>
      <c r="F21">
        <f>$B21*'Time Series Scaling Factors'!F72</f>
        <v>0</v>
      </c>
      <c r="G21">
        <f>$B21*'Time Series Scaling Factors'!G72</f>
        <v>0</v>
      </c>
      <c r="H21">
        <f>$B21*'Time Series Scaling Factors'!H72</f>
        <v>0</v>
      </c>
      <c r="I21">
        <f>$B21*'Time Series Scaling Factors'!I72</f>
        <v>0</v>
      </c>
      <c r="J21">
        <f>$B21*'Time Series Scaling Factors'!J72</f>
        <v>0</v>
      </c>
      <c r="K21">
        <f>$B21*'Time Series Scaling Factors'!K72</f>
        <v>0</v>
      </c>
      <c r="L21">
        <f>$B21*'Time Series Scaling Factors'!L72</f>
        <v>0</v>
      </c>
      <c r="M21">
        <f>$B21*'Time Series Scaling Factors'!M72</f>
        <v>0</v>
      </c>
      <c r="N21">
        <f>$B21*'Time Series Scaling Factors'!N72</f>
        <v>0</v>
      </c>
      <c r="O21">
        <f>$B21*'Time Series Scaling Factors'!O72</f>
        <v>0</v>
      </c>
      <c r="P21">
        <f>$B21*'Time Series Scaling Factors'!P72</f>
        <v>0</v>
      </c>
      <c r="Q21">
        <f>$B21*'Time Series Scaling Factors'!Q72</f>
        <v>0</v>
      </c>
      <c r="R21">
        <f>$B21*'Time Series Scaling Factors'!R72</f>
        <v>0</v>
      </c>
      <c r="S21">
        <f>$B21*'Time Series Scaling Factors'!S72</f>
        <v>0</v>
      </c>
      <c r="T21">
        <f>$B21*'Time Series Scaling Factors'!T72</f>
        <v>0</v>
      </c>
      <c r="U21">
        <f>$B21*'Time Series Scaling Factors'!U72</f>
        <v>0</v>
      </c>
      <c r="V21">
        <f>$B21*'Time Series Scaling Factors'!V72</f>
        <v>0</v>
      </c>
      <c r="W21">
        <f>$B21*'Time Series Scaling Factors'!W72</f>
        <v>0</v>
      </c>
      <c r="X21">
        <f>$B21*'Time Series Scaling Factors'!X72</f>
        <v>0</v>
      </c>
      <c r="Y21">
        <f>$B21*'Time Series Scaling Factors'!Y72</f>
        <v>0</v>
      </c>
      <c r="Z21">
        <f>$B21*'Time Series Scaling Factors'!Z72</f>
        <v>0</v>
      </c>
      <c r="AA21">
        <f>$B21*'Time Series Scaling Factors'!AA72</f>
        <v>0</v>
      </c>
    </row>
    <row r="22" spans="1:27">
      <c r="A22" s="1" t="s">
        <v>129</v>
      </c>
      <c r="B22">
        <f>'Start Year Data'!$D$46</f>
        <v>0</v>
      </c>
      <c r="C22">
        <f>$B22*'Time Series Scaling Factors'!C73</f>
        <v>0</v>
      </c>
      <c r="D22">
        <f>$B22*'Time Series Scaling Factors'!D73</f>
        <v>0</v>
      </c>
      <c r="E22">
        <f>$B22*'Time Series Scaling Factors'!E73</f>
        <v>0</v>
      </c>
      <c r="F22">
        <f>$B22*'Time Series Scaling Factors'!F73</f>
        <v>0</v>
      </c>
      <c r="G22">
        <f>$B22*'Time Series Scaling Factors'!G73</f>
        <v>0</v>
      </c>
      <c r="H22">
        <f>$B22*'Time Series Scaling Factors'!H73</f>
        <v>0</v>
      </c>
      <c r="I22">
        <f>$B22*'Time Series Scaling Factors'!I73</f>
        <v>0</v>
      </c>
      <c r="J22">
        <f>$B22*'Time Series Scaling Factors'!J73</f>
        <v>0</v>
      </c>
      <c r="K22">
        <f>$B22*'Time Series Scaling Factors'!K73</f>
        <v>0</v>
      </c>
      <c r="L22">
        <f>$B22*'Time Series Scaling Factors'!L73</f>
        <v>0</v>
      </c>
      <c r="M22">
        <f>$B22*'Time Series Scaling Factors'!M73</f>
        <v>0</v>
      </c>
      <c r="N22">
        <f>$B22*'Time Series Scaling Factors'!N73</f>
        <v>0</v>
      </c>
      <c r="O22">
        <f>$B22*'Time Series Scaling Factors'!O73</f>
        <v>0</v>
      </c>
      <c r="P22">
        <f>$B22*'Time Series Scaling Factors'!P73</f>
        <v>0</v>
      </c>
      <c r="Q22">
        <f>$B22*'Time Series Scaling Factors'!Q73</f>
        <v>0</v>
      </c>
      <c r="R22">
        <f>$B22*'Time Series Scaling Factors'!R73</f>
        <v>0</v>
      </c>
      <c r="S22">
        <f>$B22*'Time Series Scaling Factors'!S73</f>
        <v>0</v>
      </c>
      <c r="T22">
        <f>$B22*'Time Series Scaling Factors'!T73</f>
        <v>0</v>
      </c>
      <c r="U22">
        <f>$B22*'Time Series Scaling Factors'!U73</f>
        <v>0</v>
      </c>
      <c r="V22">
        <f>$B22*'Time Series Scaling Factors'!V73</f>
        <v>0</v>
      </c>
      <c r="W22">
        <f>$B22*'Time Series Scaling Factors'!W73</f>
        <v>0</v>
      </c>
      <c r="X22">
        <f>$B22*'Time Series Scaling Factors'!X73</f>
        <v>0</v>
      </c>
      <c r="Y22">
        <f>$B22*'Time Series Scaling Factors'!Y73</f>
        <v>0</v>
      </c>
      <c r="Z22">
        <f>$B22*'Time Series Scaling Factors'!Z73</f>
        <v>0</v>
      </c>
      <c r="AA22">
        <f>$B22*'Time Series Scaling Factors'!AA73</f>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Petroleum and Biofuel Data</vt:lpstr>
      <vt:lpstr>Petroleum and Biofuels </vt:lpstr>
      <vt:lpstr>Biomass Data</vt:lpstr>
      <vt:lpstr>Uranium, Coal, MSW, Hydrogen</vt:lpstr>
      <vt:lpstr>AEO Conversion Factors</vt:lpstr>
      <vt:lpstr>AEO 2026 Table 1</vt:lpstr>
      <vt:lpstr>AEO 2026 Table 19</vt:lpstr>
      <vt:lpstr>GREET1 Fuel_Specs</vt:lpstr>
      <vt:lpstr>Start Year Data</vt:lpstr>
      <vt:lpstr>Time Series Scaling Factors</vt:lpstr>
      <vt:lpstr>Calibration</vt:lpstr>
      <vt:lpstr>BFPIaE-production</vt:lpstr>
      <vt:lpstr>BFPIaE-imports</vt:lpstr>
      <vt:lpstr>BFPIaE-exports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2019-07-26T21:45:06Z</dcterms:created>
  <dcterms:modified xsi:type="dcterms:W3CDTF">2026-09-22T15:36:53Z</dcterms:modified>
</cp:coreProperties>
</file>