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DanO'Brien\Models\EPS\US\eps-us\InputData\fuels\BFPIaE\"/>
    </mc:Choice>
  </mc:AlternateContent>
  <xr:revisionPtr revIDLastSave="0" documentId="13_ncr:1_{3779E3CA-1F01-4F23-A251-8DADC32F0676}" xr6:coauthVersionLast="47" xr6:coauthVersionMax="47" xr10:uidLastSave="{00000000-0000-0000-0000-000000000000}"/>
  <bookViews>
    <workbookView xWindow="-28920" yWindow="-120" windowWidth="29040" windowHeight="17520" tabRatio="820" firstSheet="14" activeTab="21" xr2:uid="{00000000-000D-0000-FFFF-FFFF00000000}"/>
  </bookViews>
  <sheets>
    <sheet name="About" sheetId="4" r:id="rId1"/>
    <sheet name="Petroleum and Biofuel Data" sheetId="5" r:id="rId2"/>
    <sheet name="Biomass Data" sheetId="6" r:id="rId3"/>
    <sheet name="Uranium, Coal, MSW, Hydrogen" sheetId="8" r:id="rId4"/>
    <sheet name="AEO 2021 Table 1" sheetId="27" r:id="rId5"/>
    <sheet name="AEO 2022 Table 1" sheetId="17" r:id="rId6"/>
    <sheet name="AEO 2023 Table 1" sheetId="20" r:id="rId7"/>
    <sheet name="AEO 2023 Table 71" sheetId="15" r:id="rId8"/>
    <sheet name="AEO 2023 Table 58 Raw" sheetId="25" r:id="rId9"/>
    <sheet name="AEO 2023 Table 58" sheetId="21" r:id="rId10"/>
    <sheet name="AEO 2023 Table 59 Raw" sheetId="26" r:id="rId11"/>
    <sheet name="AEO 2023 Table 59" sheetId="22" r:id="rId12"/>
    <sheet name="GREET1 Fuel_Specs" sheetId="16" r:id="rId13"/>
    <sheet name="Start Year Data" sheetId="28" r:id="rId14"/>
    <sheet name="First Modeled Year Data" sheetId="9" r:id="rId15"/>
    <sheet name="Time Series Scaling Factors" sheetId="18" r:id="rId16"/>
    <sheet name="growth rate gas and oil" sheetId="23" r:id="rId17"/>
    <sheet name="BFPIaE-production" sheetId="12" r:id="rId18"/>
    <sheet name="BFPIaE-imports" sheetId="19" r:id="rId19"/>
    <sheet name="BFPIaE-exports" sheetId="13" r:id="rId20"/>
    <sheet name="BFPIaE-startyearproduction" sheetId="29" r:id="rId21"/>
    <sheet name="BFPIaE-startyearexports" sheetId="30" r:id="rId22"/>
  </sheets>
  <externalReferences>
    <externalReference r:id="rId23"/>
  </externalReferences>
  <definedNames>
    <definedName name="gal_per_barrel">[1]About!$A$63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2" i="30" l="1"/>
  <c r="B21" i="30"/>
  <c r="B20" i="30"/>
  <c r="B19" i="30"/>
  <c r="B18" i="30"/>
  <c r="B17" i="30"/>
  <c r="B16" i="30"/>
  <c r="B15" i="30"/>
  <c r="B14" i="30"/>
  <c r="B13" i="30"/>
  <c r="B12" i="30"/>
  <c r="B11" i="30"/>
  <c r="B10" i="30"/>
  <c r="B9" i="30"/>
  <c r="B5" i="30"/>
  <c r="B4" i="30"/>
  <c r="B3" i="30"/>
  <c r="B2" i="30"/>
  <c r="B8" i="30"/>
  <c r="B7" i="30"/>
  <c r="B6" i="30"/>
  <c r="C3" i="9"/>
  <c r="C4" i="9"/>
  <c r="C5" i="9"/>
  <c r="C9" i="9"/>
  <c r="C10" i="9"/>
  <c r="C11" i="9"/>
  <c r="C12" i="9"/>
  <c r="C13" i="9"/>
  <c r="C14" i="9"/>
  <c r="E14" i="9" s="1"/>
  <c r="E38" i="9" s="1"/>
  <c r="C17" i="9"/>
  <c r="C41" i="9" s="1"/>
  <c r="C18" i="9"/>
  <c r="C42" i="9" s="1"/>
  <c r="C19" i="9"/>
  <c r="C43" i="9" s="1"/>
  <c r="C20" i="9"/>
  <c r="C44" i="9" s="1"/>
  <c r="C27" i="9"/>
  <c r="C28" i="9"/>
  <c r="C29" i="9"/>
  <c r="C33" i="9"/>
  <c r="C34" i="9"/>
  <c r="C35" i="9"/>
  <c r="C36" i="9"/>
  <c r="C37" i="9"/>
  <c r="C38" i="9"/>
  <c r="C45" i="9"/>
  <c r="C46" i="9"/>
  <c r="E3" i="9"/>
  <c r="E4" i="9"/>
  <c r="E28" i="9" s="1"/>
  <c r="E5" i="9"/>
  <c r="E29" i="9" s="1"/>
  <c r="E9" i="9"/>
  <c r="E33" i="9" s="1"/>
  <c r="E10" i="9"/>
  <c r="E34" i="9" s="1"/>
  <c r="E11" i="9"/>
  <c r="E35" i="9" s="1"/>
  <c r="E12" i="9"/>
  <c r="E36" i="9" s="1"/>
  <c r="E13" i="9"/>
  <c r="E37" i="9" s="1"/>
  <c r="E17" i="9"/>
  <c r="E41" i="9" s="1"/>
  <c r="E18" i="9"/>
  <c r="E42" i="9" s="1"/>
  <c r="E19" i="9"/>
  <c r="E43" i="9" s="1"/>
  <c r="E20" i="9"/>
  <c r="E44" i="9" s="1"/>
  <c r="E21" i="9"/>
  <c r="E45" i="9" s="1"/>
  <c r="E22" i="9"/>
  <c r="E46" i="9" s="1"/>
  <c r="E27" i="9"/>
  <c r="B18" i="29"/>
  <c r="B16" i="29"/>
  <c r="B15" i="29"/>
  <c r="B8" i="29"/>
  <c r="B7" i="29"/>
  <c r="B6" i="29"/>
  <c r="B4" i="29"/>
  <c r="B2" i="29"/>
  <c r="D4" i="28"/>
  <c r="B4" i="28"/>
  <c r="H49" i="28"/>
  <c r="H48" i="28"/>
  <c r="H46" i="28"/>
  <c r="D46" i="28" s="1"/>
  <c r="H45" i="28"/>
  <c r="D45" i="28" s="1"/>
  <c r="H44" i="28"/>
  <c r="H43" i="28"/>
  <c r="H42" i="28"/>
  <c r="H41" i="28"/>
  <c r="D41" i="28" s="1"/>
  <c r="H38" i="28"/>
  <c r="H37" i="28"/>
  <c r="H36" i="28"/>
  <c r="B36" i="28" s="1"/>
  <c r="B12" i="29" s="1"/>
  <c r="H35" i="28"/>
  <c r="H34" i="28"/>
  <c r="H33" i="28"/>
  <c r="H29" i="28"/>
  <c r="H28" i="28"/>
  <c r="H27" i="28"/>
  <c r="B22" i="28"/>
  <c r="B21" i="28"/>
  <c r="D20" i="28"/>
  <c r="B20" i="28"/>
  <c r="D19" i="28"/>
  <c r="B19" i="28"/>
  <c r="D18" i="28"/>
  <c r="B18" i="28"/>
  <c r="D17" i="28"/>
  <c r="B17" i="28"/>
  <c r="D14" i="28"/>
  <c r="B14" i="28"/>
  <c r="D13" i="28"/>
  <c r="B13" i="28"/>
  <c r="D12" i="28"/>
  <c r="B12" i="28"/>
  <c r="D11" i="28"/>
  <c r="B11" i="28"/>
  <c r="D10" i="28"/>
  <c r="B10" i="28"/>
  <c r="D9" i="28"/>
  <c r="D33" i="28" s="1"/>
  <c r="B9" i="28"/>
  <c r="D5" i="28"/>
  <c r="B5" i="28"/>
  <c r="D3" i="28"/>
  <c r="B3" i="28"/>
  <c r="B35" i="28" l="1"/>
  <c r="B11" i="29" s="1"/>
  <c r="D37" i="28"/>
  <c r="D28" i="28"/>
  <c r="B29" i="28"/>
  <c r="B5" i="29" s="1"/>
  <c r="D27" i="28"/>
  <c r="H50" i="28"/>
  <c r="H51" i="28" s="1"/>
  <c r="D36" i="28"/>
  <c r="D42" i="28"/>
  <c r="D43" i="28"/>
  <c r="B28" i="28"/>
  <c r="B27" i="28"/>
  <c r="B3" i="29" s="1"/>
  <c r="B45" i="28"/>
  <c r="B21" i="29" s="1"/>
  <c r="D38" i="28"/>
  <c r="D44" i="28"/>
  <c r="B46" i="28"/>
  <c r="B22" i="29" s="1"/>
  <c r="D34" i="28"/>
  <c r="B43" i="28"/>
  <c r="B19" i="29" s="1"/>
  <c r="D29" i="28"/>
  <c r="B37" i="28"/>
  <c r="B13" i="29" s="1"/>
  <c r="B44" i="28"/>
  <c r="B20" i="29" s="1"/>
  <c r="B38" i="28"/>
  <c r="B14" i="29" s="1"/>
  <c r="B33" i="28"/>
  <c r="B9" i="29" s="1"/>
  <c r="B41" i="28"/>
  <c r="B17" i="29" s="1"/>
  <c r="D35" i="28"/>
  <c r="B42" i="28"/>
  <c r="B34" i="28"/>
  <c r="B10" i="29" s="1"/>
  <c r="H46" i="9" l="1"/>
  <c r="D3" i="13" l="1"/>
  <c r="X3" i="13"/>
  <c r="Y3" i="13"/>
  <c r="E4" i="13"/>
  <c r="F4" i="13"/>
  <c r="Z4" i="13"/>
  <c r="AA4" i="13"/>
  <c r="F5" i="13"/>
  <c r="Q5" i="13"/>
  <c r="R5" i="13"/>
  <c r="S5" i="13"/>
  <c r="Z5" i="13"/>
  <c r="AA5" i="13"/>
  <c r="AB5" i="13"/>
  <c r="H6" i="13"/>
  <c r="I6" i="13"/>
  <c r="J6" i="13"/>
  <c r="K6" i="13"/>
  <c r="R6" i="13"/>
  <c r="S6" i="13"/>
  <c r="T6" i="13"/>
  <c r="U6" i="13"/>
  <c r="AB6" i="13"/>
  <c r="AC6" i="13"/>
  <c r="AD6" i="13"/>
  <c r="AE6" i="13"/>
  <c r="I7" i="13"/>
  <c r="J7" i="13"/>
  <c r="K7" i="13"/>
  <c r="L7" i="13"/>
  <c r="M7" i="13"/>
  <c r="S7" i="13"/>
  <c r="T7" i="13"/>
  <c r="U7" i="13"/>
  <c r="V7" i="13"/>
  <c r="W7" i="13"/>
  <c r="AB7" i="13"/>
  <c r="AC7" i="13"/>
  <c r="AD7" i="13"/>
  <c r="AE7" i="13"/>
  <c r="D8" i="13"/>
  <c r="E8" i="13"/>
  <c r="J8" i="13"/>
  <c r="K8" i="13"/>
  <c r="L8" i="13"/>
  <c r="M8" i="13"/>
  <c r="N8" i="13"/>
  <c r="O8" i="13"/>
  <c r="T8" i="13"/>
  <c r="U8" i="13"/>
  <c r="V8" i="13"/>
  <c r="W8" i="13"/>
  <c r="X8" i="13"/>
  <c r="Y8" i="13"/>
  <c r="AD8" i="13"/>
  <c r="AE8" i="13"/>
  <c r="D9" i="13"/>
  <c r="E9" i="13"/>
  <c r="F9" i="13"/>
  <c r="G9" i="13"/>
  <c r="K9" i="13"/>
  <c r="L9" i="13"/>
  <c r="M9" i="13"/>
  <c r="N9" i="13"/>
  <c r="O9" i="13"/>
  <c r="P9" i="13"/>
  <c r="Q9" i="13"/>
  <c r="S9" i="13"/>
  <c r="U9" i="13"/>
  <c r="V9" i="13"/>
  <c r="W9" i="13"/>
  <c r="X9" i="13"/>
  <c r="Y9" i="13"/>
  <c r="Z9" i="13"/>
  <c r="AA9" i="13"/>
  <c r="AE9" i="13"/>
  <c r="D10" i="13"/>
  <c r="E10" i="13"/>
  <c r="F10" i="13"/>
  <c r="G10" i="13"/>
  <c r="H10" i="13"/>
  <c r="I10" i="13"/>
  <c r="J10" i="13"/>
  <c r="K10" i="13"/>
  <c r="L10" i="13"/>
  <c r="M10" i="13"/>
  <c r="N10" i="13"/>
  <c r="O10" i="13"/>
  <c r="P10" i="13"/>
  <c r="Q10" i="13"/>
  <c r="R10" i="13"/>
  <c r="S10" i="13"/>
  <c r="V10" i="13"/>
  <c r="W10" i="13"/>
  <c r="X10" i="13"/>
  <c r="Y10" i="13"/>
  <c r="Z10" i="13"/>
  <c r="AA10" i="13"/>
  <c r="AB10" i="13"/>
  <c r="AC10" i="13"/>
  <c r="AD10" i="13"/>
  <c r="AE10" i="13"/>
  <c r="D11" i="13"/>
  <c r="E11" i="13"/>
  <c r="F11" i="13"/>
  <c r="G11" i="13"/>
  <c r="H11" i="13"/>
  <c r="I11" i="13"/>
  <c r="J11" i="13"/>
  <c r="K11" i="13"/>
  <c r="N11" i="13"/>
  <c r="O11" i="13"/>
  <c r="P11" i="13"/>
  <c r="Q11" i="13"/>
  <c r="R11" i="13"/>
  <c r="S11" i="13"/>
  <c r="T11" i="13"/>
  <c r="U11" i="13"/>
  <c r="V11" i="13"/>
  <c r="W11" i="13"/>
  <c r="X11" i="13"/>
  <c r="Y11" i="13"/>
  <c r="Z11" i="13"/>
  <c r="AA11" i="13"/>
  <c r="AB11" i="13"/>
  <c r="AC11" i="13"/>
  <c r="AD11" i="13"/>
  <c r="AE11" i="13"/>
  <c r="T12" i="13"/>
  <c r="N13" i="13"/>
  <c r="F14" i="13"/>
  <c r="G14" i="13"/>
  <c r="N14" i="13"/>
  <c r="G15" i="13"/>
  <c r="H15" i="13"/>
  <c r="AA15" i="13"/>
  <c r="AB15" i="13"/>
  <c r="AC15" i="13"/>
  <c r="H16" i="13"/>
  <c r="I16" i="13"/>
  <c r="J16" i="13"/>
  <c r="K16" i="13"/>
  <c r="R16" i="13"/>
  <c r="S16" i="13"/>
  <c r="T16" i="13"/>
  <c r="U16" i="13"/>
  <c r="AB16" i="13"/>
  <c r="AC16" i="13"/>
  <c r="AD16" i="13"/>
  <c r="AE16" i="13"/>
  <c r="H17" i="13"/>
  <c r="I17" i="13"/>
  <c r="J17" i="13"/>
  <c r="K17" i="13"/>
  <c r="L17" i="13"/>
  <c r="M17" i="13"/>
  <c r="S17" i="13"/>
  <c r="T17" i="13"/>
  <c r="U17" i="13"/>
  <c r="V17" i="13"/>
  <c r="W17" i="13"/>
  <c r="AB17" i="13"/>
  <c r="AC17" i="13"/>
  <c r="AD17" i="13"/>
  <c r="AE17" i="13"/>
  <c r="D18" i="13"/>
  <c r="E18" i="13"/>
  <c r="J18" i="13"/>
  <c r="K18" i="13"/>
  <c r="L18" i="13"/>
  <c r="M18" i="13"/>
  <c r="N18" i="13"/>
  <c r="O18" i="13"/>
  <c r="S18" i="13"/>
  <c r="T18" i="13"/>
  <c r="U18" i="13"/>
  <c r="V18" i="13"/>
  <c r="W18" i="13"/>
  <c r="X18" i="13"/>
  <c r="Y18" i="13"/>
  <c r="AD18" i="13"/>
  <c r="AE18" i="13"/>
  <c r="D19" i="13"/>
  <c r="E19" i="13"/>
  <c r="F19" i="13"/>
  <c r="G19" i="13"/>
  <c r="J19" i="13"/>
  <c r="K19" i="13"/>
  <c r="L19" i="13"/>
  <c r="M19" i="13"/>
  <c r="N19" i="13"/>
  <c r="O19" i="13"/>
  <c r="P19" i="13"/>
  <c r="Q19" i="13"/>
  <c r="R19" i="13"/>
  <c r="S19" i="13"/>
  <c r="U19" i="13"/>
  <c r="V19" i="13"/>
  <c r="W19" i="13"/>
  <c r="X19" i="13"/>
  <c r="Y19" i="13"/>
  <c r="Z19" i="13"/>
  <c r="AA19" i="13"/>
  <c r="AD19" i="13"/>
  <c r="AE19" i="13"/>
  <c r="D20" i="13"/>
  <c r="E20" i="13"/>
  <c r="F20" i="13"/>
  <c r="G20" i="13"/>
  <c r="H20" i="13"/>
  <c r="I20" i="13"/>
  <c r="N20" i="13"/>
  <c r="O20" i="13"/>
  <c r="P20" i="13"/>
  <c r="Q20" i="13"/>
  <c r="R20" i="13"/>
  <c r="S20" i="13"/>
  <c r="W20" i="13"/>
  <c r="X20" i="13"/>
  <c r="Y20" i="13"/>
  <c r="Z20" i="13"/>
  <c r="AA20" i="13"/>
  <c r="AB20" i="13"/>
  <c r="AC20" i="13"/>
  <c r="E21" i="13"/>
  <c r="F21" i="13"/>
  <c r="G21" i="13"/>
  <c r="H21" i="13"/>
  <c r="I21" i="13"/>
  <c r="J21" i="13"/>
  <c r="K21" i="13"/>
  <c r="N21" i="13"/>
  <c r="O21" i="13"/>
  <c r="P21" i="13"/>
  <c r="Q21" i="13"/>
  <c r="R21" i="13"/>
  <c r="S21" i="13"/>
  <c r="T21" i="13"/>
  <c r="U21" i="13"/>
  <c r="W21" i="13"/>
  <c r="Y21" i="13"/>
  <c r="Z21" i="13"/>
  <c r="AA21" i="13"/>
  <c r="AB21" i="13"/>
  <c r="AC21" i="13"/>
  <c r="AD21" i="13"/>
  <c r="AE21" i="13"/>
  <c r="C21" i="13"/>
  <c r="C19" i="13"/>
  <c r="C11" i="13"/>
  <c r="B21" i="13"/>
  <c r="L21" i="13" s="1"/>
  <c r="B20" i="13"/>
  <c r="T20" i="13" s="1"/>
  <c r="B19" i="13"/>
  <c r="H19" i="13" s="1"/>
  <c r="B18" i="13"/>
  <c r="P18" i="13" s="1"/>
  <c r="B17" i="13"/>
  <c r="D17" i="13" s="1"/>
  <c r="B16" i="13"/>
  <c r="L16" i="13" s="1"/>
  <c r="B15" i="13"/>
  <c r="B14" i="13"/>
  <c r="B13" i="13"/>
  <c r="B12" i="13"/>
  <c r="B11" i="13"/>
  <c r="L11" i="13" s="1"/>
  <c r="B10" i="13"/>
  <c r="T10" i="13" s="1"/>
  <c r="B9" i="13"/>
  <c r="H9" i="13" s="1"/>
  <c r="B8" i="13"/>
  <c r="P8" i="13" s="1"/>
  <c r="B7" i="13"/>
  <c r="D7" i="13" s="1"/>
  <c r="B6" i="13"/>
  <c r="L6" i="13" s="1"/>
  <c r="B5" i="13"/>
  <c r="G5" i="13" s="1"/>
  <c r="B4" i="13"/>
  <c r="O4" i="13" s="1"/>
  <c r="B3" i="13"/>
  <c r="C3" i="13" s="1"/>
  <c r="B2" i="13"/>
  <c r="U2" i="13" s="1"/>
  <c r="B21" i="12"/>
  <c r="H21" i="12" s="1"/>
  <c r="B20" i="12"/>
  <c r="B19" i="12"/>
  <c r="B17" i="12"/>
  <c r="B16" i="12"/>
  <c r="B15" i="12"/>
  <c r="B14" i="12"/>
  <c r="M14" i="12" s="1"/>
  <c r="B13" i="12"/>
  <c r="B12" i="12"/>
  <c r="B11" i="12"/>
  <c r="B10" i="12"/>
  <c r="B9" i="12"/>
  <c r="B8" i="12"/>
  <c r="B7" i="12"/>
  <c r="S7" i="12" s="1"/>
  <c r="B6" i="12"/>
  <c r="B5" i="12"/>
  <c r="B3" i="12"/>
  <c r="D3" i="12" s="1"/>
  <c r="B2" i="12"/>
  <c r="B21" i="19"/>
  <c r="U21" i="19" s="1"/>
  <c r="B20" i="19"/>
  <c r="F20" i="19" s="1"/>
  <c r="B19" i="19"/>
  <c r="N19" i="19" s="1"/>
  <c r="B18" i="19"/>
  <c r="O18" i="19" s="1"/>
  <c r="B17" i="19"/>
  <c r="R17" i="19" s="1"/>
  <c r="B16" i="19"/>
  <c r="G16" i="19" s="1"/>
  <c r="B15" i="19"/>
  <c r="I15" i="19" s="1"/>
  <c r="B14" i="19"/>
  <c r="E14" i="19" s="1"/>
  <c r="B13" i="19"/>
  <c r="O13" i="19" s="1"/>
  <c r="B12" i="19"/>
  <c r="W12" i="19" s="1"/>
  <c r="B11" i="19"/>
  <c r="K11" i="19" s="1"/>
  <c r="B10" i="19"/>
  <c r="S10" i="19" s="1"/>
  <c r="B9" i="19"/>
  <c r="G9" i="19" s="1"/>
  <c r="B8" i="19"/>
  <c r="O8" i="19" s="1"/>
  <c r="B7" i="19"/>
  <c r="H7" i="19" s="1"/>
  <c r="B6" i="19"/>
  <c r="L6" i="19" s="1"/>
  <c r="B5" i="19"/>
  <c r="Q5" i="19" s="1"/>
  <c r="B4" i="19"/>
  <c r="G4" i="19" s="1"/>
  <c r="B3" i="19"/>
  <c r="O3" i="19" s="1"/>
  <c r="B2" i="19"/>
  <c r="D2" i="19" s="1"/>
  <c r="N10" i="19"/>
  <c r="O10" i="19"/>
  <c r="P10" i="19"/>
  <c r="Q10" i="19"/>
  <c r="R10" i="19"/>
  <c r="T10" i="19"/>
  <c r="U10" i="19"/>
  <c r="AE10" i="19"/>
  <c r="F11" i="19"/>
  <c r="Q11" i="19"/>
  <c r="R11" i="19"/>
  <c r="U11" i="19"/>
  <c r="Y11" i="19"/>
  <c r="Z11" i="19"/>
  <c r="AC11" i="19"/>
  <c r="AD11" i="19"/>
  <c r="D12" i="19"/>
  <c r="E12" i="19"/>
  <c r="F12" i="19"/>
  <c r="G12" i="19"/>
  <c r="H12" i="19"/>
  <c r="L12" i="19"/>
  <c r="M12" i="19"/>
  <c r="P12" i="19"/>
  <c r="Q12" i="19"/>
  <c r="R12" i="19"/>
  <c r="T12" i="19"/>
  <c r="U12" i="19"/>
  <c r="V12" i="19"/>
  <c r="X12" i="19"/>
  <c r="Y12" i="19"/>
  <c r="Z12" i="19"/>
  <c r="AA12" i="19"/>
  <c r="AB12" i="19"/>
  <c r="AC12" i="19"/>
  <c r="AD12" i="19"/>
  <c r="AE12" i="19"/>
  <c r="H13" i="19"/>
  <c r="I13" i="19"/>
  <c r="K13" i="19"/>
  <c r="W13" i="19"/>
  <c r="AB13" i="19"/>
  <c r="AC13" i="19"/>
  <c r="AD13" i="19"/>
  <c r="AE13" i="19"/>
  <c r="G14" i="19"/>
  <c r="R14" i="19"/>
  <c r="S14" i="19"/>
  <c r="W14" i="19"/>
  <c r="X14" i="19"/>
  <c r="Z14" i="19"/>
  <c r="AA14" i="19"/>
  <c r="AB14" i="19"/>
  <c r="W15" i="19"/>
  <c r="X15" i="19"/>
  <c r="AE15" i="19"/>
  <c r="D16" i="19"/>
  <c r="E16" i="19"/>
  <c r="U16" i="19"/>
  <c r="V16" i="19"/>
  <c r="AD16" i="19"/>
  <c r="AE16" i="19"/>
  <c r="D17" i="19"/>
  <c r="K17" i="19"/>
  <c r="Q17" i="19"/>
  <c r="U17" i="19"/>
  <c r="W17" i="19"/>
  <c r="X17" i="19"/>
  <c r="AE17" i="19"/>
  <c r="H18" i="19"/>
  <c r="I18" i="19"/>
  <c r="K18" i="19"/>
  <c r="L18" i="19"/>
  <c r="M18" i="19"/>
  <c r="U18" i="19"/>
  <c r="V18" i="19"/>
  <c r="W18" i="19"/>
  <c r="AB18" i="19"/>
  <c r="G19" i="19"/>
  <c r="H19" i="19"/>
  <c r="I19" i="19"/>
  <c r="M19" i="19"/>
  <c r="AA19" i="19"/>
  <c r="H20" i="19"/>
  <c r="I20" i="19"/>
  <c r="R20" i="19"/>
  <c r="S20" i="19"/>
  <c r="T20" i="19"/>
  <c r="V20" i="19"/>
  <c r="W20" i="19"/>
  <c r="X20" i="19"/>
  <c r="Y20" i="19"/>
  <c r="AA20" i="19"/>
  <c r="AB20" i="19"/>
  <c r="AC20" i="19"/>
  <c r="AD20" i="19"/>
  <c r="D21" i="19"/>
  <c r="J21" i="19"/>
  <c r="K21" i="19"/>
  <c r="N21" i="19"/>
  <c r="O21" i="19"/>
  <c r="P21" i="19"/>
  <c r="Q21" i="19"/>
  <c r="R21" i="19"/>
  <c r="S21" i="19"/>
  <c r="V21" i="19"/>
  <c r="W21" i="19"/>
  <c r="X21" i="19"/>
  <c r="Y21" i="19"/>
  <c r="Z21" i="19"/>
  <c r="AA21" i="19"/>
  <c r="C20" i="19"/>
  <c r="C16" i="19"/>
  <c r="C15" i="19"/>
  <c r="C14" i="19"/>
  <c r="C13" i="19"/>
  <c r="C12" i="19"/>
  <c r="U3" i="12"/>
  <c r="V3" i="12"/>
  <c r="E5" i="12"/>
  <c r="F5" i="12"/>
  <c r="G5" i="12"/>
  <c r="H5" i="12"/>
  <c r="I5" i="12"/>
  <c r="J5" i="12"/>
  <c r="K5" i="12"/>
  <c r="L5" i="12"/>
  <c r="M5" i="12"/>
  <c r="D6" i="12"/>
  <c r="E6" i="12"/>
  <c r="F6" i="12"/>
  <c r="G6" i="12"/>
  <c r="H6" i="12"/>
  <c r="I6" i="12"/>
  <c r="J6" i="12"/>
  <c r="K6" i="12"/>
  <c r="P6" i="12"/>
  <c r="Q6" i="12"/>
  <c r="R6" i="12"/>
  <c r="S6" i="12"/>
  <c r="T6" i="12"/>
  <c r="U6" i="12"/>
  <c r="V6" i="12"/>
  <c r="W6" i="12"/>
  <c r="X6" i="12"/>
  <c r="Y6" i="12"/>
  <c r="Z6" i="12"/>
  <c r="AA6" i="12"/>
  <c r="AB6" i="12"/>
  <c r="AC6" i="12"/>
  <c r="AD6" i="12"/>
  <c r="AE6" i="12"/>
  <c r="K7" i="12"/>
  <c r="L7" i="12"/>
  <c r="M7" i="12"/>
  <c r="N7" i="12"/>
  <c r="O7" i="12"/>
  <c r="P7" i="12"/>
  <c r="Q7" i="12"/>
  <c r="R7" i="12"/>
  <c r="AA7" i="12"/>
  <c r="D8" i="12"/>
  <c r="E8" i="12"/>
  <c r="F8" i="12"/>
  <c r="G8" i="12"/>
  <c r="H8" i="12"/>
  <c r="I8" i="12"/>
  <c r="J8" i="12"/>
  <c r="K8" i="12"/>
  <c r="L8" i="12"/>
  <c r="M8" i="12"/>
  <c r="N8" i="12"/>
  <c r="O8" i="12"/>
  <c r="S8" i="12"/>
  <c r="T8" i="12"/>
  <c r="U8" i="12"/>
  <c r="V8" i="12"/>
  <c r="W8" i="12"/>
  <c r="X8" i="12"/>
  <c r="Y8" i="12"/>
  <c r="Z8" i="12"/>
  <c r="AA8" i="12"/>
  <c r="AB8" i="12"/>
  <c r="AC8" i="12"/>
  <c r="AD8" i="12"/>
  <c r="AE8" i="12"/>
  <c r="D9" i="12"/>
  <c r="E9" i="12"/>
  <c r="F9" i="12"/>
  <c r="G9" i="12"/>
  <c r="I9" i="12"/>
  <c r="K9" i="12"/>
  <c r="L9" i="12"/>
  <c r="M9" i="12"/>
  <c r="N9" i="12"/>
  <c r="O9" i="12"/>
  <c r="P9" i="12"/>
  <c r="Q9" i="12"/>
  <c r="R9" i="12"/>
  <c r="S9" i="12"/>
  <c r="T9" i="12"/>
  <c r="U9" i="12"/>
  <c r="V9" i="12"/>
  <c r="W9" i="12"/>
  <c r="X9" i="12"/>
  <c r="Y9" i="12"/>
  <c r="Z9" i="12"/>
  <c r="AA9" i="12"/>
  <c r="AC9" i="12"/>
  <c r="AE9" i="12"/>
  <c r="E10" i="12"/>
  <c r="F10" i="12"/>
  <c r="G10" i="12"/>
  <c r="H10" i="12"/>
  <c r="I10" i="12"/>
  <c r="J10" i="12"/>
  <c r="K10" i="12"/>
  <c r="L10" i="12"/>
  <c r="M10" i="12"/>
  <c r="N10" i="12"/>
  <c r="O10" i="12"/>
  <c r="AB10" i="12"/>
  <c r="AC10" i="12"/>
  <c r="AD10" i="12"/>
  <c r="AE10" i="12"/>
  <c r="D11" i="12"/>
  <c r="E11" i="12"/>
  <c r="F11" i="12"/>
  <c r="G11" i="12"/>
  <c r="H11" i="12"/>
  <c r="I11" i="12"/>
  <c r="J11" i="12"/>
  <c r="K11" i="12"/>
  <c r="Q11" i="12"/>
  <c r="X11" i="12"/>
  <c r="Y11" i="12"/>
  <c r="Z11" i="12"/>
  <c r="AA11" i="12"/>
  <c r="AB11" i="12"/>
  <c r="AC11" i="12"/>
  <c r="AD11" i="12"/>
  <c r="AE11" i="12"/>
  <c r="I12" i="12"/>
  <c r="J12" i="12"/>
  <c r="K12" i="12"/>
  <c r="L12" i="12"/>
  <c r="M12" i="12"/>
  <c r="N12" i="12"/>
  <c r="T12" i="12"/>
  <c r="U12" i="12"/>
  <c r="V12" i="12"/>
  <c r="W12" i="12"/>
  <c r="AC12" i="12"/>
  <c r="AD12" i="12"/>
  <c r="AE12" i="12"/>
  <c r="D13" i="12"/>
  <c r="E13" i="12"/>
  <c r="F13" i="12"/>
  <c r="G13" i="12"/>
  <c r="H13" i="12"/>
  <c r="I13" i="12"/>
  <c r="J13" i="12"/>
  <c r="K13" i="12"/>
  <c r="U13" i="12"/>
  <c r="V13" i="12"/>
  <c r="W13" i="12"/>
  <c r="X13" i="12"/>
  <c r="Y13" i="12"/>
  <c r="Z13" i="12"/>
  <c r="AA13" i="12"/>
  <c r="AB13" i="12"/>
  <c r="AC13" i="12"/>
  <c r="AD13" i="12"/>
  <c r="AE13" i="12"/>
  <c r="D14" i="12"/>
  <c r="E14" i="12"/>
  <c r="F14" i="12"/>
  <c r="G14" i="12"/>
  <c r="L14" i="12"/>
  <c r="Q14" i="12"/>
  <c r="R14" i="12"/>
  <c r="S14" i="12"/>
  <c r="Y14" i="12"/>
  <c r="Z14" i="12"/>
  <c r="AA14" i="12"/>
  <c r="D15" i="12"/>
  <c r="E15" i="12"/>
  <c r="F15" i="12"/>
  <c r="G15" i="12"/>
  <c r="H15" i="12"/>
  <c r="I15" i="12"/>
  <c r="K15" i="12"/>
  <c r="L15" i="12"/>
  <c r="M15" i="12"/>
  <c r="N15" i="12"/>
  <c r="O15" i="12"/>
  <c r="P15" i="12"/>
  <c r="Q15" i="12"/>
  <c r="R15" i="12"/>
  <c r="S15" i="12"/>
  <c r="X15" i="12"/>
  <c r="Y15" i="12"/>
  <c r="Z15" i="12"/>
  <c r="AA15" i="12"/>
  <c r="AB15" i="12"/>
  <c r="AC15" i="12"/>
  <c r="AD15" i="12"/>
  <c r="AE15" i="12"/>
  <c r="D16" i="12"/>
  <c r="H16" i="12"/>
  <c r="I16" i="12"/>
  <c r="J16" i="12"/>
  <c r="K16" i="12"/>
  <c r="P16" i="12"/>
  <c r="Q16" i="12"/>
  <c r="R16" i="12"/>
  <c r="S16" i="12"/>
  <c r="T16" i="12"/>
  <c r="U16" i="12"/>
  <c r="V16" i="12"/>
  <c r="W16" i="12"/>
  <c r="X16" i="12"/>
  <c r="Y16" i="12"/>
  <c r="Z16" i="12"/>
  <c r="AA16" i="12"/>
  <c r="AB16" i="12"/>
  <c r="AA19" i="12"/>
  <c r="D20" i="12"/>
  <c r="E20" i="12"/>
  <c r="F20" i="12"/>
  <c r="G20" i="12"/>
  <c r="H20" i="12"/>
  <c r="I20" i="12"/>
  <c r="E21" i="12"/>
  <c r="F21" i="12"/>
  <c r="G21" i="12"/>
  <c r="U21" i="12"/>
  <c r="V21" i="12"/>
  <c r="W21" i="12"/>
  <c r="X21" i="12"/>
  <c r="Y21" i="12"/>
  <c r="C16" i="12"/>
  <c r="C15" i="12"/>
  <c r="C14" i="12"/>
  <c r="C13" i="12"/>
  <c r="C12" i="12"/>
  <c r="C11" i="12"/>
  <c r="C10" i="12"/>
  <c r="F16" i="12"/>
  <c r="M13" i="12"/>
  <c r="H9" i="12"/>
  <c r="P8" i="12"/>
  <c r="D7" i="12"/>
  <c r="L6" i="12"/>
  <c r="H48" i="9"/>
  <c r="H42" i="9"/>
  <c r="E65" i="23"/>
  <c r="E64" i="23"/>
  <c r="D16" i="22"/>
  <c r="D57" i="23" s="1"/>
  <c r="G64" i="23" s="1"/>
  <c r="E16" i="22"/>
  <c r="E57" i="23" s="1"/>
  <c r="H64" i="23" s="1"/>
  <c r="F16" i="22"/>
  <c r="F57" i="23" s="1"/>
  <c r="I64" i="23" s="1"/>
  <c r="G16" i="22"/>
  <c r="G57" i="23" s="1"/>
  <c r="J64" i="23" s="1"/>
  <c r="H16" i="22"/>
  <c r="H57" i="23" s="1"/>
  <c r="K64" i="23" s="1"/>
  <c r="I16" i="22"/>
  <c r="I57" i="23" s="1"/>
  <c r="L64" i="23" s="1"/>
  <c r="J16" i="22"/>
  <c r="J57" i="23" s="1"/>
  <c r="M64" i="23" s="1"/>
  <c r="K16" i="22"/>
  <c r="K57" i="23" s="1"/>
  <c r="N64" i="23" s="1"/>
  <c r="L16" i="22"/>
  <c r="M16" i="22"/>
  <c r="M57" i="23" s="1"/>
  <c r="P64" i="23" s="1"/>
  <c r="N16" i="22"/>
  <c r="N57" i="23" s="1"/>
  <c r="Q64" i="23" s="1"/>
  <c r="O16" i="22"/>
  <c r="P16" i="22"/>
  <c r="P57" i="23" s="1"/>
  <c r="S64" i="23" s="1"/>
  <c r="Q16" i="22"/>
  <c r="Q57" i="23" s="1"/>
  <c r="T64" i="23" s="1"/>
  <c r="R16" i="22"/>
  <c r="R57" i="23" s="1"/>
  <c r="U64" i="23" s="1"/>
  <c r="S16" i="22"/>
  <c r="S57" i="23" s="1"/>
  <c r="V64" i="23" s="1"/>
  <c r="T16" i="22"/>
  <c r="T57" i="23" s="1"/>
  <c r="W64" i="23" s="1"/>
  <c r="U16" i="22"/>
  <c r="U57" i="23" s="1"/>
  <c r="X64" i="23" s="1"/>
  <c r="V16" i="22"/>
  <c r="V57" i="23" s="1"/>
  <c r="Y64" i="23" s="1"/>
  <c r="W16" i="22"/>
  <c r="W57" i="23" s="1"/>
  <c r="Z64" i="23" s="1"/>
  <c r="X16" i="22"/>
  <c r="X57" i="23" s="1"/>
  <c r="AA64" i="23" s="1"/>
  <c r="Y16" i="22"/>
  <c r="Y57" i="23" s="1"/>
  <c r="AB64" i="23" s="1"/>
  <c r="Z16" i="22"/>
  <c r="AA16" i="22"/>
  <c r="AB16" i="22"/>
  <c r="AB57" i="23" s="1"/>
  <c r="AE64" i="23" s="1"/>
  <c r="AC16" i="22"/>
  <c r="AC57" i="23" s="1"/>
  <c r="AF64" i="23" s="1"/>
  <c r="AD16" i="22"/>
  <c r="AD57" i="23" s="1"/>
  <c r="AG64" i="23" s="1"/>
  <c r="AE16" i="22"/>
  <c r="AE57" i="23" s="1"/>
  <c r="AH64" i="23" s="1"/>
  <c r="AF16" i="22"/>
  <c r="D18" i="22"/>
  <c r="E18" i="22"/>
  <c r="F18" i="22"/>
  <c r="G18" i="22"/>
  <c r="H18" i="22"/>
  <c r="I18" i="22"/>
  <c r="J18" i="22"/>
  <c r="K18" i="22"/>
  <c r="L18" i="22"/>
  <c r="M18" i="22"/>
  <c r="N18" i="22"/>
  <c r="O18" i="22"/>
  <c r="P18" i="22"/>
  <c r="Q18" i="22"/>
  <c r="R18" i="22"/>
  <c r="S18" i="22"/>
  <c r="T18" i="22"/>
  <c r="U18" i="22"/>
  <c r="V18" i="22"/>
  <c r="W18" i="22"/>
  <c r="X18" i="22"/>
  <c r="Y18" i="22"/>
  <c r="Z18" i="22"/>
  <c r="AA18" i="22"/>
  <c r="AB18" i="22"/>
  <c r="AC18" i="22"/>
  <c r="AD18" i="22"/>
  <c r="AE18" i="22"/>
  <c r="AF18" i="22"/>
  <c r="D19" i="22"/>
  <c r="E19" i="22"/>
  <c r="F19" i="22"/>
  <c r="G19" i="22"/>
  <c r="H19" i="22"/>
  <c r="I19" i="22"/>
  <c r="J19" i="22"/>
  <c r="K19" i="22"/>
  <c r="L19" i="22"/>
  <c r="M19" i="22"/>
  <c r="N19" i="22"/>
  <c r="O19" i="22"/>
  <c r="P19" i="22"/>
  <c r="Q19" i="22"/>
  <c r="R19" i="22"/>
  <c r="S19" i="22"/>
  <c r="T19" i="22"/>
  <c r="U19" i="22"/>
  <c r="V19" i="22"/>
  <c r="W19" i="22"/>
  <c r="X19" i="22"/>
  <c r="Y19" i="22"/>
  <c r="Z19" i="22"/>
  <c r="AA19" i="22"/>
  <c r="AB19" i="22"/>
  <c r="AC19" i="22"/>
  <c r="AD19" i="22"/>
  <c r="AE19" i="22"/>
  <c r="AF19" i="22"/>
  <c r="D20" i="22"/>
  <c r="E20" i="22"/>
  <c r="F20" i="22"/>
  <c r="G20" i="22"/>
  <c r="H20" i="22"/>
  <c r="I20" i="22"/>
  <c r="J20" i="22"/>
  <c r="K20" i="22"/>
  <c r="L20" i="22"/>
  <c r="M20" i="22"/>
  <c r="N20" i="22"/>
  <c r="O20" i="22"/>
  <c r="P20" i="22"/>
  <c r="Q20" i="22"/>
  <c r="R20" i="22"/>
  <c r="S20" i="22"/>
  <c r="T20" i="22"/>
  <c r="U20" i="22"/>
  <c r="V20" i="22"/>
  <c r="W20" i="22"/>
  <c r="X20" i="22"/>
  <c r="Y20" i="22"/>
  <c r="Z20" i="22"/>
  <c r="AA20" i="22"/>
  <c r="AB20" i="22"/>
  <c r="AC20" i="22"/>
  <c r="AD20" i="22"/>
  <c r="AE20" i="22"/>
  <c r="AF20" i="22"/>
  <c r="D21" i="22"/>
  <c r="E21" i="22"/>
  <c r="F21" i="22"/>
  <c r="G21" i="22"/>
  <c r="H21" i="22"/>
  <c r="I21" i="22"/>
  <c r="J21" i="22"/>
  <c r="K21" i="22"/>
  <c r="L21" i="22"/>
  <c r="M21" i="22"/>
  <c r="N21" i="22"/>
  <c r="O21" i="22"/>
  <c r="P21" i="22"/>
  <c r="Q21" i="22"/>
  <c r="R21" i="22"/>
  <c r="S21" i="22"/>
  <c r="T21" i="22"/>
  <c r="U21" i="22"/>
  <c r="V21" i="22"/>
  <c r="W21" i="22"/>
  <c r="X21" i="22"/>
  <c r="Y21" i="22"/>
  <c r="Z21" i="22"/>
  <c r="AA21" i="22"/>
  <c r="AB21" i="22"/>
  <c r="AC21" i="22"/>
  <c r="AD21" i="22"/>
  <c r="AE21" i="22"/>
  <c r="AF21" i="22"/>
  <c r="D22" i="22"/>
  <c r="E22" i="22"/>
  <c r="F22" i="22"/>
  <c r="G22" i="22"/>
  <c r="H22" i="22"/>
  <c r="I22" i="22"/>
  <c r="J22" i="22"/>
  <c r="K22" i="22"/>
  <c r="L22" i="22"/>
  <c r="M22" i="22"/>
  <c r="N22" i="22"/>
  <c r="O22" i="22"/>
  <c r="P22" i="22"/>
  <c r="Q22" i="22"/>
  <c r="R22" i="22"/>
  <c r="S22" i="22"/>
  <c r="T22" i="22"/>
  <c r="U22" i="22"/>
  <c r="V22" i="22"/>
  <c r="W22" i="22"/>
  <c r="X22" i="22"/>
  <c r="Y22" i="22"/>
  <c r="Z22" i="22"/>
  <c r="AA22" i="22"/>
  <c r="AB22" i="22"/>
  <c r="AC22" i="22"/>
  <c r="AD22" i="22"/>
  <c r="AE22" i="22"/>
  <c r="AF22" i="22"/>
  <c r="D23" i="22"/>
  <c r="E23" i="22"/>
  <c r="F23" i="22"/>
  <c r="G23" i="22"/>
  <c r="H23" i="22"/>
  <c r="I23" i="22"/>
  <c r="J23" i="22"/>
  <c r="K23" i="22"/>
  <c r="L23" i="22"/>
  <c r="M23" i="22"/>
  <c r="N23" i="22"/>
  <c r="O23" i="22"/>
  <c r="P23" i="22"/>
  <c r="Q23" i="22"/>
  <c r="R23" i="22"/>
  <c r="S23" i="22"/>
  <c r="T23" i="22"/>
  <c r="U23" i="22"/>
  <c r="V23" i="22"/>
  <c r="W23" i="22"/>
  <c r="X23" i="22"/>
  <c r="Y23" i="22"/>
  <c r="Z23" i="22"/>
  <c r="AA23" i="22"/>
  <c r="AB23" i="22"/>
  <c r="AC23" i="22"/>
  <c r="AD23" i="22"/>
  <c r="AE23" i="22"/>
  <c r="AF23" i="22"/>
  <c r="D24" i="22"/>
  <c r="E24" i="22"/>
  <c r="F24" i="22"/>
  <c r="G24" i="22"/>
  <c r="H24" i="22"/>
  <c r="I24" i="22"/>
  <c r="J24" i="22"/>
  <c r="K24" i="22"/>
  <c r="L24" i="22"/>
  <c r="M24" i="22"/>
  <c r="N24" i="22"/>
  <c r="O24" i="22"/>
  <c r="P24" i="22"/>
  <c r="Q24" i="22"/>
  <c r="R24" i="22"/>
  <c r="S24" i="22"/>
  <c r="T24" i="22"/>
  <c r="U24" i="22"/>
  <c r="V24" i="22"/>
  <c r="W24" i="22"/>
  <c r="X24" i="22"/>
  <c r="Y24" i="22"/>
  <c r="Z24" i="22"/>
  <c r="AA24" i="22"/>
  <c r="AB24" i="22"/>
  <c r="AC24" i="22"/>
  <c r="AD24" i="22"/>
  <c r="AE24" i="22"/>
  <c r="AF24" i="22"/>
  <c r="D25" i="22"/>
  <c r="E25" i="22"/>
  <c r="F25" i="22"/>
  <c r="G25" i="22"/>
  <c r="H25" i="22"/>
  <c r="I25" i="22"/>
  <c r="J25" i="22"/>
  <c r="K25" i="22"/>
  <c r="L25" i="22"/>
  <c r="M25" i="22"/>
  <c r="N25" i="22"/>
  <c r="O25" i="22"/>
  <c r="P25" i="22"/>
  <c r="Q25" i="22"/>
  <c r="R25" i="22"/>
  <c r="S25" i="22"/>
  <c r="T25" i="22"/>
  <c r="U25" i="22"/>
  <c r="V25" i="22"/>
  <c r="W25" i="22"/>
  <c r="X25" i="22"/>
  <c r="Y25" i="22"/>
  <c r="Z25" i="22"/>
  <c r="AA25" i="22"/>
  <c r="AB25" i="22"/>
  <c r="AC25" i="22"/>
  <c r="AD25" i="22"/>
  <c r="AE25" i="22"/>
  <c r="AF25" i="22"/>
  <c r="D27" i="22"/>
  <c r="E27" i="22"/>
  <c r="F27" i="22"/>
  <c r="G27" i="22"/>
  <c r="H27" i="22"/>
  <c r="I27" i="22"/>
  <c r="J27" i="22"/>
  <c r="K27" i="22"/>
  <c r="L27" i="22"/>
  <c r="M27" i="22"/>
  <c r="N27" i="22"/>
  <c r="O27" i="22"/>
  <c r="P27" i="22"/>
  <c r="Q27" i="22"/>
  <c r="R27" i="22"/>
  <c r="S27" i="22"/>
  <c r="T27" i="22"/>
  <c r="U27" i="22"/>
  <c r="V27" i="22"/>
  <c r="W27" i="22"/>
  <c r="X27" i="22"/>
  <c r="Y27" i="22"/>
  <c r="Z27" i="22"/>
  <c r="AA27" i="22"/>
  <c r="AB27" i="22"/>
  <c r="AC27" i="22"/>
  <c r="AD27" i="22"/>
  <c r="AE27" i="22"/>
  <c r="AF27" i="22"/>
  <c r="D28" i="22"/>
  <c r="E28" i="22"/>
  <c r="F28" i="22"/>
  <c r="G28" i="22"/>
  <c r="H28" i="22"/>
  <c r="I28" i="22"/>
  <c r="J28" i="22"/>
  <c r="K28" i="22"/>
  <c r="L28" i="22"/>
  <c r="M28" i="22"/>
  <c r="N28" i="22"/>
  <c r="O28" i="22"/>
  <c r="P28" i="22"/>
  <c r="Q28" i="22"/>
  <c r="R28" i="22"/>
  <c r="S28" i="22"/>
  <c r="T28" i="22"/>
  <c r="U28" i="22"/>
  <c r="V28" i="22"/>
  <c r="W28" i="22"/>
  <c r="X28" i="22"/>
  <c r="Y28" i="22"/>
  <c r="Z28" i="22"/>
  <c r="AA28" i="22"/>
  <c r="AB28" i="22"/>
  <c r="AC28" i="22"/>
  <c r="AD28" i="22"/>
  <c r="AE28" i="22"/>
  <c r="AF28" i="22"/>
  <c r="D29" i="22"/>
  <c r="E29" i="22"/>
  <c r="F29" i="22"/>
  <c r="G29" i="22"/>
  <c r="H29" i="22"/>
  <c r="I29" i="22"/>
  <c r="J29" i="22"/>
  <c r="K29" i="22"/>
  <c r="L29" i="22"/>
  <c r="M29" i="22"/>
  <c r="N29" i="22"/>
  <c r="O29" i="22"/>
  <c r="P29" i="22"/>
  <c r="Q29" i="22"/>
  <c r="R29" i="22"/>
  <c r="S29" i="22"/>
  <c r="T29" i="22"/>
  <c r="U29" i="22"/>
  <c r="V29" i="22"/>
  <c r="W29" i="22"/>
  <c r="X29" i="22"/>
  <c r="Y29" i="22"/>
  <c r="Z29" i="22"/>
  <c r="AA29" i="22"/>
  <c r="AB29" i="22"/>
  <c r="AC29" i="22"/>
  <c r="AD29" i="22"/>
  <c r="AE29" i="22"/>
  <c r="AF29" i="22"/>
  <c r="D30" i="22"/>
  <c r="E30" i="22"/>
  <c r="F30" i="22"/>
  <c r="G30" i="22"/>
  <c r="H30" i="22"/>
  <c r="I30" i="22"/>
  <c r="J30" i="22"/>
  <c r="K30" i="22"/>
  <c r="L30" i="22"/>
  <c r="M30" i="22"/>
  <c r="N30" i="22"/>
  <c r="O30" i="22"/>
  <c r="P30" i="22"/>
  <c r="Q30" i="22"/>
  <c r="R30" i="22"/>
  <c r="S30" i="22"/>
  <c r="T30" i="22"/>
  <c r="U30" i="22"/>
  <c r="V30" i="22"/>
  <c r="W30" i="22"/>
  <c r="X30" i="22"/>
  <c r="Y30" i="22"/>
  <c r="Z30" i="22"/>
  <c r="AA30" i="22"/>
  <c r="AB30" i="22"/>
  <c r="AC30" i="22"/>
  <c r="AD30" i="22"/>
  <c r="AE30" i="22"/>
  <c r="AF30" i="22"/>
  <c r="D31" i="22"/>
  <c r="E31" i="22"/>
  <c r="F31" i="22"/>
  <c r="G31" i="22"/>
  <c r="H31" i="22"/>
  <c r="I31" i="22"/>
  <c r="J31" i="22"/>
  <c r="K31" i="22"/>
  <c r="L31" i="22"/>
  <c r="M31" i="22"/>
  <c r="N31" i="22"/>
  <c r="O31" i="22"/>
  <c r="P31" i="22"/>
  <c r="Q31" i="22"/>
  <c r="R31" i="22"/>
  <c r="S31" i="22"/>
  <c r="T31" i="22"/>
  <c r="U31" i="22"/>
  <c r="V31" i="22"/>
  <c r="W31" i="22"/>
  <c r="X31" i="22"/>
  <c r="Y31" i="22"/>
  <c r="Z31" i="22"/>
  <c r="AA31" i="22"/>
  <c r="AB31" i="22"/>
  <c r="AC31" i="22"/>
  <c r="AD31" i="22"/>
  <c r="AE31" i="22"/>
  <c r="AF31" i="22"/>
  <c r="D32" i="22"/>
  <c r="E32" i="22"/>
  <c r="F32" i="22"/>
  <c r="G32" i="22"/>
  <c r="H32" i="22"/>
  <c r="I32" i="22"/>
  <c r="J32" i="22"/>
  <c r="K32" i="22"/>
  <c r="L32" i="22"/>
  <c r="M32" i="22"/>
  <c r="N32" i="22"/>
  <c r="O32" i="22"/>
  <c r="P32" i="22"/>
  <c r="Q32" i="22"/>
  <c r="R32" i="22"/>
  <c r="S32" i="22"/>
  <c r="T32" i="22"/>
  <c r="U32" i="22"/>
  <c r="V32" i="22"/>
  <c r="W32" i="22"/>
  <c r="X32" i="22"/>
  <c r="Y32" i="22"/>
  <c r="Z32" i="22"/>
  <c r="AA32" i="22"/>
  <c r="AB32" i="22"/>
  <c r="AC32" i="22"/>
  <c r="AD32" i="22"/>
  <c r="AE32" i="22"/>
  <c r="AF32" i="22"/>
  <c r="D33" i="22"/>
  <c r="E33" i="22"/>
  <c r="F33" i="22"/>
  <c r="G33" i="22"/>
  <c r="H33" i="22"/>
  <c r="I33" i="22"/>
  <c r="J33" i="22"/>
  <c r="K33" i="22"/>
  <c r="L33" i="22"/>
  <c r="M33" i="22"/>
  <c r="N33" i="22"/>
  <c r="O33" i="22"/>
  <c r="P33" i="22"/>
  <c r="Q33" i="22"/>
  <c r="R33" i="22"/>
  <c r="S33" i="22"/>
  <c r="T33" i="22"/>
  <c r="U33" i="22"/>
  <c r="V33" i="22"/>
  <c r="W33" i="22"/>
  <c r="X33" i="22"/>
  <c r="Y33" i="22"/>
  <c r="Z33" i="22"/>
  <c r="AA33" i="22"/>
  <c r="AB33" i="22"/>
  <c r="AC33" i="22"/>
  <c r="AD33" i="22"/>
  <c r="AE33" i="22"/>
  <c r="AF33" i="22"/>
  <c r="D34" i="22"/>
  <c r="E34" i="22"/>
  <c r="F34" i="22"/>
  <c r="G34" i="22"/>
  <c r="H34" i="22"/>
  <c r="I34" i="22"/>
  <c r="J34" i="22"/>
  <c r="K34" i="22"/>
  <c r="L34" i="22"/>
  <c r="M34" i="22"/>
  <c r="N34" i="22"/>
  <c r="O34" i="22"/>
  <c r="P34" i="22"/>
  <c r="Q34" i="22"/>
  <c r="R34" i="22"/>
  <c r="S34" i="22"/>
  <c r="T34" i="22"/>
  <c r="U34" i="22"/>
  <c r="V34" i="22"/>
  <c r="W34" i="22"/>
  <c r="X34" i="22"/>
  <c r="Y34" i="22"/>
  <c r="Z34" i="22"/>
  <c r="AA34" i="22"/>
  <c r="AB34" i="22"/>
  <c r="AC34" i="22"/>
  <c r="AD34" i="22"/>
  <c r="AE34" i="22"/>
  <c r="AF34" i="22"/>
  <c r="D35" i="22"/>
  <c r="E35" i="22"/>
  <c r="F35" i="22"/>
  <c r="G35" i="22"/>
  <c r="H35" i="22"/>
  <c r="I35" i="22"/>
  <c r="J35" i="22"/>
  <c r="K35" i="22"/>
  <c r="L35" i="22"/>
  <c r="M35" i="22"/>
  <c r="N35" i="22"/>
  <c r="O35" i="22"/>
  <c r="P35" i="22"/>
  <c r="Q35" i="22"/>
  <c r="R35" i="22"/>
  <c r="S35" i="22"/>
  <c r="T35" i="22"/>
  <c r="U35" i="22"/>
  <c r="V35" i="22"/>
  <c r="W35" i="22"/>
  <c r="X35" i="22"/>
  <c r="Y35" i="22"/>
  <c r="Z35" i="22"/>
  <c r="AA35" i="22"/>
  <c r="AB35" i="22"/>
  <c r="AC35" i="22"/>
  <c r="AD35" i="22"/>
  <c r="AE35" i="22"/>
  <c r="AF35" i="22"/>
  <c r="D36" i="22"/>
  <c r="E36" i="22"/>
  <c r="F36" i="22"/>
  <c r="G36" i="22"/>
  <c r="H36" i="22"/>
  <c r="I36" i="22"/>
  <c r="J36" i="22"/>
  <c r="K36" i="22"/>
  <c r="L36" i="22"/>
  <c r="M36" i="22"/>
  <c r="N36" i="22"/>
  <c r="O36" i="22"/>
  <c r="P36" i="22"/>
  <c r="Q36" i="22"/>
  <c r="R36" i="22"/>
  <c r="S36" i="22"/>
  <c r="T36" i="22"/>
  <c r="U36" i="22"/>
  <c r="V36" i="22"/>
  <c r="W36" i="22"/>
  <c r="X36" i="22"/>
  <c r="Y36" i="22"/>
  <c r="Z36" i="22"/>
  <c r="AA36" i="22"/>
  <c r="AB36" i="22"/>
  <c r="AC36" i="22"/>
  <c r="AD36" i="22"/>
  <c r="AE36" i="22"/>
  <c r="AF36" i="22"/>
  <c r="D37" i="22"/>
  <c r="E37" i="22"/>
  <c r="F37" i="22"/>
  <c r="G37" i="22"/>
  <c r="H37" i="22"/>
  <c r="I37" i="22"/>
  <c r="J37" i="22"/>
  <c r="K37" i="22"/>
  <c r="L37" i="22"/>
  <c r="M37" i="22"/>
  <c r="N37" i="22"/>
  <c r="O37" i="22"/>
  <c r="P37" i="22"/>
  <c r="Q37" i="22"/>
  <c r="R37" i="22"/>
  <c r="S37" i="22"/>
  <c r="T37" i="22"/>
  <c r="U37" i="22"/>
  <c r="V37" i="22"/>
  <c r="W37" i="22"/>
  <c r="X37" i="22"/>
  <c r="Y37" i="22"/>
  <c r="Z37" i="22"/>
  <c r="AA37" i="22"/>
  <c r="AB37" i="22"/>
  <c r="AC37" i="22"/>
  <c r="AD37" i="22"/>
  <c r="AE37" i="22"/>
  <c r="AF37" i="22"/>
  <c r="D42" i="22"/>
  <c r="E42" i="22"/>
  <c r="F42" i="22"/>
  <c r="G42" i="22"/>
  <c r="H42" i="22"/>
  <c r="I42" i="22"/>
  <c r="J42" i="22"/>
  <c r="K42" i="22"/>
  <c r="L42" i="22"/>
  <c r="M42" i="22"/>
  <c r="N42" i="22"/>
  <c r="O42" i="22"/>
  <c r="P42" i="22"/>
  <c r="Q42" i="22"/>
  <c r="R42" i="22"/>
  <c r="S42" i="22"/>
  <c r="T42" i="22"/>
  <c r="U42" i="22"/>
  <c r="V42" i="22"/>
  <c r="W42" i="22"/>
  <c r="X42" i="22"/>
  <c r="Y42" i="22"/>
  <c r="Z42" i="22"/>
  <c r="AA42" i="22"/>
  <c r="AB42" i="22"/>
  <c r="AC42" i="22"/>
  <c r="AD42" i="22"/>
  <c r="AE42" i="22"/>
  <c r="AF42" i="22"/>
  <c r="D43" i="22"/>
  <c r="E43" i="22"/>
  <c r="F43" i="22"/>
  <c r="G43" i="22"/>
  <c r="H43" i="22"/>
  <c r="I43" i="22"/>
  <c r="J43" i="22"/>
  <c r="K43" i="22"/>
  <c r="L43" i="22"/>
  <c r="M43" i="22"/>
  <c r="N43" i="22"/>
  <c r="O43" i="22"/>
  <c r="P43" i="22"/>
  <c r="Q43" i="22"/>
  <c r="R43" i="22"/>
  <c r="S43" i="22"/>
  <c r="T43" i="22"/>
  <c r="U43" i="22"/>
  <c r="V43" i="22"/>
  <c r="W43" i="22"/>
  <c r="X43" i="22"/>
  <c r="Y43" i="22"/>
  <c r="Z43" i="22"/>
  <c r="AA43" i="22"/>
  <c r="AB43" i="22"/>
  <c r="AC43" i="22"/>
  <c r="AD43" i="22"/>
  <c r="AE43" i="22"/>
  <c r="AF43" i="22"/>
  <c r="D46" i="22"/>
  <c r="E46" i="22"/>
  <c r="F46" i="22"/>
  <c r="G46" i="22"/>
  <c r="H46" i="22"/>
  <c r="I46" i="22"/>
  <c r="J46" i="22"/>
  <c r="K46" i="22"/>
  <c r="L46" i="22"/>
  <c r="M46" i="22"/>
  <c r="N46" i="22"/>
  <c r="O46" i="22"/>
  <c r="P46" i="22"/>
  <c r="Q46" i="22"/>
  <c r="R46" i="22"/>
  <c r="S46" i="22"/>
  <c r="T46" i="22"/>
  <c r="U46" i="22"/>
  <c r="V46" i="22"/>
  <c r="W46" i="22"/>
  <c r="X46" i="22"/>
  <c r="Y46" i="22"/>
  <c r="Z46" i="22"/>
  <c r="AA46" i="22"/>
  <c r="AB46" i="22"/>
  <c r="AC46" i="22"/>
  <c r="AD46" i="22"/>
  <c r="AE46" i="22"/>
  <c r="AF46" i="22"/>
  <c r="D49" i="22"/>
  <c r="E49" i="22"/>
  <c r="F49" i="22"/>
  <c r="G49" i="22"/>
  <c r="H49" i="22"/>
  <c r="I49" i="22"/>
  <c r="J49" i="22"/>
  <c r="K49" i="22"/>
  <c r="L49" i="22"/>
  <c r="M49" i="22"/>
  <c r="N49" i="22"/>
  <c r="O49" i="22"/>
  <c r="P49" i="22"/>
  <c r="Q49" i="22"/>
  <c r="R49" i="22"/>
  <c r="S49" i="22"/>
  <c r="T49" i="22"/>
  <c r="U49" i="22"/>
  <c r="V49" i="22"/>
  <c r="W49" i="22"/>
  <c r="X49" i="22"/>
  <c r="Y49" i="22"/>
  <c r="Z49" i="22"/>
  <c r="AA49" i="22"/>
  <c r="AB49" i="22"/>
  <c r="AC49" i="22"/>
  <c r="AD49" i="22"/>
  <c r="AE49" i="22"/>
  <c r="AF49" i="22"/>
  <c r="D50" i="22"/>
  <c r="E50" i="22"/>
  <c r="F50" i="22"/>
  <c r="G50" i="22"/>
  <c r="H50" i="22"/>
  <c r="I50" i="22"/>
  <c r="J50" i="22"/>
  <c r="K50" i="22"/>
  <c r="L50" i="22"/>
  <c r="M50" i="22"/>
  <c r="N50" i="22"/>
  <c r="O50" i="22"/>
  <c r="P50" i="22"/>
  <c r="Q50" i="22"/>
  <c r="R50" i="22"/>
  <c r="S50" i="22"/>
  <c r="T50" i="22"/>
  <c r="U50" i="22"/>
  <c r="V50" i="22"/>
  <c r="W50" i="22"/>
  <c r="X50" i="22"/>
  <c r="Y50" i="22"/>
  <c r="Z50" i="22"/>
  <c r="AA50" i="22"/>
  <c r="AB50" i="22"/>
  <c r="AC50" i="22"/>
  <c r="AD50" i="22"/>
  <c r="AE50" i="22"/>
  <c r="AF50" i="22"/>
  <c r="D51" i="22"/>
  <c r="E51" i="22"/>
  <c r="F51" i="22"/>
  <c r="G51" i="22"/>
  <c r="H51" i="22"/>
  <c r="I51" i="22"/>
  <c r="J51" i="22"/>
  <c r="K51" i="22"/>
  <c r="L51" i="22"/>
  <c r="M51" i="22"/>
  <c r="N51" i="22"/>
  <c r="O51" i="22"/>
  <c r="P51" i="22"/>
  <c r="Q51" i="22"/>
  <c r="R51" i="22"/>
  <c r="S51" i="22"/>
  <c r="T51" i="22"/>
  <c r="U51" i="22"/>
  <c r="V51" i="22"/>
  <c r="W51" i="22"/>
  <c r="X51" i="22"/>
  <c r="Y51" i="22"/>
  <c r="Z51" i="22"/>
  <c r="AA51" i="22"/>
  <c r="AB51" i="22"/>
  <c r="AC51" i="22"/>
  <c r="AD51" i="22"/>
  <c r="AE51" i="22"/>
  <c r="AF51" i="22"/>
  <c r="D52" i="22"/>
  <c r="E52" i="22"/>
  <c r="F52" i="22"/>
  <c r="G52" i="22"/>
  <c r="H52" i="22"/>
  <c r="I52" i="22"/>
  <c r="J52" i="22"/>
  <c r="K52" i="22"/>
  <c r="L52" i="22"/>
  <c r="M52" i="22"/>
  <c r="N52" i="22"/>
  <c r="O52" i="22"/>
  <c r="P52" i="22"/>
  <c r="Q52" i="22"/>
  <c r="R52" i="22"/>
  <c r="S52" i="22"/>
  <c r="T52" i="22"/>
  <c r="U52" i="22"/>
  <c r="V52" i="22"/>
  <c r="W52" i="22"/>
  <c r="X52" i="22"/>
  <c r="Y52" i="22"/>
  <c r="Z52" i="22"/>
  <c r="AA52" i="22"/>
  <c r="AB52" i="22"/>
  <c r="AC52" i="22"/>
  <c r="AD52" i="22"/>
  <c r="AE52" i="22"/>
  <c r="AF52" i="22"/>
  <c r="D53" i="22"/>
  <c r="E53" i="22"/>
  <c r="F53" i="22"/>
  <c r="G53" i="22"/>
  <c r="H53" i="22"/>
  <c r="I53" i="22"/>
  <c r="J53" i="22"/>
  <c r="K53" i="22"/>
  <c r="L53" i="22"/>
  <c r="M53" i="22"/>
  <c r="N53" i="22"/>
  <c r="O53" i="22"/>
  <c r="P53" i="22"/>
  <c r="Q53" i="22"/>
  <c r="R53" i="22"/>
  <c r="S53" i="22"/>
  <c r="T53" i="22"/>
  <c r="U53" i="22"/>
  <c r="V53" i="22"/>
  <c r="W53" i="22"/>
  <c r="X53" i="22"/>
  <c r="Y53" i="22"/>
  <c r="Z53" i="22"/>
  <c r="AA53" i="22"/>
  <c r="AB53" i="22"/>
  <c r="AC53" i="22"/>
  <c r="AD53" i="22"/>
  <c r="AE53" i="22"/>
  <c r="AF53" i="22"/>
  <c r="D54" i="22"/>
  <c r="E54" i="22"/>
  <c r="F54" i="22"/>
  <c r="G54" i="22"/>
  <c r="H54" i="22"/>
  <c r="I54" i="22"/>
  <c r="J54" i="22"/>
  <c r="K54" i="22"/>
  <c r="L54" i="22"/>
  <c r="M54" i="22"/>
  <c r="N54" i="22"/>
  <c r="O54" i="22"/>
  <c r="P54" i="22"/>
  <c r="Q54" i="22"/>
  <c r="R54" i="22"/>
  <c r="S54" i="22"/>
  <c r="T54" i="22"/>
  <c r="U54" i="22"/>
  <c r="V54" i="22"/>
  <c r="W54" i="22"/>
  <c r="X54" i="22"/>
  <c r="Y54" i="22"/>
  <c r="Z54" i="22"/>
  <c r="AA54" i="22"/>
  <c r="AB54" i="22"/>
  <c r="AC54" i="22"/>
  <c r="AD54" i="22"/>
  <c r="AE54" i="22"/>
  <c r="AF54" i="22"/>
  <c r="D55" i="22"/>
  <c r="E55" i="22"/>
  <c r="F55" i="22"/>
  <c r="G55" i="22"/>
  <c r="H55" i="22"/>
  <c r="I55" i="22"/>
  <c r="J55" i="22"/>
  <c r="K55" i="22"/>
  <c r="L55" i="22"/>
  <c r="M55" i="22"/>
  <c r="N55" i="22"/>
  <c r="O55" i="22"/>
  <c r="P55" i="22"/>
  <c r="Q55" i="22"/>
  <c r="R55" i="22"/>
  <c r="S55" i="22"/>
  <c r="T55" i="22"/>
  <c r="U55" i="22"/>
  <c r="V55" i="22"/>
  <c r="W55" i="22"/>
  <c r="X55" i="22"/>
  <c r="Y55" i="22"/>
  <c r="Z55" i="22"/>
  <c r="AA55" i="22"/>
  <c r="AB55" i="22"/>
  <c r="AC55" i="22"/>
  <c r="AD55" i="22"/>
  <c r="AE55" i="22"/>
  <c r="AF55" i="22"/>
  <c r="D58" i="22"/>
  <c r="E58" i="22"/>
  <c r="F58" i="22"/>
  <c r="G58" i="22"/>
  <c r="H58" i="22"/>
  <c r="I58" i="22"/>
  <c r="J58" i="22"/>
  <c r="K58" i="22"/>
  <c r="L58" i="22"/>
  <c r="M58" i="22"/>
  <c r="N58" i="22"/>
  <c r="O58" i="22"/>
  <c r="P58" i="22"/>
  <c r="Q58" i="22"/>
  <c r="R58" i="22"/>
  <c r="S58" i="22"/>
  <c r="T58" i="22"/>
  <c r="U58" i="22"/>
  <c r="V58" i="22"/>
  <c r="W58" i="22"/>
  <c r="X58" i="22"/>
  <c r="Y58" i="22"/>
  <c r="Z58" i="22"/>
  <c r="AA58" i="22"/>
  <c r="AB58" i="22"/>
  <c r="AC58" i="22"/>
  <c r="AD58" i="22"/>
  <c r="AE58" i="22"/>
  <c r="AF58" i="22"/>
  <c r="D59" i="22"/>
  <c r="E59" i="22"/>
  <c r="F59" i="22"/>
  <c r="G59" i="22"/>
  <c r="H59" i="22"/>
  <c r="I59" i="22"/>
  <c r="J59" i="22"/>
  <c r="K59" i="22"/>
  <c r="L59" i="22"/>
  <c r="M59" i="22"/>
  <c r="N59" i="22"/>
  <c r="O59" i="22"/>
  <c r="P59" i="22"/>
  <c r="Q59" i="22"/>
  <c r="R59" i="22"/>
  <c r="S59" i="22"/>
  <c r="T59" i="22"/>
  <c r="U59" i="22"/>
  <c r="V59" i="22"/>
  <c r="W59" i="22"/>
  <c r="X59" i="22"/>
  <c r="Y59" i="22"/>
  <c r="Z59" i="22"/>
  <c r="AA59" i="22"/>
  <c r="AB59" i="22"/>
  <c r="AC59" i="22"/>
  <c r="AD59" i="22"/>
  <c r="AE59" i="22"/>
  <c r="AF59" i="22"/>
  <c r="D60" i="22"/>
  <c r="E60" i="22"/>
  <c r="F60" i="22"/>
  <c r="G60" i="22"/>
  <c r="H60" i="22"/>
  <c r="I60" i="22"/>
  <c r="J60" i="22"/>
  <c r="K60" i="22"/>
  <c r="L60" i="22"/>
  <c r="M60" i="22"/>
  <c r="N60" i="22"/>
  <c r="O60" i="22"/>
  <c r="P60" i="22"/>
  <c r="Q60" i="22"/>
  <c r="R60" i="22"/>
  <c r="S60" i="22"/>
  <c r="T60" i="22"/>
  <c r="U60" i="22"/>
  <c r="V60" i="22"/>
  <c r="W60" i="22"/>
  <c r="X60" i="22"/>
  <c r="Y60" i="22"/>
  <c r="Z60" i="22"/>
  <c r="AA60" i="22"/>
  <c r="AB60" i="22"/>
  <c r="AC60" i="22"/>
  <c r="AD60" i="22"/>
  <c r="AE60" i="22"/>
  <c r="AF60" i="22"/>
  <c r="C60" i="22"/>
  <c r="C59" i="22"/>
  <c r="C58" i="22"/>
  <c r="C55" i="22"/>
  <c r="C54" i="22"/>
  <c r="C53" i="22"/>
  <c r="C52" i="22"/>
  <c r="C51" i="22"/>
  <c r="C50" i="22"/>
  <c r="C49" i="22"/>
  <c r="C46" i="22"/>
  <c r="C43" i="22"/>
  <c r="C42" i="22"/>
  <c r="C37" i="22"/>
  <c r="C36" i="22"/>
  <c r="C35" i="22"/>
  <c r="C34" i="22"/>
  <c r="C33" i="22"/>
  <c r="C32" i="22"/>
  <c r="C31" i="22"/>
  <c r="C30" i="22"/>
  <c r="C29" i="22"/>
  <c r="C28" i="22"/>
  <c r="C27" i="22"/>
  <c r="C25" i="22"/>
  <c r="C24" i="22"/>
  <c r="C23" i="22"/>
  <c r="C22" i="22"/>
  <c r="C21" i="22"/>
  <c r="C20" i="22"/>
  <c r="C19" i="22"/>
  <c r="C18" i="22"/>
  <c r="C16" i="22"/>
  <c r="C57" i="23" s="1"/>
  <c r="F64" i="23" s="1"/>
  <c r="C64" i="23"/>
  <c r="C67" i="23" s="1"/>
  <c r="C65" i="23"/>
  <c r="C68" i="23" s="1"/>
  <c r="AF17" i="21"/>
  <c r="AF60" i="23" s="1"/>
  <c r="AF19" i="21"/>
  <c r="AF20" i="21"/>
  <c r="AF21" i="21"/>
  <c r="AF22" i="21"/>
  <c r="AF23" i="21"/>
  <c r="AF24" i="21"/>
  <c r="AF25" i="21"/>
  <c r="AF26" i="21"/>
  <c r="AF28" i="21"/>
  <c r="AF29" i="21"/>
  <c r="AF30" i="21"/>
  <c r="AF31" i="21"/>
  <c r="AF32" i="21"/>
  <c r="AF33" i="21"/>
  <c r="AF34" i="21"/>
  <c r="AF35" i="21"/>
  <c r="AF36" i="21"/>
  <c r="AF37" i="21"/>
  <c r="AF38" i="21"/>
  <c r="AF43" i="21"/>
  <c r="AF46" i="21"/>
  <c r="AF47" i="21"/>
  <c r="AF48" i="21"/>
  <c r="AF49" i="21"/>
  <c r="AF50" i="21"/>
  <c r="AF51" i="21"/>
  <c r="AF52" i="21"/>
  <c r="AF55" i="21"/>
  <c r="AF56" i="21"/>
  <c r="AF57" i="21"/>
  <c r="D17" i="21"/>
  <c r="D16" i="21" s="1"/>
  <c r="E17" i="21"/>
  <c r="E16" i="21" s="1"/>
  <c r="F17" i="21"/>
  <c r="F16" i="21" s="1"/>
  <c r="G17" i="21"/>
  <c r="G16" i="21" s="1"/>
  <c r="H17" i="21"/>
  <c r="H16" i="21" s="1"/>
  <c r="I17" i="21"/>
  <c r="I16" i="21" s="1"/>
  <c r="J17" i="21"/>
  <c r="J16" i="21" s="1"/>
  <c r="K17" i="21"/>
  <c r="K16" i="21" s="1"/>
  <c r="L17" i="21"/>
  <c r="L16" i="21" s="1"/>
  <c r="M17" i="21"/>
  <c r="M16" i="21" s="1"/>
  <c r="N17" i="21"/>
  <c r="N16" i="21" s="1"/>
  <c r="O17" i="21"/>
  <c r="O16" i="21" s="1"/>
  <c r="P17" i="21"/>
  <c r="P16" i="21" s="1"/>
  <c r="Q17" i="21"/>
  <c r="Q16" i="21" s="1"/>
  <c r="R17" i="21"/>
  <c r="R16" i="21" s="1"/>
  <c r="S17" i="21"/>
  <c r="S16" i="21" s="1"/>
  <c r="T17" i="21"/>
  <c r="T16" i="21" s="1"/>
  <c r="U17" i="21"/>
  <c r="U16" i="21" s="1"/>
  <c r="V17" i="21"/>
  <c r="V16" i="21" s="1"/>
  <c r="W17" i="21"/>
  <c r="W16" i="21" s="1"/>
  <c r="X17" i="21"/>
  <c r="X16" i="21" s="1"/>
  <c r="Y17" i="21"/>
  <c r="Y16" i="21" s="1"/>
  <c r="Z17" i="21"/>
  <c r="Z16" i="21" s="1"/>
  <c r="AA17" i="21"/>
  <c r="AA16" i="21" s="1"/>
  <c r="AB17" i="21"/>
  <c r="AB16" i="21" s="1"/>
  <c r="AC17" i="21"/>
  <c r="AC16" i="21" s="1"/>
  <c r="AD17" i="21"/>
  <c r="AD16" i="21" s="1"/>
  <c r="AE17" i="21"/>
  <c r="AE16" i="21" s="1"/>
  <c r="D19" i="21"/>
  <c r="E19" i="21"/>
  <c r="F19" i="21"/>
  <c r="G19" i="21"/>
  <c r="H19" i="21"/>
  <c r="I19" i="21"/>
  <c r="J19" i="21"/>
  <c r="K19" i="21"/>
  <c r="L19" i="21"/>
  <c r="M19" i="21"/>
  <c r="N19" i="21"/>
  <c r="O19" i="21"/>
  <c r="P19" i="21"/>
  <c r="Q19" i="21"/>
  <c r="R19" i="21"/>
  <c r="S19" i="21"/>
  <c r="T19" i="21"/>
  <c r="U19" i="21"/>
  <c r="V19" i="21"/>
  <c r="W19" i="21"/>
  <c r="X19" i="21"/>
  <c r="Y19" i="21"/>
  <c r="Z19" i="21"/>
  <c r="AA19" i="21"/>
  <c r="AB19" i="21"/>
  <c r="AC19" i="21"/>
  <c r="AD19" i="21"/>
  <c r="AE19" i="21"/>
  <c r="D20" i="21"/>
  <c r="E20" i="21"/>
  <c r="F20" i="21"/>
  <c r="G20" i="21"/>
  <c r="H20" i="21"/>
  <c r="I20" i="21"/>
  <c r="J20" i="21"/>
  <c r="K20" i="21"/>
  <c r="L20" i="21"/>
  <c r="M20" i="21"/>
  <c r="N20" i="21"/>
  <c r="O20" i="21"/>
  <c r="P20" i="21"/>
  <c r="Q20" i="21"/>
  <c r="R20" i="21"/>
  <c r="S20" i="21"/>
  <c r="T20" i="21"/>
  <c r="U20" i="21"/>
  <c r="V20" i="21"/>
  <c r="W20" i="21"/>
  <c r="X20" i="21"/>
  <c r="Y20" i="21"/>
  <c r="Z20" i="21"/>
  <c r="AA20" i="21"/>
  <c r="AB20" i="21"/>
  <c r="AC20" i="21"/>
  <c r="AD20" i="21"/>
  <c r="AE20" i="21"/>
  <c r="D21" i="21"/>
  <c r="E21" i="21"/>
  <c r="F21" i="21"/>
  <c r="G21" i="21"/>
  <c r="H21" i="21"/>
  <c r="I21" i="21"/>
  <c r="J21" i="21"/>
  <c r="K21" i="21"/>
  <c r="L21" i="21"/>
  <c r="M21" i="21"/>
  <c r="N21" i="21"/>
  <c r="O21" i="21"/>
  <c r="P21" i="21"/>
  <c r="Q21" i="21"/>
  <c r="R21" i="21"/>
  <c r="S21" i="21"/>
  <c r="T21" i="21"/>
  <c r="U21" i="21"/>
  <c r="V21" i="21"/>
  <c r="W21" i="21"/>
  <c r="X21" i="21"/>
  <c r="Y21" i="21"/>
  <c r="Z21" i="21"/>
  <c r="AA21" i="21"/>
  <c r="AB21" i="21"/>
  <c r="AC21" i="21"/>
  <c r="AD21" i="21"/>
  <c r="AE21" i="21"/>
  <c r="D22" i="21"/>
  <c r="E22" i="21"/>
  <c r="F22" i="21"/>
  <c r="G22" i="21"/>
  <c r="H22" i="21"/>
  <c r="I22" i="21"/>
  <c r="J22" i="21"/>
  <c r="K22" i="21"/>
  <c r="L22" i="21"/>
  <c r="M22" i="21"/>
  <c r="N22" i="21"/>
  <c r="O22" i="21"/>
  <c r="P22" i="21"/>
  <c r="Q22" i="21"/>
  <c r="R22" i="21"/>
  <c r="S22" i="21"/>
  <c r="T22" i="21"/>
  <c r="U22" i="21"/>
  <c r="V22" i="21"/>
  <c r="W22" i="21"/>
  <c r="X22" i="21"/>
  <c r="Y22" i="21"/>
  <c r="Z22" i="21"/>
  <c r="AA22" i="21"/>
  <c r="AB22" i="21"/>
  <c r="AC22" i="21"/>
  <c r="AD22" i="21"/>
  <c r="AE22" i="21"/>
  <c r="D23" i="21"/>
  <c r="E23" i="21"/>
  <c r="F23" i="21"/>
  <c r="G23" i="21"/>
  <c r="H23" i="21"/>
  <c r="I23" i="21"/>
  <c r="J23" i="21"/>
  <c r="K23" i="21"/>
  <c r="L23" i="21"/>
  <c r="M23" i="21"/>
  <c r="N23" i="21"/>
  <c r="O23" i="21"/>
  <c r="P23" i="21"/>
  <c r="Q23" i="21"/>
  <c r="R23" i="21"/>
  <c r="S23" i="21"/>
  <c r="T23" i="21"/>
  <c r="U23" i="21"/>
  <c r="V23" i="21"/>
  <c r="W23" i="21"/>
  <c r="X23" i="21"/>
  <c r="Y23" i="21"/>
  <c r="Z23" i="21"/>
  <c r="AA23" i="21"/>
  <c r="AB23" i="21"/>
  <c r="AC23" i="21"/>
  <c r="AD23" i="21"/>
  <c r="AE23" i="21"/>
  <c r="D24" i="21"/>
  <c r="E24" i="21"/>
  <c r="F24" i="21"/>
  <c r="G24" i="21"/>
  <c r="H24" i="21"/>
  <c r="I24" i="21"/>
  <c r="J24" i="21"/>
  <c r="K24" i="21"/>
  <c r="L24" i="21"/>
  <c r="M24" i="21"/>
  <c r="N24" i="21"/>
  <c r="O24" i="21"/>
  <c r="P24" i="21"/>
  <c r="Q24" i="21"/>
  <c r="R24" i="21"/>
  <c r="S24" i="21"/>
  <c r="T24" i="21"/>
  <c r="U24" i="21"/>
  <c r="V24" i="21"/>
  <c r="W24" i="21"/>
  <c r="X24" i="21"/>
  <c r="Y24" i="21"/>
  <c r="Z24" i="21"/>
  <c r="AA24" i="21"/>
  <c r="AB24" i="21"/>
  <c r="AC24" i="21"/>
  <c r="AD24" i="21"/>
  <c r="AE24" i="21"/>
  <c r="D25" i="21"/>
  <c r="E25" i="21"/>
  <c r="F25" i="21"/>
  <c r="G25" i="21"/>
  <c r="H25" i="21"/>
  <c r="I25" i="21"/>
  <c r="J25" i="21"/>
  <c r="K25" i="21"/>
  <c r="L25" i="21"/>
  <c r="M25" i="21"/>
  <c r="N25" i="21"/>
  <c r="O25" i="21"/>
  <c r="P25" i="21"/>
  <c r="Q25" i="21"/>
  <c r="R25" i="21"/>
  <c r="S25" i="21"/>
  <c r="T25" i="21"/>
  <c r="U25" i="21"/>
  <c r="V25" i="21"/>
  <c r="W25" i="21"/>
  <c r="X25" i="21"/>
  <c r="Y25" i="21"/>
  <c r="Z25" i="21"/>
  <c r="AA25" i="21"/>
  <c r="AB25" i="21"/>
  <c r="AC25" i="21"/>
  <c r="AD25" i="21"/>
  <c r="AE25" i="21"/>
  <c r="D26" i="21"/>
  <c r="E26" i="21"/>
  <c r="F26" i="21"/>
  <c r="G26" i="21"/>
  <c r="H26" i="21"/>
  <c r="I26" i="21"/>
  <c r="J26" i="21"/>
  <c r="K26" i="21"/>
  <c r="L26" i="21"/>
  <c r="M26" i="21"/>
  <c r="N26" i="21"/>
  <c r="O26" i="21"/>
  <c r="P26" i="21"/>
  <c r="Q26" i="21"/>
  <c r="R26" i="21"/>
  <c r="S26" i="21"/>
  <c r="T26" i="21"/>
  <c r="U26" i="21"/>
  <c r="V26" i="21"/>
  <c r="W26" i="21"/>
  <c r="X26" i="21"/>
  <c r="Y26" i="21"/>
  <c r="Z26" i="21"/>
  <c r="AA26" i="21"/>
  <c r="AB26" i="21"/>
  <c r="AC26" i="21"/>
  <c r="AD26" i="21"/>
  <c r="AE26" i="21"/>
  <c r="D28" i="21"/>
  <c r="E28" i="21"/>
  <c r="F28" i="21"/>
  <c r="G28" i="21"/>
  <c r="H28" i="21"/>
  <c r="I28" i="21"/>
  <c r="J28" i="21"/>
  <c r="K28" i="21"/>
  <c r="L28" i="21"/>
  <c r="M28" i="21"/>
  <c r="N28" i="21"/>
  <c r="O28" i="21"/>
  <c r="P28" i="21"/>
  <c r="Q28" i="21"/>
  <c r="R28" i="21"/>
  <c r="S28" i="21"/>
  <c r="T28" i="21"/>
  <c r="U28" i="21"/>
  <c r="V28" i="21"/>
  <c r="W28" i="21"/>
  <c r="X28" i="21"/>
  <c r="Y28" i="21"/>
  <c r="Z28" i="21"/>
  <c r="AA28" i="21"/>
  <c r="AB28" i="21"/>
  <c r="AC28" i="21"/>
  <c r="AD28" i="21"/>
  <c r="AE28" i="21"/>
  <c r="D29" i="21"/>
  <c r="E29" i="21"/>
  <c r="F29" i="21"/>
  <c r="G29" i="21"/>
  <c r="H29" i="21"/>
  <c r="I29" i="21"/>
  <c r="J29" i="21"/>
  <c r="K29" i="21"/>
  <c r="L29" i="21"/>
  <c r="M29" i="21"/>
  <c r="N29" i="21"/>
  <c r="O29" i="21"/>
  <c r="P29" i="21"/>
  <c r="Q29" i="21"/>
  <c r="R29" i="21"/>
  <c r="S29" i="21"/>
  <c r="T29" i="21"/>
  <c r="U29" i="21"/>
  <c r="V29" i="21"/>
  <c r="W29" i="21"/>
  <c r="X29" i="21"/>
  <c r="Y29" i="21"/>
  <c r="Z29" i="21"/>
  <c r="AA29" i="21"/>
  <c r="AB29" i="21"/>
  <c r="AC29" i="21"/>
  <c r="AD29" i="21"/>
  <c r="AE29" i="21"/>
  <c r="D30" i="21"/>
  <c r="E30" i="21"/>
  <c r="F30" i="21"/>
  <c r="G30" i="21"/>
  <c r="H30" i="21"/>
  <c r="I30" i="21"/>
  <c r="J30" i="21"/>
  <c r="K30" i="21"/>
  <c r="L30" i="21"/>
  <c r="M30" i="21"/>
  <c r="N30" i="21"/>
  <c r="O30" i="21"/>
  <c r="P30" i="21"/>
  <c r="Q30" i="21"/>
  <c r="R30" i="21"/>
  <c r="S30" i="21"/>
  <c r="T30" i="21"/>
  <c r="U30" i="21"/>
  <c r="V30" i="21"/>
  <c r="W30" i="21"/>
  <c r="X30" i="21"/>
  <c r="Y30" i="21"/>
  <c r="Z30" i="21"/>
  <c r="AA30" i="21"/>
  <c r="AB30" i="21"/>
  <c r="AC30" i="21"/>
  <c r="AD30" i="21"/>
  <c r="AE30" i="21"/>
  <c r="D31" i="21"/>
  <c r="E31" i="21"/>
  <c r="F31" i="21"/>
  <c r="G31" i="21"/>
  <c r="H31" i="21"/>
  <c r="I31" i="21"/>
  <c r="J31" i="21"/>
  <c r="K31" i="21"/>
  <c r="L31" i="21"/>
  <c r="M31" i="21"/>
  <c r="N31" i="21"/>
  <c r="O31" i="21"/>
  <c r="P31" i="21"/>
  <c r="Q31" i="21"/>
  <c r="R31" i="21"/>
  <c r="S31" i="21"/>
  <c r="T31" i="21"/>
  <c r="U31" i="21"/>
  <c r="V31" i="21"/>
  <c r="W31" i="21"/>
  <c r="X31" i="21"/>
  <c r="Y31" i="21"/>
  <c r="Z31" i="21"/>
  <c r="AA31" i="21"/>
  <c r="AB31" i="21"/>
  <c r="AC31" i="21"/>
  <c r="AD31" i="21"/>
  <c r="AE31" i="21"/>
  <c r="D32" i="21"/>
  <c r="E32" i="21"/>
  <c r="F32" i="21"/>
  <c r="G32" i="21"/>
  <c r="H32" i="21"/>
  <c r="I32" i="21"/>
  <c r="J32" i="21"/>
  <c r="K32" i="21"/>
  <c r="L32" i="21"/>
  <c r="M32" i="21"/>
  <c r="N32" i="21"/>
  <c r="O32" i="21"/>
  <c r="P32" i="21"/>
  <c r="Q32" i="21"/>
  <c r="R32" i="21"/>
  <c r="S32" i="21"/>
  <c r="T32" i="21"/>
  <c r="U32" i="21"/>
  <c r="V32" i="21"/>
  <c r="W32" i="21"/>
  <c r="X32" i="21"/>
  <c r="Y32" i="21"/>
  <c r="Z32" i="21"/>
  <c r="AA32" i="21"/>
  <c r="AB32" i="21"/>
  <c r="AC32" i="21"/>
  <c r="AD32" i="21"/>
  <c r="AE32" i="21"/>
  <c r="D33" i="21"/>
  <c r="E33" i="21"/>
  <c r="F33" i="21"/>
  <c r="G33" i="21"/>
  <c r="H33" i="21"/>
  <c r="I33" i="21"/>
  <c r="J33" i="21"/>
  <c r="K33" i="21"/>
  <c r="L33" i="21"/>
  <c r="M33" i="21"/>
  <c r="N33" i="21"/>
  <c r="O33" i="21"/>
  <c r="P33" i="21"/>
  <c r="Q33" i="21"/>
  <c r="R33" i="21"/>
  <c r="S33" i="21"/>
  <c r="T33" i="21"/>
  <c r="U33" i="21"/>
  <c r="V33" i="21"/>
  <c r="W33" i="21"/>
  <c r="X33" i="21"/>
  <c r="Y33" i="21"/>
  <c r="Z33" i="21"/>
  <c r="AA33" i="21"/>
  <c r="AB33" i="21"/>
  <c r="AC33" i="21"/>
  <c r="AD33" i="21"/>
  <c r="AE33" i="21"/>
  <c r="D34" i="21"/>
  <c r="E34" i="21"/>
  <c r="F34" i="21"/>
  <c r="G34" i="21"/>
  <c r="H34" i="21"/>
  <c r="I34" i="21"/>
  <c r="J34" i="21"/>
  <c r="K34" i="21"/>
  <c r="L34" i="21"/>
  <c r="M34" i="21"/>
  <c r="N34" i="21"/>
  <c r="O34" i="21"/>
  <c r="P34" i="21"/>
  <c r="Q34" i="21"/>
  <c r="R34" i="21"/>
  <c r="S34" i="21"/>
  <c r="T34" i="21"/>
  <c r="U34" i="21"/>
  <c r="V34" i="21"/>
  <c r="W34" i="21"/>
  <c r="X34" i="21"/>
  <c r="Y34" i="21"/>
  <c r="Z34" i="21"/>
  <c r="AA34" i="21"/>
  <c r="AB34" i="21"/>
  <c r="AC34" i="21"/>
  <c r="AD34" i="21"/>
  <c r="AE34" i="21"/>
  <c r="D35" i="21"/>
  <c r="E35" i="21"/>
  <c r="F35" i="21"/>
  <c r="G35" i="21"/>
  <c r="H35" i="21"/>
  <c r="I35" i="21"/>
  <c r="J35" i="21"/>
  <c r="K35" i="21"/>
  <c r="L35" i="21"/>
  <c r="M35" i="21"/>
  <c r="N35" i="21"/>
  <c r="O35" i="21"/>
  <c r="P35" i="21"/>
  <c r="Q35" i="21"/>
  <c r="R35" i="21"/>
  <c r="S35" i="21"/>
  <c r="T35" i="21"/>
  <c r="U35" i="21"/>
  <c r="V35" i="21"/>
  <c r="W35" i="21"/>
  <c r="X35" i="21"/>
  <c r="Y35" i="21"/>
  <c r="Z35" i="21"/>
  <c r="AA35" i="21"/>
  <c r="AB35" i="21"/>
  <c r="AC35" i="21"/>
  <c r="AD35" i="21"/>
  <c r="AE35" i="21"/>
  <c r="D36" i="21"/>
  <c r="E36" i="21"/>
  <c r="F36" i="21"/>
  <c r="G36" i="21"/>
  <c r="H36" i="21"/>
  <c r="I36" i="21"/>
  <c r="J36" i="21"/>
  <c r="K36" i="21"/>
  <c r="L36" i="21"/>
  <c r="M36" i="21"/>
  <c r="N36" i="21"/>
  <c r="O36" i="21"/>
  <c r="P36" i="21"/>
  <c r="Q36" i="21"/>
  <c r="R36" i="21"/>
  <c r="S36" i="21"/>
  <c r="T36" i="21"/>
  <c r="U36" i="21"/>
  <c r="V36" i="21"/>
  <c r="W36" i="21"/>
  <c r="X36" i="21"/>
  <c r="Y36" i="21"/>
  <c r="Z36" i="21"/>
  <c r="AA36" i="21"/>
  <c r="AB36" i="21"/>
  <c r="AC36" i="21"/>
  <c r="AD36" i="21"/>
  <c r="AE36" i="21"/>
  <c r="D37" i="21"/>
  <c r="E37" i="21"/>
  <c r="F37" i="21"/>
  <c r="G37" i="21"/>
  <c r="H37" i="21"/>
  <c r="I37" i="21"/>
  <c r="J37" i="21"/>
  <c r="K37" i="21"/>
  <c r="L37" i="21"/>
  <c r="M37" i="21"/>
  <c r="N37" i="21"/>
  <c r="O37" i="21"/>
  <c r="P37" i="21"/>
  <c r="Q37" i="21"/>
  <c r="R37" i="21"/>
  <c r="S37" i="21"/>
  <c r="T37" i="21"/>
  <c r="U37" i="21"/>
  <c r="V37" i="21"/>
  <c r="W37" i="21"/>
  <c r="X37" i="21"/>
  <c r="Y37" i="21"/>
  <c r="Z37" i="21"/>
  <c r="AA37" i="21"/>
  <c r="AB37" i="21"/>
  <c r="AC37" i="21"/>
  <c r="AD37" i="21"/>
  <c r="AE37" i="21"/>
  <c r="D38" i="21"/>
  <c r="E38" i="21"/>
  <c r="F38" i="21"/>
  <c r="G38" i="21"/>
  <c r="H38" i="21"/>
  <c r="I38" i="21"/>
  <c r="J38" i="21"/>
  <c r="K38" i="21"/>
  <c r="L38" i="21"/>
  <c r="M38" i="21"/>
  <c r="N38" i="21"/>
  <c r="O38" i="21"/>
  <c r="P38" i="21"/>
  <c r="Q38" i="21"/>
  <c r="R38" i="21"/>
  <c r="S38" i="21"/>
  <c r="T38" i="21"/>
  <c r="U38" i="21"/>
  <c r="V38" i="21"/>
  <c r="W38" i="21"/>
  <c r="X38" i="21"/>
  <c r="Y38" i="21"/>
  <c r="Z38" i="21"/>
  <c r="AA38" i="21"/>
  <c r="AB38" i="21"/>
  <c r="AC38" i="21"/>
  <c r="AD38" i="21"/>
  <c r="AE38" i="21"/>
  <c r="D43" i="21"/>
  <c r="E43" i="21"/>
  <c r="F43" i="21"/>
  <c r="G43" i="21"/>
  <c r="H43" i="21"/>
  <c r="I43" i="21"/>
  <c r="J43" i="21"/>
  <c r="K43" i="21"/>
  <c r="L43" i="21"/>
  <c r="M43" i="21"/>
  <c r="N43" i="21"/>
  <c r="O43" i="21"/>
  <c r="P43" i="21"/>
  <c r="Q43" i="21"/>
  <c r="R43" i="21"/>
  <c r="S43" i="21"/>
  <c r="T43" i="21"/>
  <c r="U43" i="21"/>
  <c r="V43" i="21"/>
  <c r="W43" i="21"/>
  <c r="X43" i="21"/>
  <c r="Y43" i="21"/>
  <c r="Z43" i="21"/>
  <c r="AA43" i="21"/>
  <c r="AB43" i="21"/>
  <c r="AC43" i="21"/>
  <c r="AD43" i="21"/>
  <c r="AE43" i="21"/>
  <c r="D46" i="21"/>
  <c r="E46" i="21"/>
  <c r="F46" i="21"/>
  <c r="G46" i="21"/>
  <c r="H46" i="21"/>
  <c r="I46" i="21"/>
  <c r="J46" i="21"/>
  <c r="K46" i="21"/>
  <c r="L46" i="21"/>
  <c r="M46" i="21"/>
  <c r="N46" i="21"/>
  <c r="O46" i="21"/>
  <c r="P46" i="21"/>
  <c r="Q46" i="21"/>
  <c r="R46" i="21"/>
  <c r="S46" i="21"/>
  <c r="T46" i="21"/>
  <c r="U46" i="21"/>
  <c r="V46" i="21"/>
  <c r="W46" i="21"/>
  <c r="X46" i="21"/>
  <c r="Y46" i="21"/>
  <c r="Z46" i="21"/>
  <c r="AA46" i="21"/>
  <c r="AB46" i="21"/>
  <c r="AC46" i="21"/>
  <c r="AD46" i="21"/>
  <c r="AE46" i="21"/>
  <c r="D47" i="21"/>
  <c r="E47" i="21"/>
  <c r="F47" i="21"/>
  <c r="G47" i="21"/>
  <c r="H47" i="21"/>
  <c r="I47" i="21"/>
  <c r="J47" i="21"/>
  <c r="K47" i="21"/>
  <c r="L47" i="21"/>
  <c r="M47" i="21"/>
  <c r="N47" i="21"/>
  <c r="O47" i="21"/>
  <c r="P47" i="21"/>
  <c r="Q47" i="21"/>
  <c r="R47" i="21"/>
  <c r="S47" i="21"/>
  <c r="T47" i="21"/>
  <c r="U47" i="21"/>
  <c r="V47" i="21"/>
  <c r="W47" i="21"/>
  <c r="X47" i="21"/>
  <c r="Y47" i="21"/>
  <c r="Z47" i="21"/>
  <c r="AA47" i="21"/>
  <c r="AB47" i="21"/>
  <c r="AC47" i="21"/>
  <c r="AD47" i="21"/>
  <c r="AE47" i="21"/>
  <c r="D48" i="21"/>
  <c r="E48" i="21"/>
  <c r="F48" i="21"/>
  <c r="G48" i="21"/>
  <c r="H48" i="21"/>
  <c r="I48" i="21"/>
  <c r="J48" i="21"/>
  <c r="K48" i="21"/>
  <c r="L48" i="21"/>
  <c r="M48" i="21"/>
  <c r="N48" i="21"/>
  <c r="O48" i="21"/>
  <c r="P48" i="21"/>
  <c r="Q48" i="21"/>
  <c r="R48" i="21"/>
  <c r="S48" i="21"/>
  <c r="T48" i="21"/>
  <c r="U48" i="21"/>
  <c r="V48" i="21"/>
  <c r="W48" i="21"/>
  <c r="X48" i="21"/>
  <c r="Y48" i="21"/>
  <c r="Z48" i="21"/>
  <c r="AA48" i="21"/>
  <c r="AB48" i="21"/>
  <c r="AC48" i="21"/>
  <c r="AD48" i="21"/>
  <c r="AE48" i="21"/>
  <c r="D49" i="21"/>
  <c r="E49" i="21"/>
  <c r="F49" i="21"/>
  <c r="G49" i="21"/>
  <c r="H49" i="21"/>
  <c r="I49" i="21"/>
  <c r="J49" i="21"/>
  <c r="K49" i="21"/>
  <c r="L49" i="21"/>
  <c r="M49" i="21"/>
  <c r="N49" i="21"/>
  <c r="O49" i="21"/>
  <c r="P49" i="21"/>
  <c r="Q49" i="21"/>
  <c r="R49" i="21"/>
  <c r="S49" i="21"/>
  <c r="T49" i="21"/>
  <c r="U49" i="21"/>
  <c r="V49" i="21"/>
  <c r="W49" i="21"/>
  <c r="X49" i="21"/>
  <c r="Y49" i="21"/>
  <c r="Z49" i="21"/>
  <c r="AA49" i="21"/>
  <c r="AB49" i="21"/>
  <c r="AC49" i="21"/>
  <c r="AD49" i="21"/>
  <c r="AE49" i="21"/>
  <c r="D50" i="21"/>
  <c r="E50" i="21"/>
  <c r="F50" i="21"/>
  <c r="G50" i="21"/>
  <c r="H50" i="21"/>
  <c r="I50" i="21"/>
  <c r="J50" i="21"/>
  <c r="K50" i="21"/>
  <c r="L50" i="21"/>
  <c r="M50" i="21"/>
  <c r="N50" i="21"/>
  <c r="O50" i="21"/>
  <c r="P50" i="21"/>
  <c r="Q50" i="21"/>
  <c r="R50" i="21"/>
  <c r="S50" i="21"/>
  <c r="T50" i="21"/>
  <c r="U50" i="21"/>
  <c r="V50" i="21"/>
  <c r="W50" i="21"/>
  <c r="X50" i="21"/>
  <c r="Y50" i="21"/>
  <c r="Z50" i="21"/>
  <c r="AA50" i="21"/>
  <c r="AB50" i="21"/>
  <c r="AC50" i="21"/>
  <c r="AD50" i="21"/>
  <c r="AE50" i="21"/>
  <c r="D51" i="21"/>
  <c r="E51" i="21"/>
  <c r="F51" i="21"/>
  <c r="G51" i="21"/>
  <c r="H51" i="21"/>
  <c r="I51" i="21"/>
  <c r="J51" i="21"/>
  <c r="K51" i="21"/>
  <c r="L51" i="21"/>
  <c r="M51" i="21"/>
  <c r="N51" i="21"/>
  <c r="O51" i="21"/>
  <c r="P51" i="21"/>
  <c r="Q51" i="21"/>
  <c r="R51" i="21"/>
  <c r="S51" i="21"/>
  <c r="T51" i="21"/>
  <c r="U51" i="21"/>
  <c r="V51" i="21"/>
  <c r="W51" i="21"/>
  <c r="X51" i="21"/>
  <c r="Y51" i="21"/>
  <c r="Z51" i="21"/>
  <c r="AA51" i="21"/>
  <c r="AB51" i="21"/>
  <c r="AC51" i="21"/>
  <c r="AD51" i="21"/>
  <c r="AE51" i="21"/>
  <c r="D52" i="21"/>
  <c r="E52" i="21"/>
  <c r="F52" i="21"/>
  <c r="G52" i="21"/>
  <c r="H52" i="21"/>
  <c r="I52" i="21"/>
  <c r="J52" i="21"/>
  <c r="K52" i="21"/>
  <c r="L52" i="21"/>
  <c r="M52" i="21"/>
  <c r="N52" i="21"/>
  <c r="O52" i="21"/>
  <c r="P52" i="21"/>
  <c r="Q52" i="21"/>
  <c r="R52" i="21"/>
  <c r="S52" i="21"/>
  <c r="T52" i="21"/>
  <c r="U52" i="21"/>
  <c r="V52" i="21"/>
  <c r="W52" i="21"/>
  <c r="X52" i="21"/>
  <c r="Y52" i="21"/>
  <c r="Z52" i="21"/>
  <c r="AA52" i="21"/>
  <c r="AB52" i="21"/>
  <c r="AC52" i="21"/>
  <c r="AD52" i="21"/>
  <c r="AE52" i="21"/>
  <c r="D55" i="21"/>
  <c r="E55" i="21"/>
  <c r="F55" i="21"/>
  <c r="G55" i="21"/>
  <c r="H55" i="21"/>
  <c r="I55" i="21"/>
  <c r="J55" i="21"/>
  <c r="K55" i="21"/>
  <c r="L55" i="21"/>
  <c r="M55" i="21"/>
  <c r="N55" i="21"/>
  <c r="O55" i="21"/>
  <c r="P55" i="21"/>
  <c r="Q55" i="21"/>
  <c r="R55" i="21"/>
  <c r="S55" i="21"/>
  <c r="T55" i="21"/>
  <c r="U55" i="21"/>
  <c r="V55" i="21"/>
  <c r="W55" i="21"/>
  <c r="X55" i="21"/>
  <c r="Y55" i="21"/>
  <c r="Z55" i="21"/>
  <c r="AA55" i="21"/>
  <c r="AB55" i="21"/>
  <c r="AC55" i="21"/>
  <c r="AD55" i="21"/>
  <c r="AE55" i="21"/>
  <c r="D56" i="21"/>
  <c r="E56" i="21"/>
  <c r="F56" i="21"/>
  <c r="G56" i="21"/>
  <c r="H56" i="21"/>
  <c r="I56" i="21"/>
  <c r="J56" i="21"/>
  <c r="K56" i="21"/>
  <c r="L56" i="21"/>
  <c r="M56" i="21"/>
  <c r="N56" i="21"/>
  <c r="O56" i="21"/>
  <c r="P56" i="21"/>
  <c r="Q56" i="21"/>
  <c r="R56" i="21"/>
  <c r="S56" i="21"/>
  <c r="T56" i="21"/>
  <c r="U56" i="21"/>
  <c r="V56" i="21"/>
  <c r="W56" i="21"/>
  <c r="X56" i="21"/>
  <c r="Y56" i="21"/>
  <c r="Z56" i="21"/>
  <c r="AA56" i="21"/>
  <c r="AB56" i="21"/>
  <c r="AC56" i="21"/>
  <c r="AD56" i="21"/>
  <c r="AE56" i="21"/>
  <c r="D57" i="21"/>
  <c r="E57" i="21"/>
  <c r="F57" i="21"/>
  <c r="G57" i="21"/>
  <c r="H57" i="21"/>
  <c r="I57" i="21"/>
  <c r="J57" i="21"/>
  <c r="K57" i="21"/>
  <c r="L57" i="21"/>
  <c r="M57" i="21"/>
  <c r="N57" i="21"/>
  <c r="O57" i="21"/>
  <c r="P57" i="21"/>
  <c r="Q57" i="21"/>
  <c r="R57" i="21"/>
  <c r="S57" i="21"/>
  <c r="T57" i="21"/>
  <c r="U57" i="21"/>
  <c r="V57" i="21"/>
  <c r="W57" i="21"/>
  <c r="X57" i="21"/>
  <c r="Y57" i="21"/>
  <c r="Z57" i="21"/>
  <c r="AA57" i="21"/>
  <c r="AB57" i="21"/>
  <c r="AC57" i="21"/>
  <c r="AD57" i="21"/>
  <c r="AE57" i="21"/>
  <c r="C71" i="21"/>
  <c r="C70" i="21"/>
  <c r="C69" i="21"/>
  <c r="C68" i="21"/>
  <c r="C67" i="21"/>
  <c r="C66" i="21"/>
  <c r="C65" i="21"/>
  <c r="C64" i="21"/>
  <c r="C63" i="21"/>
  <c r="C62" i="21"/>
  <c r="C61" i="21"/>
  <c r="C60" i="21"/>
  <c r="C57" i="21"/>
  <c r="C56" i="21"/>
  <c r="C55" i="21"/>
  <c r="C52" i="21"/>
  <c r="C51" i="21"/>
  <c r="C50" i="21"/>
  <c r="C49" i="21"/>
  <c r="C48" i="21"/>
  <c r="C47" i="21"/>
  <c r="C46" i="21"/>
  <c r="C43" i="21"/>
  <c r="C38" i="21"/>
  <c r="C37" i="21"/>
  <c r="C36" i="21"/>
  <c r="C35" i="21"/>
  <c r="C34" i="21"/>
  <c r="C33" i="21"/>
  <c r="C32" i="21"/>
  <c r="C31" i="21"/>
  <c r="C30" i="21"/>
  <c r="C29" i="21"/>
  <c r="C28" i="21"/>
  <c r="C26" i="21"/>
  <c r="C25" i="21"/>
  <c r="C24" i="21"/>
  <c r="C23" i="21"/>
  <c r="C22" i="21"/>
  <c r="C21" i="21"/>
  <c r="C20" i="21"/>
  <c r="C19" i="21"/>
  <c r="C17" i="21"/>
  <c r="C16" i="21" s="1"/>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D55" i="18"/>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D61" i="18"/>
  <c r="E61" i="18"/>
  <c r="F61" i="18"/>
  <c r="G61" i="18"/>
  <c r="H61" i="18"/>
  <c r="I61" i="18"/>
  <c r="J61" i="18"/>
  <c r="K61" i="18"/>
  <c r="L61" i="18"/>
  <c r="M61" i="18"/>
  <c r="N61" i="18"/>
  <c r="O61" i="18"/>
  <c r="P61" i="18"/>
  <c r="Q61" i="18"/>
  <c r="R61" i="18"/>
  <c r="S61" i="18"/>
  <c r="T61" i="18"/>
  <c r="U61" i="18"/>
  <c r="V61" i="18"/>
  <c r="W61" i="18"/>
  <c r="X61" i="18"/>
  <c r="Y61" i="18"/>
  <c r="Z61" i="18"/>
  <c r="AA61" i="18"/>
  <c r="AB61" i="18"/>
  <c r="AC61" i="18"/>
  <c r="AD61" i="18"/>
  <c r="AE61" i="18"/>
  <c r="D62" i="18"/>
  <c r="E62" i="18"/>
  <c r="F62" i="18"/>
  <c r="G62" i="18"/>
  <c r="H62" i="18"/>
  <c r="I62" i="18"/>
  <c r="J62" i="18"/>
  <c r="K62" i="18"/>
  <c r="L62" i="18"/>
  <c r="M62" i="18"/>
  <c r="N62" i="18"/>
  <c r="O62" i="18"/>
  <c r="P62" i="18"/>
  <c r="Q62" i="18"/>
  <c r="R62" i="18"/>
  <c r="S62" i="18"/>
  <c r="T62" i="18"/>
  <c r="U62" i="18"/>
  <c r="V62" i="18"/>
  <c r="W62" i="18"/>
  <c r="X62" i="18"/>
  <c r="Y62" i="18"/>
  <c r="Z62" i="18"/>
  <c r="AA62" i="18"/>
  <c r="AB62" i="18"/>
  <c r="AC62" i="18"/>
  <c r="AD62" i="18"/>
  <c r="AE62" i="18"/>
  <c r="D63" i="18"/>
  <c r="E63" i="18"/>
  <c r="F63" i="18"/>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D64" i="18"/>
  <c r="E64" i="18"/>
  <c r="F64" i="18"/>
  <c r="G64" i="18"/>
  <c r="H64" i="18"/>
  <c r="I64" i="18"/>
  <c r="J64" i="18"/>
  <c r="K64" i="18"/>
  <c r="L64" i="18"/>
  <c r="M64" i="18"/>
  <c r="N64" i="18"/>
  <c r="O64" i="18"/>
  <c r="P64" i="18"/>
  <c r="Q64" i="18"/>
  <c r="R64" i="18"/>
  <c r="S64" i="18"/>
  <c r="T64" i="18"/>
  <c r="U64" i="18"/>
  <c r="V64" i="18"/>
  <c r="W64" i="18"/>
  <c r="X64" i="18"/>
  <c r="Y64" i="18"/>
  <c r="Z64" i="18"/>
  <c r="AA64" i="18"/>
  <c r="AB64" i="18"/>
  <c r="AC64" i="18"/>
  <c r="AD64" i="18"/>
  <c r="AE64" i="18"/>
  <c r="D65" i="18"/>
  <c r="E65" i="18"/>
  <c r="F65" i="18"/>
  <c r="G65" i="18"/>
  <c r="H65" i="18"/>
  <c r="I65" i="18"/>
  <c r="J65" i="18"/>
  <c r="K65" i="18"/>
  <c r="L65" i="18"/>
  <c r="M65" i="18"/>
  <c r="N65" i="18"/>
  <c r="O65" i="18"/>
  <c r="P65" i="18"/>
  <c r="Q65" i="18"/>
  <c r="R65" i="18"/>
  <c r="S65" i="18"/>
  <c r="T65" i="18"/>
  <c r="U65" i="18"/>
  <c r="V65" i="18"/>
  <c r="W65" i="18"/>
  <c r="X65" i="18"/>
  <c r="Y65" i="18"/>
  <c r="Z65" i="18"/>
  <c r="AA65" i="18"/>
  <c r="AB65" i="18"/>
  <c r="AC65" i="18"/>
  <c r="AD65" i="18"/>
  <c r="AE65" i="18"/>
  <c r="D68" i="18"/>
  <c r="E68" i="18"/>
  <c r="F68" i="18"/>
  <c r="G68" i="18"/>
  <c r="H68" i="18"/>
  <c r="I68" i="18"/>
  <c r="J68" i="18"/>
  <c r="K68" i="18"/>
  <c r="L68" i="18"/>
  <c r="M68" i="18"/>
  <c r="N68" i="18"/>
  <c r="O68" i="18"/>
  <c r="P68" i="18"/>
  <c r="Q68" i="18"/>
  <c r="R68" i="18"/>
  <c r="S68" i="18"/>
  <c r="T68" i="18"/>
  <c r="U68" i="18"/>
  <c r="V68" i="18"/>
  <c r="W68" i="18"/>
  <c r="X68" i="18"/>
  <c r="Y68" i="18"/>
  <c r="Z68" i="18"/>
  <c r="AA68" i="18"/>
  <c r="AB68" i="18"/>
  <c r="AC68" i="18"/>
  <c r="AD68" i="18"/>
  <c r="AE68" i="18"/>
  <c r="D69" i="18"/>
  <c r="E69" i="18"/>
  <c r="F69" i="18"/>
  <c r="G69" i="18"/>
  <c r="H69" i="18"/>
  <c r="I69" i="18"/>
  <c r="J69" i="18"/>
  <c r="K69" i="18"/>
  <c r="L69" i="18"/>
  <c r="M69" i="18"/>
  <c r="N69" i="18"/>
  <c r="O69" i="18"/>
  <c r="P69" i="18"/>
  <c r="Q69" i="18"/>
  <c r="R69" i="18"/>
  <c r="S69" i="18"/>
  <c r="T69" i="18"/>
  <c r="U69" i="18"/>
  <c r="V69" i="18"/>
  <c r="W69" i="18"/>
  <c r="X69" i="18"/>
  <c r="Y69" i="18"/>
  <c r="Z69" i="18"/>
  <c r="AA69" i="18"/>
  <c r="AB69" i="18"/>
  <c r="AC69" i="18"/>
  <c r="AD69" i="18"/>
  <c r="AE69" i="18"/>
  <c r="D70" i="18"/>
  <c r="E70" i="18"/>
  <c r="F70" i="18"/>
  <c r="G70" i="18"/>
  <c r="H70" i="18"/>
  <c r="I70" i="18"/>
  <c r="J70" i="18"/>
  <c r="K70" i="18"/>
  <c r="L70" i="18"/>
  <c r="M70" i="18"/>
  <c r="N70" i="18"/>
  <c r="O70" i="18"/>
  <c r="P70" i="18"/>
  <c r="Q70" i="18"/>
  <c r="R70" i="18"/>
  <c r="S70" i="18"/>
  <c r="T70" i="18"/>
  <c r="U70" i="18"/>
  <c r="V70" i="18"/>
  <c r="W70" i="18"/>
  <c r="X70" i="18"/>
  <c r="Y70" i="18"/>
  <c r="Z70" i="18"/>
  <c r="AA70" i="18"/>
  <c r="AB70" i="18"/>
  <c r="AC70" i="18"/>
  <c r="AD70" i="18"/>
  <c r="AE70" i="18"/>
  <c r="D71" i="18"/>
  <c r="E71" i="18"/>
  <c r="F71" i="18"/>
  <c r="G71" i="18"/>
  <c r="H71" i="18"/>
  <c r="I71" i="18"/>
  <c r="J71" i="18"/>
  <c r="K71" i="18"/>
  <c r="L71" i="18"/>
  <c r="M71" i="18"/>
  <c r="N71" i="18"/>
  <c r="O71" i="18"/>
  <c r="P71" i="18"/>
  <c r="Q71" i="18"/>
  <c r="R71" i="18"/>
  <c r="S71" i="18"/>
  <c r="T71" i="18"/>
  <c r="U71" i="18"/>
  <c r="V71" i="18"/>
  <c r="W71" i="18"/>
  <c r="X71" i="18"/>
  <c r="Y71" i="18"/>
  <c r="Z71" i="18"/>
  <c r="AA71" i="18"/>
  <c r="AB71" i="18"/>
  <c r="AC71" i="18"/>
  <c r="AD71" i="18"/>
  <c r="AE71" i="18"/>
  <c r="D29" i="18"/>
  <c r="E29" i="18"/>
  <c r="F29" i="18"/>
  <c r="G29" i="18"/>
  <c r="H29" i="18"/>
  <c r="I29" i="18"/>
  <c r="J29" i="18"/>
  <c r="K29" i="18"/>
  <c r="L29" i="18"/>
  <c r="M29" i="18"/>
  <c r="N29" i="18"/>
  <c r="O29" i="18"/>
  <c r="P29" i="18"/>
  <c r="Q29" i="18"/>
  <c r="R29" i="18"/>
  <c r="S29" i="18"/>
  <c r="T29" i="18"/>
  <c r="U29" i="18"/>
  <c r="V29" i="18"/>
  <c r="W29" i="18"/>
  <c r="X29" i="18"/>
  <c r="Y29" i="18"/>
  <c r="Z29" i="18"/>
  <c r="AA29" i="18"/>
  <c r="AB29" i="18"/>
  <c r="AC29" i="18"/>
  <c r="AD29" i="18"/>
  <c r="AE29" i="18"/>
  <c r="D30" i="18"/>
  <c r="E30" i="18"/>
  <c r="F30" i="18"/>
  <c r="G30" i="18"/>
  <c r="H30" i="18"/>
  <c r="I30" i="18"/>
  <c r="J30" i="18"/>
  <c r="K30" i="18"/>
  <c r="L30" i="18"/>
  <c r="M30" i="18"/>
  <c r="N30" i="18"/>
  <c r="O30" i="18"/>
  <c r="P30" i="18"/>
  <c r="Q30" i="18"/>
  <c r="R30" i="18"/>
  <c r="S30" i="18"/>
  <c r="T30" i="18"/>
  <c r="U30" i="18"/>
  <c r="V30" i="18"/>
  <c r="W30" i="18"/>
  <c r="X30" i="18"/>
  <c r="Y30" i="18"/>
  <c r="Z30" i="18"/>
  <c r="AA30" i="18"/>
  <c r="AB30" i="18"/>
  <c r="AC30" i="18"/>
  <c r="AD30" i="18"/>
  <c r="AE30" i="18"/>
  <c r="D36" i="18"/>
  <c r="E36" i="18"/>
  <c r="F36" i="18"/>
  <c r="G36" i="18"/>
  <c r="H36" i="18"/>
  <c r="I36" i="18"/>
  <c r="J36" i="18"/>
  <c r="K36" i="18"/>
  <c r="L36" i="18"/>
  <c r="M36" i="18"/>
  <c r="N36" i="18"/>
  <c r="O36" i="18"/>
  <c r="P36" i="18"/>
  <c r="Q36" i="18"/>
  <c r="R36" i="18"/>
  <c r="S36" i="18"/>
  <c r="T36" i="18"/>
  <c r="U36" i="18"/>
  <c r="V36" i="18"/>
  <c r="W36" i="18"/>
  <c r="X36" i="18"/>
  <c r="Y36" i="18"/>
  <c r="Z36" i="18"/>
  <c r="AA36" i="18"/>
  <c r="AB36" i="18"/>
  <c r="AC36" i="18"/>
  <c r="AD36" i="18"/>
  <c r="AE36" i="18"/>
  <c r="D37" i="18"/>
  <c r="E37" i="18"/>
  <c r="F37" i="18"/>
  <c r="G37" i="18"/>
  <c r="H37" i="18"/>
  <c r="I37" i="18"/>
  <c r="J37" i="18"/>
  <c r="K37" i="18"/>
  <c r="L37" i="18"/>
  <c r="M37" i="18"/>
  <c r="N37" i="18"/>
  <c r="O37" i="18"/>
  <c r="P37" i="18"/>
  <c r="Q37" i="18"/>
  <c r="R37" i="18"/>
  <c r="S37" i="18"/>
  <c r="T37" i="18"/>
  <c r="U37" i="18"/>
  <c r="V37" i="18"/>
  <c r="W37" i="18"/>
  <c r="X37" i="18"/>
  <c r="Y37" i="18"/>
  <c r="Z37" i="18"/>
  <c r="AA37" i="18"/>
  <c r="AB37" i="18"/>
  <c r="AC37" i="18"/>
  <c r="AD37" i="18"/>
  <c r="AE37" i="18"/>
  <c r="D38" i="18"/>
  <c r="E38" i="18"/>
  <c r="F38" i="18"/>
  <c r="G38" i="18"/>
  <c r="H38" i="18"/>
  <c r="I38" i="18"/>
  <c r="J38" i="18"/>
  <c r="K38" i="18"/>
  <c r="L38" i="18"/>
  <c r="M38" i="18"/>
  <c r="N38" i="18"/>
  <c r="O38" i="18"/>
  <c r="P38" i="18"/>
  <c r="Q38" i="18"/>
  <c r="R38" i="18"/>
  <c r="S38" i="18"/>
  <c r="T38" i="18"/>
  <c r="U38" i="18"/>
  <c r="V38" i="18"/>
  <c r="W38" i="18"/>
  <c r="X38" i="18"/>
  <c r="Y38" i="18"/>
  <c r="Z38" i="18"/>
  <c r="AA38" i="18"/>
  <c r="AB38" i="18"/>
  <c r="AC38" i="18"/>
  <c r="AD38" i="18"/>
  <c r="AE38" i="18"/>
  <c r="D39" i="18"/>
  <c r="E39" i="18"/>
  <c r="F39" i="18"/>
  <c r="G39" i="18"/>
  <c r="H39" i="18"/>
  <c r="I39" i="18"/>
  <c r="J39" i="18"/>
  <c r="K39" i="18"/>
  <c r="L39" i="18"/>
  <c r="M39" i="18"/>
  <c r="N39" i="18"/>
  <c r="O39" i="18"/>
  <c r="P39" i="18"/>
  <c r="Q39" i="18"/>
  <c r="R39" i="18"/>
  <c r="S39" i="18"/>
  <c r="T39" i="18"/>
  <c r="U39" i="18"/>
  <c r="V39" i="18"/>
  <c r="W39" i="18"/>
  <c r="X39" i="18"/>
  <c r="Y39" i="18"/>
  <c r="Z39" i="18"/>
  <c r="AA39" i="18"/>
  <c r="AB39" i="18"/>
  <c r="AC39" i="18"/>
  <c r="AD39" i="18"/>
  <c r="AE39" i="18"/>
  <c r="D40" i="18"/>
  <c r="E40" i="18"/>
  <c r="F40" i="18"/>
  <c r="G40" i="18"/>
  <c r="H40" i="18"/>
  <c r="I40" i="18"/>
  <c r="J40" i="18"/>
  <c r="K40" i="18"/>
  <c r="L40" i="18"/>
  <c r="M40" i="18"/>
  <c r="N40" i="18"/>
  <c r="O40" i="18"/>
  <c r="P40" i="18"/>
  <c r="Q40" i="18"/>
  <c r="R40" i="18"/>
  <c r="S40" i="18"/>
  <c r="T40" i="18"/>
  <c r="U40" i="18"/>
  <c r="V40" i="18"/>
  <c r="W40" i="18"/>
  <c r="X40" i="18"/>
  <c r="Y40" i="18"/>
  <c r="Z40" i="18"/>
  <c r="AA40" i="18"/>
  <c r="AB40" i="18"/>
  <c r="AC40" i="18"/>
  <c r="AD40" i="18"/>
  <c r="AE40" i="18"/>
  <c r="D43" i="18"/>
  <c r="E43" i="18"/>
  <c r="F43" i="18"/>
  <c r="G43" i="18"/>
  <c r="H43" i="18"/>
  <c r="I43" i="18"/>
  <c r="J43" i="18"/>
  <c r="K43" i="18"/>
  <c r="L43" i="18"/>
  <c r="M43" i="18"/>
  <c r="N43" i="18"/>
  <c r="O43" i="18"/>
  <c r="P43" i="18"/>
  <c r="Q43" i="18"/>
  <c r="R43" i="18"/>
  <c r="S43" i="18"/>
  <c r="T43" i="18"/>
  <c r="U43" i="18"/>
  <c r="V43" i="18"/>
  <c r="W43" i="18"/>
  <c r="X43" i="18"/>
  <c r="Y43" i="18"/>
  <c r="Z43" i="18"/>
  <c r="AA43" i="18"/>
  <c r="AB43" i="18"/>
  <c r="AC43" i="18"/>
  <c r="AD43" i="18"/>
  <c r="AE43"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D46" i="18"/>
  <c r="E46" i="18"/>
  <c r="F46" i="18"/>
  <c r="G46" i="18"/>
  <c r="H46" i="18"/>
  <c r="I46" i="18"/>
  <c r="J46" i="18"/>
  <c r="K46" i="18"/>
  <c r="L46" i="18"/>
  <c r="M46" i="18"/>
  <c r="N46" i="18"/>
  <c r="O46" i="18"/>
  <c r="P46" i="18"/>
  <c r="Q46" i="18"/>
  <c r="R46" i="18"/>
  <c r="S46" i="18"/>
  <c r="T46" i="18"/>
  <c r="U46" i="18"/>
  <c r="V46" i="18"/>
  <c r="W46" i="18"/>
  <c r="X46" i="18"/>
  <c r="Y46" i="18"/>
  <c r="Z46" i="18"/>
  <c r="AA46" i="18"/>
  <c r="AB46" i="18"/>
  <c r="AC46" i="18"/>
  <c r="AD46" i="18"/>
  <c r="AE46" i="18"/>
  <c r="D4" i="18"/>
  <c r="E4" i="18"/>
  <c r="F4" i="18"/>
  <c r="G4" i="18"/>
  <c r="H4" i="18"/>
  <c r="I4" i="18"/>
  <c r="J4" i="18"/>
  <c r="K4" i="18"/>
  <c r="L4" i="18"/>
  <c r="M4" i="18"/>
  <c r="N4" i="18"/>
  <c r="O4" i="18"/>
  <c r="P4" i="18"/>
  <c r="Q4" i="18"/>
  <c r="R4" i="18"/>
  <c r="S4" i="18"/>
  <c r="T4" i="18"/>
  <c r="U4" i="18"/>
  <c r="V4" i="18"/>
  <c r="W4" i="18"/>
  <c r="X4" i="18"/>
  <c r="Y4" i="18"/>
  <c r="Z4" i="18"/>
  <c r="AA4" i="18"/>
  <c r="AB4" i="18"/>
  <c r="AC4" i="18"/>
  <c r="AD4" i="18"/>
  <c r="AE4" i="18"/>
  <c r="D5" i="18"/>
  <c r="E5" i="18"/>
  <c r="F5" i="18"/>
  <c r="G5" i="18"/>
  <c r="H5" i="18"/>
  <c r="I5" i="18"/>
  <c r="J5" i="18"/>
  <c r="K5" i="18"/>
  <c r="L5" i="18"/>
  <c r="M5" i="18"/>
  <c r="N5" i="18"/>
  <c r="O5" i="18"/>
  <c r="P5" i="18"/>
  <c r="Q5" i="18"/>
  <c r="R5" i="18"/>
  <c r="S5" i="18"/>
  <c r="T5" i="18"/>
  <c r="U5" i="18"/>
  <c r="V5" i="18"/>
  <c r="W5" i="18"/>
  <c r="X5" i="18"/>
  <c r="Y5" i="18"/>
  <c r="Z5" i="18"/>
  <c r="AA5" i="18"/>
  <c r="AB5" i="18"/>
  <c r="AC5" i="18"/>
  <c r="AD5" i="18"/>
  <c r="AE5" i="18"/>
  <c r="D6" i="18"/>
  <c r="E6" i="18"/>
  <c r="F6" i="18"/>
  <c r="G6" i="18"/>
  <c r="H6" i="18"/>
  <c r="I6" i="18"/>
  <c r="J6" i="18"/>
  <c r="K6" i="18"/>
  <c r="L6" i="18"/>
  <c r="M6" i="18"/>
  <c r="N6" i="18"/>
  <c r="O6" i="18"/>
  <c r="P6" i="18"/>
  <c r="Q6" i="18"/>
  <c r="R6" i="18"/>
  <c r="S6" i="18"/>
  <c r="T6" i="18"/>
  <c r="U6" i="18"/>
  <c r="V6" i="18"/>
  <c r="W6" i="18"/>
  <c r="X6" i="18"/>
  <c r="Y6" i="18"/>
  <c r="Z6" i="18"/>
  <c r="AA6" i="18"/>
  <c r="AB6" i="18"/>
  <c r="AC6" i="18"/>
  <c r="AD6" i="18"/>
  <c r="AE6" i="18"/>
  <c r="D10" i="18"/>
  <c r="E10" i="18"/>
  <c r="F10" i="18"/>
  <c r="G10" i="18"/>
  <c r="H10" i="18"/>
  <c r="I10" i="18"/>
  <c r="J10" i="18"/>
  <c r="K10" i="18"/>
  <c r="L10" i="18"/>
  <c r="M10" i="18"/>
  <c r="N10" i="18"/>
  <c r="O10" i="18"/>
  <c r="P10" i="18"/>
  <c r="Q10" i="18"/>
  <c r="R10" i="18"/>
  <c r="S10" i="18"/>
  <c r="T10" i="18"/>
  <c r="U10" i="18"/>
  <c r="V10" i="18"/>
  <c r="W10" i="18"/>
  <c r="X10" i="18"/>
  <c r="Y10" i="18"/>
  <c r="Z10" i="18"/>
  <c r="AA10" i="18"/>
  <c r="AB10" i="18"/>
  <c r="AC10" i="18"/>
  <c r="AD10" i="18"/>
  <c r="AE10" i="18"/>
  <c r="D11" i="18"/>
  <c r="E11" i="18"/>
  <c r="F11" i="18"/>
  <c r="G11" i="18"/>
  <c r="H11" i="18"/>
  <c r="I11" i="18"/>
  <c r="J11" i="18"/>
  <c r="K11" i="18"/>
  <c r="L11" i="18"/>
  <c r="M11" i="18"/>
  <c r="N11" i="18"/>
  <c r="O11" i="18"/>
  <c r="P11" i="18"/>
  <c r="Q11" i="18"/>
  <c r="R11" i="18"/>
  <c r="S11" i="18"/>
  <c r="T11" i="18"/>
  <c r="U11" i="18"/>
  <c r="V11" i="18"/>
  <c r="W11" i="18"/>
  <c r="X11" i="18"/>
  <c r="Y11" i="18"/>
  <c r="Z11" i="18"/>
  <c r="AA11" i="18"/>
  <c r="AB11" i="18"/>
  <c r="AC11" i="18"/>
  <c r="AD11" i="18"/>
  <c r="AE11" i="18"/>
  <c r="D12" i="18"/>
  <c r="E12" i="18"/>
  <c r="F12" i="18"/>
  <c r="G12" i="18"/>
  <c r="H12" i="18"/>
  <c r="I12" i="18"/>
  <c r="J12" i="18"/>
  <c r="K12" i="18"/>
  <c r="L12" i="18"/>
  <c r="M12" i="18"/>
  <c r="N12" i="18"/>
  <c r="O12" i="18"/>
  <c r="P12" i="18"/>
  <c r="Q12" i="18"/>
  <c r="R12" i="18"/>
  <c r="S12" i="18"/>
  <c r="T12" i="18"/>
  <c r="U12" i="18"/>
  <c r="V12" i="18"/>
  <c r="W12" i="18"/>
  <c r="X12" i="18"/>
  <c r="Y12" i="18"/>
  <c r="Z12" i="18"/>
  <c r="AA12" i="18"/>
  <c r="AB12" i="18"/>
  <c r="AC12" i="18"/>
  <c r="AD12" i="18"/>
  <c r="AE12" i="18"/>
  <c r="D13" i="18"/>
  <c r="E13" i="18"/>
  <c r="F13" i="18"/>
  <c r="G13" i="18"/>
  <c r="H13" i="18"/>
  <c r="I13" i="18"/>
  <c r="J13" i="18"/>
  <c r="K13" i="18"/>
  <c r="L13" i="18"/>
  <c r="M13" i="18"/>
  <c r="N13" i="18"/>
  <c r="O13" i="18"/>
  <c r="P13" i="18"/>
  <c r="Q13" i="18"/>
  <c r="R13" i="18"/>
  <c r="S13" i="18"/>
  <c r="T13" i="18"/>
  <c r="U13" i="18"/>
  <c r="V13" i="18"/>
  <c r="W13" i="18"/>
  <c r="X13" i="18"/>
  <c r="Y13" i="18"/>
  <c r="Z13" i="18"/>
  <c r="AA13" i="18"/>
  <c r="AB13" i="18"/>
  <c r="AC13" i="18"/>
  <c r="AD13" i="18"/>
  <c r="AE13" i="18"/>
  <c r="D14" i="18"/>
  <c r="E14" i="18"/>
  <c r="F14" i="18"/>
  <c r="G14" i="18"/>
  <c r="H14" i="18"/>
  <c r="I14" i="18"/>
  <c r="J14" i="18"/>
  <c r="K14" i="18"/>
  <c r="L14" i="18"/>
  <c r="M14" i="18"/>
  <c r="N14" i="18"/>
  <c r="O14" i="18"/>
  <c r="P14" i="18"/>
  <c r="Q14" i="18"/>
  <c r="R14" i="18"/>
  <c r="S14" i="18"/>
  <c r="T14" i="18"/>
  <c r="U14" i="18"/>
  <c r="V14" i="18"/>
  <c r="W14" i="18"/>
  <c r="X14" i="18"/>
  <c r="Y14" i="18"/>
  <c r="Z14" i="18"/>
  <c r="AA14" i="18"/>
  <c r="AB14" i="18"/>
  <c r="AC14" i="18"/>
  <c r="AD14" i="18"/>
  <c r="AE14" i="18"/>
  <c r="D15" i="18"/>
  <c r="E15" i="18"/>
  <c r="F15" i="18"/>
  <c r="G15" i="18"/>
  <c r="H15" i="18"/>
  <c r="I15" i="18"/>
  <c r="J15" i="18"/>
  <c r="K15" i="18"/>
  <c r="L15" i="18"/>
  <c r="M15" i="18"/>
  <c r="N15" i="18"/>
  <c r="O15" i="18"/>
  <c r="P15" i="18"/>
  <c r="Q15" i="18"/>
  <c r="R15" i="18"/>
  <c r="S15" i="18"/>
  <c r="T15" i="18"/>
  <c r="U15" i="18"/>
  <c r="V15" i="18"/>
  <c r="W15" i="18"/>
  <c r="X15" i="18"/>
  <c r="Y15" i="18"/>
  <c r="Z15" i="18"/>
  <c r="AA15" i="18"/>
  <c r="AB15" i="18"/>
  <c r="AC15" i="18"/>
  <c r="AD15" i="18"/>
  <c r="AE15" i="18"/>
  <c r="D18" i="18"/>
  <c r="E18" i="18"/>
  <c r="F18" i="18"/>
  <c r="G18" i="18"/>
  <c r="H18" i="18"/>
  <c r="I18" i="18"/>
  <c r="J18" i="18"/>
  <c r="K18" i="18"/>
  <c r="L18" i="18"/>
  <c r="M18" i="18"/>
  <c r="N18" i="18"/>
  <c r="O18" i="18"/>
  <c r="P18" i="18"/>
  <c r="Q18" i="18"/>
  <c r="R18" i="18"/>
  <c r="S18" i="18"/>
  <c r="T18" i="18"/>
  <c r="U18" i="18"/>
  <c r="V18" i="18"/>
  <c r="W18" i="18"/>
  <c r="X18" i="18"/>
  <c r="Y18" i="18"/>
  <c r="Z18" i="18"/>
  <c r="AA18" i="18"/>
  <c r="AB18" i="18"/>
  <c r="AC18" i="18"/>
  <c r="AD18" i="18"/>
  <c r="AE18" i="18"/>
  <c r="D19" i="18"/>
  <c r="E19" i="18"/>
  <c r="F19" i="18"/>
  <c r="G19" i="18"/>
  <c r="H19" i="18"/>
  <c r="I19" i="18"/>
  <c r="J19" i="18"/>
  <c r="K19" i="18"/>
  <c r="L19" i="18"/>
  <c r="M19" i="18"/>
  <c r="N19" i="18"/>
  <c r="O19" i="18"/>
  <c r="P19" i="18"/>
  <c r="Q19" i="18"/>
  <c r="R19" i="18"/>
  <c r="S19" i="18"/>
  <c r="T19" i="18"/>
  <c r="U19" i="18"/>
  <c r="V19" i="18"/>
  <c r="W19" i="18"/>
  <c r="X19" i="18"/>
  <c r="Y19" i="18"/>
  <c r="Z19" i="18"/>
  <c r="AA19" i="18"/>
  <c r="AB19" i="18"/>
  <c r="AC19" i="18"/>
  <c r="AD19" i="18"/>
  <c r="AE19" i="18"/>
  <c r="D20" i="18"/>
  <c r="E20" i="18"/>
  <c r="F20" i="18"/>
  <c r="G20" i="18"/>
  <c r="H20" i="18"/>
  <c r="I20" i="18"/>
  <c r="J20" i="18"/>
  <c r="K20" i="18"/>
  <c r="L20" i="18"/>
  <c r="M20" i="18"/>
  <c r="N20" i="18"/>
  <c r="O20" i="18"/>
  <c r="P20" i="18"/>
  <c r="Q20" i="18"/>
  <c r="R20" i="18"/>
  <c r="S20" i="18"/>
  <c r="T20" i="18"/>
  <c r="U20" i="18"/>
  <c r="V20" i="18"/>
  <c r="W20" i="18"/>
  <c r="X20" i="18"/>
  <c r="Y20" i="18"/>
  <c r="Z20" i="18"/>
  <c r="AA20" i="18"/>
  <c r="AB20" i="18"/>
  <c r="AC20" i="18"/>
  <c r="AD20" i="18"/>
  <c r="AE20" i="18"/>
  <c r="D21" i="18"/>
  <c r="E21" i="18"/>
  <c r="F21" i="18"/>
  <c r="G21" i="18"/>
  <c r="H21" i="18"/>
  <c r="I21" i="18"/>
  <c r="J21" i="18"/>
  <c r="K21" i="18"/>
  <c r="L21" i="18"/>
  <c r="M21" i="18"/>
  <c r="N21" i="18"/>
  <c r="O21" i="18"/>
  <c r="P21" i="18"/>
  <c r="Q21" i="18"/>
  <c r="R21" i="18"/>
  <c r="S21" i="18"/>
  <c r="T21" i="18"/>
  <c r="U21" i="18"/>
  <c r="V21" i="18"/>
  <c r="W21" i="18"/>
  <c r="X21" i="18"/>
  <c r="Y21" i="18"/>
  <c r="Z21" i="18"/>
  <c r="AA21" i="18"/>
  <c r="AB21" i="18"/>
  <c r="AC21" i="18"/>
  <c r="AD21" i="18"/>
  <c r="AE21" i="18"/>
  <c r="D22" i="18"/>
  <c r="E22" i="18"/>
  <c r="F22" i="18"/>
  <c r="G22" i="18"/>
  <c r="H22" i="18"/>
  <c r="I22" i="18"/>
  <c r="J22" i="18"/>
  <c r="K22" i="18"/>
  <c r="L22" i="18"/>
  <c r="M22" i="18"/>
  <c r="N22" i="18"/>
  <c r="O22" i="18"/>
  <c r="P22" i="18"/>
  <c r="Q22" i="18"/>
  <c r="R22" i="18"/>
  <c r="S22" i="18"/>
  <c r="T22" i="18"/>
  <c r="U22" i="18"/>
  <c r="V22" i="18"/>
  <c r="W22" i="18"/>
  <c r="X22" i="18"/>
  <c r="Y22" i="18"/>
  <c r="Z22" i="18"/>
  <c r="AA22" i="18"/>
  <c r="AB22" i="18"/>
  <c r="AC22" i="18"/>
  <c r="AD22" i="18"/>
  <c r="AE22" i="18"/>
  <c r="C71" i="18"/>
  <c r="C70" i="18"/>
  <c r="C69" i="18"/>
  <c r="C68" i="18"/>
  <c r="C65" i="18"/>
  <c r="C64" i="18"/>
  <c r="C63" i="18"/>
  <c r="C62" i="18"/>
  <c r="C61" i="18"/>
  <c r="C55" i="18"/>
  <c r="C54" i="18"/>
  <c r="C46" i="18"/>
  <c r="C45" i="18"/>
  <c r="C44" i="18"/>
  <c r="C43" i="18"/>
  <c r="C40" i="18"/>
  <c r="C39" i="18"/>
  <c r="C38" i="18"/>
  <c r="C37" i="18"/>
  <c r="C36" i="18"/>
  <c r="C30" i="18"/>
  <c r="C29" i="18"/>
  <c r="C22" i="18"/>
  <c r="C21" i="18"/>
  <c r="C20" i="18"/>
  <c r="C19" i="18"/>
  <c r="C18" i="18"/>
  <c r="C15" i="18"/>
  <c r="C14" i="18"/>
  <c r="C13" i="18"/>
  <c r="C12" i="18"/>
  <c r="C11" i="18"/>
  <c r="C10" i="18"/>
  <c r="C6" i="18"/>
  <c r="C5" i="18"/>
  <c r="C4" i="18"/>
  <c r="B71" i="18"/>
  <c r="B70" i="18"/>
  <c r="B69" i="18"/>
  <c r="B68" i="18"/>
  <c r="B65" i="18"/>
  <c r="B64" i="18"/>
  <c r="B63" i="18"/>
  <c r="B62" i="18"/>
  <c r="B61" i="18"/>
  <c r="B55" i="18"/>
  <c r="B54" i="18"/>
  <c r="B46" i="18"/>
  <c r="B45" i="18"/>
  <c r="B44" i="18"/>
  <c r="B43" i="18"/>
  <c r="B40" i="18"/>
  <c r="B39" i="18"/>
  <c r="B38" i="18"/>
  <c r="B37" i="18"/>
  <c r="B36" i="18"/>
  <c r="B30" i="18"/>
  <c r="B29" i="18"/>
  <c r="B22" i="18"/>
  <c r="B21" i="18"/>
  <c r="B20" i="18"/>
  <c r="B19" i="18"/>
  <c r="B18" i="18"/>
  <c r="B15" i="18"/>
  <c r="B14" i="18"/>
  <c r="B13" i="18"/>
  <c r="B12" i="18"/>
  <c r="B11" i="18"/>
  <c r="B10" i="18"/>
  <c r="B6" i="18"/>
  <c r="B5" i="18"/>
  <c r="B4" i="18"/>
  <c r="Z57" i="23"/>
  <c r="AC64" i="23" s="1"/>
  <c r="AA57" i="23"/>
  <c r="AD64" i="23" s="1"/>
  <c r="H49" i="9"/>
  <c r="D65" i="23"/>
  <c r="D64" i="23"/>
  <c r="C59" i="23"/>
  <c r="D59" i="23"/>
  <c r="E59" i="23"/>
  <c r="F59" i="23"/>
  <c r="G59" i="23"/>
  <c r="H59" i="23"/>
  <c r="I59" i="23"/>
  <c r="J59" i="23"/>
  <c r="K59" i="23"/>
  <c r="L59" i="23"/>
  <c r="M59" i="23"/>
  <c r="N59" i="23"/>
  <c r="O59" i="23"/>
  <c r="P59" i="23"/>
  <c r="Q59" i="23"/>
  <c r="R59" i="23"/>
  <c r="S59" i="23"/>
  <c r="T59" i="23"/>
  <c r="U59" i="23"/>
  <c r="V59" i="23"/>
  <c r="W59" i="23"/>
  <c r="X59" i="23"/>
  <c r="Y59" i="23"/>
  <c r="Z59" i="23"/>
  <c r="AA59" i="23"/>
  <c r="AB59" i="23"/>
  <c r="AC59" i="23"/>
  <c r="AD59" i="23"/>
  <c r="AE59" i="23"/>
  <c r="AF59" i="23"/>
  <c r="L57" i="23"/>
  <c r="O64" i="23" s="1"/>
  <c r="O57" i="23"/>
  <c r="R64" i="23" s="1"/>
  <c r="C56" i="23"/>
  <c r="D56" i="23"/>
  <c r="E56" i="23"/>
  <c r="F56" i="23"/>
  <c r="G56" i="23"/>
  <c r="H56" i="23"/>
  <c r="I56" i="23"/>
  <c r="J56" i="23"/>
  <c r="K56" i="23"/>
  <c r="L56" i="23"/>
  <c r="M56" i="23"/>
  <c r="N56" i="23"/>
  <c r="O56" i="23"/>
  <c r="P56" i="23"/>
  <c r="Q56" i="23"/>
  <c r="R56" i="23"/>
  <c r="S56" i="23"/>
  <c r="T56" i="23"/>
  <c r="U56" i="23"/>
  <c r="V56" i="23"/>
  <c r="W56" i="23"/>
  <c r="X56" i="23"/>
  <c r="Y56" i="23"/>
  <c r="Z56" i="23"/>
  <c r="AA56" i="23"/>
  <c r="AB56" i="23"/>
  <c r="AC56" i="23"/>
  <c r="AD56" i="23"/>
  <c r="AE56" i="23"/>
  <c r="AF56" i="23"/>
  <c r="A4" i="5"/>
  <c r="A5" i="5"/>
  <c r="A6"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7" i="5"/>
  <c r="F14" i="19" l="1"/>
  <c r="AB15" i="19"/>
  <c r="D14" i="19"/>
  <c r="M10" i="19"/>
  <c r="AA15" i="19"/>
  <c r="T11" i="19"/>
  <c r="L10" i="19"/>
  <c r="L20" i="19"/>
  <c r="Z15" i="19"/>
  <c r="S12" i="19"/>
  <c r="S11" i="19"/>
  <c r="D10" i="19"/>
  <c r="AD9" i="19"/>
  <c r="AE19" i="19"/>
  <c r="V15" i="19"/>
  <c r="P11" i="19"/>
  <c r="AC19" i="19"/>
  <c r="Q15" i="19"/>
  <c r="O12" i="19"/>
  <c r="O11" i="19"/>
  <c r="M8" i="19"/>
  <c r="AC8" i="19"/>
  <c r="N8" i="19"/>
  <c r="AB19" i="19"/>
  <c r="V17" i="19"/>
  <c r="P15" i="19"/>
  <c r="J13" i="19"/>
  <c r="N12" i="19"/>
  <c r="N11" i="19"/>
  <c r="J8" i="19"/>
  <c r="O15" i="19"/>
  <c r="M11" i="19"/>
  <c r="I8" i="19"/>
  <c r="T19" i="19"/>
  <c r="K15" i="19"/>
  <c r="L11" i="19"/>
  <c r="N7" i="19"/>
  <c r="S19" i="19"/>
  <c r="P17" i="19"/>
  <c r="D15" i="19"/>
  <c r="G13" i="19"/>
  <c r="K12" i="19"/>
  <c r="I11" i="19"/>
  <c r="AC5" i="19"/>
  <c r="C6" i="19"/>
  <c r="R19" i="19"/>
  <c r="O17" i="19"/>
  <c r="AE14" i="19"/>
  <c r="F13" i="19"/>
  <c r="J12" i="19"/>
  <c r="H11" i="19"/>
  <c r="Z5" i="19"/>
  <c r="C11" i="19"/>
  <c r="AE20" i="19"/>
  <c r="Q19" i="19"/>
  <c r="M17" i="19"/>
  <c r="AD14" i="19"/>
  <c r="E13" i="19"/>
  <c r="I12" i="19"/>
  <c r="G11" i="19"/>
  <c r="Y5" i="19"/>
  <c r="W2" i="19"/>
  <c r="T2" i="19"/>
  <c r="F7" i="19"/>
  <c r="O5" i="19"/>
  <c r="S2" i="19"/>
  <c r="AA13" i="19"/>
  <c r="D13" i="19"/>
  <c r="AE6" i="19"/>
  <c r="N5" i="19"/>
  <c r="R2" i="19"/>
  <c r="V14" i="19"/>
  <c r="Z13" i="19"/>
  <c r="Y6" i="19"/>
  <c r="M5" i="19"/>
  <c r="Q2" i="19"/>
  <c r="L19" i="19"/>
  <c r="T15" i="19"/>
  <c r="U14" i="19"/>
  <c r="Y13" i="19"/>
  <c r="K10" i="19"/>
  <c r="X6" i="19"/>
  <c r="Z4" i="19"/>
  <c r="P2" i="19"/>
  <c r="U20" i="19"/>
  <c r="K19" i="19"/>
  <c r="L17" i="19"/>
  <c r="S15" i="19"/>
  <c r="T14" i="19"/>
  <c r="X13" i="19"/>
  <c r="J11" i="19"/>
  <c r="E10" i="19"/>
  <c r="V6" i="19"/>
  <c r="Y4" i="19"/>
  <c r="O2" i="19"/>
  <c r="V4" i="19"/>
  <c r="S6" i="19"/>
  <c r="U13" i="19"/>
  <c r="F4" i="19"/>
  <c r="K20" i="19"/>
  <c r="AC16" i="19"/>
  <c r="M15" i="19"/>
  <c r="O14" i="19"/>
  <c r="S13" i="19"/>
  <c r="AB11" i="19"/>
  <c r="E11" i="19"/>
  <c r="V9" i="19"/>
  <c r="N6" i="19"/>
  <c r="N3" i="19"/>
  <c r="J2" i="19"/>
  <c r="U5" i="19"/>
  <c r="T5" i="19"/>
  <c r="T6" i="19"/>
  <c r="V13" i="19"/>
  <c r="Q14" i="19"/>
  <c r="Z9" i="19"/>
  <c r="Q6" i="19"/>
  <c r="L2" i="19"/>
  <c r="N15" i="19"/>
  <c r="P14" i="19"/>
  <c r="T13" i="19"/>
  <c r="Y9" i="19"/>
  <c r="O6" i="19"/>
  <c r="E4" i="19"/>
  <c r="K2" i="19"/>
  <c r="J20" i="19"/>
  <c r="W16" i="19"/>
  <c r="L15" i="19"/>
  <c r="N14" i="19"/>
  <c r="R13" i="19"/>
  <c r="AA11" i="19"/>
  <c r="D11" i="19"/>
  <c r="U9" i="19"/>
  <c r="M6" i="19"/>
  <c r="AE2" i="19"/>
  <c r="I2" i="19"/>
  <c r="C2" i="19"/>
  <c r="G20" i="19"/>
  <c r="S16" i="19"/>
  <c r="G15" i="19"/>
  <c r="K14" i="19"/>
  <c r="N13" i="19"/>
  <c r="X11" i="19"/>
  <c r="X10" i="19"/>
  <c r="F9" i="19"/>
  <c r="I6" i="19"/>
  <c r="AB2" i="19"/>
  <c r="F2" i="19"/>
  <c r="X2" i="19"/>
  <c r="V2" i="19"/>
  <c r="U2" i="19"/>
  <c r="N2" i="19"/>
  <c r="U4" i="19"/>
  <c r="Q13" i="19"/>
  <c r="J6" i="19"/>
  <c r="C4" i="19"/>
  <c r="E20" i="19"/>
  <c r="R16" i="19"/>
  <c r="F15" i="19"/>
  <c r="J14" i="19"/>
  <c r="M13" i="19"/>
  <c r="W11" i="19"/>
  <c r="W10" i="19"/>
  <c r="E9" i="19"/>
  <c r="H6" i="19"/>
  <c r="AA2" i="19"/>
  <c r="E2" i="19"/>
  <c r="Y2" i="19"/>
  <c r="S5" i="19"/>
  <c r="M2" i="19"/>
  <c r="M14" i="19"/>
  <c r="T9" i="19"/>
  <c r="K6" i="19"/>
  <c r="AD2" i="19"/>
  <c r="H2" i="19"/>
  <c r="H15" i="19"/>
  <c r="L14" i="19"/>
  <c r="P13" i="19"/>
  <c r="Y10" i="19"/>
  <c r="J9" i="19"/>
  <c r="AC2" i="19"/>
  <c r="G2" i="19"/>
  <c r="C5" i="19"/>
  <c r="D20" i="19"/>
  <c r="P16" i="19"/>
  <c r="E15" i="19"/>
  <c r="I14" i="19"/>
  <c r="L13" i="19"/>
  <c r="V11" i="19"/>
  <c r="V10" i="19"/>
  <c r="AD8" i="19"/>
  <c r="G6" i="19"/>
  <c r="Z2" i="19"/>
  <c r="AG71" i="23"/>
  <c r="O60" i="23"/>
  <c r="R65" i="23" s="1"/>
  <c r="Y60" i="23"/>
  <c r="AB65" i="23" s="1"/>
  <c r="AB68" i="23" s="1"/>
  <c r="U60" i="23"/>
  <c r="X65" i="23" s="1"/>
  <c r="X68" i="23" s="1"/>
  <c r="U71" i="23"/>
  <c r="P71" i="23"/>
  <c r="D71" i="23"/>
  <c r="AA71" i="23"/>
  <c r="L71" i="23"/>
  <c r="G71" i="23"/>
  <c r="K71" i="23"/>
  <c r="M71" i="23"/>
  <c r="AF71" i="23"/>
  <c r="AE71" i="23"/>
  <c r="AB71" i="23"/>
  <c r="Y71" i="23"/>
  <c r="H71" i="23"/>
  <c r="J71" i="23"/>
  <c r="O71" i="23"/>
  <c r="I71" i="23"/>
  <c r="X71" i="23"/>
  <c r="V71" i="23"/>
  <c r="Q71" i="23"/>
  <c r="S71" i="23"/>
  <c r="W71" i="23"/>
  <c r="AH71" i="23"/>
  <c r="N71" i="23"/>
  <c r="T71" i="23"/>
  <c r="AC71" i="23"/>
  <c r="R71" i="23"/>
  <c r="Z71" i="23"/>
  <c r="AD71" i="23"/>
  <c r="C71" i="23"/>
  <c r="C76" i="23" s="1"/>
  <c r="F71" i="23"/>
  <c r="E71" i="23"/>
  <c r="L60" i="23"/>
  <c r="O65" i="23" s="1"/>
  <c r="O68" i="23" s="1"/>
  <c r="G60" i="23"/>
  <c r="J65" i="23" s="1"/>
  <c r="J68" i="23" s="1"/>
  <c r="AA60" i="23"/>
  <c r="AD65" i="23" s="1"/>
  <c r="D12" i="13"/>
  <c r="X12" i="13"/>
  <c r="F12" i="13"/>
  <c r="Z12" i="13"/>
  <c r="G12" i="13"/>
  <c r="AA12" i="13"/>
  <c r="E12" i="13"/>
  <c r="Y12" i="13"/>
  <c r="H12" i="13"/>
  <c r="AB12" i="13"/>
  <c r="I12" i="13"/>
  <c r="AC12" i="13"/>
  <c r="N12" i="13"/>
  <c r="O12" i="13"/>
  <c r="R12" i="13"/>
  <c r="S12" i="13"/>
  <c r="P12" i="13"/>
  <c r="Q12" i="13"/>
  <c r="M12" i="13"/>
  <c r="P13" i="13"/>
  <c r="R13" i="13"/>
  <c r="S13" i="13"/>
  <c r="Q13" i="13"/>
  <c r="T13" i="13"/>
  <c r="U13" i="13"/>
  <c r="F13" i="13"/>
  <c r="Z13" i="13"/>
  <c r="G13" i="13"/>
  <c r="AA13" i="13"/>
  <c r="J13" i="13"/>
  <c r="AD13" i="13"/>
  <c r="K13" i="13"/>
  <c r="AE13" i="13"/>
  <c r="H13" i="13"/>
  <c r="AB13" i="13"/>
  <c r="I13" i="13"/>
  <c r="AC13" i="13"/>
  <c r="L12" i="13"/>
  <c r="H14" i="13"/>
  <c r="AB14" i="13"/>
  <c r="J14" i="13"/>
  <c r="AD14" i="13"/>
  <c r="K14" i="13"/>
  <c r="AE14" i="13"/>
  <c r="I14" i="13"/>
  <c r="AC14" i="13"/>
  <c r="L14" i="13"/>
  <c r="M14" i="13"/>
  <c r="R14" i="13"/>
  <c r="S14" i="13"/>
  <c r="V14" i="13"/>
  <c r="W14" i="13"/>
  <c r="T14" i="13"/>
  <c r="U14" i="13"/>
  <c r="E14" i="13"/>
  <c r="K12" i="13"/>
  <c r="T15" i="13"/>
  <c r="V15" i="13"/>
  <c r="W15" i="13"/>
  <c r="U15" i="13"/>
  <c r="D15" i="13"/>
  <c r="X15" i="13"/>
  <c r="E15" i="13"/>
  <c r="Y15" i="13"/>
  <c r="J15" i="13"/>
  <c r="AD15" i="13"/>
  <c r="K15" i="13"/>
  <c r="AE15" i="13"/>
  <c r="N15" i="13"/>
  <c r="O15" i="13"/>
  <c r="C15" i="13"/>
  <c r="L15" i="13"/>
  <c r="M15" i="13"/>
  <c r="Z15" i="13"/>
  <c r="D14" i="13"/>
  <c r="J12" i="13"/>
  <c r="W3" i="13"/>
  <c r="S15" i="13"/>
  <c r="Y13" i="13"/>
  <c r="V3" i="13"/>
  <c r="R15" i="13"/>
  <c r="X13" i="13"/>
  <c r="P5" i="13"/>
  <c r="O3" i="13"/>
  <c r="Q15" i="13"/>
  <c r="W13" i="13"/>
  <c r="I5" i="13"/>
  <c r="N3" i="13"/>
  <c r="P15" i="13"/>
  <c r="V13" i="13"/>
  <c r="H5" i="13"/>
  <c r="M3" i="13"/>
  <c r="I15" i="13"/>
  <c r="O13" i="13"/>
  <c r="E3" i="13"/>
  <c r="T5" i="13"/>
  <c r="V5" i="13"/>
  <c r="W5" i="13"/>
  <c r="D5" i="13"/>
  <c r="X5" i="13"/>
  <c r="U5" i="13"/>
  <c r="E5" i="13"/>
  <c r="Y5" i="13"/>
  <c r="C5" i="13"/>
  <c r="J5" i="13"/>
  <c r="AD5" i="13"/>
  <c r="K5" i="13"/>
  <c r="AE5" i="13"/>
  <c r="N5" i="13"/>
  <c r="O5" i="13"/>
  <c r="L5" i="13"/>
  <c r="M5" i="13"/>
  <c r="C4" i="13"/>
  <c r="Z14" i="13"/>
  <c r="D13" i="13"/>
  <c r="V2" i="13"/>
  <c r="Y14" i="13"/>
  <c r="AE12" i="13"/>
  <c r="Q4" i="13"/>
  <c r="D2" i="13"/>
  <c r="X2" i="13"/>
  <c r="F2" i="13"/>
  <c r="G2" i="13"/>
  <c r="AA2" i="13"/>
  <c r="H2" i="13"/>
  <c r="E2" i="13"/>
  <c r="Y2" i="13"/>
  <c r="Z2" i="13"/>
  <c r="AB2" i="13"/>
  <c r="I2" i="13"/>
  <c r="AC2" i="13"/>
  <c r="N2" i="13"/>
  <c r="O2" i="13"/>
  <c r="R2" i="13"/>
  <c r="S2" i="13"/>
  <c r="T2" i="13"/>
  <c r="P2" i="13"/>
  <c r="Q2" i="13"/>
  <c r="F15" i="13"/>
  <c r="AD2" i="13"/>
  <c r="E13" i="13"/>
  <c r="Y4" i="13"/>
  <c r="X4" i="13"/>
  <c r="X14" i="13"/>
  <c r="M2" i="13"/>
  <c r="C13" i="13"/>
  <c r="Q14" i="13"/>
  <c r="W12" i="13"/>
  <c r="L2" i="13"/>
  <c r="M13" i="13"/>
  <c r="AE2" i="13"/>
  <c r="P3" i="13"/>
  <c r="R3" i="13"/>
  <c r="S3" i="13"/>
  <c r="T3" i="13"/>
  <c r="Q3" i="13"/>
  <c r="U3" i="13"/>
  <c r="F3" i="13"/>
  <c r="Z3" i="13"/>
  <c r="G3" i="13"/>
  <c r="AA3" i="13"/>
  <c r="AD3" i="13"/>
  <c r="K3" i="13"/>
  <c r="AE3" i="13"/>
  <c r="L3" i="13"/>
  <c r="H3" i="13"/>
  <c r="AB3" i="13"/>
  <c r="I3" i="13"/>
  <c r="AC3" i="13"/>
  <c r="J3" i="13"/>
  <c r="L13" i="13"/>
  <c r="H4" i="13"/>
  <c r="AB4" i="13"/>
  <c r="J4" i="13"/>
  <c r="AD4" i="13"/>
  <c r="K4" i="13"/>
  <c r="AE4" i="13"/>
  <c r="L4" i="13"/>
  <c r="I4" i="13"/>
  <c r="AC4" i="13"/>
  <c r="M4" i="13"/>
  <c r="R4" i="13"/>
  <c r="S4" i="13"/>
  <c r="V4" i="13"/>
  <c r="W4" i="13"/>
  <c r="D4" i="13"/>
  <c r="T4" i="13"/>
  <c r="U4" i="13"/>
  <c r="AA14" i="13"/>
  <c r="W2" i="13"/>
  <c r="C12" i="13"/>
  <c r="AD12" i="13"/>
  <c r="P4" i="13"/>
  <c r="C14" i="13"/>
  <c r="P14" i="13"/>
  <c r="V12" i="13"/>
  <c r="N4" i="13"/>
  <c r="K2" i="13"/>
  <c r="C2" i="13"/>
  <c r="O14" i="13"/>
  <c r="U12" i="13"/>
  <c r="AC5" i="13"/>
  <c r="G4" i="13"/>
  <c r="J2" i="13"/>
  <c r="C17" i="13"/>
  <c r="M20" i="13"/>
  <c r="AC18" i="13"/>
  <c r="I18" i="13"/>
  <c r="Q17" i="13"/>
  <c r="Y16" i="13"/>
  <c r="E16" i="13"/>
  <c r="AC8" i="13"/>
  <c r="I8" i="13"/>
  <c r="Q7" i="13"/>
  <c r="Y6" i="13"/>
  <c r="E6" i="13"/>
  <c r="C18" i="13"/>
  <c r="X21" i="13"/>
  <c r="D21" i="13"/>
  <c r="L20" i="13"/>
  <c r="T19" i="13"/>
  <c r="AB18" i="13"/>
  <c r="H18" i="13"/>
  <c r="P17" i="13"/>
  <c r="X16" i="13"/>
  <c r="D16" i="13"/>
  <c r="T9" i="13"/>
  <c r="AB8" i="13"/>
  <c r="H8" i="13"/>
  <c r="P7" i="13"/>
  <c r="X6" i="13"/>
  <c r="D6" i="13"/>
  <c r="AA16" i="13"/>
  <c r="G16" i="13"/>
  <c r="AA6" i="13"/>
  <c r="G6" i="13"/>
  <c r="C16" i="13"/>
  <c r="R17" i="13"/>
  <c r="Z16" i="13"/>
  <c r="F16" i="13"/>
  <c r="R7" i="13"/>
  <c r="Z6" i="13"/>
  <c r="F6" i="13"/>
  <c r="AE20" i="13"/>
  <c r="K20" i="13"/>
  <c r="AA18" i="13"/>
  <c r="G18" i="13"/>
  <c r="O17" i="13"/>
  <c r="W16" i="13"/>
  <c r="AA8" i="13"/>
  <c r="G8" i="13"/>
  <c r="O7" i="13"/>
  <c r="W6" i="13"/>
  <c r="C20" i="13"/>
  <c r="V21" i="13"/>
  <c r="AD20" i="13"/>
  <c r="J20" i="13"/>
  <c r="Z18" i="13"/>
  <c r="F18" i="13"/>
  <c r="N17" i="13"/>
  <c r="V16" i="13"/>
  <c r="R9" i="13"/>
  <c r="Z8" i="13"/>
  <c r="F8" i="13"/>
  <c r="N7" i="13"/>
  <c r="V6" i="13"/>
  <c r="Q16" i="13"/>
  <c r="Q6" i="13"/>
  <c r="C6" i="13"/>
  <c r="P16" i="13"/>
  <c r="C9" i="13"/>
  <c r="M21" i="13"/>
  <c r="U20" i="13"/>
  <c r="AC19" i="13"/>
  <c r="I19" i="13"/>
  <c r="Q18" i="13"/>
  <c r="Y17" i="13"/>
  <c r="E17" i="13"/>
  <c r="M16" i="13"/>
  <c r="M11" i="13"/>
  <c r="U10" i="13"/>
  <c r="AC9" i="13"/>
  <c r="I9" i="13"/>
  <c r="Q8" i="13"/>
  <c r="Y7" i="13"/>
  <c r="E7" i="13"/>
  <c r="M6" i="13"/>
  <c r="H7" i="13"/>
  <c r="P6" i="13"/>
  <c r="C7" i="13"/>
  <c r="AA17" i="13"/>
  <c r="G17" i="13"/>
  <c r="O16" i="13"/>
  <c r="S8" i="13"/>
  <c r="AA7" i="13"/>
  <c r="G7" i="13"/>
  <c r="O6" i="13"/>
  <c r="C8" i="13"/>
  <c r="V20" i="13"/>
  <c r="R18" i="13"/>
  <c r="Z17" i="13"/>
  <c r="F17" i="13"/>
  <c r="N16" i="13"/>
  <c r="AD9" i="13"/>
  <c r="J9" i="13"/>
  <c r="R8" i="13"/>
  <c r="Z7" i="13"/>
  <c r="F7" i="13"/>
  <c r="N6" i="13"/>
  <c r="C10" i="13"/>
  <c r="AB19" i="13"/>
  <c r="X17" i="13"/>
  <c r="AB9" i="13"/>
  <c r="X7" i="13"/>
  <c r="X14" i="12"/>
  <c r="W14" i="12"/>
  <c r="V14" i="12"/>
  <c r="U14" i="12"/>
  <c r="T14" i="12"/>
  <c r="P14" i="12"/>
  <c r="J7" i="12"/>
  <c r="AE7" i="12"/>
  <c r="I7" i="12"/>
  <c r="AD7" i="12"/>
  <c r="H7" i="12"/>
  <c r="AC7" i="12"/>
  <c r="G7" i="12"/>
  <c r="AB7" i="12"/>
  <c r="E7" i="12"/>
  <c r="Y7" i="12"/>
  <c r="W7" i="12"/>
  <c r="V7" i="12"/>
  <c r="U7" i="12"/>
  <c r="T7" i="12"/>
  <c r="X3" i="12"/>
  <c r="Z3" i="12"/>
  <c r="Y3" i="12"/>
  <c r="W3" i="12"/>
  <c r="O3" i="12"/>
  <c r="N3" i="12"/>
  <c r="M3" i="12"/>
  <c r="M7" i="19"/>
  <c r="M3" i="19"/>
  <c r="X9" i="19"/>
  <c r="D9" i="19"/>
  <c r="L8" i="19"/>
  <c r="L7" i="19"/>
  <c r="X4" i="19"/>
  <c r="D4" i="19"/>
  <c r="L3" i="19"/>
  <c r="C3" i="19"/>
  <c r="AD19" i="19"/>
  <c r="J19" i="19"/>
  <c r="J18" i="19"/>
  <c r="N17" i="19"/>
  <c r="T16" i="19"/>
  <c r="W9" i="19"/>
  <c r="AE8" i="19"/>
  <c r="K8" i="19"/>
  <c r="G7" i="19"/>
  <c r="P5" i="19"/>
  <c r="W4" i="19"/>
  <c r="AE3" i="19"/>
  <c r="K3" i="19"/>
  <c r="J3" i="19"/>
  <c r="AC3" i="19"/>
  <c r="AB8" i="19"/>
  <c r="H8" i="19"/>
  <c r="D7" i="19"/>
  <c r="C7" i="19"/>
  <c r="Z19" i="19"/>
  <c r="F19" i="19"/>
  <c r="AD17" i="19"/>
  <c r="J17" i="19"/>
  <c r="N16" i="19"/>
  <c r="S9" i="19"/>
  <c r="AA8" i="19"/>
  <c r="G8" i="19"/>
  <c r="L5" i="19"/>
  <c r="S4" i="19"/>
  <c r="AA3" i="19"/>
  <c r="G3" i="19"/>
  <c r="AB3" i="19"/>
  <c r="C8" i="19"/>
  <c r="I21" i="19"/>
  <c r="Q20" i="19"/>
  <c r="Y19" i="19"/>
  <c r="E19" i="19"/>
  <c r="AC17" i="19"/>
  <c r="I17" i="19"/>
  <c r="M16" i="19"/>
  <c r="AD10" i="19"/>
  <c r="J10" i="19"/>
  <c r="R9" i="19"/>
  <c r="Z8" i="19"/>
  <c r="F8" i="19"/>
  <c r="AD6" i="19"/>
  <c r="F6" i="19"/>
  <c r="K5" i="19"/>
  <c r="R4" i="19"/>
  <c r="Z3" i="19"/>
  <c r="F3" i="19"/>
  <c r="E7" i="19"/>
  <c r="C9" i="19"/>
  <c r="AE21" i="19"/>
  <c r="H21" i="19"/>
  <c r="P20" i="19"/>
  <c r="X19" i="19"/>
  <c r="D19" i="19"/>
  <c r="AB17" i="19"/>
  <c r="H17" i="19"/>
  <c r="L16" i="19"/>
  <c r="AC10" i="19"/>
  <c r="I10" i="19"/>
  <c r="Q9" i="19"/>
  <c r="Y8" i="19"/>
  <c r="E8" i="19"/>
  <c r="AC6" i="19"/>
  <c r="E6" i="19"/>
  <c r="J5" i="19"/>
  <c r="Q4" i="19"/>
  <c r="Y3" i="19"/>
  <c r="E3" i="19"/>
  <c r="AD3" i="19"/>
  <c r="H3" i="19"/>
  <c r="C10" i="19"/>
  <c r="AD21" i="19"/>
  <c r="G21" i="19"/>
  <c r="O20" i="19"/>
  <c r="W19" i="19"/>
  <c r="AE18" i="19"/>
  <c r="AA17" i="19"/>
  <c r="G17" i="19"/>
  <c r="K16" i="19"/>
  <c r="AB10" i="19"/>
  <c r="H10" i="19"/>
  <c r="P9" i="19"/>
  <c r="X8" i="19"/>
  <c r="D8" i="19"/>
  <c r="AB6" i="19"/>
  <c r="D6" i="19"/>
  <c r="I5" i="19"/>
  <c r="P4" i="19"/>
  <c r="X3" i="19"/>
  <c r="D3" i="19"/>
  <c r="I3" i="19"/>
  <c r="T4" i="19"/>
  <c r="AC21" i="19"/>
  <c r="F21" i="19"/>
  <c r="N20" i="19"/>
  <c r="V19" i="19"/>
  <c r="AD18" i="19"/>
  <c r="Z17" i="19"/>
  <c r="F17" i="19"/>
  <c r="J16" i="19"/>
  <c r="AA10" i="19"/>
  <c r="G10" i="19"/>
  <c r="O9" i="19"/>
  <c r="W8" i="19"/>
  <c r="AA7" i="19"/>
  <c r="AA6" i="19"/>
  <c r="AE5" i="19"/>
  <c r="G5" i="19"/>
  <c r="O4" i="19"/>
  <c r="W3" i="19"/>
  <c r="AB21" i="19"/>
  <c r="E21" i="19"/>
  <c r="M20" i="19"/>
  <c r="U19" i="19"/>
  <c r="AC18" i="19"/>
  <c r="Y17" i="19"/>
  <c r="E17" i="19"/>
  <c r="F16" i="19"/>
  <c r="Z10" i="19"/>
  <c r="F10" i="19"/>
  <c r="N9" i="19"/>
  <c r="V8" i="19"/>
  <c r="Z7" i="19"/>
  <c r="Z6" i="19"/>
  <c r="AD5" i="19"/>
  <c r="F5" i="19"/>
  <c r="N4" i="19"/>
  <c r="V3" i="19"/>
  <c r="M9" i="19"/>
  <c r="U8" i="19"/>
  <c r="Y7" i="19"/>
  <c r="E5" i="19"/>
  <c r="M4" i="19"/>
  <c r="U3" i="19"/>
  <c r="L9" i="19"/>
  <c r="T8" i="19"/>
  <c r="X7" i="19"/>
  <c r="AA5" i="19"/>
  <c r="D5" i="19"/>
  <c r="L4" i="19"/>
  <c r="T3" i="19"/>
  <c r="AE9" i="19"/>
  <c r="K9" i="19"/>
  <c r="S8" i="19"/>
  <c r="W7" i="19"/>
  <c r="AE4" i="19"/>
  <c r="K4" i="19"/>
  <c r="S3" i="19"/>
  <c r="R8" i="19"/>
  <c r="AD4" i="19"/>
  <c r="J4" i="19"/>
  <c r="R3" i="19"/>
  <c r="C17" i="19"/>
  <c r="P19" i="19"/>
  <c r="T18" i="19"/>
  <c r="T17" i="19"/>
  <c r="Z16" i="19"/>
  <c r="AC9" i="19"/>
  <c r="I9" i="19"/>
  <c r="Q8" i="19"/>
  <c r="U7" i="19"/>
  <c r="X5" i="19"/>
  <c r="AC4" i="19"/>
  <c r="I4" i="19"/>
  <c r="Q3" i="19"/>
  <c r="C18" i="19"/>
  <c r="O19" i="19"/>
  <c r="S18" i="19"/>
  <c r="S17" i="19"/>
  <c r="Y16" i="19"/>
  <c r="AB9" i="19"/>
  <c r="H9" i="19"/>
  <c r="T7" i="19"/>
  <c r="W5" i="19"/>
  <c r="AB4" i="19"/>
  <c r="H4" i="19"/>
  <c r="P3" i="19"/>
  <c r="V7" i="19"/>
  <c r="P8" i="19"/>
  <c r="C19" i="19"/>
  <c r="T21" i="19"/>
  <c r="Z20" i="19"/>
  <c r="N18" i="19"/>
  <c r="X16" i="19"/>
  <c r="Y15" i="19"/>
  <c r="AC14" i="19"/>
  <c r="H14" i="19"/>
  <c r="AE11" i="19"/>
  <c r="AA9" i="19"/>
  <c r="O7" i="19"/>
  <c r="P6" i="19"/>
  <c r="V5" i="19"/>
  <c r="AA4" i="19"/>
  <c r="M21" i="19"/>
  <c r="L21" i="19"/>
  <c r="C21" i="19"/>
  <c r="AA18" i="19"/>
  <c r="G18" i="19"/>
  <c r="Z18" i="19"/>
  <c r="F18" i="19"/>
  <c r="Y18" i="19"/>
  <c r="E18" i="19"/>
  <c r="X18" i="19"/>
  <c r="D18" i="19"/>
  <c r="R18" i="19"/>
  <c r="Q18" i="19"/>
  <c r="P18" i="19"/>
  <c r="Q16" i="19"/>
  <c r="O16" i="19"/>
  <c r="I16" i="19"/>
  <c r="AB16" i="19"/>
  <c r="H16" i="19"/>
  <c r="AA16" i="19"/>
  <c r="U15" i="19"/>
  <c r="R15" i="19"/>
  <c r="AD15" i="19"/>
  <c r="J15" i="19"/>
  <c r="AC15" i="19"/>
  <c r="Y14" i="19"/>
  <c r="S7" i="19"/>
  <c r="R7" i="19"/>
  <c r="Q7" i="19"/>
  <c r="P7" i="19"/>
  <c r="AE7" i="19"/>
  <c r="K7" i="19"/>
  <c r="AD7" i="19"/>
  <c r="J7" i="19"/>
  <c r="AC7" i="19"/>
  <c r="I7" i="19"/>
  <c r="AB7" i="19"/>
  <c r="W6" i="19"/>
  <c r="U6" i="19"/>
  <c r="R6" i="19"/>
  <c r="AB5" i="19"/>
  <c r="H5" i="19"/>
  <c r="R5" i="19"/>
  <c r="P3" i="12"/>
  <c r="Q3" i="12"/>
  <c r="S3" i="12"/>
  <c r="T3" i="12"/>
  <c r="R3" i="12"/>
  <c r="E3" i="12"/>
  <c r="AD3" i="12"/>
  <c r="F3" i="12"/>
  <c r="AE3" i="12"/>
  <c r="G3" i="12"/>
  <c r="H3" i="12"/>
  <c r="I3" i="12"/>
  <c r="J3" i="12"/>
  <c r="K3" i="12"/>
  <c r="L3" i="12"/>
  <c r="D17" i="12"/>
  <c r="X17" i="12"/>
  <c r="E17" i="12"/>
  <c r="Y17" i="12"/>
  <c r="G17" i="12"/>
  <c r="AA17" i="12"/>
  <c r="F17" i="12"/>
  <c r="Z17" i="12"/>
  <c r="AC17" i="12"/>
  <c r="AD17" i="12"/>
  <c r="AE17" i="12"/>
  <c r="H17" i="12"/>
  <c r="C17" i="12"/>
  <c r="I17" i="12"/>
  <c r="J17" i="12"/>
  <c r="K17" i="12"/>
  <c r="L17" i="12"/>
  <c r="M17" i="12"/>
  <c r="AB17" i="12"/>
  <c r="W17" i="12"/>
  <c r="H19" i="12"/>
  <c r="AB19" i="12"/>
  <c r="I19" i="12"/>
  <c r="AC19" i="12"/>
  <c r="K19" i="12"/>
  <c r="AE19" i="12"/>
  <c r="J19" i="12"/>
  <c r="AD19" i="12"/>
  <c r="Q19" i="12"/>
  <c r="R19" i="12"/>
  <c r="S19" i="12"/>
  <c r="C19" i="12"/>
  <c r="T19" i="12"/>
  <c r="U19" i="12"/>
  <c r="V19" i="12"/>
  <c r="W19" i="12"/>
  <c r="X19" i="12"/>
  <c r="Y19" i="12"/>
  <c r="Z19" i="12"/>
  <c r="V17" i="12"/>
  <c r="T20" i="12"/>
  <c r="U20" i="12"/>
  <c r="W20" i="12"/>
  <c r="V20" i="12"/>
  <c r="M20" i="12"/>
  <c r="X20" i="12"/>
  <c r="N20" i="12"/>
  <c r="C20" i="12"/>
  <c r="O20" i="12"/>
  <c r="P20" i="12"/>
  <c r="Q20" i="12"/>
  <c r="R20" i="12"/>
  <c r="S20" i="12"/>
  <c r="P19" i="12"/>
  <c r="U17" i="12"/>
  <c r="L21" i="12"/>
  <c r="M21" i="12"/>
  <c r="O21" i="12"/>
  <c r="N21" i="12"/>
  <c r="I21" i="12"/>
  <c r="C21" i="12"/>
  <c r="J21" i="12"/>
  <c r="K21" i="12"/>
  <c r="P21" i="12"/>
  <c r="Q21" i="12"/>
  <c r="R21" i="12"/>
  <c r="S21" i="12"/>
  <c r="T21" i="12"/>
  <c r="D21" i="12"/>
  <c r="O19" i="12"/>
  <c r="T17" i="12"/>
  <c r="D2" i="12"/>
  <c r="X2" i="12"/>
  <c r="E2" i="12"/>
  <c r="Y2" i="12"/>
  <c r="AA2" i="12"/>
  <c r="H2" i="12"/>
  <c r="AB2" i="12"/>
  <c r="F2" i="12"/>
  <c r="Z2" i="12"/>
  <c r="G2" i="12"/>
  <c r="I2" i="12"/>
  <c r="J2" i="12"/>
  <c r="K2" i="12"/>
  <c r="M2" i="12"/>
  <c r="N2" i="12"/>
  <c r="O2" i="12"/>
  <c r="P2" i="12"/>
  <c r="L2" i="12"/>
  <c r="AE20" i="12"/>
  <c r="N19" i="12"/>
  <c r="S17" i="12"/>
  <c r="AE2" i="12"/>
  <c r="C2" i="12"/>
  <c r="AD20" i="12"/>
  <c r="M19" i="12"/>
  <c r="R17" i="12"/>
  <c r="AD2" i="12"/>
  <c r="C3" i="12"/>
  <c r="L19" i="12"/>
  <c r="Q17" i="12"/>
  <c r="AC2" i="12"/>
  <c r="T5" i="12"/>
  <c r="U5" i="12"/>
  <c r="W5" i="12"/>
  <c r="D5" i="12"/>
  <c r="X5" i="12"/>
  <c r="V5" i="12"/>
  <c r="O5" i="12"/>
  <c r="P5" i="12"/>
  <c r="Q5" i="12"/>
  <c r="R5" i="12"/>
  <c r="S5" i="12"/>
  <c r="Y5" i="12"/>
  <c r="Z5" i="12"/>
  <c r="AA5" i="12"/>
  <c r="AB5" i="12"/>
  <c r="C5" i="12"/>
  <c r="AB20" i="12"/>
  <c r="G19" i="12"/>
  <c r="W2" i="12"/>
  <c r="AE21" i="12"/>
  <c r="AA20" i="12"/>
  <c r="F19" i="12"/>
  <c r="O17" i="12"/>
  <c r="V2" i="12"/>
  <c r="AD21" i="12"/>
  <c r="Z20" i="12"/>
  <c r="E19" i="12"/>
  <c r="N17" i="12"/>
  <c r="U2" i="12"/>
  <c r="AC21" i="12"/>
  <c r="Y20" i="12"/>
  <c r="D19" i="12"/>
  <c r="AE5" i="12"/>
  <c r="T2" i="12"/>
  <c r="AB21" i="12"/>
  <c r="L20" i="12"/>
  <c r="AD5" i="12"/>
  <c r="AC3" i="12"/>
  <c r="S2" i="12"/>
  <c r="AA21" i="12"/>
  <c r="K20" i="12"/>
  <c r="AC5" i="12"/>
  <c r="AB3" i="12"/>
  <c r="R2" i="12"/>
  <c r="AC20" i="12"/>
  <c r="P17" i="12"/>
  <c r="Z21" i="12"/>
  <c r="J20" i="12"/>
  <c r="N5" i="12"/>
  <c r="AA3" i="12"/>
  <c r="Q2" i="12"/>
  <c r="T10" i="12"/>
  <c r="U10" i="12"/>
  <c r="W10" i="12"/>
  <c r="D10" i="12"/>
  <c r="X10" i="12"/>
  <c r="V10" i="12"/>
  <c r="AA10" i="12"/>
  <c r="L11" i="12"/>
  <c r="M11" i="12"/>
  <c r="O11" i="12"/>
  <c r="P11" i="12"/>
  <c r="N11" i="12"/>
  <c r="W11" i="12"/>
  <c r="Z10" i="12"/>
  <c r="D12" i="12"/>
  <c r="X12" i="12"/>
  <c r="E12" i="12"/>
  <c r="Y12" i="12"/>
  <c r="G12" i="12"/>
  <c r="AA12" i="12"/>
  <c r="H12" i="12"/>
  <c r="AB12" i="12"/>
  <c r="F12" i="12"/>
  <c r="Z12" i="12"/>
  <c r="S12" i="12"/>
  <c r="Y10" i="12"/>
  <c r="O13" i="12"/>
  <c r="R12" i="12"/>
  <c r="U11" i="12"/>
  <c r="S10" i="12"/>
  <c r="H14" i="12"/>
  <c r="AB14" i="12"/>
  <c r="I14" i="12"/>
  <c r="AC14" i="12"/>
  <c r="K14" i="12"/>
  <c r="AE14" i="12"/>
  <c r="J14" i="12"/>
  <c r="AD14" i="12"/>
  <c r="AE16" i="12"/>
  <c r="G16" i="12"/>
  <c r="O14" i="12"/>
  <c r="N13" i="12"/>
  <c r="Q12" i="12"/>
  <c r="T11" i="12"/>
  <c r="R10" i="12"/>
  <c r="T15" i="12"/>
  <c r="U15" i="12"/>
  <c r="W15" i="12"/>
  <c r="V15" i="12"/>
  <c r="AD16" i="12"/>
  <c r="J15" i="12"/>
  <c r="N14" i="12"/>
  <c r="P12" i="12"/>
  <c r="S11" i="12"/>
  <c r="Q10" i="12"/>
  <c r="V11" i="12"/>
  <c r="P13" i="12"/>
  <c r="Q13" i="12"/>
  <c r="S13" i="12"/>
  <c r="T13" i="12"/>
  <c r="R13" i="12"/>
  <c r="L16" i="12"/>
  <c r="M16" i="12"/>
  <c r="O16" i="12"/>
  <c r="N16" i="12"/>
  <c r="AC16" i="12"/>
  <c r="E16" i="12"/>
  <c r="L13" i="12"/>
  <c r="O12" i="12"/>
  <c r="R11" i="12"/>
  <c r="P10" i="12"/>
  <c r="C7" i="12"/>
  <c r="AD9" i="12"/>
  <c r="J9" i="12"/>
  <c r="R8" i="12"/>
  <c r="Z7" i="12"/>
  <c r="F7" i="12"/>
  <c r="N6" i="12"/>
  <c r="C6" i="12"/>
  <c r="O6" i="12"/>
  <c r="C8" i="12"/>
  <c r="Q8" i="12"/>
  <c r="M6" i="12"/>
  <c r="C9" i="12"/>
  <c r="AB9" i="12"/>
  <c r="X7" i="12"/>
  <c r="H60" i="23"/>
  <c r="K65" i="23" s="1"/>
  <c r="S60" i="23"/>
  <c r="V65" i="23" s="1"/>
  <c r="AB60" i="23"/>
  <c r="AE65" i="23" s="1"/>
  <c r="P60" i="23"/>
  <c r="S65" i="23" s="1"/>
  <c r="N60" i="23"/>
  <c r="Q65" i="23" s="1"/>
  <c r="M60" i="23"/>
  <c r="P65" i="23" s="1"/>
  <c r="D60" i="23"/>
  <c r="G65" i="23" s="1"/>
  <c r="AE60" i="23"/>
  <c r="AH65" i="23" s="1"/>
  <c r="T60" i="23"/>
  <c r="W65" i="23" s="1"/>
  <c r="W60" i="23"/>
  <c r="Z65" i="23" s="1"/>
  <c r="Q60" i="23"/>
  <c r="T65" i="23" s="1"/>
  <c r="F60" i="23"/>
  <c r="I65" i="23" s="1"/>
  <c r="E60" i="23"/>
  <c r="H65" i="23" s="1"/>
  <c r="AC60" i="23"/>
  <c r="AF65" i="23" s="1"/>
  <c r="V60" i="23"/>
  <c r="Y65" i="23" s="1"/>
  <c r="I60" i="23"/>
  <c r="L65" i="23" s="1"/>
  <c r="C60" i="23"/>
  <c r="F65" i="23" s="1"/>
  <c r="K60" i="23"/>
  <c r="N65" i="23" s="1"/>
  <c r="X60" i="23"/>
  <c r="AA65" i="23" s="1"/>
  <c r="AD60" i="23"/>
  <c r="AG65" i="23" s="1"/>
  <c r="Z60" i="23"/>
  <c r="AC65" i="23" s="1"/>
  <c r="R60" i="23"/>
  <c r="U65" i="23" s="1"/>
  <c r="J60" i="23"/>
  <c r="M65" i="23" s="1"/>
  <c r="H50" i="9"/>
  <c r="H51" i="9" s="1"/>
  <c r="Z67" i="23"/>
  <c r="AG67" i="23"/>
  <c r="AH67" i="23"/>
  <c r="D67" i="23"/>
  <c r="U67" i="23"/>
  <c r="D68" i="23"/>
  <c r="T67" i="23"/>
  <c r="G67" i="23"/>
  <c r="AE67" i="23"/>
  <c r="Q67" i="23"/>
  <c r="AA67" i="23"/>
  <c r="O67" i="23"/>
  <c r="AF67" i="23"/>
  <c r="H67" i="23"/>
  <c r="R68" i="23"/>
  <c r="M67" i="23"/>
  <c r="W67" i="23"/>
  <c r="L67" i="23"/>
  <c r="X67" i="23"/>
  <c r="N67" i="23"/>
  <c r="J67" i="23"/>
  <c r="AC67" i="23"/>
  <c r="I67" i="23"/>
  <c r="S67" i="23"/>
  <c r="E67" i="23"/>
  <c r="K67" i="23"/>
  <c r="F67" i="23"/>
  <c r="P67" i="23"/>
  <c r="AD67" i="23"/>
  <c r="R67" i="23"/>
  <c r="AB67" i="23"/>
  <c r="Y67" i="23"/>
  <c r="V67" i="23"/>
  <c r="A36" i="6"/>
  <c r="A33" i="6"/>
  <c r="B52" i="18"/>
  <c r="C52" i="18"/>
  <c r="D52" i="18"/>
  <c r="E52" i="18"/>
  <c r="F52" i="18"/>
  <c r="G52" i="18"/>
  <c r="H52" i="18"/>
  <c r="I52" i="18"/>
  <c r="J52" i="18"/>
  <c r="K52" i="18"/>
  <c r="L52" i="18"/>
  <c r="M52" i="18"/>
  <c r="N52" i="18"/>
  <c r="O52" i="18"/>
  <c r="P52" i="18"/>
  <c r="Q52" i="18"/>
  <c r="R52" i="18"/>
  <c r="S52" i="18"/>
  <c r="T52" i="18"/>
  <c r="U52" i="18"/>
  <c r="V52" i="18"/>
  <c r="W52" i="18"/>
  <c r="X52" i="18"/>
  <c r="Y52" i="18"/>
  <c r="Z52" i="18"/>
  <c r="AA52" i="18"/>
  <c r="AB52" i="18"/>
  <c r="AC52" i="18"/>
  <c r="AD52" i="18"/>
  <c r="AE52" i="18"/>
  <c r="B27" i="18"/>
  <c r="C27" i="18"/>
  <c r="D27" i="18"/>
  <c r="E27" i="18"/>
  <c r="F27" i="18"/>
  <c r="G27" i="18"/>
  <c r="H27" i="18"/>
  <c r="I27" i="18"/>
  <c r="J27" i="18"/>
  <c r="K27" i="18"/>
  <c r="L27" i="18"/>
  <c r="M27" i="18"/>
  <c r="N27" i="18"/>
  <c r="O27" i="18"/>
  <c r="P27" i="18"/>
  <c r="Q27" i="18"/>
  <c r="R27" i="18"/>
  <c r="S27" i="18"/>
  <c r="T27" i="18"/>
  <c r="U27" i="18"/>
  <c r="V27" i="18"/>
  <c r="W27" i="18"/>
  <c r="X27" i="18"/>
  <c r="Y27" i="18"/>
  <c r="Z27" i="18"/>
  <c r="AA27" i="18"/>
  <c r="AB27" i="18"/>
  <c r="AC27" i="18"/>
  <c r="AD27" i="18"/>
  <c r="AE27" i="18"/>
  <c r="H45" i="9"/>
  <c r="H44" i="9"/>
  <c r="H41" i="9"/>
  <c r="H33" i="9"/>
  <c r="AD72" i="23" l="1"/>
  <c r="J72" i="23"/>
  <c r="AD68" i="23"/>
  <c r="Z68" i="23"/>
  <c r="Z72" i="23"/>
  <c r="M68" i="23"/>
  <c r="M72" i="23"/>
  <c r="AE68" i="23"/>
  <c r="AE72" i="23"/>
  <c r="H68" i="23"/>
  <c r="H72" i="23"/>
  <c r="I68" i="23"/>
  <c r="I72" i="23"/>
  <c r="V68" i="23"/>
  <c r="V72" i="23"/>
  <c r="AC68" i="23"/>
  <c r="AC72" i="23"/>
  <c r="AA68" i="23"/>
  <c r="AA72" i="23"/>
  <c r="N68" i="23"/>
  <c r="N72" i="23"/>
  <c r="AF68" i="23"/>
  <c r="AF72" i="23"/>
  <c r="K68" i="23"/>
  <c r="K72" i="23"/>
  <c r="AG68" i="23"/>
  <c r="AG72" i="23"/>
  <c r="F68" i="23"/>
  <c r="D72" i="23"/>
  <c r="E72" i="23"/>
  <c r="F72" i="23"/>
  <c r="C72" i="23"/>
  <c r="U68" i="23"/>
  <c r="U72" i="23"/>
  <c r="L68" i="23"/>
  <c r="L72" i="23"/>
  <c r="Y68" i="23"/>
  <c r="Y72" i="23"/>
  <c r="T68" i="23"/>
  <c r="T72" i="23"/>
  <c r="W68" i="23"/>
  <c r="W72" i="23"/>
  <c r="AH68" i="23"/>
  <c r="AH72" i="23"/>
  <c r="G68" i="23"/>
  <c r="G72" i="23"/>
  <c r="O72" i="23"/>
  <c r="P68" i="23"/>
  <c r="P72" i="23"/>
  <c r="AB72" i="23"/>
  <c r="Q68" i="23"/>
  <c r="Q72" i="23"/>
  <c r="R72" i="23"/>
  <c r="S68" i="23"/>
  <c r="S72" i="23"/>
  <c r="X72" i="23"/>
  <c r="E68" i="23"/>
  <c r="D4" i="9" l="1"/>
  <c r="B4" i="9"/>
  <c r="B22" i="19" l="1"/>
  <c r="H43" i="9"/>
  <c r="H38" i="9"/>
  <c r="H37" i="9"/>
  <c r="H36" i="9"/>
  <c r="H35" i="9"/>
  <c r="H34" i="9"/>
  <c r="H29" i="9"/>
  <c r="H28" i="9"/>
  <c r="B28" i="9" s="1"/>
  <c r="H27" i="9"/>
  <c r="N22" i="19" l="1"/>
  <c r="G22" i="19"/>
  <c r="P22" i="19"/>
  <c r="X22" i="19"/>
  <c r="C22" i="19"/>
  <c r="H22" i="19"/>
  <c r="Q22" i="19"/>
  <c r="Y22" i="19"/>
  <c r="I22" i="19"/>
  <c r="R22" i="19"/>
  <c r="Z22" i="19"/>
  <c r="F22" i="19"/>
  <c r="AE22" i="19"/>
  <c r="J22" i="19"/>
  <c r="S22" i="19"/>
  <c r="AA22" i="19"/>
  <c r="K22" i="19"/>
  <c r="T22" i="19"/>
  <c r="AB22" i="19"/>
  <c r="D22" i="19"/>
  <c r="L22" i="19"/>
  <c r="U22" i="19"/>
  <c r="AC22" i="19"/>
  <c r="W22" i="19"/>
  <c r="E22" i="19"/>
  <c r="M22" i="19"/>
  <c r="V22" i="19"/>
  <c r="AD22" i="19"/>
  <c r="O22" i="19"/>
  <c r="AG76" i="23"/>
  <c r="AD4" i="12" s="1"/>
  <c r="AH76" i="23"/>
  <c r="AE4" i="12" s="1"/>
  <c r="E76" i="23"/>
  <c r="B4" i="12" s="1"/>
  <c r="Z76" i="23"/>
  <c r="W4" i="12" s="1"/>
  <c r="AA76" i="23"/>
  <c r="X4" i="12" s="1"/>
  <c r="P76" i="23"/>
  <c r="M4" i="12" s="1"/>
  <c r="K76" i="23"/>
  <c r="H4" i="12" s="1"/>
  <c r="L76" i="23"/>
  <c r="I4" i="12" s="1"/>
  <c r="M76" i="23"/>
  <c r="J4" i="12" s="1"/>
  <c r="H76" i="23"/>
  <c r="E4" i="12" s="1"/>
  <c r="O76" i="23"/>
  <c r="L4" i="12" s="1"/>
  <c r="AD76" i="23"/>
  <c r="AA4" i="12" s="1"/>
  <c r="U76" i="23"/>
  <c r="R4" i="12" s="1"/>
  <c r="F76" i="23"/>
  <c r="C4" i="12" s="1"/>
  <c r="AC76" i="23"/>
  <c r="Z4" i="12" s="1"/>
  <c r="N76" i="23"/>
  <c r="K4" i="12" s="1"/>
  <c r="Q76" i="23"/>
  <c r="N4" i="12" s="1"/>
  <c r="T76" i="23"/>
  <c r="Q4" i="12" s="1"/>
  <c r="J76" i="23"/>
  <c r="G4" i="12" s="1"/>
  <c r="S76" i="23"/>
  <c r="P4" i="12" s="1"/>
  <c r="AE76" i="23"/>
  <c r="AB4" i="12" s="1"/>
  <c r="W76" i="23"/>
  <c r="T4" i="12" s="1"/>
  <c r="AF76" i="23"/>
  <c r="AC4" i="12" s="1"/>
  <c r="D76" i="23"/>
  <c r="G76" i="23"/>
  <c r="D4" i="12" s="1"/>
  <c r="AB76" i="23"/>
  <c r="Y4" i="12" s="1"/>
  <c r="R76" i="23"/>
  <c r="O4" i="12" s="1"/>
  <c r="Y76" i="23"/>
  <c r="V4" i="12" s="1"/>
  <c r="X76" i="23"/>
  <c r="U4" i="12" s="1"/>
  <c r="V76" i="23"/>
  <c r="S4" i="12" s="1"/>
  <c r="I76" i="23"/>
  <c r="F4" i="12" s="1"/>
  <c r="D45" i="9"/>
  <c r="D46" i="9"/>
  <c r="B22" i="13" s="1"/>
  <c r="J22" i="13" l="1"/>
  <c r="AE22" i="13"/>
  <c r="C22" i="13"/>
  <c r="K22" i="13"/>
  <c r="W22" i="13"/>
  <c r="L22" i="13"/>
  <c r="E22" i="13"/>
  <c r="R22" i="13"/>
  <c r="U22" i="13"/>
  <c r="Y22" i="13"/>
  <c r="S22" i="13"/>
  <c r="D22" i="13"/>
  <c r="H22" i="13"/>
  <c r="P22" i="13"/>
  <c r="M22" i="13"/>
  <c r="X22" i="13"/>
  <c r="AB22" i="13"/>
  <c r="Q22" i="13"/>
  <c r="AD22" i="13"/>
  <c r="F22" i="13"/>
  <c r="I22" i="13"/>
  <c r="V22" i="13"/>
  <c r="Z22" i="13"/>
  <c r="AC22" i="13"/>
  <c r="T22" i="13"/>
  <c r="G22" i="13"/>
  <c r="N22" i="13"/>
  <c r="AA22" i="13"/>
  <c r="O22" i="13"/>
  <c r="B13" i="9"/>
  <c r="B37" i="9" s="1"/>
  <c r="D13" i="9"/>
  <c r="D37" i="9" s="1"/>
  <c r="D12" i="9"/>
  <c r="D36" i="9" s="1"/>
  <c r="B12" i="9"/>
  <c r="B36" i="9" s="1"/>
  <c r="B22" i="9"/>
  <c r="B46" i="9" l="1"/>
  <c r="B22" i="12" s="1"/>
  <c r="B21" i="9"/>
  <c r="AB22" i="12" l="1"/>
  <c r="AC22" i="12"/>
  <c r="AD22" i="12"/>
  <c r="W22" i="12"/>
  <c r="AE22" i="12"/>
  <c r="T22" i="12"/>
  <c r="C22" i="12"/>
  <c r="U22" i="12"/>
  <c r="V22" i="12"/>
  <c r="E22" i="12"/>
  <c r="K22" i="12"/>
  <c r="Y22" i="12"/>
  <c r="L22" i="12"/>
  <c r="G22" i="12"/>
  <c r="M22" i="12"/>
  <c r="Q22" i="12"/>
  <c r="AA22" i="12"/>
  <c r="N22" i="12"/>
  <c r="F22" i="12"/>
  <c r="O22" i="12"/>
  <c r="R22" i="12"/>
  <c r="Z22" i="12"/>
  <c r="P22" i="12"/>
  <c r="D22" i="12"/>
  <c r="I22" i="12"/>
  <c r="S22" i="12"/>
  <c r="H22" i="12"/>
  <c r="X22" i="12"/>
  <c r="J22" i="12"/>
  <c r="B45" i="9"/>
  <c r="D17" i="9"/>
  <c r="D41" i="9" s="1"/>
  <c r="B14" i="8"/>
  <c r="B17" i="9" s="1"/>
  <c r="B41" i="9" s="1"/>
  <c r="D13" i="8"/>
  <c r="C13" i="8"/>
  <c r="B13" i="8"/>
  <c r="D20" i="9" l="1"/>
  <c r="D44" i="9" s="1"/>
  <c r="B20" i="9"/>
  <c r="B44" i="9" s="1"/>
  <c r="D19" i="9"/>
  <c r="D43" i="9" s="1"/>
  <c r="B19" i="9"/>
  <c r="B43" i="9" s="1"/>
  <c r="D18" i="9"/>
  <c r="D42" i="9" s="1"/>
  <c r="B18" i="9"/>
  <c r="D14" i="9"/>
  <c r="D38" i="9" s="1"/>
  <c r="B14" i="9"/>
  <c r="B38" i="9" s="1"/>
  <c r="D11" i="9"/>
  <c r="D35" i="9" s="1"/>
  <c r="B11" i="9"/>
  <c r="B35" i="9" s="1"/>
  <c r="D10" i="9"/>
  <c r="D34" i="9" s="1"/>
  <c r="B10" i="9"/>
  <c r="B34" i="9" s="1"/>
  <c r="D9" i="9"/>
  <c r="D33" i="9" s="1"/>
  <c r="D5" i="9"/>
  <c r="D29" i="9" s="1"/>
  <c r="B5" i="9"/>
  <c r="B29" i="9" s="1"/>
  <c r="D28" i="9"/>
  <c r="D3" i="9"/>
  <c r="D27" i="9" s="1"/>
  <c r="B3" i="9"/>
  <c r="B27" i="9" s="1"/>
  <c r="A47" i="6"/>
  <c r="B9" i="9"/>
  <c r="B33" i="9" s="1"/>
  <c r="B42" i="9" l="1"/>
  <c r="C78" i="23" s="1"/>
  <c r="A50" i="6"/>
  <c r="AG78" i="23" l="1"/>
  <c r="AD18" i="12" s="1"/>
  <c r="AH78" i="23"/>
  <c r="AE18" i="12" s="1"/>
  <c r="E78" i="23"/>
  <c r="B18" i="12" s="1"/>
  <c r="S78" i="23"/>
  <c r="P18" i="12" s="1"/>
  <c r="AD78" i="23"/>
  <c r="AA18" i="12" s="1"/>
  <c r="N78" i="23"/>
  <c r="K18" i="12" s="1"/>
  <c r="AE78" i="23"/>
  <c r="AB18" i="12" s="1"/>
  <c r="I78" i="23"/>
  <c r="F18" i="12" s="1"/>
  <c r="X78" i="23"/>
  <c r="U18" i="12" s="1"/>
  <c r="D78" i="23"/>
  <c r="F78" i="23"/>
  <c r="C18" i="12" s="1"/>
  <c r="K78" i="23"/>
  <c r="H18" i="12" s="1"/>
  <c r="H78" i="23"/>
  <c r="E18" i="12" s="1"/>
  <c r="AF78" i="23"/>
  <c r="AC18" i="12" s="1"/>
  <c r="W78" i="23"/>
  <c r="T18" i="12" s="1"/>
  <c r="Y78" i="23"/>
  <c r="V18" i="12" s="1"/>
  <c r="J78" i="23"/>
  <c r="G18" i="12" s="1"/>
  <c r="M78" i="23"/>
  <c r="J18" i="12" s="1"/>
  <c r="U78" i="23"/>
  <c r="R18" i="12" s="1"/>
  <c r="G78" i="23"/>
  <c r="D18" i="12" s="1"/>
  <c r="AB78" i="23"/>
  <c r="Y18" i="12" s="1"/>
  <c r="V78" i="23"/>
  <c r="S18" i="12" s="1"/>
  <c r="Z78" i="23"/>
  <c r="W18" i="12" s="1"/>
  <c r="P78" i="23"/>
  <c r="M18" i="12" s="1"/>
  <c r="T78" i="23"/>
  <c r="Q18" i="12" s="1"/>
  <c r="L78" i="23"/>
  <c r="I18" i="12" s="1"/>
  <c r="Q78" i="23"/>
  <c r="N18" i="12" s="1"/>
  <c r="AC78" i="23"/>
  <c r="Z18" i="12" s="1"/>
  <c r="AA78" i="23"/>
  <c r="X18" i="12" s="1"/>
  <c r="R78" i="23"/>
  <c r="O18" i="12" s="1"/>
  <c r="O78" i="23"/>
  <c r="L18" i="1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Wang</author>
    <author>ywu</author>
    <author>Jeongwoo Han</author>
    <author>jhan</author>
    <author>A Elgowainy</author>
  </authors>
  <commentList>
    <comment ref="B4" authorId="0" shapeId="0" xr:uid="{00000000-0006-0000-0600-000001000000}">
      <text>
        <r>
          <rPr>
            <sz val="8"/>
            <color indexed="81"/>
            <rFont val="Tahoma"/>
            <family val="2"/>
          </rPr>
          <t>GREET's calculations use LHVs. If one decides to use HHVs, the HHV cell values in this sheet can be pasted into the cells in this column. However, combustion emission factors in the EF sheet need to be changed, according to the differences between LHV and HHV for each fuel.</t>
        </r>
      </text>
    </comment>
    <comment ref="H4" authorId="0" shapeId="0" xr:uid="{00000000-0006-0000-0600-000002000000}">
      <text>
        <r>
          <rPr>
            <sz val="8"/>
            <color indexed="81"/>
            <rFont val="Tahoma"/>
            <family val="2"/>
          </rPr>
          <t xml:space="preserve">Values in this column are calculated from those in the left column. Values here are used for calculations in other sheets. Values in the left column are inputted in ppm for high transparency.
</t>
        </r>
      </text>
    </comment>
    <comment ref="G15" authorId="0" shapeId="0" xr:uid="{00000000-0006-0000-0600-000003000000}">
      <text>
        <r>
          <rPr>
            <sz val="8"/>
            <color indexed="81"/>
            <rFont val="Arial"/>
            <family val="2"/>
          </rPr>
          <t>Value here is from a TS look-up table. User should not change the value here.</t>
        </r>
        <r>
          <rPr>
            <sz val="9"/>
            <color indexed="81"/>
            <rFont val="Tahoma"/>
            <family val="2"/>
          </rPr>
          <t xml:space="preserve">
</t>
        </r>
      </text>
    </comment>
    <comment ref="G20" authorId="0" shapeId="0" xr:uid="{00000000-0006-0000-0600-000004000000}">
      <text>
        <r>
          <rPr>
            <sz val="8"/>
            <color indexed="81"/>
            <rFont val="Arial"/>
            <family val="2"/>
          </rPr>
          <t>Value here is from a TS look-up table. User should not change the value here.</t>
        </r>
        <r>
          <rPr>
            <sz val="9"/>
            <color indexed="81"/>
            <rFont val="Tahoma"/>
            <family val="2"/>
          </rPr>
          <t xml:space="preserve">
</t>
        </r>
      </text>
    </comment>
    <comment ref="G21" authorId="0" shapeId="0" xr:uid="{00000000-0006-0000-0600-000005000000}">
      <text>
        <r>
          <rPr>
            <sz val="8"/>
            <color indexed="81"/>
            <rFont val="Arial"/>
            <family val="2"/>
          </rPr>
          <t>Value here is from a TS look-up table. User should not change the value here.</t>
        </r>
        <r>
          <rPr>
            <sz val="9"/>
            <color indexed="81"/>
            <rFont val="Tahoma"/>
            <family val="2"/>
          </rPr>
          <t xml:space="preserve">
</t>
        </r>
      </text>
    </comment>
    <comment ref="G22" authorId="0" shapeId="0" xr:uid="{00000000-0006-0000-0600-000006000000}">
      <text>
        <r>
          <rPr>
            <sz val="8"/>
            <color indexed="81"/>
            <rFont val="Arial"/>
            <family val="2"/>
          </rPr>
          <t>Value here is from a TS look-up table. User should not change the value here.
Beginning June 1, 2007, non-road diesel is required to have maxium of 500 ppm S; and beginning June 1, 2012, the S content is reduced to 15 ppm.
Sources: Final regulatory analysis: control of emissions from non-road diesel engines. US EPA, EPA420-R-04-007, 2004.</t>
        </r>
        <r>
          <rPr>
            <sz val="9"/>
            <color indexed="81"/>
            <rFont val="Tahoma"/>
            <family val="2"/>
          </rPr>
          <t xml:space="preserve">
</t>
        </r>
      </text>
    </comment>
    <comment ref="G29" authorId="1" shapeId="0" xr:uid="{00000000-0006-0000-0600-000007000000}">
      <text>
        <r>
          <rPr>
            <sz val="8"/>
            <color indexed="81"/>
            <rFont val="Tahoma"/>
            <family val="2"/>
          </rPr>
          <t>From a report prepaed by ENVIRON International Corporation (Los Angeles, CA, 2004) for the Port Authority of Long Beach Ports).</t>
        </r>
        <r>
          <rPr>
            <sz val="8"/>
            <color indexed="81"/>
            <rFont val="Tahoma"/>
            <family val="2"/>
          </rPr>
          <t xml:space="preserve">
</t>
        </r>
      </text>
    </comment>
    <comment ref="A43" authorId="2" shapeId="0" xr:uid="{00000000-0006-0000-0600-000008000000}">
      <text>
        <r>
          <rPr>
            <sz val="9"/>
            <color indexed="81"/>
            <rFont val="Tahoma"/>
            <family val="2"/>
          </rPr>
          <t>For algae-based renewable diesel only</t>
        </r>
      </text>
    </comment>
    <comment ref="A63" authorId="3" shapeId="0" xr:uid="{00000000-0006-0000-0600-000009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B65" authorId="4" shapeId="0" xr:uid="{00000000-0006-0000-0600-00000A000000}">
      <text>
        <r>
          <rPr>
            <b/>
            <sz val="10"/>
            <color indexed="81"/>
            <rFont val="Tahoma"/>
            <family val="2"/>
          </rPr>
          <t>Btu per (short ton, as received)</t>
        </r>
        <r>
          <rPr>
            <sz val="10"/>
            <color indexed="81"/>
            <rFont val="Tahoma"/>
            <family val="2"/>
          </rPr>
          <t xml:space="preserve">
</t>
        </r>
      </text>
    </comment>
    <comment ref="A66" authorId="0" shapeId="0" xr:uid="{00000000-0006-0000-0600-00000B000000}">
      <text>
        <r>
          <rPr>
            <sz val="8"/>
            <color indexed="81"/>
            <rFont val="Tahoma"/>
            <family val="2"/>
          </rPr>
          <t xml:space="preserve">As feedstock for coal-based H2 and FTD production pathways.
</t>
        </r>
      </text>
    </comment>
    <comment ref="B66" authorId="4" shapeId="0" xr:uid="{00000000-0006-0000-0600-00000C000000}">
      <text>
        <r>
          <rPr>
            <b/>
            <sz val="10"/>
            <color indexed="81"/>
            <rFont val="Tahoma"/>
            <family val="2"/>
          </rPr>
          <t>Btu per (short ton, as received)
Moisture Content: 4.5% wt.</t>
        </r>
        <r>
          <rPr>
            <sz val="10"/>
            <color indexed="81"/>
            <rFont val="Tahoma"/>
            <family val="2"/>
          </rPr>
          <t xml:space="preserve">
</t>
        </r>
      </text>
    </comment>
    <comment ref="D66" authorId="3" shapeId="0" xr:uid="{00000000-0006-0000-0600-00000D000000}">
      <text>
        <r>
          <rPr>
            <sz val="9"/>
            <color indexed="81"/>
            <rFont val="Tahoma"/>
            <family val="2"/>
          </rPr>
          <t>Based on EIA-423</t>
        </r>
      </text>
    </comment>
    <comment ref="F66" authorId="3" shapeId="0" xr:uid="{00000000-0006-0000-0600-00000E000000}">
      <text>
        <r>
          <rPr>
            <sz val="9"/>
            <color indexed="81"/>
            <rFont val="Tahoma"/>
            <family val="2"/>
          </rPr>
          <t>Calculated from the USGS database (2006)</t>
        </r>
      </text>
    </comment>
    <comment ref="G66" authorId="3" shapeId="0" xr:uid="{00000000-0006-0000-0600-00000F000000}">
      <text>
        <r>
          <rPr>
            <sz val="9"/>
            <color indexed="81"/>
            <rFont val="Tahoma"/>
            <family val="2"/>
          </rPr>
          <t>Based on EIA-423</t>
        </r>
      </text>
    </comment>
    <comment ref="I66" authorId="3" shapeId="0" xr:uid="{00000000-0006-0000-0600-000010000000}">
      <text>
        <r>
          <rPr>
            <sz val="9"/>
            <color indexed="81"/>
            <rFont val="Tahoma"/>
            <family val="2"/>
          </rPr>
          <t>Calculated from the USGS database (2006)</t>
        </r>
      </text>
    </comment>
    <comment ref="B67" authorId="4" shapeId="0" xr:uid="{00000000-0006-0000-0600-000011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22.4% wt.</t>
        </r>
      </text>
    </comment>
    <comment ref="D67" authorId="3" shapeId="0" xr:uid="{00000000-0006-0000-0600-000012000000}">
      <text>
        <r>
          <rPr>
            <sz val="9"/>
            <color indexed="81"/>
            <rFont val="Tahoma"/>
            <family val="2"/>
          </rPr>
          <t>Based on EIA-423</t>
        </r>
      </text>
    </comment>
    <comment ref="F67" authorId="3" shapeId="0" xr:uid="{00000000-0006-0000-0600-000013000000}">
      <text>
        <r>
          <rPr>
            <sz val="9"/>
            <color indexed="81"/>
            <rFont val="Tahoma"/>
            <family val="2"/>
          </rPr>
          <t>Calculated from the USGS database (2006)</t>
        </r>
      </text>
    </comment>
    <comment ref="G67" authorId="3" shapeId="0" xr:uid="{00000000-0006-0000-0600-000014000000}">
      <text>
        <r>
          <rPr>
            <sz val="9"/>
            <color indexed="81"/>
            <rFont val="Tahoma"/>
            <family val="2"/>
          </rPr>
          <t>Based on EIA-423</t>
        </r>
      </text>
    </comment>
    <comment ref="I67" authorId="3" shapeId="0" xr:uid="{00000000-0006-0000-0600-000015000000}">
      <text>
        <r>
          <rPr>
            <sz val="9"/>
            <color indexed="81"/>
            <rFont val="Tahoma"/>
            <family val="2"/>
          </rPr>
          <t>Calculated from the USGS database (2006)</t>
        </r>
      </text>
    </comment>
    <comment ref="B68" authorId="4" shapeId="0" xr:uid="{00000000-0006-0000-0600-000016000000}">
      <text>
        <r>
          <rPr>
            <b/>
            <sz val="10"/>
            <color indexed="81"/>
            <rFont val="Tahoma"/>
            <family val="2"/>
          </rPr>
          <t>Btu per (short ton, as received)</t>
        </r>
        <r>
          <rPr>
            <sz val="10"/>
            <color indexed="81"/>
            <rFont val="Tahoma"/>
            <family val="2"/>
          </rPr>
          <t xml:space="preserve">
</t>
        </r>
        <r>
          <rPr>
            <b/>
            <sz val="10"/>
            <color indexed="81"/>
            <rFont val="Tahoma"/>
            <family val="2"/>
          </rPr>
          <t>Moisture Content: 31.9% wt.</t>
        </r>
      </text>
    </comment>
    <comment ref="D68" authorId="3" shapeId="0" xr:uid="{00000000-0006-0000-0600-000017000000}">
      <text>
        <r>
          <rPr>
            <sz val="9"/>
            <color indexed="81"/>
            <rFont val="Tahoma"/>
            <family val="2"/>
          </rPr>
          <t>Based on EIA-423</t>
        </r>
      </text>
    </comment>
    <comment ref="F68" authorId="3" shapeId="0" xr:uid="{00000000-0006-0000-0600-000018000000}">
      <text>
        <r>
          <rPr>
            <sz val="9"/>
            <color indexed="81"/>
            <rFont val="Tahoma"/>
            <family val="2"/>
          </rPr>
          <t>Calculated from the USGS database (2006)</t>
        </r>
      </text>
    </comment>
    <comment ref="G68" authorId="3" shapeId="0" xr:uid="{00000000-0006-0000-0600-000019000000}">
      <text>
        <r>
          <rPr>
            <sz val="9"/>
            <color indexed="81"/>
            <rFont val="Tahoma"/>
            <family val="2"/>
          </rPr>
          <t>Based on EIA-423</t>
        </r>
      </text>
    </comment>
    <comment ref="I68" authorId="3" shapeId="0" xr:uid="{00000000-0006-0000-0600-00001A000000}">
      <text>
        <r>
          <rPr>
            <sz val="9"/>
            <color indexed="81"/>
            <rFont val="Tahoma"/>
            <family val="2"/>
          </rPr>
          <t>Calculated from the USGS database (2006)</t>
        </r>
      </text>
    </comment>
    <comment ref="B69" authorId="4" shapeId="0" xr:uid="{00000000-0006-0000-0600-00001B000000}">
      <text>
        <r>
          <rPr>
            <b/>
            <sz val="10"/>
            <color indexed="81"/>
            <rFont val="Tahoma"/>
            <family val="2"/>
          </rPr>
          <t>Btu per (short ton, as received)</t>
        </r>
        <r>
          <rPr>
            <sz val="10"/>
            <color indexed="81"/>
            <rFont val="Tahoma"/>
            <family val="2"/>
          </rPr>
          <t xml:space="preserve">
</t>
        </r>
      </text>
    </comment>
    <comment ref="D69" authorId="3" shapeId="0" xr:uid="{00000000-0006-0000-0600-00001C000000}">
      <text>
        <r>
          <rPr>
            <sz val="9"/>
            <color indexed="81"/>
            <rFont val="Tahoma"/>
            <family val="2"/>
          </rPr>
          <t>Assumed to be the same as bituminous coal</t>
        </r>
      </text>
    </comment>
    <comment ref="F69" authorId="3" shapeId="0" xr:uid="{00000000-0006-0000-0600-00001D000000}">
      <text>
        <r>
          <rPr>
            <sz val="9"/>
            <color indexed="81"/>
            <rFont val="Tahoma"/>
            <family val="2"/>
          </rPr>
          <t>Based on EIA-423</t>
        </r>
      </text>
    </comment>
    <comment ref="G69" authorId="3" shapeId="0" xr:uid="{00000000-0006-0000-0600-00001E000000}">
      <text>
        <r>
          <rPr>
            <sz val="9"/>
            <color indexed="81"/>
            <rFont val="Tahoma"/>
            <family val="2"/>
          </rPr>
          <t>Based on EIA-423</t>
        </r>
      </text>
    </comment>
    <comment ref="I69" authorId="3" shapeId="0" xr:uid="{00000000-0006-0000-0600-00001F000000}">
      <text>
        <r>
          <rPr>
            <sz val="9"/>
            <color indexed="81"/>
            <rFont val="Tahoma"/>
            <family val="2"/>
          </rPr>
          <t>Assumed to be the same as bituminous coal</t>
        </r>
      </text>
    </comment>
    <comment ref="B70" authorId="4" shapeId="0" xr:uid="{00000000-0006-0000-0600-000020000000}">
      <text>
        <r>
          <rPr>
            <b/>
            <sz val="10"/>
            <color indexed="81"/>
            <rFont val="Tahoma"/>
            <family val="2"/>
          </rPr>
          <t>Btu per (short ton, as received)</t>
        </r>
        <r>
          <rPr>
            <sz val="10"/>
            <color indexed="81"/>
            <rFont val="Tahoma"/>
            <family val="2"/>
          </rPr>
          <t xml:space="preserve">
</t>
        </r>
      </text>
    </comment>
    <comment ref="D70" authorId="3" shapeId="0" xr:uid="{00000000-0006-0000-0600-000021000000}">
      <text>
        <r>
          <rPr>
            <sz val="9"/>
            <color indexed="81"/>
            <rFont val="Tahoma"/>
            <family val="2"/>
          </rPr>
          <t>Based on EIA-423</t>
        </r>
      </text>
    </comment>
    <comment ref="F70" authorId="3" shapeId="0" xr:uid="{00000000-0006-0000-0600-000022000000}">
      <text>
        <r>
          <rPr>
            <sz val="9"/>
            <color indexed="81"/>
            <rFont val="Tahoma"/>
            <family val="2"/>
          </rPr>
          <t>Based on EIA-423</t>
        </r>
      </text>
    </comment>
    <comment ref="G70" authorId="3" shapeId="0" xr:uid="{00000000-0006-0000-0600-000023000000}">
      <text>
        <r>
          <rPr>
            <sz val="9"/>
            <color indexed="81"/>
            <rFont val="Tahoma"/>
            <family val="2"/>
          </rPr>
          <t>Assumed to be the same as lignite coal</t>
        </r>
      </text>
    </comment>
    <comment ref="I70" authorId="3" shapeId="0" xr:uid="{00000000-0006-0000-0600-000024000000}">
      <text>
        <r>
          <rPr>
            <sz val="9"/>
            <color indexed="81"/>
            <rFont val="Tahoma"/>
            <family val="2"/>
          </rPr>
          <t>Assumed to be the same as lignite coal</t>
        </r>
      </text>
    </comment>
    <comment ref="B71" authorId="4" shapeId="0" xr:uid="{00000000-0006-0000-0600-000025000000}">
      <text>
        <r>
          <rPr>
            <b/>
            <sz val="10"/>
            <color indexed="81"/>
            <rFont val="Tahoma"/>
            <family val="2"/>
          </rPr>
          <t>Btu per (short ton, as received)</t>
        </r>
        <r>
          <rPr>
            <sz val="10"/>
            <color indexed="81"/>
            <rFont val="Tahoma"/>
            <family val="2"/>
          </rPr>
          <t xml:space="preserve">
</t>
        </r>
      </text>
    </comment>
    <comment ref="D71" authorId="3" shapeId="0" xr:uid="{00000000-0006-0000-0600-000026000000}">
      <text>
        <r>
          <rPr>
            <sz val="9"/>
            <color indexed="81"/>
            <rFont val="Tahoma"/>
            <family val="2"/>
          </rPr>
          <t>Based on EIA-423</t>
        </r>
      </text>
    </comment>
    <comment ref="F71" authorId="3" shapeId="0" xr:uid="{00000000-0006-0000-0600-000027000000}">
      <text>
        <r>
          <rPr>
            <sz val="9"/>
            <color indexed="81"/>
            <rFont val="Tahoma"/>
            <family val="2"/>
          </rPr>
          <t xml:space="preserve">Elgowainy, A., Han, J., Cai, H., Wang, M., Forman, G. S., and DiVita, V. B. (2014) Energy Efficiency and Greenhouse Gas Emission Intensity of Petroleum Products at U.S. Refineries. Environ. Sci. Technol. 48, 7612–7624.
</t>
        </r>
      </text>
    </comment>
    <comment ref="G71" authorId="3" shapeId="0" xr:uid="{00000000-0006-0000-0600-000028000000}">
      <text>
        <r>
          <rPr>
            <sz val="9"/>
            <color indexed="81"/>
            <rFont val="Tahoma"/>
            <family val="2"/>
          </rPr>
          <t>Based on EIA-423</t>
        </r>
      </text>
    </comment>
    <comment ref="I71" authorId="3" shapeId="0" xr:uid="{00000000-0006-0000-0600-000029000000}">
      <text>
        <r>
          <rPr>
            <sz val="9"/>
            <color indexed="81"/>
            <rFont val="Tahoma"/>
            <family val="2"/>
          </rPr>
          <t>Based on the ratio in the previous GREET</t>
        </r>
      </text>
    </comment>
    <comment ref="B72" authorId="4" shapeId="0" xr:uid="{00000000-0006-0000-0600-00002A000000}">
      <text>
        <r>
          <rPr>
            <b/>
            <sz val="10"/>
            <color indexed="81"/>
            <rFont val="Tahoma"/>
            <family val="2"/>
          </rPr>
          <t>Btu per (short ton, as received)</t>
        </r>
        <r>
          <rPr>
            <sz val="10"/>
            <color indexed="81"/>
            <rFont val="Tahoma"/>
            <family val="2"/>
          </rPr>
          <t xml:space="preserve">
</t>
        </r>
      </text>
    </comment>
    <comment ref="D72" authorId="3" shapeId="0" xr:uid="{00000000-0006-0000-0600-00002B000000}">
      <text>
        <r>
          <rPr>
            <sz val="9"/>
            <color indexed="81"/>
            <rFont val="Tahoma"/>
            <family val="2"/>
          </rPr>
          <t>Based on EIA-423</t>
        </r>
      </text>
    </comment>
    <comment ref="F72" authorId="3" shapeId="0" xr:uid="{00000000-0006-0000-0600-00002C000000}">
      <text>
        <r>
          <rPr>
            <sz val="9"/>
            <color indexed="81"/>
            <rFont val="Tahoma"/>
            <family val="2"/>
          </rPr>
          <t>Based on EIA-423</t>
        </r>
      </text>
    </comment>
    <comment ref="G72" authorId="3" shapeId="0" xr:uid="{00000000-0006-0000-0600-00002D000000}">
      <text>
        <r>
          <rPr>
            <sz val="9"/>
            <color indexed="81"/>
            <rFont val="Tahoma"/>
            <family val="2"/>
          </rPr>
          <t>Assumed to be the same as pet coke</t>
        </r>
      </text>
    </comment>
    <comment ref="I72" authorId="3" shapeId="0" xr:uid="{00000000-0006-0000-0600-00002E000000}">
      <text>
        <r>
          <rPr>
            <sz val="9"/>
            <color indexed="81"/>
            <rFont val="Tahoma"/>
            <family val="2"/>
          </rPr>
          <t>Assumed to be the same as pet coke</t>
        </r>
      </text>
    </comment>
    <comment ref="B73" authorId="4" shapeId="0" xr:uid="{00000000-0006-0000-0600-00002F000000}">
      <text>
        <r>
          <rPr>
            <b/>
            <sz val="10"/>
            <color indexed="81"/>
            <rFont val="Tahoma"/>
            <family val="2"/>
          </rPr>
          <t>Btu per (short ton, as received)</t>
        </r>
        <r>
          <rPr>
            <sz val="10"/>
            <color indexed="81"/>
            <rFont val="Tahoma"/>
            <family val="2"/>
          </rPr>
          <t xml:space="preserve">
</t>
        </r>
      </text>
    </comment>
    <comment ref="B74" authorId="4" shapeId="0" xr:uid="{00000000-0006-0000-0600-000030000000}">
      <text>
        <r>
          <rPr>
            <b/>
            <sz val="10"/>
            <color indexed="81"/>
            <rFont val="Tahoma"/>
            <family val="2"/>
          </rPr>
          <t>Btu per (short ton, dry matter)</t>
        </r>
        <r>
          <rPr>
            <sz val="10"/>
            <color indexed="81"/>
            <rFont val="Tahoma"/>
            <family val="2"/>
          </rPr>
          <t xml:space="preserve">
</t>
        </r>
      </text>
    </comment>
    <comment ref="B76" authorId="4" shapeId="0" xr:uid="{00000000-0006-0000-0600-000031000000}">
      <text>
        <r>
          <rPr>
            <b/>
            <sz val="10"/>
            <color indexed="81"/>
            <rFont val="Tahoma"/>
            <family val="2"/>
          </rPr>
          <t>Btu per (short ton, dry matter)</t>
        </r>
        <r>
          <rPr>
            <sz val="10"/>
            <color indexed="81"/>
            <rFont val="Tahoma"/>
            <family val="2"/>
          </rPr>
          <t xml:space="preserve">
</t>
        </r>
      </text>
    </comment>
    <comment ref="B77" authorId="4" shapeId="0" xr:uid="{00000000-0006-0000-0600-000032000000}">
      <text>
        <r>
          <rPr>
            <b/>
            <sz val="10"/>
            <color indexed="81"/>
            <rFont val="Tahoma"/>
            <family val="2"/>
          </rPr>
          <t>Btu per (short ton, dry matter)</t>
        </r>
        <r>
          <rPr>
            <sz val="10"/>
            <color indexed="81"/>
            <rFont val="Tahoma"/>
            <family val="2"/>
          </rPr>
          <t xml:space="preserve">
</t>
        </r>
      </text>
    </comment>
    <comment ref="B78" authorId="4" shapeId="0" xr:uid="{00000000-0006-0000-0600-000033000000}">
      <text>
        <r>
          <rPr>
            <b/>
            <sz val="10"/>
            <color indexed="81"/>
            <rFont val="Tahoma"/>
            <family val="2"/>
          </rPr>
          <t>Btu per (short ton, dry matter)</t>
        </r>
        <r>
          <rPr>
            <sz val="10"/>
            <color indexed="81"/>
            <rFont val="Tahoma"/>
            <family val="2"/>
          </rPr>
          <t xml:space="preserve">
</t>
        </r>
      </text>
    </comment>
    <comment ref="B79" authorId="4" shapeId="0" xr:uid="{00000000-0006-0000-0600-000034000000}">
      <text>
        <r>
          <rPr>
            <b/>
            <sz val="10"/>
            <color indexed="81"/>
            <rFont val="Tahoma"/>
            <family val="2"/>
          </rPr>
          <t>Btu per (short ton, dry matter)</t>
        </r>
        <r>
          <rPr>
            <sz val="10"/>
            <color indexed="81"/>
            <rFont val="Tahoma"/>
            <family val="2"/>
          </rPr>
          <t xml:space="preserve">
</t>
        </r>
      </text>
    </comment>
    <comment ref="B80" authorId="4" shapeId="0" xr:uid="{00000000-0006-0000-0600-000035000000}">
      <text>
        <r>
          <rPr>
            <b/>
            <sz val="10"/>
            <color indexed="81"/>
            <rFont val="Tahoma"/>
            <family val="2"/>
          </rPr>
          <t>Btu per (short ton, dry matter)</t>
        </r>
        <r>
          <rPr>
            <sz val="10"/>
            <color indexed="81"/>
            <rFont val="Tahoma"/>
            <family val="2"/>
          </rPr>
          <t xml:space="preserve">
</t>
        </r>
      </text>
    </comment>
    <comment ref="B81" authorId="4" shapeId="0" xr:uid="{00000000-0006-0000-0600-000036000000}">
      <text>
        <r>
          <rPr>
            <b/>
            <sz val="10"/>
            <color indexed="81"/>
            <rFont val="Tahoma"/>
            <family val="2"/>
          </rPr>
          <t>Btu per (short ton, dry matter)</t>
        </r>
        <r>
          <rPr>
            <sz val="10"/>
            <color indexed="81"/>
            <rFont val="Tahoma"/>
            <family val="2"/>
          </rPr>
          <t xml:space="preserve">
</t>
        </r>
      </text>
    </comment>
    <comment ref="B82" authorId="4" shapeId="0" xr:uid="{00000000-0006-0000-0600-000037000000}">
      <text>
        <r>
          <rPr>
            <b/>
            <sz val="10"/>
            <color indexed="81"/>
            <rFont val="Tahoma"/>
            <family val="2"/>
          </rPr>
          <t>Btu per (short ton, dry matter)</t>
        </r>
        <r>
          <rPr>
            <sz val="10"/>
            <color indexed="81"/>
            <rFont val="Tahoma"/>
            <family val="2"/>
          </rPr>
          <t xml:space="preserve">
</t>
        </r>
      </text>
    </comment>
    <comment ref="B83" authorId="4" shapeId="0" xr:uid="{00000000-0006-0000-0600-000038000000}">
      <text>
        <r>
          <rPr>
            <b/>
            <sz val="10"/>
            <color indexed="81"/>
            <rFont val="Tahoma"/>
            <family val="2"/>
          </rPr>
          <t>Btu per (short ton, as received)</t>
        </r>
        <r>
          <rPr>
            <sz val="10"/>
            <color indexed="81"/>
            <rFont val="Tahoma"/>
            <family val="2"/>
          </rPr>
          <t xml:space="preserve">
</t>
        </r>
      </text>
    </comment>
    <comment ref="B84" authorId="4" shapeId="0" xr:uid="{00000000-0006-0000-0600-000039000000}">
      <text>
        <r>
          <rPr>
            <b/>
            <sz val="10"/>
            <color indexed="81"/>
            <rFont val="Tahoma"/>
            <family val="2"/>
          </rPr>
          <t>Btu per (short ton, as received)</t>
        </r>
        <r>
          <rPr>
            <sz val="10"/>
            <color indexed="81"/>
            <rFont val="Tahoma"/>
            <family val="2"/>
          </rPr>
          <t xml:space="preserve">
</t>
        </r>
      </text>
    </comment>
    <comment ref="B85" authorId="4" shapeId="0" xr:uid="{00000000-0006-0000-0600-00003A000000}">
      <text>
        <r>
          <rPr>
            <b/>
            <sz val="10"/>
            <color indexed="81"/>
            <rFont val="Tahoma"/>
            <family val="2"/>
          </rPr>
          <t>Btu per (short ton, as received)</t>
        </r>
        <r>
          <rPr>
            <sz val="10"/>
            <color indexed="81"/>
            <rFont val="Tahoma"/>
            <family val="2"/>
          </rPr>
          <t xml:space="preserve">
</t>
        </r>
      </text>
    </comment>
    <comment ref="B86" authorId="4" shapeId="0" xr:uid="{00000000-0006-0000-0600-00003B000000}">
      <text>
        <r>
          <rPr>
            <b/>
            <sz val="10"/>
            <color indexed="81"/>
            <rFont val="Tahoma"/>
            <family val="2"/>
          </rPr>
          <t>Btu per (short ton, as received)</t>
        </r>
        <r>
          <rPr>
            <sz val="10"/>
            <color indexed="81"/>
            <rFont val="Tahoma"/>
            <family val="2"/>
          </rPr>
          <t xml:space="preserve">
</t>
        </r>
      </text>
    </comment>
    <comment ref="B87" authorId="4" shapeId="0" xr:uid="{00000000-0006-0000-0600-00003C000000}">
      <text>
        <r>
          <rPr>
            <b/>
            <sz val="10"/>
            <color indexed="81"/>
            <rFont val="Tahoma"/>
            <family val="2"/>
          </rPr>
          <t>Btu per (short ton, dry matter)</t>
        </r>
        <r>
          <rPr>
            <sz val="10"/>
            <color indexed="81"/>
            <rFont val="Tahoma"/>
            <family val="2"/>
          </rPr>
          <t xml:space="preserve">
</t>
        </r>
      </text>
    </comment>
    <comment ref="B88" authorId="4" shapeId="0" xr:uid="{00000000-0006-0000-0600-00003D000000}">
      <text>
        <r>
          <rPr>
            <b/>
            <sz val="10"/>
            <color indexed="81"/>
            <rFont val="Tahoma"/>
            <family val="2"/>
          </rPr>
          <t>Btu per (short ton, dry matter)</t>
        </r>
        <r>
          <rPr>
            <sz val="10"/>
            <color indexed="81"/>
            <rFont val="Tahoma"/>
            <family val="2"/>
          </rPr>
          <t xml:space="preserve">
</t>
        </r>
      </text>
    </comment>
    <comment ref="A90" authorId="0" shapeId="0" xr:uid="{00000000-0006-0000-0600-00003E000000}">
      <text>
        <r>
          <rPr>
            <sz val="8"/>
            <color indexed="81"/>
            <rFont val="Tahoma"/>
            <family val="2"/>
          </rPr>
          <t>Different global warming potential values can be inputted here and GREET then takes the new values for calculations automatically.</t>
        </r>
      </text>
    </comment>
  </commentList>
</comments>
</file>

<file path=xl/sharedStrings.xml><?xml version="1.0" encoding="utf-8"?>
<sst xmlns="http://schemas.openxmlformats.org/spreadsheetml/2006/main" count="6361" uniqueCount="3189">
  <si>
    <t>Source:</t>
  </si>
  <si>
    <t>Petroleum-based fuels, biofuels</t>
  </si>
  <si>
    <t>U.S. Energy Information Administration</t>
  </si>
  <si>
    <t>Petroleum &amp; Other Liquids: Supply and Disposition</t>
  </si>
  <si>
    <t>https://www.eia.gov/dnav/pet/pet_sum_snd_d_nus_mbbl_a_cur.htm</t>
  </si>
  <si>
    <t>Area: US, Period: Annual 2017</t>
  </si>
  <si>
    <t>Nuclear Fuel (Uranium)</t>
  </si>
  <si>
    <t>U.S. uranium imports continue as domestic production remains at historical lows</t>
  </si>
  <si>
    <t>https://www.eia.gov/todayinenergy/detail.php?id=37192</t>
  </si>
  <si>
    <t>Paragraph 1</t>
  </si>
  <si>
    <t>Coal Explained: Where Our Coal Comes From</t>
  </si>
  <si>
    <t>https://www.eia.gov/energyexplained/index.php?page=coal_where</t>
  </si>
  <si>
    <t>https://www.eia.gov/energyexplained/index.php?page=coal_imports</t>
  </si>
  <si>
    <t>Biomass Production and Exports</t>
  </si>
  <si>
    <t>Monthly Densified Biomass Fuel Report</t>
  </si>
  <si>
    <t>Tables 4 and 8</t>
  </si>
  <si>
    <t>Biomass Imports and Exports (for Import to Export Ratio)</t>
  </si>
  <si>
    <t>U.S. International Trade Administration</t>
  </si>
  <si>
    <t>2016 Top Markets Report Renewable Fuels Sector Snapshot: Biomass Wood Pellets</t>
  </si>
  <si>
    <t>https://www.trade.gov/topmarkets/pdf/Renewable_Fuels_Biomass_Wood_Pellets.pdf</t>
  </si>
  <si>
    <t>Tables 2 and 3a</t>
  </si>
  <si>
    <t>https://www.eia.gov/outlooks/aeo/tables_ref.php</t>
  </si>
  <si>
    <t>Table 1</t>
  </si>
  <si>
    <t>Notes</t>
  </si>
  <si>
    <t>Hydro, wind, solar, and geothermal are neither fuels nor energy carriers</t>
  </si>
  <si>
    <t>and should always contain zeroes in this variable.</t>
  </si>
  <si>
    <t>Electricity and heat are energy carriers and are not handled in this</t>
  </si>
  <si>
    <t>part of the model.  (Electricity imports/exports are exogenous</t>
  </si>
  <si>
    <t>Hydrogen is an energy carrier, but can theoretically be imported</t>
  </si>
  <si>
    <t>Area: US</t>
  </si>
  <si>
    <t>Period: 2017 (Annual)</t>
  </si>
  <si>
    <t>Unit: Thousand Barrels</t>
  </si>
  <si>
    <t>Supply</t>
  </si>
  <si>
    <t>Disposition</t>
  </si>
  <si>
    <t>Ending Stocks</t>
  </si>
  <si>
    <t>Field Production</t>
  </si>
  <si>
    <t>Renewable Fuels &amp; Oxygenate Plant Net Production</t>
  </si>
  <si>
    <t>Refinery &amp; Blender Net Production</t>
  </si>
  <si>
    <t>Imports</t>
  </si>
  <si>
    <t>Net Receipts</t>
  </si>
  <si>
    <t>Adjust- ments</t>
  </si>
  <si>
    <t>Stock Change</t>
  </si>
  <si>
    <t>Refinery &amp; Blender Net Inputs</t>
  </si>
  <si>
    <t>Exports</t>
  </si>
  <si>
    <t>Products Supplied</t>
  </si>
  <si>
    <t>Crude Oil &amp; Petroleum Products</t>
  </si>
  <si>
    <t>Crude Oil</t>
  </si>
  <si>
    <t>- -</t>
  </si>
  <si>
    <t>Hydrocarbon Gas Liquids</t>
  </si>
  <si>
    <t>Natural Gas Liquids</t>
  </si>
  <si>
    <t>Ethane</t>
  </si>
  <si>
    <t>-</t>
  </si>
  <si>
    <t>Propane</t>
  </si>
  <si>
    <t>Normal Butane</t>
  </si>
  <si>
    <t>Isobutane</t>
  </si>
  <si>
    <t>Natural Gasoline</t>
  </si>
  <si>
    <t>Refinery Olefins</t>
  </si>
  <si>
    <t>Ethylene</t>
  </si>
  <si>
    <t>Propylene</t>
  </si>
  <si>
    <t>Normal Butylene</t>
  </si>
  <si>
    <t>Isobutylene</t>
  </si>
  <si>
    <t>Other Liquids</t>
  </si>
  <si>
    <t>Hydrogen/Oxygenates/Renewables/Other Hydrocarbons</t>
  </si>
  <si>
    <t>Hydrogen</t>
  </si>
  <si>
    <t>Oxygenates (excl. Fuel Ethanol)</t>
  </si>
  <si>
    <t>Renewable Fuels (incl. Fuel Ethanol)</t>
  </si>
  <si>
    <t>Fuel Ethanol</t>
  </si>
  <si>
    <t>Renewable Fuels Except Fuel Ethanol</t>
  </si>
  <si>
    <t>Other Hydrocarbons</t>
  </si>
  <si>
    <t>Unfinished Oils</t>
  </si>
  <si>
    <t>Motor Gasoline Blend. Comp.</t>
  </si>
  <si>
    <t>Reformulated</t>
  </si>
  <si>
    <t>Conventional</t>
  </si>
  <si>
    <t>Aviation Gasoline Blend. Comp.</t>
  </si>
  <si>
    <t>Finished Petroleum Products</t>
  </si>
  <si>
    <t>Finished Motor Gasoline</t>
  </si>
  <si>
    <t>Finished Aviation Gasoline</t>
  </si>
  <si>
    <t>Kerosene-Type Jet Fuel</t>
  </si>
  <si>
    <t>Kerosene</t>
  </si>
  <si>
    <t>Distillate Fuel Oil</t>
  </si>
  <si>
    <t>15 ppm Sulfur and Under</t>
  </si>
  <si>
    <t>Greater than 15 to 500 ppm Sulfur</t>
  </si>
  <si>
    <t>Greater than 500 ppm Sulfur</t>
  </si>
  <si>
    <t>Residual Fuel Oil</t>
  </si>
  <si>
    <t>Less than 0.31% Sulfur</t>
  </si>
  <si>
    <t>NA</t>
  </si>
  <si>
    <t>0.31 to 1.00% Sulfur</t>
  </si>
  <si>
    <t>Greater than 1.00% Sulfur</t>
  </si>
  <si>
    <t>Petrochemical Feedstocks</t>
  </si>
  <si>
    <t>Naphtha for Petro. Feed. Use</t>
  </si>
  <si>
    <t>Other Oils for Petro. Feed. Use</t>
  </si>
  <si>
    <t>Special Naphthas</t>
  </si>
  <si>
    <t>Lubricants</t>
  </si>
  <si>
    <t>Waxes</t>
  </si>
  <si>
    <t>Petroleum Coke</t>
  </si>
  <si>
    <t>Marketable</t>
  </si>
  <si>
    <t>Catalyst</t>
  </si>
  <si>
    <t>Asphalt and Road Oil</t>
  </si>
  <si>
    <t>Still Gas</t>
  </si>
  <si>
    <t>Miscellaneous Products</t>
  </si>
  <si>
    <t>Region</t>
  </si>
  <si>
    <t>Month</t>
  </si>
  <si>
    <t>Wood Pellets Utility</t>
  </si>
  <si>
    <t>U.S. Total</t>
  </si>
  <si>
    <t>Quantity (tons)</t>
  </si>
  <si>
    <t>Average Price (USD per ton)</t>
  </si>
  <si>
    <t>Total wood pellet production</t>
  </si>
  <si>
    <t>tons</t>
  </si>
  <si>
    <t>Total wood pellet exports</t>
  </si>
  <si>
    <t>We don't have biomass import data from EIA, but we do have some from the International Trade Administration (trade.gov).</t>
  </si>
  <si>
    <t>It uses different units and shows much higher wood pellet quantities than the EIA data, and it lacks production data.</t>
  </si>
  <si>
    <t>Accordingly, we only use it to establish a ratio of exports to imports, and apply that ratio to the EIA export data to</t>
  </si>
  <si>
    <t>estimate wood pellet imports (which are small compared to exports).</t>
  </si>
  <si>
    <t>Unit</t>
  </si>
  <si>
    <t>kg</t>
  </si>
  <si>
    <t>Import to Export Ratio</t>
  </si>
  <si>
    <t>Total wood pellet imports</t>
  </si>
  <si>
    <t>Report</t>
  </si>
  <si>
    <t>Scenario</t>
  </si>
  <si>
    <t>Datekey</t>
  </si>
  <si>
    <t>Release Date</t>
  </si>
  <si>
    <t>SUP000</t>
  </si>
  <si>
    <t>1. Total Energy Supply, Disposition, and Price Summary</t>
  </si>
  <si>
    <t>(quadrillion Btu, unless otherwise noted)</t>
  </si>
  <si>
    <t/>
  </si>
  <si>
    <t xml:space="preserve"> Supply, Disposition, and Prices</t>
  </si>
  <si>
    <t>Production</t>
  </si>
  <si>
    <t>SUP000:ba_CrudeOilLease</t>
  </si>
  <si>
    <t xml:space="preserve">   Crude Oil and Lease Condensate</t>
  </si>
  <si>
    <t>SUP000:ba_NaturalGasPla</t>
  </si>
  <si>
    <t xml:space="preserve">   Natural Gas Plant Liquids</t>
  </si>
  <si>
    <t>SUP000:ba_DryNaturalGas</t>
  </si>
  <si>
    <t xml:space="preserve">   Dry Natural Gas</t>
  </si>
  <si>
    <t>SUP000:ba_Coal</t>
  </si>
  <si>
    <t xml:space="preserve">   Coal 1/</t>
  </si>
  <si>
    <t>SUP000:ba_NuclearPower</t>
  </si>
  <si>
    <t xml:space="preserve">   Nuclear / Uranium 2/</t>
  </si>
  <si>
    <t>SUP000:ba_Hydropower</t>
  </si>
  <si>
    <t xml:space="preserve">   Conventional Hydroelectric Power</t>
  </si>
  <si>
    <t>SUP000:ba_Biomass</t>
  </si>
  <si>
    <t xml:space="preserve">   Biomass 3/</t>
  </si>
  <si>
    <t>SUP000:ba_RenewableEner</t>
  </si>
  <si>
    <t xml:space="preserve">   Other Renewable Energy 4/</t>
  </si>
  <si>
    <t>SUP000:ba_Other</t>
  </si>
  <si>
    <t xml:space="preserve">   Other 5/</t>
  </si>
  <si>
    <t>SUP000:ba_Total</t>
  </si>
  <si>
    <t xml:space="preserve">       Total</t>
  </si>
  <si>
    <t>SUP000:ca_CrudeOil</t>
  </si>
  <si>
    <t xml:space="preserve">   Crude Oil</t>
  </si>
  <si>
    <t>SUP000:ca_PetroleumProd</t>
  </si>
  <si>
    <t xml:space="preserve">   Petroleum and Other Liquids 6/</t>
  </si>
  <si>
    <t>SUP000:ca_NaturalGas</t>
  </si>
  <si>
    <t xml:space="preserve">   Natural Gas</t>
  </si>
  <si>
    <t>SUP000:ca_OtherImports</t>
  </si>
  <si>
    <t xml:space="preserve">   Other 7/</t>
  </si>
  <si>
    <t>SUP000:ca_Total</t>
  </si>
  <si>
    <t>SUP000:da_Petroleum</t>
  </si>
  <si>
    <t xml:space="preserve">   Petroleum and Other Liquids 8/</t>
  </si>
  <si>
    <t>SUP000:da_NaturalGas</t>
  </si>
  <si>
    <t>SUP000:da_Coal</t>
  </si>
  <si>
    <t xml:space="preserve">   Coal</t>
  </si>
  <si>
    <t>SUP000:da_Total</t>
  </si>
  <si>
    <t>SUP000:ea_Discrepancy</t>
  </si>
  <si>
    <t>Discrepancy 9/</t>
  </si>
  <si>
    <t>- -</t>
  </si>
  <si>
    <t>Consumption</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</si>
  <si>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</si>
  <si>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</si>
  <si>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</si>
  <si>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</si>
  <si>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</si>
  <si>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</si>
  <si>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</si>
  <si>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</si>
  <si>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</si>
  <si>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</si>
  <si>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</si>
  <si>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</si>
  <si>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</si>
  <si>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 xml:space="preserve">     Total</t>
  </si>
  <si>
    <t>SUP000:ha_WorldOilPrice</t>
  </si>
  <si>
    <t xml:space="preserve">  Brent Spot Price (dollars per barrel)</t>
  </si>
  <si>
    <t>SUP000:ha_ForLowSulfLit</t>
  </si>
  <si>
    <t xml:space="preserve">  West Texas Intermediate Spot Price (dollars per barrel)</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</si>
  <si>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</si>
  <si>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</si>
  <si>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</si>
  <si>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</si>
  <si>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</si>
  <si>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</si>
  <si>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</si>
  <si>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</si>
  <si>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</si>
  <si>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 xml:space="preserve">  Electricity (cents per kilowatthour)</t>
  </si>
  <si>
    <t>Prices (nominal dollars per unit)</t>
  </si>
  <si>
    <t>SUP000:nom_ImportRACost</t>
  </si>
  <si>
    <t>SUP000:nom_ForLowSulfLi</t>
  </si>
  <si>
    <t>SUP000:nom_Gas@HenryHub</t>
  </si>
  <si>
    <t>SUP000:nom_CoalMinemout</t>
  </si>
  <si>
    <t>SUP000:nom_CoalMineBtu</t>
  </si>
  <si>
    <t>SUP000:nom_CoalDeliverd</t>
  </si>
  <si>
    <t>SUP000:nom_Electricity</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</si>
  <si>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</si>
  <si>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</si>
  <si>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</si>
  <si>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</si>
  <si>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synthetic liquids.  Petroleum coke, which is a solid, is included.  Also included are hydrocarbon gas liquids and crude oil consumed as a fuel.</t>
  </si>
  <si>
    <t>Refer to Table 17 for detailed renewable liquid fuels consumption.</t>
  </si>
  <si>
    <t>production of liquid fuels, but excludes the energy content of the liquid fuels.</t>
  </si>
  <si>
    <t>published in EIA data reports where it is weighted by reported sales.</t>
  </si>
  <si>
    <t>Uranium</t>
  </si>
  <si>
    <t>million pounds U3O8</t>
  </si>
  <si>
    <t>million short tons</t>
  </si>
  <si>
    <t>Fuel</t>
  </si>
  <si>
    <t>Domestic Use</t>
  </si>
  <si>
    <t>Domestic use also includes change in domestic inventories, which should average to zero over multi-year timeframes.</t>
  </si>
  <si>
    <t>natural gas</t>
  </si>
  <si>
    <t>quads</t>
  </si>
  <si>
    <t>uranium</t>
  </si>
  <si>
    <t>biomass</t>
  </si>
  <si>
    <t>petroleum gasoline</t>
  </si>
  <si>
    <t>thousand barrels</t>
  </si>
  <si>
    <t>jet fuel or kerosene</t>
  </si>
  <si>
    <t>crude oil</t>
  </si>
  <si>
    <t>LPG propane or butane</t>
  </si>
  <si>
    <t>electricity (not used in this variable)</t>
  </si>
  <si>
    <t>hard coal</t>
  </si>
  <si>
    <t>nuclear</t>
  </si>
  <si>
    <t>hydro (is not a fuel)</t>
  </si>
  <si>
    <t>wind (is not a fuel)</t>
  </si>
  <si>
    <t>solar (is not a fuel)</t>
  </si>
  <si>
    <t>petroleum diesel</t>
  </si>
  <si>
    <t>biofuel gasoline</t>
  </si>
  <si>
    <t>biofuel diesel</t>
  </si>
  <si>
    <t>heat (energy carrier)</t>
  </si>
  <si>
    <t>geothermal (is not a fuel)</t>
  </si>
  <si>
    <t>lignite</t>
  </si>
  <si>
    <t>heavy fuel oil</t>
  </si>
  <si>
    <t>municipal solid waste</t>
  </si>
  <si>
    <t>hydrogen</t>
  </si>
  <si>
    <t>https://www.eia.gov/energyexplained/index.php?page=coal_prices</t>
  </si>
  <si>
    <t>Hard Coal, Lignite</t>
  </si>
  <si>
    <t>Hard Coal</t>
  </si>
  <si>
    <t>of U.S. coal production was lignite in 2017</t>
  </si>
  <si>
    <t>million short tons of coal produced (of all types) in 2017</t>
  </si>
  <si>
    <t>million short tons of coal exported in 2017</t>
  </si>
  <si>
    <t>million short tons of coal imported in 2017</t>
  </si>
  <si>
    <t>Hard Coal and Lignite</t>
  </si>
  <si>
    <t>We assume that all imported and exported coal was hard coal, while all lignite produced was used domestically.</t>
  </si>
  <si>
    <t>Lignite</t>
  </si>
  <si>
    <t>Municipal Solid Waste</t>
  </si>
  <si>
    <t>U.S. Environmental Protection Agency</t>
  </si>
  <si>
    <t>National Overview: Facts and Figures on Materials, Wastes and Recycling</t>
  </si>
  <si>
    <t>https://www.epa.gov/facts-and-figures-about-materials-waste-and-recycling/national-overview-facts-and-figures-materials</t>
  </si>
  <si>
    <t>MSW Tonnage Data for Year 2015</t>
  </si>
  <si>
    <t>U.S. MSW generated (million tons)</t>
  </si>
  <si>
    <t>U.S. MSW burned with energy recovery (million tons)</t>
  </si>
  <si>
    <t>U.S. MSW recycled (million tons)</t>
  </si>
  <si>
    <t>U.S. MSW composted (million tons)</t>
  </si>
  <si>
    <t>U.S. MSW landfilled (million tons)</t>
  </si>
  <si>
    <t>Although the U.S. exports waste to other countries,</t>
  </si>
  <si>
    <t>it is difficult to find statistics for waste exports other than plastic waste.</t>
  </si>
  <si>
    <t>In this model, we are only concerned about MSW that is burned as a</t>
  </si>
  <si>
    <t>fuel.  We will assume that a negligible amount of exported waste</t>
  </si>
  <si>
    <t>is used as a fuel.</t>
  </si>
  <si>
    <t>million metric tons</t>
  </si>
  <si>
    <t>https://www.plasticpollutioncoalition.org/pft/2019/3/6/157000-shipping-containers-of-us-plastic-waste-exported-to-countries-with-poor-waste-management-in-2018</t>
  </si>
  <si>
    <t>(Plastic waste exports to other countries in 2018 were</t>
  </si>
  <si>
    <t>1.07 million metric tons in 2018.)</t>
  </si>
  <si>
    <t>U.S. Department of Energy</t>
  </si>
  <si>
    <t>Fact of the Month May 2018: 10 Million Metric Tons of Hydrogen Produced Annually in the United States</t>
  </si>
  <si>
    <t>https://www.energy.gov/eere/fuelcells/fact-month-may-2018-10-million-metric-tons-hydrogen-produced-annually-united-states</t>
  </si>
  <si>
    <t>produced in 2018</t>
  </si>
  <si>
    <t>We assume none was imported or exported.</t>
  </si>
  <si>
    <t>heat (not used in this variable)</t>
  </si>
  <si>
    <t>(from physical units to million Btu)</t>
  </si>
  <si>
    <t>Petroleum and Other Liquids</t>
  </si>
  <si>
    <t>(million Btu per barrel)</t>
  </si>
  <si>
    <t xml:space="preserve">  Asphalt and Road Oil</t>
  </si>
  <si>
    <t xml:space="preserve">  Aviation Gasoline</t>
  </si>
  <si>
    <t xml:space="preserve">  Biodiesel</t>
  </si>
  <si>
    <t xml:space="preserve">  Distillate Fuel Oil</t>
  </si>
  <si>
    <t xml:space="preserve">    Residential</t>
  </si>
  <si>
    <t xml:space="preserve">    Commercial</t>
  </si>
  <si>
    <t xml:space="preserve">    Transportation</t>
  </si>
  <si>
    <t xml:space="preserve">    Industrial</t>
  </si>
  <si>
    <t xml:space="preserve">    Electric Power</t>
  </si>
  <si>
    <t xml:space="preserve">      Total Distillate</t>
  </si>
  <si>
    <t xml:space="preserve">  Distillate Fuel Oil - Low Sulfur Diesel</t>
  </si>
  <si>
    <t xml:space="preserve">  Distillate Fuel Oil - Ultra Low Sulfur Diesel</t>
  </si>
  <si>
    <t xml:space="preserve">  Ethanol including denaturant</t>
  </si>
  <si>
    <t xml:space="preserve">  Jet Fuel - Kerosene</t>
  </si>
  <si>
    <t xml:space="preserve">  Lubricants</t>
  </si>
  <si>
    <t xml:space="preserve">  Motor Gasoline Average</t>
  </si>
  <si>
    <t xml:space="preserve">     Conventional Motor Gasoline</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</si>
  <si>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</si>
  <si>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</si>
  <si>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</si>
  <si>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</si>
  <si>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</si>
  <si>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</si>
  <si>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</si>
  <si>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</si>
  <si>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</si>
  <si>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</si>
  <si>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</si>
  <si>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</si>
  <si>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</si>
  <si>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</si>
  <si>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</si>
  <si>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</si>
  <si>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</si>
  <si>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</si>
  <si>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</si>
  <si>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</si>
  <si>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</si>
  <si>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</si>
  <si>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</si>
  <si>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</si>
  <si>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</si>
  <si>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</si>
  <si>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</si>
  <si>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</si>
  <si>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</si>
  <si>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</si>
  <si>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</si>
  <si>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</si>
  <si>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</si>
  <si>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</si>
  <si>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</si>
  <si>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</si>
  <si>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</si>
  <si>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</si>
  <si>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</si>
  <si>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</si>
  <si>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</si>
  <si>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</si>
  <si>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</si>
  <si>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</si>
  <si>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</si>
  <si>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</si>
  <si>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</si>
  <si>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</si>
  <si>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 xml:space="preserve">  Compressed/Liquefied Natural Gas</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</si>
  <si>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</si>
  <si>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</si>
  <si>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</si>
  <si>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</si>
  <si>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</si>
  <si>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</si>
  <si>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</si>
  <si>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</si>
  <si>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</si>
  <si>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</si>
  <si>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</si>
  <si>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</si>
  <si>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</si>
  <si>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</si>
  <si>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</si>
  <si>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</si>
  <si>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</si>
  <si>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CNV000:ca_CoaltoLiquids</t>
  </si>
  <si>
    <t xml:space="preserve">  Coal to Liquids</t>
  </si>
  <si>
    <t>CNV000:ca_WasteCoal</t>
  </si>
  <si>
    <t xml:space="preserve">  Waste Coal</t>
  </si>
  <si>
    <t>CNV000:da_Electricity</t>
  </si>
  <si>
    <t>Specifications of Fuels, Global Warming Potentials of Greenhouse Gases, and Carbon and Sulfur Ratios of Pollutants</t>
  </si>
  <si>
    <t>1) Specifications of Fuels</t>
  </si>
  <si>
    <t>Heating Value</t>
  </si>
  <si>
    <t>Density</t>
  </si>
  <si>
    <t>C ratio</t>
  </si>
  <si>
    <t>S ratio</t>
  </si>
  <si>
    <t>Calculation: LHV</t>
  </si>
  <si>
    <t>LHV</t>
  </si>
  <si>
    <t>HHV</t>
  </si>
  <si>
    <t>(% by wt)</t>
  </si>
  <si>
    <t>(ppm by wt)</t>
  </si>
  <si>
    <t>Actual ratio by wt</t>
  </si>
  <si>
    <t>LHV/HHV</t>
  </si>
  <si>
    <t>Use LHV or HHV in calculations?</t>
  </si>
  <si>
    <t>1 -- LHV; 2 -- HHV</t>
  </si>
  <si>
    <t>Liquid Fuels:</t>
  </si>
  <si>
    <t>Btu/gal</t>
  </si>
  <si>
    <t>grams/gal</t>
  </si>
  <si>
    <t>Crude oil</t>
  </si>
  <si>
    <t>Synthetic crude oil (SCO)</t>
  </si>
  <si>
    <t>Bitumen</t>
  </si>
  <si>
    <t>Dilbit (After Recovery)</t>
  </si>
  <si>
    <t>Dilbit (Before Recovery)</t>
  </si>
  <si>
    <t>Diluent</t>
  </si>
  <si>
    <t>Shale Oil (Bakken)</t>
  </si>
  <si>
    <t>Shale Oil (Eagle Ford)</t>
  </si>
  <si>
    <t>Gasoline blendstock</t>
  </si>
  <si>
    <t>Gasoline</t>
  </si>
  <si>
    <t>CA gasoline</t>
  </si>
  <si>
    <t>High Octane Fuel (E25)</t>
  </si>
  <si>
    <t>High Octane Fuel (E40)</t>
  </si>
  <si>
    <t>U.S. conventional diesel</t>
  </si>
  <si>
    <t>Diesel for non-road engines</t>
  </si>
  <si>
    <t>Low-sulfur diesel</t>
  </si>
  <si>
    <t>Petroleum naphtha</t>
  </si>
  <si>
    <t>Conventional Jet Fuel</t>
  </si>
  <si>
    <t>ULS Jet Fuel</t>
  </si>
  <si>
    <t>NG-based FT naphtha</t>
  </si>
  <si>
    <t>Residual oil</t>
  </si>
  <si>
    <t>Bunker fuel for ocean tanker</t>
  </si>
  <si>
    <t>Methanol</t>
  </si>
  <si>
    <t>Ethanol</t>
  </si>
  <si>
    <t>Butanol</t>
  </si>
  <si>
    <t>Acetone</t>
  </si>
  <si>
    <t>E-Diesel Additives</t>
  </si>
  <si>
    <t>Liquefied petroleum gas (LPG)</t>
  </si>
  <si>
    <t>Liquefied natural gas (LNG)</t>
  </si>
  <si>
    <t>Dimethyl ether (DME)</t>
  </si>
  <si>
    <t>Dimethoxy methane (DMM)</t>
  </si>
  <si>
    <t>Methyl ester (biodiesel, BD)</t>
  </si>
  <si>
    <t>Fischer-Tropsch diesel (FTD)</t>
  </si>
  <si>
    <t>Renewable Diesel I (SuperCetane)</t>
  </si>
  <si>
    <t>Renewable Diesel II (UOP-HDO)</t>
  </si>
  <si>
    <t>Renewable Diesel III (PNNL-HTL)</t>
  </si>
  <si>
    <t>Renewable Gasoline</t>
  </si>
  <si>
    <t>Renewable Gasoline (IDL)</t>
  </si>
  <si>
    <t xml:space="preserve">SPK (FT Jet Fuel/HRJ) </t>
  </si>
  <si>
    <t>Liquid hydrogen</t>
  </si>
  <si>
    <t>Methyl tertiary butyl ether (MTBE)</t>
  </si>
  <si>
    <t>Ethyl tertiary butyl ether (ETBE)</t>
  </si>
  <si>
    <t>Tertiary amyl methyl ether (TAME)</t>
  </si>
  <si>
    <t>Butane</t>
  </si>
  <si>
    <t>Natural gas liquids</t>
  </si>
  <si>
    <t>n-Hexane</t>
  </si>
  <si>
    <t>Still gas (in refineries)</t>
  </si>
  <si>
    <t>Gaseous Fuels (at 32F and 1atm):</t>
  </si>
  <si>
    <t>Btu/ft3</t>
  </si>
  <si>
    <t>gms/ft3</t>
  </si>
  <si>
    <t>Natural gas</t>
  </si>
  <si>
    <t>Pure Methane</t>
  </si>
  <si>
    <t>Gaseous hydrogen</t>
  </si>
  <si>
    <t>Carbon Dioxide</t>
  </si>
  <si>
    <t>Solid Fuels:</t>
  </si>
  <si>
    <t>Btu/ton</t>
  </si>
  <si>
    <t>Coal Mix for Electricity Generation</t>
  </si>
  <si>
    <t>Bituminous coal</t>
  </si>
  <si>
    <t>Subbituminous coal</t>
  </si>
  <si>
    <t>Lignite coal</t>
  </si>
  <si>
    <t>Synthetic coal</t>
  </si>
  <si>
    <t>Waste coal</t>
  </si>
  <si>
    <t>Pet Coke</t>
  </si>
  <si>
    <t>Tire Derived Fuel</t>
  </si>
  <si>
    <t>Coking coal</t>
  </si>
  <si>
    <t>Willow</t>
  </si>
  <si>
    <t>Poplar</t>
  </si>
  <si>
    <t>Switchgrass</t>
  </si>
  <si>
    <t>Miscanthus</t>
  </si>
  <si>
    <t>Corn stover</t>
  </si>
  <si>
    <t>Forest residue</t>
  </si>
  <si>
    <t>Yard trimming waste</t>
  </si>
  <si>
    <t>Sugarcane straw</t>
  </si>
  <si>
    <t>Sugarcane bagasse</t>
  </si>
  <si>
    <t>Bio-char</t>
  </si>
  <si>
    <t>Grain sorghum bagasse</t>
  </si>
  <si>
    <t>Sweet sorghum bagasse</t>
  </si>
  <si>
    <t>Forage sorghum bagasse</t>
  </si>
  <si>
    <t>Municipal solid waste (defined by EISA)</t>
  </si>
  <si>
    <t>Convertible municipal solid waste</t>
  </si>
  <si>
    <t>2) Global Warming Potentials of Greenhouse Gases: relative to CO2</t>
  </si>
  <si>
    <t>Metrics for Carbon Dioxide, Methane, Nitrous Oxide</t>
  </si>
  <si>
    <t>AR Edition/Type</t>
  </si>
  <si>
    <t>AR5/GWP</t>
  </si>
  <si>
    <t>AR5/GTP</t>
  </si>
  <si>
    <t>AR4/GWP</t>
  </si>
  <si>
    <t>AR3/GWP</t>
  </si>
  <si>
    <t>AR2/GWP</t>
  </si>
  <si>
    <t>AR1/GWP</t>
  </si>
  <si>
    <t>Time Horizon (YR)</t>
  </si>
  <si>
    <t>CO2</t>
  </si>
  <si>
    <t>CH4</t>
  </si>
  <si>
    <t>N2O</t>
  </si>
  <si>
    <t>Metrics for Near Term Climate Forcers</t>
  </si>
  <si>
    <t>Type</t>
  </si>
  <si>
    <t>None</t>
  </si>
  <si>
    <t>GWP</t>
  </si>
  <si>
    <t>GTP</t>
  </si>
  <si>
    <t>VOC</t>
  </si>
  <si>
    <t>CO</t>
  </si>
  <si>
    <t>NOx</t>
  </si>
  <si>
    <t>BC</t>
  </si>
  <si>
    <t>OC</t>
  </si>
  <si>
    <t>3) Carbon and Sulfur Ratios of Pollutants</t>
  </si>
  <si>
    <t>Carbon ratio of VOC</t>
  </si>
  <si>
    <t>Carbon ratio of CO</t>
  </si>
  <si>
    <t>Carbon ratio of CH4</t>
  </si>
  <si>
    <t>Carbon ratio of CO2</t>
  </si>
  <si>
    <t>Sulfur ratio of SO2</t>
  </si>
  <si>
    <t>4) Regulated Sulfur Content in Gasoline Blendstock and Conventional Diesel over Time</t>
  </si>
  <si>
    <t>5-year period</t>
  </si>
  <si>
    <t>Sulfur Content in Gasoline Blendstock (ppm)</t>
  </si>
  <si>
    <t>Relative Change (to yr 2010)</t>
  </si>
  <si>
    <t>Sulfur Content in Conventional Diesel (ppm)</t>
  </si>
  <si>
    <t>Sulfur Content in California Diesel (ppm)</t>
  </si>
  <si>
    <t>Sulfur Content in non-Road Diesel (ppm)</t>
  </si>
  <si>
    <t>Sulfur Content in Residual Oil (ppm)</t>
  </si>
  <si>
    <t>Sulfur Content in Marine Disttillate (ppm)</t>
  </si>
  <si>
    <t>5) Unit Conversion</t>
  </si>
  <si>
    <t>Mass</t>
  </si>
  <si>
    <t>1 g</t>
  </si>
  <si>
    <t>1 kg</t>
  </si>
  <si>
    <t>1 metric tonne</t>
  </si>
  <si>
    <t>1 lb</t>
  </si>
  <si>
    <t>1 short ton</t>
  </si>
  <si>
    <t>g</t>
  </si>
  <si>
    <t>metric tonne</t>
  </si>
  <si>
    <t>lb</t>
  </si>
  <si>
    <t>short ton</t>
  </si>
  <si>
    <t>Volume</t>
  </si>
  <si>
    <t>1 m3</t>
  </si>
  <si>
    <t>1 ml</t>
  </si>
  <si>
    <t>1 L</t>
  </si>
  <si>
    <t>1 gal</t>
  </si>
  <si>
    <t>1 ft3</t>
  </si>
  <si>
    <t>m3</t>
  </si>
  <si>
    <t>ml</t>
  </si>
  <si>
    <t>L</t>
  </si>
  <si>
    <t>gal</t>
  </si>
  <si>
    <t>ft3</t>
  </si>
  <si>
    <t>Energy</t>
  </si>
  <si>
    <t>1 J</t>
  </si>
  <si>
    <t>1kJ</t>
  </si>
  <si>
    <t>1 MJ</t>
  </si>
  <si>
    <t>1Wh</t>
  </si>
  <si>
    <t>1 kWh</t>
  </si>
  <si>
    <t>1 BTU</t>
  </si>
  <si>
    <t>1 mmBTU</t>
  </si>
  <si>
    <t>1 hph</t>
  </si>
  <si>
    <t>J</t>
  </si>
  <si>
    <t>kJ</t>
  </si>
  <si>
    <t>MJ</t>
  </si>
  <si>
    <t>Wh</t>
  </si>
  <si>
    <t>kWh</t>
  </si>
  <si>
    <t>BTU</t>
  </si>
  <si>
    <t>mmBTU</t>
  </si>
  <si>
    <t>hph</t>
  </si>
  <si>
    <t>Converted to BTU</t>
  </si>
  <si>
    <t>Energy Information Administration</t>
  </si>
  <si>
    <t>http://www.eia.gov/forecasts/aeo/supplement/excel/suptab_73.xlsx</t>
  </si>
  <si>
    <t>Argonne National Laboratory</t>
  </si>
  <si>
    <t>https://greet.es.anl.gov/</t>
  </si>
  <si>
    <t>Tab "Fuel_Specs"</t>
  </si>
  <si>
    <t>Unit Conversions for hard coal, natural gas, petroleum fuels, liquid biofuels</t>
  </si>
  <si>
    <t>Unit Conversions for Lignite, Biomass, LPG, municipal solid waste, hydrogen</t>
  </si>
  <si>
    <t>Unit Conversion for Uranium (U3O8)</t>
  </si>
  <si>
    <t>TradeTech</t>
  </si>
  <si>
    <t>https://www.uranium.info/unit_conversion_table.php</t>
  </si>
  <si>
    <t>Uranium Primer - Price &amp; Unit Conversion Calculator &amp; Table</t>
  </si>
  <si>
    <t>short tons</t>
  </si>
  <si>
    <t>BTU per</t>
  </si>
  <si>
    <t>Conversion Factors</t>
  </si>
  <si>
    <t>quad</t>
  </si>
  <si>
    <t>The consolidated data in this variable (production, imports, exports, and domestic use of each fuel)</t>
  </si>
  <si>
    <t>is used in the variable fuels/CiFIaEpUDFS.  Therefore, even though this variable only outputs</t>
  </si>
  <si>
    <t>production and exports, you should also collect data on fuel imports.  (Domestic use data</t>
  </si>
  <si>
    <t>can be calculated from production, imports, and exports.  We ignore changes in fuel stocks,</t>
  </si>
  <si>
    <t>which should average to zero over multi-year timeframes.)</t>
  </si>
  <si>
    <t>Collect Export, Import, and Production Data for Each Fuel</t>
  </si>
  <si>
    <t>Time Series</t>
  </si>
  <si>
    <t>Included Fuels</t>
  </si>
  <si>
    <t>and handled in the power sector.  District heat imports/exports are assumed to be negligible.)</t>
  </si>
  <si>
    <t>or exported in bulk, so is included here.</t>
  </si>
  <si>
    <t>Units</t>
  </si>
  <si>
    <t>In this variable, units are standardized to BTU, the internal working energy unit of the model.</t>
  </si>
  <si>
    <t>Variable fuels/CiFIaEpUDFS is not sensitive to the units used, as long as the same unit is used</t>
  </si>
  <si>
    <t>for all quantities associated with the same fuel (imports, exports, production, use).</t>
  </si>
  <si>
    <t>However, only data from the first year are used in variable fuels/CiFIaEpUDFS.</t>
  </si>
  <si>
    <t>Production Scaling Factors</t>
  </si>
  <si>
    <t>Exports Scaling Factors</t>
  </si>
  <si>
    <t>In the future, fuels/CiFIaEpUDFS may be replaced with internal Vensim calculations,</t>
  </si>
  <si>
    <t>making those values sensitive to changes over time.</t>
  </si>
  <si>
    <t>Natural Gas, Time Series Scaling Factors</t>
  </si>
  <si>
    <t>This variable contains time series data.</t>
  </si>
  <si>
    <t>BFPIaE BAU Fuel Production</t>
  </si>
  <si>
    <t>BFPIaE BAU Fuel Imports</t>
  </si>
  <si>
    <t>BFPIaE BAU Fuel Exports</t>
  </si>
  <si>
    <t>Imports Scaling Factors</t>
  </si>
  <si>
    <t>Fuel (BTU)</t>
  </si>
  <si>
    <t>GREET1 2019</t>
  </si>
  <si>
    <t>CA diesel</t>
  </si>
  <si>
    <t>Low Octane Gasoline-Like Fuel (LOF)</t>
  </si>
  <si>
    <t>Renewable Gasoline (Ex Situ CFP)</t>
  </si>
  <si>
    <t>Catalyst Coke</t>
  </si>
  <si>
    <t>Clean Pine</t>
  </si>
  <si>
    <t>Asphalt</t>
  </si>
  <si>
    <t>Length</t>
  </si>
  <si>
    <t>mm</t>
  </si>
  <si>
    <t>m</t>
  </si>
  <si>
    <t>km</t>
  </si>
  <si>
    <t>ft</t>
  </si>
  <si>
    <t>mi</t>
  </si>
  <si>
    <t>Annual Energy Outlook 2021</t>
  </si>
  <si>
    <t>Compound</t>
  </si>
  <si>
    <t xml:space="preserve"> Growth </t>
  </si>
  <si>
    <t xml:space="preserve">2020-2050 </t>
  </si>
  <si>
    <t>(percent)</t>
  </si>
  <si>
    <t>- - = Not applicable.</t>
  </si>
  <si>
    <t>Approximate Heat Rates and Heat Content</t>
  </si>
  <si>
    <t>(Btu per kilowatthour)</t>
  </si>
  <si>
    <t xml:space="preserve">  Electricity Heat Content</t>
  </si>
  <si>
    <t>CNV000:fossil_hr_us</t>
  </si>
  <si>
    <t xml:space="preserve">  Fossil Fuel Heat Rate</t>
  </si>
  <si>
    <t>2019-</t>
  </si>
  <si>
    <t>Wood Pellets, premium/standard</t>
  </si>
  <si>
    <t>Table 4. Production of densified biomass fuel, 2020 (tons)</t>
  </si>
  <si>
    <t>https://www.eia.gov/biofuels/biomass/?year=2020&amp;month=12#table_data</t>
  </si>
  <si>
    <t>Table 8. Export sales and average price of densified biomass fuel, 2020</t>
  </si>
  <si>
    <t>National Energy Modeling System run ref2022.d011222a.  Projections:  EIA, AEO2022 National Energy Modeling System run ref2022.d011222a.</t>
  </si>
  <si>
    <t>Sources:  2021:  U.S. Energy Information Administration (EIA), Short-Term Energy Outlook, November 2021 and EIA, AEO2022</t>
  </si>
  <si>
    <t>Note:  Totals may not equal sum of components due to independent rounding.</t>
  </si>
  <si>
    <t>MmBtu = Million Btu.</t>
  </si>
  <si>
    <t>Btu = British thermal unit.</t>
  </si>
  <si>
    <t>15/ Prices weighted by consumption; weighted average excludes export free-alongside-ship (f.a.s.) prices.</t>
  </si>
  <si>
    <t>14/ Includes reported prices for both open market and captive mines.  Prices weighted by production, which differs from average minemouth prices</t>
  </si>
  <si>
    <t>13/ Includes non-biogenic municipal waste, hydrogen, and net electricity imports.</t>
  </si>
  <si>
    <t>12/ Includes grid-connected electricity from wood and wood waste, nonelectric energy from wood, and biofuels heat and coproducts used in the</t>
  </si>
  <si>
    <t>11/ Excludes coal converted to coal-based synthetic liquids and natural gas.</t>
  </si>
  <si>
    <t>10/ Estimated consumption.  Includes petroleum-derived fuels and non-petroleum-derived fuels, such as ethanol and biodiesel, and coal-based</t>
  </si>
  <si>
    <t>9/ Balancing item.  Includes unaccounted for supply, losses, gains, and net storage withdrawals.</t>
  </si>
  <si>
    <t>8/ Includes crude oil, petroleum products, ethanol, and biodiesel.</t>
  </si>
  <si>
    <t>7/ Includes coal, coal coke (net), and electricity (net).  Excludes imports of fuel used in nuclear power plants.</t>
  </si>
  <si>
    <t>6/ Includes imports of finished petroleum products, unfinished oils, alcohols, ethers, blending components, and renewable fuels such as ethanol.</t>
  </si>
  <si>
    <t>5/ Includes non-biogenic municipal waste, hydrogen, methanol, and some domestic inputs to refineries.</t>
  </si>
  <si>
    <t>nonelectric energy from renewable sources, such as active and passive solar systems.  Excludes electricity imports using renewable sources</t>
  </si>
  <si>
    <t>4/ Includes grid-connected electricity from landfill gas; biogenic municipal waste; wind; photovoltaic and solar thermal sources; and</t>
  </si>
  <si>
    <t>3/ Includes grid-connected electricity from wood and wood waste; biomass, such as corn, used for liquid fuels production; and nonelectric</t>
  </si>
  <si>
    <t>2/ These values represent the energy obtained from uranium when it is used in light water reactors.  The total energy content of uranium</t>
  </si>
  <si>
    <t>1/ Includes waste coal.</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</si>
  <si>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</si>
  <si>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</si>
  <si>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</si>
  <si>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</si>
  <si>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</si>
  <si>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</si>
  <si>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</si>
  <si>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</si>
  <si>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</si>
  <si>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</si>
  <si>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</si>
  <si>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</si>
  <si>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</si>
  <si>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2020, 2022</t>
  </si>
  <si>
    <t>Annual Energy Outlook 2020, Annual Energy Outlook 2022</t>
  </si>
  <si>
    <t>AEO2021 Table 71</t>
  </si>
  <si>
    <t>due to independent rounding.</t>
  </si>
  <si>
    <t>Note:  Oil and Gas Supply Model regions are defined in Assumptions to the Annual Energy Outlook.  Totals may not equal sum of components</t>
  </si>
  <si>
    <t>2/ Represents lower 48 onshore and offshore supplies.</t>
  </si>
  <si>
    <t>1/ Includes lease condensate.</t>
  </si>
  <si>
    <t xml:space="preserve">    Total</t>
  </si>
  <si>
    <t xml:space="preserve">  Other</t>
  </si>
  <si>
    <t xml:space="preserve">  Utica</t>
  </si>
  <si>
    <t xml:space="preserve">  Wolfcamp</t>
  </si>
  <si>
    <t xml:space="preserve">  Monterey</t>
  </si>
  <si>
    <t xml:space="preserve">  Avalon/Bone Springs</t>
  </si>
  <si>
    <t xml:space="preserve">  Niobrara</t>
  </si>
  <si>
    <t xml:space="preserve">  Spraberry</t>
  </si>
  <si>
    <t xml:space="preserve">  Austin Chalk</t>
  </si>
  <si>
    <t xml:space="preserve">  Woodford</t>
  </si>
  <si>
    <t xml:space="preserve">  Eagle Ford</t>
  </si>
  <si>
    <t xml:space="preserve">  Bakken</t>
  </si>
  <si>
    <t>Tight Oil Plays</t>
  </si>
  <si>
    <t xml:space="preserve">   Atlantic</t>
  </si>
  <si>
    <t>COP000:ha_Atlantic</t>
  </si>
  <si>
    <t xml:space="preserve">   Pacific</t>
  </si>
  <si>
    <t>COP000:ha_Pacific</t>
  </si>
  <si>
    <t xml:space="preserve">   Gulf</t>
  </si>
  <si>
    <t>COP000:ha_Gulf</t>
  </si>
  <si>
    <t xml:space="preserve"> Lower 48 Offshore</t>
  </si>
  <si>
    <t xml:space="preserve">   West Coast</t>
  </si>
  <si>
    <t>COP000:ga_WestCoast</t>
  </si>
  <si>
    <t xml:space="preserve">   Northern Great Plains</t>
  </si>
  <si>
    <t>COP000:ga_NoGreatPlains</t>
  </si>
  <si>
    <t xml:space="preserve">   Rocky Mountain</t>
  </si>
  <si>
    <t>COP000:ga_RockyMountain</t>
  </si>
  <si>
    <t xml:space="preserve">   Southwest</t>
  </si>
  <si>
    <t>COP000:ga_Southwest</t>
  </si>
  <si>
    <t xml:space="preserve">   Midcontinent</t>
  </si>
  <si>
    <t>COP000:ga_Midcontinent</t>
  </si>
  <si>
    <t xml:space="preserve">   Gulf Coast</t>
  </si>
  <si>
    <t>COP000:ga_GulfCoast</t>
  </si>
  <si>
    <t xml:space="preserve">   East</t>
  </si>
  <si>
    <t>COP000:ga_Northeast</t>
  </si>
  <si>
    <t xml:space="preserve"> Lower 48 Onshore</t>
  </si>
  <si>
    <t xml:space="preserve"> Lower 48 Average 2/</t>
  </si>
  <si>
    <t>COP000:fa_Lower48Averag</t>
  </si>
  <si>
    <t>Wellhead Prices (2021 dollars per barrel)</t>
  </si>
  <si>
    <t xml:space="preserve">     Federal</t>
  </si>
  <si>
    <t>COP000:da_Atlanticfed</t>
  </si>
  <si>
    <t xml:space="preserve">     State</t>
  </si>
  <si>
    <t>COP000:da_Atlanticstate</t>
  </si>
  <si>
    <t>COP000:da_Atlantic</t>
  </si>
  <si>
    <t>COP000:da_Pacificfed</t>
  </si>
  <si>
    <t>COP000:da_Pacificstate</t>
  </si>
  <si>
    <t>COP000:da_Pacific</t>
  </si>
  <si>
    <t xml:space="preserve">     Deep (Federal)</t>
  </si>
  <si>
    <t>COP000:da_Deep</t>
  </si>
  <si>
    <t xml:space="preserve">     Shallow (Federal), less than 200 meters</t>
  </si>
  <si>
    <t>COP000:da_shallowfed</t>
  </si>
  <si>
    <t xml:space="preserve">     Shallow (State), less than 200 meters</t>
  </si>
  <si>
    <t>COP000:da_Shallow</t>
  </si>
  <si>
    <t>COP000:da_Gulf</t>
  </si>
  <si>
    <t>COP000:da_Low48Offshore</t>
  </si>
  <si>
    <t>COP000:ca_WestCoast</t>
  </si>
  <si>
    <t>COP000:ca_NoGreatPlains</t>
  </si>
  <si>
    <t>COP000:ca_RockyMountain</t>
  </si>
  <si>
    <t>COP000:ca_Southwest</t>
  </si>
  <si>
    <t>COP000:ca_Midcontinent</t>
  </si>
  <si>
    <t>COP000:ca_GulfCoast</t>
  </si>
  <si>
    <t>COP000:ca_Northeast</t>
  </si>
  <si>
    <t>COP000:ca_Low48Onshore</t>
  </si>
  <si>
    <t xml:space="preserve"> Lower 48 Total</t>
  </si>
  <si>
    <t>COP000:ba_Lower48Total</t>
  </si>
  <si>
    <t>(million barrels per day)</t>
  </si>
  <si>
    <t>Production 1/</t>
  </si>
  <si>
    <t xml:space="preserve"> Region</t>
  </si>
  <si>
    <t>58. Lower 48 Crude Oil Production and Wellhead Prices by Supply Region</t>
  </si>
  <si>
    <t>COP000</t>
  </si>
  <si>
    <t>National Energy Modeling System run ref2022.d011222a. Projections:  EIA, AEO2022 National Energy Modeling System run ref2022.d011222a.</t>
  </si>
  <si>
    <t>components due to independent rounding.</t>
  </si>
  <si>
    <t>Note:  Oil and Gas Supply Model regions are defined in Assumptions to the Annual Energy Outlook.  Totals may not equal sum of</t>
  </si>
  <si>
    <t>1/ Marketed production (wet) minus extraction losses.</t>
  </si>
  <si>
    <t xml:space="preserve">  Marcellus</t>
  </si>
  <si>
    <t xml:space="preserve">  Antrim</t>
  </si>
  <si>
    <t xml:space="preserve">  Fayetteville</t>
  </si>
  <si>
    <t xml:space="preserve">  Haynesville/Bossier</t>
  </si>
  <si>
    <t xml:space="preserve">  Barnett</t>
  </si>
  <si>
    <t>Shale Gas Plays</t>
  </si>
  <si>
    <t xml:space="preserve">      Atlantic</t>
  </si>
  <si>
    <t>L48000:ha_Atlantic</t>
  </si>
  <si>
    <t xml:space="preserve">      Pacific</t>
  </si>
  <si>
    <t>L48000:ha_Pacific</t>
  </si>
  <si>
    <t xml:space="preserve">      Gulf</t>
  </si>
  <si>
    <t>L48000:ha_Gulf</t>
  </si>
  <si>
    <t xml:space="preserve">    Lower 48 Offshore Price</t>
  </si>
  <si>
    <t xml:space="preserve">      West Coast</t>
  </si>
  <si>
    <t>L48000:ga_WestCoast</t>
  </si>
  <si>
    <t xml:space="preserve">      Northern Great Plains</t>
  </si>
  <si>
    <t>L48000:ga_NoGreatPlains</t>
  </si>
  <si>
    <t xml:space="preserve">      Rocky Mountain</t>
  </si>
  <si>
    <t>L48000:ga_RockyMountain</t>
  </si>
  <si>
    <t xml:space="preserve">      Southwest</t>
  </si>
  <si>
    <t>L48000:ga_Southwest</t>
  </si>
  <si>
    <t xml:space="preserve">      Midcontinent</t>
  </si>
  <si>
    <t>L48000:ga_Midcontinent</t>
  </si>
  <si>
    <t xml:space="preserve">      Gulf Coast</t>
  </si>
  <si>
    <t>L48000:ga_GulfCoast</t>
  </si>
  <si>
    <t xml:space="preserve">      East</t>
  </si>
  <si>
    <t>L48000:ga_Northeast</t>
  </si>
  <si>
    <t xml:space="preserve">    Lower 48 Onshore Price</t>
  </si>
  <si>
    <t xml:space="preserve">    Lower 48 Average Price</t>
  </si>
  <si>
    <t>L48000:fa_Lower48Averag</t>
  </si>
  <si>
    <t xml:space="preserve">  (2021 dollars per thousand cubic feet)</t>
  </si>
  <si>
    <t>L48000:fa_Lower48AveBtu</t>
  </si>
  <si>
    <t xml:space="preserve">    Henry Hub Spot Price</t>
  </si>
  <si>
    <t>L48000:fa_HenryHub</t>
  </si>
  <si>
    <t xml:space="preserve">  (2021 dollars per million Btu)</t>
  </si>
  <si>
    <t>Supply Prices</t>
  </si>
  <si>
    <t>L48000:da_Atlanticfed</t>
  </si>
  <si>
    <t>L48000:da_Atlanticstate</t>
  </si>
  <si>
    <t>L48000:da_Atlantic</t>
  </si>
  <si>
    <t>L48000:da_Pacificfed</t>
  </si>
  <si>
    <t>L48000:da_Pacificstate</t>
  </si>
  <si>
    <t>L48000:da_Pacific</t>
  </si>
  <si>
    <t>L48000:da_Deep</t>
  </si>
  <si>
    <t>L48000:da_shallowfed</t>
  </si>
  <si>
    <t>L48000:da_Shallow</t>
  </si>
  <si>
    <t>L48000:da_Gulf</t>
  </si>
  <si>
    <t>L48000:da_Low48Offshore</t>
  </si>
  <si>
    <t>L48000:ca_WestCoast</t>
  </si>
  <si>
    <t>L48000:ca_NoGreatPlains</t>
  </si>
  <si>
    <t>L48000:ca_RockyMountain</t>
  </si>
  <si>
    <t>L48000:ca_Southwest</t>
  </si>
  <si>
    <t>L48000:ca_Midcontinent</t>
  </si>
  <si>
    <t>L48000:ca_GulfCoast</t>
  </si>
  <si>
    <t>L48000:ca_Northeast</t>
  </si>
  <si>
    <t>L48000:ca_Low48Onshore</t>
  </si>
  <si>
    <t>L48000:ba_Lower48Total</t>
  </si>
  <si>
    <t>Dry Production (trillion cubic feet) 1/</t>
  </si>
  <si>
    <t>59. Lower 48 Natural Gas Production and Supply Prices by Supply Region</t>
  </si>
  <si>
    <t>L48000</t>
  </si>
  <si>
    <t>60. Lower 48 Natural Gas Production and Supply Prices by Supply Region</t>
  </si>
  <si>
    <t>59. Lower 48 Crude Oil Production and Wellhead Prices by Supply Region</t>
  </si>
  <si>
    <t>AEO 2020 REF CASE</t>
  </si>
  <si>
    <t>AEO 2022</t>
  </si>
  <si>
    <t>Nat gas</t>
  </si>
  <si>
    <t>CRUDE OIL</t>
  </si>
  <si>
    <t>GROWTH RATES</t>
  </si>
  <si>
    <t>NG</t>
  </si>
  <si>
    <t>AEO 2021 REF CASE</t>
  </si>
  <si>
    <t>SCALING</t>
  </si>
  <si>
    <t>Calcs</t>
  </si>
  <si>
    <t>68. Conversion Factors</t>
  </si>
  <si>
    <t>Table 58.  Lower 48 Crude Oil Production and Wellhead Prices by Supply Region</t>
  </si>
  <si>
    <t>Source: U.S. Energy Information Administration</t>
  </si>
  <si>
    <t>full name</t>
  </si>
  <si>
    <t>api key</t>
  </si>
  <si>
    <t>units</t>
  </si>
  <si>
    <t>Lower 48 Total</t>
  </si>
  <si>
    <t>MMb/d</t>
  </si>
  <si>
    <t>Lower 48 Onshore</t>
  </si>
  <si>
    <t>East</t>
  </si>
  <si>
    <t>Gulf Coast</t>
  </si>
  <si>
    <t>Midcontinent</t>
  </si>
  <si>
    <t>Southwest</t>
  </si>
  <si>
    <t>Rocky Mountain</t>
  </si>
  <si>
    <t>Northern Great Plains</t>
  </si>
  <si>
    <t>West Coast</t>
  </si>
  <si>
    <t>Lower 48 Offshore</t>
  </si>
  <si>
    <t>Gulf</t>
  </si>
  <si>
    <t>Shallow (State)</t>
  </si>
  <si>
    <t xml:space="preserve"> less than 200 meters</t>
  </si>
  <si>
    <t>Shallow (Federal)</t>
  </si>
  <si>
    <t>Deep (Federal)</t>
  </si>
  <si>
    <t>Pacific</t>
  </si>
  <si>
    <t>State</t>
  </si>
  <si>
    <t>Federal</t>
  </si>
  <si>
    <t>Atlantic</t>
  </si>
  <si>
    <t>Lower 48 Average</t>
  </si>
  <si>
    <t>Table 59.  Lower 48 Natural Gas Production and Supply Prices by Supply Region</t>
  </si>
  <si>
    <t>Dry Production (trillion cubic feet)</t>
  </si>
  <si>
    <t>Tcf</t>
  </si>
  <si>
    <t>Henry Hub Spot Price</t>
  </si>
  <si>
    <t>Lower 48 Average Price</t>
  </si>
  <si>
    <t>Lower 48 Onshore Price</t>
  </si>
  <si>
    <t>Lower 48 Offshore Price</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</si>
  <si>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</si>
  <si>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</si>
  <si>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</si>
  <si>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</si>
  <si>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</si>
  <si>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</si>
  <si>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</si>
  <si>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</si>
  <si>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</si>
  <si>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energy demand from wood. Refer to Table 17 for details on biomass use by sector.</t>
  </si>
  <si>
    <t>7/ Includes coal, coal coke (net), and electricity (net). Excludes imports of fuel used in nuclear power plants.</t>
  </si>
  <si>
    <t>12/ Includes grid-connected electricity from wood and wood waste, non-electric energy from wood, and biofuels heat and coproducts used in the</t>
  </si>
  <si>
    <t>Data source: 2022:  U.S. Energy Information Administration (EIA), Short-Term Energy Outlook, November 2022 and EIA, AEO2023</t>
  </si>
  <si>
    <t>National Energy Modeling System run ref2023.d020623a.  Projections:  EIA, AEO2023 National Energy Modeling System run ref2023.d020623a.</t>
  </si>
  <si>
    <t xml:space="preserve">  E85 1/</t>
  </si>
  <si>
    <t>1/ E85 refers to a blend of 85 percent ethanol (renewable) and 15 percent motor gasoline (nonrenewable).  To address cold starting issues,</t>
  </si>
  <si>
    <t>the percentage of ethanol varies seasonally.  The annual average ethanol content of 74% is used for these projections.</t>
  </si>
  <si>
    <t>2/ Includes all electricity-only and combined-heat-and-power plants that have a regulatory status.</t>
  </si>
  <si>
    <t>3/ Includes combined-heat-and-power plants that have a non-regulatory status and small on-site generating systems.</t>
  </si>
  <si>
    <t>Btu = British Thermal Unit.</t>
  </si>
  <si>
    <t>Data source: 2022:  U.S. Energy Information Administration (EIA), Short-Term Energy Outlook, November 2022 and EIA,</t>
  </si>
  <si>
    <t>AEO2023 National Energy Modeling System run ref2023.d020623a. Projections:  EIA, AEO2023 National Energy Modeling System run ref2023.d020623a.</t>
  </si>
  <si>
    <t>PPC001</t>
  </si>
  <si>
    <t>PPC001:ba_End-UserPrice</t>
  </si>
  <si>
    <t>PPC001:ba_FederalTaxes</t>
  </si>
  <si>
    <t>PPC001:ba_StateTaxes</t>
  </si>
  <si>
    <t>PPC001:Diesel_Tax_Allow</t>
  </si>
  <si>
    <t>PPC001:ba_DistributionC</t>
  </si>
  <si>
    <t>PPC001:ba_WholesalePric</t>
  </si>
  <si>
    <t>PPC001:ca_End-UserPrice</t>
  </si>
  <si>
    <t>PPC001:ca_FederalTaxes</t>
  </si>
  <si>
    <t>PPC001:ca_StateTaxes</t>
  </si>
  <si>
    <t>PPC001:MoGas_Tax_Allow</t>
  </si>
  <si>
    <t>PPC001:ca_DistributionC</t>
  </si>
  <si>
    <t>PPC001:ca_WholesalePric</t>
  </si>
  <si>
    <t>PPC001:da_End-UserPrice</t>
  </si>
  <si>
    <t>PPC001:da_FederalTaxes</t>
  </si>
  <si>
    <t>PPC001:da_StateTaxes</t>
  </si>
  <si>
    <t>Growth (2022-2050)</t>
  </si>
  <si>
    <t>Wellhead Prices (2022 dollars per barrel)</t>
  </si>
  <si>
    <t>2022 $/b</t>
  </si>
  <si>
    <t>(2022 dollars per million Btu)</t>
  </si>
  <si>
    <t>2022 $/MMBtu</t>
  </si>
  <si>
    <t>(2022 dollars per thousand cubic feet)</t>
  </si>
  <si>
    <t>2022 $/Mcf</t>
  </si>
  <si>
    <t>AEO 2022 REF CASE</t>
  </si>
  <si>
    <t>https://www.eia.gov/outlooks/aeo/data/browser/#/?id=71-AEO2023&amp;cases=ref2023&amp;sourcekey=0</t>
  </si>
  <si>
    <t>Thu Apr 13 2023 09:30:41 GMT-0400 (Eastern Daylight Time)</t>
  </si>
  <si>
    <t>Crude Oil: Production: Lower 48 Total: Reference case</t>
  </si>
  <si>
    <t>AEO.2023.REF2023.PRD_NA_NA_NA_CR_NA_L48_MILLBRLPDY.A</t>
  </si>
  <si>
    <t>Crude Oil: Production: Lower 48 Onshore: Reference case</t>
  </si>
  <si>
    <t>AEO.2023.REF2023.PRD_NA_ONS_NA_CR_NA_L48_MILLBRLPDY.A</t>
  </si>
  <si>
    <t>Crude Oil: Production: Lower 48 Onshore: East: Reference case</t>
  </si>
  <si>
    <t>AEO.2023.REF2023.PRD_NA_ONS_NA_CR_NA_EST_MILLBRLPDY.A</t>
  </si>
  <si>
    <t>Crude Oil: Production: Lower 48 Onshore: Gulf Coast: Reference case</t>
  </si>
  <si>
    <t>AEO.2023.REF2023.PRD_NA_ONS_NA_CR_NA_GLFCT_MILLBRLPDY.A</t>
  </si>
  <si>
    <t>Crude Oil: Production: Lower 48 Onshore: Midcontinent: Reference case</t>
  </si>
  <si>
    <t>AEO.2023.REF2023.PRD_NA_ONS_NA_CR_NA_MDCN_MILLBRLPDY.A</t>
  </si>
  <si>
    <t>Crude Oil: Production: Lower 48 Onshore: Southwest: Reference case</t>
  </si>
  <si>
    <t>AEO.2023.REF2023.PRD_NA_ONS_NA_CR_NA_SW_MILLBRLPDY.A</t>
  </si>
  <si>
    <t>Crude Oil: Production: Lower 48 Onshore: Rocky Mountain: Reference case</t>
  </si>
  <si>
    <t>AEO.2023.REF2023.PRD_NA_ONS_NA_CR_NA_RKYMTN_MILLBRLPDY.A</t>
  </si>
  <si>
    <t>Crude Oil: Production: Lower 48 Onshore: Northern Great Plains: Reference case</t>
  </si>
  <si>
    <t>AEO.2023.REF2023.PRD_NA_ONS_NA_CR_NA_NOGP_MILLBRLPDY.A</t>
  </si>
  <si>
    <t>Crude Oil: Production: Lower 48 Onshore: West Coast: Reference case</t>
  </si>
  <si>
    <t>AEO.2023.REF2023.PRD_NA_ONS_NA_CR_NA_WETCOT_MILLBRLPDY.A</t>
  </si>
  <si>
    <t>Crude Oil: Production: Lower 48 Offshore: Reference case</t>
  </si>
  <si>
    <t>AEO.2023.REF2023.PRD_NA_OFS_NA_CR_NA_L48_MILLBRLPDY.A</t>
  </si>
  <si>
    <t>Crude Oil: Production: Lower 48 Offshore: Gulf of Mexico: Reference case</t>
  </si>
  <si>
    <t>AEO.2023.REF2023.PRD_NA_OFS_NA_CR_NA_GOM_MILLBRLPDY.A</t>
  </si>
  <si>
    <t>Crude Oil: Production: Lower 48 Offshore: Gulf of Mexico: Shallow (State): Reference case</t>
  </si>
  <si>
    <t>AEO.2023.REF2023.PRD_NA_OFS_SHOF_CR_ST_GOM_MILLBRLPDY.A</t>
  </si>
  <si>
    <t>Crude Oil: Production: Lower 48 Offshore: Gulf of Mexico: Shallow (Federal): Reference case</t>
  </si>
  <si>
    <t>AEO.2023.REF2023.PRD_NA_OFS_SHOF_CR_FED_GOM_MILLBRLPDY.A</t>
  </si>
  <si>
    <t>Crude Oil: Production: Lower 48 Offshore: Gulf of Mexico: Deep: Reference case</t>
  </si>
  <si>
    <t>AEO.2023.REF2023.PRD_NA_OFS_DPO_CR_FED_GOM_MILLBRLPDY.A</t>
  </si>
  <si>
    <t>Crude Oil: Production: Lower 48 Offshore: Pacific: Reference case</t>
  </si>
  <si>
    <t>AEO.2023.REF2023.PRD_NA_OFS_NA_CR_NA_PCF_MILLBRLPDY.A</t>
  </si>
  <si>
    <t>Crude Oil: Production: Lower 48 Offshore: Pacific: State: Reference case</t>
  </si>
  <si>
    <t>AEO.2023.REF2023.PRD_NA_OFS_NA_CR_ST_PCF_MILLBRLPDY.A</t>
  </si>
  <si>
    <t>Crude Oil: Production: Lower 48 Offshore: Pacific: Federal: Reference case</t>
  </si>
  <si>
    <t>AEO.2023.REF2023.PRD_NA_OFS_NA_CR_FED_PCF_MILLBRLPDY.A</t>
  </si>
  <si>
    <t>Crude Oil: Production: Lower 48 Offshore: Atlantic: Reference case</t>
  </si>
  <si>
    <t>AEO.2023.REF2023.PRD_NA_OFS_NA_CR_NA_ATLN_MILLBRLPDY.A</t>
  </si>
  <si>
    <t>Crude Oil: Production: Lower 48 Offshore: Atlantic: State: Reference case</t>
  </si>
  <si>
    <t>AEO.2023.REF2023.PRD_NA_OFS_NA_CR_ST_ATLN_MILLBRLPDY.A</t>
  </si>
  <si>
    <t>Crude Oil: Production: Lower 48 Offshore: Atlantic: Federal: Reference case</t>
  </si>
  <si>
    <t>AEO.2023.REF2023.PRD_NA_OFS_NA_CR_FED_ATLN_MILLBRLPDY.A</t>
  </si>
  <si>
    <t>Crude Oil: Wellhead Prices: Lower 48 Average: Reference case</t>
  </si>
  <si>
    <t>AEO.2023.REF2023.PRCE_NA_NA_NA_CR_WLHD_L48_Y13DLRPBBL.A</t>
  </si>
  <si>
    <t>Crude Oil: Wellhead Prices: Lower 48 Onshore: East: Reference case</t>
  </si>
  <si>
    <t>AEO.2023.REF2023.PRCE_NA_ONS_NA_CR_WLHD_EST_Y13DLRPBBL.A</t>
  </si>
  <si>
    <t>Crude Oil: Wellhead Prices: Lower 48 Onshore: Gulf Coast: Reference case</t>
  </si>
  <si>
    <t>AEO.2023.REF2023.PRCE_NA_ONS_NA_CR_WLHD_GLFCT_Y13DLRPBBL.A</t>
  </si>
  <si>
    <t>Crude Oil: Wellhead Prices: Lower 48 Onshore: Midcontinent: Reference case</t>
  </si>
  <si>
    <t>AEO.2023.REF2023.PRCE_NA_ONS_NA_CR_WLHD_MDCN_Y13DLRPBBL.A</t>
  </si>
  <si>
    <t>Crude Oil: Wellhead Prices: Lower 48 Onshore: Southwest: Reference case</t>
  </si>
  <si>
    <t>AEO.2023.REF2023.PRCE_NA_ONS_NA_CR_WLHD_SW_Y13DLRPBBL.A</t>
  </si>
  <si>
    <t>Crude Oil: Wellhead Prices: Lower 48 Onshore: Rocky Mountain: Reference case</t>
  </si>
  <si>
    <t>AEO.2023.REF2023.PRCE_NA_ONS_NA_CR_WLHD_RKYMTN_Y13DLRPBBL.A</t>
  </si>
  <si>
    <t>Crude Oil: Wellhead Prices: Lower 48 Onshore: Northern Great Plains: Reference case</t>
  </si>
  <si>
    <t>AEO.2023.REF2023.PRCE_NA_ONS_NA_CR_WLHD_NOGP_Y13DLRPBBL.A</t>
  </si>
  <si>
    <t>Crude Oil: Wellhead Prices: Lower 48 Onshore: West Coast: Reference case</t>
  </si>
  <si>
    <t>AEO.2023.REF2023.PRCE_NA_ONS_NA_CR_WLHD_WETCOT_Y13DLRPBBL.A</t>
  </si>
  <si>
    <t>Crude Oil: Wellhead Prices: Lower 48 Offshore: Gulf: Reference case</t>
  </si>
  <si>
    <t>AEO.2023.REF2023.PRCE_NA_OFS_NA_CR_WLHD_GOM_Y13DLRPBBL.A</t>
  </si>
  <si>
    <t>Crude Oil: Wellhead Prices: Lower 48 Offshore: Pacific: Reference case</t>
  </si>
  <si>
    <t>AEO.2023.REF2023.PRCE_NA_OFS_NA_CR_WLHD_PCF_Y13DLRPBBL.A</t>
  </si>
  <si>
    <t>Crude Oil: Wellhead Prices: Lower 48 Offshore: Atlantic: Reference case</t>
  </si>
  <si>
    <t>AEO.2023.REF2023.PRCE_NA_OFS_NA_CR_WLHD_ATLN_Y13DLRPBBL.A</t>
  </si>
  <si>
    <t>https://www.eia.gov/outlooks/aeo/data/browser/#/?id=72-AEO2023&amp;cases=ref2023&amp;sourcekey=0</t>
  </si>
  <si>
    <t>Thu Apr 13 2023 09:35:30 GMT-0400 (Eastern Daylight Time)</t>
  </si>
  <si>
    <t>Natural Gas: Dry Production: Lower 48 Total: Reference case</t>
  </si>
  <si>
    <t>AEO.2023.REF2023.PRD_NA_NA_NA_NG_NA_L48_TRLCF.A</t>
  </si>
  <si>
    <t>Natural Gas: Dry Production: Lower 48 Onshore: Reference case</t>
  </si>
  <si>
    <t>AEO.2023.REF2023.PRD_NA_ONS_NA_NG_NA_L48_TRLCF.A</t>
  </si>
  <si>
    <t>Natural Gas: Dry Production: Lower 48 Onshore: East: Reference case</t>
  </si>
  <si>
    <t>AEO.2023.REF2023.PRD_NA_ONS_NA_NG_NA_EST_TRLCF.A</t>
  </si>
  <si>
    <t>Natural Gas: Dry Production: Lower 48 Onshore: Gulf Coast: Reference case</t>
  </si>
  <si>
    <t>AEO.2023.REF2023.PRD_NA_ONS_NA_NG_NA_GLFCT_TRLCF.A</t>
  </si>
  <si>
    <t>Natural Gas: Dry Production: Lower 48 Onshore: Midcontinent: Reference case</t>
  </si>
  <si>
    <t>AEO.2023.REF2023.PRD_NA_ONS_NA_NG_NA_MDCN_TRLCF.A</t>
  </si>
  <si>
    <t>Natural Gas: Dry Production: Lower 48 Onshore: Southwest: Reference case</t>
  </si>
  <si>
    <t>AEO.2023.REF2023.PRD_NA_ONS_NA_NG_NA_SW_TRLCF.A</t>
  </si>
  <si>
    <t>Natural Gas: Dry Production: Lower 48 Onshore: Rocky Mountain: Reference case</t>
  </si>
  <si>
    <t>AEO.2023.REF2023.PRD_NA_ONS_NA_NG_NA_RKYMTN_TRLCF.A</t>
  </si>
  <si>
    <t>Natural Gas: Dry Production: Lower 48 Onshore: Northern Great Plains: Reference case</t>
  </si>
  <si>
    <t>AEO.2023.REF2023.PRD_NA_ONS_NA_NG_NA_NOGP_TRLCF.A</t>
  </si>
  <si>
    <t>Natural Gas: Dry Production: Lower 48 Onshore: West Coast: Reference case</t>
  </si>
  <si>
    <t>AEO.2023.REF2023.PRD_NA_ONS_NA_NG_NA_WETCOT_TRLCF.A</t>
  </si>
  <si>
    <t>Natural Gas: Dry Production: Lower 48 Offshore: Reference case</t>
  </si>
  <si>
    <t>AEO.2023.REF2023.PRD_NA_OFS_NA_NG_NA_L48_TRLCF.A</t>
  </si>
  <si>
    <t>Natural Gas: Dry Production: Lower 48 Offshore: Gulf of Mexico: Reference case</t>
  </si>
  <si>
    <t>AEO.2023.REF2023.PRD_NA_OFS_NA_NG_NA_GOM_TRLCF.A</t>
  </si>
  <si>
    <t>Natural Gas: Dry Production: Lower 48 Offshore: Gulf: Shallow (State): Reference case</t>
  </si>
  <si>
    <t>AEO.2023.REF2023.PRD_NA_OFS_SHOF_NG_ST_GOM_TRLCF.A</t>
  </si>
  <si>
    <t>Natural Gas: Dry Production: Lower 48 Offshore: Gulf: Shallow (Federal): Reference case</t>
  </si>
  <si>
    <t>AEO.2023.REF2023.PRD_NA_OFS_SHOF_NG_FED_GOM_TRLCF.A</t>
  </si>
  <si>
    <t>Natural Gas: Dry Production: Lower 48 Offshore: Gulf: Deep: Reference case</t>
  </si>
  <si>
    <t>AEO.2023.REF2023.PRD_NA_OFS_DPO_NG_FED_GOM_TRLCF.A</t>
  </si>
  <si>
    <t>Natural Gas: Dry Production: Lower 48 Offshore: Pacific: Reference case</t>
  </si>
  <si>
    <t>AEO.2023.REF2023.PRD_NA_OFS_NA_NG_NA_PCF_TRLCF.A</t>
  </si>
  <si>
    <t>Natural Gas: Dry Production: Lower 48 Offshore: Pacific: State: Reference case</t>
  </si>
  <si>
    <t>AEO.2023.REF2023.PRD_NA_OFS_NA_NG_ST_PCF_TRLCF.A</t>
  </si>
  <si>
    <t>Natural Gas: Dry Production: Lower 48 Offshore: Pacific: Federal: Reference case</t>
  </si>
  <si>
    <t>AEO.2023.REF2023.PRD_NA_OFS_NA_NG_FED_PCF_TRLCF.A</t>
  </si>
  <si>
    <t>Natural Gas: Dry Production: Lower 48 Offshore: Atlantic: Reference case</t>
  </si>
  <si>
    <t>AEO.2023.REF2023.PRD_NA_OFS_NA_NG_NA_ATLN_TRLCF.A</t>
  </si>
  <si>
    <t>Natural Gas: Dry Production: Lower 48 Offshore: Atlantic: State: Reference case</t>
  </si>
  <si>
    <t>AEO.2023.REF2023.PRD_NA_OFS_NA_NG_ST_ATLN_TRLCF.A</t>
  </si>
  <si>
    <t>Natural Gas: Dry Production: Lower 48 Offshore: Atlantic: Federal: Reference case</t>
  </si>
  <si>
    <t>AEO.2023.REF2023.PRD_NA_OFS_NA_NG_FED_ATLN_TRLCF.A</t>
  </si>
  <si>
    <t>Natural Gas: Supply Prices: Henry Hub Spot: Reference case</t>
  </si>
  <si>
    <t>AEO.2023.REF2023.PRCE_SUP_NA_NA_NG_NA_HHUB_Y13DLRPMMBTU.A</t>
  </si>
  <si>
    <t>Natural Gas: Supply Prices: Lower 48 Average: Reference case</t>
  </si>
  <si>
    <t>AEO.2023.REF2023.PRCE_SUP_NA_NA_NG_NA_L48_Y13DLRPMMBTU.A</t>
  </si>
  <si>
    <t>AEO.2023.REF2023.PRCE_SUP_NA_NA_NG_NA_L48_Y13DLRPMCF.A</t>
  </si>
  <si>
    <t>Natural Gas: Supply Prices: Lower 48 Onshore: East: Reference case</t>
  </si>
  <si>
    <t>AEO.2023.REF2023.PRCE_SUP_NA_NA_NG_NA_EST_Y13DLRPMCF.A</t>
  </si>
  <si>
    <t>Natural Gas: Supply Prices: Lower 48 Onshore: Gulf Coast: Reference case</t>
  </si>
  <si>
    <t>AEO.2023.REF2023.PRCE_SUP_NA_NA_NG_NA_GLFCT_Y13DLRPMCF.A</t>
  </si>
  <si>
    <t>Natural Gas: Supply Prices: Lower 48 Onshore: Midcontinent: Reference case</t>
  </si>
  <si>
    <t>AEO.2023.REF2023.PRCE_SUP_NA_NA_NG_NA_MDCN_Y13DLRPMCF.A</t>
  </si>
  <si>
    <t>Natural Gas: Supply Prices: Lower 48 Onshore: Southwest: Reference case</t>
  </si>
  <si>
    <t>AEO.2023.REF2023.PRCE_SUP_NA_NA_NG_NA_SW_Y13DLRPMCF.A</t>
  </si>
  <si>
    <t>Natural Gas: Supply Prices: Lower 48 Onshore: Rocky Mountain: Reference case</t>
  </si>
  <si>
    <t>AEO.2023.REF2023.PRCE_SUP_NA_NA_NG_NA_RKYMTN_Y13DLRPMCF.A</t>
  </si>
  <si>
    <t>Natural Gas: Supply Prices: Lower 48 Onshore: Northern Great Plains: Reference case</t>
  </si>
  <si>
    <t>AEO.2023.REF2023.PRCE_SUP_NA_NA_NG_NA_NOGP_Y13DLRPMCF.A</t>
  </si>
  <si>
    <t>Natural Gas: Supply Prices: Lower 48 Onshore: West Coast: Reference case</t>
  </si>
  <si>
    <t>AEO.2023.REF2023.PRCE_SUP_NA_NA_NG_NA_WETCOT_Y13DLRPMCF.A</t>
  </si>
  <si>
    <t>Natural Gas: Supply Prices: Lower 48 Offshore: Gulf: Reference case</t>
  </si>
  <si>
    <t>AEO.2023.REF2023.#NAME?.A</t>
  </si>
  <si>
    <t>Natural Gas: Supply Prices: Lower 48 Offshore: Pacific: Reference case</t>
  </si>
  <si>
    <t>Natural Gas: Supply Prices: Lower 48 Offshore: Atlantic: Reference case</t>
  </si>
  <si>
    <t>ref2021.d113020a</t>
  </si>
  <si>
    <t>ref2021</t>
  </si>
  <si>
    <t>Reference case</t>
  </si>
  <si>
    <t>d113020a</t>
  </si>
  <si>
    <t xml:space="preserve"> January 2021</t>
  </si>
  <si>
    <t>2. Energy Consumption by Sector and Source</t>
  </si>
  <si>
    <t>3. Energy Prices by Sector and Source</t>
  </si>
  <si>
    <t>4. Residential Sector Key Indicators and Consumption</t>
  </si>
  <si>
    <t>5. Commercial Sector Key Indicators and Consumption</t>
  </si>
  <si>
    <t>6. Industrial Sector Key Indicators and Consumption</t>
  </si>
  <si>
    <t>7. Transportation Sector Key Indicators and Delivered Energy Consumption</t>
  </si>
  <si>
    <t>8. Electricity Supply, Disposition, Prices, and Emissions</t>
  </si>
  <si>
    <t>9. Electricity Generating Capacity</t>
  </si>
  <si>
    <t>10. Electricity Trade</t>
  </si>
  <si>
    <t>11. Petroleum and Other Liquids Supply and Disposition</t>
  </si>
  <si>
    <t>12. Petroleum and Other Liquids Prices</t>
  </si>
  <si>
    <t>13. Natural Gas Supply, Disposition, and Prices</t>
  </si>
  <si>
    <t>14. Oil and Gas Supply</t>
  </si>
  <si>
    <t>15. Coal Supply, Disposition, and Prices</t>
  </si>
  <si>
    <t>16. Renewable Energy Generating Capacity and Generation</t>
  </si>
  <si>
    <t>17. Renewable Energy Consumption by Sector and Source</t>
  </si>
  <si>
    <t>18. Energy-Related Carbon Dioxide Emissions by Sector and Source</t>
  </si>
  <si>
    <t>19. Energy-Related Carbon Dioxide Emissions by End Use</t>
  </si>
  <si>
    <t>20. Macroeconomic Indicators</t>
  </si>
  <si>
    <t>Prices (2020 dollars per unit)</t>
  </si>
  <si>
    <t>Sources:  2020:  U.S. Energy Information Administration (EIA), Short-Term Energy Outlook, October 2020 and EIA, AEO2021</t>
  </si>
  <si>
    <t>National Energy Modeling System run ref2021.d113020a.  Projections:  EIA, AEO2021 National Energy Modeling System run ref2021.d113020a.</t>
  </si>
  <si>
    <t>QUA000</t>
  </si>
  <si>
    <t xml:space="preserve"> Sector and Source</t>
  </si>
  <si>
    <t xml:space="preserve"> Residential</t>
  </si>
  <si>
    <t>QUA000:ca_LiquefiedPetr</t>
  </si>
  <si>
    <t xml:space="preserve">   Propane</t>
  </si>
  <si>
    <t>QUA000:ca_DistillateFue</t>
  </si>
  <si>
    <t xml:space="preserve">   Distillate Fuel Oil 1/</t>
  </si>
  <si>
    <t>QUA000:ca_PetroleumSubt</t>
  </si>
  <si>
    <t xml:space="preserve">     Petroleum and Other Liquids Subtotal</t>
  </si>
  <si>
    <t>QUA000:ca_NaturalGas</t>
  </si>
  <si>
    <t>QUA000:ca_RenewableEner</t>
  </si>
  <si>
    <t xml:space="preserve">   Renewable Energy 2/</t>
  </si>
  <si>
    <t>QUA000:ca_Electricity</t>
  </si>
  <si>
    <t xml:space="preserve">   Purchased Electricity</t>
  </si>
  <si>
    <t>QUA000:ca_DeliveredEner</t>
  </si>
  <si>
    <t xml:space="preserve">     Delivered Energy</t>
  </si>
  <si>
    <t>QUA000:ca_ElectricityRe</t>
  </si>
  <si>
    <t xml:space="preserve">   Electricity Related Losses</t>
  </si>
  <si>
    <t>QUA000:ca_Total</t>
  </si>
  <si>
    <t xml:space="preserve"> Commercial</t>
  </si>
  <si>
    <t>QUA000:da_LiquefiedPetr</t>
  </si>
  <si>
    <t>QUA000:da_MotorGasoline</t>
  </si>
  <si>
    <t xml:space="preserve">   Motor Gasoline 3/</t>
  </si>
  <si>
    <t>QUA000:da_Kerosene</t>
  </si>
  <si>
    <t xml:space="preserve">   Kerosene</t>
  </si>
  <si>
    <t>QUA000:da_DistillateFue</t>
  </si>
  <si>
    <t xml:space="preserve">   Distillate Fuel Oil</t>
  </si>
  <si>
    <t>QUA000:da_ResidualFuel</t>
  </si>
  <si>
    <t xml:space="preserve">   Residual Fuel Oil</t>
  </si>
  <si>
    <t>QUA000:da_PetroleumSubt</t>
  </si>
  <si>
    <t>QUA000:da_NaturalGas</t>
  </si>
  <si>
    <t>QUA000:da_Coal</t>
  </si>
  <si>
    <t>QUA000:da_RenewableEner</t>
  </si>
  <si>
    <t xml:space="preserve">   Renewable Energy 4/</t>
  </si>
  <si>
    <t>QUA000:da_Electricity</t>
  </si>
  <si>
    <t>QUA000:da_DeliveredEner</t>
  </si>
  <si>
    <t>QUA000:da_ElectricityRe</t>
  </si>
  <si>
    <t>QUA000:da_Total</t>
  </si>
  <si>
    <t xml:space="preserve"> Industrial 5/</t>
  </si>
  <si>
    <t>QUA000:ea_LiquefiedPetr</t>
  </si>
  <si>
    <t xml:space="preserve">   Liquefied Petroleum Gases and Other 6/</t>
  </si>
  <si>
    <t>QUA000:ea_MotorGasoline</t>
  </si>
  <si>
    <t>QUA000:ea_DistillateFue</t>
  </si>
  <si>
    <t>QUA000:ea_ResidualFuel</t>
  </si>
  <si>
    <t>QUA000:ea_Petrochemical</t>
  </si>
  <si>
    <t xml:space="preserve">   Petrochemical Feedstocks</t>
  </si>
  <si>
    <t>QUA000:ea_OtherPetroleu</t>
  </si>
  <si>
    <t xml:space="preserve">   Other Petroleum 7/</t>
  </si>
  <si>
    <t>QUA000:ea_PetroleumSubt</t>
  </si>
  <si>
    <t>QUA000:ea_NaturalGas</t>
  </si>
  <si>
    <t>QUA000:ea_NGastoLiquids</t>
  </si>
  <si>
    <t xml:space="preserve">   Natural-Gas-to-Liquids Heat and Power</t>
  </si>
  <si>
    <t>QUA000:ea_LeaseandPlant</t>
  </si>
  <si>
    <t xml:space="preserve">   Lease and Plant Fuel 8/</t>
  </si>
  <si>
    <t>QUA000:ea_liquefactexp</t>
  </si>
  <si>
    <t xml:space="preserve">   Natural Gas to Liquefy Gas for Export 9/</t>
  </si>
  <si>
    <t>QUA000:ea_NaturalGasSub</t>
  </si>
  <si>
    <t xml:space="preserve">     Natural Gas Subtotal</t>
  </si>
  <si>
    <t>QUA000:ea_Metallurgical</t>
  </si>
  <si>
    <t xml:space="preserve">   Metallurgical Coal</t>
  </si>
  <si>
    <t>QUA000:ea_SteamCoal</t>
  </si>
  <si>
    <t xml:space="preserve">   Other Industrial Coal</t>
  </si>
  <si>
    <t>QUA000:ea_CoaltoLiquids</t>
  </si>
  <si>
    <t xml:space="preserve">   Coal-to-Liquids Heat and Power</t>
  </si>
  <si>
    <t>QUA000:ea_NetCoalCokeIm</t>
  </si>
  <si>
    <t xml:space="preserve">   Net Coal Coke Imports</t>
  </si>
  <si>
    <t>QUA000:ea_CoalSubtotal</t>
  </si>
  <si>
    <t xml:space="preserve">     Coal Subtotal</t>
  </si>
  <si>
    <t>QUA000:ea_BiofuelsHeat</t>
  </si>
  <si>
    <t xml:space="preserve">   Biofuels Heat and Coproducts</t>
  </si>
  <si>
    <t>QUA000:ea_RenewableEner</t>
  </si>
  <si>
    <t xml:space="preserve">   Renewable Energy 10/</t>
  </si>
  <si>
    <t>QUA000:ea_Electricity</t>
  </si>
  <si>
    <t>QUA000:ea_DeliveredEner</t>
  </si>
  <si>
    <t>QUA000:ea_ElectricityRe</t>
  </si>
  <si>
    <t>QUA000:ea_Total</t>
  </si>
  <si>
    <t xml:space="preserve"> Transportation</t>
  </si>
  <si>
    <t>QUA000:fa_LiquefiedPetr</t>
  </si>
  <si>
    <t>QUA000:fa_MotorGasoline</t>
  </si>
  <si>
    <t>QUA000:fa_RenewableEner</t>
  </si>
  <si>
    <t xml:space="preserve">      of which:  E85 11/</t>
  </si>
  <si>
    <t>QUA000:fa_JetFuel</t>
  </si>
  <si>
    <t xml:space="preserve">   Jet Fuel 12/</t>
  </si>
  <si>
    <t>QUA000:fa_DistillateFue</t>
  </si>
  <si>
    <t xml:space="preserve">   Distillate Fuel Oil 13/</t>
  </si>
  <si>
    <t>QUA000:fa_ResidualFuel</t>
  </si>
  <si>
    <t>QUA000:fa_OtherPetroleu</t>
  </si>
  <si>
    <t xml:space="preserve">   Other Petroleum 14/</t>
  </si>
  <si>
    <t>QUA000:fa_PetroleumSubt</t>
  </si>
  <si>
    <t>QUA000:fa_PipelineFuelN</t>
  </si>
  <si>
    <t xml:space="preserve">   Pipeline and Distribution Fuel Natural Gas</t>
  </si>
  <si>
    <t>QUA000:fa_CompressedNat</t>
  </si>
  <si>
    <t xml:space="preserve">   Compressed / Liquefied Natural Gas</t>
  </si>
  <si>
    <t>QUA000:fa_LiquidHydroge</t>
  </si>
  <si>
    <t xml:space="preserve">   Hydrogen</t>
  </si>
  <si>
    <t>QUA000:fa_Electricity</t>
  </si>
  <si>
    <t>QUA000:fa_DeliveredEner</t>
  </si>
  <si>
    <t>QUA000:fa_ElectricityRe</t>
  </si>
  <si>
    <t>QUA000:fa_Total</t>
  </si>
  <si>
    <t xml:space="preserve"> Unspecified Sector 15/</t>
  </si>
  <si>
    <t>QUA000:un_Total</t>
  </si>
  <si>
    <t xml:space="preserve"> Delivered Energy Consumption, All Sectors</t>
  </si>
  <si>
    <t>QUA000:ga_LiquefiedPetr</t>
  </si>
  <si>
    <t>QUA000:ga_MotorGasoline</t>
  </si>
  <si>
    <t>QUA000:ga_E85</t>
  </si>
  <si>
    <t>QUA000:ga_JetFuel</t>
  </si>
  <si>
    <t>QUA000:ga_Kerosene</t>
  </si>
  <si>
    <t xml:space="preserve">   Kerosene 16/</t>
  </si>
  <si>
    <t>QUA000:ga_DistillateFue</t>
  </si>
  <si>
    <t>QUA000:ga_ResidualFuel</t>
  </si>
  <si>
    <t>QUA000:ga_Petrochemical</t>
  </si>
  <si>
    <t>QUA000:ga_OtherPetroleu</t>
  </si>
  <si>
    <t xml:space="preserve">   Other Petroleum 17/</t>
  </si>
  <si>
    <t>QUA000:ga_PetroleumSubt</t>
  </si>
  <si>
    <t>QUA000:ga_NaturalGas</t>
  </si>
  <si>
    <t>QUA000:ga_NGastoLiquids</t>
  </si>
  <si>
    <t>QUA000:ga_LeaseandPlant</t>
  </si>
  <si>
    <t>QUA000:qa_liquefactexp</t>
  </si>
  <si>
    <t>QUA000:ga_PipelineNatur</t>
  </si>
  <si>
    <t>QUA000:ga_NaturalGasSub</t>
  </si>
  <si>
    <t>QUA000:ga_Metallurgical</t>
  </si>
  <si>
    <t>QUA000:ga_SteamCoal</t>
  </si>
  <si>
    <t xml:space="preserve">   Other Coal</t>
  </si>
  <si>
    <t>QUA000:ga_CoaltoLiquids</t>
  </si>
  <si>
    <t>QUA000:ga_NetCoalCokeIm</t>
  </si>
  <si>
    <t>QUA000:ga_CoalSubtotal</t>
  </si>
  <si>
    <t>QUA000:ga_BiofuelsHeat</t>
  </si>
  <si>
    <t>QUA000:ga_RenewableEner</t>
  </si>
  <si>
    <t xml:space="preserve">   Renewable Energy 18/</t>
  </si>
  <si>
    <t>QUA000:ga_LiquidHydroge</t>
  </si>
  <si>
    <t>QUA000:ga_Electricity</t>
  </si>
  <si>
    <t>QUA000:ga_DeliveredEner</t>
  </si>
  <si>
    <t>QUA000:ga_ElectricityRe</t>
  </si>
  <si>
    <t>QUA000:ga_Total</t>
  </si>
  <si>
    <t xml:space="preserve"> Electric Power 19/</t>
  </si>
  <si>
    <t>QUA000:ha_DistillateFue</t>
  </si>
  <si>
    <t>QUA000:ha_ResidualFuel</t>
  </si>
  <si>
    <t>QUA000:ha_PetroleumSubt</t>
  </si>
  <si>
    <t>QUA000:ha_NaturalGas</t>
  </si>
  <si>
    <t>QUA000:ha_SteamCoal</t>
  </si>
  <si>
    <t xml:space="preserve">   Steam Coal</t>
  </si>
  <si>
    <t>QUA000:ha_NuclearPower</t>
  </si>
  <si>
    <t xml:space="preserve">   Nuclear / Uranium 20/</t>
  </si>
  <si>
    <t>QUA000:ha_RenewableEner</t>
  </si>
  <si>
    <t xml:space="preserve">   Renewable Energy 21/</t>
  </si>
  <si>
    <t>QUA000:ha_non-bio_mun</t>
  </si>
  <si>
    <t xml:space="preserve">   Non-biogenic Municipal Waste</t>
  </si>
  <si>
    <t>QUA000:ha_ElectricityIm</t>
  </si>
  <si>
    <t xml:space="preserve">   Electricity Imports</t>
  </si>
  <si>
    <t>QUA000:ha_Total</t>
  </si>
  <si>
    <t xml:space="preserve"> Total Energy Consumption</t>
  </si>
  <si>
    <t>QUA000:ia_LiquefiedPetr</t>
  </si>
  <si>
    <t>QUA000:ia_MotorGasoline</t>
  </si>
  <si>
    <t>QUA000:ia_E85</t>
  </si>
  <si>
    <t>QUA000:ia_JetFuel</t>
  </si>
  <si>
    <t>QUA000:ia_Kerosene</t>
  </si>
  <si>
    <t>QUA000:ia_DistillateFue</t>
  </si>
  <si>
    <t>QUA000:ia_ResidualFuel</t>
  </si>
  <si>
    <t>QUA000:ia_Petrochemical</t>
  </si>
  <si>
    <t>QUA000:ia_OtherPetroleu</t>
  </si>
  <si>
    <t>QUA000:ia_PetroleumSubt</t>
  </si>
  <si>
    <t>QUA000:ia_NaturalGas</t>
  </si>
  <si>
    <t>QUA000:ia_NGastoLiquids</t>
  </si>
  <si>
    <t>QUA000:ia_LeaseandPlant</t>
  </si>
  <si>
    <t>QUA000:ia_liquefactexp</t>
  </si>
  <si>
    <t>QUA000:ia_PipelineNatur</t>
  </si>
  <si>
    <t>QUA000:ia_NaturalGasSub</t>
  </si>
  <si>
    <t>QUA000:ia_Metallurgical</t>
  </si>
  <si>
    <t>QUA000:ia_SteamCoal</t>
  </si>
  <si>
    <t>QUA000:ia_CoaltoLiquids</t>
  </si>
  <si>
    <t>QUA000:ia_NetCoalCokeIm</t>
  </si>
  <si>
    <t>QUA000:ia_CoalSubtotal</t>
  </si>
  <si>
    <t>QUA000:ia_NuclearPower</t>
  </si>
  <si>
    <t>QUA000:ia_BiofuelsHeat</t>
  </si>
  <si>
    <t>QUA000:ia_RenewableEner</t>
  </si>
  <si>
    <t xml:space="preserve">   Renewable Energy 22/</t>
  </si>
  <si>
    <t>QUA000:ia_LiquidHydroge</t>
  </si>
  <si>
    <t>QUA000:ia_non-bio_mun</t>
  </si>
  <si>
    <t>QUA000:ia_ElectricityIm</t>
  </si>
  <si>
    <t>QUA000:ia_Total</t>
  </si>
  <si>
    <t>Energy Use &amp; Related Statistics</t>
  </si>
  <si>
    <t>QUA000:ka_DeliveredEner</t>
  </si>
  <si>
    <t xml:space="preserve">  Delivered Energy Use</t>
  </si>
  <si>
    <t>QUA000:ka_TotalEnergyUs</t>
  </si>
  <si>
    <t xml:space="preserve">  Total Energy Use</t>
  </si>
  <si>
    <t>QUA000:ka_TotalEthanol</t>
  </si>
  <si>
    <t xml:space="preserve">  Ethanol Consumed in Motor Gasoline and E85</t>
  </si>
  <si>
    <t>QUA000:ka_Population(mi</t>
  </si>
  <si>
    <t xml:space="preserve">  Population (millions)</t>
  </si>
  <si>
    <t>QUA000:ka_USGDP(billion</t>
  </si>
  <si>
    <t xml:space="preserve">  Gross Domestic Product (billion 2012 dollars)</t>
  </si>
  <si>
    <t xml:space="preserve">  Carbon Dioxide Emissions (million metric</t>
  </si>
  <si>
    <t>QUA000:ka_tonscarbon_dd</t>
  </si>
  <si>
    <t xml:space="preserve">   tons carbon dioxide)</t>
  </si>
  <si>
    <t>1/ Includes residential use of kerosene.</t>
  </si>
  <si>
    <t>2/ Includes wood used for residential heating. See Table 4 and/or Table 17 for estimates of nonmarketed renewable energy consumption for</t>
  </si>
  <si>
    <t>geothermal heat pumps, solar thermal water heating, and electricity generation from wind and solar photovoltaic sources.</t>
  </si>
  <si>
    <t>3/ Includes ethanol and ethers blended into gasoline.</t>
  </si>
  <si>
    <t>4/ Excludes ethanol.  Includes commercial sector consumption of wood and wood waste, landfill gas, municipal waste, and other biomass for</t>
  </si>
  <si>
    <t>combined heat and power.  See Table 5 and/or Table 17 for estimates of nonmarketed renewable energy consumption for solar thermal water</t>
  </si>
  <si>
    <t>heating and electricity generation from wind and solar photovoltaic sources.</t>
  </si>
  <si>
    <t>5/ Includes energy for combined heat and power plants that have a non-regulatory status, and small on-site generating systems.</t>
  </si>
  <si>
    <t>6/ Includes ethane, natural gasoline, and refinery olefins.</t>
  </si>
  <si>
    <t>7/ Includes petroleum coke, asphalt, road oil, lubricants, still gas, and miscellaneous petroleum products.</t>
  </si>
  <si>
    <t>8/ Represents natural gas used in well, field, and lease operations, and in natural gas processing plant machinery.</t>
  </si>
  <si>
    <t>9/ Fuel used in facilities that liquefy natural gas for export.</t>
  </si>
  <si>
    <t>10/ Includes consumption of energy produced from conventional hydroelectric, wood and wood waste, municipal waste, and other biomass sources.</t>
  </si>
  <si>
    <t>Excludes ethanol in motor gasoline.</t>
  </si>
  <si>
    <t>11/ E85 refers to a blend of 85 percent ethanol (renewable) and 15 percent motor gasoline (nonrenewable).  To address cold starting issues,</t>
  </si>
  <si>
    <t>the percentage of ethanol varies seasonally.  The annual average ethanol content of 74 percent is used for these projections.</t>
  </si>
  <si>
    <t>12/ Includes only kerosene type.</t>
  </si>
  <si>
    <t>13/ Diesel fuel for on- and off- road use.</t>
  </si>
  <si>
    <t>14/ Includes aviation gasoline and lubricants.</t>
  </si>
  <si>
    <t>15/ Represents consumption unattributed to the sectors above.</t>
  </si>
  <si>
    <t>16/ Does not include residential use of kerosene.</t>
  </si>
  <si>
    <t>17/ Includes aviation gasoline, petroleum coke, asphalt, road oil, lubricants, still gas, and miscellaneous petroleum products.</t>
  </si>
  <si>
    <t>18/ Includes electricity generated for sale to the grid and for own use from renewable sources, and non-electric energy from renewable sources.</t>
  </si>
  <si>
    <t>Excludes ethanol and nonmarketed renewable energy consumption for geothermal heat pumps, buildings photovoltaic systems, and solar thermal water</t>
  </si>
  <si>
    <t>heaters.</t>
  </si>
  <si>
    <t>19/ Includes consumption of energy by electricity-only and combined heat and power plants that have a regulatory status.</t>
  </si>
  <si>
    <t>20/ These values represent the energy obtained from uranium when it is used in light water reactors.  The total energy content of uranium</t>
  </si>
  <si>
    <t>21/ Includes conventional hydroelectric, geothermal, wood and wood waste, biogenic municipal waste, other biomass, wind, photovoltaic, and</t>
  </si>
  <si>
    <t>solar thermal sources.  Excludes net electricity imports.</t>
  </si>
  <si>
    <t>22/ Includes conventional hydroelectric, geothermal, wood and wood waste, biogenic municipal waste, other biomass, wind, photovoltaic, and</t>
  </si>
  <si>
    <t>solar thermal sources.  Excludes ethanol, net electricity imports, and nonmarketed renewable energy consumption for geothermal heat pumps,</t>
  </si>
  <si>
    <t>buildings photovoltaic systems, and solar thermal water heaters.</t>
  </si>
  <si>
    <t>Note:  Includes estimated consumption for petroleum and other liquids.  Totals may not equal sum of components due to independent rounding.</t>
  </si>
  <si>
    <t>PRC000</t>
  </si>
  <si>
    <t>(2020 dollars per million Btu, unless otherwise noted)</t>
  </si>
  <si>
    <t>PRC000:ba_LiquefiedPetr</t>
  </si>
  <si>
    <t>PRC000:ba_DistillateFue</t>
  </si>
  <si>
    <t>PRC000:ba_NaturalGas</t>
  </si>
  <si>
    <t>PRC000:ba_Electricity</t>
  </si>
  <si>
    <t xml:space="preserve">   Electricity</t>
  </si>
  <si>
    <t>PRC000:ca_LiquefiedGas</t>
  </si>
  <si>
    <t>PRC000:ca_DistillateFue</t>
  </si>
  <si>
    <t>PRC000:ca_ResidualFuel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</si>
  <si>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</si>
  <si>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</si>
  <si>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</si>
  <si>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</si>
  <si>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</si>
  <si>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</si>
  <si>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</si>
  <si>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</si>
  <si>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</si>
  <si>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PRC000:da_SteamCoal</t>
  </si>
  <si>
    <t>PRC000:da_CoaltoLiquids</t>
  </si>
  <si>
    <t xml:space="preserve">   Coal to Liquids</t>
  </si>
  <si>
    <t>PRC000:da_Electricity</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</si>
  <si>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</si>
  <si>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</si>
  <si>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</si>
  <si>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</si>
  <si>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</si>
  <si>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</si>
  <si>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</si>
  <si>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</si>
  <si>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</si>
  <si>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</si>
  <si>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</si>
  <si>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</si>
  <si>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</si>
  <si>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</si>
  <si>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</si>
  <si>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</si>
  <si>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</si>
  <si>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</si>
  <si>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</si>
  <si>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</si>
  <si>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</si>
  <si>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</si>
  <si>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</si>
  <si>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</si>
  <si>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</si>
  <si>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</si>
  <si>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</si>
  <si>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</si>
  <si>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</si>
  <si>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</si>
  <si>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PRC000:ha_CoaltoLiquids</t>
  </si>
  <si>
    <t>PRC000:ha_Electricity</t>
  </si>
  <si>
    <t>Non-Renewable Energy Expenditures by Sector</t>
  </si>
  <si>
    <t>(billion 2020 dollars)</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</si>
  <si>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</si>
  <si>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</si>
  <si>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</si>
  <si>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</si>
  <si>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</si>
  <si>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</si>
  <si>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</si>
  <si>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</si>
  <si>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</si>
  <si>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</si>
  <si>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</si>
  <si>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</si>
  <si>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</si>
  <si>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</si>
  <si>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</si>
  <si>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</si>
  <si>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</si>
  <si>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</si>
  <si>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</si>
  <si>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</si>
  <si>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</si>
  <si>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</si>
  <si>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</si>
  <si>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</si>
  <si>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</si>
  <si>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</si>
  <si>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</si>
  <si>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</si>
  <si>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</si>
  <si>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</si>
  <si>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</si>
  <si>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</si>
  <si>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</si>
  <si>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</si>
  <si>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</si>
  <si>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</si>
  <si>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</si>
  <si>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</si>
  <si>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</si>
  <si>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</si>
  <si>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</si>
  <si>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</si>
  <si>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</si>
  <si>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</si>
  <si>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</si>
  <si>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</si>
  <si>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</si>
  <si>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</si>
  <si>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</si>
  <si>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</si>
  <si>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</si>
  <si>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</si>
  <si>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</si>
  <si>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</si>
  <si>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</si>
  <si>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</si>
  <si>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</si>
  <si>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</si>
  <si>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</si>
  <si>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</si>
  <si>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1/ Includes energy for combined heat and power plants that have a non-regulatory status, and small on-site generating systems.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</si>
  <si>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</si>
  <si>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</si>
  <si>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</si>
  <si>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</si>
  <si>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</si>
  <si>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</si>
  <si>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and estimated dispensing costs or charges.</t>
  </si>
  <si>
    <t>8/ Includes electricity-only and combined heat and power plants that have a regulatory status.</t>
  </si>
  <si>
    <t>9/ Weighted averages of end-use fuel prices are derived from the prices shown in each sector and the corresponding sectoral consumption.</t>
  </si>
  <si>
    <t>RKI000</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</si>
  <si>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</si>
  <si>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</si>
  <si>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</si>
  <si>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</si>
  <si>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</si>
  <si>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</si>
  <si>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</si>
  <si>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</si>
  <si>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</si>
  <si>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</si>
  <si>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RKI000:ca_AverageHouseS</t>
  </si>
  <si>
    <t xml:space="preserve"> Average House Square Footage</t>
  </si>
  <si>
    <t xml:space="preserve"> Energy Intensity</t>
  </si>
  <si>
    <t xml:space="preserve"> (million 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</si>
  <si>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</si>
  <si>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</si>
  <si>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</si>
  <si>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</si>
  <si>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</si>
  <si>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</si>
  <si>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</si>
  <si>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</si>
  <si>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</si>
  <si>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</si>
  <si>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</si>
  <si>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</si>
  <si>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</si>
  <si>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</si>
  <si>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</si>
  <si>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</si>
  <si>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</si>
  <si>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</si>
  <si>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</si>
  <si>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</si>
  <si>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</si>
  <si>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</si>
  <si>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</si>
  <si>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</si>
  <si>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</si>
  <si>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</si>
  <si>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2/</t>
  </si>
  <si>
    <t>RKI000:fa_Dishwashers</t>
  </si>
  <si>
    <t xml:space="preserve">   Dishwashers 2/</t>
  </si>
  <si>
    <t>RKI000:fa_ColorTelevisi</t>
  </si>
  <si>
    <t xml:space="preserve">   Televisions and Related Equipment 3/</t>
  </si>
  <si>
    <t>RKI000:fa_PersonalCompu</t>
  </si>
  <si>
    <t xml:space="preserve">   Computers and Related Equipment 4/</t>
  </si>
  <si>
    <t>RKI000:fa_FurnaceFans</t>
  </si>
  <si>
    <t xml:space="preserve">   Furnace Fans and Boiler Circulation Pumps</t>
  </si>
  <si>
    <t>RKI000:fa_OtherUses</t>
  </si>
  <si>
    <t xml:space="preserve">   Other Uses 5/</t>
  </si>
  <si>
    <t>RKI000:fa_DeliveredEner</t>
  </si>
  <si>
    <t xml:space="preserve">     Electricity Subtotal</t>
  </si>
  <si>
    <t>RKI000:fa_OwnGeneration</t>
  </si>
  <si>
    <t xml:space="preserve">   Onsite Generation for Own Use</t>
  </si>
  <si>
    <t>RKI000:fa_PurchasedElec</t>
  </si>
  <si>
    <t xml:space="preserve">     Purchased Electricity</t>
  </si>
  <si>
    <t xml:space="preserve"> Natural Gas</t>
  </si>
  <si>
    <t>RKI000:ga_SpaceHeating</t>
  </si>
  <si>
    <t>RKI000:ga_SpaceCooling</t>
  </si>
  <si>
    <t>RKI000:ga_WaterHeating</t>
  </si>
  <si>
    <t>RKI000:ga_Cooking</t>
  </si>
  <si>
    <t>RKI000:ga_ClothesDryers</t>
  </si>
  <si>
    <t>RKI000:ga_OtherNatGas</t>
  </si>
  <si>
    <t xml:space="preserve">   Other Uses 6/</t>
  </si>
  <si>
    <t>RKI000:ga_DeliveredEner</t>
  </si>
  <si>
    <t xml:space="preserve"> Distillate Fuel Oil 7/</t>
  </si>
  <si>
    <t>RKI000:ha_SpaceHeating</t>
  </si>
  <si>
    <t>RKI000:ha_WaterHeating</t>
  </si>
  <si>
    <t>RKI000:Other_ha_ha</t>
  </si>
  <si>
    <t xml:space="preserve">   Other Uses 8/</t>
  </si>
  <si>
    <t>RKI000:ha_DeliveredEner</t>
  </si>
  <si>
    <t xml:space="preserve"> Propane</t>
  </si>
  <si>
    <t>RKI000:ia_SpaceHeating</t>
  </si>
  <si>
    <t>RKI000:ia_WaterHeating</t>
  </si>
  <si>
    <t>RKI000:ia_Cooking</t>
  </si>
  <si>
    <t>RKI000:ia_OtherUses</t>
  </si>
  <si>
    <t xml:space="preserve">   Other Uses 9/</t>
  </si>
  <si>
    <t>RKI000:ia_DeliveredEner</t>
  </si>
  <si>
    <t>RKI000:ja_MarketedRenew</t>
  </si>
  <si>
    <t xml:space="preserve"> Marketed Renewables (wood) 10/</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</si>
  <si>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</si>
  <si>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</si>
  <si>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</si>
  <si>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</si>
  <si>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</si>
  <si>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</si>
  <si>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</si>
  <si>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</si>
  <si>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</si>
  <si>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</si>
  <si>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</si>
  <si>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</si>
  <si>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</si>
  <si>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</si>
  <si>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</si>
  <si>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</si>
  <si>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t>
  </si>
  <si>
    <t>RKI000:ka_ClothesWasher</t>
  </si>
  <si>
    <t xml:space="preserve"> Clothes Washers 2/</t>
  </si>
  <si>
    <t>RKI000:ka_Dishwashers</t>
  </si>
  <si>
    <t xml:space="preserve"> Dishwashers 2/</t>
  </si>
  <si>
    <t>RKI000:ka_ColorTelevisi</t>
  </si>
  <si>
    <t xml:space="preserve"> Televisions and Related Equipment 3/</t>
  </si>
  <si>
    <t>RKI000:ka_PersonalCompu</t>
  </si>
  <si>
    <t xml:space="preserve"> Computers and Related Equipment 4/</t>
  </si>
  <si>
    <t>RKI000:ka_FurnaceFans</t>
  </si>
  <si>
    <t xml:space="preserve"> Furnace Fans and Boiler Circulation Pumps</t>
  </si>
  <si>
    <t>RKI000:ka_OtherUses</t>
  </si>
  <si>
    <t xml:space="preserve"> Other Uses 11/</t>
  </si>
  <si>
    <t>RKI000:ka_GrsEndUseCons</t>
  </si>
  <si>
    <t xml:space="preserve">    Gross End-use Consumption</t>
  </si>
  <si>
    <t>RKI000:ka_OwnGeneration</t>
  </si>
  <si>
    <t xml:space="preserve"> Onsite Generation for Own Use</t>
  </si>
  <si>
    <t>RKI000:ka_DeliveredEner</t>
  </si>
  <si>
    <t xml:space="preserve">    Delivered Energy</t>
  </si>
  <si>
    <t>RKI000:la_ElectricityRe</t>
  </si>
  <si>
    <t>Electricity Related Losses</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</si>
  <si>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</si>
  <si>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</si>
  <si>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</si>
  <si>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</si>
  <si>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</si>
  <si>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</si>
  <si>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</si>
  <si>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</si>
  <si>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</si>
  <si>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</si>
  <si>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</si>
  <si>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</si>
  <si>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</si>
  <si>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</si>
  <si>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</si>
  <si>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</si>
  <si>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</si>
  <si>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RKI000:ma_OwnGeneration</t>
  </si>
  <si>
    <t xml:space="preserve"> Generation for Own Use</t>
  </si>
  <si>
    <t>RKI000:ma_TtllOwnUseGen</t>
  </si>
  <si>
    <t>Total Net Own-use Generation</t>
  </si>
  <si>
    <t>Nonmarketed Renewables 12/</t>
  </si>
  <si>
    <t>RKI000:na_GeothermalHea</t>
  </si>
  <si>
    <t xml:space="preserve">  Geothermal Heat Pumps</t>
  </si>
  <si>
    <t>RKI000:na_SolarHotWater</t>
  </si>
  <si>
    <t xml:space="preserve">  Solar Hot Water Heating</t>
  </si>
  <si>
    <t>RKI000:na_SolarPhotovol</t>
  </si>
  <si>
    <t xml:space="preserve">  Solar Photovoltaic</t>
  </si>
  <si>
    <t>RKI000:na_WindHuffPuff</t>
  </si>
  <si>
    <t xml:space="preserve">  Wind</t>
  </si>
  <si>
    <t>RKI000:na_Total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</si>
  <si>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</si>
  <si>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</si>
  <si>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</si>
  <si>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</si>
  <si>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</si>
  <si>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</si>
  <si>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</si>
  <si>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</si>
  <si>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</si>
  <si>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</si>
  <si>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</si>
  <si>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</si>
  <si>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</si>
  <si>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</si>
  <si>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</si>
  <si>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</si>
  <si>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</si>
  <si>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</si>
  <si>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</si>
  <si>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</si>
  <si>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</si>
  <si>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</si>
  <si>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</si>
  <si>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</si>
  <si>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</si>
  <si>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</si>
  <si>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</si>
  <si>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</si>
  <si>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</si>
  <si>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</si>
  <si>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</si>
  <si>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</si>
  <si>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</si>
  <si>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</si>
  <si>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</si>
  <si>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</si>
  <si>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</si>
  <si>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transportation sector.</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</si>
  <si>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</si>
  <si>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</si>
  <si>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</si>
  <si>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</si>
  <si>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</si>
  <si>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Survey.</t>
  </si>
  <si>
    <t>11/ Includes electric and electronic devices, heating elements, motors, outdoor grills, natural gas-and propane-fueled lights, pool</t>
  </si>
  <si>
    <t>heaters, spa heaters, and backup electricity generators not listed above.  Electric vehicles are included in the transportation sector.</t>
  </si>
  <si>
    <t>12/ Consumption determined by using the average electric power sector net heat rate for fossil fuels.</t>
  </si>
  <si>
    <t>CKI000</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</si>
  <si>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</si>
  <si>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</si>
  <si>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</si>
  <si>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</si>
  <si>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</si>
  <si>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</si>
  <si>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</si>
  <si>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</si>
  <si>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CKI000:ea_ElectricityRe</t>
  </si>
  <si>
    <t>CKI000:ga_SpaceHeating</t>
  </si>
  <si>
    <t xml:space="preserve">   Space Heating 2/</t>
  </si>
  <si>
    <t>CKI000:ga_SpaceCooling</t>
  </si>
  <si>
    <t xml:space="preserve">   Space Cooling 2/</t>
  </si>
  <si>
    <t>CKI000:ga_WaterHeating</t>
  </si>
  <si>
    <t xml:space="preserve">   Water Heating 2/</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</si>
  <si>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</si>
  <si>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</si>
  <si>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</si>
  <si>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</si>
  <si>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</si>
  <si>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</si>
  <si>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</si>
  <si>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</si>
  <si>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</si>
  <si>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</si>
  <si>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3/</t>
  </si>
  <si>
    <t>CKI000:ha_ElecSubtotal</t>
  </si>
  <si>
    <t>CKI000:ha_OwnGeneration</t>
  </si>
  <si>
    <t>CKI000:ha_PurchasedElec</t>
  </si>
  <si>
    <t>CKI000:ia_SpaceHeating</t>
  </si>
  <si>
    <t>CKI000:ia_SpaceCooling</t>
  </si>
  <si>
    <t>CKI000:ia_WaterHeating</t>
  </si>
  <si>
    <t>CKI000:ia_Cooking</t>
  </si>
  <si>
    <t>CKI000:ia_OtherUses</t>
  </si>
  <si>
    <t xml:space="preserve">   Other Uses 4/</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</si>
  <si>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</si>
  <si>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</si>
  <si>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</si>
  <si>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</si>
  <si>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</si>
  <si>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</si>
  <si>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</si>
  <si>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</si>
  <si>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</si>
  <si>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6/</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</si>
  <si>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</si>
  <si>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</si>
  <si>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</si>
  <si>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</si>
  <si>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</si>
  <si>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</si>
  <si>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</si>
  <si>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</si>
  <si>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</si>
  <si>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</si>
  <si>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7/</t>
  </si>
  <si>
    <t>CKI000:ma_GrsEndUseCons</t>
  </si>
  <si>
    <t xml:space="preserve">     Gross End-use Consumption</t>
  </si>
  <si>
    <t>CKI000:ma_OwnGeneration</t>
  </si>
  <si>
    <t>CKI000:ma_DeliveredEner</t>
  </si>
  <si>
    <t>CKI000:na_ElectricityRe</t>
  </si>
  <si>
    <t>Total Energy Consumption by End Use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</si>
  <si>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</si>
  <si>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</si>
  <si>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</si>
  <si>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</si>
  <si>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</si>
  <si>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</si>
  <si>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</si>
  <si>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</si>
  <si>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</si>
  <si>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</si>
  <si>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</si>
  <si>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 xml:space="preserve">     Total Gross End-use Consumption</t>
  </si>
  <si>
    <t>CKI000:pa_OwnGeneration</t>
  </si>
  <si>
    <t>CKI000:pa_TtllOwnUseGen</t>
  </si>
  <si>
    <t>Nonmarketed Renewable Fuels 8/</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</si>
  <si>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</si>
  <si>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</si>
  <si>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</si>
  <si>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</si>
  <si>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</si>
  <si>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</si>
  <si>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</si>
  <si>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</si>
  <si>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</si>
  <si>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</si>
  <si>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</si>
  <si>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</si>
  <si>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</si>
  <si>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</si>
  <si>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</si>
  <si>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</si>
  <si>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</si>
  <si>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</si>
  <si>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</si>
  <si>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</si>
  <si>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</si>
  <si>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</si>
  <si>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</si>
  <si>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</si>
  <si>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</si>
  <si>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2/ Includes fuel consumption for district services.</t>
  </si>
  <si>
    <t>3/ Includes (but is not limited to) miscellaneous uses such as transformers, medical imaging and other medical equipment, elevators,</t>
  </si>
  <si>
    <t>escalators, off-road electric vehicles, laboratory fume hoods, laundry equipment, coffee brewers, and water services.</t>
  </si>
  <si>
    <t>4/ Includes miscellaneous uses, such as emergency generators, combined heat and power in commercial buildings, and manufacturing</t>
  </si>
  <si>
    <t>performed in commercial buildings.</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</si>
  <si>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</si>
  <si>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</si>
  <si>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</si>
  <si>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</si>
  <si>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Also</t>
  </si>
  <si>
    <t>includes residual fuel oil, propane, coal, motor gasoline, kerosene, and marketed renewable fuels (biomass).</t>
  </si>
  <si>
    <t>8/ Consumption determined by using the average electric power sector net heat rate for fossil fuels.</t>
  </si>
  <si>
    <t>IKI000</t>
  </si>
  <si>
    <t xml:space="preserve"> Shipments, Prices, and Consumption</t>
  </si>
  <si>
    <t>Value of Shipments</t>
  </si>
  <si>
    <t>(billion 2012 dollars)</t>
  </si>
  <si>
    <t>IKI000:ba_Manufacturing</t>
  </si>
  <si>
    <t xml:space="preserve">   Manufacturing</t>
  </si>
  <si>
    <t>IKI000:ba_Nonmanufactur</t>
  </si>
  <si>
    <t xml:space="preserve">   Agriculture, Mining, and Construction</t>
  </si>
  <si>
    <t>IKI000:ba_Total</t>
  </si>
  <si>
    <t>Energy Prices</t>
  </si>
  <si>
    <t xml:space="preserve">  (2020 dollars per million Btu)</t>
  </si>
  <si>
    <t>IKI000:ca_LiquefiedPetr</t>
  </si>
  <si>
    <t>IKI000:ca_MotorGasoline</t>
  </si>
  <si>
    <t xml:space="preserve">   Motor Gasoline</t>
  </si>
  <si>
    <t>IKI000:ca_DistillateOil</t>
  </si>
  <si>
    <t>IKI000:ca_ResidualOil</t>
  </si>
  <si>
    <t>IKI000:ca_Asphalt</t>
  </si>
  <si>
    <t xml:space="preserve">   Asphalt and Road Oil</t>
  </si>
  <si>
    <t>IKI000:ca_NaturalGasHP</t>
  </si>
  <si>
    <t xml:space="preserve">   Natural Gas Heat and Power</t>
  </si>
  <si>
    <t>IKI000:ca_NaturalGasFd</t>
  </si>
  <si>
    <t xml:space="preserve">   Natural Gas Feedstocks</t>
  </si>
  <si>
    <t>IKI000:ca_Metallurgical</t>
  </si>
  <si>
    <t>IKI000:ca_SteamCoal</t>
  </si>
  <si>
    <t>IKI000:ca_CoaltoLiquids</t>
  </si>
  <si>
    <t>IKI000:ca_Electricity</t>
  </si>
  <si>
    <t xml:space="preserve">  (nominal dollars per million Btu)</t>
  </si>
  <si>
    <t>IKI000:nom_LiquefiedPet</t>
  </si>
  <si>
    <t>IKI000:nom_MotorGasolin</t>
  </si>
  <si>
    <t>IKI000:nom_DistillateOi</t>
  </si>
  <si>
    <t>IKI000:nom_ResidualOil</t>
  </si>
  <si>
    <t>IKI000:nom_Asphalt</t>
  </si>
  <si>
    <t>IKI000:nom_NaturalGasHP</t>
  </si>
  <si>
    <t>IKI000:nom_NaturalGasFd</t>
  </si>
  <si>
    <t>IKI000:nom_Metallurgica</t>
  </si>
  <si>
    <t>IKI000:nom_SteamCoal</t>
  </si>
  <si>
    <t>IKI000:nom_CoaltoLiquid</t>
  </si>
  <si>
    <t>IKI000:nom_Electricity</t>
  </si>
  <si>
    <t>Energy Consumption 1/ (quadrillion Btu)</t>
  </si>
  <si>
    <t xml:space="preserve"> Industrial Consumption Excluding Refining</t>
  </si>
  <si>
    <t>IKI000:ia_LiqPetGasHeat</t>
  </si>
  <si>
    <t xml:space="preserve">   Propane Heat and Power</t>
  </si>
  <si>
    <t>IKI000:ia_LiqPetGasFeed</t>
  </si>
  <si>
    <t xml:space="preserve">   Hydrocarbon Gas Liquid Feedstocks 2/</t>
  </si>
  <si>
    <t>IKI000:ia_Propylene</t>
  </si>
  <si>
    <t xml:space="preserve">      Propylene</t>
  </si>
  <si>
    <t>IKI000:ia_MotorGasoline</t>
  </si>
  <si>
    <t>IKI000:ia_Distillate</t>
  </si>
  <si>
    <t>IKI000:ia_ResidualFuel</t>
  </si>
  <si>
    <t>IKI000:ia_Petrochemical</t>
  </si>
  <si>
    <t>IKI000:ia_PetroleumCoke</t>
  </si>
  <si>
    <t xml:space="preserve">   Petroleum Coke</t>
  </si>
  <si>
    <t>IKI000:ia_Asphalt</t>
  </si>
  <si>
    <t>IKI000:ia_Miscellaneous</t>
  </si>
  <si>
    <t xml:space="preserve">   Miscellaneous Petroleum 3/</t>
  </si>
  <si>
    <t>IKI000:ia_PetroleumSubt</t>
  </si>
  <si>
    <t>IKI000:ia_NatralGasHeat</t>
  </si>
  <si>
    <t>IKI000:ia_NatralGasFeed</t>
  </si>
  <si>
    <t>IKI000:ia_LeaseandPlant</t>
  </si>
  <si>
    <t xml:space="preserve">   Lease and Plant Fuel 4/</t>
  </si>
  <si>
    <t>IKI000:ia_liquefactexp</t>
  </si>
  <si>
    <t xml:space="preserve">   Natural Gas Liquefaction for Export 5/</t>
  </si>
  <si>
    <t>IKI000:ia_NaturalGasSub</t>
  </si>
  <si>
    <t>IKI000:ia_Metallurgical</t>
  </si>
  <si>
    <t xml:space="preserve">   Metallurgical Coal and Coke 6/</t>
  </si>
  <si>
    <t>IKI000:ia_SteamCoal</t>
  </si>
  <si>
    <t>IKI000:ia_CoalSubtotal</t>
  </si>
  <si>
    <t>IKI000:ia_Renewables</t>
  </si>
  <si>
    <t xml:space="preserve">   Renewables 7/</t>
  </si>
  <si>
    <t>IKI000:ia_PurchasedElec</t>
  </si>
  <si>
    <t>IKI000:ia_DeliveredEner</t>
  </si>
  <si>
    <t>IKI000:ia_ElectricityRe</t>
  </si>
  <si>
    <t>IKI000:ia_Total</t>
  </si>
  <si>
    <t xml:space="preserve"> Refining Consumption</t>
  </si>
  <si>
    <t>IKI000:ka_LiqPetGasHeat</t>
  </si>
  <si>
    <t xml:space="preserve">   Liquefied Petroleum Gas Heat and Power 2/</t>
  </si>
  <si>
    <t>IKI000:ka_Distillate</t>
  </si>
  <si>
    <t>IKI000:ka_ResidualFuel</t>
  </si>
  <si>
    <t>IKI000:ka_PetroleumCoke</t>
  </si>
  <si>
    <t>IKI000:ka_StillGasAll</t>
  </si>
  <si>
    <t xml:space="preserve">   Still Gas</t>
  </si>
  <si>
    <t>IKI000:ka_Miscellaneous</t>
  </si>
  <si>
    <t>IKI000:ka_PetroleumSubt</t>
  </si>
  <si>
    <t>IKI000:ka_NatralGasHeat</t>
  </si>
  <si>
    <t>IKI000:ka_NaturalFeedst</t>
  </si>
  <si>
    <t>IKI000:ka_NatGas2LiqH&amp;P</t>
  </si>
  <si>
    <t>IKI000:ka_NaturalGasSub</t>
  </si>
  <si>
    <t>IKI000:ka_SteamCoal</t>
  </si>
  <si>
    <t>IKI000:ka_CoaltoLiquids</t>
  </si>
  <si>
    <t>IKI000:ka_CoalSubtotal</t>
  </si>
  <si>
    <t>IKI000:ka_BiofuelHeatCo</t>
  </si>
  <si>
    <t>IKI000:ka_PurchasedElec</t>
  </si>
  <si>
    <t>IKI000:ka_DeliveredEner</t>
  </si>
  <si>
    <t>IKI000:ka_ElectricityRe</t>
  </si>
  <si>
    <t>IKI000:ka_Total</t>
  </si>
  <si>
    <t xml:space="preserve"> Total Industrial Sector Consumption</t>
  </si>
  <si>
    <t>IKI000:da_LiqPetGasHeat</t>
  </si>
  <si>
    <t>IKI000:da_LiqPetGasFeed</t>
  </si>
  <si>
    <t xml:space="preserve">   Hydrocarbon Gas Liquid Feedstocks /2</t>
  </si>
  <si>
    <t>IKI000:da_MotorGasoline</t>
  </si>
  <si>
    <t>IKI000:da_Distillate</t>
  </si>
  <si>
    <t>IKI000:da_ResidualFuel</t>
  </si>
  <si>
    <t>IKI000:da_Petrochemical</t>
  </si>
  <si>
    <t>IKI000:da_PetroleumCoke</t>
  </si>
  <si>
    <t>IKI000:da_Asphalt</t>
  </si>
  <si>
    <t>IKI000:da_StillGas</t>
  </si>
  <si>
    <t>IKI000:da_Miscellaneous</t>
  </si>
  <si>
    <t>IKI000:da_PetroleumSubt</t>
  </si>
  <si>
    <t>IKI000:da_NatralGasHeat</t>
  </si>
  <si>
    <t>IKI000:da_NatralGasFeed</t>
  </si>
  <si>
    <t>IKI000:da_NatGas2LiqH&amp;P</t>
  </si>
  <si>
    <t>IKI000:da_LeaseandPlant</t>
  </si>
  <si>
    <t>IKI000:da_liquefactexp</t>
  </si>
  <si>
    <t>IKI000:da_NaturalGasSub</t>
  </si>
  <si>
    <t>IKI000:da_Metallurgical</t>
  </si>
  <si>
    <t>IKI000:da_SteamCoal</t>
  </si>
  <si>
    <t>IKI000:da_CoaltoLiquids</t>
  </si>
  <si>
    <t>IKI000:da_CoalSubtotal</t>
  </si>
  <si>
    <t>IKI000:da_BiofuelHeatCo</t>
  </si>
  <si>
    <t>IKI000:da_Renewables</t>
  </si>
  <si>
    <t>IKI000:da_PurchasedElec</t>
  </si>
  <si>
    <t>IKI000:da_DeliveredEner</t>
  </si>
  <si>
    <t>IKI000:da_ElectricityRe</t>
  </si>
  <si>
    <t>IKI000:da_Total</t>
  </si>
  <si>
    <t>Energy Consumption per dollar of Shipments 1/</t>
  </si>
  <si>
    <t>(thousand Btu per 2012 dollar)</t>
  </si>
  <si>
    <t>IKI000:ea_LiqPetGasHeat</t>
  </si>
  <si>
    <t>IKI000:ea_LiqPetGasFeed</t>
  </si>
  <si>
    <t>IKI000:ea_MotorGasoline</t>
  </si>
  <si>
    <t>IKI000:ea_Distillate</t>
  </si>
  <si>
    <t>IKI000:ea_ResidualFuel</t>
  </si>
  <si>
    <t>IKI000:ea_Petrochemical</t>
  </si>
  <si>
    <t>IKI000:ea_PetroleumCoke</t>
  </si>
  <si>
    <t>IKI000:ea_Asphalt</t>
  </si>
  <si>
    <t>IKI000:ea_StillGas</t>
  </si>
  <si>
    <t>IKI000:ea_Miscellaneous</t>
  </si>
  <si>
    <t>IKI000:ea_PetroleumSubt</t>
  </si>
  <si>
    <t>IKI000:ea_NatralGasHeat</t>
  </si>
  <si>
    <t>IKI000:ea_NatralGasFeed</t>
  </si>
  <si>
    <t xml:space="preserve">   Natural Gas Feedstock</t>
  </si>
  <si>
    <t>IKI000:ea_NatGas2LiqH&amp;P</t>
  </si>
  <si>
    <t>IKI000:ea_LeaseandPlant</t>
  </si>
  <si>
    <t>IKI000:ea_liquefactexp</t>
  </si>
  <si>
    <t>IKI000:ea_NaturalGasSub</t>
  </si>
  <si>
    <t>IKI000:ea_Metallurgical</t>
  </si>
  <si>
    <t>IKI000:ea_SteamCoal</t>
  </si>
  <si>
    <t>IKI000:ea_CoaltoLiquids</t>
  </si>
  <si>
    <t>IKI000:ea_CoalSubtotal</t>
  </si>
  <si>
    <t>IKI000:ea_BiofuelHeatCo</t>
  </si>
  <si>
    <t>IKI000:ea_Renewables</t>
  </si>
  <si>
    <t>IKI000:ea_PurchasedElec</t>
  </si>
  <si>
    <t>IKI000:ea_DeliveredEner</t>
  </si>
  <si>
    <t>IKI000:ea_ElectricityRe</t>
  </si>
  <si>
    <t>IKI000:ea_Total</t>
  </si>
  <si>
    <t>Total Industrial Combined Heat and Power 1/</t>
  </si>
  <si>
    <t>IKI000:ha_Capacity(giga</t>
  </si>
  <si>
    <t xml:space="preserve">  Capacity (gigawatts)</t>
  </si>
  <si>
    <t>IKI000:ha_Generation(bi</t>
  </si>
  <si>
    <t xml:space="preserve">  Generation (billion kilowatthours)</t>
  </si>
  <si>
    <t>1/ Includes combined heat and power plants that have a non-regulatory status, and small on-site generating systems.</t>
  </si>
  <si>
    <t>2/ Includes ethane, natural gasoline, and refinery olefins.</t>
  </si>
  <si>
    <t>3/ Includes lubricants and miscellaneous petroleum products.</t>
  </si>
  <si>
    <t>4/ Represents natural gas used in well, field, and lease operations, and in natural gas processing plant machinery.</t>
  </si>
  <si>
    <t>5/ Fuel used in facilities that liquefy natural gas for export.</t>
  </si>
  <si>
    <t>6/ Includes net coal coke imports.</t>
  </si>
  <si>
    <t>7/ Includes consumption of energy produced from hydroelectric, wood and wood waste, municipal waste, and other biomass sources.</t>
  </si>
  <si>
    <t>TKI000</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</si>
  <si>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</si>
  <si>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</si>
  <si>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</si>
  <si>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</si>
  <si>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</si>
  <si>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</si>
  <si>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</si>
  <si>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</si>
  <si>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</si>
  <si>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</si>
  <si>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</si>
  <si>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</si>
  <si>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</si>
  <si>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</si>
  <si>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</si>
  <si>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</si>
  <si>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</si>
  <si>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</si>
  <si>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</si>
  <si>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</si>
  <si>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</si>
  <si>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</si>
  <si>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</si>
  <si>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</si>
  <si>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</si>
  <si>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</si>
  <si>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</si>
  <si>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</si>
  <si>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</si>
  <si>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</si>
  <si>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</si>
  <si>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</si>
  <si>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</si>
  <si>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</si>
  <si>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</si>
  <si>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</si>
  <si>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</si>
  <si>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</si>
  <si>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</si>
  <si>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</si>
  <si>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</si>
  <si>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</si>
  <si>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</si>
  <si>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</si>
  <si>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</si>
  <si>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</si>
  <si>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</si>
  <si>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</si>
  <si>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</si>
  <si>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</si>
  <si>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</si>
  <si>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</si>
  <si>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</si>
  <si>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</si>
  <si>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</si>
  <si>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</si>
  <si>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</si>
  <si>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</si>
  <si>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</si>
  <si>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</si>
  <si>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</si>
  <si>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</si>
  <si>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</si>
  <si>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</si>
  <si>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</si>
  <si>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</si>
  <si>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</si>
  <si>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</si>
  <si>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</si>
  <si>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</si>
  <si>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</si>
  <si>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</si>
  <si>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</si>
  <si>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</si>
  <si>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</si>
  <si>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</si>
  <si>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</si>
  <si>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</si>
  <si>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</si>
  <si>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</si>
  <si>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</si>
  <si>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</si>
  <si>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</si>
  <si>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</si>
  <si>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</si>
  <si>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</si>
  <si>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</si>
  <si>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</si>
  <si>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</si>
  <si>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</si>
  <si>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</si>
  <si>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</si>
  <si>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</si>
  <si>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</si>
  <si>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</si>
  <si>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</si>
  <si>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</si>
  <si>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</si>
  <si>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</si>
  <si>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</si>
  <si>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</si>
  <si>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</si>
  <si>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</si>
  <si>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</si>
  <si>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</si>
  <si>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</si>
  <si>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</si>
  <si>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</si>
  <si>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</si>
  <si>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</si>
  <si>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</si>
  <si>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</si>
  <si>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</si>
  <si>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Sources: 2020:  U.S. Energy Information Administration (EIA), Short-Term Energy Outlook, October 2020 and EIA,</t>
  </si>
  <si>
    <t>AEO2021 National Energy Modeling System run ref2021.d113020a. Projections:  EIA, AEO2021 National Energy Modeling System run ref2021.d113020a.</t>
  </si>
  <si>
    <t>ESD000</t>
  </si>
  <si>
    <t>(billion kilowatthours, unless otherwise noted)</t>
  </si>
  <si>
    <t xml:space="preserve"> Supply, Disposition, Prices, and Emissions</t>
  </si>
  <si>
    <t>Net Generation by Fuel Type</t>
  </si>
  <si>
    <t>Electric Power Sector 1/</t>
  </si>
  <si>
    <t xml:space="preserve">  Power Only 2/</t>
  </si>
  <si>
    <t>ESD000:ca_Coal</t>
  </si>
  <si>
    <t xml:space="preserve">    Coal</t>
  </si>
  <si>
    <t>ESD000:ca_Petroleum</t>
  </si>
  <si>
    <t xml:space="preserve">    Petroleum</t>
  </si>
  <si>
    <t>ESD000:ca_NaturalGas</t>
  </si>
  <si>
    <t xml:space="preserve">    Natural Gas 3/</t>
  </si>
  <si>
    <t>ESD000:ca_NuclearPower</t>
  </si>
  <si>
    <t xml:space="preserve">    Nuclear Power</t>
  </si>
  <si>
    <t>ESD000:ca_PumpedStorage</t>
  </si>
  <si>
    <t xml:space="preserve">    Pumped Storage/Other 4/</t>
  </si>
  <si>
    <t>ESD000:ca_RenewableSour</t>
  </si>
  <si>
    <t xml:space="preserve">    Renewable Sources 5/</t>
  </si>
  <si>
    <t>ESD000:ca_DistributedGe</t>
  </si>
  <si>
    <t xml:space="preserve">    Distributed Generation (Natural Gas)</t>
  </si>
  <si>
    <t>ESD000:ca_Total</t>
  </si>
  <si>
    <t xml:space="preserve">  Combined Heat and Power 6/</t>
  </si>
  <si>
    <t>ESD000:da_Coal</t>
  </si>
  <si>
    <t>ESD000:da_Petroleum</t>
  </si>
  <si>
    <t>ESD000:da_NaturalGas</t>
  </si>
  <si>
    <t xml:space="preserve">    Natural Gas</t>
  </si>
  <si>
    <t>ESD000:da_RenewableSour</t>
  </si>
  <si>
    <t xml:space="preserve">    Renewable Sources</t>
  </si>
  <si>
    <t>ESD000:da_OtherCHaP</t>
  </si>
  <si>
    <t xml:space="preserve">    Other</t>
  </si>
  <si>
    <t>ESD000:da_Total</t>
  </si>
  <si>
    <t>ESD000:da_TotalNetGener</t>
  </si>
  <si>
    <t xml:space="preserve">  Total Net Electric Power Sector Generation</t>
  </si>
  <si>
    <t>ESD000:da_LessDirectUse</t>
  </si>
  <si>
    <t xml:space="preserve">  Less Direct Use</t>
  </si>
  <si>
    <t>ESD000:ea_NetAvailablet</t>
  </si>
  <si>
    <t xml:space="preserve">  Net Available to the Grid</t>
  </si>
  <si>
    <t xml:space="preserve">  End-Use Sector 7/</t>
  </si>
  <si>
    <t>ESD000:fa_Coal</t>
  </si>
  <si>
    <t>ESD000:fa_Petroleum</t>
  </si>
  <si>
    <t>ESD000:fa_NaturalGas</t>
  </si>
  <si>
    <t>ESD000:fa_OtherGaseousF</t>
  </si>
  <si>
    <t xml:space="preserve">    Other Gaseous Fuels 8/</t>
  </si>
  <si>
    <t>ESD000:fa_RenewableSour</t>
  </si>
  <si>
    <t xml:space="preserve">    Renewable Sources 9/</t>
  </si>
  <si>
    <t>ESD000:fa_Other</t>
  </si>
  <si>
    <t xml:space="preserve">    Other 10/</t>
  </si>
  <si>
    <t>ESD000:fa_Total</t>
  </si>
  <si>
    <t xml:space="preserve">      Total End-Use Sector Net Generation</t>
  </si>
  <si>
    <t>ESD000:fa_LessDirectUse</t>
  </si>
  <si>
    <t xml:space="preserve">    Less Direct Use</t>
  </si>
  <si>
    <t>ESD000:fa_TotalSalestot</t>
  </si>
  <si>
    <t xml:space="preserve">      Total Sales to the Grid</t>
  </si>
  <si>
    <t xml:space="preserve">  Total Net Electricity Generation by Fuel</t>
  </si>
  <si>
    <t>ESD000:xx_CoalInSocks</t>
  </si>
  <si>
    <t>ESD000:xx_Petroleum</t>
  </si>
  <si>
    <t>ESD000:xx_NaturalGas</t>
  </si>
  <si>
    <t>ESD000:xx_NuclearPower</t>
  </si>
  <si>
    <t>ESD000:xx_RenewableSour</t>
  </si>
  <si>
    <t xml:space="preserve">    Renewable Sources 5,9/</t>
  </si>
  <si>
    <t>ESD000:xx_OtherWithPump</t>
  </si>
  <si>
    <t xml:space="preserve">    Other 11/</t>
  </si>
  <si>
    <t>ESD000:ga_TotalElectric</t>
  </si>
  <si>
    <t>Total Net Electricity Generation</t>
  </si>
  <si>
    <t>ESD000:ga_TotalNetGener</t>
  </si>
  <si>
    <t>Net Generation to the Grid</t>
  </si>
  <si>
    <t>ESD000:ha_NetImports</t>
  </si>
  <si>
    <t>Net Imports</t>
  </si>
  <si>
    <t>Electricity Sales by Sector</t>
  </si>
  <si>
    <t>ESD000:ia_Residential</t>
  </si>
  <si>
    <t xml:space="preserve">  Residential</t>
  </si>
  <si>
    <t>ESD000:ia_Commercial</t>
  </si>
  <si>
    <t xml:space="preserve">  Commercial</t>
  </si>
  <si>
    <t>ESD000:ia_Industrial</t>
  </si>
  <si>
    <t xml:space="preserve">  Industrial</t>
  </si>
  <si>
    <t>ESD000:ia_Transportatio</t>
  </si>
  <si>
    <t xml:space="preserve">  Transportation</t>
  </si>
  <si>
    <t>ESD000:ia_Total</t>
  </si>
  <si>
    <t>ESD000:ia_DirectUse</t>
  </si>
  <si>
    <t>Direct Use</t>
  </si>
  <si>
    <t>ESD000:ia_TotalConsumpt</t>
  </si>
  <si>
    <t>Total Electricity Use</t>
  </si>
  <si>
    <t>End-Use Prices</t>
  </si>
  <si>
    <t>(2020 cents per kilowatthour)</t>
  </si>
  <si>
    <t>ESD000:ja_Residential</t>
  </si>
  <si>
    <t>ESD000:ja_Commercial</t>
  </si>
  <si>
    <t>ESD000:ja_Industrial</t>
  </si>
  <si>
    <t>ESD000:ja_Transportatio</t>
  </si>
  <si>
    <t>ESD000:ja_AllSectorsAve</t>
  </si>
  <si>
    <t xml:space="preserve">    All Sectors Average</t>
  </si>
  <si>
    <t>(nominal cents per kilowatthour)</t>
  </si>
  <si>
    <t>ESD000:nom_Residential</t>
  </si>
  <si>
    <t>ESD000:nom_Commercial</t>
  </si>
  <si>
    <t>ESD000:nom_Industrial</t>
  </si>
  <si>
    <t>ESD000:nom_Transportati</t>
  </si>
  <si>
    <t>ESD000:nom_AllSectorsAv</t>
  </si>
  <si>
    <t>Prices by Service Category</t>
  </si>
  <si>
    <t>ESD000:ka_Generation</t>
  </si>
  <si>
    <t xml:space="preserve">  Generation</t>
  </si>
  <si>
    <t>ESD000:ka_Transmission</t>
  </si>
  <si>
    <t xml:space="preserve">  Transmission</t>
  </si>
  <si>
    <t>ESD000:ka_Distribution</t>
  </si>
  <si>
    <t xml:space="preserve">  Distribution</t>
  </si>
  <si>
    <t>ESD000:nom_Generation</t>
  </si>
  <si>
    <t>ESD000:nom_Transmission</t>
  </si>
  <si>
    <t>ESD000:nom_Distribution</t>
  </si>
  <si>
    <t>Electric Power Sector Emissions 1/</t>
  </si>
  <si>
    <t>ESD000:la_SulfurDioxide</t>
  </si>
  <si>
    <t xml:space="preserve">  Sulfur Dioxide (million short tons)</t>
  </si>
  <si>
    <t>ESD000:la_NitrogenOxide</t>
  </si>
  <si>
    <t xml:space="preserve">  Nitrogen Oxide (million short tons)</t>
  </si>
  <si>
    <t>ESD000:la_Mercury(tons)</t>
  </si>
  <si>
    <t xml:space="preserve">  Mercury (short tons)</t>
  </si>
  <si>
    <t>1/ Includes electricity-only and combined heat and power plants that have a regulatory status.</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</si>
  <si>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</si>
  <si>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</si>
  <si>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</si>
  <si>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</si>
  <si>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</si>
  <si>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</si>
  <si>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(i.e., those that report North American Industry Classification System code 22 or that have a regulatory status).</t>
  </si>
  <si>
    <t>7/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</si>
  <si>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</si>
  <si>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</si>
  <si>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8/ Includes refinery gas and still gas.</t>
  </si>
  <si>
    <t>9/ Includes conventional hydroelectric, geothermal, wood, wood waste, all municipal waste, landfill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</si>
  <si>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</si>
  <si>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</si>
  <si>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</si>
  <si>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chemicals, hydrogen, pitch, purchased steam, sulfur, and miscellaneous technologies.</t>
  </si>
  <si>
    <t>Projections:  EIA, AEO2021 National Energy Modeling System run ref2021.d113020a.</t>
  </si>
  <si>
    <t>EGC000</t>
  </si>
  <si>
    <t>(gigawatts)</t>
  </si>
  <si>
    <t xml:space="preserve"> Net Summer Capacity 1/</t>
  </si>
  <si>
    <t>Electric Power Sector 2/</t>
  </si>
  <si>
    <t xml:space="preserve">  Power Only 3/</t>
  </si>
  <si>
    <t>EGC000:ba_CoalSteam</t>
  </si>
  <si>
    <t xml:space="preserve">    Coal 4/</t>
  </si>
  <si>
    <t>EGC000:ba_OtherFossilSt</t>
  </si>
  <si>
    <t xml:space="preserve">    Oil and Natural Gas Steam 4, 5/</t>
  </si>
  <si>
    <t>EGC000:ba_CombinedCycle</t>
  </si>
  <si>
    <t xml:space="preserve">    Combined Cycle</t>
  </si>
  <si>
    <t>EGC000:ba_CombustionTur</t>
  </si>
  <si>
    <t xml:space="preserve">    Combustion Turbine/Diesel</t>
  </si>
  <si>
    <t>EGC000:ba_NuclearPower</t>
  </si>
  <si>
    <t xml:space="preserve">    Nuclear Power 6/</t>
  </si>
  <si>
    <t>EGC000:ba_PumpedStorage</t>
  </si>
  <si>
    <t xml:space="preserve">    Pumped Storage</t>
  </si>
  <si>
    <t>EGC000:ba_DiurnalStorag</t>
  </si>
  <si>
    <t xml:space="preserve">    Diurnal Storage</t>
  </si>
  <si>
    <t>EGC000:ba_FuelCells</t>
  </si>
  <si>
    <t xml:space="preserve">    Fuel Cells</t>
  </si>
  <si>
    <t>EGC000:ba_RenewableSour</t>
  </si>
  <si>
    <t xml:space="preserve">    Renewable Sources 7/</t>
  </si>
  <si>
    <t>EGC000:ba_DistributedGe</t>
  </si>
  <si>
    <t xml:space="preserve">    Distributed Generation (Natural Gas) 8/</t>
  </si>
  <si>
    <t>EGC000:ba_Total</t>
  </si>
  <si>
    <t xml:space="preserve">  Combined Heat and Power 9/</t>
  </si>
  <si>
    <t>EGC000:ca_CoalSteam</t>
  </si>
  <si>
    <t>EGC000:ca_OtherFossilSt</t>
  </si>
  <si>
    <t xml:space="preserve">    Oil and Natural Gas Steam 5/</t>
  </si>
  <si>
    <t>EGC000:ca_CombinedCycle</t>
  </si>
  <si>
    <t>EGC000:ca_CombustionTur</t>
  </si>
  <si>
    <t>EGC000:ca_RenewableSour</t>
  </si>
  <si>
    <t>EGC000:ca_Total</t>
  </si>
  <si>
    <t xml:space="preserve">  Cumulative Planned Additions 10/</t>
  </si>
  <si>
    <t>EGC000:da_CoalSteam</t>
  </si>
  <si>
    <t>EGC000:da_OtherFossilSt</t>
  </si>
  <si>
    <t>EGC000:da_CombinedCycle</t>
  </si>
  <si>
    <t>EGC000:da_CombustionTur</t>
  </si>
  <si>
    <t>EGC000:da_NuclearPower</t>
  </si>
  <si>
    <t>EGC000:da_PumpedStorage</t>
  </si>
  <si>
    <t>EGC000:da_DiurnalStorag</t>
  </si>
  <si>
    <t>EGC000:da_FuelCells</t>
  </si>
  <si>
    <t>EGC000:da_RenewableSour</t>
  </si>
  <si>
    <t>EGC000:da_DistributedGe</t>
  </si>
  <si>
    <t xml:space="preserve">    Distributed Generation 8/</t>
  </si>
  <si>
    <t>EGC000:da_Total</t>
  </si>
  <si>
    <t xml:space="preserve">  Cumulative Unplanned Additions 10/</t>
  </si>
  <si>
    <t>EGC000:ea_CoalSteam</t>
  </si>
  <si>
    <t>EGC000:ea_OtherFossilSt</t>
  </si>
  <si>
    <t>EGC000:ea_CombinedCycle</t>
  </si>
  <si>
    <t>EGC000:ea_CombustionTur</t>
  </si>
  <si>
    <t>EGC000:ea_NuclearPower</t>
  </si>
  <si>
    <t>EGC000:ea_PumpedStorage</t>
  </si>
  <si>
    <t>EGC000:ea_DiurnalStorag</t>
  </si>
  <si>
    <t>EGC000:ea_FuelCells</t>
  </si>
  <si>
    <t>EGC000:ea_RenewableSour</t>
  </si>
  <si>
    <t>EGC000:ea_DistributedGe</t>
  </si>
  <si>
    <t>EGC000:ea_Total</t>
  </si>
  <si>
    <t>EGC000:ea_CumulativeEle</t>
  </si>
  <si>
    <t xml:space="preserve">  Cumulative Electric Power Sector Additions 10</t>
  </si>
  <si>
    <t xml:space="preserve">  Cumulative Retirements 11/</t>
  </si>
  <si>
    <t>EGC000:fa_CoalSteam</t>
  </si>
  <si>
    <t>EGC000:fa_OtherFossilSt</t>
  </si>
  <si>
    <t>EGC000:fa_CombinedCycle</t>
  </si>
  <si>
    <t>EGC000:fa_CombustionTur</t>
  </si>
  <si>
    <t>EGC000:fa_NuclearPower</t>
  </si>
  <si>
    <t>EGC000:fa_PumpedStorage</t>
  </si>
  <si>
    <t>EGC000:fa_DiurnalStorag</t>
  </si>
  <si>
    <t>EGC000:fa_FuelCells</t>
  </si>
  <si>
    <t>EGC000:fa_RenewableSour</t>
  </si>
  <si>
    <t>EGC000:fa_Total</t>
  </si>
  <si>
    <t>EGC000:ga_TotalElectric</t>
  </si>
  <si>
    <t>Total Electric Power Sector Capacity</t>
  </si>
  <si>
    <t>End-Use Generators 12/</t>
  </si>
  <si>
    <t>EGC000:ha_Coal</t>
  </si>
  <si>
    <t>EGC000:ha_Petroleum</t>
  </si>
  <si>
    <t>EGC000:ha_NaturalGas</t>
  </si>
  <si>
    <t>EGC000:ha_OtherGaseousF</t>
  </si>
  <si>
    <t xml:space="preserve">    Other Gaseous Fuels 13/</t>
  </si>
  <si>
    <t>EGC000:ha_RenewableSour</t>
  </si>
  <si>
    <t>EGC000:ha_Other</t>
  </si>
  <si>
    <t xml:space="preserve">    Other 14/</t>
  </si>
  <si>
    <t>EGC000:ha_Total</t>
  </si>
  <si>
    <t>EGC000:ia_CumulativeCap</t>
  </si>
  <si>
    <t xml:space="preserve">  Cumulative Capacity Additions 10/</t>
  </si>
  <si>
    <t>1/ Net summer capacity is the steady hourly output that generating equipment is expected to supply to</t>
  </si>
  <si>
    <t>system load (exclusive of auxiliary power), as demonstrated by tests during summer peak demand.</t>
  </si>
  <si>
    <t>2/ Includes electricity-only and combined heat and power plants that have a regulatory status.</t>
  </si>
  <si>
    <t>3/ Includes plants that only produce electricity and that have a regulatory status.  Includes capacity increases (uprates) at existing units.</t>
  </si>
  <si>
    <t>4/ Total coal and oil and natural gas steam capacity account for the conversion of coal capacity to gas steam capacity, but the conversions</t>
  </si>
  <si>
    <t>are not included explicitly as additions or retirements.  No planned conversions are assumed.  The totals reflect any conversions projected by</t>
  </si>
  <si>
    <t>the model.</t>
  </si>
  <si>
    <t>5/ Includes oil-, gas-, and dual-fired capacity.</t>
  </si>
  <si>
    <t>6/ Nuclear capacity includes 2.1 gigawatts of uprates.</t>
  </si>
  <si>
    <t>7/ Includes conventional hydroelectric, geothermal, wood, wood waste, all municipal waste, landfill gas,</t>
  </si>
  <si>
    <t>other biomass, solar, and wind power.  Facilities co-firing biomass and coal are classified as coal.</t>
  </si>
  <si>
    <t>8/ Primarily peak-load capacity fueled by natural gas.</t>
  </si>
  <si>
    <t>9/ Includes combined heat and power plants whose primary business is to sell electricity and heat to the public</t>
  </si>
  <si>
    <t>10/ Cumulative additions after December 31, 2020.</t>
  </si>
  <si>
    <t>11/ Cumulative retirements after December 31, 2020.</t>
  </si>
  <si>
    <t>12/ Includes combined heat and power plants and electricity-only plants in the commercial and industrial sectors that have a non-regulatory</t>
  </si>
  <si>
    <t>13/ Includes refinery gas and still gas.</t>
  </si>
  <si>
    <t>14/ Includes batteries, chemicals, hydrogen, pitch, purchased steam, sulfur, and miscellaneous technologies.</t>
  </si>
  <si>
    <t>Sources:  2020:  U.S. Energy Information Administration (EIA), Short-Term Energy Outlook, October 2020 and EIA,</t>
  </si>
  <si>
    <t>ETT000</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</si>
  <si>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</si>
  <si>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</si>
  <si>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</si>
  <si>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</si>
  <si>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</si>
  <si>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</si>
  <si>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</si>
  <si>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</si>
  <si>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 xml:space="preserve">      Total Gross Domestic Sales</t>
  </si>
  <si>
    <t xml:space="preserve">  Gross Domestic Sales (million 2020 dollars)</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</si>
  <si>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</si>
  <si>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</si>
  <si>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</si>
  <si>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</si>
  <si>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</si>
  <si>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</si>
  <si>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</si>
  <si>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</si>
  <si>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Total Imports from Canada and Mexico</t>
  </si>
  <si>
    <t xml:space="preserve">  Exports to Canada and Mexico</t>
  </si>
  <si>
    <t>ETT000:ka_FirmPowerExpo</t>
  </si>
  <si>
    <t>ETT000:ka_EconomyExport</t>
  </si>
  <si>
    <t>ETT000:ka_GrossExportst</t>
  </si>
  <si>
    <t xml:space="preserve">      Total Exports to Canada and Mexico</t>
  </si>
  <si>
    <t>Firm power sales are capacity sales, meaning the delivery of the power is</t>
  </si>
  <si>
    <t>scheduled as part of the normal operating conditions of the affected electric systems.  Economy sales are subject to</t>
  </si>
  <si>
    <t>curtailment or cessation of delivery by the supplier in accordance with prior agreements or under specified conditions.</t>
  </si>
  <si>
    <t>Sources:  2020:  U.S. Energy Information Administration (EIA), Short-Term Energy</t>
  </si>
  <si>
    <t>Outlook, October 2020 and EIA, AEO2021 National Energy Modeling System run ref2021.d113020a.  Projections:  EIA, AEO2021 National Energy</t>
  </si>
  <si>
    <t>Modeling System run ref2021.d113020a.  Projections:  EIA, AEO2021 National Energy Modeling System run ref2021.d113020a.</t>
  </si>
  <si>
    <t>PSD000</t>
  </si>
  <si>
    <t>(million barrels per day, unless otherwise noted)</t>
  </si>
  <si>
    <t xml:space="preserve"> Supply and Disposition</t>
  </si>
  <si>
    <t xml:space="preserve"> Crude Oil</t>
  </si>
  <si>
    <t>PSD000:ba_DomesticCrude</t>
  </si>
  <si>
    <t xml:space="preserve">   Domestic Crude Production 1/</t>
  </si>
  <si>
    <t>PSD000:ba_Alaska</t>
  </si>
  <si>
    <t xml:space="preserve">     Alaska</t>
  </si>
  <si>
    <t>PSD000:ba_Lower48States</t>
  </si>
  <si>
    <t xml:space="preserve">     Lower 48 States</t>
  </si>
  <si>
    <t>PSD000:ba_NetImports</t>
  </si>
  <si>
    <t xml:space="preserve">   Net Imports</t>
  </si>
  <si>
    <t>PSD000:ba_GrossImports</t>
  </si>
  <si>
    <t xml:space="preserve">     Gross Imports</t>
  </si>
  <si>
    <t>PSD000:ba_Exports</t>
  </si>
  <si>
    <t xml:space="preserve">     Exports</t>
  </si>
  <si>
    <t>PSD000:ba_OtherCrudeSup</t>
  </si>
  <si>
    <t xml:space="preserve">   Other Crude Supply 2/</t>
  </si>
  <si>
    <t>PSD000:ba_TotalCrudeSup</t>
  </si>
  <si>
    <t xml:space="preserve">     Total Crude Supply</t>
  </si>
  <si>
    <t>PSD000:ca_NetProductImp</t>
  </si>
  <si>
    <t xml:space="preserve"> Net Product Imports</t>
  </si>
  <si>
    <t>PSD000:ca_GrossRefinedP</t>
  </si>
  <si>
    <t xml:space="preserve">   Gross Refined Product Imports 3/</t>
  </si>
  <si>
    <t>PSD000:ca_UnfinishedOil</t>
  </si>
  <si>
    <t xml:space="preserve">   Unfinished Oil Imports</t>
  </si>
  <si>
    <t>PSD000:ca_BlendingCompo</t>
  </si>
  <si>
    <t xml:space="preserve">   Blending Component Imports</t>
  </si>
  <si>
    <t>PSD000:ca_Exports</t>
  </si>
  <si>
    <t xml:space="preserve">   Exports</t>
  </si>
  <si>
    <t>PSD000:ca_RefineryProce</t>
  </si>
  <si>
    <t xml:space="preserve"> Refinery Processing Gain 4/</t>
  </si>
  <si>
    <t>PSD000:ProductStockDraw</t>
  </si>
  <si>
    <t xml:space="preserve"> Product Stock Withdrawal</t>
  </si>
  <si>
    <t>PSD000:ca_NaturalGasPla</t>
  </si>
  <si>
    <t xml:space="preserve"> Natural Gas Plant Liquids</t>
  </si>
  <si>
    <t>PSD000:from_Renewables</t>
  </si>
  <si>
    <t xml:space="preserve"> Biofuels</t>
  </si>
  <si>
    <t>PSD000:cb_TotalEthanol</t>
  </si>
  <si>
    <t xml:space="preserve">   Ethanol</t>
  </si>
  <si>
    <t>PSD000:ca_DomesticEthan</t>
  </si>
  <si>
    <t xml:space="preserve">     Domestic Production</t>
  </si>
  <si>
    <t>PSD000:ca_EthanolImport</t>
  </si>
  <si>
    <t xml:space="preserve">     Net Imports</t>
  </si>
  <si>
    <t>PSD000:ca_EthanolWithdr</t>
  </si>
  <si>
    <t xml:space="preserve">     Stock Withdrawal</t>
  </si>
  <si>
    <t>PSD000:cb_TotalBiodiesl</t>
  </si>
  <si>
    <t xml:space="preserve">   Biodiesel</t>
  </si>
  <si>
    <t>PSD000:cb_DomesticBiodi</t>
  </si>
  <si>
    <t>PSD000:cb_BiodieselImpo</t>
  </si>
  <si>
    <t>PSD000:cb_BiodieselWith</t>
  </si>
  <si>
    <t>PSD000:Other_BM-derived</t>
  </si>
  <si>
    <t xml:space="preserve">   Other Biomass-derived Liquids 5/</t>
  </si>
  <si>
    <t>PSD000:Other_BM_Dome</t>
  </si>
  <si>
    <t>PSD000:Other_BM_NetImp</t>
  </si>
  <si>
    <t>PSD000:Other_BM_Stock</t>
  </si>
  <si>
    <t>PSD000:AllLiquidsfromGa</t>
  </si>
  <si>
    <t xml:space="preserve"> Liquids from Gas</t>
  </si>
  <si>
    <t>PSD000:ca_LiquidsfromCo</t>
  </si>
  <si>
    <t xml:space="preserve"> Liquids from Coal</t>
  </si>
  <si>
    <t>PSD000:ca_OtherOther</t>
  </si>
  <si>
    <t xml:space="preserve"> Other 6/</t>
  </si>
  <si>
    <t>PSD000:da_TotalPrimaryS</t>
  </si>
  <si>
    <t xml:space="preserve"> Total Primary Supply 7/</t>
  </si>
  <si>
    <t xml:space="preserve"> Product Supplied</t>
  </si>
  <si>
    <t xml:space="preserve">   by Fuel</t>
  </si>
  <si>
    <t>PSD000:ea_LiqPetGas</t>
  </si>
  <si>
    <t xml:space="preserve">     Liquefied Petroleum Gases and Other 8/</t>
  </si>
  <si>
    <t>PSD000:ea_MotorGasoline</t>
  </si>
  <si>
    <t xml:space="preserve">     Motor Gasoline 9/</t>
  </si>
  <si>
    <t>PSD000:ea_E85E85E85E85</t>
  </si>
  <si>
    <t xml:space="preserve">        of which:  E85 10/</t>
  </si>
  <si>
    <t>PSD000:ea_JetFuel</t>
  </si>
  <si>
    <t xml:space="preserve">     Jet Fuel 11/</t>
  </si>
  <si>
    <t>PSD000:ea_DistillateFue</t>
  </si>
  <si>
    <t xml:space="preserve">     Distillate Fuel Oil 12/</t>
  </si>
  <si>
    <t>PSD000:eb_DieselAllSect</t>
  </si>
  <si>
    <t xml:space="preserve">       of which:  Diesel</t>
  </si>
  <si>
    <t>PSD000:ea_ResidualFuel</t>
  </si>
  <si>
    <t xml:space="preserve">     Residual Fuel Oil</t>
  </si>
  <si>
    <t>PSD000:ea_Other</t>
  </si>
  <si>
    <t xml:space="preserve">     Other 13/</t>
  </si>
  <si>
    <t xml:space="preserve">   by Sector</t>
  </si>
  <si>
    <t>PSD000:fa_Residentialan</t>
  </si>
  <si>
    <t xml:space="preserve">     Residential and Commercial</t>
  </si>
  <si>
    <t>PSD000:fa_Industrial</t>
  </si>
  <si>
    <t xml:space="preserve">     Industrial 14/</t>
  </si>
  <si>
    <t>PSD000:fa_Transportatio</t>
  </si>
  <si>
    <t xml:space="preserve">     Transportation</t>
  </si>
  <si>
    <t>PSD000:fa_ElectricPower</t>
  </si>
  <si>
    <t xml:space="preserve">     Electric Power 15/</t>
  </si>
  <si>
    <t>PSD000:fa_balancesector</t>
  </si>
  <si>
    <t xml:space="preserve">     Unspecified Sector 16/</t>
  </si>
  <si>
    <t>PSD000:fa_Total</t>
  </si>
  <si>
    <t xml:space="preserve">   Total</t>
  </si>
  <si>
    <t>PSD000:ga_Discrepancy</t>
  </si>
  <si>
    <t xml:space="preserve"> Discrepancy 17/</t>
  </si>
  <si>
    <t>PSD000:ha_DomesticRefin</t>
  </si>
  <si>
    <t>Domestic Refinery Distillation Capacity 18/</t>
  </si>
  <si>
    <t>PSD000:ha_CapacityUtili</t>
  </si>
  <si>
    <t>Capacity Utilization Rate (percent) 19/</t>
  </si>
  <si>
    <t>PSD000:total_gross_imp</t>
  </si>
  <si>
    <t>Total Gross Imports</t>
  </si>
  <si>
    <t>PSD000:total_gross_exp</t>
  </si>
  <si>
    <t>Total Gross Exports</t>
  </si>
  <si>
    <t>PSD000:total_net_import</t>
  </si>
  <si>
    <t>Total Net Imports</t>
  </si>
  <si>
    <t>PSD000:ha_ImportShareof</t>
  </si>
  <si>
    <t>Net Import Share of Product Supplied (percent)</t>
  </si>
  <si>
    <t>Expenditures for Imported Crude Oil and</t>
  </si>
  <si>
    <t>PSD000:ha_PetroleumProd</t>
  </si>
  <si>
    <t xml:space="preserve"> Petroleum Products (billion 2020 dollars)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</si>
  <si>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</si>
  <si>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</si>
  <si>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</si>
  <si>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have a lower specific gravity than the crude oil processed.</t>
  </si>
  <si>
    <t>5/ Includes pyrolysis oils, biomass-derived Fischer-Tropsch liquids, biobutanol, and renewable feedstocks used for the</t>
  </si>
  <si>
    <t>on-site production of diesel and gasoline.</t>
  </si>
  <si>
    <t>6/ Includes domestic sources of other blending components, other hydrocarbons, and ethers.</t>
  </si>
  <si>
    <t>7/ Total crude supply, net product imports, refinery processing gain, product stock withdrawal, natural gas plant liquids, supply from</t>
  </si>
  <si>
    <t>renewable sources, liquids from gas, liquids from coal, and other supply.</t>
  </si>
  <si>
    <t>8/ Includes ethane, natural gasoline, and refinery olefins.</t>
  </si>
  <si>
    <t>9/ Includes ethanol and ethers blended into gasoline.</t>
  </si>
  <si>
    <t>10/ E85 refers to a blend of 85 percent ethanol (renewable) and 15 percent motor gasoline (nonrenewable).  To address cold starting</t>
  </si>
  <si>
    <t>issues, the percentage of ethanol varies seasonally.  The annual average ethanol content of 74 percent is used for these projections.</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</si>
  <si>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</si>
  <si>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</si>
  <si>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</si>
  <si>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coke, crude oil product supplied, methanol, miscellaneous petroleum products, and kerosene not used in the residential sector.</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</si>
  <si>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</si>
  <si>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</si>
  <si>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</si>
  <si>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</si>
  <si>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</si>
  <si>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</si>
  <si>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operable refining capacity in barrels per calendar day.</t>
  </si>
  <si>
    <t>PPP000</t>
  </si>
  <si>
    <t>(2020 dollars per gallon, unless otherwise noted)</t>
  </si>
  <si>
    <t xml:space="preserve"> Sector and Fuel</t>
  </si>
  <si>
    <t>Crude Oil Prices (2020 dollars per barrel)</t>
  </si>
  <si>
    <t>PPP000:ba_WorldOilPrice</t>
  </si>
  <si>
    <t xml:space="preserve">   Brent Spot</t>
  </si>
  <si>
    <t>PPP000:bb_ForeignLSLigh</t>
  </si>
  <si>
    <t xml:space="preserve">   West Texas Intermediate Spot</t>
  </si>
  <si>
    <t>PPP000:bb_Imported_Real</t>
  </si>
  <si>
    <t xml:space="preserve">   Average Imported Cost 1/</t>
  </si>
  <si>
    <t>PPP000:see_spot_markup</t>
  </si>
  <si>
    <t xml:space="preserve">   Brent / West Texas Intermediate Spread</t>
  </si>
  <si>
    <t xml:space="preserve"> Delivered Sector Product Prices</t>
  </si>
  <si>
    <t>PPP000:da_LiquefiedPetr</t>
  </si>
  <si>
    <t>PPP000:da_DistillateFue</t>
  </si>
  <si>
    <t>PPP000:ea_DistillateFue</t>
  </si>
  <si>
    <t>PPP000:ea_ResidualFuel</t>
  </si>
  <si>
    <t>PPP000:ea_ResidualFuel(</t>
  </si>
  <si>
    <t xml:space="preserve">   Residual Fuel Oil (2020 dollars per barrel)</t>
  </si>
  <si>
    <t xml:space="preserve"> Industrial 2/</t>
  </si>
  <si>
    <t>PPP000:fa_LiquefiedPetr</t>
  </si>
  <si>
    <t>PPP000:fa_DistillateFue</t>
  </si>
  <si>
    <t>PPP000:fa_ResidualFuel</t>
  </si>
  <si>
    <t>PPP000:fa_ResidualFuel(</t>
  </si>
  <si>
    <t>PPP000:ga_LiquefiedPetr</t>
  </si>
  <si>
    <t>PPP000:ga_Ethanol(E85)</t>
  </si>
  <si>
    <t>PPP000:pr_EthanolWhole</t>
  </si>
  <si>
    <t xml:space="preserve">   Ethanol Wholesale Price</t>
  </si>
  <si>
    <t>PPP000:ga_MotorGasoline</t>
  </si>
  <si>
    <t>PPP000:ga_JetFuel</t>
  </si>
  <si>
    <t>PPP000:ga_DieselFuel(Di</t>
  </si>
  <si>
    <t>PPP000:ga_ResidualFuel</t>
  </si>
  <si>
    <t>PPP000:ga_ResidualFuel(</t>
  </si>
  <si>
    <t xml:space="preserve"> Electric Power 7/</t>
  </si>
  <si>
    <t>PPP000:ha_DistillateFue</t>
  </si>
  <si>
    <t>PPP000:ha_ResidualFuel</t>
  </si>
  <si>
    <t>PPP000:ha_ResidualFuel(</t>
  </si>
  <si>
    <t>Average Prices, All Sectors 8/</t>
  </si>
  <si>
    <t>PPP000:ia_LiquefiedPetr</t>
  </si>
  <si>
    <t>PPP000:ia_MotorGasoline</t>
  </si>
  <si>
    <t>PPP000:ia_JetFuel</t>
  </si>
  <si>
    <t>PPP000:ia_DistillateFue</t>
  </si>
  <si>
    <t>PPP000:ia_ResidualFuel</t>
  </si>
  <si>
    <t>PPP000:ia_ResidualFuel(</t>
  </si>
  <si>
    <t>PPP000:ia_Average</t>
  </si>
  <si>
    <t xml:space="preserve">     Average</t>
  </si>
  <si>
    <t>Crude Oil Spot Prices (nominal dollars per barrel)</t>
  </si>
  <si>
    <t>PPP000:nom_WorldOilPric</t>
  </si>
  <si>
    <t>PPP000:nom_ForeignLSLig</t>
  </si>
  <si>
    <t>PPP000:nom_Imported_Rea</t>
  </si>
  <si>
    <t>Delivered Sector Product Prices</t>
  </si>
  <si>
    <t>Nominal Dollars per Gallon</t>
  </si>
  <si>
    <t>PPP000:nom_R_LiquefiedP</t>
  </si>
  <si>
    <t>PPP000:nom_R_Distillate</t>
  </si>
  <si>
    <t>PPP000:nom_C_Distillate</t>
  </si>
  <si>
    <t>PPP000:nom_C_ResidualFu</t>
  </si>
  <si>
    <t>PPP000:nom_I_LiquefiedP</t>
  </si>
  <si>
    <t>PPP000:nom_I_Distillate</t>
  </si>
  <si>
    <t>PPP000:nom_I_ResidualFu</t>
  </si>
  <si>
    <t>PPP000:nom_T_LiquefiedP</t>
  </si>
  <si>
    <t>PPP000:nom_T_Ethan(E85)</t>
  </si>
  <si>
    <t>PPP000:nom_T_EthanWhole</t>
  </si>
  <si>
    <t>PPP000:nom_T_MotorGasol</t>
  </si>
  <si>
    <t>PPP000:nom_T_JetFuel</t>
  </si>
  <si>
    <t>PPP000:nom_T_DieselFuel</t>
  </si>
  <si>
    <t>PPP000:nom_T_ResidualFu</t>
  </si>
  <si>
    <t>PPP000:nom_E_Distillate</t>
  </si>
  <si>
    <t>PPP000:nom_E_ResidualFu</t>
  </si>
  <si>
    <t xml:space="preserve"> Average Prices, All Sectors 8/</t>
  </si>
  <si>
    <t>PPP000:nom_Avg_Liquefie</t>
  </si>
  <si>
    <t>PPP000:nom_Avg_MotorGas</t>
  </si>
  <si>
    <t>PPP000:nom_Avg_JetFuel</t>
  </si>
  <si>
    <t>PPP000:nom_Avg_Distilla</t>
  </si>
  <si>
    <t>PPP000:nom_Avg_Residual</t>
  </si>
  <si>
    <t xml:space="preserve">   Residual Fuel Oil (dollars per barrel)</t>
  </si>
  <si>
    <t>PPP000:nom_Avg_Average</t>
  </si>
  <si>
    <t>1/ Weighted average price delivered to U.S. refiners.</t>
  </si>
  <si>
    <t>2/ Includes combined heat and power plants that have a non-regulatory status, and small on-site generating systems.</t>
  </si>
  <si>
    <t>3/ E85 refers to a blend of 85 percent ethanol (renewable) and 15 percent motor gasoline (nonrenewable).  To address cold starting</t>
  </si>
  <si>
    <t>5/ Includes only kerosene type.</t>
  </si>
  <si>
    <t>7/ Includes electricity-only and combined heat and power plants that have a regulatory status.</t>
  </si>
  <si>
    <t>8/ Weighted averages of end-use fuel prices are derived from the prices in each sector and the corresponding sectoral consumption.</t>
  </si>
  <si>
    <t>NGS000</t>
  </si>
  <si>
    <t>(trillion cubic feet, unless otherwise noted)</t>
  </si>
  <si>
    <t xml:space="preserve"> Production</t>
  </si>
  <si>
    <t>NGS000:ba_DryGasProduct</t>
  </si>
  <si>
    <t xml:space="preserve">   Dry Gas Production 1/</t>
  </si>
  <si>
    <t>NGS000:ba_SupplementalN</t>
  </si>
  <si>
    <t xml:space="preserve">   Supplemental Natural Gas 2/</t>
  </si>
  <si>
    <t>NGS000:ca_NetImports</t>
  </si>
  <si>
    <t xml:space="preserve"> Net Imports</t>
  </si>
  <si>
    <t>NGS000:ca_PipelineImp</t>
  </si>
  <si>
    <t xml:space="preserve">   Pipeline 3/</t>
  </si>
  <si>
    <t>NGS000:ca_LiquefiedNatu</t>
  </si>
  <si>
    <t xml:space="preserve">   Liquefied Natural Gas</t>
  </si>
  <si>
    <t>NGS000:da_TotalSupply</t>
  </si>
  <si>
    <t xml:space="preserve"> Total Supply</t>
  </si>
  <si>
    <t>NGS000:ea_Total</t>
  </si>
  <si>
    <t xml:space="preserve"> Consumption by Sector</t>
  </si>
  <si>
    <t>NGS000:ea_Residential</t>
  </si>
  <si>
    <t xml:space="preserve">   Residential</t>
  </si>
  <si>
    <t>NGS000:ea_Commercial</t>
  </si>
  <si>
    <t xml:space="preserve">   Commercial</t>
  </si>
  <si>
    <t>NGS000:Total_industrial</t>
  </si>
  <si>
    <t xml:space="preserve">   Industrial 4/</t>
  </si>
  <si>
    <t>NGS000:ea_Industrial</t>
  </si>
  <si>
    <t xml:space="preserve">     Other Industrial 4/</t>
  </si>
  <si>
    <t>NGS000:ea_LeaseandPlant</t>
  </si>
  <si>
    <t xml:space="preserve">     Lease and Plant Fuel 5/</t>
  </si>
  <si>
    <t>NGS000:ea_liquefactexp</t>
  </si>
  <si>
    <t xml:space="preserve">     Fuel Used to Liquefy Gas for Export 6/</t>
  </si>
  <si>
    <t>NGS000:fa_GastoLiquids</t>
  </si>
  <si>
    <t xml:space="preserve">     Natural Gas-to-Liquids Heat and Power 7/</t>
  </si>
  <si>
    <t>NGS000:fa_Gas2LiqLiqPrd</t>
  </si>
  <si>
    <t xml:space="preserve">     Natural Gas to Liquids Production 8/</t>
  </si>
  <si>
    <t>NGS000:Total_transport</t>
  </si>
  <si>
    <t xml:space="preserve">   Transportation</t>
  </si>
  <si>
    <t>NGS000:ea_Transportatio</t>
  </si>
  <si>
    <t xml:space="preserve">     Motor Vehicles, Trains, and Ships</t>
  </si>
  <si>
    <t>NGS000:ea_PipelineFuel</t>
  </si>
  <si>
    <t xml:space="preserve">     Pipeline and Distribution Fuel</t>
  </si>
  <si>
    <t>NGS000:ea_ElectricPower</t>
  </si>
  <si>
    <t xml:space="preserve">   Electric Power 9/</t>
  </si>
  <si>
    <t>NGS000:ga_Discrepancy</t>
  </si>
  <si>
    <t xml:space="preserve"> Discrepancy 10/</t>
  </si>
  <si>
    <t>Natural Gas Prices</t>
  </si>
  <si>
    <t xml:space="preserve">  Natural Gas Spot Price at Henry Hub</t>
  </si>
  <si>
    <t>NGS000:ia_HenryHub</t>
  </si>
  <si>
    <t xml:space="preserve">  Delivered Prices</t>
  </si>
  <si>
    <t xml:space="preserve">  (2020 dollars per thousand cubic feet)</t>
  </si>
  <si>
    <t>NGS000:ja_Residential</t>
  </si>
  <si>
    <t xml:space="preserve">     Residential</t>
  </si>
  <si>
    <t>NGS000:ja_Commercial</t>
  </si>
  <si>
    <t xml:space="preserve">     Commercial</t>
  </si>
  <si>
    <t>NGS000:ja_Industrial</t>
  </si>
  <si>
    <t xml:space="preserve">     Industrial 11/</t>
  </si>
  <si>
    <t>NGS000:ja_Transportatio</t>
  </si>
  <si>
    <t xml:space="preserve">     Transportation 12/</t>
  </si>
  <si>
    <t>NGS000:ja_ElectricPower</t>
  </si>
  <si>
    <t xml:space="preserve">     Electric Power 9/</t>
  </si>
  <si>
    <t>NGS000:ja_Average</t>
  </si>
  <si>
    <t xml:space="preserve">        Average 13/</t>
  </si>
  <si>
    <t>NGS000:nom_HenryHub</t>
  </si>
  <si>
    <t xml:space="preserve">  (nominal dollars per thousand cubic feet)</t>
  </si>
  <si>
    <t>NGS000:nom_Residential</t>
  </si>
  <si>
    <t>NGS000:nom_Commercial</t>
  </si>
  <si>
    <t>NGS000:nom_Industrial</t>
  </si>
  <si>
    <t>NGS000:nom_Transportati</t>
  </si>
  <si>
    <t>NGS000:nom_ElectricPowr</t>
  </si>
  <si>
    <t>NGS000:nom_Average</t>
  </si>
  <si>
    <t>2/ Synthetic natural gas, propane air, coke oven gas, refinery gas, biomass gas, air injected for Btu stabilization, and manufactured</t>
  </si>
  <si>
    <t>gas commingled and distributed with natural gas.</t>
  </si>
  <si>
    <t>3/ Natural gas imported to and exported from Canada and Mexico.</t>
  </si>
  <si>
    <t>4/ Includes energy for combined heat and power plants that have a non-regulatory status, and small on-site generating systems.</t>
  </si>
  <si>
    <t>5/ Represents natural gas used in well, field, and lease operations, and in natural gas processing plant machinery.</t>
  </si>
  <si>
    <t>6/ Fuel used in facilities that liquefy natural gas for export.</t>
  </si>
  <si>
    <t>7/ Includes any natural gas used in the process of converting natural gas to liquid fuel that is not actually converted.</t>
  </si>
  <si>
    <t>8/ Includes any natural gas converted into liquid fuel.</t>
  </si>
  <si>
    <t>9/ Includes consumption of energy by electricity-only and combined heat and power plants that have a regulatory status.</t>
  </si>
  <si>
    <t>10/ Balancing item. Natural gas lost as a result of converting flow data measured at varying temperatures and pressures to a</t>
  </si>
  <si>
    <t>standard temperature and pressure and the merger of different data reporting systems which vary in scope, format, definition, and</t>
  </si>
  <si>
    <t>respondent type.</t>
  </si>
  <si>
    <t>11/ Excludes use for lease and plant fuel and fuel for liquefaction in export facilities.  Includes energy for combined heat and</t>
  </si>
  <si>
    <t>power plants that have a non-regulatory status, and small on-site generating systems.</t>
  </si>
  <si>
    <t>12/ Natural gas used as fuel in motor vehicles, trains, and ships.  Price includes estimated motor vehicle fuel taxes</t>
  </si>
  <si>
    <t>13/ Weighted average prices.  Weights used are the sectoral consumption values excluding lease, plant, pipeline and</t>
  </si>
  <si>
    <t>distribution fuel, and fuel used for liquefaction in export facilities.</t>
  </si>
  <si>
    <t>OGS000</t>
  </si>
  <si>
    <t xml:space="preserve"> Production and Supply</t>
  </si>
  <si>
    <t>Lower 48 Average Wellhead Price 1/</t>
  </si>
  <si>
    <t>OGS000:ca_(yyyydollarsp</t>
  </si>
  <si>
    <t>(2020 dollars per barrel)</t>
  </si>
  <si>
    <t>Production (million barrels per day) 2/</t>
  </si>
  <si>
    <t>OGS000:da_UnitedStatesT</t>
  </si>
  <si>
    <t xml:space="preserve">   United States Total</t>
  </si>
  <si>
    <t>OGS000:da_Lower48Onshor</t>
  </si>
  <si>
    <t xml:space="preserve">      Lower 48 Onshore</t>
  </si>
  <si>
    <t>OGS000:da_Low48Tight</t>
  </si>
  <si>
    <t xml:space="preserve">         Tight Oil 3/</t>
  </si>
  <si>
    <t>OGS000:da_Low48CO2EOR</t>
  </si>
  <si>
    <t xml:space="preserve">         Carbon Dioxide Enhanced Oil Recovery</t>
  </si>
  <si>
    <t>OGS000:da_Low48Other</t>
  </si>
  <si>
    <t xml:space="preserve">         Other</t>
  </si>
  <si>
    <t>OGS000:da_Lower48Offsho</t>
  </si>
  <si>
    <t xml:space="preserve">      Lower 48 Offshore</t>
  </si>
  <si>
    <t>OGS000:da_l48offstate</t>
  </si>
  <si>
    <t xml:space="preserve">         State</t>
  </si>
  <si>
    <t>OGS000:da_l48offfed</t>
  </si>
  <si>
    <t xml:space="preserve">         Federal</t>
  </si>
  <si>
    <t>OGS000:da_Alaska</t>
  </si>
  <si>
    <t xml:space="preserve">      Alaska</t>
  </si>
  <si>
    <t>OGS000:da_alaskaonshore</t>
  </si>
  <si>
    <t xml:space="preserve">         Onshore</t>
  </si>
  <si>
    <t>OGS000:da_akoffstate</t>
  </si>
  <si>
    <t xml:space="preserve">         State Offshore</t>
  </si>
  <si>
    <t>OGS000:da_akofffed</t>
  </si>
  <si>
    <t xml:space="preserve">         Federal Offshore</t>
  </si>
  <si>
    <t>Natural Gas Plant Liquids Production</t>
  </si>
  <si>
    <t>OGS000:ngpl_UnitedState</t>
  </si>
  <si>
    <t>OGS000:ngpl_Lower48On</t>
  </si>
  <si>
    <t>OGS000:ngpl_Lower48Off</t>
  </si>
  <si>
    <t>OGS000:ngpl_Alaska</t>
  </si>
  <si>
    <t>Natural Gas</t>
  </si>
  <si>
    <t>Prices (2020 dollars per million Btu)</t>
  </si>
  <si>
    <t>OGS000:ga_HenryHub</t>
  </si>
  <si>
    <t xml:space="preserve">   Henry Hub Spot Price</t>
  </si>
  <si>
    <t>Dry Production (trillion cubic feet) 4/</t>
  </si>
  <si>
    <t>OGS000:ha_UnitedStatesT</t>
  </si>
  <si>
    <t>OGS000:ha_Lower48Onshor</t>
  </si>
  <si>
    <t>OGS000:ha_Unconventiona</t>
  </si>
  <si>
    <t xml:space="preserve">         Tight Gas</t>
  </si>
  <si>
    <t>OGS000:na_GasShale</t>
  </si>
  <si>
    <t xml:space="preserve">         Shale Gas and Tight Oil Plays 3/</t>
  </si>
  <si>
    <t>OGS000:na_CoalbedMethan</t>
  </si>
  <si>
    <t xml:space="preserve">         Coalbed Methane</t>
  </si>
  <si>
    <t>OGS000:ha_Conventional</t>
  </si>
  <si>
    <t>OGS000:ha_Lower48Offsho</t>
  </si>
  <si>
    <t>OGS000:ha_l48offstate</t>
  </si>
  <si>
    <t>OGS000:ha_l48offfed</t>
  </si>
  <si>
    <t>OGS000:ia_Alaska</t>
  </si>
  <si>
    <t>OGS000:ka_SupplementalG</t>
  </si>
  <si>
    <t>Supplemental Gas Supplies (tcf) 5/</t>
  </si>
  <si>
    <t>OGS000:la_TotalLower48W</t>
  </si>
  <si>
    <t>Total Lower 48 Wells Drilled (thousands)</t>
  </si>
  <si>
    <t>1/ Represents lower 48 onshore and offshore supplies.</t>
  </si>
  <si>
    <t>2/ Includes lease condensate.</t>
  </si>
  <si>
    <t>3/ Tight oil represents resources in low-permeability reservoirs, including shale and chalk formations.</t>
  </si>
  <si>
    <t>4/ Marketed production (wet) minus extraction losses.</t>
  </si>
  <si>
    <t>5/ Synthetic natural gas, propane air, coke oven gas, refinery gas, biomass gas, air injected for Btu stabilization, and manufactured</t>
  </si>
  <si>
    <t>Tcf = Trillion cubic feet.</t>
  </si>
  <si>
    <t>CSD000</t>
  </si>
  <si>
    <t>(million short tons, unless otherwise noted)</t>
  </si>
  <si>
    <t>CSD000:ba_Appalachia</t>
  </si>
  <si>
    <t xml:space="preserve">  Appalachia</t>
  </si>
  <si>
    <t>CSD000:ba_Interior</t>
  </si>
  <si>
    <t xml:space="preserve">  Interior</t>
  </si>
  <si>
    <t>CSD000:ba_West</t>
  </si>
  <si>
    <t xml:space="preserve">  West</t>
  </si>
  <si>
    <t>CSD000:ca_EastoftheMiss</t>
  </si>
  <si>
    <t xml:space="preserve">  East of the Mississippi</t>
  </si>
  <si>
    <t>CSD000:ca_WestoftheMiss</t>
  </si>
  <si>
    <t xml:space="preserve">  West of the Mississippi</t>
  </si>
  <si>
    <t>CSD000:ca_Total</t>
  </si>
  <si>
    <t>CSD000:ca_WasteCoalSup</t>
  </si>
  <si>
    <t>Waste Coal Supplied 2/</t>
  </si>
  <si>
    <t>CSD000:da_Imports</t>
  </si>
  <si>
    <t xml:space="preserve">  Imports 3/</t>
  </si>
  <si>
    <t>CSD000:da_Exports</t>
  </si>
  <si>
    <t>CSD000:da_Total</t>
  </si>
  <si>
    <t>CSD000:ea_TotalSupply</t>
  </si>
  <si>
    <t>Total Supply 4/</t>
  </si>
  <si>
    <t>Consumption by Sector</t>
  </si>
  <si>
    <t>CSD000:fa_Residentialan</t>
  </si>
  <si>
    <t xml:space="preserve">  Commercial and Institutional</t>
  </si>
  <si>
    <t>CSD000:fa_CokePlants</t>
  </si>
  <si>
    <t xml:space="preserve">  Coke Plants</t>
  </si>
  <si>
    <t>CSD000:fa_Industrial</t>
  </si>
  <si>
    <t xml:space="preserve">  Other Industrial 5/</t>
  </si>
  <si>
    <t>CSD000:fa_HeatandPower(</t>
  </si>
  <si>
    <t xml:space="preserve">  Coal-to-Liquids Heat and Power</t>
  </si>
  <si>
    <t>CSD000:fa_LiquidsProduc</t>
  </si>
  <si>
    <t xml:space="preserve">  Coal to Liquids Production</t>
  </si>
  <si>
    <t>CSD000:fa_ElectricPower</t>
  </si>
  <si>
    <t xml:space="preserve">  Electric Power 6/</t>
  </si>
  <si>
    <t>CSD000:fa_TotalCoalUse</t>
  </si>
  <si>
    <t>CSD000:ga_Discrepancyan</t>
  </si>
  <si>
    <t>Discrepancy and Stock Change 7/</t>
  </si>
  <si>
    <t>Average Minemouth Price 8/</t>
  </si>
  <si>
    <t>CSD000:ha_dolpershorton</t>
  </si>
  <si>
    <t xml:space="preserve">  (2020 dollars per short ton)</t>
  </si>
  <si>
    <t>CSD000:ha_dolpermillBtu</t>
  </si>
  <si>
    <t>Delivered Prices 9/</t>
  </si>
  <si>
    <t>(2020 dollars per short ton)</t>
  </si>
  <si>
    <t>CSD000:real_comm_inst</t>
  </si>
  <si>
    <t>CSD000:ia_CokePlants</t>
  </si>
  <si>
    <t>CSD000:ia_Industrial</t>
  </si>
  <si>
    <t>CSD000:ja_CoaltoLiquids</t>
  </si>
  <si>
    <t>CSD000:ia_dolpershorton</t>
  </si>
  <si>
    <t xml:space="preserve">    (2020 dollars per short ton)</t>
  </si>
  <si>
    <t>CSD000:ja_dolpermillBtu</t>
  </si>
  <si>
    <t xml:space="preserve">    (2020 dollars per million Btu)</t>
  </si>
  <si>
    <t>CSD000:ja_Average</t>
  </si>
  <si>
    <t xml:space="preserve">      Average</t>
  </si>
  <si>
    <t>CSD000:ja_Exports</t>
  </si>
  <si>
    <t xml:space="preserve">  Exports 10/</t>
  </si>
  <si>
    <t>CSD000:nom_dolpershortn</t>
  </si>
  <si>
    <t xml:space="preserve">  (nominal dollars per short ton)</t>
  </si>
  <si>
    <t>CSD000:nom_dolpermilBtu</t>
  </si>
  <si>
    <t>(nominal dollars per short ton)</t>
  </si>
  <si>
    <t>CSD000:nom_comm_inst</t>
  </si>
  <si>
    <t>CSD000:nom_CokePlants</t>
  </si>
  <si>
    <t>CSD000:nom_Industrial</t>
  </si>
  <si>
    <t>CSD000:nom_CoaltoLiquid</t>
  </si>
  <si>
    <t>CSD000:nom_dollpershort</t>
  </si>
  <si>
    <t xml:space="preserve">    (nominal dollars per short ton)</t>
  </si>
  <si>
    <t>CSD000:nom_dollmillionB</t>
  </si>
  <si>
    <t xml:space="preserve">    (nominal dollars per million Btu)</t>
  </si>
  <si>
    <t>CSD000:nom_Average</t>
  </si>
  <si>
    <t>CSD000:nom_Exports</t>
  </si>
  <si>
    <t>1/ Includes anthracite, bituminous coal, subbituminous coal, and lignite.</t>
  </si>
  <si>
    <t>2/ Includes waste coal consumed by the electric power and industrial sectors.  Waste coal supplied is counted as a supply-side item to</t>
  </si>
  <si>
    <t>balance the same amount of waste coal included in the consumption data.</t>
  </si>
  <si>
    <t>3/ Excludes imports to Puerto Rico and the U.S. Virgin Islands.</t>
  </si>
  <si>
    <t>4/ Production plus waste coal supplied plus net imports.</t>
  </si>
  <si>
    <t>5/ Includes consumption for combined heat and power plants that have a non-regulatory status, and small on-site generating systems.</t>
  </si>
  <si>
    <t>Excludes all coal use in the coal-to-liquids process.</t>
  </si>
  <si>
    <t>6/ Includes all electricity-only and combined heat and power plants that have a regulatory status.</t>
  </si>
  <si>
    <t>7/ Balancing item:  the sum of production, net imports, and waste coal supplied minus total consumption.</t>
  </si>
  <si>
    <t>8/ Includes reported prices for both open market and captive mines.  Prices weighted by production, which differs from average minemouth prices</t>
  </si>
  <si>
    <t>9/ Prices weighted by consumption; weighted average excludes commercial and institutional prices, and export free-alongside-ship prices.</t>
  </si>
  <si>
    <t>10/ Free-alongside-ship price at U.S. port of exit.</t>
  </si>
  <si>
    <t>REN000</t>
  </si>
  <si>
    <t>(gigawatts, unless otherwise noted)</t>
  </si>
  <si>
    <t xml:space="preserve"> Net Summer Capacity and Generation</t>
  </si>
  <si>
    <t xml:space="preserve"> Net Summer Capacity</t>
  </si>
  <si>
    <t>REN000:ba_ConventionalH</t>
  </si>
  <si>
    <t>REN000:ba_Geothermal</t>
  </si>
  <si>
    <t xml:space="preserve">   Geothermal 2/</t>
  </si>
  <si>
    <t>REN000:ba_MunicipalSoli</t>
  </si>
  <si>
    <t xml:space="preserve">   Municipal Waste 3/</t>
  </si>
  <si>
    <t>REN000:ba_WoodandOtherB</t>
  </si>
  <si>
    <t xml:space="preserve">   Wood and Other Biomass 4/</t>
  </si>
  <si>
    <t>REN000:ba_SolarThermal</t>
  </si>
  <si>
    <t xml:space="preserve">   Solar Thermal</t>
  </si>
  <si>
    <t>REN000:ba_SolarPhotovol</t>
  </si>
  <si>
    <t xml:space="preserve">   Solar Photovoltaic 5/</t>
  </si>
  <si>
    <t>REN000:ba_Wind</t>
  </si>
  <si>
    <t xml:space="preserve">   Wind</t>
  </si>
  <si>
    <t>REN000:ba_OffshoreWind</t>
  </si>
  <si>
    <t xml:space="preserve">   Offshore Wind</t>
  </si>
  <si>
    <t>REN000:ba_Total</t>
  </si>
  <si>
    <t xml:space="preserve">     Total Electric Power Sector Capacity</t>
  </si>
  <si>
    <t xml:space="preserve"> Generation (billion kilowatthours)</t>
  </si>
  <si>
    <t>REN000:ca_ConventionalH</t>
  </si>
  <si>
    <t>REN000:ca_Geothermal</t>
  </si>
  <si>
    <t>REN000:ca_MunicipalSoli</t>
  </si>
  <si>
    <t xml:space="preserve">   Biogenic Municipal Waste 6/</t>
  </si>
  <si>
    <t>REN000:ca_WoodandOtherB</t>
  </si>
  <si>
    <t xml:space="preserve">   Wood and Other Biomass</t>
  </si>
  <si>
    <t>REN000:ca_DedicatedPlan</t>
  </si>
  <si>
    <t xml:space="preserve">      Dedicated Plants</t>
  </si>
  <si>
    <t>REN000:ca_Cofiring</t>
  </si>
  <si>
    <t xml:space="preserve">      Cofiring</t>
  </si>
  <si>
    <t>REN000:ca_SolarThermal</t>
  </si>
  <si>
    <t>REN000:ca_SolarPhotovol</t>
  </si>
  <si>
    <t>REN000:ca_Wind</t>
  </si>
  <si>
    <t>REN000:ca_OffshoreWind</t>
  </si>
  <si>
    <t>REN000:ca_Total</t>
  </si>
  <si>
    <t xml:space="preserve">     Total Electric Power Sector Generation</t>
  </si>
  <si>
    <t>End-Use Sectors 7/</t>
  </si>
  <si>
    <t>REN000:da_ConventionalH</t>
  </si>
  <si>
    <t>REN000:da_Geothermal</t>
  </si>
  <si>
    <t xml:space="preserve">   Geothermal</t>
  </si>
  <si>
    <t>REN000:da_MunicipalSoli</t>
  </si>
  <si>
    <t xml:space="preserve">   Municipal Waste 8/</t>
  </si>
  <si>
    <t>REN000:da_Biomass</t>
  </si>
  <si>
    <t xml:space="preserve">   Biomass</t>
  </si>
  <si>
    <t>REN000:da_SolarPhotovol</t>
  </si>
  <si>
    <t>REN000:da_WindWind</t>
  </si>
  <si>
    <t>REN000:da_Total</t>
  </si>
  <si>
    <t xml:space="preserve">     Total End-Use Sector Capacity</t>
  </si>
  <si>
    <t>REN000:ea_ConventionalH</t>
  </si>
  <si>
    <t>REN000:ea_Geothermal</t>
  </si>
  <si>
    <t>REN000:ea_MunicipalSoli</t>
  </si>
  <si>
    <t>REN000:ea_Biomass</t>
  </si>
  <si>
    <t>REN000:ea_SolarPhotovol</t>
  </si>
  <si>
    <t>REN000:ea_WindyWindy</t>
  </si>
  <si>
    <t>REN000:ea_Total</t>
  </si>
  <si>
    <t xml:space="preserve">     Total End-Use Sector Generation</t>
  </si>
  <si>
    <t>All Sectors</t>
  </si>
  <si>
    <t xml:space="preserve">  Net Summer Capacity</t>
  </si>
  <si>
    <t>REN000:x1_Hydropowers</t>
  </si>
  <si>
    <t xml:space="preserve">    Conventional Hydroelectric Power</t>
  </si>
  <si>
    <t>REN000:x1_Geothermals</t>
  </si>
  <si>
    <t xml:space="preserve">    Geothermal</t>
  </si>
  <si>
    <t>REN000:x1_AllSolidWaste</t>
  </si>
  <si>
    <t xml:space="preserve">    Municipal Waste</t>
  </si>
  <si>
    <t>REN000:x1_AllBiomass</t>
  </si>
  <si>
    <t xml:space="preserve">    Wood and Other Biomass 4/</t>
  </si>
  <si>
    <t>REN000:x1_AllSunnyOut</t>
  </si>
  <si>
    <t xml:space="preserve">    Solar 5/</t>
  </si>
  <si>
    <t>REN000:x1_WetandDryWind</t>
  </si>
  <si>
    <t xml:space="preserve">    Wind</t>
  </si>
  <si>
    <t>REN000:x1_TotalTotal</t>
  </si>
  <si>
    <t xml:space="preserve">      Total Capacity, All Sectors</t>
  </si>
  <si>
    <t>REN000:x2_Hydropowers</t>
  </si>
  <si>
    <t>REN000:x2_Geothermals</t>
  </si>
  <si>
    <t>REN000:x2_AllSolidWaste</t>
  </si>
  <si>
    <t>REN000:x2_AllBiomass</t>
  </si>
  <si>
    <t xml:space="preserve">    Wood and Other Biomass</t>
  </si>
  <si>
    <t>REN000:x2_AllSunnyOut</t>
  </si>
  <si>
    <t>REN000:x2_WetandDryWind</t>
  </si>
  <si>
    <t>REN000:x2_TotalTotal</t>
  </si>
  <si>
    <t xml:space="preserve">      Total Generation, All Sectors</t>
  </si>
  <si>
    <t>2/ Includes both hydrothermal resources (hot water and steam) and near-field enhanced geothermal systems (EGS).  Near-field EGS</t>
  </si>
  <si>
    <t>potential occurs on known hydrothermal sites, however this potential requires the addition of external fluids for electricity</t>
  </si>
  <si>
    <t>generation and is only available after 2025.</t>
  </si>
  <si>
    <t>3/ Includes municipal waste, landfill gas, and municipal sewage sludge.  Incremental growth is assumed to be for landfill gas</t>
  </si>
  <si>
    <t>facilities.  All municipal waste is included, although a portion of the municipal waste stream contains petroleum-derived plastics</t>
  </si>
  <si>
    <t>and other non-renewable sources.</t>
  </si>
  <si>
    <t>4/ Facilities co-firing biomass and coal are classified as coal.</t>
  </si>
  <si>
    <t>5/ Does not include off-grid photovoltaics.</t>
  </si>
  <si>
    <t>6/ Includes biogenic municipal waste, landfill gas, and municipal sewage sludge.  Incremental growth is assumed to be for</t>
  </si>
  <si>
    <t>landfill gas facilities.</t>
  </si>
  <si>
    <t>8/ Includes municipal waste, landfill gas, and municipal sewage sludge.  All municipal waste is included, although a portion</t>
  </si>
  <si>
    <t>of the municipal waste stream contains petroleum-derived plastics and other non-renewable sources.</t>
  </si>
  <si>
    <t>REM000</t>
  </si>
  <si>
    <t>Marketed Renewable Energy 1/</t>
  </si>
  <si>
    <t>REM000:ca_Residential(w</t>
  </si>
  <si>
    <t xml:space="preserve">  Residential (wood)</t>
  </si>
  <si>
    <t>REM000:da_Commercial(bi</t>
  </si>
  <si>
    <t xml:space="preserve">  Commercial (biomass)</t>
  </si>
  <si>
    <t>REM000:ea_Industrial</t>
  </si>
  <si>
    <t xml:space="preserve">  Industrial 2/</t>
  </si>
  <si>
    <t>REM000:ea_ConventionalH</t>
  </si>
  <si>
    <t>REM000:ea_MunicipalSoli</t>
  </si>
  <si>
    <t xml:space="preserve">    Municipal Waste 3/</t>
  </si>
  <si>
    <t>REM000:ea_Biomass</t>
  </si>
  <si>
    <t xml:space="preserve">    Biomass</t>
  </si>
  <si>
    <t>REM000:ea_BiomasHeat&amp;Co</t>
  </si>
  <si>
    <t xml:space="preserve">    Biofuels Heat and Coproducts</t>
  </si>
  <si>
    <t>REM000:fa_Transportatio</t>
  </si>
  <si>
    <t>REM000:fa_Ethanolusedin</t>
  </si>
  <si>
    <t xml:space="preserve">    Ethanol used in E85 4/</t>
  </si>
  <si>
    <t>REM000:ga_Ethanolusedin</t>
  </si>
  <si>
    <t xml:space="preserve">    Ethanol used in Gasoline Blending</t>
  </si>
  <si>
    <t>REM000:ga_BioDieselBlen</t>
  </si>
  <si>
    <t xml:space="preserve">    Biodiesel used in Distillate Blending</t>
  </si>
  <si>
    <t>REM000:trans_biobute</t>
  </si>
  <si>
    <t xml:space="preserve">    Biobutanol</t>
  </si>
  <si>
    <t>REM000:gb_LiquidfromBio</t>
  </si>
  <si>
    <t xml:space="preserve">    Liquids from Biomass</t>
  </si>
  <si>
    <t>REM000:gb_GreenLiquids</t>
  </si>
  <si>
    <t xml:space="preserve">    Renewable Diesel and Gasoline 5/</t>
  </si>
  <si>
    <t>REM000:ha_ElectricPower</t>
  </si>
  <si>
    <t>REM000:ha_ConventionalH</t>
  </si>
  <si>
    <t>REM000:ha_Geothermal</t>
  </si>
  <si>
    <t>REM000:ha_MunicipalSoli</t>
  </si>
  <si>
    <t xml:space="preserve">    Biogenic Municipal Waste 7/</t>
  </si>
  <si>
    <t>REM000:ha_Biomass</t>
  </si>
  <si>
    <t>REM000:ha_DedicatedPlan</t>
  </si>
  <si>
    <t>REM000:ha_Cofiring</t>
  </si>
  <si>
    <t>REM000:ha_SolarThermal</t>
  </si>
  <si>
    <t xml:space="preserve">    Solar Thermal</t>
  </si>
  <si>
    <t>REM000:ha_SolarPhotovol</t>
  </si>
  <si>
    <t xml:space="preserve">    Solar Photovoltaic</t>
  </si>
  <si>
    <t>REM000:ha_Wind</t>
  </si>
  <si>
    <t>REM000:ia_TotalMarketed</t>
  </si>
  <si>
    <t xml:space="preserve">  Total Marketed Renewable Energy</t>
  </si>
  <si>
    <t>Sources of Ethanol</t>
  </si>
  <si>
    <t>REM000:ja_FromCorn</t>
  </si>
  <si>
    <t xml:space="preserve">  From Corn and Other Starch</t>
  </si>
  <si>
    <t>REM000:ja_FromCellulose</t>
  </si>
  <si>
    <t xml:space="preserve">  From Cellulose</t>
  </si>
  <si>
    <t>REM000:ja_Imports</t>
  </si>
  <si>
    <t xml:space="preserve">  Net Imports</t>
  </si>
  <si>
    <t>REM000:ja_Total</t>
  </si>
  <si>
    <t xml:space="preserve">    Total U.S. Supply of Ethanol</t>
  </si>
  <si>
    <t>Nonmarketed Renewable Energy 8/</t>
  </si>
  <si>
    <t xml:space="preserve">     Selected Consumption</t>
  </si>
  <si>
    <t>REM000:la_Residential</t>
  </si>
  <si>
    <t>REM000:la_SolarHotWater</t>
  </si>
  <si>
    <t xml:space="preserve">    Solar Hot Water Heating</t>
  </si>
  <si>
    <t>REM000:la_GeothermalHea</t>
  </si>
  <si>
    <t xml:space="preserve">    Geothermal Heat Pumps</t>
  </si>
  <si>
    <t>REM000:la_SolarPhotovol</t>
  </si>
  <si>
    <t>REM000:la_blowWindblow</t>
  </si>
  <si>
    <t>REM000:ma_Commercial</t>
  </si>
  <si>
    <t>REM000:ma_SolarThermal</t>
  </si>
  <si>
    <t>REM000:ma_SolarPhotovol</t>
  </si>
  <si>
    <t>REM000:ma_blowWindblow</t>
  </si>
  <si>
    <t>1/ Includes nonelectric renewable energy groups for which the energy source is bought and sold in the marketplace, although</t>
  </si>
  <si>
    <t>all transactions may not necessarily be marketed, and renewable energy inputs for electricity entering the marketplace</t>
  </si>
  <si>
    <t>on the electric power grid.  Excludes electricity imports; see Table 2.  Actual heat rates used to determine fuel consumption</t>
  </si>
  <si>
    <t>for all renewable fuels except hydroelectric, geothermal, solar, and wind.  Consumption at hydroelectric, geothermal, solar, and</t>
  </si>
  <si>
    <t>wind facilities is determined by using the average electric power sector net heat rate for fossil fuels.</t>
  </si>
  <si>
    <t>3/ Includes municipal waste, landfill gas, and municipal sewage sludge.  All municipal waste is included, although a</t>
  </si>
  <si>
    <t>portion of the municipal waste stream contains petroleum-derived plastics and other non-renewable sources.</t>
  </si>
  <si>
    <t>4/ Excludes motor gasoline component of E85.</t>
  </si>
  <si>
    <t>5/ Renewable feedstocks for the on-site production of diesel and gasoline.</t>
  </si>
  <si>
    <t>6/ Includes consumption of energy by electricity-only and combined heat and power plants that have a regulatory status.</t>
  </si>
  <si>
    <t>7/ Includes biogenic municipal waste, landfill gas, and municipal sewage sludge.  Incremental growth is assumed to be for</t>
  </si>
  <si>
    <t>8/ Includes selected renewable energy consumption data for which the energy is not bought or sold, either</t>
  </si>
  <si>
    <t>directly or indirectly as an input to marketed energy.  The U.S. Energy Information Administration does not</t>
  </si>
  <si>
    <t>estimate or project total consumption of nonmarketed renewable energy.</t>
  </si>
  <si>
    <t>TCE000</t>
  </si>
  <si>
    <t>(million metric tons carbon dioxide, unless otherwise noted)</t>
  </si>
  <si>
    <t>TCE000:ba_Petroleum</t>
  </si>
  <si>
    <t xml:space="preserve">   Petroleum</t>
  </si>
  <si>
    <t>TCE000:ba_NaturalGas</t>
  </si>
  <si>
    <t>TCE000:ba_Electricity</t>
  </si>
  <si>
    <t xml:space="preserve">   Electricity 1/</t>
  </si>
  <si>
    <t>TCE000:ba_Total</t>
  </si>
  <si>
    <t xml:space="preserve">     Total Residential</t>
  </si>
  <si>
    <t>TCE000:ca_Petroleum</t>
  </si>
  <si>
    <t>TCE000:ca_NaturalGas</t>
  </si>
  <si>
    <t>TCE000:ca_Coal</t>
  </si>
  <si>
    <t>TCE000:ca_Electricity</t>
  </si>
  <si>
    <t>TCE000:ca_Total</t>
  </si>
  <si>
    <t xml:space="preserve">     Total Commercial</t>
  </si>
  <si>
    <t>TCE000:da_Petroleum</t>
  </si>
  <si>
    <t>TCE000:da_NaturalGas</t>
  </si>
  <si>
    <t xml:space="preserve">   Natural Gas 3/</t>
  </si>
  <si>
    <t>TCE000:da_Coal</t>
  </si>
  <si>
    <t>TCE000:da_Electricity</t>
  </si>
  <si>
    <t>TCE000:da_Total</t>
  </si>
  <si>
    <t xml:space="preserve">     Total Industrial</t>
  </si>
  <si>
    <t>TCE000:ea_Petroleum</t>
  </si>
  <si>
    <t xml:space="preserve">   Petroleum 4/</t>
  </si>
  <si>
    <t>TCE000:ea_NaturalGas</t>
  </si>
  <si>
    <t xml:space="preserve">   Natural Gas 5/</t>
  </si>
  <si>
    <t>TCE000:ea_Electricity</t>
  </si>
  <si>
    <t>TCE000:ea_Total</t>
  </si>
  <si>
    <t xml:space="preserve">     Total Transportation</t>
  </si>
  <si>
    <t xml:space="preserve"> Electric Power 6/</t>
  </si>
  <si>
    <t>TCE000:fa_Petroleum</t>
  </si>
  <si>
    <t>TCE000:fa_NaturalGas</t>
  </si>
  <si>
    <t>TCE000:fa_Coal</t>
  </si>
  <si>
    <t>TCE000:fa_Other</t>
  </si>
  <si>
    <t>TCE000:fa_Total</t>
  </si>
  <si>
    <t xml:space="preserve">     Total Electric Power</t>
  </si>
  <si>
    <t xml:space="preserve"> Total by Fuel</t>
  </si>
  <si>
    <t>TCE000:ga_Petroleum</t>
  </si>
  <si>
    <t>TCE000:ga_NaturalGas</t>
  </si>
  <si>
    <t>TCE000:ga_Coal</t>
  </si>
  <si>
    <t>TCE000:ga_Other</t>
  </si>
  <si>
    <t>TCE000:ga_Total</t>
  </si>
  <si>
    <t xml:space="preserve"> Carbon Dioxide Emissions</t>
  </si>
  <si>
    <t>TCE000:ha_equivalentper</t>
  </si>
  <si>
    <t xml:space="preserve"> (tons carbon dioxide per person)</t>
  </si>
  <si>
    <t>1/ Emissions from the electric power sector are distributed to the end-use sectors.</t>
  </si>
  <si>
    <t>2/ Includes combined heat and power plants that have a non-regulatory status and small on-site generating systems.</t>
  </si>
  <si>
    <t>3/ Includes lease and plant fuel.</t>
  </si>
  <si>
    <t>4/ This includes carbon dioxide from international bunker fuels, both civilian and military, which are excluded from the</t>
  </si>
  <si>
    <t>accounting of carbon dioxide emissions under the United Nations convention.</t>
  </si>
  <si>
    <t>5/ Includes pipeline fuel natural gas and natural gas used as fuel in motor vehicles, trains, and ships.</t>
  </si>
  <si>
    <t>6/ Includes electricity-only and combined heat and power plants that have a regulatory status.</t>
  </si>
  <si>
    <t>7/ Includes emissions from geothermal power and nonbiogenic emissions from municipal waste.</t>
  </si>
  <si>
    <t xml:space="preserve">  Note: By convention, the direct emissions from biogenic energy sources are excluded from energy-related CO2 emissions.  The release</t>
  </si>
  <si>
    <t>of carbon from these sources is assumed to be balanced by the uptake of carbon when the feedstock is grown, resulting in zero net</t>
  </si>
  <si>
    <t>emissions over some period of time. If, however, increased use of biomass energy results in a decline in terrestrial</t>
  </si>
  <si>
    <t>carbon stocks, a net positive release of carbon may occur.  See Table 19, "Energy-Related Carbon Dioxide Emissions by End Use", for the</t>
  </si>
  <si>
    <t>emissions from biogenic energy sources as an indication of the potential net release of carbon dioxide in the absence of offsetting</t>
  </si>
  <si>
    <t>sequestration.  Totals may not equal sum of components due to independent rounding.</t>
  </si>
  <si>
    <t>CEU000</t>
  </si>
  <si>
    <t xml:space="preserve"> Sector and End Use</t>
  </si>
  <si>
    <t>Residential</t>
  </si>
  <si>
    <t>CEU000:ra_SpaceHeating</t>
  </si>
  <si>
    <t xml:space="preserve">  Space Heating</t>
  </si>
  <si>
    <t>CEU000:ra_SpaceCooling</t>
  </si>
  <si>
    <t xml:space="preserve">  Space Cooling</t>
  </si>
  <si>
    <t>CEU000:ra_WaterHeating</t>
  </si>
  <si>
    <t xml:space="preserve">  Water Heating</t>
  </si>
  <si>
    <t>CEU000:ra_Refrigeration</t>
  </si>
  <si>
    <t xml:space="preserve">  Refrigeration</t>
  </si>
  <si>
    <t>CEU000:ra_Cooking</t>
  </si>
  <si>
    <t xml:space="preserve">  Cooking</t>
  </si>
  <si>
    <t>CEU000:ra_ClothesDryers</t>
  </si>
  <si>
    <t xml:space="preserve">  Clothes Dryers</t>
  </si>
  <si>
    <t>CEU000:ra_Freezers</t>
  </si>
  <si>
    <t xml:space="preserve">  Freezers</t>
  </si>
  <si>
    <t>CEU000:ra_Lighting</t>
  </si>
  <si>
    <t xml:space="preserve">  Lighting</t>
  </si>
  <si>
    <t>CEU000:ra_ClothesWasher</t>
  </si>
  <si>
    <t xml:space="preserve">  Clothes Washers 1/</t>
  </si>
  <si>
    <t>CEU000:ra_Dishwashers</t>
  </si>
  <si>
    <t xml:space="preserve">  Dishwashers 1/</t>
  </si>
  <si>
    <t>CEU000:ra_ColorTelevisi</t>
  </si>
  <si>
    <t xml:space="preserve">  Televisions and Related Equipment 2/</t>
  </si>
  <si>
    <t>CEU000:ra_PersonalCompu</t>
  </si>
  <si>
    <t xml:space="preserve">  Computers and Related Equipment 3/</t>
  </si>
  <si>
    <t>CEU000:ra_FurnaceFans</t>
  </si>
  <si>
    <t xml:space="preserve">  Furnace Fans and Boiler Circulation Pumps</t>
  </si>
  <si>
    <t>CEU000:ra_OtherUses</t>
  </si>
  <si>
    <t xml:space="preserve">  Other Uses 4/</t>
  </si>
  <si>
    <t>CEU000:ra_Discrepancy</t>
  </si>
  <si>
    <t xml:space="preserve">  Discrepancy 5/</t>
  </si>
  <si>
    <t>CEU000:ra_Total</t>
  </si>
  <si>
    <t xml:space="preserve">    Total Residential</t>
  </si>
  <si>
    <t>Commercial</t>
  </si>
  <si>
    <t>CEU000:ca_SpaceHeating</t>
  </si>
  <si>
    <t xml:space="preserve">  Space Heating 6/</t>
  </si>
  <si>
    <t>CEU000:ca_SpaceCooling</t>
  </si>
  <si>
    <t xml:space="preserve">  Space Cooling 6/</t>
  </si>
  <si>
    <t>CEU000:ca_WaterHeating</t>
  </si>
  <si>
    <t xml:space="preserve">  Water Heating 6/</t>
  </si>
  <si>
    <t>CEU000:ca_Ventilation</t>
  </si>
  <si>
    <t xml:space="preserve">  Ventilation</t>
  </si>
  <si>
    <t>CEU000:ca_Cooking</t>
  </si>
  <si>
    <t>CEU000:ca_Lighting</t>
  </si>
  <si>
    <t>CEU000:ca_Refrigeration</t>
  </si>
  <si>
    <t>CEU000:ca_PCOfficeEquip</t>
  </si>
  <si>
    <t xml:space="preserve">  Computing</t>
  </si>
  <si>
    <t>CEU000:ca_NonPCOfficeEq</t>
  </si>
  <si>
    <t xml:space="preserve">  Office Equipment</t>
  </si>
  <si>
    <t>CEU000:ca_OtherUses</t>
  </si>
  <si>
    <t xml:space="preserve">  Other Uses 7/</t>
  </si>
  <si>
    <t>CEU000:ca_Total</t>
  </si>
  <si>
    <t xml:space="preserve">    Total Commercial</t>
  </si>
  <si>
    <t>Industrial 8/</t>
  </si>
  <si>
    <t xml:space="preserve">  Manufacturing</t>
  </si>
  <si>
    <t>CEU000:ia_Refine</t>
  </si>
  <si>
    <t xml:space="preserve">    Refining</t>
  </si>
  <si>
    <t>CEU000:ia_Food</t>
  </si>
  <si>
    <t xml:space="preserve">    Food Products</t>
  </si>
  <si>
    <t>CEU000:ia_Paper</t>
  </si>
  <si>
    <t xml:space="preserve">    Paper Products</t>
  </si>
  <si>
    <t>CEU000:ia_Chem</t>
  </si>
  <si>
    <t xml:space="preserve">    Bulk Chemicals</t>
  </si>
  <si>
    <t>CEU000:ia_Glass</t>
  </si>
  <si>
    <t xml:space="preserve">    Glass</t>
  </si>
  <si>
    <t>CEU000:ia_Cement</t>
  </si>
  <si>
    <t xml:space="preserve">    Cement and Lime</t>
  </si>
  <si>
    <t>CEU000:ia_Steel</t>
  </si>
  <si>
    <t xml:space="preserve">    Iron and Steel</t>
  </si>
  <si>
    <t>CEU000:ia_Aluminum</t>
  </si>
  <si>
    <t xml:space="preserve">    Aluminum</t>
  </si>
  <si>
    <t>CEU000:ia_fabmetal</t>
  </si>
  <si>
    <t xml:space="preserve">    Fabricated Metal Products</t>
  </si>
  <si>
    <t>CEU000:ia_machine</t>
  </si>
  <si>
    <t xml:space="preserve">    Machinery</t>
  </si>
  <si>
    <t>CEU000:ia_compute</t>
  </si>
  <si>
    <t xml:space="preserve">    Computers and Electronics</t>
  </si>
  <si>
    <t>CEU000:ia_transport</t>
  </si>
  <si>
    <t xml:space="preserve">    Transportation Equipment</t>
  </si>
  <si>
    <t>CEU000:ia_elecequip</t>
  </si>
  <si>
    <t xml:space="preserve">    Electrical Equipment</t>
  </si>
  <si>
    <t>CEU000:ia_woodprod</t>
  </si>
  <si>
    <t xml:space="preserve">    Wood Products</t>
  </si>
  <si>
    <t>CEU000:ia_plastic</t>
  </si>
  <si>
    <t xml:space="preserve">    Plastics</t>
  </si>
  <si>
    <t>CEU000:ia_BOMoth</t>
  </si>
  <si>
    <t xml:space="preserve">    Balance of Manufacturing</t>
  </si>
  <si>
    <t>CEU000:ia_TotalMan</t>
  </si>
  <si>
    <t xml:space="preserve">      Total Manufacturing</t>
  </si>
  <si>
    <t xml:space="preserve">  Nonmanufacturing</t>
  </si>
  <si>
    <t>CEU000:ia_Agriculture</t>
  </si>
  <si>
    <t xml:space="preserve">    Agriculture</t>
  </si>
  <si>
    <t>CEU000:ia_Construct</t>
  </si>
  <si>
    <t xml:space="preserve">    Construction</t>
  </si>
  <si>
    <t>CEU000:ia_Mining</t>
  </si>
  <si>
    <t xml:space="preserve">    Mining</t>
  </si>
  <si>
    <t>CEU000:ia_TotalNonMan</t>
  </si>
  <si>
    <t xml:space="preserve">      Total Nonmanufacturing</t>
  </si>
  <si>
    <t>CEU000:ia_NonClass</t>
  </si>
  <si>
    <t>CEU000:ia_Total</t>
  </si>
  <si>
    <t xml:space="preserve">    Total Industrial</t>
  </si>
  <si>
    <t>Transportation</t>
  </si>
  <si>
    <t>CEU000:ta_Light-DutyVeh</t>
  </si>
  <si>
    <t xml:space="preserve">  Light-Duty Vehicles</t>
  </si>
  <si>
    <t>CEU000:ta_CommercialLig</t>
  </si>
  <si>
    <t xml:space="preserve">  Commercial Light Trucks 9/</t>
  </si>
  <si>
    <t>CEU000:ta_BusTransporta</t>
  </si>
  <si>
    <t xml:space="preserve">  Bus Transportation</t>
  </si>
  <si>
    <t>CEU000:ta_FreightTrucks</t>
  </si>
  <si>
    <t xml:space="preserve">  Freight Trucks</t>
  </si>
  <si>
    <t>CEU000:ta_Rail,Passenge</t>
  </si>
  <si>
    <t xml:space="preserve">  Rail, Passenger</t>
  </si>
  <si>
    <t>CEU000:ta_Rail,Freight</t>
  </si>
  <si>
    <t xml:space="preserve">  Rail, Freight</t>
  </si>
  <si>
    <t>CEU000:ta_Shipping,Dome</t>
  </si>
  <si>
    <t xml:space="preserve">  Shipping, Domestic</t>
  </si>
  <si>
    <t>CEU000:ta_Shipping,Inte</t>
  </si>
  <si>
    <t xml:space="preserve">  Shipping, International</t>
  </si>
  <si>
    <t>CEU000:ta_RecreationalB</t>
  </si>
  <si>
    <t xml:space="preserve">  Recreational Boats</t>
  </si>
  <si>
    <t>CEU000:ta_Air</t>
  </si>
  <si>
    <t xml:space="preserve">  Air</t>
  </si>
  <si>
    <t>CEU000:ta_MilitaryUse</t>
  </si>
  <si>
    <t xml:space="preserve">  Military Use</t>
  </si>
  <si>
    <t>CEU000:ta_Lubricants</t>
  </si>
  <si>
    <t>CEU000:ta_PipelineFuel</t>
  </si>
  <si>
    <t xml:space="preserve">  Pipeline Fuel</t>
  </si>
  <si>
    <t>CEU000:ta_Discrepancy</t>
  </si>
  <si>
    <t>CEU000:ta_Total</t>
  </si>
  <si>
    <t xml:space="preserve">    Total Transportation</t>
  </si>
  <si>
    <t>Biogenic Energy Combustion 10/</t>
  </si>
  <si>
    <t>CEU000:Bioco2_biomass</t>
  </si>
  <si>
    <t xml:space="preserve">  Biomass</t>
  </si>
  <si>
    <t>CEU000:Bioco2_bm_elpow</t>
  </si>
  <si>
    <t xml:space="preserve">    Electric Power Sector</t>
  </si>
  <si>
    <t>CEU000:Bioco2_bm_other</t>
  </si>
  <si>
    <t xml:space="preserve">    Other Sectors</t>
  </si>
  <si>
    <t>CEU000:Bioco2_waste</t>
  </si>
  <si>
    <t xml:space="preserve">  Biogenic Waste</t>
  </si>
  <si>
    <t>CEU000:Bioco2_heat_cop</t>
  </si>
  <si>
    <t xml:space="preserve">  Biofuels Heat and Coproducts</t>
  </si>
  <si>
    <t>CEU000:Bioco2_ethanol</t>
  </si>
  <si>
    <t xml:space="preserve">  Ethanol</t>
  </si>
  <si>
    <t>CEU000:Bioco2_butanol</t>
  </si>
  <si>
    <t xml:space="preserve">  Biobutanol</t>
  </si>
  <si>
    <t>CEU000:Bioco2_biodiesel</t>
  </si>
  <si>
    <t>CEU000:Bioco2_btl</t>
  </si>
  <si>
    <t xml:space="preserve">  Liquids from Biomass</t>
  </si>
  <si>
    <t>CEU000:Bioco2_greenliq</t>
  </si>
  <si>
    <t xml:space="preserve">  Renewable Diesel and Gasoline</t>
  </si>
  <si>
    <t>CEU000:Bioco2_total</t>
  </si>
  <si>
    <t>1/ Does not include water heating portion of load.</t>
  </si>
  <si>
    <t>2/ Includes televisions, set-top boxes, home theater systems, DVD and Blu-ray players, and video game consoles.</t>
  </si>
  <si>
    <t>3/ Includes desktop and laptop computers, monitors, and networking equipment.</t>
  </si>
  <si>
    <t>4/ Includes electric and electronic devices, heating elements, motors, outdoor grills, natural gas- and propane-fueled lights, pool</t>
  </si>
  <si>
    <t>5/ Represents differences between total emissions by end-use and total emissions by fuel as</t>
  </si>
  <si>
    <t>reported in Table 18.  Emissions by fuel may reflect benchmarking and other modeling</t>
  </si>
  <si>
    <t>adjustments to energy use and the associated emissions that are not assigned to specific end uses.</t>
  </si>
  <si>
    <t>6/ Includes emissions related to fuel consumption for district services.</t>
  </si>
  <si>
    <t>7/ Includes emissions related to (but not limited to) miscellaneous uses such as transformers, medical imaging and other medical equipment,</t>
  </si>
  <si>
    <t>elevators, escalators, off-road electric vehicles, laboratory fume hoods, laundry equipment, coffee brewers, water services, emergency</t>
  </si>
  <si>
    <t>generators, combined heat and power in commercial buildings, manufacturing performed in commercial buildings, and cooking (distillate).  Also</t>
  </si>
  <si>
    <t>8/ Includes combined heat and power plants that have a non-regulatory status, and small on-site generating systems.</t>
  </si>
  <si>
    <t>9/ Commercial trucks 8,501 to 10,000 pounds gross vehicle weight rating.</t>
  </si>
  <si>
    <t>10/ By convention, the direct emissions from biogenic energy sources are excluded from energy-related CO2 emissions.  The release</t>
  </si>
  <si>
    <t>emissions over some period of time. If, however, increased use of biomass energy results in a decline in terrestrial carbon stocks, a</t>
  </si>
  <si>
    <t>net positive release of carbon may occur.  Accordingly, the emissions from biogenic energy sources are reported here as an indication</t>
  </si>
  <si>
    <t>of the potential net release of carbon dioxide in the absence of offsetting sequestration.</t>
  </si>
  <si>
    <t>MEI000</t>
  </si>
  <si>
    <t>(billion 2012 chain-weighted dollars, unless otherwise noted)</t>
  </si>
  <si>
    <t xml:space="preserve"> Indicators</t>
  </si>
  <si>
    <t>MEI000:ba_RealGrossDome</t>
  </si>
  <si>
    <t>Real Gross Domestic Product</t>
  </si>
  <si>
    <t>Components of Real Gross Domestic Product</t>
  </si>
  <si>
    <t>MEI000:ba_RealConsumpti</t>
  </si>
  <si>
    <t xml:space="preserve">  Real Consumption</t>
  </si>
  <si>
    <t>MEI000:ba_RealInvestmen</t>
  </si>
  <si>
    <t xml:space="preserve">  Real Business Fixed Investment</t>
  </si>
  <si>
    <t>MEI000:ba_RealGovernmen</t>
  </si>
  <si>
    <t xml:space="preserve">  Real Government Spending</t>
  </si>
  <si>
    <t>MEI000:ba_RealExports</t>
  </si>
  <si>
    <t xml:space="preserve">  Real Exports</t>
  </si>
  <si>
    <t>MEI000:ba_RealImports</t>
  </si>
  <si>
    <t xml:space="preserve">  Real Imports</t>
  </si>
  <si>
    <t>Energy Intensity</t>
  </si>
  <si>
    <t xml:space="preserve"> (thousand Btu per 2012 dollar of GDP)</t>
  </si>
  <si>
    <t>MEI000:ca_DeliveredEner</t>
  </si>
  <si>
    <t xml:space="preserve">  Delivered Energy</t>
  </si>
  <si>
    <t>MEI000:ca_TotalEnergy</t>
  </si>
  <si>
    <t xml:space="preserve">  Total Energy</t>
  </si>
  <si>
    <t>Price Indices</t>
  </si>
  <si>
    <t>MEI000:da_GDPChain-Type</t>
  </si>
  <si>
    <t xml:space="preserve">  GDP Chain-type Price Index (2012=1.000)</t>
  </si>
  <si>
    <t xml:space="preserve">  Consumer Price Index (1982-84=1.00)</t>
  </si>
  <si>
    <t>MEI000:da_ConsumerPrice</t>
  </si>
  <si>
    <t xml:space="preserve">    All-urban</t>
  </si>
  <si>
    <t>MEI000:da_ConEnCom&amp;Serv</t>
  </si>
  <si>
    <t xml:space="preserve">    Energy Commodities and Services</t>
  </si>
  <si>
    <t xml:space="preserve">  Wholesale Price Index (1982=1.00)</t>
  </si>
  <si>
    <t>MEI000:da_AllCommoditie</t>
  </si>
  <si>
    <t xml:space="preserve">    All Commodities</t>
  </si>
  <si>
    <t>MEI000:da_FuelandPower</t>
  </si>
  <si>
    <t xml:space="preserve">    Fuel and Power</t>
  </si>
  <si>
    <t>MEI000:da_MetalProduct</t>
  </si>
  <si>
    <t xml:space="preserve">    Metals and Metal Products</t>
  </si>
  <si>
    <t>MEI000:da_IndComExEnrgy</t>
  </si>
  <si>
    <t xml:space="preserve">    Industrial Commodities excluding Energy</t>
  </si>
  <si>
    <t>Interest Rates (percent, nominal)</t>
  </si>
  <si>
    <t>MEI000:ea_FederalFundsR</t>
  </si>
  <si>
    <t xml:space="preserve">  Federal Funds Rate</t>
  </si>
  <si>
    <t>MEI000:ea_10-YearTreasu</t>
  </si>
  <si>
    <t xml:space="preserve">  10-Year Treasury Note</t>
  </si>
  <si>
    <t>MEI000:ea_AAUtilityBond</t>
  </si>
  <si>
    <t xml:space="preserve">  AA Utility Bond Rate</t>
  </si>
  <si>
    <t>Value of Shipments (billion 2012 dollars)</t>
  </si>
  <si>
    <t>MEI000:ja_ServiceSector</t>
  </si>
  <si>
    <t xml:space="preserve">  Non-Industrial and Service Sectors</t>
  </si>
  <si>
    <t>MEI000:ja_TotalIndustri</t>
  </si>
  <si>
    <t xml:space="preserve">  Total Industrial</t>
  </si>
  <si>
    <t>MEI000:ja_Non-Manufactu</t>
  </si>
  <si>
    <t xml:space="preserve">    Agriculture, Mining, and Construction</t>
  </si>
  <si>
    <t>MEI000:ja_Manufacturing</t>
  </si>
  <si>
    <t xml:space="preserve">    Manufacturing</t>
  </si>
  <si>
    <t>MEI000:ja_EnergyIntensi</t>
  </si>
  <si>
    <t xml:space="preserve">      Energy-Intensive</t>
  </si>
  <si>
    <t>MEI000:ja_Non-EnergyInt</t>
  </si>
  <si>
    <t xml:space="preserve">      Non-Energy-Intensive</t>
  </si>
  <si>
    <t>MEI000:ja_TotalRevenue</t>
  </si>
  <si>
    <t>Total Shipments</t>
  </si>
  <si>
    <t>Population and Employment (millions)</t>
  </si>
  <si>
    <t>MEI000:ka_Populationwit</t>
  </si>
  <si>
    <t xml:space="preserve">  Population, with Armed Forces Overseas</t>
  </si>
  <si>
    <t>MEI000:ka_Populationage</t>
  </si>
  <si>
    <t xml:space="preserve">  Population, aged 16 and over</t>
  </si>
  <si>
    <t>MEI000:ka_Populationold</t>
  </si>
  <si>
    <t xml:space="preserve">  Population, aged 65 and over</t>
  </si>
  <si>
    <t>MEI000:ka_Employment,No</t>
  </si>
  <si>
    <t xml:space="preserve">  Employment, Nonfarm</t>
  </si>
  <si>
    <t>MEI000:ka_Employment,Ma</t>
  </si>
  <si>
    <t xml:space="preserve">  Employment, Manufacturing</t>
  </si>
  <si>
    <t>Key Labor Indicators</t>
  </si>
  <si>
    <t>MEI000:ka_LaborForce</t>
  </si>
  <si>
    <t xml:space="preserve">  Labor Force (millions)</t>
  </si>
  <si>
    <t>MEI000:ka_NonFarmLabPrd</t>
  </si>
  <si>
    <t xml:space="preserve">  Nonfarm Labor Productivity (2009=1.00)</t>
  </si>
  <si>
    <t>MEI000:fa_UnemploymentR</t>
  </si>
  <si>
    <t xml:space="preserve">  Unemployment Rate (percent)</t>
  </si>
  <si>
    <t>Key Indicators for Energy Demand</t>
  </si>
  <si>
    <t>MEI000:ba_RealDisposabl</t>
  </si>
  <si>
    <t xml:space="preserve">  Real Disposable Personal Income</t>
  </si>
  <si>
    <t>MEI000:ga_HousingStarts</t>
  </si>
  <si>
    <t xml:space="preserve">  Housing Starts (millions)</t>
  </si>
  <si>
    <t>MEI000:ha_(billionsquar</t>
  </si>
  <si>
    <t xml:space="preserve">  Commercial Floorspace (billion square feet)</t>
  </si>
  <si>
    <t>MEI000:ia_UnitSalesofLi</t>
  </si>
  <si>
    <t xml:space="preserve">  Unit Sales of Light-Duty Vehicles (millions)</t>
  </si>
  <si>
    <t>GDP = Gross domestic product.</t>
  </si>
  <si>
    <t>Sources:  2020:  IHS Markit, Macroeconomic model, May 2019.</t>
  </si>
  <si>
    <t>Projections:  U.S. Energy Information Administration, AEO2021 National Energy Modeling System run ref2021.d113020a.</t>
  </si>
  <si>
    <t>BFPIaE Start Year Fuel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</si>
</sst>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
    <numFmt numFmtId="166" formatCode="#,##0.0000"/>
    <numFmt numFmtId="167" formatCode="0.0000"/>
    <numFmt numFmtId="168" formatCode="0.0"/>
    <numFmt numFmtId="169" formatCode="#,##0.000"/>
    <numFmt numFmtId="170" formatCode="0.000"/>
    <numFmt numFmtId="171" formatCode="#,##0.000000"/>
    <numFmt numFmtId="172" formatCode="0.000000"/>
    <numFmt numFmtId="173" formatCode="#,##0.000000000"/>
    <numFmt numFmtId="174" formatCode="#,##0.0000000000"/>
    <numFmt numFmtId="175" formatCode="#,##0.0000000"/>
    <numFmt numFmtId="176" formatCode="0.0000E+00"/>
    <numFmt numFmtId="177" formatCode="_(* #,##0_);_(* \(#,##0\);_(* &quot;-&quot;??_);_(@_)"/>
  </numFmts>
  <fonts count="37" x14ac:knownFonts="1">
    <font>
      <sz val="11"/>
      <color theme="1"/>
      <name val="Calibri"/>
      <family val="2"/>
      <scheme val="minor"/>
    </font>
    <font>
      <b/>
      <sz val="11"/>
      <color theme="1"/>
      <name val="Calibri"/>
      <family val="2"/>
      <scheme val="minor"/>
    </font>
    <font>
      <u/>
      <sz val="11"/>
      <color theme="10"/>
      <name val="Calibri"/>
      <family val="2"/>
      <scheme val="minor"/>
    </font>
    <font>
      <b/>
      <sz val="9"/>
      <color rgb="FFFFFFFF"/>
      <name val="Arial"/>
      <family val="2"/>
    </font>
    <font>
      <b/>
      <sz val="9"/>
      <color rgb="FF000000"/>
      <name val="Arial"/>
      <family val="2"/>
    </font>
    <font>
      <sz val="9"/>
      <color rgb="FF000000"/>
      <name val="Arial"/>
      <family val="2"/>
    </font>
    <font>
      <sz val="9"/>
      <color indexed="8"/>
      <name val="Calibri"/>
      <family val="2"/>
    </font>
    <font>
      <b/>
      <sz val="9"/>
      <color indexed="8"/>
      <name val="Calibri"/>
      <family val="2"/>
    </font>
    <font>
      <sz val="10"/>
      <color indexed="8"/>
      <name val="Arial"/>
      <family val="2"/>
    </font>
    <font>
      <sz val="8"/>
      <name val="Arial"/>
      <family val="2"/>
    </font>
    <font>
      <b/>
      <sz val="12"/>
      <color indexed="30"/>
      <name val="Calibri"/>
      <family val="2"/>
    </font>
    <font>
      <sz val="9"/>
      <name val="Calibri"/>
      <family val="2"/>
    </font>
    <font>
      <i/>
      <sz val="11"/>
      <color theme="1"/>
      <name val="Calibri"/>
      <family val="2"/>
      <scheme val="minor"/>
    </font>
    <font>
      <sz val="11"/>
      <color theme="1"/>
      <name val="Calibri"/>
      <family val="2"/>
      <scheme val="minor"/>
    </font>
    <font>
      <b/>
      <sz val="12"/>
      <name val="Arial"/>
      <family val="2"/>
    </font>
    <font>
      <b/>
      <sz val="11"/>
      <name val="Arial"/>
      <family val="2"/>
    </font>
    <font>
      <b/>
      <sz val="10"/>
      <name val="Arial"/>
      <family val="2"/>
    </font>
    <font>
      <sz val="10"/>
      <name val="Arial"/>
      <family val="2"/>
    </font>
    <font>
      <sz val="8"/>
      <color indexed="81"/>
      <name val="Tahoma"/>
      <family val="2"/>
    </font>
    <font>
      <sz val="8"/>
      <color indexed="81"/>
      <name val="Arial"/>
      <family val="2"/>
    </font>
    <font>
      <sz val="9"/>
      <color indexed="81"/>
      <name val="Tahoma"/>
      <family val="2"/>
    </font>
    <font>
      <b/>
      <sz val="10"/>
      <color indexed="81"/>
      <name val="Tahoma"/>
      <family val="2"/>
    </font>
    <font>
      <sz val="10"/>
      <color indexed="81"/>
      <name val="Tahoma"/>
      <family val="2"/>
    </font>
    <font>
      <sz val="9"/>
      <color theme="1"/>
      <name val="Calibri"/>
      <family val="2"/>
      <scheme val="minor"/>
    </font>
    <font>
      <b/>
      <sz val="9"/>
      <color theme="1"/>
      <name val="Calibri"/>
      <family val="2"/>
      <scheme val="minor"/>
    </font>
    <font>
      <u/>
      <sz val="11"/>
      <color rgb="FF0070C0"/>
      <name val="Calibri"/>
      <family val="2"/>
      <scheme val="minor"/>
    </font>
    <font>
      <sz val="11"/>
      <name val="Calibri"/>
      <family val="2"/>
      <scheme val="minor"/>
    </font>
    <font>
      <sz val="10"/>
      <name val="Calibri"/>
      <family val="2"/>
    </font>
    <font>
      <sz val="9"/>
      <name val="Calibri"/>
      <family val="2"/>
    </font>
    <font>
      <b/>
      <sz val="9"/>
      <name val="Calibri"/>
      <family val="2"/>
    </font>
    <font>
      <sz val="11"/>
      <color rgb="FFFF0000"/>
      <name val="Calibri"/>
      <family val="2"/>
      <scheme val="minor"/>
    </font>
    <font>
      <b/>
      <sz val="9"/>
      <color rgb="FFFF0000"/>
      <name val="Calibri"/>
      <family val="2"/>
    </font>
    <font>
      <sz val="9"/>
      <color rgb="FFFF0000"/>
      <name val="Calibri"/>
      <family val="2"/>
    </font>
    <font>
      <b/>
      <sz val="12"/>
      <name val="Calibri"/>
      <family val="2"/>
    </font>
    <font>
      <sz val="10"/>
      <name val="Calibri"/>
      <family val="2"/>
    </font>
    <font>
      <sz val="9"/>
      <name val="Calibri"/>
      <family val="2"/>
    </font>
    <font>
      <u/>
      <sz val="10"/>
      <color indexed="12"/>
      <name val="Arial"/>
    </font>
  </fonts>
  <fills count="24">
    <fill>
      <patternFill patternType="none"/>
    </fill>
    <fill>
      <patternFill patternType="gray125"/>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rgb="FF3F74B6"/>
        <bgColor indexed="64"/>
      </patternFill>
    </fill>
    <fill>
      <patternFill patternType="solid">
        <fgColor rgb="FF7D7D7D"/>
        <bgColor indexed="64"/>
      </patternFill>
    </fill>
    <fill>
      <patternFill patternType="solid">
        <fgColor rgb="FFFFFFFF"/>
        <bgColor indexed="64"/>
      </patternFill>
    </fill>
    <fill>
      <patternFill patternType="solid">
        <fgColor rgb="FFD2E2F2"/>
        <bgColor indexed="64"/>
      </patternFill>
    </fill>
    <fill>
      <patternFill patternType="solid">
        <fgColor rgb="FFCFCFCF"/>
        <bgColor indexed="64"/>
      </patternFill>
    </fill>
    <fill>
      <patternFill patternType="solid">
        <fgColor rgb="FFFFFFE1"/>
        <bgColor indexed="64"/>
      </patternFill>
    </fill>
    <fill>
      <patternFill patternType="solid">
        <fgColor theme="0" tint="-0.14999847407452621"/>
        <bgColor indexed="64"/>
      </patternFill>
    </fill>
    <fill>
      <patternFill patternType="solid">
        <fgColor rgb="FFFFFF00"/>
        <bgColor indexed="64"/>
      </patternFill>
    </fill>
    <fill>
      <patternFill patternType="solid">
        <fgColor theme="3" tint="0.59999389629810485"/>
        <bgColor indexed="64"/>
      </patternFill>
    </fill>
    <fill>
      <patternFill patternType="solid">
        <fgColor indexed="29"/>
        <bgColor indexed="64"/>
      </patternFill>
    </fill>
    <fill>
      <patternFill patternType="solid">
        <fgColor rgb="FF00FF00"/>
        <bgColor indexed="9"/>
      </patternFill>
    </fill>
    <fill>
      <patternFill patternType="solid">
        <fgColor indexed="13"/>
        <bgColor indexed="64"/>
      </patternFill>
    </fill>
    <fill>
      <patternFill patternType="solid">
        <fgColor rgb="FFFFFF00"/>
        <bgColor indexed="9"/>
      </patternFill>
    </fill>
    <fill>
      <patternFill patternType="solid">
        <fgColor theme="1" tint="0.34998626667073579"/>
        <bgColor indexed="64"/>
      </patternFill>
    </fill>
    <fill>
      <patternFill patternType="solid">
        <fgColor indexed="13"/>
        <bgColor indexed="9"/>
      </patternFill>
    </fill>
    <fill>
      <patternFill patternType="solid">
        <fgColor rgb="FF00FF00"/>
        <bgColor indexed="64"/>
      </patternFill>
    </fill>
    <fill>
      <patternFill patternType="solid">
        <fgColor rgb="FFFF8080"/>
        <bgColor indexed="64"/>
      </patternFill>
    </fill>
    <fill>
      <patternFill patternType="solid">
        <fgColor theme="4" tint="0.39997558519241921"/>
        <bgColor indexed="64"/>
      </patternFill>
    </fill>
    <fill>
      <patternFill patternType="solid">
        <fgColor theme="8" tint="0.39997558519241921"/>
        <bgColor indexed="64"/>
      </patternFill>
    </fill>
  </fills>
  <borders count="26">
    <border>
      <left/>
      <right/>
      <top/>
      <bottom/>
      <diagonal/>
    </border>
    <border>
      <left style="thin">
        <color indexed="64"/>
      </left>
      <right style="thin">
        <color indexed="64"/>
      </right>
      <top style="thin">
        <color indexed="64"/>
      </top>
      <bottom style="thin">
        <color indexed="64"/>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top style="thin">
        <color auto="1"/>
      </top>
      <bottom/>
      <diagonal/>
    </border>
    <border>
      <left/>
      <right/>
      <top style="thin">
        <color indexed="64"/>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style="thin">
        <color auto="1"/>
      </top>
      <bottom style="thin">
        <color indexed="64"/>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auto="1"/>
      </left>
      <right style="thin">
        <color indexed="64"/>
      </right>
      <top style="thin">
        <color indexed="64"/>
      </top>
      <bottom/>
      <diagonal/>
    </border>
    <border>
      <left style="thin">
        <color indexed="64"/>
      </left>
      <right/>
      <top/>
      <bottom style="thin">
        <color indexed="64"/>
      </bottom>
      <diagonal/>
    </border>
    <border>
      <left style="thick">
        <color theme="0"/>
      </left>
      <right style="thick">
        <color theme="0"/>
      </right>
      <top/>
      <bottom style="thin">
        <color theme="0" tint="-0.24994659260841701"/>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38">
    <xf numFmtId="0" fontId="0" fillId="0" borderId="0"/>
    <xf numFmtId="0" fontId="2" fillId="0" borderId="0" applyNumberFormat="0" applyFill="0" applyBorder="0" applyAlignment="0" applyProtection="0"/>
    <xf numFmtId="0" fontId="6" fillId="0" borderId="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43" fontId="13" fillId="0" borderId="0" applyFont="0" applyFill="0" applyBorder="0" applyAlignment="0" applyProtection="0"/>
    <xf numFmtId="9" fontId="13" fillId="0" borderId="0" applyFont="0" applyFill="0" applyBorder="0" applyAlignment="0" applyProtection="0"/>
    <xf numFmtId="0" fontId="6" fillId="0" borderId="0" applyNumberFormat="0" applyFill="0" applyBorder="0" applyAlignment="0" applyProtection="0"/>
    <xf numFmtId="0" fontId="7" fillId="0" borderId="2" applyNumberFormat="0" applyProtection="0">
      <alignment wrapText="1"/>
    </xf>
    <xf numFmtId="0" fontId="10" fillId="0" borderId="0" applyNumberFormat="0" applyProtection="0">
      <alignment horizontal="left"/>
    </xf>
    <xf numFmtId="0" fontId="7" fillId="0" borderId="3" applyNumberFormat="0" applyProtection="0">
      <alignment wrapText="1"/>
    </xf>
    <xf numFmtId="0" fontId="6" fillId="0" borderId="4" applyNumberFormat="0" applyFont="0" applyProtection="0">
      <alignment wrapText="1"/>
    </xf>
    <xf numFmtId="0" fontId="6" fillId="0" borderId="5" applyNumberFormat="0" applyProtection="0">
      <alignment wrapText="1"/>
    </xf>
    <xf numFmtId="0" fontId="23" fillId="0" borderId="0" applyNumberFormat="0" applyProtection="0">
      <alignment vertical="top" wrapText="1"/>
    </xf>
    <xf numFmtId="0" fontId="24" fillId="0" borderId="20" applyNumberFormat="0" applyProtection="0">
      <alignment horizontal="left" wrapText="1"/>
    </xf>
    <xf numFmtId="0" fontId="23" fillId="0" borderId="21" applyNumberFormat="0" applyFont="0" applyFill="0" applyProtection="0">
      <alignment wrapText="1"/>
    </xf>
    <xf numFmtId="0" fontId="24" fillId="0" borderId="22" applyNumberFormat="0" applyFill="0" applyProtection="0">
      <alignment wrapText="1"/>
    </xf>
    <xf numFmtId="0" fontId="6" fillId="0" borderId="5">
      <alignment wrapText="1"/>
    </xf>
    <xf numFmtId="0" fontId="6" fillId="0" borderId="4">
      <alignment wrapText="1"/>
    </xf>
    <xf numFmtId="0" fontId="7" fillId="0" borderId="3">
      <alignment wrapText="1"/>
    </xf>
    <xf numFmtId="0" fontId="7" fillId="0" borderId="2">
      <alignment wrapText="1"/>
    </xf>
    <xf numFmtId="0" fontId="6" fillId="0" borderId="0"/>
    <xf numFmtId="0" fontId="10" fillId="0" borderId="0">
      <alignment horizontal="left"/>
    </xf>
    <xf numFmtId="9" fontId="6" fillId="0" borderId="0" applyFont="0" applyFill="0" applyBorder="0" applyAlignment="0" applyProtection="0"/>
    <xf numFmtId="0" fontId="13" fillId="0" borderId="0"/>
    <xf numFmtId="0" fontId="6" fillId="0" borderId="0"/>
    <xf numFmtId="0" fontId="13" fillId="0" borderId="0"/>
    <xf numFmtId="0" fontId="6" fillId="0" borderId="4">
      <alignment wrapText="1"/>
    </xf>
    <xf numFmtId="0" fontId="6" fillId="0" borderId="0"/>
    <xf numFmtId="0" fontId="6" fillId="0" borderId="5">
      <alignment wrapText="1"/>
    </xf>
    <xf numFmtId="0" fontId="7" fillId="0" borderId="2">
      <alignment wrapText="1"/>
    </xf>
    <xf numFmtId="0" fontId="7" fillId="0" borderId="3">
      <alignment wrapText="1"/>
    </xf>
    <xf numFmtId="0" fontId="10" fillId="0" borderId="0">
      <alignment horizontal="left"/>
    </xf>
    <xf numFmtId="0" fontId="36" fillId="0" borderId="0" applyNumberFormat="0" applyFill="0" applyBorder="0" applyAlignment="0" applyProtection="0"/>
  </cellStyleXfs>
  <cellXfs count="313">
    <xf numFmtId="0" fontId="0" fillId="0" borderId="0" xfId="0"/>
    <xf numFmtId="0" fontId="1" fillId="0" borderId="0" xfId="0" applyFont="1"/>
    <xf numFmtId="0" fontId="1" fillId="2" borderId="0" xfId="0" applyFont="1" applyFill="1"/>
    <xf numFmtId="0" fontId="0" fillId="0" borderId="0" xfId="0" applyAlignment="1">
      <alignment horizontal="left"/>
    </xf>
    <xf numFmtId="0" fontId="2" fillId="0" borderId="0" xfId="1"/>
    <xf numFmtId="0" fontId="0" fillId="3" borderId="0" xfId="0" applyFill="1"/>
    <xf numFmtId="0" fontId="0" fillId="4" borderId="0" xfId="0" applyFill="1"/>
    <xf numFmtId="0" fontId="0" fillId="2" borderId="0" xfId="0" applyFill="1"/>
    <xf numFmtId="0" fontId="4" fillId="8" borderId="1" xfId="0" applyFont="1" applyFill="1" applyBorder="1" applyAlignment="1">
      <alignment horizontal="center" wrapText="1"/>
    </xf>
    <xf numFmtId="0" fontId="4" fillId="9" borderId="1" xfId="0" applyFont="1" applyFill="1" applyBorder="1" applyAlignment="1">
      <alignment horizontal="center" wrapText="1"/>
    </xf>
    <xf numFmtId="0" fontId="4" fillId="10" borderId="1" xfId="0" applyFont="1" applyFill="1" applyBorder="1" applyAlignment="1">
      <alignment horizontal="left" vertical="center" wrapText="1"/>
    </xf>
    <xf numFmtId="0" fontId="0" fillId="0" borderId="1" xfId="0" applyBorder="1"/>
    <xf numFmtId="0" fontId="5" fillId="0" borderId="1" xfId="0" applyFont="1" applyBorder="1" applyAlignment="1">
      <alignment horizontal="right" vertical="center" wrapText="1"/>
    </xf>
    <xf numFmtId="0" fontId="0" fillId="11" borderId="1" xfId="0" applyFill="1" applyBorder="1"/>
    <xf numFmtId="0" fontId="5" fillId="10" borderId="1" xfId="0" applyFont="1" applyFill="1" applyBorder="1" applyAlignment="1">
      <alignment horizontal="left" vertical="center" wrapText="1" indent="1"/>
    </xf>
    <xf numFmtId="0" fontId="5" fillId="10" borderId="1" xfId="0" applyFont="1" applyFill="1" applyBorder="1" applyAlignment="1">
      <alignment horizontal="left" vertical="center" wrapText="1" indent="2"/>
    </xf>
    <xf numFmtId="0" fontId="5" fillId="11" borderId="1" xfId="0" applyFont="1" applyFill="1" applyBorder="1" applyAlignment="1">
      <alignment horizontal="right" vertical="center" wrapText="1"/>
    </xf>
    <xf numFmtId="0" fontId="5" fillId="10" borderId="1" xfId="0" applyFont="1" applyFill="1" applyBorder="1" applyAlignment="1">
      <alignment horizontal="left" vertical="center" wrapText="1" indent="3"/>
    </xf>
    <xf numFmtId="0" fontId="0" fillId="0" borderId="0" xfId="0" applyAlignment="1">
      <alignment horizontal="right"/>
    </xf>
    <xf numFmtId="1" fontId="0" fillId="3" borderId="0" xfId="0" applyNumberFormat="1" applyFill="1"/>
    <xf numFmtId="0" fontId="12" fillId="0" borderId="0" xfId="0" applyFont="1"/>
    <xf numFmtId="3" fontId="0" fillId="0" borderId="0" xfId="0" applyNumberFormat="1" applyAlignment="1">
      <alignment horizontal="right"/>
    </xf>
    <xf numFmtId="4" fontId="0" fillId="0" borderId="0" xfId="0" applyNumberFormat="1" applyAlignment="1">
      <alignment horizontal="right"/>
    </xf>
    <xf numFmtId="1" fontId="0" fillId="0" borderId="0" xfId="0" applyNumberFormat="1" applyAlignment="1">
      <alignment horizontal="right"/>
    </xf>
    <xf numFmtId="0" fontId="1" fillId="0" borderId="0" xfId="0" applyFont="1" applyAlignment="1">
      <alignment wrapText="1"/>
    </xf>
    <xf numFmtId="9" fontId="0" fillId="0" borderId="0" xfId="0" applyNumberFormat="1"/>
    <xf numFmtId="1" fontId="0" fillId="0" borderId="0" xfId="0" applyNumberFormat="1"/>
    <xf numFmtId="168" fontId="0" fillId="0" borderId="0" xfId="0" applyNumberFormat="1"/>
    <xf numFmtId="2" fontId="0" fillId="0" borderId="0" xfId="0" applyNumberFormat="1"/>
    <xf numFmtId="0" fontId="0" fillId="2" borderId="0" xfId="0" applyFill="1" applyAlignment="1">
      <alignment horizontal="right"/>
    </xf>
    <xf numFmtId="0" fontId="0" fillId="2" borderId="0" xfId="0" applyFill="1" applyAlignment="1">
      <alignment horizontal="left"/>
    </xf>
    <xf numFmtId="0" fontId="0" fillId="2" borderId="0" xfId="0" applyFill="1" applyAlignment="1">
      <alignment wrapText="1"/>
    </xf>
    <xf numFmtId="0" fontId="1" fillId="13" borderId="0" xfId="0" applyFont="1" applyFill="1"/>
    <xf numFmtId="0" fontId="1" fillId="13" borderId="0" xfId="0" applyFont="1" applyFill="1" applyAlignment="1">
      <alignment horizontal="right"/>
    </xf>
    <xf numFmtId="0" fontId="1" fillId="13" borderId="0" xfId="0" applyFont="1" applyFill="1" applyAlignment="1">
      <alignment horizontal="right" wrapText="1"/>
    </xf>
    <xf numFmtId="0" fontId="1" fillId="13" borderId="0" xfId="0" applyFont="1" applyFill="1" applyAlignment="1">
      <alignment horizontal="left"/>
    </xf>
    <xf numFmtId="0" fontId="14" fillId="0" borderId="0" xfId="0" applyFont="1"/>
    <xf numFmtId="0" fontId="15" fillId="0" borderId="0" xfId="0" applyFont="1"/>
    <xf numFmtId="0" fontId="16" fillId="0" borderId="6" xfId="0" applyFont="1" applyBorder="1" applyAlignment="1">
      <alignment horizontal="left"/>
    </xf>
    <xf numFmtId="0" fontId="16" fillId="0" borderId="6" xfId="0" applyFont="1" applyBorder="1" applyAlignment="1">
      <alignment horizontal="centerContinuous"/>
    </xf>
    <xf numFmtId="0" fontId="16" fillId="0" borderId="7" xfId="0" applyFont="1" applyBorder="1" applyAlignment="1">
      <alignment horizontal="centerContinuous"/>
    </xf>
    <xf numFmtId="0" fontId="16" fillId="0" borderId="7" xfId="0" applyFont="1" applyBorder="1" applyAlignment="1">
      <alignment horizontal="right"/>
    </xf>
    <xf numFmtId="170" fontId="16" fillId="0" borderId="8" xfId="0" applyNumberFormat="1" applyFont="1" applyBorder="1" applyAlignment="1">
      <alignment horizontal="right"/>
    </xf>
    <xf numFmtId="0" fontId="16" fillId="0" borderId="9" xfId="0" applyFont="1" applyBorder="1" applyAlignment="1">
      <alignment horizontal="right"/>
    </xf>
    <xf numFmtId="0" fontId="16" fillId="0" borderId="9" xfId="0" applyFont="1" applyBorder="1" applyAlignment="1">
      <alignment horizontal="right" wrapText="1"/>
    </xf>
    <xf numFmtId="0" fontId="16" fillId="0" borderId="0" xfId="0" applyFont="1" applyAlignment="1">
      <alignment horizontal="right"/>
    </xf>
    <xf numFmtId="0" fontId="16" fillId="0" borderId="0" xfId="0" applyFont="1" applyAlignment="1">
      <alignment horizontal="right" wrapText="1"/>
    </xf>
    <xf numFmtId="170" fontId="16" fillId="0" borderId="10" xfId="0" applyNumberFormat="1" applyFont="1" applyBorder="1" applyAlignment="1">
      <alignment horizontal="right" wrapText="1"/>
    </xf>
    <xf numFmtId="0" fontId="16" fillId="0" borderId="9" xfId="0" applyFont="1" applyBorder="1"/>
    <xf numFmtId="0" fontId="16" fillId="14" borderId="9" xfId="0" applyFont="1" applyFill="1" applyBorder="1"/>
    <xf numFmtId="0" fontId="17" fillId="0" borderId="0" xfId="0" applyFont="1"/>
    <xf numFmtId="0" fontId="16" fillId="0" borderId="0" xfId="0" applyFont="1"/>
    <xf numFmtId="170" fontId="16" fillId="0" borderId="10" xfId="0" applyNumberFormat="1" applyFont="1" applyBorder="1"/>
    <xf numFmtId="0" fontId="16" fillId="0" borderId="11" xfId="0" applyFont="1" applyBorder="1"/>
    <xf numFmtId="0" fontId="16" fillId="0" borderId="11" xfId="0" applyFont="1" applyBorder="1" applyAlignment="1">
      <alignment horizontal="right"/>
    </xf>
    <xf numFmtId="0" fontId="16" fillId="0" borderId="12" xfId="0" applyFont="1" applyBorder="1" applyAlignment="1">
      <alignment horizontal="right"/>
    </xf>
    <xf numFmtId="0" fontId="16" fillId="0" borderId="12" xfId="0" applyFont="1" applyBorder="1"/>
    <xf numFmtId="170" fontId="16" fillId="0" borderId="13" xfId="0" applyNumberFormat="1" applyFont="1" applyBorder="1"/>
    <xf numFmtId="0" fontId="0" fillId="0" borderId="9" xfId="0" applyBorder="1"/>
    <xf numFmtId="3" fontId="17" fillId="0" borderId="9" xfId="9" applyNumberFormat="1" applyFont="1" applyFill="1" applyBorder="1" applyAlignment="1"/>
    <xf numFmtId="3" fontId="17" fillId="15" borderId="0" xfId="9" applyNumberFormat="1" applyFont="1" applyFill="1" applyBorder="1" applyAlignment="1"/>
    <xf numFmtId="164" fontId="17" fillId="15" borderId="0" xfId="10" applyNumberFormat="1" applyFont="1" applyFill="1" applyBorder="1" applyAlignment="1"/>
    <xf numFmtId="3" fontId="17" fillId="16" borderId="0" xfId="9" applyNumberFormat="1" applyFont="1" applyFill="1" applyBorder="1" applyAlignment="1"/>
    <xf numFmtId="171" fontId="17" fillId="0" borderId="0" xfId="9" applyNumberFormat="1" applyFont="1" applyFill="1" applyBorder="1" applyAlignment="1"/>
    <xf numFmtId="170" fontId="17" fillId="0" borderId="10" xfId="9" applyNumberFormat="1" applyFont="1" applyFill="1" applyBorder="1" applyAlignment="1"/>
    <xf numFmtId="3" fontId="17" fillId="17" borderId="0" xfId="9" applyNumberFormat="1" applyFont="1" applyFill="1" applyBorder="1" applyAlignment="1"/>
    <xf numFmtId="164" fontId="17" fillId="17" borderId="0" xfId="10" applyNumberFormat="1" applyFont="1" applyFill="1" applyBorder="1" applyAlignment="1"/>
    <xf numFmtId="3" fontId="17" fillId="0" borderId="0" xfId="9" applyNumberFormat="1" applyFont="1" applyFill="1" applyBorder="1" applyAlignment="1"/>
    <xf numFmtId="164" fontId="17" fillId="0" borderId="0" xfId="10" applyNumberFormat="1" applyFont="1" applyFill="1" applyBorder="1" applyAlignment="1"/>
    <xf numFmtId="170" fontId="17" fillId="0" borderId="0" xfId="9" applyNumberFormat="1" applyFont="1" applyFill="1" applyBorder="1" applyAlignment="1"/>
    <xf numFmtId="3" fontId="0" fillId="0" borderId="0" xfId="0" applyNumberFormat="1"/>
    <xf numFmtId="3" fontId="17" fillId="0" borderId="0" xfId="0" applyNumberFormat="1" applyFont="1" applyAlignment="1">
      <alignment vertical="top"/>
    </xf>
    <xf numFmtId="0" fontId="0" fillId="18" borderId="0" xfId="0" applyFill="1"/>
    <xf numFmtId="164" fontId="0" fillId="0" borderId="0" xfId="0" applyNumberFormat="1"/>
    <xf numFmtId="1" fontId="17" fillId="0" borderId="0" xfId="10" applyNumberFormat="1" applyFont="1" applyFill="1" applyBorder="1" applyAlignment="1"/>
    <xf numFmtId="0" fontId="17" fillId="0" borderId="9" xfId="0" applyFont="1" applyBorder="1"/>
    <xf numFmtId="164" fontId="17" fillId="0" borderId="0" xfId="9" applyNumberFormat="1" applyFont="1" applyFill="1" applyBorder="1" applyAlignment="1"/>
    <xf numFmtId="3" fontId="17" fillId="12" borderId="0" xfId="9" applyNumberFormat="1" applyFont="1" applyFill="1" applyBorder="1" applyAlignment="1"/>
    <xf numFmtId="164" fontId="17" fillId="16" borderId="0" xfId="10" applyNumberFormat="1" applyFont="1" applyFill="1" applyBorder="1" applyAlignment="1"/>
    <xf numFmtId="3" fontId="0" fillId="12" borderId="0" xfId="0" applyNumberFormat="1" applyFill="1"/>
    <xf numFmtId="164" fontId="0" fillId="12" borderId="0" xfId="0" applyNumberFormat="1" applyFill="1"/>
    <xf numFmtId="164" fontId="17" fillId="12" borderId="0" xfId="10" applyNumberFormat="1" applyFont="1" applyFill="1" applyBorder="1" applyAlignment="1"/>
    <xf numFmtId="3" fontId="17" fillId="0" borderId="0" xfId="10" applyNumberFormat="1" applyFont="1" applyFill="1" applyBorder="1" applyAlignment="1"/>
    <xf numFmtId="3" fontId="17" fillId="0" borderId="0" xfId="9" applyNumberFormat="1" applyFont="1" applyBorder="1" applyAlignment="1"/>
    <xf numFmtId="164" fontId="17" fillId="0" borderId="0" xfId="10" applyNumberFormat="1" applyFont="1" applyBorder="1" applyAlignment="1"/>
    <xf numFmtId="3" fontId="16" fillId="0" borderId="11" xfId="9" applyNumberFormat="1" applyFont="1" applyFill="1" applyBorder="1" applyAlignment="1">
      <alignment horizontal="right"/>
    </xf>
    <xf numFmtId="3" fontId="16" fillId="0" borderId="12" xfId="9" applyNumberFormat="1" applyFont="1" applyFill="1" applyBorder="1" applyAlignment="1">
      <alignment horizontal="right"/>
    </xf>
    <xf numFmtId="164" fontId="16" fillId="0" borderId="12" xfId="10" applyNumberFormat="1" applyFont="1" applyFill="1" applyBorder="1" applyAlignment="1"/>
    <xf numFmtId="3" fontId="16" fillId="0" borderId="12" xfId="9" applyNumberFormat="1" applyFont="1" applyBorder="1" applyAlignment="1"/>
    <xf numFmtId="171" fontId="16" fillId="0" borderId="12" xfId="9" applyNumberFormat="1" applyFont="1" applyFill="1" applyBorder="1" applyAlignment="1"/>
    <xf numFmtId="170" fontId="16" fillId="0" borderId="13" xfId="9" applyNumberFormat="1" applyFont="1" applyFill="1" applyBorder="1" applyAlignment="1"/>
    <xf numFmtId="165" fontId="17" fillId="15" borderId="0" xfId="9" applyNumberFormat="1" applyFont="1" applyFill="1" applyBorder="1" applyAlignment="1"/>
    <xf numFmtId="3" fontId="17" fillId="19" borderId="0" xfId="9" applyNumberFormat="1" applyFont="1" applyFill="1" applyBorder="1" applyAlignment="1"/>
    <xf numFmtId="165" fontId="17" fillId="19" borderId="0" xfId="9" applyNumberFormat="1" applyFont="1" applyFill="1" applyBorder="1" applyAlignment="1"/>
    <xf numFmtId="165" fontId="17" fillId="12" borderId="0" xfId="9" applyNumberFormat="1" applyFont="1" applyFill="1" applyBorder="1" applyAlignment="1"/>
    <xf numFmtId="165" fontId="17" fillId="17" borderId="0" xfId="9" applyNumberFormat="1" applyFont="1" applyFill="1" applyBorder="1" applyAlignment="1"/>
    <xf numFmtId="3" fontId="16" fillId="0" borderId="12" xfId="9" applyNumberFormat="1" applyFont="1" applyBorder="1" applyAlignment="1">
      <alignment horizontal="right"/>
    </xf>
    <xf numFmtId="170" fontId="17" fillId="12" borderId="10" xfId="9" applyNumberFormat="1" applyFont="1" applyFill="1" applyBorder="1" applyAlignment="1"/>
    <xf numFmtId="10" fontId="0" fillId="0" borderId="0" xfId="0" applyNumberFormat="1"/>
    <xf numFmtId="3" fontId="17" fillId="20" borderId="0" xfId="9" applyNumberFormat="1" applyFont="1" applyFill="1" applyBorder="1" applyAlignment="1"/>
    <xf numFmtId="0" fontId="17" fillId="0" borderId="0" xfId="10" applyNumberFormat="1" applyFont="1" applyBorder="1" applyAlignment="1"/>
    <xf numFmtId="172" fontId="17" fillId="0" borderId="0" xfId="9" applyNumberFormat="1" applyFont="1" applyFill="1" applyBorder="1" applyAlignment="1"/>
    <xf numFmtId="164" fontId="17" fillId="16" borderId="0" xfId="0" applyNumberFormat="1" applyFont="1" applyFill="1"/>
    <xf numFmtId="171" fontId="0" fillId="0" borderId="0" xfId="0" applyNumberFormat="1"/>
    <xf numFmtId="170" fontId="0" fillId="0" borderId="10" xfId="0" applyNumberFormat="1" applyBorder="1"/>
    <xf numFmtId="0" fontId="17" fillId="0" borderId="14" xfId="0" applyFont="1" applyBorder="1"/>
    <xf numFmtId="164" fontId="17" fillId="12" borderId="0" xfId="0" applyNumberFormat="1" applyFont="1" applyFill="1"/>
    <xf numFmtId="164" fontId="17" fillId="0" borderId="0" xfId="0" applyNumberFormat="1" applyFont="1"/>
    <xf numFmtId="0" fontId="0" fillId="0" borderId="14" xfId="0" applyBorder="1"/>
    <xf numFmtId="0" fontId="0" fillId="0" borderId="15" xfId="0" applyBorder="1"/>
    <xf numFmtId="3" fontId="17" fillId="0" borderId="16" xfId="9" applyNumberFormat="1" applyFont="1" applyFill="1" applyBorder="1" applyAlignment="1"/>
    <xf numFmtId="3" fontId="17" fillId="12" borderId="16" xfId="9" applyNumberFormat="1" applyFont="1" applyFill="1" applyBorder="1" applyAlignment="1"/>
    <xf numFmtId="164" fontId="17" fillId="12" borderId="16" xfId="0" applyNumberFormat="1" applyFont="1" applyFill="1" applyBorder="1"/>
    <xf numFmtId="171" fontId="0" fillId="0" borderId="16" xfId="0" applyNumberFormat="1" applyBorder="1"/>
    <xf numFmtId="170" fontId="0" fillId="0" borderId="17" xfId="0" applyNumberFormat="1" applyBorder="1"/>
    <xf numFmtId="3" fontId="0" fillId="0" borderId="0" xfId="9" applyNumberFormat="1" applyFont="1" applyFill="1" applyBorder="1" applyAlignment="1"/>
    <xf numFmtId="0" fontId="0" fillId="0" borderId="0" xfId="9" applyNumberFormat="1" applyFont="1" applyFill="1" applyBorder="1" applyAlignment="1"/>
    <xf numFmtId="164" fontId="0" fillId="0" borderId="0" xfId="10" applyNumberFormat="1" applyFont="1" applyFill="1" applyBorder="1" applyAlignment="1"/>
    <xf numFmtId="170" fontId="0" fillId="0" borderId="0" xfId="0" applyNumberFormat="1"/>
    <xf numFmtId="0" fontId="17" fillId="0" borderId="0" xfId="9" applyNumberFormat="1" applyFont="1" applyBorder="1" applyAlignment="1"/>
    <xf numFmtId="0" fontId="0" fillId="0" borderId="6" xfId="0" applyBorder="1" applyAlignment="1">
      <alignment horizontal="right"/>
    </xf>
    <xf numFmtId="0" fontId="17" fillId="21" borderId="18" xfId="9" applyNumberFormat="1" applyFont="1" applyFill="1" applyBorder="1" applyAlignment="1">
      <alignment horizontal="right"/>
    </xf>
    <xf numFmtId="0" fontId="0" fillId="0" borderId="7" xfId="9" applyNumberFormat="1" applyFont="1" applyBorder="1" applyAlignment="1">
      <alignment horizontal="right"/>
    </xf>
    <xf numFmtId="0" fontId="0" fillId="0" borderId="7" xfId="9" applyNumberFormat="1" applyFont="1" applyFill="1" applyBorder="1" applyAlignment="1">
      <alignment horizontal="right"/>
    </xf>
    <xf numFmtId="0" fontId="0" fillId="0" borderId="8" xfId="9" applyNumberFormat="1" applyFont="1" applyFill="1" applyBorder="1" applyAlignment="1">
      <alignment horizontal="right"/>
    </xf>
    <xf numFmtId="0" fontId="0" fillId="0" borderId="19" xfId="0" applyBorder="1" applyAlignment="1">
      <alignment horizontal="right"/>
    </xf>
    <xf numFmtId="0" fontId="17" fillId="21" borderId="15" xfId="9" applyNumberFormat="1" applyFont="1" applyFill="1" applyBorder="1" applyAlignment="1">
      <alignment horizontal="right"/>
    </xf>
    <xf numFmtId="0" fontId="17" fillId="0" borderId="16" xfId="9" applyNumberFormat="1" applyFont="1" applyBorder="1" applyAlignment="1">
      <alignment horizontal="right"/>
    </xf>
    <xf numFmtId="0" fontId="17" fillId="0" borderId="17" xfId="9" applyNumberFormat="1" applyFont="1" applyBorder="1" applyAlignment="1">
      <alignment horizontal="right"/>
    </xf>
    <xf numFmtId="0" fontId="0" fillId="0" borderId="9" xfId="0" applyBorder="1" applyAlignment="1">
      <alignment horizontal="right"/>
    </xf>
    <xf numFmtId="3" fontId="0" fillId="0" borderId="14" xfId="0" applyNumberFormat="1" applyBorder="1"/>
    <xf numFmtId="0" fontId="0" fillId="0" borderId="10" xfId="0" applyBorder="1"/>
    <xf numFmtId="3" fontId="0" fillId="0" borderId="15" xfId="0" applyNumberFormat="1" applyBorder="1"/>
    <xf numFmtId="0" fontId="0" fillId="0" borderId="16" xfId="0" applyBorder="1"/>
    <xf numFmtId="0" fontId="0" fillId="0" borderId="17" xfId="0" applyBorder="1"/>
    <xf numFmtId="0" fontId="0" fillId="0" borderId="6" xfId="0" applyBorder="1" applyAlignment="1">
      <alignment horizontal="left"/>
    </xf>
    <xf numFmtId="3" fontId="0" fillId="21" borderId="18" xfId="0" applyNumberFormat="1" applyFill="1" applyBorder="1" applyAlignment="1">
      <alignment horizontal="right"/>
    </xf>
    <xf numFmtId="0" fontId="0" fillId="0" borderId="7" xfId="0" applyBorder="1" applyAlignment="1">
      <alignment horizontal="right"/>
    </xf>
    <xf numFmtId="0" fontId="0" fillId="0" borderId="8" xfId="0" applyBorder="1" applyAlignment="1">
      <alignment horizontal="right"/>
    </xf>
    <xf numFmtId="0" fontId="0" fillId="0" borderId="16" xfId="0" applyBorder="1" applyAlignment="1">
      <alignment horizontal="right"/>
    </xf>
    <xf numFmtId="0" fontId="0" fillId="0" borderId="17" xfId="0" applyBorder="1" applyAlignment="1">
      <alignment horizontal="right"/>
    </xf>
    <xf numFmtId="0" fontId="0" fillId="20" borderId="0" xfId="0" applyFill="1"/>
    <xf numFmtId="0" fontId="0" fillId="20" borderId="10" xfId="0" applyFill="1" applyBorder="1"/>
    <xf numFmtId="2" fontId="0" fillId="0" borderId="8" xfId="0" applyNumberFormat="1" applyBorder="1"/>
    <xf numFmtId="2" fontId="0" fillId="0" borderId="10" xfId="0" applyNumberFormat="1" applyBorder="1"/>
    <xf numFmtId="2" fontId="0" fillId="0" borderId="17" xfId="0" applyNumberFormat="1" applyBorder="1"/>
    <xf numFmtId="0" fontId="0" fillId="16" borderId="0" xfId="0" applyFill="1" applyAlignment="1">
      <alignment horizontal="center"/>
    </xf>
    <xf numFmtId="168" fontId="0" fillId="16" borderId="0" xfId="0" applyNumberFormat="1" applyFill="1" applyAlignment="1">
      <alignment horizontal="center"/>
    </xf>
    <xf numFmtId="165" fontId="0" fillId="16" borderId="0" xfId="0" applyNumberFormat="1" applyFill="1" applyAlignment="1">
      <alignment horizontal="center"/>
    </xf>
    <xf numFmtId="0" fontId="0" fillId="0" borderId="0" xfId="0" applyAlignment="1">
      <alignment horizontal="center"/>
    </xf>
    <xf numFmtId="168" fontId="0" fillId="0" borderId="0" xfId="0" applyNumberFormat="1" applyAlignment="1">
      <alignment horizontal="center"/>
    </xf>
    <xf numFmtId="165" fontId="0" fillId="0" borderId="0" xfId="0" applyNumberFormat="1" applyAlignment="1">
      <alignment horizontal="center"/>
    </xf>
    <xf numFmtId="0" fontId="16" fillId="0" borderId="11" xfId="0" applyFont="1" applyBorder="1" applyAlignment="1">
      <alignment horizontal="right" wrapText="1"/>
    </xf>
    <xf numFmtId="0" fontId="16" fillId="0" borderId="12" xfId="0" applyFont="1" applyBorder="1" applyAlignment="1">
      <alignment horizontal="center" wrapText="1"/>
    </xf>
    <xf numFmtId="0" fontId="16" fillId="0" borderId="13" xfId="0" applyFont="1" applyBorder="1" applyAlignment="1">
      <alignment horizontal="right" wrapText="1"/>
    </xf>
    <xf numFmtId="0" fontId="16" fillId="0" borderId="12" xfId="0" applyFont="1" applyBorder="1" applyAlignment="1">
      <alignment horizontal="right" wrapText="1"/>
    </xf>
    <xf numFmtId="0" fontId="0" fillId="0" borderId="6" xfId="0" applyBorder="1" applyAlignment="1">
      <alignment horizontal="center"/>
    </xf>
    <xf numFmtId="165" fontId="0" fillId="0" borderId="7" xfId="0" applyNumberFormat="1" applyBorder="1" applyAlignment="1">
      <alignment horizontal="center"/>
    </xf>
    <xf numFmtId="164" fontId="0" fillId="0" borderId="8" xfId="0" applyNumberFormat="1" applyBorder="1" applyAlignment="1">
      <alignment horizontal="center"/>
    </xf>
    <xf numFmtId="0" fontId="0" fillId="0" borderId="9" xfId="0" applyBorder="1" applyAlignment="1">
      <alignment horizontal="center"/>
    </xf>
    <xf numFmtId="164" fontId="0" fillId="0" borderId="10" xfId="0" applyNumberFormat="1" applyBorder="1" applyAlignment="1">
      <alignment horizontal="center"/>
    </xf>
    <xf numFmtId="0" fontId="16" fillId="0" borderId="9" xfId="0" applyFont="1" applyBorder="1" applyAlignment="1">
      <alignment horizontal="center"/>
    </xf>
    <xf numFmtId="165" fontId="16" fillId="0" borderId="0" xfId="0" applyNumberFormat="1" applyFont="1" applyAlignment="1">
      <alignment horizontal="center"/>
    </xf>
    <xf numFmtId="164" fontId="16" fillId="0" borderId="10" xfId="0" applyNumberFormat="1" applyFont="1" applyBorder="1" applyAlignment="1">
      <alignment horizontal="center"/>
    </xf>
    <xf numFmtId="0" fontId="0" fillId="0" borderId="19" xfId="0" applyBorder="1" applyAlignment="1">
      <alignment horizontal="center"/>
    </xf>
    <xf numFmtId="165" fontId="0" fillId="0" borderId="16" xfId="0" applyNumberFormat="1" applyBorder="1" applyAlignment="1">
      <alignment horizontal="center"/>
    </xf>
    <xf numFmtId="164" fontId="0" fillId="0" borderId="17" xfId="0" applyNumberFormat="1" applyBorder="1" applyAlignment="1">
      <alignment horizontal="center"/>
    </xf>
    <xf numFmtId="0" fontId="16" fillId="0" borderId="1" xfId="0" applyFont="1"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3" fontId="0" fillId="0" borderId="0" xfId="0" applyNumberFormat="1" applyAlignment="1">
      <alignment horizontal="center"/>
    </xf>
    <xf numFmtId="169" fontId="0" fillId="0" borderId="0" xfId="0" applyNumberFormat="1" applyAlignment="1">
      <alignment horizontal="center"/>
    </xf>
    <xf numFmtId="3" fontId="0" fillId="0" borderId="10" xfId="0" applyNumberFormat="1" applyBorder="1" applyAlignment="1">
      <alignment horizontal="center"/>
    </xf>
    <xf numFmtId="171" fontId="0" fillId="0" borderId="0" xfId="0" applyNumberFormat="1" applyAlignment="1">
      <alignment horizontal="center"/>
    </xf>
    <xf numFmtId="169" fontId="0" fillId="0" borderId="10" xfId="0" applyNumberFormat="1" applyBorder="1" applyAlignment="1">
      <alignment horizontal="center"/>
    </xf>
    <xf numFmtId="0" fontId="0" fillId="0" borderId="15" xfId="0" applyBorder="1" applyAlignment="1">
      <alignment horizontal="center"/>
    </xf>
    <xf numFmtId="171" fontId="0" fillId="0" borderId="16" xfId="0" applyNumberFormat="1" applyBorder="1" applyAlignment="1">
      <alignment horizontal="center"/>
    </xf>
    <xf numFmtId="169" fontId="0" fillId="0" borderId="16" xfId="0" applyNumberFormat="1" applyBorder="1" applyAlignment="1">
      <alignment horizontal="center"/>
    </xf>
    <xf numFmtId="3" fontId="0" fillId="0" borderId="17" xfId="0" applyNumberFormat="1" applyBorder="1" applyAlignment="1">
      <alignment horizontal="center"/>
    </xf>
    <xf numFmtId="172" fontId="0" fillId="0" borderId="0" xfId="0" applyNumberFormat="1" applyAlignment="1">
      <alignment horizontal="center"/>
    </xf>
    <xf numFmtId="170" fontId="0" fillId="0" borderId="0" xfId="0" applyNumberFormat="1" applyAlignment="1">
      <alignment horizontal="center"/>
    </xf>
    <xf numFmtId="167" fontId="0" fillId="0" borderId="0" xfId="0" applyNumberFormat="1" applyAlignment="1">
      <alignment horizontal="center"/>
    </xf>
    <xf numFmtId="167" fontId="0" fillId="0" borderId="10" xfId="0" applyNumberFormat="1" applyBorder="1" applyAlignment="1">
      <alignment horizontal="center"/>
    </xf>
    <xf numFmtId="166" fontId="0" fillId="0" borderId="0" xfId="0" applyNumberFormat="1" applyAlignment="1">
      <alignment horizontal="center"/>
    </xf>
    <xf numFmtId="173" fontId="0" fillId="0" borderId="0" xfId="0" applyNumberFormat="1" applyAlignment="1">
      <alignment horizontal="center"/>
    </xf>
    <xf numFmtId="174" fontId="0" fillId="0" borderId="0" xfId="0" applyNumberFormat="1" applyAlignment="1">
      <alignment horizontal="center"/>
    </xf>
    <xf numFmtId="175" fontId="0" fillId="0" borderId="0" xfId="0" applyNumberFormat="1" applyAlignment="1">
      <alignment horizontal="center"/>
    </xf>
    <xf numFmtId="0" fontId="1" fillId="12" borderId="0" xfId="0" applyFont="1" applyFill="1"/>
    <xf numFmtId="0" fontId="0" fillId="12" borderId="0" xfId="0" applyFill="1" applyAlignment="1">
      <alignment horizontal="right"/>
    </xf>
    <xf numFmtId="0" fontId="0" fillId="12" borderId="0" xfId="0" applyFill="1" applyAlignment="1">
      <alignment horizontal="left"/>
    </xf>
    <xf numFmtId="176" fontId="0" fillId="0" borderId="0" xfId="0" applyNumberFormat="1" applyAlignment="1">
      <alignment horizontal="right"/>
    </xf>
    <xf numFmtId="176" fontId="0" fillId="2" borderId="0" xfId="0" applyNumberFormat="1" applyFill="1" applyAlignment="1">
      <alignment horizontal="right"/>
    </xf>
    <xf numFmtId="0" fontId="25" fillId="0" borderId="0" xfId="1" applyFont="1" applyAlignment="1" applyProtection="1"/>
    <xf numFmtId="11" fontId="0" fillId="0" borderId="0" xfId="0" applyNumberFormat="1"/>
    <xf numFmtId="0" fontId="1" fillId="4" borderId="0" xfId="0" applyFont="1" applyFill="1"/>
    <xf numFmtId="0" fontId="1" fillId="22" borderId="0" xfId="0" applyFont="1" applyFill="1"/>
    <xf numFmtId="0" fontId="0" fillId="22" borderId="0" xfId="0" applyFill="1"/>
    <xf numFmtId="0" fontId="26" fillId="0" borderId="0" xfId="1" applyFont="1"/>
    <xf numFmtId="0" fontId="6" fillId="0" borderId="0" xfId="3"/>
    <xf numFmtId="0" fontId="7" fillId="0" borderId="2" xfId="4">
      <alignment wrapText="1"/>
    </xf>
    <xf numFmtId="0" fontId="9" fillId="0" borderId="0" xfId="0" applyFont="1"/>
    <xf numFmtId="0" fontId="10" fillId="0" borderId="0" xfId="5">
      <alignment horizontal="left"/>
    </xf>
    <xf numFmtId="0" fontId="7" fillId="0" borderId="0" xfId="0" applyFont="1" applyAlignment="1">
      <alignment horizontal="right"/>
    </xf>
    <xf numFmtId="0" fontId="7" fillId="0" borderId="3" xfId="6">
      <alignment wrapText="1"/>
    </xf>
    <xf numFmtId="4" fontId="7" fillId="0" borderId="3" xfId="6" applyNumberFormat="1" applyAlignment="1">
      <alignment horizontal="right" wrapText="1"/>
    </xf>
    <xf numFmtId="164" fontId="7" fillId="0" borderId="3" xfId="6" applyNumberFormat="1" applyAlignment="1">
      <alignment horizontal="right" wrapText="1"/>
    </xf>
    <xf numFmtId="0" fontId="6" fillId="0" borderId="0" xfId="2"/>
    <xf numFmtId="0" fontId="11" fillId="0" borderId="0" xfId="2" applyFont="1"/>
    <xf numFmtId="0" fontId="28" fillId="0" borderId="5" xfId="21" applyFont="1">
      <alignment wrapText="1"/>
    </xf>
    <xf numFmtId="164" fontId="0" fillId="0" borderId="4" xfId="22" applyNumberFormat="1" applyFont="1" applyAlignment="1">
      <alignment horizontal="right" wrapText="1"/>
    </xf>
    <xf numFmtId="165" fontId="0" fillId="0" borderId="4" xfId="22" applyNumberFormat="1" applyFont="1" applyAlignment="1">
      <alignment horizontal="right" wrapText="1"/>
    </xf>
    <xf numFmtId="0" fontId="0" fillId="0" borderId="4" xfId="22" applyFont="1">
      <alignment wrapText="1"/>
    </xf>
    <xf numFmtId="0" fontId="9" fillId="0" borderId="0" xfId="2" applyFont="1"/>
    <xf numFmtId="4" fontId="0" fillId="0" borderId="4" xfId="22" applyNumberFormat="1" applyFont="1" applyAlignment="1">
      <alignment horizontal="right" wrapText="1"/>
    </xf>
    <xf numFmtId="3" fontId="0" fillId="0" borderId="4" xfId="22" applyNumberFormat="1" applyFont="1" applyAlignment="1">
      <alignment horizontal="right" wrapText="1"/>
    </xf>
    <xf numFmtId="0" fontId="7" fillId="0" borderId="3" xfId="23">
      <alignment wrapText="1"/>
    </xf>
    <xf numFmtId="164" fontId="7" fillId="0" borderId="3" xfId="23" applyNumberFormat="1" applyAlignment="1">
      <alignment horizontal="right" wrapText="1"/>
    </xf>
    <xf numFmtId="4" fontId="7" fillId="0" borderId="3" xfId="23" applyNumberFormat="1" applyAlignment="1">
      <alignment horizontal="right" wrapText="1"/>
    </xf>
    <xf numFmtId="0" fontId="7" fillId="0" borderId="2" xfId="24" applyAlignment="1">
      <alignment horizontal="right"/>
    </xf>
    <xf numFmtId="0" fontId="7" fillId="0" borderId="2" xfId="24">
      <alignment wrapText="1"/>
    </xf>
    <xf numFmtId="0" fontId="29" fillId="0" borderId="0" xfId="2" applyFont="1" applyAlignment="1">
      <alignment horizontal="right"/>
    </xf>
    <xf numFmtId="0" fontId="6" fillId="0" borderId="0" xfId="2" applyAlignment="1">
      <alignment horizontal="left"/>
    </xf>
    <xf numFmtId="0" fontId="6" fillId="0" borderId="0" xfId="25"/>
    <xf numFmtId="0" fontId="10" fillId="0" borderId="0" xfId="26">
      <alignment horizontal="left"/>
    </xf>
    <xf numFmtId="0" fontId="8" fillId="0" borderId="0" xfId="2" applyFont="1"/>
    <xf numFmtId="0" fontId="0" fillId="12" borderId="1" xfId="0" applyFill="1" applyBorder="1"/>
    <xf numFmtId="0" fontId="0" fillId="12" borderId="0" xfId="0" applyFill="1"/>
    <xf numFmtId="177" fontId="0" fillId="0" borderId="0" xfId="9" applyNumberFormat="1" applyFont="1"/>
    <xf numFmtId="177" fontId="0" fillId="12" borderId="0" xfId="9" applyNumberFormat="1" applyFont="1" applyFill="1"/>
    <xf numFmtId="176" fontId="0" fillId="12" borderId="0" xfId="0" applyNumberFormat="1" applyFill="1" applyAlignment="1">
      <alignment horizontal="right"/>
    </xf>
    <xf numFmtId="4" fontId="0" fillId="0" borderId="0" xfId="0" applyNumberFormat="1"/>
    <xf numFmtId="0" fontId="5" fillId="12" borderId="1" xfId="0" applyFont="1" applyFill="1" applyBorder="1" applyAlignment="1">
      <alignment horizontal="right" vertical="center" wrapText="1"/>
    </xf>
    <xf numFmtId="4" fontId="0" fillId="12" borderId="0" xfId="0" applyNumberFormat="1" applyFill="1" applyAlignment="1">
      <alignment horizontal="right"/>
    </xf>
    <xf numFmtId="0" fontId="6" fillId="0" borderId="5" xfId="2" applyBorder="1"/>
    <xf numFmtId="0" fontId="6" fillId="0" borderId="4" xfId="22">
      <alignment wrapText="1"/>
    </xf>
    <xf numFmtId="11" fontId="6" fillId="23" borderId="0" xfId="2" applyNumberFormat="1" applyFill="1"/>
    <xf numFmtId="11" fontId="6" fillId="12" borderId="0" xfId="2" applyNumberFormat="1" applyFill="1"/>
    <xf numFmtId="9" fontId="0" fillId="0" borderId="0" xfId="27" applyFont="1"/>
    <xf numFmtId="11" fontId="6" fillId="0" borderId="0" xfId="2" applyNumberFormat="1" applyAlignment="1">
      <alignment horizontal="left"/>
    </xf>
    <xf numFmtId="0" fontId="27" fillId="0" borderId="0" xfId="2" applyFont="1"/>
    <xf numFmtId="0" fontId="7" fillId="12" borderId="3" xfId="23" applyFill="1">
      <alignment wrapText="1"/>
    </xf>
    <xf numFmtId="4" fontId="7" fillId="12" borderId="3" xfId="23" applyNumberFormat="1" applyFill="1" applyAlignment="1">
      <alignment horizontal="right" wrapText="1"/>
    </xf>
    <xf numFmtId="0" fontId="7" fillId="0" borderId="2" xfId="24" applyAlignment="1">
      <alignment horizontal="right" wrapText="1"/>
    </xf>
    <xf numFmtId="4" fontId="0" fillId="12" borderId="0" xfId="0" applyNumberFormat="1" applyFill="1"/>
    <xf numFmtId="9" fontId="0" fillId="0" borderId="0" xfId="10" applyFont="1"/>
    <xf numFmtId="177" fontId="0" fillId="0" borderId="0" xfId="0" applyNumberFormat="1"/>
    <xf numFmtId="0" fontId="0" fillId="0" borderId="23" xfId="0" applyBorder="1"/>
    <xf numFmtId="0" fontId="0" fillId="0" borderId="24" xfId="0" applyBorder="1"/>
    <xf numFmtId="11" fontId="0" fillId="0" borderId="24" xfId="0" applyNumberFormat="1" applyBorder="1"/>
    <xf numFmtId="0" fontId="0" fillId="0" borderId="25" xfId="0" applyBorder="1"/>
    <xf numFmtId="0" fontId="31" fillId="0" borderId="3" xfId="23" applyFont="1">
      <alignment wrapText="1"/>
    </xf>
    <xf numFmtId="4" fontId="31" fillId="0" borderId="3" xfId="23" applyNumberFormat="1" applyFont="1" applyAlignment="1">
      <alignment horizontal="right" wrapText="1"/>
    </xf>
    <xf numFmtId="0" fontId="32" fillId="0" borderId="0" xfId="2" applyFont="1"/>
    <xf numFmtId="0" fontId="32" fillId="0" borderId="4" xfId="22" applyFont="1">
      <alignment wrapText="1"/>
    </xf>
    <xf numFmtId="4" fontId="32" fillId="0" borderId="4" xfId="22" applyNumberFormat="1" applyFont="1" applyAlignment="1">
      <alignment horizontal="right" wrapText="1"/>
    </xf>
    <xf numFmtId="164" fontId="7" fillId="0" borderId="3" xfId="10" applyNumberFormat="1" applyFont="1" applyBorder="1" applyAlignment="1">
      <alignment horizontal="right" wrapText="1"/>
    </xf>
    <xf numFmtId="164" fontId="29" fillId="0" borderId="2" xfId="10" applyNumberFormat="1" applyFont="1" applyBorder="1" applyAlignment="1">
      <alignment horizontal="right"/>
    </xf>
    <xf numFmtId="164" fontId="7" fillId="12" borderId="3" xfId="10" applyNumberFormat="1" applyFont="1" applyFill="1" applyBorder="1" applyAlignment="1">
      <alignment horizontal="right" wrapText="1"/>
    </xf>
    <xf numFmtId="164" fontId="29" fillId="0" borderId="0" xfId="10" applyNumberFormat="1" applyFont="1" applyAlignment="1">
      <alignment horizontal="right"/>
    </xf>
    <xf numFmtId="164" fontId="0" fillId="0" borderId="4" xfId="10" applyNumberFormat="1" applyFont="1" applyBorder="1" applyAlignment="1">
      <alignment horizontal="right" wrapText="1"/>
    </xf>
    <xf numFmtId="164" fontId="30" fillId="0" borderId="4" xfId="10" applyNumberFormat="1" applyFont="1" applyBorder="1" applyAlignment="1">
      <alignment horizontal="right" wrapText="1"/>
    </xf>
    <xf numFmtId="0" fontId="33" fillId="0" borderId="0" xfId="26" applyFont="1">
      <alignment horizontal="left"/>
    </xf>
    <xf numFmtId="0" fontId="11" fillId="0" borderId="0" xfId="25" applyFont="1"/>
    <xf numFmtId="0" fontId="11" fillId="0" borderId="0" xfId="2" applyFont="1" applyAlignment="1">
      <alignment horizontal="left"/>
    </xf>
    <xf numFmtId="0" fontId="29" fillId="0" borderId="2" xfId="24" applyFont="1">
      <alignment wrapText="1"/>
    </xf>
    <xf numFmtId="0" fontId="29" fillId="0" borderId="2" xfId="24" applyFont="1" applyAlignment="1">
      <alignment horizontal="right"/>
    </xf>
    <xf numFmtId="0" fontId="29" fillId="0" borderId="3" xfId="23" applyFont="1">
      <alignment wrapText="1"/>
    </xf>
    <xf numFmtId="0" fontId="11" fillId="0" borderId="4" xfId="22" applyFont="1">
      <alignment wrapText="1"/>
    </xf>
    <xf numFmtId="4" fontId="11" fillId="0" borderId="4" xfId="22" applyNumberFormat="1" applyFont="1" applyAlignment="1">
      <alignment horizontal="right" wrapText="1"/>
    </xf>
    <xf numFmtId="164" fontId="11" fillId="0" borderId="4" xfId="22" applyNumberFormat="1" applyFont="1" applyAlignment="1">
      <alignment horizontal="right" wrapText="1"/>
    </xf>
    <xf numFmtId="4" fontId="29" fillId="0" borderId="3" xfId="23" applyNumberFormat="1" applyFont="1" applyAlignment="1">
      <alignment horizontal="right" wrapText="1"/>
    </xf>
    <xf numFmtId="164" fontId="29" fillId="0" borderId="3" xfId="23" applyNumberFormat="1" applyFont="1" applyAlignment="1">
      <alignment horizontal="right" wrapText="1"/>
    </xf>
    <xf numFmtId="3" fontId="11" fillId="0" borderId="4" xfId="22" applyNumberFormat="1" applyFont="1" applyAlignment="1">
      <alignment horizontal="right" wrapText="1"/>
    </xf>
    <xf numFmtId="165" fontId="11" fillId="0" borderId="4" xfId="22" applyNumberFormat="1" applyFont="1" applyAlignment="1">
      <alignment horizontal="right" wrapText="1"/>
    </xf>
    <xf numFmtId="0" fontId="34" fillId="0" borderId="0" xfId="2" applyFont="1"/>
    <xf numFmtId="164" fontId="6" fillId="0" borderId="0" xfId="10" applyNumberFormat="1" applyFont="1"/>
    <xf numFmtId="164" fontId="32" fillId="0" borderId="0" xfId="10" applyNumberFormat="1" applyFont="1"/>
    <xf numFmtId="164" fontId="6" fillId="0" borderId="0" xfId="10" applyNumberFormat="1" applyFont="1" applyAlignment="1">
      <alignment horizontal="right"/>
    </xf>
    <xf numFmtId="0" fontId="6" fillId="0" borderId="0" xfId="32"/>
    <xf numFmtId="0" fontId="7" fillId="0" borderId="2" xfId="34" applyAlignment="1"/>
    <xf numFmtId="0" fontId="33" fillId="0" borderId="0" xfId="36" applyFont="1">
      <alignment horizontal="left"/>
    </xf>
    <xf numFmtId="0" fontId="11" fillId="0" borderId="0" xfId="32" applyFont="1"/>
    <xf numFmtId="0" fontId="29" fillId="0" borderId="2" xfId="34" applyFont="1" applyAlignment="1"/>
    <xf numFmtId="0" fontId="29" fillId="0" borderId="2" xfId="34" applyFont="1" applyAlignment="1">
      <alignment horizontal="right"/>
    </xf>
    <xf numFmtId="0" fontId="29" fillId="0" borderId="3" xfId="35" applyFont="1" applyAlignment="1"/>
    <xf numFmtId="0" fontId="11" fillId="0" borderId="4" xfId="31" applyFont="1" applyAlignment="1"/>
    <xf numFmtId="4" fontId="11" fillId="0" borderId="4" xfId="31" applyNumberFormat="1" applyFont="1" applyAlignment="1">
      <alignment horizontal="right"/>
    </xf>
    <xf numFmtId="164" fontId="11" fillId="0" borderId="4" xfId="31" applyNumberFormat="1" applyFont="1" applyAlignment="1">
      <alignment horizontal="right"/>
    </xf>
    <xf numFmtId="0" fontId="11" fillId="0" borderId="5" xfId="2" applyFont="1" applyBorder="1"/>
    <xf numFmtId="3" fontId="11" fillId="0" borderId="4" xfId="31" applyNumberFormat="1" applyFont="1" applyAlignment="1">
      <alignment horizontal="right"/>
    </xf>
    <xf numFmtId="169" fontId="11" fillId="0" borderId="4" xfId="31" applyNumberFormat="1" applyFont="1" applyAlignment="1">
      <alignment horizontal="right"/>
    </xf>
    <xf numFmtId="0" fontId="7" fillId="0" borderId="0" xfId="2" applyFont="1" applyAlignment="1">
      <alignment horizontal="right"/>
    </xf>
    <xf numFmtId="0" fontId="7" fillId="0" borderId="2" xfId="4" applyAlignment="1">
      <alignment horizontal="right" wrapText="1"/>
    </xf>
    <xf numFmtId="0" fontId="0" fillId="0" borderId="4" xfId="7" applyFont="1">
      <alignment wrapText="1"/>
    </xf>
    <xf numFmtId="4" fontId="0" fillId="0" borderId="4" xfId="7" applyNumberFormat="1" applyFont="1" applyAlignment="1">
      <alignment horizontal="right" wrapText="1"/>
    </xf>
    <xf numFmtId="164" fontId="0" fillId="0" borderId="4" xfId="7" applyNumberFormat="1" applyFont="1" applyAlignment="1">
      <alignment horizontal="right" wrapText="1"/>
    </xf>
    <xf numFmtId="3" fontId="0" fillId="0" borderId="4" xfId="7" applyNumberFormat="1" applyFont="1" applyAlignment="1">
      <alignment horizontal="right" wrapText="1"/>
    </xf>
    <xf numFmtId="165" fontId="0" fillId="0" borderId="4" xfId="7" applyNumberFormat="1" applyFont="1" applyAlignment="1">
      <alignment horizontal="right" wrapText="1"/>
    </xf>
    <xf numFmtId="3" fontId="7" fillId="0" borderId="3" xfId="6" applyNumberFormat="1" applyAlignment="1">
      <alignment horizontal="right" wrapText="1"/>
    </xf>
    <xf numFmtId="165" fontId="7" fillId="0" borderId="3" xfId="6" applyNumberFormat="1" applyAlignment="1">
      <alignment horizontal="right" wrapText="1"/>
    </xf>
    <xf numFmtId="169" fontId="0" fillId="0" borderId="4" xfId="7" applyNumberFormat="1" applyFont="1" applyAlignment="1">
      <alignment horizontal="right" wrapText="1"/>
    </xf>
    <xf numFmtId="0" fontId="3" fillId="5" borderId="1" xfId="0" applyFont="1" applyFill="1" applyBorder="1" applyAlignment="1">
      <alignment horizontal="center" wrapText="1"/>
    </xf>
    <xf numFmtId="0" fontId="3" fillId="6" borderId="1" xfId="0" applyFont="1" applyFill="1" applyBorder="1" applyAlignment="1">
      <alignment horizontal="center" wrapText="1"/>
    </xf>
    <xf numFmtId="0" fontId="4" fillId="7" borderId="1" xfId="0" applyFont="1" applyFill="1" applyBorder="1" applyAlignment="1">
      <alignment horizontal="center" wrapText="1"/>
    </xf>
    <xf numFmtId="0" fontId="6" fillId="0" borderId="5" xfId="8">
      <alignment wrapText="1"/>
    </xf>
    <xf numFmtId="0" fontId="6" fillId="0" borderId="0" xfId="2"/>
    <xf numFmtId="0" fontId="35" fillId="0" borderId="5" xfId="21" applyFont="1">
      <alignment wrapText="1"/>
    </xf>
    <xf numFmtId="0" fontId="6" fillId="0" borderId="5" xfId="2" applyBorder="1"/>
    <xf numFmtId="0" fontId="0" fillId="0" borderId="0" xfId="0"/>
    <xf numFmtId="0" fontId="35" fillId="0" borderId="5" xfId="33" applyFont="1" applyAlignment="1"/>
    <xf numFmtId="0" fontId="11" fillId="0" borderId="0" xfId="2" applyFont="1"/>
    <xf numFmtId="0" fontId="11" fillId="0" borderId="5" xfId="21" applyFont="1">
      <alignment wrapText="1"/>
    </xf>
  </cellXfs>
  <cellStyles count="38">
    <cellStyle name="Body: normal cell" xfId="7" xr:uid="{00000000-0005-0000-0000-000000000000}"/>
    <cellStyle name="Body: normal cell 2" xfId="15" xr:uid="{00000000-0005-0000-0000-000001000000}"/>
    <cellStyle name="Body: normal cell 2 2" xfId="31" xr:uid="{D1FE2E30-B1FC-481B-BE3D-09B590B78790}"/>
    <cellStyle name="Body: normal cell 3" xfId="22" xr:uid="{B1293A1F-F4C6-4A3E-BD91-9A34733FCCAD}"/>
    <cellStyle name="Comma" xfId="9" builtinId="3"/>
    <cellStyle name="Font: Calibri, 9pt regular" xfId="3" xr:uid="{00000000-0005-0000-0000-000003000000}"/>
    <cellStyle name="Font: Calibri, 9pt regular 2" xfId="11" xr:uid="{00000000-0005-0000-0000-000004000000}"/>
    <cellStyle name="Font: Calibri, 9pt regular 2 2" xfId="32" xr:uid="{273FFB9A-635C-481F-B917-E0F5D2D4C1A0}"/>
    <cellStyle name="Font: Calibri, 9pt regular 3" xfId="25" xr:uid="{8475CEE1-2C32-49A6-8FA4-42C33F4120AF}"/>
    <cellStyle name="Footnotes: all except top row" xfId="17" xr:uid="{00000000-0005-0000-0000-000005000000}"/>
    <cellStyle name="Footnotes: top row" xfId="8" xr:uid="{00000000-0005-0000-0000-000006000000}"/>
    <cellStyle name="Footnotes: top row 2" xfId="16" xr:uid="{00000000-0005-0000-0000-000007000000}"/>
    <cellStyle name="Footnotes: top row 2 2" xfId="33" xr:uid="{C078E2A6-F48A-4B2F-98AB-C95F058ED1A5}"/>
    <cellStyle name="Footnotes: top row 3" xfId="21" xr:uid="{8A775C82-5C61-4D7B-A6D8-70CEAAAC375B}"/>
    <cellStyle name="Header: bottom row" xfId="4" xr:uid="{00000000-0005-0000-0000-000008000000}"/>
    <cellStyle name="Header: bottom row 2" xfId="12" xr:uid="{00000000-0005-0000-0000-000009000000}"/>
    <cellStyle name="Header: bottom row 2 2" xfId="34" xr:uid="{DA5B4D03-0D24-46E5-AD61-7A4EA198A6CA}"/>
    <cellStyle name="Header: bottom row 3" xfId="24" xr:uid="{AE126B05-B4CF-4974-9AFE-DDCD45802937}"/>
    <cellStyle name="Header: top rows" xfId="18" xr:uid="{00000000-0005-0000-0000-00000A000000}"/>
    <cellStyle name="Hyperlink" xfId="1" builtinId="8"/>
    <cellStyle name="Hyperlink 2" xfId="37" xr:uid="{B3057EA5-F2BE-4997-B192-12A2A6CBDF08}"/>
    <cellStyle name="Normal" xfId="0" builtinId="0"/>
    <cellStyle name="Normal 2" xfId="2" xr:uid="{00000000-0005-0000-0000-00000D000000}"/>
    <cellStyle name="Normal 3" xfId="30" xr:uid="{AC580BE3-4547-48E9-99FD-938AB06B9F6E}"/>
    <cellStyle name="Normal 4" xfId="29" xr:uid="{DEF297B8-1C43-46DE-9267-A0FE6F009557}"/>
    <cellStyle name="Normal 5" xfId="28" xr:uid="{745BDA17-13E3-4571-908A-E0B9276F5358}"/>
    <cellStyle name="Parent row" xfId="6" xr:uid="{00000000-0005-0000-0000-00000E000000}"/>
    <cellStyle name="Parent row 2" xfId="14" xr:uid="{00000000-0005-0000-0000-00000F000000}"/>
    <cellStyle name="Parent row 2 2" xfId="35" xr:uid="{FB6159C2-3816-462C-9C7E-597FA8726819}"/>
    <cellStyle name="Parent row 3" xfId="23" xr:uid="{331FC99C-93DD-42D6-8CB1-F9333C05A143}"/>
    <cellStyle name="Percent" xfId="10" builtinId="5"/>
    <cellStyle name="Percent 2" xfId="27" xr:uid="{9E1DDFDA-DFF4-4D40-BF83-8294F9197DDF}"/>
    <cellStyle name="Section Break" xfId="19" xr:uid="{00000000-0005-0000-0000-000011000000}"/>
    <cellStyle name="Section Break: parent row" xfId="20" xr:uid="{00000000-0005-0000-0000-000012000000}"/>
    <cellStyle name="Table title" xfId="5" xr:uid="{00000000-0005-0000-0000-000013000000}"/>
    <cellStyle name="Table title 2" xfId="13" xr:uid="{00000000-0005-0000-0000-000014000000}"/>
    <cellStyle name="Table title 2 2" xfId="36" xr:uid="{4DA32883-3F28-49DD-A335-06D63994080A}"/>
    <cellStyle name="Table title 3" xfId="26" xr:uid="{CE97C44B-4CC0-45E6-AB97-7B8144BE634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'growth rate gas and oil'!$C$78:$AH$78</c:f>
              <c:numCache>
                <c:formatCode>General</c:formatCode>
                <c:ptCount val="32"/>
                <c:pt idx="0">
                  <c:v>2.4050854715983412E+16</c:v>
                </c:pt>
                <c:pt idx="1">
                  <c:v>2.2480428816440108E+16</c:v>
                </c:pt>
                <c:pt idx="2">
                  <c:v>2.1824346133932648E+16</c:v>
                </c:pt>
                <c:pt idx="3">
                  <c:v>2.3255085897106E+16</c:v>
                </c:pt>
                <c:pt idx="4">
                  <c:v>2.4315902770290688E+16</c:v>
                </c:pt>
                <c:pt idx="5">
                  <c:v>2.5080418377795212E+16</c:v>
                </c:pt>
                <c:pt idx="6">
                  <c:v>2.532476908983536E+16</c:v>
                </c:pt>
                <c:pt idx="7">
                  <c:v>2.5648185731522452E+16</c:v>
                </c:pt>
                <c:pt idx="8">
                  <c:v>2.5799605601332724E+16</c:v>
                </c:pt>
                <c:pt idx="9">
                  <c:v>2.6041094327589408E+16</c:v>
                </c:pt>
                <c:pt idx="10">
                  <c:v>2.5979175816331248E+16</c:v>
                </c:pt>
                <c:pt idx="11">
                  <c:v>2.5949610809125924E+16</c:v>
                </c:pt>
                <c:pt idx="12">
                  <c:v>2.5804184370314396E+16</c:v>
                </c:pt>
                <c:pt idx="13">
                  <c:v>2.5809843018382692E+16</c:v>
                </c:pt>
                <c:pt idx="14">
                  <c:v>2.5824408117216496E+16</c:v>
                </c:pt>
                <c:pt idx="15">
                  <c:v>2.5822442288179784E+16</c:v>
                </c:pt>
                <c:pt idx="16">
                  <c:v>2.5853599555664068E+16</c:v>
                </c:pt>
                <c:pt idx="17">
                  <c:v>2.5739109917528968E+16</c:v>
                </c:pt>
                <c:pt idx="18">
                  <c:v>2.5625843053633732E+16</c:v>
                </c:pt>
                <c:pt idx="19">
                  <c:v>2.5442988291470024E+16</c:v>
                </c:pt>
                <c:pt idx="20">
                  <c:v>2.5275939774613968E+16</c:v>
                </c:pt>
                <c:pt idx="21">
                  <c:v>2.5136033171436164E+16</c:v>
                </c:pt>
                <c:pt idx="22">
                  <c:v>2.4919926707113536E+16</c:v>
                </c:pt>
                <c:pt idx="23">
                  <c:v>2.4988434726295384E+16</c:v>
                </c:pt>
                <c:pt idx="24">
                  <c:v>2.5136235266010028E+16</c:v>
                </c:pt>
                <c:pt idx="25">
                  <c:v>2.5298858115834312E+16</c:v>
                </c:pt>
                <c:pt idx="26">
                  <c:v>2.5308691343736544E+16</c:v>
                </c:pt>
                <c:pt idx="27">
                  <c:v>2.5290825366862896E+16</c:v>
                </c:pt>
                <c:pt idx="28">
                  <c:v>2.5082106581962776E+16</c:v>
                </c:pt>
                <c:pt idx="29">
                  <c:v>2.5108050217713132E+16</c:v>
                </c:pt>
                <c:pt idx="30">
                  <c:v>2.5398206991803984E+16</c:v>
                </c:pt>
                <c:pt idx="31">
                  <c:v>2.5537409326012248E+16</c:v>
                </c:pt>
              </c:numCache>
            </c:numRef>
          </c:val>
          <c:smooth val="0"/>
          <c:extLst>
            <c:ext xmlns:c16="http://schemas.microsoft.com/office/drawing/2014/chart" uri="{C3380CC4-5D6E-409C-BE32-E72D297353CC}">
              <c16:uniqueId val="{00000000-171E-42CD-BB1F-97B38810356A}"/>
            </c:ext>
          </c:extLst>
        </c:ser>
        <c:ser>
          <c:idx val="1"/>
          <c:order val="1"/>
          <c:spPr>
            <a:ln w="28575" cap="rnd">
              <a:solidFill>
                <a:schemeClr val="accent2"/>
              </a:solidFill>
              <a:round/>
            </a:ln>
            <a:effectLst/>
          </c:spPr>
          <c:marker>
            <c:symbol val="none"/>
          </c:marker>
          <c:val>
            <c:numRef>
              <c:f>'growth rate gas and oil'!$C$79:$AH$79</c:f>
              <c:numCache>
                <c:formatCode>General</c:formatCode>
                <c:ptCount val="32"/>
              </c:numCache>
            </c:numRef>
          </c:val>
          <c:smooth val="0"/>
          <c:extLst>
            <c:ext xmlns:c16="http://schemas.microsoft.com/office/drawing/2014/chart" uri="{C3380CC4-5D6E-409C-BE32-E72D297353CC}">
              <c16:uniqueId val="{00000001-171E-42CD-BB1F-97B38810356A}"/>
            </c:ext>
          </c:extLst>
        </c:ser>
        <c:dLbls>
          <c:showLegendKey val="0"/>
          <c:showVal val="0"/>
          <c:showCatName val="0"/>
          <c:showSerName val="0"/>
          <c:showPercent val="0"/>
          <c:showBubbleSize val="0"/>
        </c:dLbls>
        <c:smooth val="0"/>
        <c:axId val="589463215"/>
        <c:axId val="589441167"/>
      </c:lineChart>
      <c:catAx>
        <c:axId val="5894632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9441167"/>
        <c:crosses val="autoZero"/>
        <c:auto val="1"/>
        <c:lblAlgn val="ctr"/>
        <c:lblOffset val="100"/>
        <c:noMultiLvlLbl val="0"/>
      </c:catAx>
      <c:valAx>
        <c:axId val="5894411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946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102053</xdr:colOff>
      <xdr:row>81</xdr:row>
      <xdr:rowOff>17007</xdr:rowOff>
    </xdr:from>
    <xdr:to>
      <xdr:col>11</xdr:col>
      <xdr:colOff>510267</xdr:colOff>
      <xdr:row>99</xdr:row>
      <xdr:rowOff>155120</xdr:rowOff>
    </xdr:to>
    <xdr:graphicFrame macro="">
      <xdr:nvGraphicFramePr>
        <xdr:cNvPr id="2" name="Chart 1">
          <a:extLst>
            <a:ext uri="{FF2B5EF4-FFF2-40B4-BE49-F238E27FC236}">
              <a16:creationId xmlns:a16="http://schemas.microsoft.com/office/drawing/2014/main" id="{955C2573-25A7-4AC9-D06C-2242C39BAD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epa.gov/facts-and-figures-about-materials-waste-and-recycling/national-overview-facts-and-figures-materials" TargetMode="External"/><Relationship Id="rId3" Type="http://schemas.openxmlformats.org/officeDocument/2006/relationships/hyperlink" Target="https://www.eia.gov/todayinenergy/detail.php?id=37192" TargetMode="External"/><Relationship Id="rId7" Type="http://schemas.openxmlformats.org/officeDocument/2006/relationships/hyperlink" Target="https://www.trade.gov/topmarkets/pdf/Renewable_Fuels_Biomass_Wood_Pellets.pdf" TargetMode="External"/><Relationship Id="rId12" Type="http://schemas.openxmlformats.org/officeDocument/2006/relationships/printerSettings" Target="../printerSettings/printerSettings1.bin"/><Relationship Id="rId2" Type="http://schemas.openxmlformats.org/officeDocument/2006/relationships/hyperlink" Target="https://www.eia.gov/dnav/pet/pet_sum_snd_d_nus_mbbl_a_cur.htm" TargetMode="External"/><Relationship Id="rId1" Type="http://schemas.openxmlformats.org/officeDocument/2006/relationships/hyperlink" Target="https://www.eia.gov/outlooks/aeo/tables_ref.php" TargetMode="External"/><Relationship Id="rId6" Type="http://schemas.openxmlformats.org/officeDocument/2006/relationships/hyperlink" Target="https://www.eia.gov/biofuels/biomass/?year=2020&amp;month=12" TargetMode="External"/><Relationship Id="rId11" Type="http://schemas.openxmlformats.org/officeDocument/2006/relationships/hyperlink" Target="https://greet.es.anl.gov/" TargetMode="External"/><Relationship Id="rId5" Type="http://schemas.openxmlformats.org/officeDocument/2006/relationships/hyperlink" Target="https://www.eia.gov/energyexplained/index.php?page=coal_imports" TargetMode="External"/><Relationship Id="rId10" Type="http://schemas.openxmlformats.org/officeDocument/2006/relationships/hyperlink" Target="https://www.uranium.info/unit_conversion_table.php" TargetMode="External"/><Relationship Id="rId4" Type="http://schemas.openxmlformats.org/officeDocument/2006/relationships/hyperlink" Target="https://www.eia.gov/energyexplained/index.php?page=coal_where" TargetMode="External"/><Relationship Id="rId9" Type="http://schemas.openxmlformats.org/officeDocument/2006/relationships/hyperlink" Target="https://www.energy.gov/eere/fuelcells/fact-month-may-2018-10-million-metric-tons-hydrogen-produced-annually-united-sta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8"/>
  <sheetViews>
    <sheetView workbookViewId="0">
      <selection activeCell="A5" sqref="A5"/>
    </sheetView>
  </sheetViews>
  <sheetFormatPr defaultRowHeight="15" x14ac:dyDescent="0.25"/>
  <cols>
    <col min="2" max="2" width="82.7109375" customWidth="1"/>
  </cols>
  <sheetData>
    <row r="1" spans="1:2" x14ac:dyDescent="0.25">
      <c r="A1" s="1" t="s">
        <v>578</v>
      </c>
    </row>
    <row r="2" spans="1:2" x14ac:dyDescent="0.25">
      <c r="A2" s="1" t="s">
        <v>579</v>
      </c>
    </row>
    <row r="3" spans="1:2" x14ac:dyDescent="0.25">
      <c r="A3" s="1" t="s">
        <v>580</v>
      </c>
    </row>
    <row r="4" spans="1:2" x14ac:dyDescent="0.25">
      <c r="A4" s="1" t="s">
        <v>3188</v>
      </c>
    </row>
    <row r="6" spans="1:2" x14ac:dyDescent="0.25">
      <c r="A6" s="1" t="s">
        <v>0</v>
      </c>
      <c r="B6" s="2" t="s">
        <v>1</v>
      </c>
    </row>
    <row r="7" spans="1:2" x14ac:dyDescent="0.25">
      <c r="B7" t="s">
        <v>2</v>
      </c>
    </row>
    <row r="8" spans="1:2" x14ac:dyDescent="0.25">
      <c r="B8" s="3">
        <v>2019</v>
      </c>
    </row>
    <row r="9" spans="1:2" x14ac:dyDescent="0.25">
      <c r="B9" t="s">
        <v>3</v>
      </c>
    </row>
    <row r="10" spans="1:2" x14ac:dyDescent="0.25">
      <c r="B10" s="4" t="s">
        <v>4</v>
      </c>
    </row>
    <row r="11" spans="1:2" x14ac:dyDescent="0.25">
      <c r="B11" t="s">
        <v>5</v>
      </c>
    </row>
    <row r="13" spans="1:2" x14ac:dyDescent="0.25">
      <c r="B13" s="2" t="s">
        <v>6</v>
      </c>
    </row>
    <row r="14" spans="1:2" x14ac:dyDescent="0.25">
      <c r="B14" t="s">
        <v>2</v>
      </c>
    </row>
    <row r="15" spans="1:2" x14ac:dyDescent="0.25">
      <c r="B15" s="3">
        <v>2018</v>
      </c>
    </row>
    <row r="16" spans="1:2" x14ac:dyDescent="0.25">
      <c r="B16" t="s">
        <v>7</v>
      </c>
    </row>
    <row r="17" spans="2:2" x14ac:dyDescent="0.25">
      <c r="B17" s="4" t="s">
        <v>8</v>
      </c>
    </row>
    <row r="18" spans="2:2" x14ac:dyDescent="0.25">
      <c r="B18" t="s">
        <v>9</v>
      </c>
    </row>
    <row r="20" spans="2:2" x14ac:dyDescent="0.25">
      <c r="B20" s="2" t="s">
        <v>241</v>
      </c>
    </row>
    <row r="21" spans="2:2" x14ac:dyDescent="0.25">
      <c r="B21" t="s">
        <v>2</v>
      </c>
    </row>
    <row r="22" spans="2:2" x14ac:dyDescent="0.25">
      <c r="B22" s="3">
        <v>2019</v>
      </c>
    </row>
    <row r="23" spans="2:2" x14ac:dyDescent="0.25">
      <c r="B23" t="s">
        <v>10</v>
      </c>
    </row>
    <row r="24" spans="2:2" x14ac:dyDescent="0.25">
      <c r="B24" s="4" t="s">
        <v>11</v>
      </c>
    </row>
    <row r="25" spans="2:2" x14ac:dyDescent="0.25">
      <c r="B25" s="4" t="s">
        <v>12</v>
      </c>
    </row>
    <row r="26" spans="2:2" x14ac:dyDescent="0.25">
      <c r="B26" s="4" t="s">
        <v>240</v>
      </c>
    </row>
    <row r="28" spans="2:2" x14ac:dyDescent="0.25">
      <c r="B28" s="2" t="s">
        <v>13</v>
      </c>
    </row>
    <row r="29" spans="2:2" x14ac:dyDescent="0.25">
      <c r="B29" t="s">
        <v>2</v>
      </c>
    </row>
    <row r="30" spans="2:2" x14ac:dyDescent="0.25">
      <c r="B30" s="3">
        <v>2020</v>
      </c>
    </row>
    <row r="31" spans="2:2" x14ac:dyDescent="0.25">
      <c r="B31" t="s">
        <v>14</v>
      </c>
    </row>
    <row r="32" spans="2:2" x14ac:dyDescent="0.25">
      <c r="B32" s="4" t="s">
        <v>610</v>
      </c>
    </row>
    <row r="33" spans="2:2" x14ac:dyDescent="0.25">
      <c r="B33" t="s">
        <v>15</v>
      </c>
    </row>
    <row r="35" spans="2:2" x14ac:dyDescent="0.25">
      <c r="B35" s="2" t="s">
        <v>16</v>
      </c>
    </row>
    <row r="36" spans="2:2" x14ac:dyDescent="0.25">
      <c r="B36" t="s">
        <v>17</v>
      </c>
    </row>
    <row r="37" spans="2:2" x14ac:dyDescent="0.25">
      <c r="B37" s="3">
        <v>2017</v>
      </c>
    </row>
    <row r="38" spans="2:2" x14ac:dyDescent="0.25">
      <c r="B38" t="s">
        <v>18</v>
      </c>
    </row>
    <row r="39" spans="2:2" x14ac:dyDescent="0.25">
      <c r="B39" s="4" t="s">
        <v>19</v>
      </c>
    </row>
    <row r="40" spans="2:2" x14ac:dyDescent="0.25">
      <c r="B40" t="s">
        <v>20</v>
      </c>
    </row>
    <row r="42" spans="2:2" x14ac:dyDescent="0.25">
      <c r="B42" s="2" t="s">
        <v>576</v>
      </c>
    </row>
    <row r="43" spans="2:2" x14ac:dyDescent="0.25">
      <c r="B43" t="s">
        <v>2</v>
      </c>
    </row>
    <row r="44" spans="2:2" x14ac:dyDescent="0.25">
      <c r="B44" s="3" t="s">
        <v>646</v>
      </c>
    </row>
    <row r="45" spans="2:2" x14ac:dyDescent="0.25">
      <c r="B45" t="s">
        <v>647</v>
      </c>
    </row>
    <row r="46" spans="2:2" x14ac:dyDescent="0.25">
      <c r="B46" s="4" t="s">
        <v>21</v>
      </c>
    </row>
    <row r="47" spans="2:2" x14ac:dyDescent="0.25">
      <c r="B47" t="s">
        <v>22</v>
      </c>
    </row>
    <row r="49" spans="2:2" x14ac:dyDescent="0.25">
      <c r="B49" s="2" t="s">
        <v>250</v>
      </c>
    </row>
    <row r="50" spans="2:2" x14ac:dyDescent="0.25">
      <c r="B50" t="s">
        <v>251</v>
      </c>
    </row>
    <row r="51" spans="2:2" x14ac:dyDescent="0.25">
      <c r="B51" s="3">
        <v>2016</v>
      </c>
    </row>
    <row r="52" spans="2:2" x14ac:dyDescent="0.25">
      <c r="B52" t="s">
        <v>252</v>
      </c>
    </row>
    <row r="53" spans="2:2" x14ac:dyDescent="0.25">
      <c r="B53" s="4" t="s">
        <v>253</v>
      </c>
    </row>
    <row r="55" spans="2:2" x14ac:dyDescent="0.25">
      <c r="B55" s="2" t="s">
        <v>63</v>
      </c>
    </row>
    <row r="56" spans="2:2" x14ac:dyDescent="0.25">
      <c r="B56" t="s">
        <v>269</v>
      </c>
    </row>
    <row r="57" spans="2:2" x14ac:dyDescent="0.25">
      <c r="B57" s="3">
        <v>2018</v>
      </c>
    </row>
    <row r="58" spans="2:2" x14ac:dyDescent="0.25">
      <c r="B58" t="s">
        <v>270</v>
      </c>
    </row>
    <row r="59" spans="2:2" x14ac:dyDescent="0.25">
      <c r="B59" s="4" t="s">
        <v>271</v>
      </c>
    </row>
    <row r="60" spans="2:2" x14ac:dyDescent="0.25">
      <c r="B60" s="4"/>
    </row>
    <row r="61" spans="2:2" x14ac:dyDescent="0.25">
      <c r="B61" s="2" t="s">
        <v>547</v>
      </c>
    </row>
    <row r="62" spans="2:2" x14ac:dyDescent="0.25">
      <c r="B62" t="s">
        <v>542</v>
      </c>
    </row>
    <row r="63" spans="2:2" x14ac:dyDescent="0.25">
      <c r="B63" s="3">
        <v>2021</v>
      </c>
    </row>
    <row r="64" spans="2:2" x14ac:dyDescent="0.25">
      <c r="B64" t="s">
        <v>596</v>
      </c>
    </row>
    <row r="65" spans="2:2" x14ac:dyDescent="0.25">
      <c r="B65" s="193" t="s">
        <v>543</v>
      </c>
    </row>
    <row r="66" spans="2:2" x14ac:dyDescent="0.25">
      <c r="B66" t="s">
        <v>648</v>
      </c>
    </row>
    <row r="68" spans="2:2" x14ac:dyDescent="0.25">
      <c r="B68" s="2" t="s">
        <v>548</v>
      </c>
    </row>
    <row r="69" spans="2:2" x14ac:dyDescent="0.25">
      <c r="B69" t="s">
        <v>544</v>
      </c>
    </row>
    <row r="70" spans="2:2" x14ac:dyDescent="0.25">
      <c r="B70" s="3">
        <v>2019</v>
      </c>
    </row>
    <row r="71" spans="2:2" x14ac:dyDescent="0.25">
      <c r="B71" t="s">
        <v>583</v>
      </c>
    </row>
    <row r="72" spans="2:2" x14ac:dyDescent="0.25">
      <c r="B72" s="4" t="s">
        <v>545</v>
      </c>
    </row>
    <row r="73" spans="2:2" x14ac:dyDescent="0.25">
      <c r="B73" t="s">
        <v>546</v>
      </c>
    </row>
    <row r="75" spans="2:2" x14ac:dyDescent="0.25">
      <c r="B75" s="2" t="s">
        <v>549</v>
      </c>
    </row>
    <row r="76" spans="2:2" x14ac:dyDescent="0.25">
      <c r="B76" t="s">
        <v>550</v>
      </c>
    </row>
    <row r="77" spans="2:2" x14ac:dyDescent="0.25">
      <c r="B77" s="3">
        <v>2019</v>
      </c>
    </row>
    <row r="78" spans="2:2" x14ac:dyDescent="0.25">
      <c r="B78" t="s">
        <v>552</v>
      </c>
    </row>
    <row r="79" spans="2:2" x14ac:dyDescent="0.25">
      <c r="B79" s="4" t="s">
        <v>551</v>
      </c>
    </row>
    <row r="80" spans="2:2" x14ac:dyDescent="0.25">
      <c r="B80" s="198"/>
    </row>
    <row r="81" spans="1:1" x14ac:dyDescent="0.25">
      <c r="A81" s="1" t="s">
        <v>23</v>
      </c>
    </row>
    <row r="83" spans="1:1" x14ac:dyDescent="0.25">
      <c r="A83" s="1" t="s">
        <v>562</v>
      </c>
    </row>
    <row r="84" spans="1:1" x14ac:dyDescent="0.25">
      <c r="A84" t="s">
        <v>557</v>
      </c>
    </row>
    <row r="85" spans="1:1" x14ac:dyDescent="0.25">
      <c r="A85" t="s">
        <v>558</v>
      </c>
    </row>
    <row r="86" spans="1:1" x14ac:dyDescent="0.25">
      <c r="A86" t="s">
        <v>559</v>
      </c>
    </row>
    <row r="87" spans="1:1" x14ac:dyDescent="0.25">
      <c r="A87" t="s">
        <v>560</v>
      </c>
    </row>
    <row r="88" spans="1:1" x14ac:dyDescent="0.25">
      <c r="A88" t="s">
        <v>561</v>
      </c>
    </row>
    <row r="90" spans="1:1" x14ac:dyDescent="0.25">
      <c r="A90" s="1" t="s">
        <v>563</v>
      </c>
    </row>
    <row r="91" spans="1:1" x14ac:dyDescent="0.25">
      <c r="A91" t="s">
        <v>577</v>
      </c>
    </row>
    <row r="92" spans="1:1" x14ac:dyDescent="0.25">
      <c r="A92" t="s">
        <v>571</v>
      </c>
    </row>
    <row r="93" spans="1:1" x14ac:dyDescent="0.25">
      <c r="A93" t="s">
        <v>574</v>
      </c>
    </row>
    <row r="94" spans="1:1" x14ac:dyDescent="0.25">
      <c r="A94" t="s">
        <v>575</v>
      </c>
    </row>
    <row r="96" spans="1:1" x14ac:dyDescent="0.25">
      <c r="A96" s="1" t="s">
        <v>567</v>
      </c>
    </row>
    <row r="97" spans="1:1" x14ac:dyDescent="0.25">
      <c r="A97" t="s">
        <v>568</v>
      </c>
    </row>
    <row r="98" spans="1:1" x14ac:dyDescent="0.25">
      <c r="A98" t="s">
        <v>569</v>
      </c>
    </row>
    <row r="99" spans="1:1" x14ac:dyDescent="0.25">
      <c r="A99" t="s">
        <v>570</v>
      </c>
    </row>
    <row r="101" spans="1:1" x14ac:dyDescent="0.25">
      <c r="A101" s="1" t="s">
        <v>564</v>
      </c>
    </row>
    <row r="102" spans="1:1" x14ac:dyDescent="0.25">
      <c r="A102" t="s">
        <v>24</v>
      </c>
    </row>
    <row r="103" spans="1:1" x14ac:dyDescent="0.25">
      <c r="A103" t="s">
        <v>25</v>
      </c>
    </row>
    <row r="104" spans="1:1" x14ac:dyDescent="0.25">
      <c r="A104" t="s">
        <v>26</v>
      </c>
    </row>
    <row r="105" spans="1:1" x14ac:dyDescent="0.25">
      <c r="A105" t="s">
        <v>27</v>
      </c>
    </row>
    <row r="106" spans="1:1" x14ac:dyDescent="0.25">
      <c r="A106" t="s">
        <v>565</v>
      </c>
    </row>
    <row r="107" spans="1:1" x14ac:dyDescent="0.25">
      <c r="A107" t="s">
        <v>28</v>
      </c>
    </row>
    <row r="108" spans="1:1" x14ac:dyDescent="0.25">
      <c r="A108" t="s">
        <v>566</v>
      </c>
    </row>
  </sheetData>
  <hyperlinks>
    <hyperlink ref="B46" r:id="rId1" xr:uid="{00000000-0004-0000-0000-000000000000}"/>
    <hyperlink ref="B10" r:id="rId2" xr:uid="{00000000-0004-0000-0000-000001000000}"/>
    <hyperlink ref="B17" r:id="rId3" xr:uid="{00000000-0004-0000-0000-000002000000}"/>
    <hyperlink ref="B24" r:id="rId4" xr:uid="{00000000-0004-0000-0000-000003000000}"/>
    <hyperlink ref="B25" r:id="rId5" xr:uid="{00000000-0004-0000-0000-000004000000}"/>
    <hyperlink ref="B32" r:id="rId6" location="table_data" xr:uid="{00000000-0004-0000-0000-000005000000}"/>
    <hyperlink ref="B39" r:id="rId7" xr:uid="{00000000-0004-0000-0000-000006000000}"/>
    <hyperlink ref="B53" r:id="rId8" xr:uid="{00000000-0004-0000-0000-000007000000}"/>
    <hyperlink ref="B59" r:id="rId9" xr:uid="{00000000-0004-0000-0000-000008000000}"/>
    <hyperlink ref="B79" r:id="rId10" xr:uid="{00000000-0004-0000-0000-000009000000}"/>
    <hyperlink ref="B72" r:id="rId11" xr:uid="{000A6849-BB52-4934-B731-3641C10054B8}"/>
  </hyperlinks>
  <pageMargins left="0.7" right="0.7" top="0.75" bottom="0.75" header="0.3" footer="0.3"/>
  <pageSetup orientation="portrait"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57"/>
  <sheetViews>
    <sheetView workbookViewId="0">
      <pane xSplit="2" ySplit="3" topLeftCell="C4" activePane="bottomRight" state="frozen"/>
      <selection pane="topRight"/>
      <selection pane="bottomLeft"/>
      <selection pane="bottomRight" activeCell="D32" sqref="D32:E32"/>
    </sheetView>
  </sheetViews>
  <sheetFormatPr defaultRowHeight="15" x14ac:dyDescent="0.25"/>
  <cols>
    <col min="2" max="2" width="44" customWidth="1"/>
    <col min="3" max="3" width="12.28515625" customWidth="1"/>
    <col min="4" max="4" width="19.28515625" customWidth="1"/>
    <col min="5" max="5" width="13.140625" customWidth="1"/>
    <col min="10" max="10" width="12.28515625" customWidth="1"/>
  </cols>
  <sheetData>
    <row r="1" spans="1:13" x14ac:dyDescent="0.25">
      <c r="B1" s="1" t="s">
        <v>29</v>
      </c>
      <c r="C1" s="1" t="s">
        <v>30</v>
      </c>
      <c r="D1" s="1"/>
      <c r="E1" s="1" t="s">
        <v>31</v>
      </c>
    </row>
    <row r="2" spans="1:13" ht="16.5" customHeight="1" x14ac:dyDescent="0.25">
      <c r="C2" s="302" t="s">
        <v>32</v>
      </c>
      <c r="D2" s="302"/>
      <c r="E2" s="302"/>
      <c r="F2" s="302"/>
      <c r="G2" s="302"/>
      <c r="H2" s="302"/>
      <c r="I2" s="303" t="s">
        <v>33</v>
      </c>
      <c r="J2" s="303"/>
      <c r="K2" s="303"/>
      <c r="L2" s="303"/>
      <c r="M2" s="304" t="s">
        <v>34</v>
      </c>
    </row>
    <row r="3" spans="1:13" ht="36.75" x14ac:dyDescent="0.25">
      <c r="C3" s="8" t="s">
        <v>35</v>
      </c>
      <c r="D3" s="8" t="s">
        <v>36</v>
      </c>
      <c r="E3" s="8" t="s">
        <v>37</v>
      </c>
      <c r="F3" s="8" t="s">
        <v>38</v>
      </c>
      <c r="G3" s="8" t="s">
        <v>39</v>
      </c>
      <c r="H3" s="8" t="s">
        <v>40</v>
      </c>
      <c r="I3" s="9" t="s">
        <v>41</v>
      </c>
      <c r="J3" s="9" t="s">
        <v>42</v>
      </c>
      <c r="K3" s="9" t="s">
        <v>43</v>
      </c>
      <c r="L3" s="9" t="s">
        <v>44</v>
      </c>
      <c r="M3" s="304"/>
    </row>
    <row r="4" spans="1:13" x14ac:dyDescent="0.25">
      <c r="A4" t="str">
        <f t="shared" ref="A4:A6" si="0">TRIM(B4)</f>
        <v>Crude Oil &amp; Petroleum Products</v>
      </c>
      <c r="B4" s="10" t="s">
        <v>45</v>
      </c>
      <c r="C4" s="11">
        <v>4794078</v>
      </c>
      <c r="D4" s="11">
        <v>437131</v>
      </c>
      <c r="E4" s="11">
        <v>7408771</v>
      </c>
      <c r="F4" s="11">
        <v>3702640</v>
      </c>
      <c r="G4" s="12"/>
      <c r="H4" s="11">
        <v>137262</v>
      </c>
      <c r="I4" s="13">
        <v>-135002</v>
      </c>
      <c r="J4" s="13">
        <v>7003159</v>
      </c>
      <c r="K4" s="13">
        <v>2327156</v>
      </c>
      <c r="L4" s="13">
        <v>7284569</v>
      </c>
      <c r="M4" s="11">
        <v>1894570</v>
      </c>
    </row>
    <row r="5" spans="1:13" x14ac:dyDescent="0.25">
      <c r="A5" t="str">
        <f t="shared" si="0"/>
        <v>Crude Oil</v>
      </c>
      <c r="B5" s="10" t="s">
        <v>46</v>
      </c>
      <c r="C5" s="226">
        <v>4083494</v>
      </c>
      <c r="D5" s="232" t="s">
        <v>47</v>
      </c>
      <c r="E5" s="232" t="s">
        <v>47</v>
      </c>
      <c r="F5" s="226">
        <v>2230000</v>
      </c>
      <c r="G5" s="232"/>
      <c r="H5" s="226">
        <v>194916</v>
      </c>
      <c r="I5" s="226">
        <v>-108241</v>
      </c>
      <c r="J5" s="226">
        <v>5529012</v>
      </c>
      <c r="K5" s="226">
        <v>1087638</v>
      </c>
      <c r="L5" s="226">
        <v>0</v>
      </c>
      <c r="M5" s="226">
        <v>1015102</v>
      </c>
    </row>
    <row r="6" spans="1:13" x14ac:dyDescent="0.25">
      <c r="A6" t="str">
        <f t="shared" si="0"/>
        <v>Hydrocarbon Gas Liquids</v>
      </c>
      <c r="B6" s="10" t="s">
        <v>48</v>
      </c>
      <c r="C6" s="226">
        <v>1970031</v>
      </c>
      <c r="D6" s="226">
        <v>-7941</v>
      </c>
      <c r="E6" s="226">
        <v>225172</v>
      </c>
      <c r="F6" s="226">
        <v>63125</v>
      </c>
      <c r="G6" s="232"/>
      <c r="H6" s="232" t="s">
        <v>47</v>
      </c>
      <c r="I6" s="226">
        <v>-40797</v>
      </c>
      <c r="J6" s="226">
        <v>198527</v>
      </c>
      <c r="K6" s="226">
        <v>848015</v>
      </c>
      <c r="L6" s="226">
        <v>1244642</v>
      </c>
      <c r="M6" s="226">
        <v>188360</v>
      </c>
    </row>
    <row r="7" spans="1:13" x14ac:dyDescent="0.25">
      <c r="A7" t="str">
        <f>TRIM(B7)</f>
        <v>Natural Gas Liquids</v>
      </c>
      <c r="B7" s="14" t="s">
        <v>49</v>
      </c>
      <c r="C7" s="226">
        <v>1970031</v>
      </c>
      <c r="D7" s="226">
        <v>-7941</v>
      </c>
      <c r="E7" s="226">
        <v>120757</v>
      </c>
      <c r="F7" s="226">
        <v>57128</v>
      </c>
      <c r="G7" s="232"/>
      <c r="H7" s="232" t="s">
        <v>47</v>
      </c>
      <c r="I7" s="226">
        <v>-40636</v>
      </c>
      <c r="J7" s="226">
        <v>198527</v>
      </c>
      <c r="K7" s="226">
        <v>848015</v>
      </c>
      <c r="L7" s="226">
        <v>1134069</v>
      </c>
      <c r="M7" s="226">
        <v>186272</v>
      </c>
    </row>
    <row r="8" spans="1:13" x14ac:dyDescent="0.25">
      <c r="A8" t="str">
        <f t="shared" ref="A8:A57" si="1">TRIM(B8)</f>
        <v>Ethane</v>
      </c>
      <c r="B8" s="15" t="s">
        <v>50</v>
      </c>
      <c r="C8" s="226">
        <v>781560</v>
      </c>
      <c r="D8" s="232" t="s">
        <v>47</v>
      </c>
      <c r="E8" s="226">
        <v>1505</v>
      </c>
      <c r="F8" s="226" t="s">
        <v>51</v>
      </c>
      <c r="G8" s="232"/>
      <c r="H8" s="232" t="s">
        <v>47</v>
      </c>
      <c r="I8" s="226">
        <v>-9779</v>
      </c>
      <c r="J8" s="232"/>
      <c r="K8" s="226">
        <v>147584</v>
      </c>
      <c r="L8" s="226">
        <v>645260</v>
      </c>
      <c r="M8" s="226">
        <v>59821</v>
      </c>
    </row>
    <row r="9" spans="1:13" x14ac:dyDescent="0.25">
      <c r="A9" t="str">
        <f t="shared" si="1"/>
        <v>Propane</v>
      </c>
      <c r="B9" s="15" t="s">
        <v>52</v>
      </c>
      <c r="C9" s="226">
        <v>632906</v>
      </c>
      <c r="D9" s="232" t="s">
        <v>47</v>
      </c>
      <c r="E9" s="226">
        <v>101344</v>
      </c>
      <c r="F9" s="226">
        <v>41465</v>
      </c>
      <c r="G9" s="232"/>
      <c r="H9" s="232" t="s">
        <v>47</v>
      </c>
      <c r="I9" s="226">
        <v>-8358</v>
      </c>
      <c r="J9" s="232"/>
      <c r="K9" s="226">
        <v>477616</v>
      </c>
      <c r="L9" s="226">
        <v>306457</v>
      </c>
      <c r="M9" s="226">
        <v>62077</v>
      </c>
    </row>
    <row r="10" spans="1:13" x14ac:dyDescent="0.25">
      <c r="A10" t="str">
        <f t="shared" si="1"/>
        <v>Normal Butane</v>
      </c>
      <c r="B10" s="15" t="s">
        <v>53</v>
      </c>
      <c r="C10" s="226">
        <v>180543</v>
      </c>
      <c r="D10" s="232" t="s">
        <v>51</v>
      </c>
      <c r="E10" s="226">
        <v>20998</v>
      </c>
      <c r="F10" s="226">
        <v>13237</v>
      </c>
      <c r="G10" s="232"/>
      <c r="H10" s="232" t="s">
        <v>47</v>
      </c>
      <c r="I10" s="226">
        <v>-7626</v>
      </c>
      <c r="J10" s="226">
        <v>66056</v>
      </c>
      <c r="K10" s="226">
        <v>149693</v>
      </c>
      <c r="L10" s="226">
        <v>6655</v>
      </c>
      <c r="M10" s="226">
        <v>34017</v>
      </c>
    </row>
    <row r="11" spans="1:13" x14ac:dyDescent="0.25">
      <c r="A11" t="str">
        <f t="shared" si="1"/>
        <v>Isobutane</v>
      </c>
      <c r="B11" s="15" t="s">
        <v>54</v>
      </c>
      <c r="C11" s="226">
        <v>153863</v>
      </c>
      <c r="D11" s="232" t="s">
        <v>51</v>
      </c>
      <c r="E11" s="226">
        <v>-3090</v>
      </c>
      <c r="F11" s="226">
        <v>2358</v>
      </c>
      <c r="G11" s="232"/>
      <c r="H11" s="232" t="s">
        <v>47</v>
      </c>
      <c r="I11" s="226">
        <v>-2667</v>
      </c>
      <c r="J11" s="226">
        <v>71652</v>
      </c>
      <c r="K11" s="226">
        <v>1181</v>
      </c>
      <c r="L11" s="226">
        <v>82965</v>
      </c>
      <c r="M11" s="226">
        <v>9674</v>
      </c>
    </row>
    <row r="12" spans="1:13" x14ac:dyDescent="0.25">
      <c r="A12" t="str">
        <f t="shared" si="1"/>
        <v>Natural Gasoline</v>
      </c>
      <c r="B12" s="15" t="s">
        <v>55</v>
      </c>
      <c r="C12" s="226">
        <v>221159</v>
      </c>
      <c r="D12" s="226">
        <v>-7941</v>
      </c>
      <c r="E12" s="232"/>
      <c r="F12" s="226">
        <v>68</v>
      </c>
      <c r="G12" s="232"/>
      <c r="H12" s="232" t="s">
        <v>47</v>
      </c>
      <c r="I12" s="226">
        <v>-12206</v>
      </c>
      <c r="J12" s="226">
        <v>60819</v>
      </c>
      <c r="K12" s="226">
        <v>71941</v>
      </c>
      <c r="L12" s="226">
        <v>92732</v>
      </c>
      <c r="M12" s="226">
        <v>20683</v>
      </c>
    </row>
    <row r="13" spans="1:13" x14ac:dyDescent="0.25">
      <c r="A13" t="str">
        <f t="shared" si="1"/>
        <v>Refinery Olefins</v>
      </c>
      <c r="B13" s="14" t="s">
        <v>56</v>
      </c>
      <c r="C13" s="232" t="s">
        <v>47</v>
      </c>
      <c r="D13" s="232" t="s">
        <v>47</v>
      </c>
      <c r="E13" s="226">
        <v>104415</v>
      </c>
      <c r="F13" s="226">
        <v>5997</v>
      </c>
      <c r="G13" s="232"/>
      <c r="H13" s="232" t="s">
        <v>47</v>
      </c>
      <c r="I13" s="226">
        <v>-161</v>
      </c>
      <c r="J13" s="232" t="s">
        <v>47</v>
      </c>
      <c r="K13" s="232" t="s">
        <v>47</v>
      </c>
      <c r="L13" s="226">
        <v>110573</v>
      </c>
      <c r="M13" s="226">
        <v>2088</v>
      </c>
    </row>
    <row r="14" spans="1:13" x14ac:dyDescent="0.25">
      <c r="A14" t="str">
        <f t="shared" si="1"/>
        <v>Ethylene</v>
      </c>
      <c r="B14" s="15" t="s">
        <v>57</v>
      </c>
      <c r="C14" s="232" t="s">
        <v>47</v>
      </c>
      <c r="D14" s="232" t="s">
        <v>47</v>
      </c>
      <c r="E14" s="226">
        <v>277</v>
      </c>
      <c r="F14" s="226" t="s">
        <v>51</v>
      </c>
      <c r="G14" s="232"/>
      <c r="H14" s="232" t="s">
        <v>47</v>
      </c>
      <c r="I14" s="226">
        <v>0</v>
      </c>
      <c r="J14" s="232" t="s">
        <v>47</v>
      </c>
      <c r="K14" s="232" t="s">
        <v>47</v>
      </c>
      <c r="L14" s="226">
        <v>277</v>
      </c>
      <c r="M14" s="226">
        <v>0</v>
      </c>
    </row>
    <row r="15" spans="1:13" x14ac:dyDescent="0.25">
      <c r="A15" t="str">
        <f t="shared" si="1"/>
        <v>Propylene</v>
      </c>
      <c r="B15" s="15" t="s">
        <v>58</v>
      </c>
      <c r="C15" s="232" t="s">
        <v>47</v>
      </c>
      <c r="D15" s="232" t="s">
        <v>47</v>
      </c>
      <c r="E15" s="226">
        <v>106126</v>
      </c>
      <c r="F15" s="226">
        <v>5243</v>
      </c>
      <c r="G15" s="232"/>
      <c r="H15" s="232" t="s">
        <v>47</v>
      </c>
      <c r="I15" s="226">
        <v>-90</v>
      </c>
      <c r="J15" s="232" t="s">
        <v>47</v>
      </c>
      <c r="K15" s="232" t="s">
        <v>47</v>
      </c>
      <c r="L15" s="226">
        <v>111459</v>
      </c>
      <c r="M15" s="226">
        <v>1397</v>
      </c>
    </row>
    <row r="16" spans="1:13" x14ac:dyDescent="0.25">
      <c r="A16" t="str">
        <f t="shared" si="1"/>
        <v>Normal Butylene</v>
      </c>
      <c r="B16" s="15" t="s">
        <v>59</v>
      </c>
      <c r="C16" s="12" t="s">
        <v>47</v>
      </c>
      <c r="D16" s="12" t="s">
        <v>47</v>
      </c>
      <c r="E16" s="11">
        <v>-2397</v>
      </c>
      <c r="F16" s="11">
        <v>2433</v>
      </c>
      <c r="G16" s="12"/>
      <c r="H16" s="12" t="s">
        <v>47</v>
      </c>
      <c r="I16" s="13">
        <v>-1165</v>
      </c>
      <c r="J16" s="16" t="s">
        <v>47</v>
      </c>
      <c r="K16" s="16" t="s">
        <v>47</v>
      </c>
      <c r="L16" s="13">
        <v>1201</v>
      </c>
      <c r="M16" s="11">
        <v>1204</v>
      </c>
    </row>
    <row r="17" spans="1:13" x14ac:dyDescent="0.25">
      <c r="A17" t="str">
        <f t="shared" si="1"/>
        <v>Isobutylene</v>
      </c>
      <c r="B17" s="15" t="s">
        <v>60</v>
      </c>
      <c r="C17" s="12" t="s">
        <v>47</v>
      </c>
      <c r="D17" s="12" t="s">
        <v>47</v>
      </c>
      <c r="E17" s="11">
        <v>286</v>
      </c>
      <c r="F17" s="11" t="s">
        <v>51</v>
      </c>
      <c r="G17" s="12"/>
      <c r="H17" s="12" t="s">
        <v>47</v>
      </c>
      <c r="I17" s="13">
        <v>6</v>
      </c>
      <c r="J17" s="16" t="s">
        <v>47</v>
      </c>
      <c r="K17" s="16" t="s">
        <v>47</v>
      </c>
      <c r="L17" s="13">
        <v>280</v>
      </c>
      <c r="M17" s="11">
        <v>30</v>
      </c>
    </row>
    <row r="18" spans="1:13" x14ac:dyDescent="0.25">
      <c r="A18" t="str">
        <f t="shared" si="1"/>
        <v>Other Liquids</v>
      </c>
      <c r="B18" s="10" t="s">
        <v>61</v>
      </c>
      <c r="C18" s="12" t="s">
        <v>47</v>
      </c>
      <c r="D18" s="11">
        <v>443737</v>
      </c>
      <c r="E18" s="12" t="s">
        <v>47</v>
      </c>
      <c r="F18" s="11">
        <v>471784</v>
      </c>
      <c r="G18" s="12"/>
      <c r="H18" s="11">
        <v>19117</v>
      </c>
      <c r="I18" s="13">
        <v>8685</v>
      </c>
      <c r="J18" s="13">
        <v>741289</v>
      </c>
      <c r="K18" s="13">
        <v>171592</v>
      </c>
      <c r="L18" s="13">
        <v>13072</v>
      </c>
      <c r="M18" s="11">
        <v>328230</v>
      </c>
    </row>
    <row r="19" spans="1:13" ht="24" x14ac:dyDescent="0.25">
      <c r="A19" t="str">
        <f t="shared" si="1"/>
        <v>Hydrogen/Oxygenates/Renewables/Other Hydrocarbons</v>
      </c>
      <c r="B19" s="14" t="s">
        <v>62</v>
      </c>
      <c r="C19" s="12" t="s">
        <v>47</v>
      </c>
      <c r="D19" s="11">
        <v>443788</v>
      </c>
      <c r="E19" s="12" t="s">
        <v>47</v>
      </c>
      <c r="F19" s="11">
        <v>19778</v>
      </c>
      <c r="G19" s="12"/>
      <c r="H19" s="11">
        <v>36824</v>
      </c>
      <c r="I19" s="13">
        <v>577</v>
      </c>
      <c r="J19" s="13">
        <v>439078</v>
      </c>
      <c r="K19" s="13">
        <v>60735</v>
      </c>
      <c r="L19" s="13">
        <v>0</v>
      </c>
      <c r="M19" s="11">
        <v>29585</v>
      </c>
    </row>
    <row r="20" spans="1:13" x14ac:dyDescent="0.25">
      <c r="A20" t="str">
        <f t="shared" si="1"/>
        <v>Hydrogen</v>
      </c>
      <c r="B20" s="15" t="s">
        <v>63</v>
      </c>
      <c r="C20" s="12" t="s">
        <v>47</v>
      </c>
      <c r="D20" s="12" t="s">
        <v>47</v>
      </c>
      <c r="E20" s="12" t="s">
        <v>47</v>
      </c>
      <c r="F20" s="12"/>
      <c r="G20" s="12"/>
      <c r="H20" s="11">
        <v>81091</v>
      </c>
      <c r="I20" s="16" t="s">
        <v>47</v>
      </c>
      <c r="J20" s="13">
        <v>81091</v>
      </c>
      <c r="K20" s="16"/>
      <c r="L20" s="13">
        <v>0</v>
      </c>
      <c r="M20" s="12" t="s">
        <v>47</v>
      </c>
    </row>
    <row r="21" spans="1:13" x14ac:dyDescent="0.25">
      <c r="A21" t="str">
        <f t="shared" si="1"/>
        <v>Oxygenates (excl. Fuel Ethanol)</v>
      </c>
      <c r="B21" s="15" t="s">
        <v>64</v>
      </c>
      <c r="C21" s="12" t="s">
        <v>47</v>
      </c>
      <c r="D21" s="11">
        <v>26360</v>
      </c>
      <c r="E21" s="12" t="s">
        <v>47</v>
      </c>
      <c r="F21" s="11">
        <v>3835</v>
      </c>
      <c r="G21" s="12"/>
      <c r="H21" s="11">
        <v>-4811</v>
      </c>
      <c r="I21" s="13">
        <v>-31</v>
      </c>
      <c r="J21" s="13" t="s">
        <v>51</v>
      </c>
      <c r="K21" s="13">
        <v>25415</v>
      </c>
      <c r="L21" s="13">
        <v>0</v>
      </c>
      <c r="M21" s="11">
        <v>1446</v>
      </c>
    </row>
    <row r="22" spans="1:13" x14ac:dyDescent="0.25">
      <c r="A22" t="str">
        <f t="shared" si="1"/>
        <v>Renewable Fuels (incl. Fuel Ethanol)</v>
      </c>
      <c r="B22" s="15" t="s">
        <v>65</v>
      </c>
      <c r="C22" s="12" t="s">
        <v>47</v>
      </c>
      <c r="D22" s="11">
        <v>417428</v>
      </c>
      <c r="E22" s="12" t="s">
        <v>47</v>
      </c>
      <c r="F22" s="11">
        <v>15707</v>
      </c>
      <c r="G22" s="12"/>
      <c r="H22" s="11">
        <v>-39640</v>
      </c>
      <c r="I22" s="13">
        <v>578</v>
      </c>
      <c r="J22" s="13">
        <v>357597</v>
      </c>
      <c r="K22" s="13">
        <v>35320</v>
      </c>
      <c r="L22" s="13">
        <v>0</v>
      </c>
      <c r="M22" s="11">
        <v>28092</v>
      </c>
    </row>
    <row r="23" spans="1:13" x14ac:dyDescent="0.25">
      <c r="A23" t="str">
        <f t="shared" si="1"/>
        <v>Fuel Ethanol</v>
      </c>
      <c r="B23" s="17" t="s">
        <v>66</v>
      </c>
      <c r="C23" s="12" t="s">
        <v>47</v>
      </c>
      <c r="D23" s="11">
        <v>379435</v>
      </c>
      <c r="E23" s="12" t="s">
        <v>47</v>
      </c>
      <c r="F23" s="11">
        <v>1824</v>
      </c>
      <c r="G23" s="12"/>
      <c r="H23" s="11">
        <v>-9859</v>
      </c>
      <c r="I23" s="13">
        <v>3285</v>
      </c>
      <c r="J23" s="13">
        <v>335023</v>
      </c>
      <c r="K23" s="13">
        <v>33092</v>
      </c>
      <c r="L23" s="13">
        <v>0</v>
      </c>
      <c r="M23" s="11">
        <v>23043</v>
      </c>
    </row>
    <row r="24" spans="1:13" x14ac:dyDescent="0.25">
      <c r="A24" t="str">
        <f t="shared" si="1"/>
        <v>Renewable Fuels Except Fuel Ethanol</v>
      </c>
      <c r="B24" s="17" t="s">
        <v>67</v>
      </c>
      <c r="C24" s="12" t="s">
        <v>47</v>
      </c>
      <c r="D24" s="11">
        <v>37993</v>
      </c>
      <c r="E24" s="12" t="s">
        <v>47</v>
      </c>
      <c r="F24" s="11">
        <v>13883</v>
      </c>
      <c r="G24" s="12"/>
      <c r="H24" s="11">
        <v>-29781</v>
      </c>
      <c r="I24" s="13">
        <v>-2707</v>
      </c>
      <c r="J24" s="13">
        <v>22574</v>
      </c>
      <c r="K24" s="13">
        <v>2228</v>
      </c>
      <c r="L24" s="13">
        <v>0</v>
      </c>
      <c r="M24" s="11">
        <v>5049</v>
      </c>
    </row>
    <row r="25" spans="1:13" x14ac:dyDescent="0.25">
      <c r="A25" t="str">
        <f t="shared" si="1"/>
        <v>Other Hydrocarbons</v>
      </c>
      <c r="B25" s="15" t="s">
        <v>68</v>
      </c>
      <c r="C25" s="12" t="s">
        <v>47</v>
      </c>
      <c r="D25" s="12" t="s">
        <v>47</v>
      </c>
      <c r="E25" s="12" t="s">
        <v>47</v>
      </c>
      <c r="F25" s="11">
        <v>236</v>
      </c>
      <c r="G25" s="12"/>
      <c r="H25" s="11">
        <v>184</v>
      </c>
      <c r="I25" s="13">
        <v>30</v>
      </c>
      <c r="J25" s="13">
        <v>390</v>
      </c>
      <c r="K25" s="16"/>
      <c r="L25" s="13">
        <v>0</v>
      </c>
      <c r="M25" s="11">
        <v>47</v>
      </c>
    </row>
    <row r="26" spans="1:13" x14ac:dyDescent="0.25">
      <c r="A26" t="str">
        <f t="shared" si="1"/>
        <v>Unfinished Oils</v>
      </c>
      <c r="B26" s="14" t="s">
        <v>69</v>
      </c>
      <c r="C26" s="12" t="s">
        <v>47</v>
      </c>
      <c r="D26" s="12" t="s">
        <v>47</v>
      </c>
      <c r="E26" s="12" t="s">
        <v>47</v>
      </c>
      <c r="F26" s="11">
        <v>231478</v>
      </c>
      <c r="G26" s="12"/>
      <c r="H26" s="12" t="s">
        <v>47</v>
      </c>
      <c r="I26" s="13">
        <v>6013</v>
      </c>
      <c r="J26" s="13">
        <v>129406</v>
      </c>
      <c r="K26" s="13">
        <v>82949</v>
      </c>
      <c r="L26" s="13">
        <v>13110</v>
      </c>
      <c r="M26" s="11">
        <v>86337</v>
      </c>
    </row>
    <row r="27" spans="1:13" x14ac:dyDescent="0.25">
      <c r="A27" t="str">
        <f t="shared" si="1"/>
        <v>Motor Gasoline Blend. Comp.</v>
      </c>
      <c r="B27" s="14" t="s">
        <v>70</v>
      </c>
      <c r="C27" s="12" t="s">
        <v>47</v>
      </c>
      <c r="D27" s="11">
        <v>-51</v>
      </c>
      <c r="E27" s="12" t="s">
        <v>47</v>
      </c>
      <c r="F27" s="11">
        <v>220528</v>
      </c>
      <c r="G27" s="12"/>
      <c r="H27" s="11">
        <v>-17707</v>
      </c>
      <c r="I27" s="13">
        <v>2089</v>
      </c>
      <c r="J27" s="13">
        <v>172773</v>
      </c>
      <c r="K27" s="13">
        <v>27908</v>
      </c>
      <c r="L27" s="13">
        <v>0</v>
      </c>
      <c r="M27" s="11">
        <v>212293</v>
      </c>
    </row>
    <row r="28" spans="1:13" x14ac:dyDescent="0.25">
      <c r="A28" t="str">
        <f t="shared" si="1"/>
        <v>Reformulated</v>
      </c>
      <c r="B28" s="15" t="s">
        <v>71</v>
      </c>
      <c r="C28" s="12" t="s">
        <v>47</v>
      </c>
      <c r="D28" s="11">
        <v>-3</v>
      </c>
      <c r="E28" s="12" t="s">
        <v>47</v>
      </c>
      <c r="F28" s="11">
        <v>76948</v>
      </c>
      <c r="G28" s="12"/>
      <c r="H28" s="11">
        <v>65150</v>
      </c>
      <c r="I28" s="13">
        <v>1299</v>
      </c>
      <c r="J28" s="13">
        <v>140697</v>
      </c>
      <c r="K28" s="13">
        <v>99</v>
      </c>
      <c r="L28" s="13">
        <v>0</v>
      </c>
      <c r="M28" s="11">
        <v>53447</v>
      </c>
    </row>
    <row r="29" spans="1:13" x14ac:dyDescent="0.25">
      <c r="A29" t="str">
        <f t="shared" si="1"/>
        <v>Conventional</v>
      </c>
      <c r="B29" s="15" t="s">
        <v>72</v>
      </c>
      <c r="C29" s="12" t="s">
        <v>47</v>
      </c>
      <c r="D29" s="11">
        <v>-48</v>
      </c>
      <c r="E29" s="12" t="s">
        <v>47</v>
      </c>
      <c r="F29" s="11">
        <v>143580</v>
      </c>
      <c r="G29" s="12"/>
      <c r="H29" s="11">
        <v>-82856</v>
      </c>
      <c r="I29" s="13">
        <v>790</v>
      </c>
      <c r="J29" s="13">
        <v>32076</v>
      </c>
      <c r="K29" s="13">
        <v>27810</v>
      </c>
      <c r="L29" s="13">
        <v>0</v>
      </c>
      <c r="M29" s="11">
        <v>158846</v>
      </c>
    </row>
    <row r="30" spans="1:13" x14ac:dyDescent="0.25">
      <c r="A30" t="str">
        <f t="shared" si="1"/>
        <v>Aviation Gasoline Blend. Comp.</v>
      </c>
      <c r="B30" s="14" t="s">
        <v>73</v>
      </c>
      <c r="C30" s="12" t="s">
        <v>47</v>
      </c>
      <c r="D30" s="12" t="s">
        <v>47</v>
      </c>
      <c r="E30" s="12" t="s">
        <v>47</v>
      </c>
      <c r="F30" s="11" t="s">
        <v>51</v>
      </c>
      <c r="G30" s="12"/>
      <c r="H30" s="12" t="s">
        <v>47</v>
      </c>
      <c r="I30" s="13">
        <v>6</v>
      </c>
      <c r="J30" s="13">
        <v>32</v>
      </c>
      <c r="K30" s="13" t="s">
        <v>51</v>
      </c>
      <c r="L30" s="13">
        <v>-38</v>
      </c>
      <c r="M30" s="11">
        <v>15</v>
      </c>
    </row>
    <row r="31" spans="1:13" x14ac:dyDescent="0.25">
      <c r="A31" t="str">
        <f t="shared" si="1"/>
        <v>Finished Petroleum Products</v>
      </c>
      <c r="B31" s="10" t="s">
        <v>74</v>
      </c>
      <c r="C31" s="12" t="s">
        <v>47</v>
      </c>
      <c r="D31" s="11">
        <v>1336</v>
      </c>
      <c r="E31" s="11">
        <v>7179380</v>
      </c>
      <c r="F31" s="11">
        <v>250759</v>
      </c>
      <c r="G31" s="12"/>
      <c r="H31" s="11">
        <v>57659</v>
      </c>
      <c r="I31" s="13">
        <v>-38269</v>
      </c>
      <c r="J31" s="16" t="s">
        <v>47</v>
      </c>
      <c r="K31" s="13">
        <v>1220551</v>
      </c>
      <c r="L31" s="13">
        <v>6306852</v>
      </c>
      <c r="M31" s="11">
        <v>291859</v>
      </c>
    </row>
    <row r="32" spans="1:13" x14ac:dyDescent="0.25">
      <c r="A32" t="str">
        <f t="shared" si="1"/>
        <v>Finished Motor Gasoline</v>
      </c>
      <c r="B32" s="14" t="s">
        <v>75</v>
      </c>
      <c r="C32" s="12" t="s">
        <v>47</v>
      </c>
      <c r="D32" s="11">
        <v>1336</v>
      </c>
      <c r="E32" s="11">
        <v>3633123</v>
      </c>
      <c r="F32" s="11">
        <v>11784</v>
      </c>
      <c r="G32" s="12"/>
      <c r="H32" s="11">
        <v>27566</v>
      </c>
      <c r="I32" s="13">
        <v>-3860</v>
      </c>
      <c r="J32" s="16" t="s">
        <v>47</v>
      </c>
      <c r="K32" s="13">
        <v>273483</v>
      </c>
      <c r="L32" s="13">
        <v>3404186</v>
      </c>
      <c r="M32" s="11">
        <v>24523</v>
      </c>
    </row>
    <row r="33" spans="1:13" x14ac:dyDescent="0.25">
      <c r="A33" t="str">
        <f t="shared" si="1"/>
        <v>Reformulated</v>
      </c>
      <c r="B33" s="15" t="s">
        <v>71</v>
      </c>
      <c r="C33" s="12" t="s">
        <v>47</v>
      </c>
      <c r="D33" s="12"/>
      <c r="E33" s="11">
        <v>1187104</v>
      </c>
      <c r="F33" s="11" t="s">
        <v>51</v>
      </c>
      <c r="G33" s="12"/>
      <c r="H33" s="11">
        <v>-59342</v>
      </c>
      <c r="I33" s="13">
        <v>-7</v>
      </c>
      <c r="J33" s="16" t="s">
        <v>47</v>
      </c>
      <c r="K33" s="13" t="s">
        <v>51</v>
      </c>
      <c r="L33" s="13">
        <v>1127769</v>
      </c>
      <c r="M33" s="11">
        <v>40</v>
      </c>
    </row>
    <row r="34" spans="1:13" x14ac:dyDescent="0.25">
      <c r="A34" t="str">
        <f t="shared" si="1"/>
        <v>Conventional</v>
      </c>
      <c r="B34" s="15" t="s">
        <v>72</v>
      </c>
      <c r="C34" s="12" t="s">
        <v>47</v>
      </c>
      <c r="D34" s="11">
        <v>1336</v>
      </c>
      <c r="E34" s="11">
        <v>2446019</v>
      </c>
      <c r="F34" s="11">
        <v>11784</v>
      </c>
      <c r="G34" s="12"/>
      <c r="H34" s="11">
        <v>86908</v>
      </c>
      <c r="I34" s="13">
        <v>-3853</v>
      </c>
      <c r="J34" s="16" t="s">
        <v>47</v>
      </c>
      <c r="K34" s="13">
        <v>273483</v>
      </c>
      <c r="L34" s="13">
        <v>2276417</v>
      </c>
      <c r="M34" s="11">
        <v>24483</v>
      </c>
    </row>
    <row r="35" spans="1:13" x14ac:dyDescent="0.25">
      <c r="A35" t="str">
        <f t="shared" si="1"/>
        <v>Finished Aviation Gasoline</v>
      </c>
      <c r="B35" s="14" t="s">
        <v>76</v>
      </c>
      <c r="C35" s="12" t="s">
        <v>47</v>
      </c>
      <c r="D35" s="12" t="s">
        <v>47</v>
      </c>
      <c r="E35" s="11">
        <v>4032</v>
      </c>
      <c r="F35" s="11">
        <v>165</v>
      </c>
      <c r="G35" s="12"/>
      <c r="H35" s="12" t="s">
        <v>47</v>
      </c>
      <c r="I35" s="13">
        <v>47</v>
      </c>
      <c r="J35" s="16" t="s">
        <v>47</v>
      </c>
      <c r="K35" s="13" t="s">
        <v>51</v>
      </c>
      <c r="L35" s="13">
        <v>4150</v>
      </c>
      <c r="M35" s="11">
        <v>1041</v>
      </c>
    </row>
    <row r="36" spans="1:13" x14ac:dyDescent="0.25">
      <c r="A36" t="str">
        <f t="shared" si="1"/>
        <v>Kerosene-Type Jet Fuel</v>
      </c>
      <c r="B36" s="14" t="s">
        <v>77</v>
      </c>
      <c r="C36" s="12" t="s">
        <v>47</v>
      </c>
      <c r="D36" s="12" t="s">
        <v>47</v>
      </c>
      <c r="E36" s="11">
        <v>621176</v>
      </c>
      <c r="F36" s="11">
        <v>58273</v>
      </c>
      <c r="G36" s="12"/>
      <c r="H36" s="12" t="s">
        <v>47</v>
      </c>
      <c r="I36" s="13">
        <v>-1706</v>
      </c>
      <c r="J36" s="16" t="s">
        <v>47</v>
      </c>
      <c r="K36" s="13">
        <v>67161</v>
      </c>
      <c r="L36" s="13">
        <v>613994</v>
      </c>
      <c r="M36" s="11">
        <v>41304</v>
      </c>
    </row>
    <row r="37" spans="1:13" x14ac:dyDescent="0.25">
      <c r="A37" t="str">
        <f t="shared" si="1"/>
        <v>Kerosene</v>
      </c>
      <c r="B37" s="14" t="s">
        <v>78</v>
      </c>
      <c r="C37" s="12" t="s">
        <v>47</v>
      </c>
      <c r="D37" s="12" t="s">
        <v>47</v>
      </c>
      <c r="E37" s="11">
        <v>2738</v>
      </c>
      <c r="F37" s="11">
        <v>1429</v>
      </c>
      <c r="G37" s="12"/>
      <c r="H37" s="12" t="s">
        <v>47</v>
      </c>
      <c r="I37" s="13">
        <v>10</v>
      </c>
      <c r="J37" s="16" t="s">
        <v>47</v>
      </c>
      <c r="K37" s="13">
        <v>2267</v>
      </c>
      <c r="L37" s="13">
        <v>1890</v>
      </c>
      <c r="M37" s="11">
        <v>2138</v>
      </c>
    </row>
    <row r="38" spans="1:13" x14ac:dyDescent="0.25">
      <c r="A38" t="str">
        <f t="shared" si="1"/>
        <v>Distillate Fuel Oil</v>
      </c>
      <c r="B38" s="14" t="s">
        <v>79</v>
      </c>
      <c r="C38" s="12" t="s">
        <v>47</v>
      </c>
      <c r="D38" s="12" t="s">
        <v>47</v>
      </c>
      <c r="E38" s="11">
        <v>1833879</v>
      </c>
      <c r="F38" s="11">
        <v>54975</v>
      </c>
      <c r="G38" s="12"/>
      <c r="H38" s="11">
        <v>30093</v>
      </c>
      <c r="I38" s="13">
        <v>-20457</v>
      </c>
      <c r="J38" s="16" t="s">
        <v>47</v>
      </c>
      <c r="K38" s="13">
        <v>504155</v>
      </c>
      <c r="L38" s="13">
        <v>1435249</v>
      </c>
      <c r="M38" s="11">
        <v>145638</v>
      </c>
    </row>
    <row r="39" spans="1:13" x14ac:dyDescent="0.25">
      <c r="A39" t="str">
        <f t="shared" si="1"/>
        <v>15 ppm Sulfur and Under</v>
      </c>
      <c r="B39" s="15" t="s">
        <v>80</v>
      </c>
      <c r="C39" s="12" t="s">
        <v>47</v>
      </c>
      <c r="D39" s="12" t="s">
        <v>47</v>
      </c>
      <c r="E39" s="11">
        <v>1713652</v>
      </c>
      <c r="F39" s="11">
        <v>37012</v>
      </c>
      <c r="G39" s="12"/>
      <c r="H39" s="11">
        <v>30093</v>
      </c>
      <c r="I39" s="13">
        <v>-16256</v>
      </c>
      <c r="J39" s="16" t="s">
        <v>47</v>
      </c>
      <c r="K39" s="13">
        <v>423862</v>
      </c>
      <c r="L39" s="13">
        <v>1373151</v>
      </c>
      <c r="M39" s="11">
        <v>128016</v>
      </c>
    </row>
    <row r="40" spans="1:13" x14ac:dyDescent="0.25">
      <c r="A40" t="str">
        <f t="shared" si="1"/>
        <v>Greater than 15 to 500 ppm Sulfur</v>
      </c>
      <c r="B40" s="15" t="s">
        <v>81</v>
      </c>
      <c r="C40" s="12" t="s">
        <v>47</v>
      </c>
      <c r="D40" s="12" t="s">
        <v>47</v>
      </c>
      <c r="E40" s="11">
        <v>42167</v>
      </c>
      <c r="F40" s="11">
        <v>759</v>
      </c>
      <c r="G40" s="12"/>
      <c r="H40" s="11" t="s">
        <v>51</v>
      </c>
      <c r="I40" s="13">
        <v>-929</v>
      </c>
      <c r="J40" s="16" t="s">
        <v>47</v>
      </c>
      <c r="K40" s="13">
        <v>41645</v>
      </c>
      <c r="L40" s="13">
        <v>2210</v>
      </c>
      <c r="M40" s="11">
        <v>7480</v>
      </c>
    </row>
    <row r="41" spans="1:13" x14ac:dyDescent="0.25">
      <c r="A41" t="str">
        <f t="shared" si="1"/>
        <v>Greater than 500 ppm Sulfur</v>
      </c>
      <c r="B41" s="15" t="s">
        <v>82</v>
      </c>
      <c r="C41" s="12" t="s">
        <v>47</v>
      </c>
      <c r="D41" s="12" t="s">
        <v>47</v>
      </c>
      <c r="E41" s="11">
        <v>78060</v>
      </c>
      <c r="F41" s="11">
        <v>17204</v>
      </c>
      <c r="G41" s="12"/>
      <c r="H41" s="12" t="s">
        <v>47</v>
      </c>
      <c r="I41" s="13">
        <v>-3272</v>
      </c>
      <c r="J41" s="16" t="s">
        <v>47</v>
      </c>
      <c r="K41" s="13">
        <v>38648</v>
      </c>
      <c r="L41" s="13">
        <v>59888</v>
      </c>
      <c r="M41" s="11">
        <v>10142</v>
      </c>
    </row>
    <row r="42" spans="1:13" x14ac:dyDescent="0.25">
      <c r="A42" t="str">
        <f t="shared" si="1"/>
        <v>Residual Fuel Oil</v>
      </c>
      <c r="B42" s="14" t="s">
        <v>83</v>
      </c>
      <c r="C42" s="12" t="s">
        <v>47</v>
      </c>
      <c r="D42" s="12" t="s">
        <v>47</v>
      </c>
      <c r="E42" s="11">
        <v>155851</v>
      </c>
      <c r="F42" s="11">
        <v>69015</v>
      </c>
      <c r="G42" s="12"/>
      <c r="H42" s="12" t="s">
        <v>47</v>
      </c>
      <c r="I42" s="13">
        <v>-12098</v>
      </c>
      <c r="J42" s="16" t="s">
        <v>47</v>
      </c>
      <c r="K42" s="13">
        <v>112240</v>
      </c>
      <c r="L42" s="13">
        <v>124724</v>
      </c>
      <c r="M42" s="11">
        <v>29377</v>
      </c>
    </row>
    <row r="43" spans="1:13" x14ac:dyDescent="0.25">
      <c r="A43" t="str">
        <f t="shared" si="1"/>
        <v>Less than 0.31% Sulfur</v>
      </c>
      <c r="B43" s="15" t="s">
        <v>84</v>
      </c>
      <c r="C43" s="12" t="s">
        <v>47</v>
      </c>
      <c r="D43" s="12" t="s">
        <v>47</v>
      </c>
      <c r="E43" s="11">
        <v>18946</v>
      </c>
      <c r="F43" s="11">
        <v>4112</v>
      </c>
      <c r="G43" s="12"/>
      <c r="H43" s="12" t="s">
        <v>47</v>
      </c>
      <c r="I43" s="13">
        <v>-2600</v>
      </c>
      <c r="J43" s="16" t="s">
        <v>47</v>
      </c>
      <c r="K43" s="16" t="s">
        <v>85</v>
      </c>
      <c r="L43" s="16" t="s">
        <v>85</v>
      </c>
      <c r="M43" s="11">
        <v>1928</v>
      </c>
    </row>
    <row r="44" spans="1:13" x14ac:dyDescent="0.25">
      <c r="A44" t="str">
        <f t="shared" si="1"/>
        <v>0.31 to 1.00% Sulfur</v>
      </c>
      <c r="B44" s="15" t="s">
        <v>86</v>
      </c>
      <c r="C44" s="12" t="s">
        <v>47</v>
      </c>
      <c r="D44" s="12" t="s">
        <v>47</v>
      </c>
      <c r="E44" s="11">
        <v>19577</v>
      </c>
      <c r="F44" s="11">
        <v>7295</v>
      </c>
      <c r="G44" s="12"/>
      <c r="H44" s="12" t="s">
        <v>47</v>
      </c>
      <c r="I44" s="13">
        <v>-1119</v>
      </c>
      <c r="J44" s="16" t="s">
        <v>47</v>
      </c>
      <c r="K44" s="16" t="s">
        <v>85</v>
      </c>
      <c r="L44" s="16" t="s">
        <v>85</v>
      </c>
      <c r="M44" s="11">
        <v>6822</v>
      </c>
    </row>
    <row r="45" spans="1:13" x14ac:dyDescent="0.25">
      <c r="A45" t="str">
        <f t="shared" si="1"/>
        <v>Greater than 1.00% Sulfur</v>
      </c>
      <c r="B45" s="15" t="s">
        <v>87</v>
      </c>
      <c r="C45" s="12" t="s">
        <v>47</v>
      </c>
      <c r="D45" s="12" t="s">
        <v>47</v>
      </c>
      <c r="E45" s="11">
        <v>117328</v>
      </c>
      <c r="F45" s="11">
        <v>57608</v>
      </c>
      <c r="G45" s="12"/>
      <c r="H45" s="12" t="s">
        <v>47</v>
      </c>
      <c r="I45" s="13">
        <v>-8379</v>
      </c>
      <c r="J45" s="16" t="s">
        <v>47</v>
      </c>
      <c r="K45" s="16" t="s">
        <v>85</v>
      </c>
      <c r="L45" s="16" t="s">
        <v>85</v>
      </c>
      <c r="M45" s="11">
        <v>20621</v>
      </c>
    </row>
    <row r="46" spans="1:13" x14ac:dyDescent="0.25">
      <c r="A46" t="str">
        <f t="shared" si="1"/>
        <v>Petrochemical Feedstocks</v>
      </c>
      <c r="B46" s="14" t="s">
        <v>88</v>
      </c>
      <c r="C46" s="12" t="s">
        <v>47</v>
      </c>
      <c r="D46" s="12" t="s">
        <v>47</v>
      </c>
      <c r="E46" s="11">
        <v>112198</v>
      </c>
      <c r="F46" s="11">
        <v>15696</v>
      </c>
      <c r="G46" s="12"/>
      <c r="H46" s="12" t="s">
        <v>47</v>
      </c>
      <c r="I46" s="13">
        <v>-357</v>
      </c>
      <c r="J46" s="16" t="s">
        <v>47</v>
      </c>
      <c r="K46" s="13" t="s">
        <v>51</v>
      </c>
      <c r="L46" s="13">
        <v>128251</v>
      </c>
      <c r="M46" s="11">
        <v>2883</v>
      </c>
    </row>
    <row r="47" spans="1:13" x14ac:dyDescent="0.25">
      <c r="A47" t="str">
        <f t="shared" si="1"/>
        <v>Naphtha for Petro. Feed. Use</v>
      </c>
      <c r="B47" s="15" t="s">
        <v>89</v>
      </c>
      <c r="C47" s="12" t="s">
        <v>47</v>
      </c>
      <c r="D47" s="12" t="s">
        <v>47</v>
      </c>
      <c r="E47" s="11">
        <v>71578</v>
      </c>
      <c r="F47" s="11">
        <v>11373</v>
      </c>
      <c r="G47" s="12"/>
      <c r="H47" s="12" t="s">
        <v>47</v>
      </c>
      <c r="I47" s="13">
        <v>-162</v>
      </c>
      <c r="J47" s="16" t="s">
        <v>47</v>
      </c>
      <c r="K47" s="13" t="s">
        <v>51</v>
      </c>
      <c r="L47" s="13">
        <v>83113</v>
      </c>
      <c r="M47" s="11">
        <v>1849</v>
      </c>
    </row>
    <row r="48" spans="1:13" x14ac:dyDescent="0.25">
      <c r="A48" t="str">
        <f t="shared" si="1"/>
        <v>Other Oils for Petro. Feed. Use</v>
      </c>
      <c r="B48" s="15" t="s">
        <v>90</v>
      </c>
      <c r="C48" s="12" t="s">
        <v>47</v>
      </c>
      <c r="D48" s="12" t="s">
        <v>47</v>
      </c>
      <c r="E48" s="11">
        <v>40620</v>
      </c>
      <c r="F48" s="11">
        <v>4323</v>
      </c>
      <c r="G48" s="12"/>
      <c r="H48" s="12" t="s">
        <v>47</v>
      </c>
      <c r="I48" s="13">
        <v>-195</v>
      </c>
      <c r="J48" s="16" t="s">
        <v>47</v>
      </c>
      <c r="K48" s="13" t="s">
        <v>51</v>
      </c>
      <c r="L48" s="13">
        <v>45138</v>
      </c>
      <c r="M48" s="11">
        <v>1034</v>
      </c>
    </row>
    <row r="49" spans="1:13" x14ac:dyDescent="0.25">
      <c r="A49" t="str">
        <f t="shared" si="1"/>
        <v>Special Naphthas</v>
      </c>
      <c r="B49" s="14" t="s">
        <v>91</v>
      </c>
      <c r="C49" s="12" t="s">
        <v>47</v>
      </c>
      <c r="D49" s="12" t="s">
        <v>47</v>
      </c>
      <c r="E49" s="11">
        <v>13688</v>
      </c>
      <c r="F49" s="11">
        <v>5405</v>
      </c>
      <c r="G49" s="12"/>
      <c r="H49" s="12" t="s">
        <v>47</v>
      </c>
      <c r="I49" s="13">
        <v>-26</v>
      </c>
      <c r="J49" s="16" t="s">
        <v>47</v>
      </c>
      <c r="K49" s="13" t="s">
        <v>51</v>
      </c>
      <c r="L49" s="13">
        <v>19119</v>
      </c>
      <c r="M49" s="11">
        <v>1192</v>
      </c>
    </row>
    <row r="50" spans="1:13" x14ac:dyDescent="0.25">
      <c r="A50" t="str">
        <f t="shared" si="1"/>
        <v>Lubricants</v>
      </c>
      <c r="B50" s="14" t="s">
        <v>92</v>
      </c>
      <c r="C50" s="12" t="s">
        <v>47</v>
      </c>
      <c r="D50" s="12" t="s">
        <v>47</v>
      </c>
      <c r="E50" s="11">
        <v>64970</v>
      </c>
      <c r="F50" s="11">
        <v>14901</v>
      </c>
      <c r="G50" s="12"/>
      <c r="H50" s="12" t="s">
        <v>47</v>
      </c>
      <c r="I50" s="13">
        <v>-347</v>
      </c>
      <c r="J50" s="16" t="s">
        <v>47</v>
      </c>
      <c r="K50" s="13">
        <v>36215</v>
      </c>
      <c r="L50" s="13">
        <v>44003</v>
      </c>
      <c r="M50" s="11">
        <v>12021</v>
      </c>
    </row>
    <row r="51" spans="1:13" x14ac:dyDescent="0.25">
      <c r="A51" t="str">
        <f t="shared" si="1"/>
        <v>Waxes</v>
      </c>
      <c r="B51" s="14" t="s">
        <v>93</v>
      </c>
      <c r="C51" s="12" t="s">
        <v>47</v>
      </c>
      <c r="D51" s="12" t="s">
        <v>47</v>
      </c>
      <c r="E51" s="11">
        <v>1774</v>
      </c>
      <c r="F51" s="11">
        <v>1724</v>
      </c>
      <c r="G51" s="12"/>
      <c r="H51" s="12" t="s">
        <v>47</v>
      </c>
      <c r="I51" s="13">
        <v>184</v>
      </c>
      <c r="J51" s="16" t="s">
        <v>47</v>
      </c>
      <c r="K51" s="13">
        <v>1479</v>
      </c>
      <c r="L51" s="13">
        <v>1835</v>
      </c>
      <c r="M51" s="11">
        <v>855</v>
      </c>
    </row>
    <row r="52" spans="1:13" x14ac:dyDescent="0.25">
      <c r="A52" t="str">
        <f t="shared" si="1"/>
        <v>Petroleum Coke</v>
      </c>
      <c r="B52" s="14" t="s">
        <v>94</v>
      </c>
      <c r="C52" s="12" t="s">
        <v>47</v>
      </c>
      <c r="D52" s="12" t="s">
        <v>47</v>
      </c>
      <c r="E52" s="11">
        <v>329170</v>
      </c>
      <c r="F52" s="11">
        <v>3662</v>
      </c>
      <c r="G52" s="12"/>
      <c r="H52" s="12" t="s">
        <v>47</v>
      </c>
      <c r="I52" s="13">
        <v>1536</v>
      </c>
      <c r="J52" s="16" t="s">
        <v>47</v>
      </c>
      <c r="K52" s="13">
        <v>215873</v>
      </c>
      <c r="L52" s="13">
        <v>115423</v>
      </c>
      <c r="M52" s="11">
        <v>8519</v>
      </c>
    </row>
    <row r="53" spans="1:13" x14ac:dyDescent="0.25">
      <c r="A53" t="str">
        <f t="shared" si="1"/>
        <v>Marketable</v>
      </c>
      <c r="B53" s="15" t="s">
        <v>95</v>
      </c>
      <c r="C53" s="12" t="s">
        <v>47</v>
      </c>
      <c r="D53" s="12" t="s">
        <v>47</v>
      </c>
      <c r="E53" s="11">
        <v>245213</v>
      </c>
      <c r="F53" s="11">
        <v>3662</v>
      </c>
      <c r="G53" s="12"/>
      <c r="H53" s="12" t="s">
        <v>47</v>
      </c>
      <c r="I53" s="13">
        <v>1536</v>
      </c>
      <c r="J53" s="16" t="s">
        <v>47</v>
      </c>
      <c r="K53" s="13">
        <v>215873</v>
      </c>
      <c r="L53" s="13">
        <v>31466</v>
      </c>
      <c r="M53" s="11">
        <v>8519</v>
      </c>
    </row>
    <row r="54" spans="1:13" x14ac:dyDescent="0.25">
      <c r="A54" t="str">
        <f t="shared" si="1"/>
        <v>Catalyst</v>
      </c>
      <c r="B54" s="15" t="s">
        <v>96</v>
      </c>
      <c r="C54" s="12" t="s">
        <v>47</v>
      </c>
      <c r="D54" s="12" t="s">
        <v>47</v>
      </c>
      <c r="E54" s="11">
        <v>83957</v>
      </c>
      <c r="F54" s="12" t="s">
        <v>47</v>
      </c>
      <c r="G54" s="12" t="s">
        <v>47</v>
      </c>
      <c r="H54" s="12" t="s">
        <v>47</v>
      </c>
      <c r="I54" s="16" t="s">
        <v>47</v>
      </c>
      <c r="J54" s="16" t="s">
        <v>47</v>
      </c>
      <c r="K54" s="16" t="s">
        <v>47</v>
      </c>
      <c r="L54" s="13">
        <v>83957</v>
      </c>
      <c r="M54" s="12" t="s">
        <v>47</v>
      </c>
    </row>
    <row r="55" spans="1:13" x14ac:dyDescent="0.25">
      <c r="A55" t="str">
        <f t="shared" si="1"/>
        <v>Asphalt and Road Oil</v>
      </c>
      <c r="B55" s="14" t="s">
        <v>97</v>
      </c>
      <c r="C55" s="12" t="s">
        <v>47</v>
      </c>
      <c r="D55" s="12" t="s">
        <v>47</v>
      </c>
      <c r="E55" s="11">
        <v>120515</v>
      </c>
      <c r="F55" s="11">
        <v>13666</v>
      </c>
      <c r="G55" s="12"/>
      <c r="H55" s="12" t="s">
        <v>47</v>
      </c>
      <c r="I55" s="13">
        <v>-1184</v>
      </c>
      <c r="J55" s="16" t="s">
        <v>47</v>
      </c>
      <c r="K55" s="13">
        <v>7399</v>
      </c>
      <c r="L55" s="13">
        <v>127966</v>
      </c>
      <c r="M55" s="11">
        <v>21697</v>
      </c>
    </row>
    <row r="56" spans="1:13" x14ac:dyDescent="0.25">
      <c r="A56" t="str">
        <f t="shared" si="1"/>
        <v>Still Gas</v>
      </c>
      <c r="B56" s="14" t="s">
        <v>98</v>
      </c>
      <c r="C56" s="12" t="s">
        <v>47</v>
      </c>
      <c r="D56" s="12" t="s">
        <v>47</v>
      </c>
      <c r="E56" s="11">
        <v>251761</v>
      </c>
      <c r="F56" s="12" t="s">
        <v>47</v>
      </c>
      <c r="G56" s="12" t="s">
        <v>47</v>
      </c>
      <c r="H56" s="12" t="s">
        <v>47</v>
      </c>
      <c r="I56" s="16" t="s">
        <v>47</v>
      </c>
      <c r="J56" s="16" t="s">
        <v>47</v>
      </c>
      <c r="K56" s="16" t="s">
        <v>47</v>
      </c>
      <c r="L56" s="13">
        <v>251761</v>
      </c>
      <c r="M56" s="12" t="s">
        <v>47</v>
      </c>
    </row>
    <row r="57" spans="1:13" x14ac:dyDescent="0.25">
      <c r="A57" t="str">
        <f t="shared" si="1"/>
        <v>Miscellaneous Products</v>
      </c>
      <c r="B57" s="14" t="s">
        <v>99</v>
      </c>
      <c r="C57" s="12" t="s">
        <v>47</v>
      </c>
      <c r="D57" s="12" t="s">
        <v>47</v>
      </c>
      <c r="E57" s="11">
        <v>34505</v>
      </c>
      <c r="F57" s="11">
        <v>64</v>
      </c>
      <c r="G57" s="12"/>
      <c r="H57" s="12" t="s">
        <v>47</v>
      </c>
      <c r="I57" s="13">
        <v>-11</v>
      </c>
      <c r="J57" s="16" t="s">
        <v>47</v>
      </c>
      <c r="K57" s="13">
        <v>279</v>
      </c>
      <c r="L57" s="13">
        <v>34301</v>
      </c>
      <c r="M57" s="11">
        <v>671</v>
      </c>
    </row>
  </sheetData>
  <mergeCells count="3">
    <mergeCell ref="C2:H2"/>
    <mergeCell ref="I2:L2"/>
    <mergeCell ref="M2:M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0"/>
  <sheetViews>
    <sheetView topLeftCell="A25" workbookViewId="0">
      <selection activeCell="B23" sqref="B23"/>
    </sheetView>
  </sheetViews>
  <sheetFormatPr defaultRowHeight="15" x14ac:dyDescent="0.25"/>
  <cols>
    <col min="2" max="2" width="18" customWidth="1"/>
    <col min="3" max="3" width="29" customWidth="1"/>
    <col min="4" max="4" width="36" customWidth="1"/>
    <col min="5" max="5" width="22" customWidth="1"/>
    <col min="6" max="6" width="29.7109375" customWidth="1"/>
    <col min="10" max="10" width="29.85546875" bestFit="1" customWidth="1"/>
    <col min="11" max="11" width="18.140625" bestFit="1" customWidth="1"/>
  </cols>
  <sheetData>
    <row r="1" spans="1:9" x14ac:dyDescent="0.25">
      <c r="A1" s="1" t="s">
        <v>609</v>
      </c>
    </row>
    <row r="2" spans="1:9" x14ac:dyDescent="0.25">
      <c r="A2" t="s">
        <v>100</v>
      </c>
      <c r="B2" s="18" t="s">
        <v>101</v>
      </c>
      <c r="C2" t="s">
        <v>608</v>
      </c>
      <c r="D2" t="s">
        <v>102</v>
      </c>
      <c r="E2" s="18"/>
      <c r="F2" s="18"/>
      <c r="I2" s="18"/>
    </row>
    <row r="3" spans="1:9" x14ac:dyDescent="0.25">
      <c r="A3" t="s">
        <v>103</v>
      </c>
    </row>
    <row r="4" spans="1:9" x14ac:dyDescent="0.25">
      <c r="B4">
        <v>1</v>
      </c>
      <c r="C4">
        <v>184451</v>
      </c>
      <c r="D4">
        <v>589367</v>
      </c>
    </row>
    <row r="5" spans="1:9" x14ac:dyDescent="0.25">
      <c r="B5">
        <v>2</v>
      </c>
      <c r="C5">
        <v>168559</v>
      </c>
      <c r="D5">
        <v>535088</v>
      </c>
    </row>
    <row r="6" spans="1:9" x14ac:dyDescent="0.25">
      <c r="B6">
        <v>3</v>
      </c>
      <c r="C6">
        <v>158633</v>
      </c>
      <c r="D6">
        <v>613798</v>
      </c>
    </row>
    <row r="7" spans="1:9" x14ac:dyDescent="0.25">
      <c r="B7">
        <v>4</v>
      </c>
      <c r="C7">
        <v>122820</v>
      </c>
      <c r="D7">
        <v>592364</v>
      </c>
    </row>
    <row r="8" spans="1:9" x14ac:dyDescent="0.25">
      <c r="B8">
        <v>5</v>
      </c>
      <c r="C8">
        <v>143019</v>
      </c>
      <c r="D8">
        <v>608837</v>
      </c>
    </row>
    <row r="9" spans="1:9" x14ac:dyDescent="0.25">
      <c r="B9">
        <v>6</v>
      </c>
      <c r="C9">
        <v>157357</v>
      </c>
      <c r="D9">
        <v>575481</v>
      </c>
    </row>
    <row r="10" spans="1:9" x14ac:dyDescent="0.25">
      <c r="B10">
        <v>7</v>
      </c>
      <c r="C10">
        <v>174016</v>
      </c>
      <c r="D10">
        <v>581260</v>
      </c>
    </row>
    <row r="11" spans="1:9" x14ac:dyDescent="0.25">
      <c r="B11">
        <v>8</v>
      </c>
      <c r="C11">
        <v>178391</v>
      </c>
      <c r="D11">
        <v>664441</v>
      </c>
    </row>
    <row r="12" spans="1:9" x14ac:dyDescent="0.25">
      <c r="B12">
        <v>9</v>
      </c>
      <c r="C12">
        <v>173333</v>
      </c>
      <c r="D12">
        <v>629927</v>
      </c>
    </row>
    <row r="13" spans="1:9" x14ac:dyDescent="0.25">
      <c r="B13">
        <v>10</v>
      </c>
      <c r="C13">
        <v>193711</v>
      </c>
      <c r="D13">
        <v>658237</v>
      </c>
    </row>
    <row r="14" spans="1:9" x14ac:dyDescent="0.25">
      <c r="B14">
        <v>11</v>
      </c>
      <c r="C14">
        <v>172601</v>
      </c>
      <c r="D14">
        <v>635793</v>
      </c>
    </row>
    <row r="15" spans="1:9" x14ac:dyDescent="0.25">
      <c r="B15">
        <v>12</v>
      </c>
      <c r="C15">
        <v>161979</v>
      </c>
      <c r="D15">
        <v>599576</v>
      </c>
    </row>
    <row r="17" spans="1:3" x14ac:dyDescent="0.25">
      <c r="A17" s="1" t="s">
        <v>611</v>
      </c>
    </row>
    <row r="18" spans="1:3" x14ac:dyDescent="0.25">
      <c r="A18" t="s">
        <v>101</v>
      </c>
      <c r="B18" s="18" t="s">
        <v>104</v>
      </c>
      <c r="C18" s="18" t="s">
        <v>105</v>
      </c>
    </row>
    <row r="19" spans="1:3" x14ac:dyDescent="0.25">
      <c r="A19">
        <v>1</v>
      </c>
      <c r="B19">
        <v>465014</v>
      </c>
      <c r="C19">
        <v>167.75</v>
      </c>
    </row>
    <row r="20" spans="1:3" x14ac:dyDescent="0.25">
      <c r="A20">
        <v>2</v>
      </c>
      <c r="B20">
        <v>532014</v>
      </c>
      <c r="C20">
        <v>163.38999999999999</v>
      </c>
    </row>
    <row r="21" spans="1:3" x14ac:dyDescent="0.25">
      <c r="A21">
        <v>3</v>
      </c>
      <c r="B21">
        <v>655441</v>
      </c>
      <c r="C21">
        <v>167.92</v>
      </c>
    </row>
    <row r="22" spans="1:3" x14ac:dyDescent="0.25">
      <c r="A22">
        <v>4</v>
      </c>
      <c r="B22">
        <v>548340</v>
      </c>
      <c r="C22">
        <v>164.43</v>
      </c>
    </row>
    <row r="23" spans="1:3" x14ac:dyDescent="0.25">
      <c r="A23">
        <v>5</v>
      </c>
      <c r="B23">
        <v>525716</v>
      </c>
      <c r="C23">
        <v>166.38</v>
      </c>
    </row>
    <row r="24" spans="1:3" x14ac:dyDescent="0.25">
      <c r="A24">
        <v>6</v>
      </c>
      <c r="B24">
        <v>627529</v>
      </c>
      <c r="C24">
        <v>159.44</v>
      </c>
    </row>
    <row r="25" spans="1:3" x14ac:dyDescent="0.25">
      <c r="A25">
        <v>7</v>
      </c>
      <c r="B25">
        <v>466871</v>
      </c>
      <c r="C25">
        <v>159.27000000000001</v>
      </c>
    </row>
    <row r="26" spans="1:3" x14ac:dyDescent="0.25">
      <c r="A26">
        <v>8</v>
      </c>
      <c r="B26">
        <v>557048</v>
      </c>
      <c r="C26">
        <v>169.81</v>
      </c>
    </row>
    <row r="27" spans="1:3" x14ac:dyDescent="0.25">
      <c r="A27">
        <v>9</v>
      </c>
      <c r="B27">
        <v>658081</v>
      </c>
      <c r="C27">
        <v>165.88</v>
      </c>
    </row>
    <row r="28" spans="1:3" x14ac:dyDescent="0.25">
      <c r="A28">
        <v>10</v>
      </c>
      <c r="B28">
        <v>572569</v>
      </c>
      <c r="C28">
        <v>166.42</v>
      </c>
    </row>
    <row r="29" spans="1:3" x14ac:dyDescent="0.25">
      <c r="A29">
        <v>11</v>
      </c>
      <c r="B29">
        <v>579346</v>
      </c>
      <c r="C29">
        <v>171.17</v>
      </c>
    </row>
    <row r="30" spans="1:3" x14ac:dyDescent="0.25">
      <c r="A30">
        <v>12</v>
      </c>
      <c r="B30">
        <v>761935</v>
      </c>
      <c r="C30">
        <v>172.44</v>
      </c>
    </row>
    <row r="32" spans="1:3" x14ac:dyDescent="0.25">
      <c r="A32" s="1" t="s">
        <v>106</v>
      </c>
    </row>
    <row r="33" spans="1:4" x14ac:dyDescent="0.25">
      <c r="A33" s="5">
        <f>SUM(C4:D15)</f>
        <v>9273039</v>
      </c>
      <c r="B33" t="s">
        <v>107</v>
      </c>
    </row>
    <row r="35" spans="1:4" x14ac:dyDescent="0.25">
      <c r="A35" s="1" t="s">
        <v>108</v>
      </c>
    </row>
    <row r="36" spans="1:4" x14ac:dyDescent="0.25">
      <c r="A36" s="5">
        <f>SUM(B19:B30)</f>
        <v>6949904</v>
      </c>
      <c r="B36" t="s">
        <v>107</v>
      </c>
    </row>
    <row r="38" spans="1:4" x14ac:dyDescent="0.25">
      <c r="A38" t="s">
        <v>109</v>
      </c>
    </row>
    <row r="39" spans="1:4" x14ac:dyDescent="0.25">
      <c r="A39" t="s">
        <v>110</v>
      </c>
    </row>
    <row r="40" spans="1:4" x14ac:dyDescent="0.25">
      <c r="A40" t="s">
        <v>111</v>
      </c>
    </row>
    <row r="41" spans="1:4" x14ac:dyDescent="0.25">
      <c r="A41" t="s">
        <v>112</v>
      </c>
    </row>
    <row r="43" spans="1:4" x14ac:dyDescent="0.25">
      <c r="B43" s="18" t="s">
        <v>38</v>
      </c>
      <c r="C43" s="18" t="s">
        <v>43</v>
      </c>
      <c r="D43" t="s">
        <v>113</v>
      </c>
    </row>
    <row r="44" spans="1:4" x14ac:dyDescent="0.25">
      <c r="A44">
        <v>2015</v>
      </c>
      <c r="B44">
        <v>207171527</v>
      </c>
      <c r="C44">
        <v>4668774792</v>
      </c>
      <c r="D44" t="s">
        <v>114</v>
      </c>
    </row>
    <row r="46" spans="1:4" x14ac:dyDescent="0.25">
      <c r="A46" s="1" t="s">
        <v>115</v>
      </c>
    </row>
    <row r="47" spans="1:4" x14ac:dyDescent="0.25">
      <c r="A47">
        <f>B44/C44</f>
        <v>4.4373853147723213E-2</v>
      </c>
    </row>
    <row r="49" spans="1:2" x14ac:dyDescent="0.25">
      <c r="A49" s="1" t="s">
        <v>116</v>
      </c>
    </row>
    <row r="50" spans="1:2" x14ac:dyDescent="0.25">
      <c r="A50" s="19">
        <f>A36*A47</f>
        <v>308394.01948677417</v>
      </c>
      <c r="B50" t="s">
        <v>107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8"/>
  <sheetViews>
    <sheetView workbookViewId="0">
      <selection activeCell="D13" sqref="D13"/>
    </sheetView>
  </sheetViews>
  <sheetFormatPr defaultRowHeight="15" x14ac:dyDescent="0.25"/>
  <cols>
    <col min="1" max="1" width="10.5703125" customWidth="1"/>
    <col min="2" max="4" width="11.7109375" customWidth="1"/>
    <col min="5" max="5" width="23.28515625" customWidth="1"/>
  </cols>
  <sheetData>
    <row r="1" spans="1:5" x14ac:dyDescent="0.25">
      <c r="A1" s="2" t="s">
        <v>210</v>
      </c>
      <c r="B1" s="7"/>
      <c r="C1" s="7"/>
      <c r="D1" s="7"/>
      <c r="E1" s="7"/>
    </row>
    <row r="2" spans="1:5" x14ac:dyDescent="0.25">
      <c r="B2" t="s">
        <v>126</v>
      </c>
      <c r="C2" t="s">
        <v>38</v>
      </c>
      <c r="D2" t="s">
        <v>43</v>
      </c>
      <c r="E2" t="s">
        <v>113</v>
      </c>
    </row>
    <row r="3" spans="1:5" x14ac:dyDescent="0.25">
      <c r="A3">
        <v>2017</v>
      </c>
      <c r="B3">
        <v>3</v>
      </c>
      <c r="C3">
        <v>40</v>
      </c>
      <c r="D3">
        <v>0</v>
      </c>
      <c r="E3" t="s">
        <v>211</v>
      </c>
    </row>
    <row r="5" spans="1:5" x14ac:dyDescent="0.25">
      <c r="A5" s="2" t="s">
        <v>247</v>
      </c>
      <c r="B5" s="7"/>
      <c r="C5" s="7"/>
      <c r="D5" s="7"/>
      <c r="E5" s="7"/>
    </row>
    <row r="6" spans="1:5" x14ac:dyDescent="0.25">
      <c r="A6" s="25">
        <v>0.09</v>
      </c>
      <c r="B6" t="s">
        <v>243</v>
      </c>
    </row>
    <row r="7" spans="1:5" x14ac:dyDescent="0.25">
      <c r="A7">
        <v>775</v>
      </c>
      <c r="B7" t="s">
        <v>244</v>
      </c>
    </row>
    <row r="8" spans="1:5" x14ac:dyDescent="0.25">
      <c r="A8">
        <v>97</v>
      </c>
      <c r="B8" t="s">
        <v>245</v>
      </c>
    </row>
    <row r="9" spans="1:5" x14ac:dyDescent="0.25">
      <c r="A9">
        <v>6</v>
      </c>
      <c r="B9" t="s">
        <v>246</v>
      </c>
    </row>
    <row r="10" spans="1:5" x14ac:dyDescent="0.25">
      <c r="A10" s="20" t="s">
        <v>248</v>
      </c>
    </row>
    <row r="12" spans="1:5" x14ac:dyDescent="0.25">
      <c r="B12" t="s">
        <v>126</v>
      </c>
      <c r="C12" t="s">
        <v>38</v>
      </c>
      <c r="D12" t="s">
        <v>43</v>
      </c>
      <c r="E12" t="s">
        <v>113</v>
      </c>
    </row>
    <row r="13" spans="1:5" x14ac:dyDescent="0.25">
      <c r="A13" t="s">
        <v>242</v>
      </c>
      <c r="B13" s="26">
        <f>A7*(1-A6)</f>
        <v>705.25</v>
      </c>
      <c r="C13">
        <f>A9</f>
        <v>6</v>
      </c>
      <c r="D13">
        <f>A8</f>
        <v>97</v>
      </c>
      <c r="E13" t="s">
        <v>212</v>
      </c>
    </row>
    <row r="14" spans="1:5" x14ac:dyDescent="0.25">
      <c r="A14" t="s">
        <v>249</v>
      </c>
      <c r="B14" s="26">
        <f>A6*A7</f>
        <v>69.75</v>
      </c>
      <c r="C14">
        <v>0</v>
      </c>
      <c r="D14">
        <v>0</v>
      </c>
      <c r="E14" t="s">
        <v>212</v>
      </c>
    </row>
    <row r="16" spans="1:5" x14ac:dyDescent="0.25">
      <c r="A16" s="2" t="s">
        <v>250</v>
      </c>
      <c r="B16" s="7"/>
      <c r="C16" s="7"/>
      <c r="D16" s="7"/>
      <c r="E16" s="7"/>
    </row>
    <row r="17" spans="1:5" x14ac:dyDescent="0.25">
      <c r="A17" s="1" t="s">
        <v>254</v>
      </c>
    </row>
    <row r="18" spans="1:5" x14ac:dyDescent="0.25">
      <c r="A18" s="27">
        <v>262.39999999999998</v>
      </c>
      <c r="B18" t="s">
        <v>255</v>
      </c>
    </row>
    <row r="19" spans="1:5" x14ac:dyDescent="0.25">
      <c r="A19" s="28">
        <v>33.57</v>
      </c>
      <c r="B19" t="s">
        <v>256</v>
      </c>
    </row>
    <row r="20" spans="1:5" x14ac:dyDescent="0.25">
      <c r="A20">
        <v>67.8</v>
      </c>
      <c r="B20" t="s">
        <v>257</v>
      </c>
    </row>
    <row r="21" spans="1:5" x14ac:dyDescent="0.25">
      <c r="A21">
        <v>23.4</v>
      </c>
      <c r="B21" t="s">
        <v>258</v>
      </c>
    </row>
    <row r="22" spans="1:5" x14ac:dyDescent="0.25">
      <c r="A22">
        <v>137.69999999999999</v>
      </c>
      <c r="B22" t="s">
        <v>259</v>
      </c>
    </row>
    <row r="24" spans="1:5" x14ac:dyDescent="0.25">
      <c r="A24" s="28" t="s">
        <v>260</v>
      </c>
    </row>
    <row r="25" spans="1:5" x14ac:dyDescent="0.25">
      <c r="A25" t="s">
        <v>261</v>
      </c>
    </row>
    <row r="26" spans="1:5" x14ac:dyDescent="0.25">
      <c r="A26" t="s">
        <v>267</v>
      </c>
    </row>
    <row r="27" spans="1:5" x14ac:dyDescent="0.25">
      <c r="A27" s="3" t="s">
        <v>268</v>
      </c>
      <c r="D27" t="s">
        <v>266</v>
      </c>
    </row>
    <row r="28" spans="1:5" x14ac:dyDescent="0.25">
      <c r="E28" s="4"/>
    </row>
    <row r="30" spans="1:5" x14ac:dyDescent="0.25">
      <c r="A30" t="s">
        <v>262</v>
      </c>
    </row>
    <row r="31" spans="1:5" x14ac:dyDescent="0.25">
      <c r="A31" t="s">
        <v>263</v>
      </c>
    </row>
    <row r="32" spans="1:5" x14ac:dyDescent="0.25">
      <c r="A32" t="s">
        <v>264</v>
      </c>
    </row>
    <row r="34" spans="1:5" x14ac:dyDescent="0.25">
      <c r="A34" s="2" t="s">
        <v>63</v>
      </c>
      <c r="B34" s="7"/>
      <c r="C34" s="7"/>
      <c r="D34" s="7"/>
      <c r="E34" s="7"/>
    </row>
    <row r="35" spans="1:5" x14ac:dyDescent="0.25">
      <c r="A35">
        <v>10</v>
      </c>
      <c r="B35" t="s">
        <v>265</v>
      </c>
    </row>
    <row r="36" spans="1:5" x14ac:dyDescent="0.25">
      <c r="A36" t="s">
        <v>272</v>
      </c>
    </row>
    <row r="38" spans="1:5" x14ac:dyDescent="0.25">
      <c r="A38" t="s">
        <v>273</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D2C86-7F1D-4E1D-872A-27787CB3D2CB}">
  <dimension ref="A1:AH2801"/>
  <sheetViews>
    <sheetView workbookViewId="0">
      <pane xSplit="2" ySplit="1" topLeftCell="C11" activePane="bottomRight" state="frozen"/>
      <selection pane="topRight" activeCell="C1" sqref="C1"/>
      <selection pane="bottomLeft" activeCell="A2" sqref="A2"/>
      <selection pane="bottomRight" activeCell="F25" sqref="F25"/>
    </sheetView>
  </sheetViews>
  <sheetFormatPr defaultColWidth="8.7109375" defaultRowHeight="15" customHeight="1" x14ac:dyDescent="0.2"/>
  <cols>
    <col min="1" max="1" width="21.42578125" style="207" hidden="1" customWidth="1"/>
    <col min="2" max="2" width="46.7109375" style="207" customWidth="1"/>
    <col min="3" max="33" width="8.7109375" style="207"/>
    <col min="34" max="34" width="8.7109375" style="207" bestFit="1" customWidth="1"/>
    <col min="35" max="16384" width="8.7109375" style="207"/>
  </cols>
  <sheetData>
    <row r="1" spans="1:34" ht="15" customHeight="1" thickBot="1" x14ac:dyDescent="0.25">
      <c r="B1" s="199" t="s">
        <v>1005</v>
      </c>
      <c r="C1" s="200">
        <v>2020</v>
      </c>
      <c r="D1" s="200">
        <v>2021</v>
      </c>
      <c r="E1" s="200">
        <v>2022</v>
      </c>
      <c r="F1" s="200">
        <v>2023</v>
      </c>
      <c r="G1" s="200">
        <v>2024</v>
      </c>
      <c r="H1" s="200">
        <v>2025</v>
      </c>
      <c r="I1" s="200">
        <v>2026</v>
      </c>
      <c r="J1" s="200">
        <v>2027</v>
      </c>
      <c r="K1" s="200">
        <v>2028</v>
      </c>
      <c r="L1" s="200">
        <v>2029</v>
      </c>
      <c r="M1" s="200">
        <v>2030</v>
      </c>
      <c r="N1" s="200">
        <v>2031</v>
      </c>
      <c r="O1" s="200">
        <v>2032</v>
      </c>
      <c r="P1" s="200">
        <v>2033</v>
      </c>
      <c r="Q1" s="200">
        <v>2034</v>
      </c>
      <c r="R1" s="200">
        <v>2035</v>
      </c>
      <c r="S1" s="200">
        <v>2036</v>
      </c>
      <c r="T1" s="200">
        <v>2037</v>
      </c>
      <c r="U1" s="200">
        <v>2038</v>
      </c>
      <c r="V1" s="200">
        <v>2039</v>
      </c>
      <c r="W1" s="200">
        <v>2040</v>
      </c>
      <c r="X1" s="200">
        <v>2041</v>
      </c>
      <c r="Y1" s="200">
        <v>2042</v>
      </c>
      <c r="Z1" s="200">
        <v>2043</v>
      </c>
      <c r="AA1" s="200">
        <v>2044</v>
      </c>
      <c r="AB1" s="200">
        <v>2045</v>
      </c>
      <c r="AC1" s="200">
        <v>2046</v>
      </c>
      <c r="AD1" s="200">
        <v>2047</v>
      </c>
      <c r="AE1" s="200">
        <v>2048</v>
      </c>
      <c r="AF1" s="200">
        <v>2049</v>
      </c>
      <c r="AG1" s="200">
        <v>2050</v>
      </c>
    </row>
    <row r="2" spans="1:34" ht="15" customHeight="1" thickTop="1" x14ac:dyDescent="0.2"/>
    <row r="3" spans="1:34" ht="15" customHeight="1" x14ac:dyDescent="0.2">
      <c r="C3" s="207" t="s">
        <v>117</v>
      </c>
      <c r="D3" s="207" t="s">
        <v>596</v>
      </c>
    </row>
    <row r="4" spans="1:34" ht="15" customHeight="1" x14ac:dyDescent="0.2">
      <c r="C4" s="207" t="s">
        <v>118</v>
      </c>
      <c r="D4" s="207" t="s">
        <v>1006</v>
      </c>
      <c r="G4" s="207" t="s">
        <v>1007</v>
      </c>
    </row>
    <row r="5" spans="1:34" ht="15" customHeight="1" x14ac:dyDescent="0.2">
      <c r="C5" s="207" t="s">
        <v>119</v>
      </c>
      <c r="D5" s="207" t="s">
        <v>1008</v>
      </c>
    </row>
    <row r="6" spans="1:34" ht="15" customHeight="1" x14ac:dyDescent="0.2">
      <c r="C6" s="207" t="s">
        <v>120</v>
      </c>
      <c r="E6" s="207" t="s">
        <v>1009</v>
      </c>
    </row>
    <row r="10" spans="1:34" ht="15" customHeight="1" x14ac:dyDescent="0.25">
      <c r="A10" s="213" t="s">
        <v>121</v>
      </c>
      <c r="B10" s="202" t="s">
        <v>122</v>
      </c>
      <c r="AH10" s="292" t="s">
        <v>597</v>
      </c>
    </row>
    <row r="11" spans="1:34" ht="15" customHeight="1" x14ac:dyDescent="0.2">
      <c r="B11" s="199" t="s">
        <v>123</v>
      </c>
      <c r="AH11" s="292" t="s">
        <v>598</v>
      </c>
    </row>
    <row r="12" spans="1:34" ht="15" customHeight="1" x14ac:dyDescent="0.2">
      <c r="B12" s="199" t="s">
        <v>124</v>
      </c>
      <c r="C12" s="222" t="s">
        <v>124</v>
      </c>
      <c r="D12" s="222" t="s">
        <v>124</v>
      </c>
      <c r="E12" s="222" t="s">
        <v>124</v>
      </c>
      <c r="F12" s="222" t="s">
        <v>124</v>
      </c>
      <c r="G12" s="222" t="s">
        <v>124</v>
      </c>
      <c r="H12" s="222" t="s">
        <v>124</v>
      </c>
      <c r="I12" s="222" t="s">
        <v>124</v>
      </c>
      <c r="J12" s="222" t="s">
        <v>124</v>
      </c>
      <c r="K12" s="222" t="s">
        <v>124</v>
      </c>
      <c r="L12" s="222" t="s">
        <v>124</v>
      </c>
      <c r="M12" s="222" t="s">
        <v>124</v>
      </c>
      <c r="N12" s="222" t="s">
        <v>124</v>
      </c>
      <c r="O12" s="222" t="s">
        <v>124</v>
      </c>
      <c r="P12" s="222" t="s">
        <v>124</v>
      </c>
      <c r="Q12" s="222" t="s">
        <v>124</v>
      </c>
      <c r="R12" s="222" t="s">
        <v>124</v>
      </c>
      <c r="S12" s="222" t="s">
        <v>124</v>
      </c>
      <c r="T12" s="222" t="s">
        <v>124</v>
      </c>
      <c r="U12" s="222" t="s">
        <v>124</v>
      </c>
      <c r="V12" s="222" t="s">
        <v>124</v>
      </c>
      <c r="W12" s="222" t="s">
        <v>124</v>
      </c>
      <c r="X12" s="222" t="s">
        <v>124</v>
      </c>
      <c r="Y12" s="222" t="s">
        <v>124</v>
      </c>
      <c r="Z12" s="222" t="s">
        <v>124</v>
      </c>
      <c r="AA12" s="222" t="s">
        <v>124</v>
      </c>
      <c r="AB12" s="222" t="s">
        <v>124</v>
      </c>
      <c r="AC12" s="222" t="s">
        <v>124</v>
      </c>
      <c r="AD12" s="222" t="s">
        <v>124</v>
      </c>
      <c r="AE12" s="222" t="s">
        <v>124</v>
      </c>
      <c r="AF12" s="222" t="s">
        <v>124</v>
      </c>
      <c r="AG12" s="222" t="s">
        <v>124</v>
      </c>
      <c r="AH12" s="292" t="s">
        <v>599</v>
      </c>
    </row>
    <row r="13" spans="1:34" ht="15" customHeight="1" thickBot="1" x14ac:dyDescent="0.25">
      <c r="B13" s="200" t="s">
        <v>125</v>
      </c>
      <c r="C13" s="200">
        <v>2020</v>
      </c>
      <c r="D13" s="200">
        <v>2021</v>
      </c>
      <c r="E13" s="200">
        <v>2022</v>
      </c>
      <c r="F13" s="200">
        <v>2023</v>
      </c>
      <c r="G13" s="200">
        <v>2024</v>
      </c>
      <c r="H13" s="200">
        <v>2025</v>
      </c>
      <c r="I13" s="200">
        <v>2026</v>
      </c>
      <c r="J13" s="200">
        <v>2027</v>
      </c>
      <c r="K13" s="200">
        <v>2028</v>
      </c>
      <c r="L13" s="200">
        <v>2029</v>
      </c>
      <c r="M13" s="200">
        <v>2030</v>
      </c>
      <c r="N13" s="200">
        <v>2031</v>
      </c>
      <c r="O13" s="200">
        <v>2032</v>
      </c>
      <c r="P13" s="200">
        <v>2033</v>
      </c>
      <c r="Q13" s="200">
        <v>2034</v>
      </c>
      <c r="R13" s="200">
        <v>2035</v>
      </c>
      <c r="S13" s="200">
        <v>2036</v>
      </c>
      <c r="T13" s="200">
        <v>2037</v>
      </c>
      <c r="U13" s="200">
        <v>2038</v>
      </c>
      <c r="V13" s="200">
        <v>2039</v>
      </c>
      <c r="W13" s="200">
        <v>2040</v>
      </c>
      <c r="X13" s="200">
        <v>2041</v>
      </c>
      <c r="Y13" s="200">
        <v>2042</v>
      </c>
      <c r="Z13" s="200">
        <v>2043</v>
      </c>
      <c r="AA13" s="200">
        <v>2044</v>
      </c>
      <c r="AB13" s="200">
        <v>2045</v>
      </c>
      <c r="AC13" s="200">
        <v>2046</v>
      </c>
      <c r="AD13" s="200">
        <v>2047</v>
      </c>
      <c r="AE13" s="200">
        <v>2048</v>
      </c>
      <c r="AF13" s="200">
        <v>2049</v>
      </c>
      <c r="AG13" s="200">
        <v>2050</v>
      </c>
      <c r="AH13" s="293" t="s">
        <v>600</v>
      </c>
    </row>
    <row r="14" spans="1:34" ht="15" customHeight="1" thickTop="1" x14ac:dyDescent="0.2"/>
    <row r="15" spans="1:34" ht="15" customHeight="1" x14ac:dyDescent="0.2">
      <c r="B15" s="204" t="s">
        <v>126</v>
      </c>
    </row>
    <row r="16" spans="1:34" ht="15" customHeight="1" x14ac:dyDescent="0.25">
      <c r="A16" s="213" t="s">
        <v>127</v>
      </c>
      <c r="B16" s="294" t="s">
        <v>128</v>
      </c>
      <c r="C16" s="295">
        <v>23.8687</v>
      </c>
      <c r="D16" s="295">
        <v>23.252731000000001</v>
      </c>
      <c r="E16" s="295">
        <v>24.181763</v>
      </c>
      <c r="F16" s="295">
        <v>25.610167000000001</v>
      </c>
      <c r="G16" s="295">
        <v>26.449864999999999</v>
      </c>
      <c r="H16" s="295">
        <v>27.433527000000002</v>
      </c>
      <c r="I16" s="295">
        <v>27.981459000000001</v>
      </c>
      <c r="J16" s="295">
        <v>28.184557000000002</v>
      </c>
      <c r="K16" s="295">
        <v>28.436070999999998</v>
      </c>
      <c r="L16" s="295">
        <v>28.457267999999999</v>
      </c>
      <c r="M16" s="295">
        <v>28.573612000000001</v>
      </c>
      <c r="N16" s="295">
        <v>28.635943999999999</v>
      </c>
      <c r="O16" s="295">
        <v>28.57733</v>
      </c>
      <c r="P16" s="295">
        <v>28.781625999999999</v>
      </c>
      <c r="Q16" s="295">
        <v>28.829138</v>
      </c>
      <c r="R16" s="295">
        <v>28.573709000000001</v>
      </c>
      <c r="S16" s="295">
        <v>28.149768999999999</v>
      </c>
      <c r="T16" s="295">
        <v>27.907505</v>
      </c>
      <c r="U16" s="295">
        <v>27.682938</v>
      </c>
      <c r="V16" s="295">
        <v>27.541288000000002</v>
      </c>
      <c r="W16" s="295">
        <v>27.30584</v>
      </c>
      <c r="X16" s="295">
        <v>27.188379000000001</v>
      </c>
      <c r="Y16" s="295">
        <v>27.247578000000001</v>
      </c>
      <c r="Z16" s="295">
        <v>27.590309000000001</v>
      </c>
      <c r="AA16" s="295">
        <v>27.674572000000001</v>
      </c>
      <c r="AB16" s="295">
        <v>27.394123</v>
      </c>
      <c r="AC16" s="295">
        <v>27.457819000000001</v>
      </c>
      <c r="AD16" s="295">
        <v>27.555928999999999</v>
      </c>
      <c r="AE16" s="295">
        <v>27.407074000000001</v>
      </c>
      <c r="AF16" s="295">
        <v>27.252414999999999</v>
      </c>
      <c r="AG16" s="295">
        <v>26.640561999999999</v>
      </c>
      <c r="AH16" s="296">
        <v>3.669E-3</v>
      </c>
    </row>
    <row r="17" spans="1:34" ht="15" customHeight="1" x14ac:dyDescent="0.25">
      <c r="A17" s="213" t="s">
        <v>129</v>
      </c>
      <c r="B17" s="294" t="s">
        <v>130</v>
      </c>
      <c r="C17" s="295">
        <v>6.5830979999999997</v>
      </c>
      <c r="D17" s="295">
        <v>6.7031159999999996</v>
      </c>
      <c r="E17" s="295">
        <v>7.0491809999999999</v>
      </c>
      <c r="F17" s="295">
        <v>7.4552329999999998</v>
      </c>
      <c r="G17" s="295">
        <v>7.5801990000000004</v>
      </c>
      <c r="H17" s="295">
        <v>7.605804</v>
      </c>
      <c r="I17" s="295">
        <v>7.7026570000000003</v>
      </c>
      <c r="J17" s="295">
        <v>7.7505179999999996</v>
      </c>
      <c r="K17" s="295">
        <v>7.7318020000000001</v>
      </c>
      <c r="L17" s="295">
        <v>7.7949520000000003</v>
      </c>
      <c r="M17" s="295">
        <v>7.8972550000000004</v>
      </c>
      <c r="N17" s="295">
        <v>7.934329</v>
      </c>
      <c r="O17" s="295">
        <v>7.8997539999999997</v>
      </c>
      <c r="P17" s="295">
        <v>7.9069089999999997</v>
      </c>
      <c r="Q17" s="295">
        <v>7.9408450000000004</v>
      </c>
      <c r="R17" s="295">
        <v>7.9307350000000003</v>
      </c>
      <c r="S17" s="295">
        <v>7.8936229999999998</v>
      </c>
      <c r="T17" s="295">
        <v>7.8892980000000001</v>
      </c>
      <c r="U17" s="295">
        <v>7.8851290000000001</v>
      </c>
      <c r="V17" s="295">
        <v>7.9089780000000003</v>
      </c>
      <c r="W17" s="295">
        <v>7.9175449999999996</v>
      </c>
      <c r="X17" s="295">
        <v>7.9019709999999996</v>
      </c>
      <c r="Y17" s="295">
        <v>7.9476339999999999</v>
      </c>
      <c r="Z17" s="295">
        <v>8.0173430000000003</v>
      </c>
      <c r="AA17" s="295">
        <v>8.0682869999999998</v>
      </c>
      <c r="AB17" s="295">
        <v>8.0711870000000001</v>
      </c>
      <c r="AC17" s="295">
        <v>8.0483150000000006</v>
      </c>
      <c r="AD17" s="295">
        <v>8.0116759999999996</v>
      </c>
      <c r="AE17" s="295">
        <v>8.007339</v>
      </c>
      <c r="AF17" s="295">
        <v>8.0318159999999992</v>
      </c>
      <c r="AG17" s="295">
        <v>8.0546290000000003</v>
      </c>
      <c r="AH17" s="296">
        <v>6.7470000000000004E-3</v>
      </c>
    </row>
    <row r="18" spans="1:34" ht="15" customHeight="1" x14ac:dyDescent="0.25">
      <c r="A18" s="213" t="s">
        <v>131</v>
      </c>
      <c r="B18" s="294" t="s">
        <v>132</v>
      </c>
      <c r="C18" s="295">
        <v>35.144691000000002</v>
      </c>
      <c r="D18" s="295">
        <v>33.50515</v>
      </c>
      <c r="E18" s="295">
        <v>33.993533999999997</v>
      </c>
      <c r="F18" s="295">
        <v>35.280872000000002</v>
      </c>
      <c r="G18" s="295">
        <v>36.258437999999998</v>
      </c>
      <c r="H18" s="295">
        <v>37.603428000000001</v>
      </c>
      <c r="I18" s="295">
        <v>38.250008000000001</v>
      </c>
      <c r="J18" s="295">
        <v>38.391167000000003</v>
      </c>
      <c r="K18" s="295">
        <v>38.572612999999997</v>
      </c>
      <c r="L18" s="295">
        <v>38.933571000000001</v>
      </c>
      <c r="M18" s="295">
        <v>39.282772000000001</v>
      </c>
      <c r="N18" s="295">
        <v>39.545341000000001</v>
      </c>
      <c r="O18" s="295">
        <v>39.715575999999999</v>
      </c>
      <c r="P18" s="295">
        <v>39.892344999999999</v>
      </c>
      <c r="Q18" s="295">
        <v>40.040512</v>
      </c>
      <c r="R18" s="295">
        <v>40.042014999999999</v>
      </c>
      <c r="S18" s="295">
        <v>40.208855</v>
      </c>
      <c r="T18" s="295">
        <v>40.425517999999997</v>
      </c>
      <c r="U18" s="295">
        <v>40.743046</v>
      </c>
      <c r="V18" s="295">
        <v>41.050590999999997</v>
      </c>
      <c r="W18" s="295">
        <v>41.393681000000001</v>
      </c>
      <c r="X18" s="295">
        <v>41.595657000000003</v>
      </c>
      <c r="Y18" s="295">
        <v>41.985748000000001</v>
      </c>
      <c r="Z18" s="295">
        <v>42.434672999999997</v>
      </c>
      <c r="AA18" s="295">
        <v>42.814444999999999</v>
      </c>
      <c r="AB18" s="295">
        <v>43.075909000000003</v>
      </c>
      <c r="AC18" s="295">
        <v>43.351005999999998</v>
      </c>
      <c r="AD18" s="295">
        <v>43.622123999999999</v>
      </c>
      <c r="AE18" s="295">
        <v>43.960766</v>
      </c>
      <c r="AF18" s="295">
        <v>44.237194000000002</v>
      </c>
      <c r="AG18" s="295">
        <v>44.583553000000002</v>
      </c>
      <c r="AH18" s="296">
        <v>7.9609999999999993E-3</v>
      </c>
    </row>
    <row r="19" spans="1:34" ht="15" customHeight="1" x14ac:dyDescent="0.25">
      <c r="A19" s="213" t="s">
        <v>133</v>
      </c>
      <c r="B19" s="294" t="s">
        <v>134</v>
      </c>
      <c r="C19" s="295">
        <v>10.800087</v>
      </c>
      <c r="D19" s="295">
        <v>12.552465</v>
      </c>
      <c r="E19" s="295">
        <v>13.464594999999999</v>
      </c>
      <c r="F19" s="295">
        <v>12.362299</v>
      </c>
      <c r="G19" s="295">
        <v>11.363764</v>
      </c>
      <c r="H19" s="295">
        <v>10.380013999999999</v>
      </c>
      <c r="I19" s="295">
        <v>10.547122</v>
      </c>
      <c r="J19" s="295">
        <v>10.278834</v>
      </c>
      <c r="K19" s="295">
        <v>10.307351000000001</v>
      </c>
      <c r="L19" s="295">
        <v>10.262581000000001</v>
      </c>
      <c r="M19" s="295">
        <v>10.137418</v>
      </c>
      <c r="N19" s="295">
        <v>10.010776999999999</v>
      </c>
      <c r="O19" s="295">
        <v>9.9313479999999998</v>
      </c>
      <c r="P19" s="295">
        <v>9.853116</v>
      </c>
      <c r="Q19" s="295">
        <v>9.8246149999999997</v>
      </c>
      <c r="R19" s="295">
        <v>9.7129130000000004</v>
      </c>
      <c r="S19" s="295">
        <v>9.6577160000000006</v>
      </c>
      <c r="T19" s="295">
        <v>9.5686789999999995</v>
      </c>
      <c r="U19" s="295">
        <v>9.3951670000000007</v>
      </c>
      <c r="V19" s="295">
        <v>9.2912189999999999</v>
      </c>
      <c r="W19" s="295">
        <v>9.2794000000000008</v>
      </c>
      <c r="X19" s="295">
        <v>9.2307810000000003</v>
      </c>
      <c r="Y19" s="295">
        <v>9.2491509999999995</v>
      </c>
      <c r="Z19" s="295">
        <v>9.1956209999999992</v>
      </c>
      <c r="AA19" s="295">
        <v>9.1528899999999993</v>
      </c>
      <c r="AB19" s="295">
        <v>9.0299569999999996</v>
      </c>
      <c r="AC19" s="295">
        <v>9.0036670000000001</v>
      </c>
      <c r="AD19" s="295">
        <v>8.9929970000000008</v>
      </c>
      <c r="AE19" s="295">
        <v>9.0276340000000008</v>
      </c>
      <c r="AF19" s="295">
        <v>9.0501369999999994</v>
      </c>
      <c r="AG19" s="295">
        <v>9.0817130000000006</v>
      </c>
      <c r="AH19" s="296">
        <v>-5.7600000000000004E-3</v>
      </c>
    </row>
    <row r="20" spans="1:34" ht="15" customHeight="1" x14ac:dyDescent="0.25">
      <c r="A20" s="213" t="s">
        <v>135</v>
      </c>
      <c r="B20" s="294" t="s">
        <v>136</v>
      </c>
      <c r="C20" s="295">
        <v>8.2053379999999994</v>
      </c>
      <c r="D20" s="295">
        <v>7.9521930000000003</v>
      </c>
      <c r="E20" s="295">
        <v>7.7023359999999998</v>
      </c>
      <c r="F20" s="295">
        <v>7.8394539999999999</v>
      </c>
      <c r="G20" s="295">
        <v>7.8721709999999998</v>
      </c>
      <c r="H20" s="295">
        <v>7.7886559999999996</v>
      </c>
      <c r="I20" s="295">
        <v>6.8895980000000003</v>
      </c>
      <c r="J20" s="295">
        <v>6.742038</v>
      </c>
      <c r="K20" s="295">
        <v>6.7456670000000001</v>
      </c>
      <c r="L20" s="295">
        <v>6.5818890000000003</v>
      </c>
      <c r="M20" s="295">
        <v>6.5897199999999998</v>
      </c>
      <c r="N20" s="295">
        <v>6.6018720000000002</v>
      </c>
      <c r="O20" s="295">
        <v>6.6107250000000004</v>
      </c>
      <c r="P20" s="295">
        <v>6.5300070000000003</v>
      </c>
      <c r="Q20" s="295">
        <v>6.3550139999999997</v>
      </c>
      <c r="R20" s="295">
        <v>6.3697049999999997</v>
      </c>
      <c r="S20" s="295">
        <v>6.301876</v>
      </c>
      <c r="T20" s="295">
        <v>6.3040830000000003</v>
      </c>
      <c r="U20" s="295">
        <v>6.3062860000000001</v>
      </c>
      <c r="V20" s="295">
        <v>6.3062860000000001</v>
      </c>
      <c r="W20" s="295">
        <v>6.2189899999999998</v>
      </c>
      <c r="X20" s="295">
        <v>6.232081</v>
      </c>
      <c r="Y20" s="295">
        <v>6.241549</v>
      </c>
      <c r="Z20" s="295">
        <v>6.2506820000000003</v>
      </c>
      <c r="AA20" s="295">
        <v>6.2585800000000003</v>
      </c>
      <c r="AB20" s="295">
        <v>6.2671380000000001</v>
      </c>
      <c r="AC20" s="295">
        <v>6.2715930000000002</v>
      </c>
      <c r="AD20" s="295">
        <v>6.1951790000000004</v>
      </c>
      <c r="AE20" s="295">
        <v>6.197953</v>
      </c>
      <c r="AF20" s="295">
        <v>6.2013059999999998</v>
      </c>
      <c r="AG20" s="295">
        <v>6.2061510000000002</v>
      </c>
      <c r="AH20" s="296">
        <v>-9.2650000000000007E-3</v>
      </c>
    </row>
    <row r="21" spans="1:34" ht="15" customHeight="1" x14ac:dyDescent="0.25">
      <c r="A21" s="213" t="s">
        <v>137</v>
      </c>
      <c r="B21" s="294" t="s">
        <v>138</v>
      </c>
      <c r="C21" s="295">
        <v>2.534411</v>
      </c>
      <c r="D21" s="295">
        <v>2.4826380000000001</v>
      </c>
      <c r="E21" s="295">
        <v>2.5643180000000001</v>
      </c>
      <c r="F21" s="295">
        <v>2.6349200000000002</v>
      </c>
      <c r="G21" s="295">
        <v>2.5740500000000002</v>
      </c>
      <c r="H21" s="295">
        <v>2.5420980000000002</v>
      </c>
      <c r="I21" s="295">
        <v>2.470024</v>
      </c>
      <c r="J21" s="295">
        <v>2.453376</v>
      </c>
      <c r="K21" s="295">
        <v>2.4351470000000002</v>
      </c>
      <c r="L21" s="295">
        <v>2.4319229999999998</v>
      </c>
      <c r="M21" s="295">
        <v>2.4272170000000002</v>
      </c>
      <c r="N21" s="295">
        <v>2.4245009999999998</v>
      </c>
      <c r="O21" s="295">
        <v>2.4136000000000002</v>
      </c>
      <c r="P21" s="295">
        <v>2.4049689999999999</v>
      </c>
      <c r="Q21" s="295">
        <v>2.3993850000000001</v>
      </c>
      <c r="R21" s="295">
        <v>2.3948390000000002</v>
      </c>
      <c r="S21" s="295">
        <v>2.3885049999999999</v>
      </c>
      <c r="T21" s="295">
        <v>2.3842129999999999</v>
      </c>
      <c r="U21" s="295">
        <v>2.3756080000000002</v>
      </c>
      <c r="V21" s="295">
        <v>2.3628269999999998</v>
      </c>
      <c r="W21" s="295">
        <v>2.3550469999999999</v>
      </c>
      <c r="X21" s="295">
        <v>2.3482159999999999</v>
      </c>
      <c r="Y21" s="295">
        <v>2.3421569999999998</v>
      </c>
      <c r="Z21" s="295">
        <v>2.3377150000000002</v>
      </c>
      <c r="AA21" s="295">
        <v>2.3251590000000002</v>
      </c>
      <c r="AB21" s="295">
        <v>2.3202970000000001</v>
      </c>
      <c r="AC21" s="295">
        <v>2.311928</v>
      </c>
      <c r="AD21" s="295">
        <v>2.3078069999999999</v>
      </c>
      <c r="AE21" s="295">
        <v>2.3054860000000001</v>
      </c>
      <c r="AF21" s="295">
        <v>2.301498</v>
      </c>
      <c r="AG21" s="295">
        <v>2.2946719999999998</v>
      </c>
      <c r="AH21" s="296">
        <v>-3.307E-3</v>
      </c>
    </row>
    <row r="22" spans="1:34" ht="15" customHeight="1" x14ac:dyDescent="0.25">
      <c r="A22" s="213" t="s">
        <v>139</v>
      </c>
      <c r="B22" s="294" t="s">
        <v>140</v>
      </c>
      <c r="C22" s="295">
        <v>4.4725640000000002</v>
      </c>
      <c r="D22" s="295">
        <v>4.6391410000000004</v>
      </c>
      <c r="E22" s="295">
        <v>4.7032660000000002</v>
      </c>
      <c r="F22" s="295">
        <v>4.7563110000000002</v>
      </c>
      <c r="G22" s="295">
        <v>4.7874749999999997</v>
      </c>
      <c r="H22" s="295">
        <v>4.8201510000000001</v>
      </c>
      <c r="I22" s="295">
        <v>4.8398859999999999</v>
      </c>
      <c r="J22" s="295">
        <v>4.8548609999999996</v>
      </c>
      <c r="K22" s="295">
        <v>4.858314</v>
      </c>
      <c r="L22" s="295">
        <v>4.867089</v>
      </c>
      <c r="M22" s="295">
        <v>4.8893750000000002</v>
      </c>
      <c r="N22" s="295">
        <v>4.916855</v>
      </c>
      <c r="O22" s="295">
        <v>4.9218929999999999</v>
      </c>
      <c r="P22" s="295">
        <v>4.9328260000000004</v>
      </c>
      <c r="Q22" s="295">
        <v>4.9365410000000001</v>
      </c>
      <c r="R22" s="295">
        <v>4.9468059999999996</v>
      </c>
      <c r="S22" s="295">
        <v>4.9525410000000001</v>
      </c>
      <c r="T22" s="295">
        <v>4.9590649999999998</v>
      </c>
      <c r="U22" s="295">
        <v>4.973096</v>
      </c>
      <c r="V22" s="295">
        <v>4.9849610000000002</v>
      </c>
      <c r="W22" s="295">
        <v>5.0002040000000001</v>
      </c>
      <c r="X22" s="295">
        <v>5.0283389999999999</v>
      </c>
      <c r="Y22" s="295">
        <v>5.0545020000000003</v>
      </c>
      <c r="Z22" s="295">
        <v>5.0800679999999998</v>
      </c>
      <c r="AA22" s="295">
        <v>5.1141969999999999</v>
      </c>
      <c r="AB22" s="295">
        <v>5.1613350000000002</v>
      </c>
      <c r="AC22" s="295">
        <v>5.1867590000000003</v>
      </c>
      <c r="AD22" s="295">
        <v>5.2500900000000001</v>
      </c>
      <c r="AE22" s="295">
        <v>5.2904920000000004</v>
      </c>
      <c r="AF22" s="295">
        <v>5.3404800000000003</v>
      </c>
      <c r="AG22" s="295">
        <v>5.3917109999999999</v>
      </c>
      <c r="AH22" s="296">
        <v>6.2490000000000002E-3</v>
      </c>
    </row>
    <row r="23" spans="1:34" ht="15" customHeight="1" x14ac:dyDescent="0.25">
      <c r="A23" s="213" t="s">
        <v>141</v>
      </c>
      <c r="B23" s="294" t="s">
        <v>142</v>
      </c>
      <c r="C23" s="295">
        <v>4.4260960000000003</v>
      </c>
      <c r="D23" s="295">
        <v>5.1346569999999998</v>
      </c>
      <c r="E23" s="295">
        <v>5.5661149999999999</v>
      </c>
      <c r="F23" s="295">
        <v>6.3668800000000001</v>
      </c>
      <c r="G23" s="295">
        <v>7.4535580000000001</v>
      </c>
      <c r="H23" s="295">
        <v>7.9824849999999996</v>
      </c>
      <c r="I23" s="295">
        <v>8.2312250000000002</v>
      </c>
      <c r="J23" s="295">
        <v>8.5751600000000003</v>
      </c>
      <c r="K23" s="295">
        <v>8.7909480000000002</v>
      </c>
      <c r="L23" s="295">
        <v>9.1047930000000008</v>
      </c>
      <c r="M23" s="295">
        <v>9.5199949999999998</v>
      </c>
      <c r="N23" s="295">
        <v>9.7714110000000005</v>
      </c>
      <c r="O23" s="295">
        <v>9.9918110000000002</v>
      </c>
      <c r="P23" s="295">
        <v>10.224599</v>
      </c>
      <c r="Q23" s="295">
        <v>10.543778</v>
      </c>
      <c r="R23" s="295">
        <v>10.985343</v>
      </c>
      <c r="S23" s="295">
        <v>11.237375999999999</v>
      </c>
      <c r="T23" s="295">
        <v>11.435293</v>
      </c>
      <c r="U23" s="295">
        <v>11.624606999999999</v>
      </c>
      <c r="V23" s="295">
        <v>11.724011000000001</v>
      </c>
      <c r="W23" s="295">
        <v>11.842293</v>
      </c>
      <c r="X23" s="295">
        <v>12.046887</v>
      </c>
      <c r="Y23" s="295">
        <v>12.177580000000001</v>
      </c>
      <c r="Z23" s="295">
        <v>12.353426000000001</v>
      </c>
      <c r="AA23" s="295">
        <v>12.532876</v>
      </c>
      <c r="AB23" s="295">
        <v>12.793443</v>
      </c>
      <c r="AC23" s="295">
        <v>13.085091</v>
      </c>
      <c r="AD23" s="295">
        <v>13.417382</v>
      </c>
      <c r="AE23" s="295">
        <v>13.63086</v>
      </c>
      <c r="AF23" s="295">
        <v>13.876656000000001</v>
      </c>
      <c r="AG23" s="295">
        <v>14.111439000000001</v>
      </c>
      <c r="AH23" s="296">
        <v>3.9405000000000003E-2</v>
      </c>
    </row>
    <row r="24" spans="1:34" ht="15" customHeight="1" x14ac:dyDescent="0.25">
      <c r="A24" s="213" t="s">
        <v>143</v>
      </c>
      <c r="B24" s="294" t="s">
        <v>144</v>
      </c>
      <c r="C24" s="295">
        <v>0.685083</v>
      </c>
      <c r="D24" s="295">
        <v>1.2140820000000001</v>
      </c>
      <c r="E24" s="295">
        <v>0.74536500000000006</v>
      </c>
      <c r="F24" s="295">
        <v>0.84564499999999998</v>
      </c>
      <c r="G24" s="295">
        <v>0.88408500000000001</v>
      </c>
      <c r="H24" s="295">
        <v>0.83308899999999997</v>
      </c>
      <c r="I24" s="295">
        <v>0.68311900000000003</v>
      </c>
      <c r="J24" s="295">
        <v>0.67267200000000005</v>
      </c>
      <c r="K24" s="295">
        <v>0.67675300000000005</v>
      </c>
      <c r="L24" s="295">
        <v>0.67341700000000004</v>
      </c>
      <c r="M24" s="295">
        <v>0.65309499999999998</v>
      </c>
      <c r="N24" s="295">
        <v>0.65416399999999997</v>
      </c>
      <c r="O24" s="295">
        <v>0.65273400000000004</v>
      </c>
      <c r="P24" s="295">
        <v>0.65209799999999996</v>
      </c>
      <c r="Q24" s="295">
        <v>0.66031899999999999</v>
      </c>
      <c r="R24" s="295">
        <v>0.66273099999999996</v>
      </c>
      <c r="S24" s="295">
        <v>0.67061300000000001</v>
      </c>
      <c r="T24" s="295">
        <v>0.67876400000000003</v>
      </c>
      <c r="U24" s="295">
        <v>0.68111600000000005</v>
      </c>
      <c r="V24" s="295">
        <v>0.69538999999999995</v>
      </c>
      <c r="W24" s="295">
        <v>0.69021900000000003</v>
      </c>
      <c r="X24" s="295">
        <v>0.69028599999999996</v>
      </c>
      <c r="Y24" s="295">
        <v>0.69115400000000005</v>
      </c>
      <c r="Z24" s="295">
        <v>0.69076599999999999</v>
      </c>
      <c r="AA24" s="295">
        <v>0.69213499999999994</v>
      </c>
      <c r="AB24" s="295">
        <v>0.68751499999999999</v>
      </c>
      <c r="AC24" s="295">
        <v>0.69492799999999999</v>
      </c>
      <c r="AD24" s="295">
        <v>0.69852599999999998</v>
      </c>
      <c r="AE24" s="295">
        <v>0.69977699999999998</v>
      </c>
      <c r="AF24" s="295">
        <v>0.70252899999999996</v>
      </c>
      <c r="AG24" s="295">
        <v>0.71085900000000002</v>
      </c>
      <c r="AH24" s="296">
        <v>1.232E-3</v>
      </c>
    </row>
    <row r="25" spans="1:34" ht="15" customHeight="1" x14ac:dyDescent="0.2">
      <c r="A25" s="213" t="s">
        <v>145</v>
      </c>
      <c r="B25" s="204" t="s">
        <v>146</v>
      </c>
      <c r="C25" s="205">
        <v>96.720061999999999</v>
      </c>
      <c r="D25" s="205">
        <v>97.436179999999993</v>
      </c>
      <c r="E25" s="205">
        <v>99.970473999999996</v>
      </c>
      <c r="F25" s="205">
        <v>103.151779</v>
      </c>
      <c r="G25" s="205">
        <v>105.223602</v>
      </c>
      <c r="H25" s="205">
        <v>106.98925800000001</v>
      </c>
      <c r="I25" s="205">
        <v>107.59509300000001</v>
      </c>
      <c r="J25" s="205">
        <v>107.90316799999999</v>
      </c>
      <c r="K25" s="205">
        <v>108.55465700000001</v>
      </c>
      <c r="L25" s="205">
        <v>109.10747499999999</v>
      </c>
      <c r="M25" s="205">
        <v>109.97045900000001</v>
      </c>
      <c r="N25" s="205">
        <v>110.495193</v>
      </c>
      <c r="O25" s="205">
        <v>110.714775</v>
      </c>
      <c r="P25" s="205">
        <v>111.17849699999999</v>
      </c>
      <c r="Q25" s="205">
        <v>111.530136</v>
      </c>
      <c r="R25" s="205">
        <v>111.61880499999999</v>
      </c>
      <c r="S25" s="205">
        <v>111.460869</v>
      </c>
      <c r="T25" s="205">
        <v>111.55242200000001</v>
      </c>
      <c r="U25" s="205">
        <v>111.666977</v>
      </c>
      <c r="V25" s="205">
        <v>111.86554700000001</v>
      </c>
      <c r="W25" s="205">
        <v>112.003212</v>
      </c>
      <c r="X25" s="205">
        <v>112.262596</v>
      </c>
      <c r="Y25" s="205">
        <v>112.937057</v>
      </c>
      <c r="Z25" s="205">
        <v>113.95059999999999</v>
      </c>
      <c r="AA25" s="205">
        <v>114.63314800000001</v>
      </c>
      <c r="AB25" s="205">
        <v>114.800888</v>
      </c>
      <c r="AC25" s="205">
        <v>115.41110999999999</v>
      </c>
      <c r="AD25" s="205">
        <v>116.051704</v>
      </c>
      <c r="AE25" s="205">
        <v>116.527382</v>
      </c>
      <c r="AF25" s="205">
        <v>116.994034</v>
      </c>
      <c r="AG25" s="205">
        <v>117.07530199999999</v>
      </c>
      <c r="AH25" s="206">
        <v>6.3870000000000003E-3</v>
      </c>
    </row>
    <row r="27" spans="1:34" ht="15" customHeight="1" x14ac:dyDescent="0.2">
      <c r="B27" s="204" t="s">
        <v>38</v>
      </c>
    </row>
    <row r="28" spans="1:34" ht="15" customHeight="1" x14ac:dyDescent="0.25">
      <c r="A28" s="213" t="s">
        <v>147</v>
      </c>
      <c r="B28" s="294" t="s">
        <v>148</v>
      </c>
      <c r="C28" s="295">
        <v>13.444065</v>
      </c>
      <c r="D28" s="295">
        <v>16.717638000000001</v>
      </c>
      <c r="E28" s="295">
        <v>17.248041000000001</v>
      </c>
      <c r="F28" s="295">
        <v>17.161712999999999</v>
      </c>
      <c r="G28" s="295">
        <v>17.318028999999999</v>
      </c>
      <c r="H28" s="295">
        <v>16.686088999999999</v>
      </c>
      <c r="I28" s="295">
        <v>16.738325</v>
      </c>
      <c r="J28" s="295">
        <v>16.077218999999999</v>
      </c>
      <c r="K28" s="295">
        <v>15.647995999999999</v>
      </c>
      <c r="L28" s="295">
        <v>16.006972999999999</v>
      </c>
      <c r="M28" s="295">
        <v>15.421912000000001</v>
      </c>
      <c r="N28" s="295">
        <v>15.674384999999999</v>
      </c>
      <c r="O28" s="295">
        <v>15.270527</v>
      </c>
      <c r="P28" s="295">
        <v>15.017766999999999</v>
      </c>
      <c r="Q28" s="295">
        <v>15.251607999999999</v>
      </c>
      <c r="R28" s="295">
        <v>15.529316</v>
      </c>
      <c r="S28" s="295">
        <v>16.121769</v>
      </c>
      <c r="T28" s="295">
        <v>16.298079000000001</v>
      </c>
      <c r="U28" s="295">
        <v>16.412962</v>
      </c>
      <c r="V28" s="295">
        <v>16.890526000000001</v>
      </c>
      <c r="W28" s="295">
        <v>16.680824000000001</v>
      </c>
      <c r="X28" s="295">
        <v>16.674723</v>
      </c>
      <c r="Y28" s="295">
        <v>16.816165999999999</v>
      </c>
      <c r="Z28" s="295">
        <v>16.438911000000001</v>
      </c>
      <c r="AA28" s="295">
        <v>16.153289999999998</v>
      </c>
      <c r="AB28" s="295">
        <v>16.185359999999999</v>
      </c>
      <c r="AC28" s="295">
        <v>15.944751</v>
      </c>
      <c r="AD28" s="295">
        <v>16.036000999999999</v>
      </c>
      <c r="AE28" s="295">
        <v>16.304767999999999</v>
      </c>
      <c r="AF28" s="295">
        <v>16.38036</v>
      </c>
      <c r="AG28" s="295">
        <v>17.022853999999999</v>
      </c>
      <c r="AH28" s="296">
        <v>7.8980000000000005E-3</v>
      </c>
    </row>
    <row r="29" spans="1:34" ht="15" customHeight="1" x14ac:dyDescent="0.25">
      <c r="A29" s="213" t="s">
        <v>149</v>
      </c>
      <c r="B29" s="294" t="s">
        <v>150</v>
      </c>
      <c r="C29" s="295">
        <v>4.1680479999999998</v>
      </c>
      <c r="D29" s="295">
        <v>4.3716910000000002</v>
      </c>
      <c r="E29" s="295">
        <v>4.160005</v>
      </c>
      <c r="F29" s="295">
        <v>4.1870390000000004</v>
      </c>
      <c r="G29" s="295">
        <v>4.1807889999999999</v>
      </c>
      <c r="H29" s="295">
        <v>4.1438220000000001</v>
      </c>
      <c r="I29" s="295">
        <v>4.1724620000000003</v>
      </c>
      <c r="J29" s="295">
        <v>4.0718030000000001</v>
      </c>
      <c r="K29" s="295">
        <v>3.9685350000000001</v>
      </c>
      <c r="L29" s="295">
        <v>3.8648639999999999</v>
      </c>
      <c r="M29" s="295">
        <v>3.8997700000000002</v>
      </c>
      <c r="N29" s="295">
        <v>3.8019229999999999</v>
      </c>
      <c r="O29" s="295">
        <v>3.7508940000000002</v>
      </c>
      <c r="P29" s="295">
        <v>3.7093759999999998</v>
      </c>
      <c r="Q29" s="295">
        <v>3.6916030000000002</v>
      </c>
      <c r="R29" s="295">
        <v>3.6743589999999999</v>
      </c>
      <c r="S29" s="295">
        <v>3.655491</v>
      </c>
      <c r="T29" s="295">
        <v>3.621194</v>
      </c>
      <c r="U29" s="295">
        <v>3.6207539999999998</v>
      </c>
      <c r="V29" s="295">
        <v>3.658703</v>
      </c>
      <c r="W29" s="295">
        <v>3.6642229999999998</v>
      </c>
      <c r="X29" s="295">
        <v>3.6410779999999998</v>
      </c>
      <c r="Y29" s="295">
        <v>3.6326149999999999</v>
      </c>
      <c r="Z29" s="295">
        <v>3.6713840000000002</v>
      </c>
      <c r="AA29" s="295">
        <v>3.6729829999999999</v>
      </c>
      <c r="AB29" s="295">
        <v>3.6832189999999998</v>
      </c>
      <c r="AC29" s="295">
        <v>3.6492819999999999</v>
      </c>
      <c r="AD29" s="295">
        <v>3.6793230000000001</v>
      </c>
      <c r="AE29" s="295">
        <v>3.745635</v>
      </c>
      <c r="AF29" s="295">
        <v>3.755995</v>
      </c>
      <c r="AG29" s="295">
        <v>3.6865730000000001</v>
      </c>
      <c r="AH29" s="296">
        <v>-4.0829999999999998E-3</v>
      </c>
    </row>
    <row r="30" spans="1:34" ht="15" customHeight="1" x14ac:dyDescent="0.25">
      <c r="A30" s="213" t="s">
        <v>151</v>
      </c>
      <c r="B30" s="294" t="s">
        <v>152</v>
      </c>
      <c r="C30" s="295">
        <v>2.6547350000000001</v>
      </c>
      <c r="D30" s="295">
        <v>2.7235420000000001</v>
      </c>
      <c r="E30" s="295">
        <v>2.731379</v>
      </c>
      <c r="F30" s="295">
        <v>2.5354589999999999</v>
      </c>
      <c r="G30" s="295">
        <v>2.412531</v>
      </c>
      <c r="H30" s="295">
        <v>2.5289160000000002</v>
      </c>
      <c r="I30" s="295">
        <v>2.6417259999999998</v>
      </c>
      <c r="J30" s="295">
        <v>2.553931</v>
      </c>
      <c r="K30" s="295">
        <v>2.4955539999999998</v>
      </c>
      <c r="L30" s="295">
        <v>2.399499</v>
      </c>
      <c r="M30" s="295">
        <v>2.2162099999999998</v>
      </c>
      <c r="N30" s="295">
        <v>2.222127</v>
      </c>
      <c r="O30" s="295">
        <v>2.1752850000000001</v>
      </c>
      <c r="P30" s="295">
        <v>2.0714480000000002</v>
      </c>
      <c r="Q30" s="295">
        <v>2.0657540000000001</v>
      </c>
      <c r="R30" s="295">
        <v>2.0795650000000001</v>
      </c>
      <c r="S30" s="295">
        <v>2.077264</v>
      </c>
      <c r="T30" s="295">
        <v>2.083555</v>
      </c>
      <c r="U30" s="295">
        <v>2.1008550000000001</v>
      </c>
      <c r="V30" s="295">
        <v>2.1009370000000001</v>
      </c>
      <c r="W30" s="295">
        <v>2.1026739999999999</v>
      </c>
      <c r="X30" s="295">
        <v>2.1014499999999998</v>
      </c>
      <c r="Y30" s="295">
        <v>2.0697260000000002</v>
      </c>
      <c r="Z30" s="295">
        <v>2.0489250000000001</v>
      </c>
      <c r="AA30" s="295">
        <v>2.012251</v>
      </c>
      <c r="AB30" s="295">
        <v>2.0013580000000002</v>
      </c>
      <c r="AC30" s="295">
        <v>1.9764619999999999</v>
      </c>
      <c r="AD30" s="295">
        <v>1.9630559999999999</v>
      </c>
      <c r="AE30" s="295">
        <v>1.9401889999999999</v>
      </c>
      <c r="AF30" s="295">
        <v>1.94312</v>
      </c>
      <c r="AG30" s="295">
        <v>1.920091</v>
      </c>
      <c r="AH30" s="296">
        <v>-1.0741000000000001E-2</v>
      </c>
    </row>
    <row r="31" spans="1:34" ht="15" customHeight="1" x14ac:dyDescent="0.25">
      <c r="A31" s="213" t="s">
        <v>153</v>
      </c>
      <c r="B31" s="294" t="s">
        <v>154</v>
      </c>
      <c r="C31" s="295">
        <v>0.23943300000000001</v>
      </c>
      <c r="D31" s="295">
        <v>0.24629999999999999</v>
      </c>
      <c r="E31" s="295">
        <v>0.15575700000000001</v>
      </c>
      <c r="F31" s="295">
        <v>0.14911199999999999</v>
      </c>
      <c r="G31" s="295">
        <v>0.16304199999999999</v>
      </c>
      <c r="H31" s="295">
        <v>0.154277</v>
      </c>
      <c r="I31" s="295">
        <v>0.15822800000000001</v>
      </c>
      <c r="J31" s="295">
        <v>0.17172399999999999</v>
      </c>
      <c r="K31" s="295">
        <v>0.17899000000000001</v>
      </c>
      <c r="L31" s="295">
        <v>0.176485</v>
      </c>
      <c r="M31" s="295">
        <v>0.18546399999999999</v>
      </c>
      <c r="N31" s="295">
        <v>0.175261</v>
      </c>
      <c r="O31" s="295">
        <v>0.184146</v>
      </c>
      <c r="P31" s="295">
        <v>0.18213099999999999</v>
      </c>
      <c r="Q31" s="295">
        <v>0.189913</v>
      </c>
      <c r="R31" s="295">
        <v>0.188059</v>
      </c>
      <c r="S31" s="295">
        <v>0.18949099999999999</v>
      </c>
      <c r="T31" s="295">
        <v>0.18700600000000001</v>
      </c>
      <c r="U31" s="295">
        <v>0.18579100000000001</v>
      </c>
      <c r="V31" s="295">
        <v>0.18656300000000001</v>
      </c>
      <c r="W31" s="295">
        <v>0.18410499999999999</v>
      </c>
      <c r="X31" s="295">
        <v>0.18097299999999999</v>
      </c>
      <c r="Y31" s="295">
        <v>0.17812900000000001</v>
      </c>
      <c r="Z31" s="295">
        <v>0.179119</v>
      </c>
      <c r="AA31" s="295">
        <v>0.18207599999999999</v>
      </c>
      <c r="AB31" s="295">
        <v>0.180173</v>
      </c>
      <c r="AC31" s="295">
        <v>0.17882600000000001</v>
      </c>
      <c r="AD31" s="295">
        <v>0.17751600000000001</v>
      </c>
      <c r="AE31" s="295">
        <v>0.17730599999999999</v>
      </c>
      <c r="AF31" s="295">
        <v>0.173098</v>
      </c>
      <c r="AG31" s="295">
        <v>0.17243900000000001</v>
      </c>
      <c r="AH31" s="296">
        <v>-1.0881E-2</v>
      </c>
    </row>
    <row r="32" spans="1:34" ht="15" customHeight="1" x14ac:dyDescent="0.2">
      <c r="A32" s="213" t="s">
        <v>155</v>
      </c>
      <c r="B32" s="204" t="s">
        <v>146</v>
      </c>
      <c r="C32" s="205">
        <v>20.506283</v>
      </c>
      <c r="D32" s="205">
        <v>24.059170000000002</v>
      </c>
      <c r="E32" s="205">
        <v>24.295180999999999</v>
      </c>
      <c r="F32" s="205">
        <v>24.033322999999999</v>
      </c>
      <c r="G32" s="205">
        <v>24.074390000000001</v>
      </c>
      <c r="H32" s="205">
        <v>23.513102</v>
      </c>
      <c r="I32" s="205">
        <v>23.710739</v>
      </c>
      <c r="J32" s="205">
        <v>22.874676000000001</v>
      </c>
      <c r="K32" s="205">
        <v>22.291077000000001</v>
      </c>
      <c r="L32" s="205">
        <v>22.447823</v>
      </c>
      <c r="M32" s="205">
        <v>21.723354</v>
      </c>
      <c r="N32" s="205">
        <v>21.873692999999999</v>
      </c>
      <c r="O32" s="205">
        <v>21.380853999999999</v>
      </c>
      <c r="P32" s="205">
        <v>20.980720999999999</v>
      </c>
      <c r="Q32" s="205">
        <v>21.198877</v>
      </c>
      <c r="R32" s="205">
        <v>21.471298000000001</v>
      </c>
      <c r="S32" s="205">
        <v>22.044015999999999</v>
      </c>
      <c r="T32" s="205">
        <v>22.189833</v>
      </c>
      <c r="U32" s="205">
        <v>22.320361999999999</v>
      </c>
      <c r="V32" s="205">
        <v>22.836728999999998</v>
      </c>
      <c r="W32" s="205">
        <v>22.631826</v>
      </c>
      <c r="X32" s="205">
        <v>22.598223000000001</v>
      </c>
      <c r="Y32" s="205">
        <v>22.696636000000002</v>
      </c>
      <c r="Z32" s="205">
        <v>22.338341</v>
      </c>
      <c r="AA32" s="205">
        <v>22.020599000000001</v>
      </c>
      <c r="AB32" s="205">
        <v>22.050111999999999</v>
      </c>
      <c r="AC32" s="205">
        <v>21.749319</v>
      </c>
      <c r="AD32" s="205">
        <v>21.855896000000001</v>
      </c>
      <c r="AE32" s="205">
        <v>22.167895999999999</v>
      </c>
      <c r="AF32" s="205">
        <v>22.252571</v>
      </c>
      <c r="AG32" s="205">
        <v>22.801957999999999</v>
      </c>
      <c r="AH32" s="206">
        <v>3.5430000000000001E-3</v>
      </c>
    </row>
    <row r="34" spans="1:34" ht="15" customHeight="1" x14ac:dyDescent="0.2">
      <c r="B34" s="204" t="s">
        <v>43</v>
      </c>
    </row>
    <row r="35" spans="1:34" ht="15" customHeight="1" x14ac:dyDescent="0.25">
      <c r="A35" s="213" t="s">
        <v>156</v>
      </c>
      <c r="B35" s="294" t="s">
        <v>157</v>
      </c>
      <c r="C35" s="295">
        <v>16.430902</v>
      </c>
      <c r="D35" s="295">
        <v>17.116541000000002</v>
      </c>
      <c r="E35" s="295">
        <v>18.477732</v>
      </c>
      <c r="F35" s="295">
        <v>20.111107000000001</v>
      </c>
      <c r="G35" s="295">
        <v>21.132919000000001</v>
      </c>
      <c r="H35" s="295">
        <v>21.38072</v>
      </c>
      <c r="I35" s="295">
        <v>21.967205</v>
      </c>
      <c r="J35" s="295">
        <v>21.543747</v>
      </c>
      <c r="K35" s="295">
        <v>21.305519</v>
      </c>
      <c r="L35" s="295">
        <v>21.683516999999998</v>
      </c>
      <c r="M35" s="295">
        <v>21.324262999999998</v>
      </c>
      <c r="N35" s="295">
        <v>21.586010000000002</v>
      </c>
      <c r="O35" s="295">
        <v>21.058119000000001</v>
      </c>
      <c r="P35" s="295">
        <v>20.948419999999999</v>
      </c>
      <c r="Q35" s="295">
        <v>21.159203999999999</v>
      </c>
      <c r="R35" s="295">
        <v>21.070436000000001</v>
      </c>
      <c r="S35" s="295">
        <v>21.133879</v>
      </c>
      <c r="T35" s="295">
        <v>20.962409999999998</v>
      </c>
      <c r="U35" s="295">
        <v>20.797433999999999</v>
      </c>
      <c r="V35" s="295">
        <v>21.126307000000001</v>
      </c>
      <c r="W35" s="295">
        <v>20.689105999999999</v>
      </c>
      <c r="X35" s="295">
        <v>20.448996000000001</v>
      </c>
      <c r="Y35" s="295">
        <v>20.547243000000002</v>
      </c>
      <c r="Z35" s="295">
        <v>20.479012000000001</v>
      </c>
      <c r="AA35" s="295">
        <v>20.208075000000001</v>
      </c>
      <c r="AB35" s="295">
        <v>19.810006999999999</v>
      </c>
      <c r="AC35" s="295">
        <v>19.459275999999999</v>
      </c>
      <c r="AD35" s="295">
        <v>19.500133999999999</v>
      </c>
      <c r="AE35" s="295">
        <v>19.502410999999999</v>
      </c>
      <c r="AF35" s="295">
        <v>19.270994000000002</v>
      </c>
      <c r="AG35" s="295">
        <v>19.042248000000001</v>
      </c>
      <c r="AH35" s="296">
        <v>4.9290000000000002E-3</v>
      </c>
    </row>
    <row r="36" spans="1:34" ht="15" customHeight="1" x14ac:dyDescent="0.25">
      <c r="A36" s="213" t="s">
        <v>158</v>
      </c>
      <c r="B36" s="294" t="s">
        <v>152</v>
      </c>
      <c r="C36" s="295">
        <v>5.3078810000000001</v>
      </c>
      <c r="D36" s="295">
        <v>6.3637430000000004</v>
      </c>
      <c r="E36" s="295">
        <v>6.5637249999999998</v>
      </c>
      <c r="F36" s="295">
        <v>6.7777130000000003</v>
      </c>
      <c r="G36" s="295">
        <v>7.2647110000000001</v>
      </c>
      <c r="H36" s="295">
        <v>7.8580120000000004</v>
      </c>
      <c r="I36" s="295">
        <v>8.2013649999999991</v>
      </c>
      <c r="J36" s="295">
        <v>8.23489</v>
      </c>
      <c r="K36" s="295">
        <v>8.4406440000000007</v>
      </c>
      <c r="L36" s="295">
        <v>8.6563619999999997</v>
      </c>
      <c r="M36" s="295">
        <v>8.929964</v>
      </c>
      <c r="N36" s="295">
        <v>9.0609249999999992</v>
      </c>
      <c r="O36" s="295">
        <v>9.0957570000000008</v>
      </c>
      <c r="P36" s="295">
        <v>9.1089719999999996</v>
      </c>
      <c r="Q36" s="295">
        <v>9.1260820000000002</v>
      </c>
      <c r="R36" s="295">
        <v>9.1382429999999992</v>
      </c>
      <c r="S36" s="295">
        <v>9.1726829999999993</v>
      </c>
      <c r="T36" s="295">
        <v>9.1679809999999993</v>
      </c>
      <c r="U36" s="295">
        <v>9.1778139999999997</v>
      </c>
      <c r="V36" s="295">
        <v>9.1918849999999992</v>
      </c>
      <c r="W36" s="295">
        <v>9.2263409999999997</v>
      </c>
      <c r="X36" s="295">
        <v>9.2161259999999992</v>
      </c>
      <c r="Y36" s="295">
        <v>9.2287499999999998</v>
      </c>
      <c r="Z36" s="295">
        <v>9.2466889999999999</v>
      </c>
      <c r="AA36" s="295">
        <v>9.2832919999999994</v>
      </c>
      <c r="AB36" s="295">
        <v>9.2829829999999998</v>
      </c>
      <c r="AC36" s="295">
        <v>9.3067320000000002</v>
      </c>
      <c r="AD36" s="295">
        <v>9.3270649999999993</v>
      </c>
      <c r="AE36" s="295">
        <v>9.3695120000000003</v>
      </c>
      <c r="AF36" s="295">
        <v>9.367388</v>
      </c>
      <c r="AG36" s="295">
        <v>9.3599730000000001</v>
      </c>
      <c r="AH36" s="296">
        <v>1.9088000000000001E-2</v>
      </c>
    </row>
    <row r="37" spans="1:34" ht="15" customHeight="1" x14ac:dyDescent="0.25">
      <c r="A37" s="213" t="s">
        <v>159</v>
      </c>
      <c r="B37" s="294" t="s">
        <v>160</v>
      </c>
      <c r="C37" s="295">
        <v>1.8138829999999999</v>
      </c>
      <c r="D37" s="295">
        <v>1.95567</v>
      </c>
      <c r="E37" s="295">
        <v>2.2624339999999998</v>
      </c>
      <c r="F37" s="295">
        <v>2.4960339999999999</v>
      </c>
      <c r="G37" s="295">
        <v>2.5178579999999999</v>
      </c>
      <c r="H37" s="295">
        <v>2.5232350000000001</v>
      </c>
      <c r="I37" s="295">
        <v>2.5343529999999999</v>
      </c>
      <c r="J37" s="295">
        <v>2.533531</v>
      </c>
      <c r="K37" s="295">
        <v>2.533604</v>
      </c>
      <c r="L37" s="295">
        <v>2.5020530000000001</v>
      </c>
      <c r="M37" s="295">
        <v>2.48231</v>
      </c>
      <c r="N37" s="295">
        <v>2.484524</v>
      </c>
      <c r="O37" s="295">
        <v>2.5312139999999999</v>
      </c>
      <c r="P37" s="295">
        <v>2.4807329999999999</v>
      </c>
      <c r="Q37" s="295">
        <v>2.4726409999999999</v>
      </c>
      <c r="R37" s="295">
        <v>2.507053</v>
      </c>
      <c r="S37" s="295">
        <v>2.4717319999999998</v>
      </c>
      <c r="T37" s="295">
        <v>2.4713319999999999</v>
      </c>
      <c r="U37" s="295">
        <v>2.4709680000000001</v>
      </c>
      <c r="V37" s="295">
        <v>2.4189029999999998</v>
      </c>
      <c r="W37" s="295">
        <v>2.4299919999999999</v>
      </c>
      <c r="X37" s="295">
        <v>2.412566</v>
      </c>
      <c r="Y37" s="295">
        <v>2.4123250000000001</v>
      </c>
      <c r="Z37" s="295">
        <v>2.412112</v>
      </c>
      <c r="AA37" s="295">
        <v>2.411924</v>
      </c>
      <c r="AB37" s="295">
        <v>2.411762</v>
      </c>
      <c r="AC37" s="295">
        <v>2.4116240000000002</v>
      </c>
      <c r="AD37" s="295">
        <v>2.4115090000000001</v>
      </c>
      <c r="AE37" s="295">
        <v>2.411416</v>
      </c>
      <c r="AF37" s="295">
        <v>2.411343</v>
      </c>
      <c r="AG37" s="295">
        <v>2.4508960000000002</v>
      </c>
      <c r="AH37" s="296">
        <v>1.0083E-2</v>
      </c>
    </row>
    <row r="38" spans="1:34" ht="15" customHeight="1" x14ac:dyDescent="0.2">
      <c r="A38" s="213" t="s">
        <v>161</v>
      </c>
      <c r="B38" s="204" t="s">
        <v>146</v>
      </c>
      <c r="C38" s="205">
        <v>23.552665999999999</v>
      </c>
      <c r="D38" s="205">
        <v>25.435953000000001</v>
      </c>
      <c r="E38" s="205">
        <v>27.303889999999999</v>
      </c>
      <c r="F38" s="205">
        <v>29.384855000000002</v>
      </c>
      <c r="G38" s="205">
        <v>30.915489000000001</v>
      </c>
      <c r="H38" s="205">
        <v>31.761966999999999</v>
      </c>
      <c r="I38" s="205">
        <v>32.702922999999998</v>
      </c>
      <c r="J38" s="205">
        <v>32.312168</v>
      </c>
      <c r="K38" s="205">
        <v>32.279766000000002</v>
      </c>
      <c r="L38" s="205">
        <v>32.841929999999998</v>
      </c>
      <c r="M38" s="205">
        <v>32.736538000000003</v>
      </c>
      <c r="N38" s="205">
        <v>33.131458000000002</v>
      </c>
      <c r="O38" s="205">
        <v>32.685088999999998</v>
      </c>
      <c r="P38" s="205">
        <v>32.538124000000003</v>
      </c>
      <c r="Q38" s="205">
        <v>32.757927000000002</v>
      </c>
      <c r="R38" s="205">
        <v>32.715733</v>
      </c>
      <c r="S38" s="205">
        <v>32.778294000000002</v>
      </c>
      <c r="T38" s="205">
        <v>32.601723</v>
      </c>
      <c r="U38" s="205">
        <v>32.446213</v>
      </c>
      <c r="V38" s="205">
        <v>32.737094999999997</v>
      </c>
      <c r="W38" s="205">
        <v>32.345440000000004</v>
      </c>
      <c r="X38" s="205">
        <v>32.077689999999997</v>
      </c>
      <c r="Y38" s="205">
        <v>32.188319999999997</v>
      </c>
      <c r="Z38" s="205">
        <v>32.137813999999999</v>
      </c>
      <c r="AA38" s="205">
        <v>31.903292</v>
      </c>
      <c r="AB38" s="205">
        <v>31.504753000000001</v>
      </c>
      <c r="AC38" s="205">
        <v>31.177633</v>
      </c>
      <c r="AD38" s="205">
        <v>31.238707000000002</v>
      </c>
      <c r="AE38" s="205">
        <v>31.283337</v>
      </c>
      <c r="AF38" s="205">
        <v>31.049724999999999</v>
      </c>
      <c r="AG38" s="205">
        <v>30.853117000000001</v>
      </c>
      <c r="AH38" s="206">
        <v>9.0410000000000004E-3</v>
      </c>
    </row>
    <row r="40" spans="1:34" ht="15" customHeight="1" x14ac:dyDescent="0.2">
      <c r="A40" s="213" t="s">
        <v>162</v>
      </c>
      <c r="B40" s="204" t="s">
        <v>163</v>
      </c>
      <c r="C40" s="205">
        <v>0.74946199999999996</v>
      </c>
      <c r="D40" s="205">
        <v>0.95758200000000004</v>
      </c>
      <c r="E40" s="205">
        <v>-4.7169000000000003E-2</v>
      </c>
      <c r="F40" s="205">
        <v>6.6002000000000005E-2</v>
      </c>
      <c r="G40" s="205">
        <v>0.17909600000000001</v>
      </c>
      <c r="H40" s="205">
        <v>0.29141600000000001</v>
      </c>
      <c r="I40" s="205">
        <v>0.40217199999999997</v>
      </c>
      <c r="J40" s="205">
        <v>0.37922699999999998</v>
      </c>
      <c r="K40" s="205">
        <v>0.38422800000000001</v>
      </c>
      <c r="L40" s="205">
        <v>0.38605899999999999</v>
      </c>
      <c r="M40" s="205">
        <v>0.39252500000000001</v>
      </c>
      <c r="N40" s="205">
        <v>0.39052999999999999</v>
      </c>
      <c r="O40" s="205">
        <v>0.39807900000000002</v>
      </c>
      <c r="P40" s="205">
        <v>0.37698399999999999</v>
      </c>
      <c r="Q40" s="205">
        <v>0.37384000000000001</v>
      </c>
      <c r="R40" s="205">
        <v>0.38117600000000001</v>
      </c>
      <c r="S40" s="205">
        <v>0.37659100000000001</v>
      </c>
      <c r="T40" s="205">
        <v>0.37722</v>
      </c>
      <c r="U40" s="205">
        <v>0.37488900000000003</v>
      </c>
      <c r="V40" s="205">
        <v>0.37643799999999999</v>
      </c>
      <c r="W40" s="205">
        <v>0.34775899999999998</v>
      </c>
      <c r="X40" s="205">
        <v>0.34921999999999997</v>
      </c>
      <c r="Y40" s="205">
        <v>0.35121200000000002</v>
      </c>
      <c r="Z40" s="205">
        <v>0.33974799999999999</v>
      </c>
      <c r="AA40" s="205">
        <v>0.33291399999999999</v>
      </c>
      <c r="AB40" s="205">
        <v>0.32709700000000003</v>
      </c>
      <c r="AC40" s="205">
        <v>0.31032599999999999</v>
      </c>
      <c r="AD40" s="205">
        <v>0.33223900000000001</v>
      </c>
      <c r="AE40" s="205">
        <v>0.34087400000000001</v>
      </c>
      <c r="AF40" s="205">
        <v>0.34318900000000002</v>
      </c>
      <c r="AG40" s="205">
        <v>0.360043</v>
      </c>
      <c r="AH40" s="206" t="s">
        <v>635</v>
      </c>
    </row>
    <row r="42" spans="1:34" ht="15" customHeight="1" x14ac:dyDescent="0.2">
      <c r="B42" s="204" t="s">
        <v>165</v>
      </c>
    </row>
    <row r="43" spans="1:34" ht="15" customHeight="1" x14ac:dyDescent="0.25">
      <c r="A43" s="213" t="s">
        <v>166</v>
      </c>
      <c r="B43" s="294" t="s">
        <v>167</v>
      </c>
      <c r="C43" s="295">
        <v>33.549446000000003</v>
      </c>
      <c r="D43" s="295">
        <v>35.556072</v>
      </c>
      <c r="E43" s="295">
        <v>36.490887000000001</v>
      </c>
      <c r="F43" s="295">
        <v>36.766998000000001</v>
      </c>
      <c r="G43" s="295">
        <v>36.894145999999999</v>
      </c>
      <c r="H43" s="295">
        <v>37.000061000000002</v>
      </c>
      <c r="I43" s="295">
        <v>36.995776999999997</v>
      </c>
      <c r="J43" s="295">
        <v>36.931938000000002</v>
      </c>
      <c r="K43" s="295">
        <v>36.903244000000001</v>
      </c>
      <c r="L43" s="295">
        <v>36.865226999999997</v>
      </c>
      <c r="M43" s="295">
        <v>36.883015</v>
      </c>
      <c r="N43" s="295">
        <v>36.874088</v>
      </c>
      <c r="O43" s="295">
        <v>36.873806000000002</v>
      </c>
      <c r="P43" s="295">
        <v>36.908507999999998</v>
      </c>
      <c r="Q43" s="295">
        <v>37.00029</v>
      </c>
      <c r="R43" s="295">
        <v>37.087257000000001</v>
      </c>
      <c r="S43" s="295">
        <v>37.147323999999998</v>
      </c>
      <c r="T43" s="295">
        <v>37.220711000000001</v>
      </c>
      <c r="U43" s="295">
        <v>37.286738999999997</v>
      </c>
      <c r="V43" s="295">
        <v>37.356689000000003</v>
      </c>
      <c r="W43" s="295">
        <v>37.385254000000003</v>
      </c>
      <c r="X43" s="295">
        <v>37.487338999999999</v>
      </c>
      <c r="Y43" s="295">
        <v>37.630794999999999</v>
      </c>
      <c r="Z43" s="295">
        <v>37.787616999999997</v>
      </c>
      <c r="AA43" s="295">
        <v>37.936050000000002</v>
      </c>
      <c r="AB43" s="295">
        <v>38.120131999999998</v>
      </c>
      <c r="AC43" s="295">
        <v>38.264538000000002</v>
      </c>
      <c r="AD43" s="295">
        <v>38.431533999999999</v>
      </c>
      <c r="AE43" s="295">
        <v>38.625594999999997</v>
      </c>
      <c r="AF43" s="295">
        <v>38.846153000000001</v>
      </c>
      <c r="AG43" s="295">
        <v>39.076946</v>
      </c>
      <c r="AH43" s="296">
        <v>5.097E-3</v>
      </c>
    </row>
    <row r="44" spans="1:34" ht="15" customHeight="1" x14ac:dyDescent="0.25">
      <c r="A44" s="213" t="s">
        <v>168</v>
      </c>
      <c r="B44" s="294" t="s">
        <v>152</v>
      </c>
      <c r="C44" s="295">
        <v>31.894480000000001</v>
      </c>
      <c r="D44" s="295">
        <v>30.043800000000001</v>
      </c>
      <c r="E44" s="295">
        <v>30.213411000000001</v>
      </c>
      <c r="F44" s="295">
        <v>30.970762000000001</v>
      </c>
      <c r="G44" s="295">
        <v>31.211485</v>
      </c>
      <c r="H44" s="295">
        <v>31.956126999999999</v>
      </c>
      <c r="I44" s="295">
        <v>32.264912000000002</v>
      </c>
      <c r="J44" s="295">
        <v>32.282093000000003</v>
      </c>
      <c r="K44" s="295">
        <v>32.177483000000002</v>
      </c>
      <c r="L44" s="295">
        <v>32.231200999999999</v>
      </c>
      <c r="M44" s="295">
        <v>32.117640999999999</v>
      </c>
      <c r="N44" s="295">
        <v>32.271861999999999</v>
      </c>
      <c r="O44" s="295">
        <v>32.338593000000003</v>
      </c>
      <c r="P44" s="295">
        <v>32.414223</v>
      </c>
      <c r="Q44" s="295">
        <v>32.550209000000002</v>
      </c>
      <c r="R44" s="295">
        <v>32.548499999999997</v>
      </c>
      <c r="S44" s="295">
        <v>32.685020000000002</v>
      </c>
      <c r="T44" s="295">
        <v>32.916870000000003</v>
      </c>
      <c r="U44" s="295">
        <v>33.235233000000001</v>
      </c>
      <c r="V44" s="295">
        <v>33.544769000000002</v>
      </c>
      <c r="W44" s="295">
        <v>33.862040999999998</v>
      </c>
      <c r="X44" s="295">
        <v>34.064017999999997</v>
      </c>
      <c r="Y44" s="295">
        <v>34.412781000000003</v>
      </c>
      <c r="Z44" s="295">
        <v>34.825248999999999</v>
      </c>
      <c r="AA44" s="295">
        <v>35.127544</v>
      </c>
      <c r="AB44" s="295">
        <v>35.376922999999998</v>
      </c>
      <c r="AC44" s="295">
        <v>35.608372000000003</v>
      </c>
      <c r="AD44" s="295">
        <v>35.830390999999999</v>
      </c>
      <c r="AE44" s="295">
        <v>36.098427000000001</v>
      </c>
      <c r="AF44" s="295">
        <v>36.369923</v>
      </c>
      <c r="AG44" s="295">
        <v>36.697468000000001</v>
      </c>
      <c r="AH44" s="296">
        <v>4.6870000000000002E-3</v>
      </c>
    </row>
    <row r="45" spans="1:34" ht="15" customHeight="1" x14ac:dyDescent="0.25">
      <c r="A45" s="213" t="s">
        <v>169</v>
      </c>
      <c r="B45" s="294" t="s">
        <v>170</v>
      </c>
      <c r="C45" s="295">
        <v>8.9876520000000006</v>
      </c>
      <c r="D45" s="295">
        <v>10.624501</v>
      </c>
      <c r="E45" s="295">
        <v>11.152017000000001</v>
      </c>
      <c r="F45" s="295">
        <v>9.8249449999999996</v>
      </c>
      <c r="G45" s="295">
        <v>8.8436199999999996</v>
      </c>
      <c r="H45" s="295">
        <v>7.8150639999999996</v>
      </c>
      <c r="I45" s="295">
        <v>7.9708589999999999</v>
      </c>
      <c r="J45" s="295">
        <v>7.7052120000000004</v>
      </c>
      <c r="K45" s="295">
        <v>7.7320409999999997</v>
      </c>
      <c r="L45" s="295">
        <v>7.719214</v>
      </c>
      <c r="M45" s="295">
        <v>7.6135979999999996</v>
      </c>
      <c r="N45" s="295">
        <v>7.4842890000000004</v>
      </c>
      <c r="O45" s="295">
        <v>7.3547409999999998</v>
      </c>
      <c r="P45" s="295">
        <v>7.3276139999999996</v>
      </c>
      <c r="Q45" s="295">
        <v>7.3069639999999998</v>
      </c>
      <c r="R45" s="295">
        <v>7.1619409999999997</v>
      </c>
      <c r="S45" s="295">
        <v>7.1475609999999996</v>
      </c>
      <c r="T45" s="295">
        <v>7.0599059999999998</v>
      </c>
      <c r="U45" s="295">
        <v>6.8873290000000003</v>
      </c>
      <c r="V45" s="295">
        <v>6.8358860000000004</v>
      </c>
      <c r="W45" s="295">
        <v>6.8118869999999996</v>
      </c>
      <c r="X45" s="295">
        <v>6.7781650000000004</v>
      </c>
      <c r="Y45" s="295">
        <v>6.797472</v>
      </c>
      <c r="Z45" s="295">
        <v>6.7461359999999999</v>
      </c>
      <c r="AA45" s="295">
        <v>6.7068250000000003</v>
      </c>
      <c r="AB45" s="295">
        <v>6.5868370000000001</v>
      </c>
      <c r="AC45" s="295">
        <v>6.5609149999999996</v>
      </c>
      <c r="AD45" s="295">
        <v>6.5514799999999997</v>
      </c>
      <c r="AE45" s="295">
        <v>6.5866699999999998</v>
      </c>
      <c r="AF45" s="295">
        <v>6.6096029999999999</v>
      </c>
      <c r="AG45" s="295">
        <v>6.6021679999999998</v>
      </c>
      <c r="AH45" s="296">
        <v>-1.0229E-2</v>
      </c>
    </row>
    <row r="46" spans="1:34" ht="15" customHeight="1" x14ac:dyDescent="0.25">
      <c r="A46" s="213" t="s">
        <v>171</v>
      </c>
      <c r="B46" s="294" t="s">
        <v>136</v>
      </c>
      <c r="C46" s="295">
        <v>8.2053379999999994</v>
      </c>
      <c r="D46" s="295">
        <v>7.9521930000000003</v>
      </c>
      <c r="E46" s="295">
        <v>7.7023359999999998</v>
      </c>
      <c r="F46" s="295">
        <v>7.8394539999999999</v>
      </c>
      <c r="G46" s="295">
        <v>7.8721709999999998</v>
      </c>
      <c r="H46" s="295">
        <v>7.7886559999999996</v>
      </c>
      <c r="I46" s="295">
        <v>6.8895980000000003</v>
      </c>
      <c r="J46" s="295">
        <v>6.742038</v>
      </c>
      <c r="K46" s="295">
        <v>6.7456670000000001</v>
      </c>
      <c r="L46" s="295">
        <v>6.5818890000000003</v>
      </c>
      <c r="M46" s="295">
        <v>6.5897199999999998</v>
      </c>
      <c r="N46" s="295">
        <v>6.6018720000000002</v>
      </c>
      <c r="O46" s="295">
        <v>6.6107250000000004</v>
      </c>
      <c r="P46" s="295">
        <v>6.5300070000000003</v>
      </c>
      <c r="Q46" s="295">
        <v>6.3550139999999997</v>
      </c>
      <c r="R46" s="295">
        <v>6.3697049999999997</v>
      </c>
      <c r="S46" s="295">
        <v>6.301876</v>
      </c>
      <c r="T46" s="295">
        <v>6.3040830000000003</v>
      </c>
      <c r="U46" s="295">
        <v>6.3062860000000001</v>
      </c>
      <c r="V46" s="295">
        <v>6.3062860000000001</v>
      </c>
      <c r="W46" s="295">
        <v>6.2189899999999998</v>
      </c>
      <c r="X46" s="295">
        <v>6.232081</v>
      </c>
      <c r="Y46" s="295">
        <v>6.241549</v>
      </c>
      <c r="Z46" s="295">
        <v>6.2506820000000003</v>
      </c>
      <c r="AA46" s="295">
        <v>6.2585800000000003</v>
      </c>
      <c r="AB46" s="295">
        <v>6.2671380000000001</v>
      </c>
      <c r="AC46" s="295">
        <v>6.2715930000000002</v>
      </c>
      <c r="AD46" s="295">
        <v>6.1951790000000004</v>
      </c>
      <c r="AE46" s="295">
        <v>6.197953</v>
      </c>
      <c r="AF46" s="295">
        <v>6.2013059999999998</v>
      </c>
      <c r="AG46" s="295">
        <v>6.2061510000000002</v>
      </c>
      <c r="AH46" s="296">
        <v>-9.2650000000000007E-3</v>
      </c>
    </row>
    <row r="47" spans="1:34" ht="15" customHeight="1" x14ac:dyDescent="0.25">
      <c r="A47" s="213" t="s">
        <v>172</v>
      </c>
      <c r="B47" s="294" t="s">
        <v>138</v>
      </c>
      <c r="C47" s="295">
        <v>2.534411</v>
      </c>
      <c r="D47" s="295">
        <v>2.4826380000000001</v>
      </c>
      <c r="E47" s="295">
        <v>2.5643180000000001</v>
      </c>
      <c r="F47" s="295">
        <v>2.6349200000000002</v>
      </c>
      <c r="G47" s="295">
        <v>2.5740500000000002</v>
      </c>
      <c r="H47" s="295">
        <v>2.5420980000000002</v>
      </c>
      <c r="I47" s="295">
        <v>2.470024</v>
      </c>
      <c r="J47" s="295">
        <v>2.453376</v>
      </c>
      <c r="K47" s="295">
        <v>2.4351470000000002</v>
      </c>
      <c r="L47" s="295">
        <v>2.4319229999999998</v>
      </c>
      <c r="M47" s="295">
        <v>2.4272170000000002</v>
      </c>
      <c r="N47" s="295">
        <v>2.4245009999999998</v>
      </c>
      <c r="O47" s="295">
        <v>2.4136000000000002</v>
      </c>
      <c r="P47" s="295">
        <v>2.4049689999999999</v>
      </c>
      <c r="Q47" s="295">
        <v>2.3993850000000001</v>
      </c>
      <c r="R47" s="295">
        <v>2.3948390000000002</v>
      </c>
      <c r="S47" s="295">
        <v>2.3885049999999999</v>
      </c>
      <c r="T47" s="295">
        <v>2.3842129999999999</v>
      </c>
      <c r="U47" s="295">
        <v>2.3756080000000002</v>
      </c>
      <c r="V47" s="295">
        <v>2.3628269999999998</v>
      </c>
      <c r="W47" s="295">
        <v>2.3550469999999999</v>
      </c>
      <c r="X47" s="295">
        <v>2.3482159999999999</v>
      </c>
      <c r="Y47" s="295">
        <v>2.3421569999999998</v>
      </c>
      <c r="Z47" s="295">
        <v>2.3377150000000002</v>
      </c>
      <c r="AA47" s="295">
        <v>2.3251590000000002</v>
      </c>
      <c r="AB47" s="295">
        <v>2.3202970000000001</v>
      </c>
      <c r="AC47" s="295">
        <v>2.311928</v>
      </c>
      <c r="AD47" s="295">
        <v>2.3078069999999999</v>
      </c>
      <c r="AE47" s="295">
        <v>2.3054860000000001</v>
      </c>
      <c r="AF47" s="295">
        <v>2.301498</v>
      </c>
      <c r="AG47" s="295">
        <v>2.2946719999999998</v>
      </c>
      <c r="AH47" s="296">
        <v>-3.307E-3</v>
      </c>
    </row>
    <row r="48" spans="1:34" ht="15" customHeight="1" x14ac:dyDescent="0.25">
      <c r="A48" s="213" t="s">
        <v>173</v>
      </c>
      <c r="B48" s="294" t="s">
        <v>174</v>
      </c>
      <c r="C48" s="295">
        <v>3.052451</v>
      </c>
      <c r="D48" s="295">
        <v>3.0264139999999999</v>
      </c>
      <c r="E48" s="295">
        <v>3.0491269999999999</v>
      </c>
      <c r="F48" s="295">
        <v>3.0646990000000001</v>
      </c>
      <c r="G48" s="295">
        <v>3.0819329999999998</v>
      </c>
      <c r="H48" s="295">
        <v>3.101318</v>
      </c>
      <c r="I48" s="295">
        <v>3.1107559999999999</v>
      </c>
      <c r="J48" s="295">
        <v>3.1154489999999999</v>
      </c>
      <c r="K48" s="295">
        <v>3.1084870000000002</v>
      </c>
      <c r="L48" s="295">
        <v>3.106789</v>
      </c>
      <c r="M48" s="295">
        <v>3.1182889999999999</v>
      </c>
      <c r="N48" s="295">
        <v>3.1337480000000002</v>
      </c>
      <c r="O48" s="295">
        <v>3.1349360000000002</v>
      </c>
      <c r="P48" s="295">
        <v>3.1417320000000002</v>
      </c>
      <c r="Q48" s="295">
        <v>3.1411579999999999</v>
      </c>
      <c r="R48" s="295">
        <v>3.1469170000000002</v>
      </c>
      <c r="S48" s="295">
        <v>3.1482950000000001</v>
      </c>
      <c r="T48" s="295">
        <v>3.1505429999999999</v>
      </c>
      <c r="U48" s="295">
        <v>3.1600389999999998</v>
      </c>
      <c r="V48" s="295">
        <v>3.1669839999999998</v>
      </c>
      <c r="W48" s="295">
        <v>3.1770139999999998</v>
      </c>
      <c r="X48" s="295">
        <v>3.1910289999999999</v>
      </c>
      <c r="Y48" s="295">
        <v>3.208736</v>
      </c>
      <c r="Z48" s="295">
        <v>3.2286220000000001</v>
      </c>
      <c r="AA48" s="295">
        <v>3.249727</v>
      </c>
      <c r="AB48" s="295">
        <v>3.2755320000000001</v>
      </c>
      <c r="AC48" s="295">
        <v>3.2923619999999998</v>
      </c>
      <c r="AD48" s="295">
        <v>3.3263699999999998</v>
      </c>
      <c r="AE48" s="295">
        <v>3.3498079999999999</v>
      </c>
      <c r="AF48" s="295">
        <v>3.3763999999999998</v>
      </c>
      <c r="AG48" s="295">
        <v>3.4040900000000001</v>
      </c>
      <c r="AH48" s="296">
        <v>3.6410000000000001E-3</v>
      </c>
    </row>
    <row r="49" spans="1:34" ht="15" customHeight="1" x14ac:dyDescent="0.25">
      <c r="A49" s="213" t="s">
        <v>175</v>
      </c>
      <c r="B49" s="294" t="s">
        <v>142</v>
      </c>
      <c r="C49" s="295">
        <v>4.4260960000000003</v>
      </c>
      <c r="D49" s="295">
        <v>5.1346569999999998</v>
      </c>
      <c r="E49" s="295">
        <v>5.5661149999999999</v>
      </c>
      <c r="F49" s="295">
        <v>6.3668800000000001</v>
      </c>
      <c r="G49" s="295">
        <v>7.4535580000000001</v>
      </c>
      <c r="H49" s="295">
        <v>7.9824849999999996</v>
      </c>
      <c r="I49" s="295">
        <v>8.2312250000000002</v>
      </c>
      <c r="J49" s="295">
        <v>8.5751600000000003</v>
      </c>
      <c r="K49" s="295">
        <v>8.7909480000000002</v>
      </c>
      <c r="L49" s="295">
        <v>9.1047930000000008</v>
      </c>
      <c r="M49" s="295">
        <v>9.5199949999999998</v>
      </c>
      <c r="N49" s="295">
        <v>9.7714110000000005</v>
      </c>
      <c r="O49" s="295">
        <v>9.9918110000000002</v>
      </c>
      <c r="P49" s="295">
        <v>10.224599</v>
      </c>
      <c r="Q49" s="295">
        <v>10.543778</v>
      </c>
      <c r="R49" s="295">
        <v>10.985343</v>
      </c>
      <c r="S49" s="295">
        <v>11.237375999999999</v>
      </c>
      <c r="T49" s="295">
        <v>11.435293</v>
      </c>
      <c r="U49" s="295">
        <v>11.624606999999999</v>
      </c>
      <c r="V49" s="295">
        <v>11.724011000000001</v>
      </c>
      <c r="W49" s="295">
        <v>11.842293</v>
      </c>
      <c r="X49" s="295">
        <v>12.046887</v>
      </c>
      <c r="Y49" s="295">
        <v>12.177580000000001</v>
      </c>
      <c r="Z49" s="295">
        <v>12.353426000000001</v>
      </c>
      <c r="AA49" s="295">
        <v>12.532876</v>
      </c>
      <c r="AB49" s="295">
        <v>12.793443</v>
      </c>
      <c r="AC49" s="295">
        <v>13.085091</v>
      </c>
      <c r="AD49" s="295">
        <v>13.417382</v>
      </c>
      <c r="AE49" s="295">
        <v>13.63086</v>
      </c>
      <c r="AF49" s="295">
        <v>13.876656000000001</v>
      </c>
      <c r="AG49" s="295">
        <v>14.111439000000001</v>
      </c>
      <c r="AH49" s="296">
        <v>3.9405000000000003E-2</v>
      </c>
    </row>
    <row r="50" spans="1:34" ht="15" customHeight="1" x14ac:dyDescent="0.25">
      <c r="A50" s="213" t="s">
        <v>176</v>
      </c>
      <c r="B50" s="294" t="s">
        <v>177</v>
      </c>
      <c r="C50" s="295">
        <v>0.27434199999999997</v>
      </c>
      <c r="D50" s="295">
        <v>0.28154099999999999</v>
      </c>
      <c r="E50" s="295">
        <v>0.27072099999999999</v>
      </c>
      <c r="F50" s="295">
        <v>0.26558500000000002</v>
      </c>
      <c r="G50" s="295">
        <v>0.27244200000000002</v>
      </c>
      <c r="H50" s="295">
        <v>0.26316000000000001</v>
      </c>
      <c r="I50" s="295">
        <v>0.26759500000000003</v>
      </c>
      <c r="J50" s="295">
        <v>0.28118300000000002</v>
      </c>
      <c r="K50" s="295">
        <v>0.28872199999999998</v>
      </c>
      <c r="L50" s="295">
        <v>0.286275</v>
      </c>
      <c r="M50" s="295">
        <v>0.29527500000000001</v>
      </c>
      <c r="N50" s="295">
        <v>0.28512300000000002</v>
      </c>
      <c r="O50" s="295">
        <v>0.294242</v>
      </c>
      <c r="P50" s="295">
        <v>0.29245700000000002</v>
      </c>
      <c r="Q50" s="295">
        <v>0.30045500000000003</v>
      </c>
      <c r="R50" s="295">
        <v>0.29869499999999999</v>
      </c>
      <c r="S50" s="295">
        <v>0.29404799999999998</v>
      </c>
      <c r="T50" s="295">
        <v>0.29168899999999998</v>
      </c>
      <c r="U50" s="295">
        <v>0.29038799999999998</v>
      </c>
      <c r="V50" s="295">
        <v>0.291298</v>
      </c>
      <c r="W50" s="295">
        <v>0.28930400000000001</v>
      </c>
      <c r="X50" s="295">
        <v>0.28616000000000003</v>
      </c>
      <c r="Y50" s="295">
        <v>0.28309699999999999</v>
      </c>
      <c r="Z50" s="295">
        <v>0.28192800000000001</v>
      </c>
      <c r="AA50" s="295">
        <v>0.280777</v>
      </c>
      <c r="AB50" s="295">
        <v>0.27884900000000001</v>
      </c>
      <c r="AC50" s="295">
        <v>0.27767700000000001</v>
      </c>
      <c r="AD50" s="295">
        <v>0.27650200000000003</v>
      </c>
      <c r="AE50" s="295">
        <v>0.27626600000000001</v>
      </c>
      <c r="AF50" s="295">
        <v>0.272144</v>
      </c>
      <c r="AG50" s="295">
        <v>0.27116800000000002</v>
      </c>
      <c r="AH50" s="296">
        <v>-3.88E-4</v>
      </c>
    </row>
    <row r="51" spans="1:34" ht="15" customHeight="1" x14ac:dyDescent="0.2">
      <c r="A51" s="213" t="s">
        <v>178</v>
      </c>
      <c r="B51" s="204" t="s">
        <v>179</v>
      </c>
      <c r="C51" s="205">
        <v>92.924216999999999</v>
      </c>
      <c r="D51" s="205">
        <v>95.101814000000005</v>
      </c>
      <c r="E51" s="205">
        <v>97.008933999999996</v>
      </c>
      <c r="F51" s="205">
        <v>97.734245000000001</v>
      </c>
      <c r="G51" s="205">
        <v>98.203406999999999</v>
      </c>
      <c r="H51" s="205">
        <v>98.448975000000004</v>
      </c>
      <c r="I51" s="205">
        <v>98.200737000000004</v>
      </c>
      <c r="J51" s="205">
        <v>98.086449000000002</v>
      </c>
      <c r="K51" s="205">
        <v>98.181740000000005</v>
      </c>
      <c r="L51" s="205">
        <v>98.327309</v>
      </c>
      <c r="M51" s="205">
        <v>98.564751000000001</v>
      </c>
      <c r="N51" s="205">
        <v>98.846901000000003</v>
      </c>
      <c r="O51" s="205">
        <v>99.012459000000007</v>
      </c>
      <c r="P51" s="205">
        <v>99.244110000000006</v>
      </c>
      <c r="Q51" s="205">
        <v>99.597244000000003</v>
      </c>
      <c r="R51" s="205">
        <v>99.993195</v>
      </c>
      <c r="S51" s="205">
        <v>100.349998</v>
      </c>
      <c r="T51" s="205">
        <v>100.763313</v>
      </c>
      <c r="U51" s="205">
        <v>101.166237</v>
      </c>
      <c r="V51" s="205">
        <v>101.588745</v>
      </c>
      <c r="W51" s="205">
        <v>101.941841</v>
      </c>
      <c r="X51" s="205">
        <v>102.433907</v>
      </c>
      <c r="Y51" s="205">
        <v>103.094162</v>
      </c>
      <c r="Z51" s="205">
        <v>103.811378</v>
      </c>
      <c r="AA51" s="205">
        <v>104.417542</v>
      </c>
      <c r="AB51" s="205">
        <v>105.01915</v>
      </c>
      <c r="AC51" s="205">
        <v>105.67247</v>
      </c>
      <c r="AD51" s="205">
        <v>106.33665499999999</v>
      </c>
      <c r="AE51" s="205">
        <v>107.071068</v>
      </c>
      <c r="AF51" s="205">
        <v>107.853691</v>
      </c>
      <c r="AG51" s="205">
        <v>108.664101</v>
      </c>
      <c r="AH51" s="206">
        <v>5.2300000000000003E-3</v>
      </c>
    </row>
    <row r="53" spans="1:34" ht="15" customHeight="1" x14ac:dyDescent="0.2">
      <c r="B53" s="204" t="s">
        <v>1029</v>
      </c>
    </row>
    <row r="54" spans="1:34" ht="15" customHeight="1" x14ac:dyDescent="0.25">
      <c r="A54" s="213" t="s">
        <v>180</v>
      </c>
      <c r="B54" s="294" t="s">
        <v>181</v>
      </c>
      <c r="C54" s="297">
        <v>41.186000999999997</v>
      </c>
      <c r="D54" s="297">
        <v>46.575744999999998</v>
      </c>
      <c r="E54" s="297">
        <v>49.829048</v>
      </c>
      <c r="F54" s="297">
        <v>54.863232000000004</v>
      </c>
      <c r="G54" s="297">
        <v>58.333694000000001</v>
      </c>
      <c r="H54" s="297">
        <v>61.118706000000003</v>
      </c>
      <c r="I54" s="297">
        <v>64.106987000000004</v>
      </c>
      <c r="J54" s="297">
        <v>66.325333000000001</v>
      </c>
      <c r="K54" s="297">
        <v>68.645477</v>
      </c>
      <c r="L54" s="297">
        <v>70.636725999999996</v>
      </c>
      <c r="M54" s="297">
        <v>72.755272000000005</v>
      </c>
      <c r="N54" s="297">
        <v>74.340941999999998</v>
      </c>
      <c r="O54" s="297">
        <v>76.379615999999999</v>
      </c>
      <c r="P54" s="297">
        <v>77.591339000000005</v>
      </c>
      <c r="Q54" s="297">
        <v>78.843818999999996</v>
      </c>
      <c r="R54" s="297">
        <v>79.671036000000001</v>
      </c>
      <c r="S54" s="297">
        <v>81.085555999999997</v>
      </c>
      <c r="T54" s="297">
        <v>82.694901000000002</v>
      </c>
      <c r="U54" s="297">
        <v>84.245116999999993</v>
      </c>
      <c r="V54" s="297">
        <v>84.549728000000002</v>
      </c>
      <c r="W54" s="297">
        <v>87.0989</v>
      </c>
      <c r="X54" s="297">
        <v>88.644592000000003</v>
      </c>
      <c r="Y54" s="297">
        <v>89.546081999999998</v>
      </c>
      <c r="Z54" s="297">
        <v>91.114470999999995</v>
      </c>
      <c r="AA54" s="297">
        <v>92.075562000000005</v>
      </c>
      <c r="AB54" s="297">
        <v>91.421554999999998</v>
      </c>
      <c r="AC54" s="297">
        <v>93.303398000000001</v>
      </c>
      <c r="AD54" s="297">
        <v>94.161773999999994</v>
      </c>
      <c r="AE54" s="297">
        <v>94.436706999999998</v>
      </c>
      <c r="AF54" s="297">
        <v>94.737694000000005</v>
      </c>
      <c r="AG54" s="297">
        <v>94.969657999999995</v>
      </c>
      <c r="AH54" s="296">
        <v>2.8240000000000001E-2</v>
      </c>
    </row>
    <row r="55" spans="1:34" ht="15" customHeight="1" x14ac:dyDescent="0.25">
      <c r="A55" s="213" t="s">
        <v>182</v>
      </c>
      <c r="B55" s="294" t="s">
        <v>183</v>
      </c>
      <c r="C55" s="297">
        <v>38.757998999999998</v>
      </c>
      <c r="D55" s="297">
        <v>44.253239000000001</v>
      </c>
      <c r="E55" s="297">
        <v>47.826709999999999</v>
      </c>
      <c r="F55" s="297">
        <v>53.140025999999999</v>
      </c>
      <c r="G55" s="297">
        <v>56.451301999999998</v>
      </c>
      <c r="H55" s="297">
        <v>59.299430999999998</v>
      </c>
      <c r="I55" s="297">
        <v>61.308624000000002</v>
      </c>
      <c r="J55" s="297">
        <v>63.758602000000003</v>
      </c>
      <c r="K55" s="297">
        <v>66.352974000000003</v>
      </c>
      <c r="L55" s="297">
        <v>68.132957000000005</v>
      </c>
      <c r="M55" s="297">
        <v>70.560135000000002</v>
      </c>
      <c r="N55" s="297">
        <v>72.098708999999999</v>
      </c>
      <c r="O55" s="297">
        <v>73.809844999999996</v>
      </c>
      <c r="P55" s="297">
        <v>74.862647999999993</v>
      </c>
      <c r="Q55" s="297">
        <v>75.879065999999995</v>
      </c>
      <c r="R55" s="297">
        <v>76.780379999999994</v>
      </c>
      <c r="S55" s="297">
        <v>78.140563999999998</v>
      </c>
      <c r="T55" s="297">
        <v>79.543839000000006</v>
      </c>
      <c r="U55" s="297">
        <v>81.167229000000006</v>
      </c>
      <c r="V55" s="297">
        <v>81.503058999999993</v>
      </c>
      <c r="W55" s="297">
        <v>84.234488999999996</v>
      </c>
      <c r="X55" s="297">
        <v>85.819237000000001</v>
      </c>
      <c r="Y55" s="297">
        <v>86.814887999999996</v>
      </c>
      <c r="Z55" s="297">
        <v>88.076590999999993</v>
      </c>
      <c r="AA55" s="297">
        <v>88.816047999999995</v>
      </c>
      <c r="AB55" s="297">
        <v>87.537407000000002</v>
      </c>
      <c r="AC55" s="297">
        <v>90.181586999999993</v>
      </c>
      <c r="AD55" s="297">
        <v>90.933395000000004</v>
      </c>
      <c r="AE55" s="297">
        <v>90.700355999999999</v>
      </c>
      <c r="AF55" s="297">
        <v>90.679489000000004</v>
      </c>
      <c r="AG55" s="297">
        <v>91.126609999999999</v>
      </c>
      <c r="AH55" s="296">
        <v>2.8906999999999999E-2</v>
      </c>
    </row>
    <row r="56" spans="1:34" ht="15" customHeight="1" x14ac:dyDescent="0.25">
      <c r="A56" s="213" t="s">
        <v>184</v>
      </c>
      <c r="B56" s="294" t="s">
        <v>185</v>
      </c>
      <c r="C56" s="295">
        <v>2.0664720000000001</v>
      </c>
      <c r="D56" s="295">
        <v>3.10073</v>
      </c>
      <c r="E56" s="295">
        <v>3.2256840000000002</v>
      </c>
      <c r="F56" s="295">
        <v>2.992324</v>
      </c>
      <c r="G56" s="295">
        <v>2.8017919999999998</v>
      </c>
      <c r="H56" s="295">
        <v>2.8803239999999999</v>
      </c>
      <c r="I56" s="295">
        <v>2.9843310000000001</v>
      </c>
      <c r="J56" s="295">
        <v>3.042141</v>
      </c>
      <c r="K56" s="295">
        <v>3.1755100000000001</v>
      </c>
      <c r="L56" s="295">
        <v>3.2906309999999999</v>
      </c>
      <c r="M56" s="295">
        <v>3.3439549999999998</v>
      </c>
      <c r="N56" s="295">
        <v>3.3584839999999998</v>
      </c>
      <c r="O56" s="295">
        <v>3.4230429999999998</v>
      </c>
      <c r="P56" s="295">
        <v>3.4872100000000001</v>
      </c>
      <c r="Q56" s="295">
        <v>3.5170400000000002</v>
      </c>
      <c r="R56" s="295">
        <v>3.5326979999999999</v>
      </c>
      <c r="S56" s="295">
        <v>3.5373169999999998</v>
      </c>
      <c r="T56" s="295">
        <v>3.5283199999999999</v>
      </c>
      <c r="U56" s="295">
        <v>3.5497399999999999</v>
      </c>
      <c r="V56" s="295">
        <v>3.5503559999999998</v>
      </c>
      <c r="W56" s="295">
        <v>3.5492530000000002</v>
      </c>
      <c r="X56" s="295">
        <v>3.549023</v>
      </c>
      <c r="Y56" s="295">
        <v>3.5287259999999998</v>
      </c>
      <c r="Z56" s="295">
        <v>3.5056509999999999</v>
      </c>
      <c r="AA56" s="295">
        <v>3.5018690000000001</v>
      </c>
      <c r="AB56" s="295">
        <v>3.5076990000000001</v>
      </c>
      <c r="AC56" s="295">
        <v>3.521007</v>
      </c>
      <c r="AD56" s="295">
        <v>3.547183</v>
      </c>
      <c r="AE56" s="295">
        <v>3.5962100000000001</v>
      </c>
      <c r="AF56" s="295">
        <v>3.6540050000000002</v>
      </c>
      <c r="AG56" s="295">
        <v>3.6939389999999999</v>
      </c>
      <c r="AH56" s="296">
        <v>1.9550000000000001E-2</v>
      </c>
    </row>
    <row r="57" spans="1:34" ht="15" customHeight="1" x14ac:dyDescent="0.25">
      <c r="A57" s="213" t="s">
        <v>186</v>
      </c>
      <c r="B57" s="294" t="s">
        <v>187</v>
      </c>
      <c r="C57" s="298">
        <v>34.055869999999999</v>
      </c>
      <c r="D57" s="298">
        <v>30.959633</v>
      </c>
      <c r="E57" s="298">
        <v>32.101292000000001</v>
      </c>
      <c r="F57" s="298">
        <v>31.761672999999998</v>
      </c>
      <c r="G57" s="298">
        <v>31.044367000000001</v>
      </c>
      <c r="H57" s="298">
        <v>30.794497</v>
      </c>
      <c r="I57" s="298">
        <v>30.492144</v>
      </c>
      <c r="J57" s="298">
        <v>30.590032999999998</v>
      </c>
      <c r="K57" s="298">
        <v>30.01351</v>
      </c>
      <c r="L57" s="298">
        <v>29.643726000000001</v>
      </c>
      <c r="M57" s="298">
        <v>29.369016999999999</v>
      </c>
      <c r="N57" s="298">
        <v>29.700735000000002</v>
      </c>
      <c r="O57" s="298">
        <v>29.820889000000001</v>
      </c>
      <c r="P57" s="298">
        <v>29.723274</v>
      </c>
      <c r="Q57" s="298">
        <v>29.748425000000001</v>
      </c>
      <c r="R57" s="298">
        <v>30.074885999999999</v>
      </c>
      <c r="S57" s="298">
        <v>30.340406000000002</v>
      </c>
      <c r="T57" s="298">
        <v>30.690798000000001</v>
      </c>
      <c r="U57" s="298">
        <v>31.569094</v>
      </c>
      <c r="V57" s="298">
        <v>31.561229999999998</v>
      </c>
      <c r="W57" s="298">
        <v>32.033199000000003</v>
      </c>
      <c r="X57" s="298">
        <v>32.104717000000001</v>
      </c>
      <c r="Y57" s="298">
        <v>32.369056999999998</v>
      </c>
      <c r="Z57" s="298">
        <v>32.726455999999999</v>
      </c>
      <c r="AA57" s="298">
        <v>32.764400000000002</v>
      </c>
      <c r="AB57" s="298">
        <v>33.379210999999998</v>
      </c>
      <c r="AC57" s="298">
        <v>33.744594999999997</v>
      </c>
      <c r="AD57" s="298">
        <v>33.921534999999999</v>
      </c>
      <c r="AE57" s="298">
        <v>34.012577</v>
      </c>
      <c r="AF57" s="298">
        <v>34.418686000000001</v>
      </c>
      <c r="AG57" s="298">
        <v>34.677486000000002</v>
      </c>
      <c r="AH57" s="296">
        <v>6.0300000000000002E-4</v>
      </c>
    </row>
    <row r="58" spans="1:34" ht="15" customHeight="1" x14ac:dyDescent="0.25">
      <c r="A58" s="213" t="s">
        <v>188</v>
      </c>
      <c r="B58" s="294" t="s">
        <v>189</v>
      </c>
      <c r="C58" s="295">
        <v>1.6765049999999999</v>
      </c>
      <c r="D58" s="295">
        <v>1.5287580000000001</v>
      </c>
      <c r="E58" s="295">
        <v>1.568695</v>
      </c>
      <c r="F58" s="295">
        <v>1.53952</v>
      </c>
      <c r="G58" s="295">
        <v>1.5080830000000001</v>
      </c>
      <c r="H58" s="295">
        <v>1.4934019999999999</v>
      </c>
      <c r="I58" s="295">
        <v>1.4831989999999999</v>
      </c>
      <c r="J58" s="295">
        <v>1.488461</v>
      </c>
      <c r="K58" s="295">
        <v>1.467506</v>
      </c>
      <c r="L58" s="295">
        <v>1.456286</v>
      </c>
      <c r="M58" s="295">
        <v>1.447484</v>
      </c>
      <c r="N58" s="295">
        <v>1.4619329999999999</v>
      </c>
      <c r="O58" s="295">
        <v>1.4660420000000001</v>
      </c>
      <c r="P58" s="295">
        <v>1.459184</v>
      </c>
      <c r="Q58" s="295">
        <v>1.4618660000000001</v>
      </c>
      <c r="R58" s="295">
        <v>1.4755259999999999</v>
      </c>
      <c r="S58" s="295">
        <v>1.486899</v>
      </c>
      <c r="T58" s="295">
        <v>1.500397</v>
      </c>
      <c r="U58" s="295">
        <v>1.534394</v>
      </c>
      <c r="V58" s="295">
        <v>1.5332159999999999</v>
      </c>
      <c r="W58" s="295">
        <v>1.553666</v>
      </c>
      <c r="X58" s="295">
        <v>1.5579719999999999</v>
      </c>
      <c r="Y58" s="295">
        <v>1.5680940000000001</v>
      </c>
      <c r="Z58" s="295">
        <v>1.582166</v>
      </c>
      <c r="AA58" s="295">
        <v>1.583526</v>
      </c>
      <c r="AB58" s="295">
        <v>1.606182</v>
      </c>
      <c r="AC58" s="295">
        <v>1.620431</v>
      </c>
      <c r="AD58" s="295">
        <v>1.629756</v>
      </c>
      <c r="AE58" s="295">
        <v>1.6362969999999999</v>
      </c>
      <c r="AF58" s="295">
        <v>1.6522600000000001</v>
      </c>
      <c r="AG58" s="295">
        <v>1.6645890000000001</v>
      </c>
      <c r="AH58" s="296">
        <v>-2.3800000000000001E-4</v>
      </c>
    </row>
    <row r="59" spans="1:34" ht="15" customHeight="1" x14ac:dyDescent="0.25">
      <c r="A59" s="213" t="s">
        <v>190</v>
      </c>
      <c r="B59" s="294" t="s">
        <v>191</v>
      </c>
      <c r="C59" s="295">
        <v>2.1249950000000002</v>
      </c>
      <c r="D59" s="295">
        <v>2.0946739999999999</v>
      </c>
      <c r="E59" s="295">
        <v>2.1139559999999999</v>
      </c>
      <c r="F59" s="295">
        <v>2.0646420000000001</v>
      </c>
      <c r="G59" s="295">
        <v>2.0553439999999998</v>
      </c>
      <c r="H59" s="295">
        <v>2.032626</v>
      </c>
      <c r="I59" s="295">
        <v>2.0118740000000002</v>
      </c>
      <c r="J59" s="295">
        <v>2.0025949999999999</v>
      </c>
      <c r="K59" s="295">
        <v>1.977973</v>
      </c>
      <c r="L59" s="295">
        <v>1.977363</v>
      </c>
      <c r="M59" s="295">
        <v>1.9697789999999999</v>
      </c>
      <c r="N59" s="295">
        <v>1.9767749999999999</v>
      </c>
      <c r="O59" s="295">
        <v>1.9678180000000001</v>
      </c>
      <c r="P59" s="295">
        <v>1.962448</v>
      </c>
      <c r="Q59" s="295">
        <v>1.9638800000000001</v>
      </c>
      <c r="R59" s="295">
        <v>1.9624740000000001</v>
      </c>
      <c r="S59" s="295">
        <v>1.961322</v>
      </c>
      <c r="T59" s="295">
        <v>1.9638199999999999</v>
      </c>
      <c r="U59" s="295">
        <v>1.98109</v>
      </c>
      <c r="V59" s="295">
        <v>1.9788190000000001</v>
      </c>
      <c r="W59" s="295">
        <v>1.980291</v>
      </c>
      <c r="X59" s="295">
        <v>1.9826010000000001</v>
      </c>
      <c r="Y59" s="295">
        <v>1.9874529999999999</v>
      </c>
      <c r="Z59" s="295">
        <v>1.9940100000000001</v>
      </c>
      <c r="AA59" s="295">
        <v>1.9868589999999999</v>
      </c>
      <c r="AB59" s="295">
        <v>1.9925360000000001</v>
      </c>
      <c r="AC59" s="295">
        <v>1.99726</v>
      </c>
      <c r="AD59" s="295">
        <v>1.9981519999999999</v>
      </c>
      <c r="AE59" s="295">
        <v>1.998089</v>
      </c>
      <c r="AF59" s="295">
        <v>2.0018319999999998</v>
      </c>
      <c r="AG59" s="295">
        <v>2.0087389999999998</v>
      </c>
      <c r="AH59" s="296">
        <v>-1.874E-3</v>
      </c>
    </row>
    <row r="60" spans="1:34" ht="15" customHeight="1" x14ac:dyDescent="0.25">
      <c r="A60" s="213" t="s">
        <v>192</v>
      </c>
      <c r="B60" s="294" t="s">
        <v>193</v>
      </c>
      <c r="C60" s="298">
        <v>10.416587</v>
      </c>
      <c r="D60" s="298">
        <v>10.604009</v>
      </c>
      <c r="E60" s="298">
        <v>10.523453</v>
      </c>
      <c r="F60" s="298">
        <v>10.404840999999999</v>
      </c>
      <c r="G60" s="298">
        <v>10.315863999999999</v>
      </c>
      <c r="H60" s="298">
        <v>10.29508</v>
      </c>
      <c r="I60" s="298">
        <v>10.309146</v>
      </c>
      <c r="J60" s="298">
        <v>10.315581999999999</v>
      </c>
      <c r="K60" s="298">
        <v>10.306461000000001</v>
      </c>
      <c r="L60" s="298">
        <v>10.313711</v>
      </c>
      <c r="M60" s="298">
        <v>10.279489</v>
      </c>
      <c r="N60" s="298">
        <v>10.281264</v>
      </c>
      <c r="O60" s="298">
        <v>10.238991</v>
      </c>
      <c r="P60" s="298">
        <v>10.282258000000001</v>
      </c>
      <c r="Q60" s="298">
        <v>10.269257</v>
      </c>
      <c r="R60" s="298">
        <v>10.265727999999999</v>
      </c>
      <c r="S60" s="298">
        <v>10.21719</v>
      </c>
      <c r="T60" s="298">
        <v>10.176542</v>
      </c>
      <c r="U60" s="298">
        <v>10.133089</v>
      </c>
      <c r="V60" s="298">
        <v>10.093248000000001</v>
      </c>
      <c r="W60" s="298">
        <v>10.071244</v>
      </c>
      <c r="X60" s="298">
        <v>10.046385000000001</v>
      </c>
      <c r="Y60" s="298">
        <v>10.033480000000001</v>
      </c>
      <c r="Z60" s="298">
        <v>9.9435900000000004</v>
      </c>
      <c r="AA60" s="298">
        <v>9.9226019999999995</v>
      </c>
      <c r="AB60" s="298">
        <v>9.8906019999999994</v>
      </c>
      <c r="AC60" s="298">
        <v>9.8339180000000006</v>
      </c>
      <c r="AD60" s="298">
        <v>9.8216149999999995</v>
      </c>
      <c r="AE60" s="298">
        <v>9.7845440000000004</v>
      </c>
      <c r="AF60" s="298">
        <v>9.7091410000000007</v>
      </c>
      <c r="AG60" s="298">
        <v>9.6342680000000005</v>
      </c>
      <c r="AH60" s="296">
        <v>-2.5990000000000002E-3</v>
      </c>
    </row>
    <row r="63" spans="1:34" ht="15" customHeight="1" x14ac:dyDescent="0.2">
      <c r="B63" s="204" t="s">
        <v>194</v>
      </c>
    </row>
    <row r="64" spans="1:34" ht="15" customHeight="1" x14ac:dyDescent="0.25">
      <c r="A64" s="213" t="s">
        <v>195</v>
      </c>
      <c r="B64" s="294" t="s">
        <v>181</v>
      </c>
      <c r="C64" s="297">
        <v>41.186000999999997</v>
      </c>
      <c r="D64" s="297">
        <v>47.067000999999998</v>
      </c>
      <c r="E64" s="297">
        <v>50.944332000000003</v>
      </c>
      <c r="F64" s="297">
        <v>56.853104000000002</v>
      </c>
      <c r="G64" s="297">
        <v>61.464965999999997</v>
      </c>
      <c r="H64" s="297">
        <v>65.741164999999995</v>
      </c>
      <c r="I64" s="297">
        <v>70.597144999999998</v>
      </c>
      <c r="J64" s="297">
        <v>74.895163999999994</v>
      </c>
      <c r="K64" s="297">
        <v>79.556824000000006</v>
      </c>
      <c r="L64" s="297">
        <v>84.021987999999993</v>
      </c>
      <c r="M64" s="297">
        <v>88.782539</v>
      </c>
      <c r="N64" s="297">
        <v>92.990951999999993</v>
      </c>
      <c r="O64" s="297">
        <v>97.858131</v>
      </c>
      <c r="P64" s="297">
        <v>101.731178</v>
      </c>
      <c r="Q64" s="297">
        <v>105.69770800000001</v>
      </c>
      <c r="R64" s="297">
        <v>109.162842</v>
      </c>
      <c r="S64" s="297">
        <v>113.497246</v>
      </c>
      <c r="T64" s="297">
        <v>118.18248</v>
      </c>
      <c r="U64" s="297">
        <v>122.924004</v>
      </c>
      <c r="V64" s="297">
        <v>125.920807</v>
      </c>
      <c r="W64" s="297">
        <v>132.46168499999999</v>
      </c>
      <c r="X64" s="297">
        <v>137.70674099999999</v>
      </c>
      <c r="Y64" s="297">
        <v>142.16511499999999</v>
      </c>
      <c r="Z64" s="297">
        <v>147.97259500000001</v>
      </c>
      <c r="AA64" s="297">
        <v>153.10218800000001</v>
      </c>
      <c r="AB64" s="297">
        <v>155.75962799999999</v>
      </c>
      <c r="AC64" s="297">
        <v>163.09445199999999</v>
      </c>
      <c r="AD64" s="297">
        <v>169.01828</v>
      </c>
      <c r="AE64" s="297">
        <v>174.192993</v>
      </c>
      <c r="AF64" s="297">
        <v>179.72056599999999</v>
      </c>
      <c r="AG64" s="297">
        <v>185.44593800000001</v>
      </c>
      <c r="AH64" s="296">
        <v>5.1435000000000002E-2</v>
      </c>
    </row>
    <row r="65" spans="1:34" ht="15" customHeight="1" x14ac:dyDescent="0.25">
      <c r="A65" s="213" t="s">
        <v>196</v>
      </c>
      <c r="B65" s="294" t="s">
        <v>183</v>
      </c>
      <c r="C65" s="297">
        <v>38.757998999999998</v>
      </c>
      <c r="D65" s="297">
        <v>44.720001000000003</v>
      </c>
      <c r="E65" s="297">
        <v>48.897179000000001</v>
      </c>
      <c r="F65" s="297">
        <v>55.067394</v>
      </c>
      <c r="G65" s="297">
        <v>59.481532999999999</v>
      </c>
      <c r="H65" s="297">
        <v>63.784301999999997</v>
      </c>
      <c r="I65" s="297">
        <v>67.515479999999997</v>
      </c>
      <c r="J65" s="297">
        <v>71.996780000000001</v>
      </c>
      <c r="K65" s="297">
        <v>76.899924999999996</v>
      </c>
      <c r="L65" s="297">
        <v>81.043762000000001</v>
      </c>
      <c r="M65" s="297">
        <v>86.103836000000001</v>
      </c>
      <c r="N65" s="297">
        <v>90.186211</v>
      </c>
      <c r="O65" s="297">
        <v>94.565719999999999</v>
      </c>
      <c r="P65" s="297">
        <v>98.153557000000006</v>
      </c>
      <c r="Q65" s="297">
        <v>101.723167</v>
      </c>
      <c r="R65" s="297">
        <v>105.202156</v>
      </c>
      <c r="S65" s="297">
        <v>109.375084</v>
      </c>
      <c r="T65" s="297">
        <v>113.679169</v>
      </c>
      <c r="U65" s="297">
        <v>118.432999</v>
      </c>
      <c r="V65" s="297">
        <v>121.383369</v>
      </c>
      <c r="W65" s="297">
        <v>128.105423</v>
      </c>
      <c r="X65" s="297">
        <v>133.31764200000001</v>
      </c>
      <c r="Y65" s="297">
        <v>137.82901000000001</v>
      </c>
      <c r="Z65" s="297">
        <v>143.03898599999999</v>
      </c>
      <c r="AA65" s="297">
        <v>147.68229700000001</v>
      </c>
      <c r="AB65" s="297">
        <v>149.141998</v>
      </c>
      <c r="AC65" s="297">
        <v>157.63751199999999</v>
      </c>
      <c r="AD65" s="297">
        <v>163.22340399999999</v>
      </c>
      <c r="AE65" s="297">
        <v>167.30110199999999</v>
      </c>
      <c r="AF65" s="297">
        <v>172.02200300000001</v>
      </c>
      <c r="AG65" s="297">
        <v>177.941666</v>
      </c>
      <c r="AH65" s="296">
        <v>5.2116999999999997E-2</v>
      </c>
    </row>
    <row r="66" spans="1:34" ht="15" customHeight="1" x14ac:dyDescent="0.25">
      <c r="A66" s="213" t="s">
        <v>197</v>
      </c>
      <c r="B66" s="294" t="s">
        <v>185</v>
      </c>
      <c r="C66" s="295">
        <v>2.0664720000000001</v>
      </c>
      <c r="D66" s="295">
        <v>3.133435</v>
      </c>
      <c r="E66" s="295">
        <v>3.297882</v>
      </c>
      <c r="F66" s="295">
        <v>3.1008550000000001</v>
      </c>
      <c r="G66" s="295">
        <v>2.952188</v>
      </c>
      <c r="H66" s="295">
        <v>3.098166</v>
      </c>
      <c r="I66" s="295">
        <v>3.2864629999999999</v>
      </c>
      <c r="J66" s="295">
        <v>3.4352130000000001</v>
      </c>
      <c r="K66" s="295">
        <v>3.6802649999999999</v>
      </c>
      <c r="L66" s="295">
        <v>3.9141859999999999</v>
      </c>
      <c r="M66" s="295">
        <v>4.0805949999999998</v>
      </c>
      <c r="N66" s="295">
        <v>4.2010319999999997</v>
      </c>
      <c r="O66" s="295">
        <v>4.3856289999999998</v>
      </c>
      <c r="P66" s="295">
        <v>4.5721340000000001</v>
      </c>
      <c r="Q66" s="295">
        <v>4.714931</v>
      </c>
      <c r="R66" s="295">
        <v>4.8403960000000001</v>
      </c>
      <c r="S66" s="295">
        <v>4.9512609999999997</v>
      </c>
      <c r="T66" s="295">
        <v>5.042459</v>
      </c>
      <c r="U66" s="295">
        <v>5.1795080000000002</v>
      </c>
      <c r="V66" s="295">
        <v>5.2875819999999996</v>
      </c>
      <c r="W66" s="295">
        <v>5.3977729999999999</v>
      </c>
      <c r="X66" s="295">
        <v>5.5133020000000004</v>
      </c>
      <c r="Y66" s="295">
        <v>5.6022740000000004</v>
      </c>
      <c r="Z66" s="295">
        <v>5.6932799999999997</v>
      </c>
      <c r="AA66" s="295">
        <v>5.8228669999999996</v>
      </c>
      <c r="AB66" s="295">
        <v>5.9762490000000001</v>
      </c>
      <c r="AC66" s="295">
        <v>6.154725</v>
      </c>
      <c r="AD66" s="295">
        <v>6.3671150000000001</v>
      </c>
      <c r="AE66" s="295">
        <v>6.6333799999999998</v>
      </c>
      <c r="AF66" s="295">
        <v>6.9317679999999999</v>
      </c>
      <c r="AG66" s="295">
        <v>7.2131030000000003</v>
      </c>
      <c r="AH66" s="296">
        <v>4.2548999999999997E-2</v>
      </c>
    </row>
    <row r="67" spans="1:34" ht="15" customHeight="1" x14ac:dyDescent="0.25">
      <c r="A67" s="213" t="s">
        <v>198</v>
      </c>
      <c r="B67" s="294" t="s">
        <v>187</v>
      </c>
      <c r="C67" s="298">
        <v>34.055869999999999</v>
      </c>
      <c r="D67" s="298">
        <v>31.286180000000002</v>
      </c>
      <c r="E67" s="298">
        <v>32.819794000000002</v>
      </c>
      <c r="F67" s="298">
        <v>32.913657999999998</v>
      </c>
      <c r="G67" s="298">
        <v>32.710788999999998</v>
      </c>
      <c r="H67" s="298">
        <v>33.123511999999998</v>
      </c>
      <c r="I67" s="298">
        <v>33.579151000000003</v>
      </c>
      <c r="J67" s="298">
        <v>34.542541999999997</v>
      </c>
      <c r="K67" s="298">
        <v>34.784222</v>
      </c>
      <c r="L67" s="298">
        <v>35.261043999999998</v>
      </c>
      <c r="M67" s="298">
        <v>35.838721999999997</v>
      </c>
      <c r="N67" s="298">
        <v>37.151797999999999</v>
      </c>
      <c r="O67" s="298">
        <v>38.206744999999998</v>
      </c>
      <c r="P67" s="298">
        <v>38.970638000000001</v>
      </c>
      <c r="Q67" s="298">
        <v>39.880619000000003</v>
      </c>
      <c r="R67" s="298">
        <v>41.207703000000002</v>
      </c>
      <c r="S67" s="298">
        <v>42.468139999999998</v>
      </c>
      <c r="T67" s="298">
        <v>43.861404</v>
      </c>
      <c r="U67" s="298">
        <v>46.063198</v>
      </c>
      <c r="V67" s="298">
        <v>47.004474999999999</v>
      </c>
      <c r="W67" s="298">
        <v>48.716704999999997</v>
      </c>
      <c r="X67" s="298">
        <v>49.873725999999998</v>
      </c>
      <c r="Y67" s="298">
        <v>51.389744</v>
      </c>
      <c r="Z67" s="298">
        <v>53.148730999999998</v>
      </c>
      <c r="AA67" s="298">
        <v>54.480266999999998</v>
      </c>
      <c r="AB67" s="298">
        <v>56.869892</v>
      </c>
      <c r="AC67" s="298">
        <v>58.985591999999997</v>
      </c>
      <c r="AD67" s="298">
        <v>60.888396999999998</v>
      </c>
      <c r="AE67" s="298">
        <v>62.737811999999998</v>
      </c>
      <c r="AF67" s="298">
        <v>65.293396000000001</v>
      </c>
      <c r="AG67" s="298">
        <v>67.714241000000001</v>
      </c>
      <c r="AH67" s="296">
        <v>2.3174E-2</v>
      </c>
    </row>
    <row r="68" spans="1:34" ht="15" customHeight="1" x14ac:dyDescent="0.25">
      <c r="A68" s="213" t="s">
        <v>199</v>
      </c>
      <c r="B68" s="294" t="s">
        <v>189</v>
      </c>
      <c r="C68" s="295">
        <v>1.6765049999999999</v>
      </c>
      <c r="D68" s="295">
        <v>1.5448820000000001</v>
      </c>
      <c r="E68" s="295">
        <v>1.6038060000000001</v>
      </c>
      <c r="F68" s="295">
        <v>1.5953580000000001</v>
      </c>
      <c r="G68" s="295">
        <v>1.589035</v>
      </c>
      <c r="H68" s="295">
        <v>1.606349</v>
      </c>
      <c r="I68" s="295">
        <v>1.6333569999999999</v>
      </c>
      <c r="J68" s="295">
        <v>1.6807840000000001</v>
      </c>
      <c r="K68" s="295">
        <v>1.700769</v>
      </c>
      <c r="L68" s="295">
        <v>1.7322439999999999</v>
      </c>
      <c r="M68" s="295">
        <v>1.7663500000000001</v>
      </c>
      <c r="N68" s="295">
        <v>1.8286899999999999</v>
      </c>
      <c r="O68" s="295">
        <v>1.8783030000000001</v>
      </c>
      <c r="P68" s="295">
        <v>1.9131590000000001</v>
      </c>
      <c r="Q68" s="295">
        <v>1.9597720000000001</v>
      </c>
      <c r="R68" s="295">
        <v>2.021722</v>
      </c>
      <c r="S68" s="295">
        <v>2.081245</v>
      </c>
      <c r="T68" s="295">
        <v>2.1442749999999999</v>
      </c>
      <c r="U68" s="295">
        <v>2.2388699999999999</v>
      </c>
      <c r="V68" s="295">
        <v>2.283436</v>
      </c>
      <c r="W68" s="295">
        <v>2.3628459999999998</v>
      </c>
      <c r="X68" s="295">
        <v>2.4202629999999998</v>
      </c>
      <c r="Y68" s="295">
        <v>2.4895369999999999</v>
      </c>
      <c r="Z68" s="295">
        <v>2.5694849999999998</v>
      </c>
      <c r="AA68" s="295">
        <v>2.63307</v>
      </c>
      <c r="AB68" s="295">
        <v>2.7365339999999998</v>
      </c>
      <c r="AC68" s="295">
        <v>2.832516</v>
      </c>
      <c r="AD68" s="295">
        <v>2.9253749999999998</v>
      </c>
      <c r="AE68" s="295">
        <v>3.0182280000000001</v>
      </c>
      <c r="AF68" s="295">
        <v>3.1343920000000001</v>
      </c>
      <c r="AG68" s="295">
        <v>3.2504189999999999</v>
      </c>
      <c r="AH68" s="296">
        <v>2.2314000000000001E-2</v>
      </c>
    </row>
    <row r="69" spans="1:34" ht="15" customHeight="1" x14ac:dyDescent="0.25">
      <c r="A69" s="213" t="s">
        <v>200</v>
      </c>
      <c r="B69" s="294" t="s">
        <v>191</v>
      </c>
      <c r="C69" s="295">
        <v>2.1249950000000002</v>
      </c>
      <c r="D69" s="295">
        <v>2.116768</v>
      </c>
      <c r="E69" s="295">
        <v>2.1612719999999999</v>
      </c>
      <c r="F69" s="295">
        <v>2.139526</v>
      </c>
      <c r="G69" s="295">
        <v>2.1656719999999998</v>
      </c>
      <c r="H69" s="295">
        <v>2.186356</v>
      </c>
      <c r="I69" s="295">
        <v>2.2155550000000002</v>
      </c>
      <c r="J69" s="295">
        <v>2.2613490000000001</v>
      </c>
      <c r="K69" s="295">
        <v>2.292376</v>
      </c>
      <c r="L69" s="295">
        <v>2.3520620000000001</v>
      </c>
      <c r="M69" s="295">
        <v>2.4037009999999999</v>
      </c>
      <c r="N69" s="295">
        <v>2.4726910000000002</v>
      </c>
      <c r="O69" s="295">
        <v>2.5211830000000002</v>
      </c>
      <c r="P69" s="295">
        <v>2.5729959999999998</v>
      </c>
      <c r="Q69" s="295">
        <v>2.6327690000000001</v>
      </c>
      <c r="R69" s="295">
        <v>2.6889219999999998</v>
      </c>
      <c r="S69" s="295">
        <v>2.7453059999999998</v>
      </c>
      <c r="T69" s="295">
        <v>2.8065709999999999</v>
      </c>
      <c r="U69" s="295">
        <v>2.8906550000000002</v>
      </c>
      <c r="V69" s="295">
        <v>2.947076</v>
      </c>
      <c r="W69" s="295">
        <v>3.0116649999999998</v>
      </c>
      <c r="X69" s="295">
        <v>3.0799120000000002</v>
      </c>
      <c r="Y69" s="295">
        <v>3.155319</v>
      </c>
      <c r="Z69" s="295">
        <v>3.2383310000000001</v>
      </c>
      <c r="AA69" s="295">
        <v>3.3037260000000002</v>
      </c>
      <c r="AB69" s="295">
        <v>3.3947859999999999</v>
      </c>
      <c r="AC69" s="295">
        <v>3.4912139999999998</v>
      </c>
      <c r="AD69" s="295">
        <v>3.5866380000000002</v>
      </c>
      <c r="AE69" s="295">
        <v>3.6855709999999999</v>
      </c>
      <c r="AF69" s="295">
        <v>3.7975409999999998</v>
      </c>
      <c r="AG69" s="295">
        <v>3.922437</v>
      </c>
      <c r="AH69" s="296">
        <v>2.0642000000000001E-2</v>
      </c>
    </row>
    <row r="70" spans="1:34" ht="15" customHeight="1" x14ac:dyDescent="0.25">
      <c r="A70" s="213" t="s">
        <v>201</v>
      </c>
      <c r="B70" s="294" t="s">
        <v>193</v>
      </c>
      <c r="C70" s="298">
        <v>10.416587</v>
      </c>
      <c r="D70" s="298">
        <v>10.715854999999999</v>
      </c>
      <c r="E70" s="298">
        <v>10.758991</v>
      </c>
      <c r="F70" s="298">
        <v>10.782222000000001</v>
      </c>
      <c r="G70" s="298">
        <v>10.869605999999999</v>
      </c>
      <c r="H70" s="298">
        <v>11.073707000000001</v>
      </c>
      <c r="I70" s="298">
        <v>11.352838999999999</v>
      </c>
      <c r="J70" s="298">
        <v>11.648448</v>
      </c>
      <c r="K70" s="298">
        <v>11.944696</v>
      </c>
      <c r="L70" s="298">
        <v>12.268101</v>
      </c>
      <c r="M70" s="298">
        <v>12.543958999999999</v>
      </c>
      <c r="N70" s="298">
        <v>12.860538</v>
      </c>
      <c r="O70" s="298">
        <v>13.118271999999999</v>
      </c>
      <c r="P70" s="298">
        <v>13.481225</v>
      </c>
      <c r="Q70" s="298">
        <v>13.766925000000001</v>
      </c>
      <c r="R70" s="298">
        <v>14.06579</v>
      </c>
      <c r="S70" s="298">
        <v>14.301227000000001</v>
      </c>
      <c r="T70" s="298">
        <v>14.54369</v>
      </c>
      <c r="U70" s="298">
        <v>14.785427</v>
      </c>
      <c r="V70" s="298">
        <v>15.031981</v>
      </c>
      <c r="W70" s="298">
        <v>15.316542999999999</v>
      </c>
      <c r="X70" s="298">
        <v>15.60676</v>
      </c>
      <c r="Y70" s="298">
        <v>15.929349999999999</v>
      </c>
      <c r="Z70" s="298">
        <v>16.148683999999999</v>
      </c>
      <c r="AA70" s="298">
        <v>16.499186999999999</v>
      </c>
      <c r="AB70" s="298">
        <v>16.851130000000001</v>
      </c>
      <c r="AC70" s="298">
        <v>17.189699000000001</v>
      </c>
      <c r="AD70" s="298">
        <v>17.629580000000001</v>
      </c>
      <c r="AE70" s="298">
        <v>18.048055999999999</v>
      </c>
      <c r="AF70" s="298">
        <v>18.418564</v>
      </c>
      <c r="AG70" s="298">
        <v>18.8127</v>
      </c>
      <c r="AH70" s="296">
        <v>1.9900000000000001E-2</v>
      </c>
    </row>
    <row r="71" spans="1:34" ht="15" customHeight="1" thickBot="1" x14ac:dyDescent="0.25"/>
    <row r="72" spans="1:34" ht="15" customHeight="1" x14ac:dyDescent="0.2">
      <c r="B72" s="305" t="s">
        <v>632</v>
      </c>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c r="AD72" s="305"/>
      <c r="AE72" s="305"/>
      <c r="AF72" s="305"/>
      <c r="AG72" s="305"/>
      <c r="AH72" s="305"/>
    </row>
    <row r="73" spans="1:34" ht="15" customHeight="1" x14ac:dyDescent="0.2">
      <c r="B73" s="208" t="s">
        <v>631</v>
      </c>
    </row>
    <row r="74" spans="1:34" ht="15" customHeight="1" x14ac:dyDescent="0.2">
      <c r="B74" s="208" t="s">
        <v>202</v>
      </c>
    </row>
    <row r="75" spans="1:34" ht="15" customHeight="1" x14ac:dyDescent="0.2">
      <c r="B75" s="208" t="s">
        <v>838</v>
      </c>
    </row>
    <row r="76" spans="1:34" ht="15" customHeight="1" x14ac:dyDescent="0.2">
      <c r="B76" s="208" t="s">
        <v>203</v>
      </c>
    </row>
    <row r="77" spans="1:34" ht="15" customHeight="1" x14ac:dyDescent="0.2">
      <c r="B77" s="208" t="s">
        <v>629</v>
      </c>
    </row>
    <row r="78" spans="1:34" ht="15" customHeight="1" x14ac:dyDescent="0.2">
      <c r="B78" s="208" t="s">
        <v>204</v>
      </c>
    </row>
    <row r="79" spans="1:34" ht="15" customHeight="1" x14ac:dyDescent="0.2">
      <c r="B79" s="208" t="s">
        <v>205</v>
      </c>
    </row>
    <row r="80" spans="1:34" ht="15" customHeight="1" x14ac:dyDescent="0.2">
      <c r="B80" s="208" t="s">
        <v>627</v>
      </c>
    </row>
    <row r="81" spans="2:2" ht="15" customHeight="1" x14ac:dyDescent="0.2">
      <c r="B81" s="208" t="s">
        <v>626</v>
      </c>
    </row>
    <row r="82" spans="2:2" ht="15" customHeight="1" x14ac:dyDescent="0.2">
      <c r="B82" s="208" t="s">
        <v>625</v>
      </c>
    </row>
    <row r="83" spans="2:2" ht="15" customHeight="1" x14ac:dyDescent="0.2">
      <c r="B83" s="208" t="s">
        <v>624</v>
      </c>
    </row>
    <row r="84" spans="2:2" ht="15" customHeight="1" x14ac:dyDescent="0.2">
      <c r="B84" s="208" t="s">
        <v>623</v>
      </c>
    </row>
    <row r="85" spans="2:2" ht="15" customHeight="1" x14ac:dyDescent="0.2">
      <c r="B85" s="208" t="s">
        <v>622</v>
      </c>
    </row>
    <row r="86" spans="2:2" ht="15" customHeight="1" x14ac:dyDescent="0.2">
      <c r="B86" s="208" t="s">
        <v>206</v>
      </c>
    </row>
    <row r="87" spans="2:2" ht="15" customHeight="1" x14ac:dyDescent="0.2">
      <c r="B87" s="208" t="s">
        <v>207</v>
      </c>
    </row>
    <row r="88" spans="2:2" ht="15" customHeight="1" x14ac:dyDescent="0.2">
      <c r="B88" s="208" t="s">
        <v>621</v>
      </c>
    </row>
    <row r="89" spans="2:2" ht="15" customHeight="1" x14ac:dyDescent="0.2">
      <c r="B89" s="208" t="s">
        <v>841</v>
      </c>
    </row>
    <row r="90" spans="2:2" ht="15" customHeight="1" x14ac:dyDescent="0.2">
      <c r="B90" s="208" t="s">
        <v>208</v>
      </c>
    </row>
    <row r="91" spans="2:2" ht="15" customHeight="1" x14ac:dyDescent="0.2">
      <c r="B91" s="208" t="s">
        <v>619</v>
      </c>
    </row>
    <row r="92" spans="2:2" ht="15" customHeight="1" x14ac:dyDescent="0.2">
      <c r="B92" s="208" t="s">
        <v>618</v>
      </c>
    </row>
    <row r="93" spans="2:2" ht="15" customHeight="1" x14ac:dyDescent="0.2">
      <c r="B93" s="208" t="s">
        <v>209</v>
      </c>
    </row>
    <row r="94" spans="2:2" ht="15" customHeight="1" x14ac:dyDescent="0.2">
      <c r="B94" s="208" t="s">
        <v>617</v>
      </c>
    </row>
    <row r="95" spans="2:2" ht="15" customHeight="1" x14ac:dyDescent="0.2">
      <c r="B95" s="208" t="s">
        <v>616</v>
      </c>
    </row>
    <row r="96" spans="2:2" ht="15" customHeight="1" x14ac:dyDescent="0.2">
      <c r="B96" s="208" t="s">
        <v>615</v>
      </c>
    </row>
    <row r="97" spans="1:34" ht="15" customHeight="1" x14ac:dyDescent="0.2">
      <c r="B97" s="208" t="s">
        <v>601</v>
      </c>
    </row>
    <row r="98" spans="1:34" ht="15" customHeight="1" x14ac:dyDescent="0.2">
      <c r="B98" s="208" t="s">
        <v>614</v>
      </c>
    </row>
    <row r="99" spans="1:34" ht="15" customHeight="1" x14ac:dyDescent="0.2">
      <c r="B99" s="208" t="s">
        <v>1030</v>
      </c>
    </row>
    <row r="100" spans="1:34" ht="15" customHeight="1" x14ac:dyDescent="0.2">
      <c r="B100" s="208" t="s">
        <v>1031</v>
      </c>
    </row>
    <row r="110" spans="1:34" ht="15" customHeight="1" x14ac:dyDescent="0.25">
      <c r="A110" s="213" t="s">
        <v>1032</v>
      </c>
      <c r="B110" s="202" t="s">
        <v>1010</v>
      </c>
      <c r="AH110" s="292" t="s">
        <v>597</v>
      </c>
    </row>
    <row r="111" spans="1:34" ht="15" customHeight="1" x14ac:dyDescent="0.2">
      <c r="B111" s="199" t="s">
        <v>123</v>
      </c>
      <c r="AH111" s="292" t="s">
        <v>598</v>
      </c>
    </row>
    <row r="112" spans="1:34" ht="15" customHeight="1" x14ac:dyDescent="0.2">
      <c r="B112" s="199" t="s">
        <v>124</v>
      </c>
      <c r="C112" s="222" t="s">
        <v>124</v>
      </c>
      <c r="D112" s="222" t="s">
        <v>124</v>
      </c>
      <c r="E112" s="222" t="s">
        <v>124</v>
      </c>
      <c r="F112" s="222" t="s">
        <v>124</v>
      </c>
      <c r="G112" s="222" t="s">
        <v>124</v>
      </c>
      <c r="H112" s="222" t="s">
        <v>124</v>
      </c>
      <c r="I112" s="222" t="s">
        <v>124</v>
      </c>
      <c r="J112" s="222" t="s">
        <v>124</v>
      </c>
      <c r="K112" s="222" t="s">
        <v>124</v>
      </c>
      <c r="L112" s="222" t="s">
        <v>124</v>
      </c>
      <c r="M112" s="222" t="s">
        <v>124</v>
      </c>
      <c r="N112" s="222" t="s">
        <v>124</v>
      </c>
      <c r="O112" s="222" t="s">
        <v>124</v>
      </c>
      <c r="P112" s="222" t="s">
        <v>124</v>
      </c>
      <c r="Q112" s="222" t="s">
        <v>124</v>
      </c>
      <c r="R112" s="222" t="s">
        <v>124</v>
      </c>
      <c r="S112" s="222" t="s">
        <v>124</v>
      </c>
      <c r="T112" s="222" t="s">
        <v>124</v>
      </c>
      <c r="U112" s="222" t="s">
        <v>124</v>
      </c>
      <c r="V112" s="222" t="s">
        <v>124</v>
      </c>
      <c r="W112" s="222" t="s">
        <v>124</v>
      </c>
      <c r="X112" s="222" t="s">
        <v>124</v>
      </c>
      <c r="Y112" s="222" t="s">
        <v>124</v>
      </c>
      <c r="Z112" s="222" t="s">
        <v>124</v>
      </c>
      <c r="AA112" s="222" t="s">
        <v>124</v>
      </c>
      <c r="AB112" s="222" t="s">
        <v>124</v>
      </c>
      <c r="AC112" s="222" t="s">
        <v>124</v>
      </c>
      <c r="AD112" s="222" t="s">
        <v>124</v>
      </c>
      <c r="AE112" s="222" t="s">
        <v>124</v>
      </c>
      <c r="AF112" s="222" t="s">
        <v>124</v>
      </c>
      <c r="AG112" s="222" t="s">
        <v>124</v>
      </c>
      <c r="AH112" s="292" t="s">
        <v>599</v>
      </c>
    </row>
    <row r="113" spans="1:34" ht="15" customHeight="1" thickBot="1" x14ac:dyDescent="0.25">
      <c r="B113" s="200" t="s">
        <v>1033</v>
      </c>
      <c r="C113" s="200">
        <v>2020</v>
      </c>
      <c r="D113" s="200">
        <v>2021</v>
      </c>
      <c r="E113" s="200">
        <v>2022</v>
      </c>
      <c r="F113" s="200">
        <v>2023</v>
      </c>
      <c r="G113" s="200">
        <v>2024</v>
      </c>
      <c r="H113" s="200">
        <v>2025</v>
      </c>
      <c r="I113" s="200">
        <v>2026</v>
      </c>
      <c r="J113" s="200">
        <v>2027</v>
      </c>
      <c r="K113" s="200">
        <v>2028</v>
      </c>
      <c r="L113" s="200">
        <v>2029</v>
      </c>
      <c r="M113" s="200">
        <v>2030</v>
      </c>
      <c r="N113" s="200">
        <v>2031</v>
      </c>
      <c r="O113" s="200">
        <v>2032</v>
      </c>
      <c r="P113" s="200">
        <v>2033</v>
      </c>
      <c r="Q113" s="200">
        <v>2034</v>
      </c>
      <c r="R113" s="200">
        <v>2035</v>
      </c>
      <c r="S113" s="200">
        <v>2036</v>
      </c>
      <c r="T113" s="200">
        <v>2037</v>
      </c>
      <c r="U113" s="200">
        <v>2038</v>
      </c>
      <c r="V113" s="200">
        <v>2039</v>
      </c>
      <c r="W113" s="200">
        <v>2040</v>
      </c>
      <c r="X113" s="200">
        <v>2041</v>
      </c>
      <c r="Y113" s="200">
        <v>2042</v>
      </c>
      <c r="Z113" s="200">
        <v>2043</v>
      </c>
      <c r="AA113" s="200">
        <v>2044</v>
      </c>
      <c r="AB113" s="200">
        <v>2045</v>
      </c>
      <c r="AC113" s="200">
        <v>2046</v>
      </c>
      <c r="AD113" s="200">
        <v>2047</v>
      </c>
      <c r="AE113" s="200">
        <v>2048</v>
      </c>
      <c r="AF113" s="200">
        <v>2049</v>
      </c>
      <c r="AG113" s="200">
        <v>2050</v>
      </c>
      <c r="AH113" s="293" t="s">
        <v>600</v>
      </c>
    </row>
    <row r="114" spans="1:34" ht="15" customHeight="1" thickTop="1" x14ac:dyDescent="0.2"/>
    <row r="115" spans="1:34" ht="15" customHeight="1" x14ac:dyDescent="0.2">
      <c r="B115" s="204" t="s">
        <v>1034</v>
      </c>
    </row>
    <row r="116" spans="1:34" ht="15" customHeight="1" x14ac:dyDescent="0.25">
      <c r="A116" s="213" t="s">
        <v>1035</v>
      </c>
      <c r="B116" s="294" t="s">
        <v>1036</v>
      </c>
      <c r="C116" s="295">
        <v>0.45517999999999997</v>
      </c>
      <c r="D116" s="295">
        <v>0.47404499999999999</v>
      </c>
      <c r="E116" s="295">
        <v>0.47081800000000001</v>
      </c>
      <c r="F116" s="295">
        <v>0.46705000000000002</v>
      </c>
      <c r="G116" s="295">
        <v>0.46312199999999998</v>
      </c>
      <c r="H116" s="295">
        <v>0.45916000000000001</v>
      </c>
      <c r="I116" s="295">
        <v>0.45528800000000003</v>
      </c>
      <c r="J116" s="295">
        <v>0.45177400000000001</v>
      </c>
      <c r="K116" s="295">
        <v>0.448461</v>
      </c>
      <c r="L116" s="295">
        <v>0.44548300000000002</v>
      </c>
      <c r="M116" s="295">
        <v>0.44253900000000002</v>
      </c>
      <c r="N116" s="295">
        <v>0.43985200000000002</v>
      </c>
      <c r="O116" s="295">
        <v>0.437278</v>
      </c>
      <c r="P116" s="295">
        <v>0.434946</v>
      </c>
      <c r="Q116" s="295">
        <v>0.43286200000000002</v>
      </c>
      <c r="R116" s="295">
        <v>0.43111699999999997</v>
      </c>
      <c r="S116" s="295">
        <v>0.42948599999999998</v>
      </c>
      <c r="T116" s="295">
        <v>0.42797000000000002</v>
      </c>
      <c r="U116" s="295">
        <v>0.42651699999999998</v>
      </c>
      <c r="V116" s="295">
        <v>0.42517300000000002</v>
      </c>
      <c r="W116" s="295">
        <v>0.42393199999999998</v>
      </c>
      <c r="X116" s="295">
        <v>0.422732</v>
      </c>
      <c r="Y116" s="295">
        <v>0.42161500000000002</v>
      </c>
      <c r="Z116" s="295">
        <v>0.42058699999999999</v>
      </c>
      <c r="AA116" s="295">
        <v>0.41968699999999998</v>
      </c>
      <c r="AB116" s="295">
        <v>0.419045</v>
      </c>
      <c r="AC116" s="295">
        <v>0.41842400000000002</v>
      </c>
      <c r="AD116" s="295">
        <v>0.41772300000000001</v>
      </c>
      <c r="AE116" s="295">
        <v>0.41708400000000001</v>
      </c>
      <c r="AF116" s="295">
        <v>0.41658000000000001</v>
      </c>
      <c r="AG116" s="295">
        <v>0.41619200000000001</v>
      </c>
      <c r="AH116" s="296">
        <v>-2.98E-3</v>
      </c>
    </row>
    <row r="117" spans="1:34" ht="15" customHeight="1" x14ac:dyDescent="0.25">
      <c r="A117" s="213" t="s">
        <v>1037</v>
      </c>
      <c r="B117" s="294" t="s">
        <v>1038</v>
      </c>
      <c r="C117" s="295">
        <v>0.42927399999999999</v>
      </c>
      <c r="D117" s="295">
        <v>0.45496599999999998</v>
      </c>
      <c r="E117" s="295">
        <v>0.45233800000000002</v>
      </c>
      <c r="F117" s="295">
        <v>0.43859300000000001</v>
      </c>
      <c r="G117" s="295">
        <v>0.42568099999999998</v>
      </c>
      <c r="H117" s="295">
        <v>0.41445599999999999</v>
      </c>
      <c r="I117" s="295">
        <v>0.404474</v>
      </c>
      <c r="J117" s="295">
        <v>0.39604200000000001</v>
      </c>
      <c r="K117" s="295">
        <v>0.38822699999999999</v>
      </c>
      <c r="L117" s="295">
        <v>0.38123899999999999</v>
      </c>
      <c r="M117" s="295">
        <v>0.37464900000000001</v>
      </c>
      <c r="N117" s="295">
        <v>0.36843999999999999</v>
      </c>
      <c r="O117" s="295">
        <v>0.36236200000000002</v>
      </c>
      <c r="P117" s="295">
        <v>0.35661599999999999</v>
      </c>
      <c r="Q117" s="295">
        <v>0.35106599999999999</v>
      </c>
      <c r="R117" s="295">
        <v>0.345831</v>
      </c>
      <c r="S117" s="295">
        <v>0.34066400000000002</v>
      </c>
      <c r="T117" s="295">
        <v>0.33549099999999998</v>
      </c>
      <c r="U117" s="295">
        <v>0.33036500000000002</v>
      </c>
      <c r="V117" s="295">
        <v>0.32558900000000002</v>
      </c>
      <c r="W117" s="295">
        <v>0.32074200000000003</v>
      </c>
      <c r="X117" s="295">
        <v>0.315938</v>
      </c>
      <c r="Y117" s="295">
        <v>0.31121300000000002</v>
      </c>
      <c r="Z117" s="295">
        <v>0.30646200000000001</v>
      </c>
      <c r="AA117" s="295">
        <v>0.30197200000000002</v>
      </c>
      <c r="AB117" s="295">
        <v>0.29757499999999998</v>
      </c>
      <c r="AC117" s="295">
        <v>0.29300999999999999</v>
      </c>
      <c r="AD117" s="295">
        <v>0.288385</v>
      </c>
      <c r="AE117" s="295">
        <v>0.28395900000000002</v>
      </c>
      <c r="AF117" s="295">
        <v>0.27958899999999998</v>
      </c>
      <c r="AG117" s="295">
        <v>0.275341</v>
      </c>
      <c r="AH117" s="296">
        <v>-1.4694E-2</v>
      </c>
    </row>
    <row r="118" spans="1:34" ht="15" customHeight="1" x14ac:dyDescent="0.25">
      <c r="A118" s="213" t="s">
        <v>1039</v>
      </c>
      <c r="B118" s="294" t="s">
        <v>1040</v>
      </c>
      <c r="C118" s="295">
        <v>0.88445399999999996</v>
      </c>
      <c r="D118" s="295">
        <v>0.92901100000000003</v>
      </c>
      <c r="E118" s="295">
        <v>0.92315700000000001</v>
      </c>
      <c r="F118" s="295">
        <v>0.90564299999999998</v>
      </c>
      <c r="G118" s="295">
        <v>0.88880300000000001</v>
      </c>
      <c r="H118" s="295">
        <v>0.87361599999999995</v>
      </c>
      <c r="I118" s="295">
        <v>0.85976200000000003</v>
      </c>
      <c r="J118" s="295">
        <v>0.84781600000000001</v>
      </c>
      <c r="K118" s="295">
        <v>0.83668900000000002</v>
      </c>
      <c r="L118" s="295">
        <v>0.82672199999999996</v>
      </c>
      <c r="M118" s="295">
        <v>0.81718800000000003</v>
      </c>
      <c r="N118" s="295">
        <v>0.80829200000000001</v>
      </c>
      <c r="O118" s="295">
        <v>0.79964000000000002</v>
      </c>
      <c r="P118" s="295">
        <v>0.79156199999999999</v>
      </c>
      <c r="Q118" s="295">
        <v>0.78392799999999996</v>
      </c>
      <c r="R118" s="295">
        <v>0.77694799999999997</v>
      </c>
      <c r="S118" s="295">
        <v>0.77015</v>
      </c>
      <c r="T118" s="295">
        <v>0.76346099999999995</v>
      </c>
      <c r="U118" s="295">
        <v>0.75688100000000003</v>
      </c>
      <c r="V118" s="295">
        <v>0.75076200000000004</v>
      </c>
      <c r="W118" s="295">
        <v>0.74467399999999995</v>
      </c>
      <c r="X118" s="295">
        <v>0.73867099999999997</v>
      </c>
      <c r="Y118" s="295">
        <v>0.73282800000000003</v>
      </c>
      <c r="Z118" s="295">
        <v>0.72704899999999995</v>
      </c>
      <c r="AA118" s="295">
        <v>0.72165999999999997</v>
      </c>
      <c r="AB118" s="295">
        <v>0.71662000000000003</v>
      </c>
      <c r="AC118" s="295">
        <v>0.71143400000000001</v>
      </c>
      <c r="AD118" s="295">
        <v>0.70610700000000004</v>
      </c>
      <c r="AE118" s="295">
        <v>0.701044</v>
      </c>
      <c r="AF118" s="295">
        <v>0.69616900000000004</v>
      </c>
      <c r="AG118" s="295">
        <v>0.69153299999999995</v>
      </c>
      <c r="AH118" s="296">
        <v>-8.1679999999999999E-3</v>
      </c>
    </row>
    <row r="119" spans="1:34" ht="15" customHeight="1" x14ac:dyDescent="0.25">
      <c r="A119" s="213" t="s">
        <v>1041</v>
      </c>
      <c r="B119" s="294" t="s">
        <v>152</v>
      </c>
      <c r="C119" s="295">
        <v>4.9693500000000004</v>
      </c>
      <c r="D119" s="295">
        <v>4.8413839999999997</v>
      </c>
      <c r="E119" s="295">
        <v>4.9784160000000002</v>
      </c>
      <c r="F119" s="295">
        <v>4.970707</v>
      </c>
      <c r="G119" s="295">
        <v>4.9723800000000002</v>
      </c>
      <c r="H119" s="295">
        <v>4.9680289999999996</v>
      </c>
      <c r="I119" s="295">
        <v>4.9561640000000002</v>
      </c>
      <c r="J119" s="295">
        <v>4.9427760000000003</v>
      </c>
      <c r="K119" s="295">
        <v>4.931273</v>
      </c>
      <c r="L119" s="295">
        <v>4.9201389999999998</v>
      </c>
      <c r="M119" s="295">
        <v>4.9037559999999996</v>
      </c>
      <c r="N119" s="295">
        <v>4.8919119999999996</v>
      </c>
      <c r="O119" s="295">
        <v>4.8830520000000002</v>
      </c>
      <c r="P119" s="295">
        <v>4.8745240000000001</v>
      </c>
      <c r="Q119" s="295">
        <v>4.8660610000000002</v>
      </c>
      <c r="R119" s="295">
        <v>4.8602069999999999</v>
      </c>
      <c r="S119" s="295">
        <v>4.8555999999999999</v>
      </c>
      <c r="T119" s="295">
        <v>4.8510710000000001</v>
      </c>
      <c r="U119" s="295">
        <v>4.8468929999999997</v>
      </c>
      <c r="V119" s="295">
        <v>4.8430160000000004</v>
      </c>
      <c r="W119" s="295">
        <v>4.8409740000000001</v>
      </c>
      <c r="X119" s="295">
        <v>4.8388660000000003</v>
      </c>
      <c r="Y119" s="295">
        <v>4.837218</v>
      </c>
      <c r="Z119" s="295">
        <v>4.8357599999999996</v>
      </c>
      <c r="AA119" s="295">
        <v>4.8353489999999999</v>
      </c>
      <c r="AB119" s="295">
        <v>4.8343420000000004</v>
      </c>
      <c r="AC119" s="295">
        <v>4.8336639999999997</v>
      </c>
      <c r="AD119" s="295">
        <v>4.8320689999999997</v>
      </c>
      <c r="AE119" s="295">
        <v>4.8300200000000002</v>
      </c>
      <c r="AF119" s="295">
        <v>4.8267600000000002</v>
      </c>
      <c r="AG119" s="295">
        <v>4.82341</v>
      </c>
      <c r="AH119" s="296">
        <v>-9.9299999999999996E-4</v>
      </c>
    </row>
    <row r="120" spans="1:34" ht="15" customHeight="1" x14ac:dyDescent="0.25">
      <c r="A120" s="213" t="s">
        <v>1042</v>
      </c>
      <c r="B120" s="294" t="s">
        <v>1043</v>
      </c>
      <c r="C120" s="295">
        <v>0.45751199999999997</v>
      </c>
      <c r="D120" s="295">
        <v>0.45433299999999999</v>
      </c>
      <c r="E120" s="295">
        <v>0.443909</v>
      </c>
      <c r="F120" s="295">
        <v>0.448911</v>
      </c>
      <c r="G120" s="295">
        <v>0.45432600000000001</v>
      </c>
      <c r="H120" s="295">
        <v>0.45631699999999997</v>
      </c>
      <c r="I120" s="295">
        <v>0.45534000000000002</v>
      </c>
      <c r="J120" s="295">
        <v>0.45182099999999997</v>
      </c>
      <c r="K120" s="295">
        <v>0.44889299999999999</v>
      </c>
      <c r="L120" s="295">
        <v>0.444799</v>
      </c>
      <c r="M120" s="295">
        <v>0.44039800000000001</v>
      </c>
      <c r="N120" s="295">
        <v>0.43509900000000001</v>
      </c>
      <c r="O120" s="295">
        <v>0.42979099999999998</v>
      </c>
      <c r="P120" s="295">
        <v>0.423655</v>
      </c>
      <c r="Q120" s="295">
        <v>0.416962</v>
      </c>
      <c r="R120" s="295">
        <v>0.40978399999999998</v>
      </c>
      <c r="S120" s="295">
        <v>0.40250999999999998</v>
      </c>
      <c r="T120" s="295">
        <v>0.39616499999999999</v>
      </c>
      <c r="U120" s="295">
        <v>0.3906</v>
      </c>
      <c r="V120" s="295">
        <v>0.38444800000000001</v>
      </c>
      <c r="W120" s="295">
        <v>0.37942199999999998</v>
      </c>
      <c r="X120" s="295">
        <v>0.37479000000000001</v>
      </c>
      <c r="Y120" s="295">
        <v>0.37020500000000001</v>
      </c>
      <c r="Z120" s="295">
        <v>0.36615700000000001</v>
      </c>
      <c r="AA120" s="295">
        <v>0.36159400000000003</v>
      </c>
      <c r="AB120" s="295">
        <v>0.35714499999999999</v>
      </c>
      <c r="AC120" s="295">
        <v>0.35383199999999998</v>
      </c>
      <c r="AD120" s="295">
        <v>0.35059000000000001</v>
      </c>
      <c r="AE120" s="295">
        <v>0.34657500000000002</v>
      </c>
      <c r="AF120" s="295">
        <v>0.34247</v>
      </c>
      <c r="AG120" s="295">
        <v>0.33811099999999999</v>
      </c>
      <c r="AH120" s="296">
        <v>-1.0030000000000001E-2</v>
      </c>
    </row>
    <row r="121" spans="1:34" ht="15" customHeight="1" x14ac:dyDescent="0.25">
      <c r="A121" s="213" t="s">
        <v>1044</v>
      </c>
      <c r="B121" s="294" t="s">
        <v>1045</v>
      </c>
      <c r="C121" s="295">
        <v>5.0527329999999999</v>
      </c>
      <c r="D121" s="295">
        <v>5.085547</v>
      </c>
      <c r="E121" s="295">
        <v>5.0913269999999997</v>
      </c>
      <c r="F121" s="295">
        <v>5.1017200000000003</v>
      </c>
      <c r="G121" s="295">
        <v>5.1157349999999999</v>
      </c>
      <c r="H121" s="295">
        <v>5.1314440000000001</v>
      </c>
      <c r="I121" s="295">
        <v>5.1537369999999996</v>
      </c>
      <c r="J121" s="295">
        <v>5.1757869999999997</v>
      </c>
      <c r="K121" s="295">
        <v>5.2014500000000004</v>
      </c>
      <c r="L121" s="295">
        <v>5.2290000000000001</v>
      </c>
      <c r="M121" s="295">
        <v>5.2579370000000001</v>
      </c>
      <c r="N121" s="295">
        <v>5.2901400000000001</v>
      </c>
      <c r="O121" s="295">
        <v>5.3263020000000001</v>
      </c>
      <c r="P121" s="295">
        <v>5.3608200000000004</v>
      </c>
      <c r="Q121" s="295">
        <v>5.4004899999999996</v>
      </c>
      <c r="R121" s="295">
        <v>5.4420989999999998</v>
      </c>
      <c r="S121" s="295">
        <v>5.487025</v>
      </c>
      <c r="T121" s="295">
        <v>5.5343660000000003</v>
      </c>
      <c r="U121" s="295">
        <v>5.5825040000000001</v>
      </c>
      <c r="V121" s="295">
        <v>5.6304860000000003</v>
      </c>
      <c r="W121" s="295">
        <v>5.6746730000000003</v>
      </c>
      <c r="X121" s="295">
        <v>5.7185180000000004</v>
      </c>
      <c r="Y121" s="295">
        <v>5.7633760000000001</v>
      </c>
      <c r="Z121" s="295">
        <v>5.8127529999999998</v>
      </c>
      <c r="AA121" s="295">
        <v>5.862584</v>
      </c>
      <c r="AB121" s="295">
        <v>5.9120359999999996</v>
      </c>
      <c r="AC121" s="295">
        <v>5.9633729999999998</v>
      </c>
      <c r="AD121" s="295">
        <v>6.0135569999999996</v>
      </c>
      <c r="AE121" s="295">
        <v>6.0654950000000003</v>
      </c>
      <c r="AF121" s="295">
        <v>6.1199370000000002</v>
      </c>
      <c r="AG121" s="295">
        <v>6.1779190000000002</v>
      </c>
      <c r="AH121" s="296">
        <v>6.7239999999999999E-3</v>
      </c>
    </row>
    <row r="122" spans="1:34" ht="15" customHeight="1" x14ac:dyDescent="0.2">
      <c r="A122" s="213" t="s">
        <v>1046</v>
      </c>
      <c r="B122" s="204" t="s">
        <v>1047</v>
      </c>
      <c r="C122" s="205">
        <v>11.364051999999999</v>
      </c>
      <c r="D122" s="205">
        <v>11.310276999999999</v>
      </c>
      <c r="E122" s="205">
        <v>11.436809999999999</v>
      </c>
      <c r="F122" s="205">
        <v>11.426983</v>
      </c>
      <c r="G122" s="205">
        <v>11.431243</v>
      </c>
      <c r="H122" s="205">
        <v>11.429406</v>
      </c>
      <c r="I122" s="205">
        <v>11.425001999999999</v>
      </c>
      <c r="J122" s="205">
        <v>11.418199</v>
      </c>
      <c r="K122" s="205">
        <v>11.418305</v>
      </c>
      <c r="L122" s="205">
        <v>11.42066</v>
      </c>
      <c r="M122" s="205">
        <v>11.419279</v>
      </c>
      <c r="N122" s="205">
        <v>11.425442</v>
      </c>
      <c r="O122" s="205">
        <v>11.438783000000001</v>
      </c>
      <c r="P122" s="205">
        <v>11.450561</v>
      </c>
      <c r="Q122" s="205">
        <v>11.46744</v>
      </c>
      <c r="R122" s="205">
        <v>11.489039</v>
      </c>
      <c r="S122" s="205">
        <v>11.515283999999999</v>
      </c>
      <c r="T122" s="205">
        <v>11.545061</v>
      </c>
      <c r="U122" s="205">
        <v>11.576879</v>
      </c>
      <c r="V122" s="205">
        <v>11.608712000000001</v>
      </c>
      <c r="W122" s="205">
        <v>11.639742</v>
      </c>
      <c r="X122" s="205">
        <v>11.670845999999999</v>
      </c>
      <c r="Y122" s="205">
        <v>11.703628999999999</v>
      </c>
      <c r="Z122" s="205">
        <v>11.741718000000001</v>
      </c>
      <c r="AA122" s="205">
        <v>11.781186999999999</v>
      </c>
      <c r="AB122" s="205">
        <v>11.820144000000001</v>
      </c>
      <c r="AC122" s="205">
        <v>11.862303000000001</v>
      </c>
      <c r="AD122" s="205">
        <v>11.902324</v>
      </c>
      <c r="AE122" s="205">
        <v>11.943133</v>
      </c>
      <c r="AF122" s="205">
        <v>11.985336</v>
      </c>
      <c r="AG122" s="205">
        <v>12.030972</v>
      </c>
      <c r="AH122" s="206">
        <v>1.903E-3</v>
      </c>
    </row>
    <row r="123" spans="1:34" ht="15" customHeight="1" x14ac:dyDescent="0.25">
      <c r="A123" s="213" t="s">
        <v>1048</v>
      </c>
      <c r="B123" s="294" t="s">
        <v>1049</v>
      </c>
      <c r="C123" s="295">
        <v>9.4179560000000002</v>
      </c>
      <c r="D123" s="295">
        <v>9.4692589999999992</v>
      </c>
      <c r="E123" s="295">
        <v>9.5235859999999999</v>
      </c>
      <c r="F123" s="295">
        <v>9.3535579999999996</v>
      </c>
      <c r="G123" s="295">
        <v>9.192634</v>
      </c>
      <c r="H123" s="295">
        <v>8.9611440000000009</v>
      </c>
      <c r="I123" s="295">
        <v>8.7546029999999995</v>
      </c>
      <c r="J123" s="295">
        <v>8.6916949999999993</v>
      </c>
      <c r="K123" s="295">
        <v>8.6860269999999993</v>
      </c>
      <c r="L123" s="295">
        <v>8.6995719999999999</v>
      </c>
      <c r="M123" s="295">
        <v>8.7289549999999991</v>
      </c>
      <c r="N123" s="295">
        <v>8.7613850000000006</v>
      </c>
      <c r="O123" s="295">
        <v>8.7698009999999993</v>
      </c>
      <c r="P123" s="295">
        <v>8.7926420000000007</v>
      </c>
      <c r="Q123" s="295">
        <v>8.8117920000000005</v>
      </c>
      <c r="R123" s="295">
        <v>8.8543400000000005</v>
      </c>
      <c r="S123" s="295">
        <v>8.8960539999999995</v>
      </c>
      <c r="T123" s="295">
        <v>8.9436619999999998</v>
      </c>
      <c r="U123" s="295">
        <v>8.9716509999999996</v>
      </c>
      <c r="V123" s="295">
        <v>9.0014699999999994</v>
      </c>
      <c r="W123" s="295">
        <v>9.0304009999999995</v>
      </c>
      <c r="X123" s="295">
        <v>9.0712130000000002</v>
      </c>
      <c r="Y123" s="295">
        <v>9.1142409999999998</v>
      </c>
      <c r="Z123" s="295">
        <v>9.1562610000000006</v>
      </c>
      <c r="AA123" s="295">
        <v>9.1960940000000004</v>
      </c>
      <c r="AB123" s="295">
        <v>9.2340040000000005</v>
      </c>
      <c r="AC123" s="295">
        <v>9.2814379999999996</v>
      </c>
      <c r="AD123" s="295">
        <v>9.3317099999999993</v>
      </c>
      <c r="AE123" s="295">
        <v>9.3964409999999994</v>
      </c>
      <c r="AF123" s="295">
        <v>9.4543610000000005</v>
      </c>
      <c r="AG123" s="295">
        <v>9.5046730000000004</v>
      </c>
      <c r="AH123" s="296">
        <v>3.0600000000000001E-4</v>
      </c>
    </row>
    <row r="124" spans="1:34" ht="15" customHeight="1" x14ac:dyDescent="0.2">
      <c r="A124" s="213" t="s">
        <v>1050</v>
      </c>
      <c r="B124" s="204" t="s">
        <v>179</v>
      </c>
      <c r="C124" s="205">
        <v>20.782008999999999</v>
      </c>
      <c r="D124" s="205">
        <v>20.779537000000001</v>
      </c>
      <c r="E124" s="205">
        <v>20.960395999999999</v>
      </c>
      <c r="F124" s="205">
        <v>20.780539999999998</v>
      </c>
      <c r="G124" s="205">
        <v>20.623877</v>
      </c>
      <c r="H124" s="205">
        <v>20.390550999999999</v>
      </c>
      <c r="I124" s="205">
        <v>20.179604999999999</v>
      </c>
      <c r="J124" s="205">
        <v>20.109894000000001</v>
      </c>
      <c r="K124" s="205">
        <v>20.104331999999999</v>
      </c>
      <c r="L124" s="205">
        <v>20.120232000000001</v>
      </c>
      <c r="M124" s="205">
        <v>20.148235</v>
      </c>
      <c r="N124" s="205">
        <v>20.186827000000001</v>
      </c>
      <c r="O124" s="205">
        <v>20.208583999999998</v>
      </c>
      <c r="P124" s="205">
        <v>20.243202</v>
      </c>
      <c r="Q124" s="205">
        <v>20.279232</v>
      </c>
      <c r="R124" s="205">
        <v>20.34338</v>
      </c>
      <c r="S124" s="205">
        <v>20.411339000000002</v>
      </c>
      <c r="T124" s="205">
        <v>20.488724000000001</v>
      </c>
      <c r="U124" s="205">
        <v>20.548531000000001</v>
      </c>
      <c r="V124" s="205">
        <v>20.610181999999998</v>
      </c>
      <c r="W124" s="205">
        <v>20.670142999999999</v>
      </c>
      <c r="X124" s="205">
        <v>20.742058</v>
      </c>
      <c r="Y124" s="205">
        <v>20.817871</v>
      </c>
      <c r="Z124" s="205">
        <v>20.89798</v>
      </c>
      <c r="AA124" s="205">
        <v>20.97728</v>
      </c>
      <c r="AB124" s="205">
        <v>21.054148000000001</v>
      </c>
      <c r="AC124" s="205">
        <v>21.143742</v>
      </c>
      <c r="AD124" s="205">
        <v>21.234034000000001</v>
      </c>
      <c r="AE124" s="205">
        <v>21.339573000000001</v>
      </c>
      <c r="AF124" s="205">
        <v>21.439696999999999</v>
      </c>
      <c r="AG124" s="205">
        <v>21.535644999999999</v>
      </c>
      <c r="AH124" s="206">
        <v>1.188E-3</v>
      </c>
    </row>
    <row r="126" spans="1:34" ht="15" customHeight="1" x14ac:dyDescent="0.2">
      <c r="B126" s="204" t="s">
        <v>1051</v>
      </c>
    </row>
    <row r="127" spans="1:34" ht="15" customHeight="1" x14ac:dyDescent="0.25">
      <c r="A127" s="213" t="s">
        <v>1052</v>
      </c>
      <c r="B127" s="294" t="s">
        <v>1036</v>
      </c>
      <c r="C127" s="295">
        <v>0.16908999999999999</v>
      </c>
      <c r="D127" s="295">
        <v>0.17043</v>
      </c>
      <c r="E127" s="295">
        <v>0.17107800000000001</v>
      </c>
      <c r="F127" s="295">
        <v>0.172316</v>
      </c>
      <c r="G127" s="295">
        <v>0.17356099999999999</v>
      </c>
      <c r="H127" s="295">
        <v>0.174816</v>
      </c>
      <c r="I127" s="295">
        <v>0.176343</v>
      </c>
      <c r="J127" s="295">
        <v>0.177955</v>
      </c>
      <c r="K127" s="295">
        <v>0.17940600000000001</v>
      </c>
      <c r="L127" s="295">
        <v>0.18099000000000001</v>
      </c>
      <c r="M127" s="295">
        <v>0.182417</v>
      </c>
      <c r="N127" s="295">
        <v>0.184083</v>
      </c>
      <c r="O127" s="295">
        <v>0.18573300000000001</v>
      </c>
      <c r="P127" s="295">
        <v>0.18750500000000001</v>
      </c>
      <c r="Q127" s="295">
        <v>0.189335</v>
      </c>
      <c r="R127" s="295">
        <v>0.19115399999999999</v>
      </c>
      <c r="S127" s="295">
        <v>0.192913</v>
      </c>
      <c r="T127" s="295">
        <v>0.19464500000000001</v>
      </c>
      <c r="U127" s="295">
        <v>0.19633400000000001</v>
      </c>
      <c r="V127" s="295">
        <v>0.19808000000000001</v>
      </c>
      <c r="W127" s="295">
        <v>0.19978199999999999</v>
      </c>
      <c r="X127" s="295">
        <v>0.201515</v>
      </c>
      <c r="Y127" s="295">
        <v>0.203344</v>
      </c>
      <c r="Z127" s="295">
        <v>0.20515</v>
      </c>
      <c r="AA127" s="295">
        <v>0.207034</v>
      </c>
      <c r="AB127" s="295">
        <v>0.209041</v>
      </c>
      <c r="AC127" s="295">
        <v>0.210896</v>
      </c>
      <c r="AD127" s="295">
        <v>0.21277799999999999</v>
      </c>
      <c r="AE127" s="295">
        <v>0.214758</v>
      </c>
      <c r="AF127" s="295">
        <v>0.21676799999999999</v>
      </c>
      <c r="AG127" s="295">
        <v>0.21879699999999999</v>
      </c>
      <c r="AH127" s="296">
        <v>8.6269999999999993E-3</v>
      </c>
    </row>
    <row r="128" spans="1:34" ht="15" customHeight="1" x14ac:dyDescent="0.25">
      <c r="A128" s="213" t="s">
        <v>1053</v>
      </c>
      <c r="B128" s="294" t="s">
        <v>1054</v>
      </c>
      <c r="C128" s="295">
        <v>0.32368000000000002</v>
      </c>
      <c r="D128" s="295">
        <v>0.35236000000000001</v>
      </c>
      <c r="E128" s="295">
        <v>0.35635699999999998</v>
      </c>
      <c r="F128" s="295">
        <v>0.36029099999999997</v>
      </c>
      <c r="G128" s="295">
        <v>0.36460799999999999</v>
      </c>
      <c r="H128" s="295">
        <v>0.36872700000000003</v>
      </c>
      <c r="I128" s="295">
        <v>0.36910199999999999</v>
      </c>
      <c r="J128" s="295">
        <v>0.36950100000000002</v>
      </c>
      <c r="K128" s="295">
        <v>0.369535</v>
      </c>
      <c r="L128" s="295">
        <v>0.369811</v>
      </c>
      <c r="M128" s="295">
        <v>0.369612</v>
      </c>
      <c r="N128" s="295">
        <v>0.370091</v>
      </c>
      <c r="O128" s="295">
        <v>0.37027199999999999</v>
      </c>
      <c r="P128" s="295">
        <v>0.37069299999999999</v>
      </c>
      <c r="Q128" s="295">
        <v>0.37104199999999998</v>
      </c>
      <c r="R128" s="295">
        <v>0.371446</v>
      </c>
      <c r="S128" s="295">
        <v>0.37181599999999998</v>
      </c>
      <c r="T128" s="295">
        <v>0.37216300000000002</v>
      </c>
      <c r="U128" s="295">
        <v>0.37246600000000002</v>
      </c>
      <c r="V128" s="295">
        <v>0.37296699999999999</v>
      </c>
      <c r="W128" s="295">
        <v>0.37321700000000002</v>
      </c>
      <c r="X128" s="295">
        <v>0.37359599999999998</v>
      </c>
      <c r="Y128" s="295">
        <v>0.37403999999999998</v>
      </c>
      <c r="Z128" s="295">
        <v>0.37449300000000002</v>
      </c>
      <c r="AA128" s="295">
        <v>0.37501000000000001</v>
      </c>
      <c r="AB128" s="295">
        <v>0.375614</v>
      </c>
      <c r="AC128" s="295">
        <v>0.37596499999999999</v>
      </c>
      <c r="AD128" s="295">
        <v>0.37648999999999999</v>
      </c>
      <c r="AE128" s="295">
        <v>0.376973</v>
      </c>
      <c r="AF128" s="295">
        <v>0.37757600000000002</v>
      </c>
      <c r="AG128" s="295">
        <v>0.37813200000000002</v>
      </c>
      <c r="AH128" s="296">
        <v>5.1960000000000001E-3</v>
      </c>
    </row>
    <row r="129" spans="1:34" ht="15" customHeight="1" x14ac:dyDescent="0.25">
      <c r="A129" s="213" t="s">
        <v>1055</v>
      </c>
      <c r="B129" s="294" t="s">
        <v>1056</v>
      </c>
      <c r="C129" s="295">
        <v>1.33E-3</v>
      </c>
      <c r="D129" s="295">
        <v>1.5E-3</v>
      </c>
      <c r="E129" s="295">
        <v>1.5169999999999999E-3</v>
      </c>
      <c r="F129" s="295">
        <v>1.596E-3</v>
      </c>
      <c r="G129" s="295">
        <v>1.578E-3</v>
      </c>
      <c r="H129" s="295">
        <v>1.647E-3</v>
      </c>
      <c r="I129" s="295">
        <v>1.544E-3</v>
      </c>
      <c r="J129" s="295">
        <v>1.5E-3</v>
      </c>
      <c r="K129" s="295">
        <v>1.387E-3</v>
      </c>
      <c r="L129" s="295">
        <v>1.341E-3</v>
      </c>
      <c r="M129" s="295">
        <v>1.2329999999999999E-3</v>
      </c>
      <c r="N129" s="295">
        <v>1.191E-3</v>
      </c>
      <c r="O129" s="295">
        <v>1.1360000000000001E-3</v>
      </c>
      <c r="P129" s="295">
        <v>1.1069999999999999E-3</v>
      </c>
      <c r="Q129" s="295">
        <v>1.085E-3</v>
      </c>
      <c r="R129" s="295">
        <v>1.0679999999999999E-3</v>
      </c>
      <c r="S129" s="295">
        <v>1.0460000000000001E-3</v>
      </c>
      <c r="T129" s="295">
        <v>1.0089999999999999E-3</v>
      </c>
      <c r="U129" s="295">
        <v>9.7099999999999997E-4</v>
      </c>
      <c r="V129" s="295">
        <v>9.6699999999999998E-4</v>
      </c>
      <c r="W129" s="295">
        <v>9.1699999999999995E-4</v>
      </c>
      <c r="X129" s="295">
        <v>8.8599999999999996E-4</v>
      </c>
      <c r="Y129" s="295">
        <v>8.6499999999999999E-4</v>
      </c>
      <c r="Z129" s="295">
        <v>8.2299999999999995E-4</v>
      </c>
      <c r="AA129" s="295">
        <v>8.1999999999999998E-4</v>
      </c>
      <c r="AB129" s="295">
        <v>8.0800000000000002E-4</v>
      </c>
      <c r="AC129" s="295">
        <v>7.76E-4</v>
      </c>
      <c r="AD129" s="295">
        <v>7.6199999999999998E-4</v>
      </c>
      <c r="AE129" s="295">
        <v>7.6599999999999997E-4</v>
      </c>
      <c r="AF129" s="295">
        <v>7.54E-4</v>
      </c>
      <c r="AG129" s="295">
        <v>7.5000000000000002E-4</v>
      </c>
      <c r="AH129" s="296">
        <v>-1.8901999999999999E-2</v>
      </c>
    </row>
    <row r="130" spans="1:34" ht="15" customHeight="1" x14ac:dyDescent="0.25">
      <c r="A130" s="213" t="s">
        <v>1057</v>
      </c>
      <c r="B130" s="294" t="s">
        <v>1058</v>
      </c>
      <c r="C130" s="295">
        <v>0.30936999999999998</v>
      </c>
      <c r="D130" s="295">
        <v>0.32117000000000001</v>
      </c>
      <c r="E130" s="295">
        <v>0.33239600000000002</v>
      </c>
      <c r="F130" s="295">
        <v>0.33070699999999997</v>
      </c>
      <c r="G130" s="295">
        <v>0.32967099999999999</v>
      </c>
      <c r="H130" s="295">
        <v>0.32994099999999998</v>
      </c>
      <c r="I130" s="295">
        <v>0.32929900000000001</v>
      </c>
      <c r="J130" s="295">
        <v>0.32788800000000001</v>
      </c>
      <c r="K130" s="295">
        <v>0.32495400000000002</v>
      </c>
      <c r="L130" s="295">
        <v>0.32215100000000002</v>
      </c>
      <c r="M130" s="295">
        <v>0.31869199999999998</v>
      </c>
      <c r="N130" s="295">
        <v>0.31597500000000001</v>
      </c>
      <c r="O130" s="295">
        <v>0.31334600000000001</v>
      </c>
      <c r="P130" s="295">
        <v>0.31124299999999999</v>
      </c>
      <c r="Q130" s="295">
        <v>0.30930200000000002</v>
      </c>
      <c r="R130" s="295">
        <v>0.30754599999999999</v>
      </c>
      <c r="S130" s="295">
        <v>0.30576900000000001</v>
      </c>
      <c r="T130" s="295">
        <v>0.30368899999999999</v>
      </c>
      <c r="U130" s="295">
        <v>0.30142000000000002</v>
      </c>
      <c r="V130" s="295">
        <v>0.299543</v>
      </c>
      <c r="W130" s="295">
        <v>0.297205</v>
      </c>
      <c r="X130" s="295">
        <v>0.29490699999999997</v>
      </c>
      <c r="Y130" s="295">
        <v>0.29276600000000003</v>
      </c>
      <c r="Z130" s="295">
        <v>0.290603</v>
      </c>
      <c r="AA130" s="295">
        <v>0.28887099999999999</v>
      </c>
      <c r="AB130" s="295">
        <v>0.28717300000000001</v>
      </c>
      <c r="AC130" s="295">
        <v>0.28522999999999998</v>
      </c>
      <c r="AD130" s="295">
        <v>0.28320800000000002</v>
      </c>
      <c r="AE130" s="295">
        <v>0.28154400000000002</v>
      </c>
      <c r="AF130" s="295">
        <v>0.27987899999999999</v>
      </c>
      <c r="AG130" s="295">
        <v>0.27834199999999998</v>
      </c>
      <c r="AH130" s="296">
        <v>-3.5170000000000002E-3</v>
      </c>
    </row>
    <row r="131" spans="1:34" ht="15" customHeight="1" x14ac:dyDescent="0.25">
      <c r="A131" s="213" t="s">
        <v>1059</v>
      </c>
      <c r="B131" s="294" t="s">
        <v>1060</v>
      </c>
      <c r="C131" s="295">
        <v>2.2899999999999999E-3</v>
      </c>
      <c r="D131" s="295">
        <v>2.2899999999999999E-3</v>
      </c>
      <c r="E131" s="295">
        <v>2.1559999999999999E-3</v>
      </c>
      <c r="F131" s="295">
        <v>2.281E-3</v>
      </c>
      <c r="G131" s="295">
        <v>2.8349999999999998E-3</v>
      </c>
      <c r="H131" s="295">
        <v>3.581E-3</v>
      </c>
      <c r="I131" s="295">
        <v>3.333E-3</v>
      </c>
      <c r="J131" s="295">
        <v>3.3059999999999999E-3</v>
      </c>
      <c r="K131" s="295">
        <v>3.2049999999999999E-3</v>
      </c>
      <c r="L131" s="295">
        <v>3.1710000000000002E-3</v>
      </c>
      <c r="M131" s="295">
        <v>3.0969999999999999E-3</v>
      </c>
      <c r="N131" s="295">
        <v>3.0829999999999998E-3</v>
      </c>
      <c r="O131" s="295">
        <v>3.0500000000000002E-3</v>
      </c>
      <c r="P131" s="295">
        <v>3.0530000000000002E-3</v>
      </c>
      <c r="Q131" s="295">
        <v>3.0590000000000001E-3</v>
      </c>
      <c r="R131" s="295">
        <v>3.065E-3</v>
      </c>
      <c r="S131" s="295">
        <v>3.088E-3</v>
      </c>
      <c r="T131" s="295">
        <v>3.1210000000000001E-3</v>
      </c>
      <c r="U131" s="295">
        <v>3.0990000000000002E-3</v>
      </c>
      <c r="V131" s="295">
        <v>3.1310000000000001E-3</v>
      </c>
      <c r="W131" s="295">
        <v>2.9919999999999999E-3</v>
      </c>
      <c r="X131" s="295">
        <v>2.9710000000000001E-3</v>
      </c>
      <c r="Y131" s="295">
        <v>2.9819999999999998E-3</v>
      </c>
      <c r="Z131" s="295">
        <v>3.0040000000000002E-3</v>
      </c>
      <c r="AA131" s="295">
        <v>3.0209999999999998E-3</v>
      </c>
      <c r="AB131" s="295">
        <v>3.0439999999999998E-3</v>
      </c>
      <c r="AC131" s="295">
        <v>3.045E-3</v>
      </c>
      <c r="AD131" s="295">
        <v>3.0539999999999999E-3</v>
      </c>
      <c r="AE131" s="295">
        <v>3.0720000000000001E-3</v>
      </c>
      <c r="AF131" s="295">
        <v>3.0860000000000002E-3</v>
      </c>
      <c r="AG131" s="295">
        <v>3.1020000000000002E-3</v>
      </c>
      <c r="AH131" s="296">
        <v>1.0163E-2</v>
      </c>
    </row>
    <row r="132" spans="1:34" ht="15" customHeight="1" x14ac:dyDescent="0.25">
      <c r="A132" s="213" t="s">
        <v>1061</v>
      </c>
      <c r="B132" s="294" t="s">
        <v>1040</v>
      </c>
      <c r="C132" s="295">
        <v>0.80576000000000003</v>
      </c>
      <c r="D132" s="295">
        <v>0.84775</v>
      </c>
      <c r="E132" s="295">
        <v>0.86350499999999997</v>
      </c>
      <c r="F132" s="295">
        <v>0.86719100000000005</v>
      </c>
      <c r="G132" s="295">
        <v>0.87225299999999995</v>
      </c>
      <c r="H132" s="295">
        <v>0.87871299999999997</v>
      </c>
      <c r="I132" s="295">
        <v>0.87961999999999996</v>
      </c>
      <c r="J132" s="295">
        <v>0.88014899999999996</v>
      </c>
      <c r="K132" s="295">
        <v>0.87848800000000005</v>
      </c>
      <c r="L132" s="295">
        <v>0.87746400000000002</v>
      </c>
      <c r="M132" s="295">
        <v>0.87505100000000002</v>
      </c>
      <c r="N132" s="295">
        <v>0.87442399999999998</v>
      </c>
      <c r="O132" s="295">
        <v>0.87353700000000001</v>
      </c>
      <c r="P132" s="295">
        <v>0.87360099999999996</v>
      </c>
      <c r="Q132" s="295">
        <v>0.87382300000000002</v>
      </c>
      <c r="R132" s="295">
        <v>0.87427900000000003</v>
      </c>
      <c r="S132" s="295">
        <v>0.87463100000000005</v>
      </c>
      <c r="T132" s="295">
        <v>0.87462700000000004</v>
      </c>
      <c r="U132" s="295">
        <v>0.87429100000000004</v>
      </c>
      <c r="V132" s="295">
        <v>0.87468800000000002</v>
      </c>
      <c r="W132" s="295">
        <v>0.87411399999999995</v>
      </c>
      <c r="X132" s="295">
        <v>0.87387700000000001</v>
      </c>
      <c r="Y132" s="295">
        <v>0.87399700000000002</v>
      </c>
      <c r="Z132" s="295">
        <v>0.87407199999999996</v>
      </c>
      <c r="AA132" s="295">
        <v>0.87475599999999998</v>
      </c>
      <c r="AB132" s="295">
        <v>0.87568100000000004</v>
      </c>
      <c r="AC132" s="295">
        <v>0.87591200000000002</v>
      </c>
      <c r="AD132" s="295">
        <v>0.87629199999999996</v>
      </c>
      <c r="AE132" s="295">
        <v>0.87711399999999995</v>
      </c>
      <c r="AF132" s="295">
        <v>0.87806399999999996</v>
      </c>
      <c r="AG132" s="295">
        <v>0.87912199999999996</v>
      </c>
      <c r="AH132" s="296">
        <v>2.9090000000000001E-3</v>
      </c>
    </row>
    <row r="133" spans="1:34" ht="15" customHeight="1" x14ac:dyDescent="0.25">
      <c r="A133" s="213" t="s">
        <v>1062</v>
      </c>
      <c r="B133" s="294" t="s">
        <v>152</v>
      </c>
      <c r="C133" s="295">
        <v>3.3130389999999998</v>
      </c>
      <c r="D133" s="295">
        <v>3.4220869999999999</v>
      </c>
      <c r="E133" s="295">
        <v>3.3935200000000001</v>
      </c>
      <c r="F133" s="295">
        <v>3.5036510000000001</v>
      </c>
      <c r="G133" s="295">
        <v>3.569261</v>
      </c>
      <c r="H133" s="295">
        <v>3.6281210000000002</v>
      </c>
      <c r="I133" s="295">
        <v>3.6347179999999999</v>
      </c>
      <c r="J133" s="295">
        <v>3.636774</v>
      </c>
      <c r="K133" s="295">
        <v>3.637975</v>
      </c>
      <c r="L133" s="295">
        <v>3.6365729999999998</v>
      </c>
      <c r="M133" s="295">
        <v>3.6281680000000001</v>
      </c>
      <c r="N133" s="295">
        <v>3.629257</v>
      </c>
      <c r="O133" s="295">
        <v>3.6344560000000001</v>
      </c>
      <c r="P133" s="295">
        <v>3.639338</v>
      </c>
      <c r="Q133" s="295">
        <v>3.6436190000000002</v>
      </c>
      <c r="R133" s="295">
        <v>3.6501100000000002</v>
      </c>
      <c r="S133" s="295">
        <v>3.6579700000000002</v>
      </c>
      <c r="T133" s="295">
        <v>3.6650390000000002</v>
      </c>
      <c r="U133" s="295">
        <v>3.6710280000000002</v>
      </c>
      <c r="V133" s="295">
        <v>3.6764079999999999</v>
      </c>
      <c r="W133" s="295">
        <v>3.6826690000000002</v>
      </c>
      <c r="X133" s="295">
        <v>3.6899419999999998</v>
      </c>
      <c r="Y133" s="295">
        <v>3.6974879999999999</v>
      </c>
      <c r="Z133" s="295">
        <v>3.7044609999999998</v>
      </c>
      <c r="AA133" s="295">
        <v>3.711992</v>
      </c>
      <c r="AB133" s="295">
        <v>3.7175910000000001</v>
      </c>
      <c r="AC133" s="295">
        <v>3.7228889999999999</v>
      </c>
      <c r="AD133" s="295">
        <v>3.726569</v>
      </c>
      <c r="AE133" s="295">
        <v>3.728961</v>
      </c>
      <c r="AF133" s="295">
        <v>3.7295829999999999</v>
      </c>
      <c r="AG133" s="295">
        <v>3.7291690000000002</v>
      </c>
      <c r="AH133" s="296">
        <v>3.9519999999999998E-3</v>
      </c>
    </row>
    <row r="134" spans="1:34" ht="15" customHeight="1" x14ac:dyDescent="0.25">
      <c r="A134" s="213" t="s">
        <v>1063</v>
      </c>
      <c r="B134" s="294" t="s">
        <v>160</v>
      </c>
      <c r="C134" s="295">
        <v>1.7229999999999999E-2</v>
      </c>
      <c r="D134" s="295">
        <v>1.5640000000000001E-2</v>
      </c>
      <c r="E134" s="295">
        <v>1.4035000000000001E-2</v>
      </c>
      <c r="F134" s="295">
        <v>1.5413E-2</v>
      </c>
      <c r="G134" s="295">
        <v>1.5117E-2</v>
      </c>
      <c r="H134" s="295">
        <v>1.4992E-2</v>
      </c>
      <c r="I134" s="295">
        <v>1.4925000000000001E-2</v>
      </c>
      <c r="J134" s="295">
        <v>1.4909E-2</v>
      </c>
      <c r="K134" s="295">
        <v>1.4822E-2</v>
      </c>
      <c r="L134" s="295">
        <v>1.4695E-2</v>
      </c>
      <c r="M134" s="295">
        <v>1.4566000000000001E-2</v>
      </c>
      <c r="N134" s="295">
        <v>1.4422000000000001E-2</v>
      </c>
      <c r="O134" s="295">
        <v>1.4271000000000001E-2</v>
      </c>
      <c r="P134" s="295">
        <v>1.4132E-2</v>
      </c>
      <c r="Q134" s="295">
        <v>1.4E-2</v>
      </c>
      <c r="R134" s="295">
        <v>1.3847999999999999E-2</v>
      </c>
      <c r="S134" s="295">
        <v>1.3664000000000001E-2</v>
      </c>
      <c r="T134" s="295">
        <v>1.3565000000000001E-2</v>
      </c>
      <c r="U134" s="295">
        <v>1.3480000000000001E-2</v>
      </c>
      <c r="V134" s="295">
        <v>1.3431999999999999E-2</v>
      </c>
      <c r="W134" s="295">
        <v>1.3331000000000001E-2</v>
      </c>
      <c r="X134" s="295">
        <v>1.3254999999999999E-2</v>
      </c>
      <c r="Y134" s="295">
        <v>1.3176999999999999E-2</v>
      </c>
      <c r="Z134" s="295">
        <v>1.3076000000000001E-2</v>
      </c>
      <c r="AA134" s="295">
        <v>1.2991000000000001E-2</v>
      </c>
      <c r="AB134" s="295">
        <v>1.2942E-2</v>
      </c>
      <c r="AC134" s="295">
        <v>1.2859000000000001E-2</v>
      </c>
      <c r="AD134" s="295">
        <v>1.2784E-2</v>
      </c>
      <c r="AE134" s="295">
        <v>1.2730999999999999E-2</v>
      </c>
      <c r="AF134" s="295">
        <v>1.2630000000000001E-2</v>
      </c>
      <c r="AG134" s="295">
        <v>1.2529E-2</v>
      </c>
      <c r="AH134" s="296">
        <v>-1.0562999999999999E-2</v>
      </c>
    </row>
    <row r="135" spans="1:34" ht="15" customHeight="1" x14ac:dyDescent="0.25">
      <c r="A135" s="213" t="s">
        <v>1064</v>
      </c>
      <c r="B135" s="294" t="s">
        <v>1065</v>
      </c>
      <c r="C135" s="295">
        <v>0.131216</v>
      </c>
      <c r="D135" s="295">
        <v>0.131216</v>
      </c>
      <c r="E135" s="295">
        <v>0.131216</v>
      </c>
      <c r="F135" s="295">
        <v>0.131216</v>
      </c>
      <c r="G135" s="295">
        <v>0.131216</v>
      </c>
      <c r="H135" s="295">
        <v>0.131216</v>
      </c>
      <c r="I135" s="295">
        <v>0.131216</v>
      </c>
      <c r="J135" s="295">
        <v>0.131216</v>
      </c>
      <c r="K135" s="295">
        <v>0.131216</v>
      </c>
      <c r="L135" s="295">
        <v>0.131216</v>
      </c>
      <c r="M135" s="295">
        <v>0.131216</v>
      </c>
      <c r="N135" s="295">
        <v>0.131216</v>
      </c>
      <c r="O135" s="295">
        <v>0.131216</v>
      </c>
      <c r="P135" s="295">
        <v>0.131216</v>
      </c>
      <c r="Q135" s="295">
        <v>0.131216</v>
      </c>
      <c r="R135" s="295">
        <v>0.131216</v>
      </c>
      <c r="S135" s="295">
        <v>0.131216</v>
      </c>
      <c r="T135" s="295">
        <v>0.131216</v>
      </c>
      <c r="U135" s="295">
        <v>0.131216</v>
      </c>
      <c r="V135" s="295">
        <v>0.131216</v>
      </c>
      <c r="W135" s="295">
        <v>0.131216</v>
      </c>
      <c r="X135" s="295">
        <v>0.131216</v>
      </c>
      <c r="Y135" s="295">
        <v>0.131216</v>
      </c>
      <c r="Z135" s="295">
        <v>0.131216</v>
      </c>
      <c r="AA135" s="295">
        <v>0.131216</v>
      </c>
      <c r="AB135" s="295">
        <v>0.131216</v>
      </c>
      <c r="AC135" s="295">
        <v>0.131216</v>
      </c>
      <c r="AD135" s="295">
        <v>0.131216</v>
      </c>
      <c r="AE135" s="295">
        <v>0.131216</v>
      </c>
      <c r="AF135" s="295">
        <v>0.131216</v>
      </c>
      <c r="AG135" s="295">
        <v>0.131216</v>
      </c>
      <c r="AH135" s="296">
        <v>0</v>
      </c>
    </row>
    <row r="136" spans="1:34" ht="15" customHeight="1" x14ac:dyDescent="0.25">
      <c r="A136" s="213" t="s">
        <v>1066</v>
      </c>
      <c r="B136" s="294" t="s">
        <v>1045</v>
      </c>
      <c r="C136" s="295">
        <v>4.3354299999999997</v>
      </c>
      <c r="D136" s="295">
        <v>4.3956049999999998</v>
      </c>
      <c r="E136" s="295">
        <v>4.490564</v>
      </c>
      <c r="F136" s="295">
        <v>4.5579850000000004</v>
      </c>
      <c r="G136" s="295">
        <v>4.6327299999999996</v>
      </c>
      <c r="H136" s="295">
        <v>4.7054830000000001</v>
      </c>
      <c r="I136" s="295">
        <v>4.7149419999999997</v>
      </c>
      <c r="J136" s="295">
        <v>4.72438</v>
      </c>
      <c r="K136" s="295">
        <v>4.737476</v>
      </c>
      <c r="L136" s="295">
        <v>4.750947</v>
      </c>
      <c r="M136" s="295">
        <v>4.7594010000000004</v>
      </c>
      <c r="N136" s="295">
        <v>4.7724190000000002</v>
      </c>
      <c r="O136" s="295">
        <v>4.7960520000000004</v>
      </c>
      <c r="P136" s="295">
        <v>4.8149379999999997</v>
      </c>
      <c r="Q136" s="295">
        <v>4.8411059999999999</v>
      </c>
      <c r="R136" s="295">
        <v>4.865653</v>
      </c>
      <c r="S136" s="295">
        <v>4.893783</v>
      </c>
      <c r="T136" s="295">
        <v>4.9271760000000002</v>
      </c>
      <c r="U136" s="295">
        <v>4.9632779999999999</v>
      </c>
      <c r="V136" s="295">
        <v>5.0012150000000002</v>
      </c>
      <c r="W136" s="295">
        <v>5.0369650000000004</v>
      </c>
      <c r="X136" s="295">
        <v>5.0773830000000002</v>
      </c>
      <c r="Y136" s="295">
        <v>5.118773</v>
      </c>
      <c r="Z136" s="295">
        <v>5.1726330000000003</v>
      </c>
      <c r="AA136" s="295">
        <v>5.2246810000000004</v>
      </c>
      <c r="AB136" s="295">
        <v>5.2809790000000003</v>
      </c>
      <c r="AC136" s="295">
        <v>5.3402219999999998</v>
      </c>
      <c r="AD136" s="295">
        <v>5.40219</v>
      </c>
      <c r="AE136" s="295">
        <v>5.4692540000000003</v>
      </c>
      <c r="AF136" s="295">
        <v>5.5445120000000001</v>
      </c>
      <c r="AG136" s="295">
        <v>5.6248189999999996</v>
      </c>
      <c r="AH136" s="296">
        <v>8.7170000000000008E-3</v>
      </c>
    </row>
    <row r="137" spans="1:34" ht="15" customHeight="1" x14ac:dyDescent="0.2">
      <c r="A137" s="213" t="s">
        <v>1067</v>
      </c>
      <c r="B137" s="204" t="s">
        <v>1047</v>
      </c>
      <c r="C137" s="205">
        <v>8.6026749999999996</v>
      </c>
      <c r="D137" s="205">
        <v>8.8122980000000002</v>
      </c>
      <c r="E137" s="205">
        <v>8.8928399999999996</v>
      </c>
      <c r="F137" s="205">
        <v>9.0754549999999998</v>
      </c>
      <c r="G137" s="205">
        <v>9.2205750000000002</v>
      </c>
      <c r="H137" s="205">
        <v>9.3585239999999992</v>
      </c>
      <c r="I137" s="205">
        <v>9.3754209999999993</v>
      </c>
      <c r="J137" s="205">
        <v>9.3874270000000006</v>
      </c>
      <c r="K137" s="205">
        <v>9.3999769999999998</v>
      </c>
      <c r="L137" s="205">
        <v>9.4108970000000003</v>
      </c>
      <c r="M137" s="205">
        <v>9.4084009999999996</v>
      </c>
      <c r="N137" s="205">
        <v>9.4217370000000003</v>
      </c>
      <c r="O137" s="205">
        <v>9.4495319999999996</v>
      </c>
      <c r="P137" s="205">
        <v>9.4732249999999993</v>
      </c>
      <c r="Q137" s="205">
        <v>9.5037640000000003</v>
      </c>
      <c r="R137" s="205">
        <v>9.5351060000000007</v>
      </c>
      <c r="S137" s="205">
        <v>9.5712639999999993</v>
      </c>
      <c r="T137" s="205">
        <v>9.6116250000000001</v>
      </c>
      <c r="U137" s="205">
        <v>9.6532920000000004</v>
      </c>
      <c r="V137" s="205">
        <v>9.6969589999999997</v>
      </c>
      <c r="W137" s="205">
        <v>9.7382960000000001</v>
      </c>
      <c r="X137" s="205">
        <v>9.7856719999999999</v>
      </c>
      <c r="Y137" s="205">
        <v>9.8346509999999991</v>
      </c>
      <c r="Z137" s="205">
        <v>9.8954579999999996</v>
      </c>
      <c r="AA137" s="205">
        <v>9.9556349999999991</v>
      </c>
      <c r="AB137" s="205">
        <v>10.018408000000001</v>
      </c>
      <c r="AC137" s="205">
        <v>10.083097</v>
      </c>
      <c r="AD137" s="205">
        <v>10.149053</v>
      </c>
      <c r="AE137" s="205">
        <v>10.219275</v>
      </c>
      <c r="AF137" s="205">
        <v>10.296004999999999</v>
      </c>
      <c r="AG137" s="205">
        <v>10.376855000000001</v>
      </c>
      <c r="AH137" s="206">
        <v>6.2700000000000004E-3</v>
      </c>
    </row>
    <row r="138" spans="1:34" ht="15" customHeight="1" x14ac:dyDescent="0.25">
      <c r="A138" s="213" t="s">
        <v>1068</v>
      </c>
      <c r="B138" s="294" t="s">
        <v>1049</v>
      </c>
      <c r="C138" s="295">
        <v>8.0809519999999999</v>
      </c>
      <c r="D138" s="295">
        <v>8.1845909999999993</v>
      </c>
      <c r="E138" s="295">
        <v>8.3998279999999994</v>
      </c>
      <c r="F138" s="295">
        <v>8.3566669999999998</v>
      </c>
      <c r="G138" s="295">
        <v>8.3247060000000008</v>
      </c>
      <c r="H138" s="295">
        <v>8.2172800000000006</v>
      </c>
      <c r="I138" s="295">
        <v>8.009226</v>
      </c>
      <c r="J138" s="295">
        <v>7.9336469999999997</v>
      </c>
      <c r="K138" s="295">
        <v>7.911225</v>
      </c>
      <c r="L138" s="295">
        <v>7.9042279999999998</v>
      </c>
      <c r="M138" s="295">
        <v>7.9013109999999998</v>
      </c>
      <c r="N138" s="295">
        <v>7.9039489999999999</v>
      </c>
      <c r="O138" s="295">
        <v>7.8967400000000003</v>
      </c>
      <c r="P138" s="295">
        <v>7.8973040000000001</v>
      </c>
      <c r="Q138" s="295">
        <v>7.8990650000000002</v>
      </c>
      <c r="R138" s="295">
        <v>7.9164570000000003</v>
      </c>
      <c r="S138" s="295">
        <v>7.9342370000000004</v>
      </c>
      <c r="T138" s="295">
        <v>7.9624300000000003</v>
      </c>
      <c r="U138" s="295">
        <v>7.9764920000000004</v>
      </c>
      <c r="V138" s="295">
        <v>7.9954520000000002</v>
      </c>
      <c r="W138" s="295">
        <v>8.0155829999999995</v>
      </c>
      <c r="X138" s="295">
        <v>8.0541889999999992</v>
      </c>
      <c r="Y138" s="295">
        <v>8.0948619999999991</v>
      </c>
      <c r="Z138" s="295">
        <v>8.1479429999999997</v>
      </c>
      <c r="AA138" s="295">
        <v>8.1954750000000001</v>
      </c>
      <c r="AB138" s="295">
        <v>8.2483559999999994</v>
      </c>
      <c r="AC138" s="295">
        <v>8.3115620000000003</v>
      </c>
      <c r="AD138" s="295">
        <v>8.3830039999999997</v>
      </c>
      <c r="AE138" s="295">
        <v>8.472766</v>
      </c>
      <c r="AF138" s="295">
        <v>8.5654170000000001</v>
      </c>
      <c r="AG138" s="295">
        <v>8.6537319999999998</v>
      </c>
      <c r="AH138" s="296">
        <v>2.2850000000000001E-3</v>
      </c>
    </row>
    <row r="139" spans="1:34" ht="15" customHeight="1" x14ac:dyDescent="0.2">
      <c r="A139" s="213" t="s">
        <v>1069</v>
      </c>
      <c r="B139" s="204" t="s">
        <v>179</v>
      </c>
      <c r="C139" s="205">
        <v>16.683627999999999</v>
      </c>
      <c r="D139" s="205">
        <v>16.996888999999999</v>
      </c>
      <c r="E139" s="205">
        <v>17.292667000000002</v>
      </c>
      <c r="F139" s="205">
        <v>17.432120999999999</v>
      </c>
      <c r="G139" s="205">
        <v>17.545280000000002</v>
      </c>
      <c r="H139" s="205">
        <v>17.575806</v>
      </c>
      <c r="I139" s="205">
        <v>17.384647000000001</v>
      </c>
      <c r="J139" s="205">
        <v>17.321075</v>
      </c>
      <c r="K139" s="205">
        <v>17.311202999999999</v>
      </c>
      <c r="L139" s="205">
        <v>17.315124999999998</v>
      </c>
      <c r="M139" s="205">
        <v>17.309711</v>
      </c>
      <c r="N139" s="205">
        <v>17.325686000000001</v>
      </c>
      <c r="O139" s="205">
        <v>17.346271999999999</v>
      </c>
      <c r="P139" s="205">
        <v>17.370529000000001</v>
      </c>
      <c r="Q139" s="205">
        <v>17.402828</v>
      </c>
      <c r="R139" s="205">
        <v>17.451563</v>
      </c>
      <c r="S139" s="205">
        <v>17.505500999999999</v>
      </c>
      <c r="T139" s="205">
        <v>17.574055000000001</v>
      </c>
      <c r="U139" s="205">
        <v>17.629784000000001</v>
      </c>
      <c r="V139" s="205">
        <v>17.692409999999999</v>
      </c>
      <c r="W139" s="205">
        <v>17.753879999999999</v>
      </c>
      <c r="X139" s="205">
        <v>17.839860999999999</v>
      </c>
      <c r="Y139" s="205">
        <v>17.929511999999999</v>
      </c>
      <c r="Z139" s="205">
        <v>18.043399999999998</v>
      </c>
      <c r="AA139" s="205">
        <v>18.151109999999999</v>
      </c>
      <c r="AB139" s="205">
        <v>18.266763999999998</v>
      </c>
      <c r="AC139" s="205">
        <v>18.394659000000001</v>
      </c>
      <c r="AD139" s="205">
        <v>18.532056999999998</v>
      </c>
      <c r="AE139" s="205">
        <v>18.692041</v>
      </c>
      <c r="AF139" s="205">
        <v>18.861422999999998</v>
      </c>
      <c r="AG139" s="205">
        <v>19.030586</v>
      </c>
      <c r="AH139" s="206">
        <v>4.3969999999999999E-3</v>
      </c>
    </row>
    <row r="141" spans="1:34" ht="15" customHeight="1" x14ac:dyDescent="0.2">
      <c r="B141" s="204" t="s">
        <v>1070</v>
      </c>
    </row>
    <row r="142" spans="1:34" ht="15" customHeight="1" x14ac:dyDescent="0.25">
      <c r="A142" s="213" t="s">
        <v>1071</v>
      </c>
      <c r="B142" s="294" t="s">
        <v>1072</v>
      </c>
      <c r="C142" s="295">
        <v>3.1299549999999998</v>
      </c>
      <c r="D142" s="295">
        <v>3.386781</v>
      </c>
      <c r="E142" s="295">
        <v>3.6518510000000002</v>
      </c>
      <c r="F142" s="295">
        <v>3.7763610000000001</v>
      </c>
      <c r="G142" s="295">
        <v>3.892941</v>
      </c>
      <c r="H142" s="295">
        <v>3.9946410000000001</v>
      </c>
      <c r="I142" s="295">
        <v>4.0597500000000002</v>
      </c>
      <c r="J142" s="295">
        <v>4.1080740000000002</v>
      </c>
      <c r="K142" s="295">
        <v>4.1653770000000003</v>
      </c>
      <c r="L142" s="295">
        <v>4.2273480000000001</v>
      </c>
      <c r="M142" s="295">
        <v>4.3049340000000003</v>
      </c>
      <c r="N142" s="295">
        <v>4.3769869999999997</v>
      </c>
      <c r="O142" s="295">
        <v>4.4281519999999999</v>
      </c>
      <c r="P142" s="295">
        <v>4.487323</v>
      </c>
      <c r="Q142" s="295">
        <v>4.555828</v>
      </c>
      <c r="R142" s="295">
        <v>4.6235419999999996</v>
      </c>
      <c r="S142" s="295">
        <v>4.6667880000000004</v>
      </c>
      <c r="T142" s="295">
        <v>4.718928</v>
      </c>
      <c r="U142" s="295">
        <v>4.7689620000000001</v>
      </c>
      <c r="V142" s="295">
        <v>4.7953900000000003</v>
      </c>
      <c r="W142" s="295">
        <v>4.8040479999999999</v>
      </c>
      <c r="X142" s="295">
        <v>4.828106</v>
      </c>
      <c r="Y142" s="295">
        <v>4.8799419999999998</v>
      </c>
      <c r="Z142" s="295">
        <v>4.9218789999999997</v>
      </c>
      <c r="AA142" s="295">
        <v>4.9445259999999998</v>
      </c>
      <c r="AB142" s="295">
        <v>4.980334</v>
      </c>
      <c r="AC142" s="295">
        <v>5.0111889999999999</v>
      </c>
      <c r="AD142" s="295">
        <v>5.0438879999999999</v>
      </c>
      <c r="AE142" s="295">
        <v>5.0779709999999998</v>
      </c>
      <c r="AF142" s="295">
        <v>5.1424190000000003</v>
      </c>
      <c r="AG142" s="295">
        <v>5.1972120000000004</v>
      </c>
      <c r="AH142" s="296">
        <v>1.7047E-2</v>
      </c>
    </row>
    <row r="143" spans="1:34" ht="15" customHeight="1" x14ac:dyDescent="0.25">
      <c r="A143" s="213" t="s">
        <v>1073</v>
      </c>
      <c r="B143" s="294" t="s">
        <v>1054</v>
      </c>
      <c r="C143" s="295">
        <v>0.238015</v>
      </c>
      <c r="D143" s="295">
        <v>0.25910300000000003</v>
      </c>
      <c r="E143" s="295">
        <v>0.26631300000000002</v>
      </c>
      <c r="F143" s="295">
        <v>0.27327800000000002</v>
      </c>
      <c r="G143" s="295">
        <v>0.27912900000000002</v>
      </c>
      <c r="H143" s="295">
        <v>0.28532800000000003</v>
      </c>
      <c r="I143" s="295">
        <v>0.29039700000000002</v>
      </c>
      <c r="J143" s="295">
        <v>0.294377</v>
      </c>
      <c r="K143" s="295">
        <v>0.29767700000000002</v>
      </c>
      <c r="L143" s="295">
        <v>0.30102400000000001</v>
      </c>
      <c r="M143" s="295">
        <v>0.30452699999999999</v>
      </c>
      <c r="N143" s="295">
        <v>0.30830000000000002</v>
      </c>
      <c r="O143" s="295">
        <v>0.311921</v>
      </c>
      <c r="P143" s="295">
        <v>0.31528600000000001</v>
      </c>
      <c r="Q143" s="295">
        <v>0.31899899999999998</v>
      </c>
      <c r="R143" s="295">
        <v>0.322577</v>
      </c>
      <c r="S143" s="295">
        <v>0.32566400000000001</v>
      </c>
      <c r="T143" s="295">
        <v>0.32882299999999998</v>
      </c>
      <c r="U143" s="295">
        <v>0.33240199999999998</v>
      </c>
      <c r="V143" s="295">
        <v>0.336007</v>
      </c>
      <c r="W143" s="295">
        <v>0.33976299999999998</v>
      </c>
      <c r="X143" s="295">
        <v>0.34373100000000001</v>
      </c>
      <c r="Y143" s="295">
        <v>0.34798699999999999</v>
      </c>
      <c r="Z143" s="295">
        <v>0.352715</v>
      </c>
      <c r="AA143" s="295">
        <v>0.357547</v>
      </c>
      <c r="AB143" s="295">
        <v>0.36209200000000002</v>
      </c>
      <c r="AC143" s="295">
        <v>0.36675999999999997</v>
      </c>
      <c r="AD143" s="295">
        <v>0.371305</v>
      </c>
      <c r="AE143" s="295">
        <v>0.37608799999999998</v>
      </c>
      <c r="AF143" s="295">
        <v>0.38109399999999999</v>
      </c>
      <c r="AG143" s="295">
        <v>0.38614799999999999</v>
      </c>
      <c r="AH143" s="296">
        <v>1.626E-2</v>
      </c>
    </row>
    <row r="144" spans="1:34" ht="15" customHeight="1" x14ac:dyDescent="0.25">
      <c r="A144" s="213" t="s">
        <v>1074</v>
      </c>
      <c r="B144" s="294" t="s">
        <v>1058</v>
      </c>
      <c r="C144" s="295">
        <v>1.1348670000000001</v>
      </c>
      <c r="D144" s="295">
        <v>1.1941010000000001</v>
      </c>
      <c r="E144" s="295">
        <v>1.218216</v>
      </c>
      <c r="F144" s="295">
        <v>1.2388760000000001</v>
      </c>
      <c r="G144" s="295">
        <v>1.261172</v>
      </c>
      <c r="H144" s="295">
        <v>1.2878019999999999</v>
      </c>
      <c r="I144" s="295">
        <v>1.3116760000000001</v>
      </c>
      <c r="J144" s="295">
        <v>1.330589</v>
      </c>
      <c r="K144" s="295">
        <v>1.3454930000000001</v>
      </c>
      <c r="L144" s="295">
        <v>1.361019</v>
      </c>
      <c r="M144" s="295">
        <v>1.378233</v>
      </c>
      <c r="N144" s="295">
        <v>1.397494</v>
      </c>
      <c r="O144" s="295">
        <v>1.4152340000000001</v>
      </c>
      <c r="P144" s="295">
        <v>1.4319219999999999</v>
      </c>
      <c r="Q144" s="295">
        <v>1.4502619999999999</v>
      </c>
      <c r="R144" s="295">
        <v>1.469061</v>
      </c>
      <c r="S144" s="295">
        <v>1.4848619999999999</v>
      </c>
      <c r="T144" s="295">
        <v>1.500089</v>
      </c>
      <c r="U144" s="295">
        <v>1.5176810000000001</v>
      </c>
      <c r="V144" s="295">
        <v>1.5353019999999999</v>
      </c>
      <c r="W144" s="295">
        <v>1.552948</v>
      </c>
      <c r="X144" s="295">
        <v>1.5730379999999999</v>
      </c>
      <c r="Y144" s="295">
        <v>1.5948310000000001</v>
      </c>
      <c r="Z144" s="295">
        <v>1.6189</v>
      </c>
      <c r="AA144" s="295">
        <v>1.643961</v>
      </c>
      <c r="AB144" s="295">
        <v>1.6683220000000001</v>
      </c>
      <c r="AC144" s="295">
        <v>1.692229</v>
      </c>
      <c r="AD144" s="295">
        <v>1.715713</v>
      </c>
      <c r="AE144" s="295">
        <v>1.7410429999999999</v>
      </c>
      <c r="AF144" s="295">
        <v>1.768589</v>
      </c>
      <c r="AG144" s="295">
        <v>1.796802</v>
      </c>
      <c r="AH144" s="296">
        <v>1.5434E-2</v>
      </c>
    </row>
    <row r="145" spans="1:34" ht="15" customHeight="1" x14ac:dyDescent="0.25">
      <c r="A145" s="213" t="s">
        <v>1075</v>
      </c>
      <c r="B145" s="294" t="s">
        <v>1060</v>
      </c>
      <c r="C145" s="295">
        <v>3.048E-2</v>
      </c>
      <c r="D145" s="295">
        <v>3.4244999999999998E-2</v>
      </c>
      <c r="E145" s="295">
        <v>3.4750999999999997E-2</v>
      </c>
      <c r="F145" s="295">
        <v>3.4202999999999997E-2</v>
      </c>
      <c r="G145" s="295">
        <v>3.3766999999999998E-2</v>
      </c>
      <c r="H145" s="295">
        <v>3.4161999999999998E-2</v>
      </c>
      <c r="I145" s="295">
        <v>3.4610000000000002E-2</v>
      </c>
      <c r="J145" s="295">
        <v>3.5263999999999997E-2</v>
      </c>
      <c r="K145" s="295">
        <v>3.5737999999999999E-2</v>
      </c>
      <c r="L145" s="295">
        <v>3.6353000000000003E-2</v>
      </c>
      <c r="M145" s="295">
        <v>3.6901999999999997E-2</v>
      </c>
      <c r="N145" s="295">
        <v>3.7472999999999999E-2</v>
      </c>
      <c r="O145" s="295">
        <v>3.7623999999999998E-2</v>
      </c>
      <c r="P145" s="295">
        <v>3.8008E-2</v>
      </c>
      <c r="Q145" s="295">
        <v>3.8370000000000001E-2</v>
      </c>
      <c r="R145" s="295">
        <v>3.8572000000000002E-2</v>
      </c>
      <c r="S145" s="295">
        <v>3.8747999999999998E-2</v>
      </c>
      <c r="T145" s="295">
        <v>3.9002000000000002E-2</v>
      </c>
      <c r="U145" s="295">
        <v>3.9153E-2</v>
      </c>
      <c r="V145" s="295">
        <v>3.9356000000000002E-2</v>
      </c>
      <c r="W145" s="295">
        <v>3.9150999999999998E-2</v>
      </c>
      <c r="X145" s="295">
        <v>3.9204000000000003E-2</v>
      </c>
      <c r="Y145" s="295">
        <v>3.9435999999999999E-2</v>
      </c>
      <c r="Z145" s="295">
        <v>3.9724000000000002E-2</v>
      </c>
      <c r="AA145" s="295">
        <v>3.9949999999999999E-2</v>
      </c>
      <c r="AB145" s="295">
        <v>4.0079999999999998E-2</v>
      </c>
      <c r="AC145" s="295">
        <v>4.0253999999999998E-2</v>
      </c>
      <c r="AD145" s="295">
        <v>4.0475999999999998E-2</v>
      </c>
      <c r="AE145" s="295">
        <v>4.0728E-2</v>
      </c>
      <c r="AF145" s="295">
        <v>4.1022000000000003E-2</v>
      </c>
      <c r="AG145" s="295">
        <v>4.1235000000000001E-2</v>
      </c>
      <c r="AH145" s="296">
        <v>1.0125E-2</v>
      </c>
    </row>
    <row r="146" spans="1:34" ht="15" customHeight="1" x14ac:dyDescent="0.25">
      <c r="A146" s="213" t="s">
        <v>1076</v>
      </c>
      <c r="B146" s="294" t="s">
        <v>1077</v>
      </c>
      <c r="C146" s="295">
        <v>0.58092500000000002</v>
      </c>
      <c r="D146" s="295">
        <v>0.60737300000000005</v>
      </c>
      <c r="E146" s="295">
        <v>0.64119300000000001</v>
      </c>
      <c r="F146" s="295">
        <v>0.64207400000000003</v>
      </c>
      <c r="G146" s="295">
        <v>0.64420200000000005</v>
      </c>
      <c r="H146" s="295">
        <v>0.64595999999999998</v>
      </c>
      <c r="I146" s="295">
        <v>0.64704899999999999</v>
      </c>
      <c r="J146" s="295">
        <v>0.64783100000000005</v>
      </c>
      <c r="K146" s="295">
        <v>0.64876900000000004</v>
      </c>
      <c r="L146" s="295">
        <v>0.64976400000000001</v>
      </c>
      <c r="M146" s="295">
        <v>0.65099600000000002</v>
      </c>
      <c r="N146" s="295">
        <v>0.65211300000000005</v>
      </c>
      <c r="O146" s="295">
        <v>0.65287300000000004</v>
      </c>
      <c r="P146" s="295">
        <v>0.65375799999999995</v>
      </c>
      <c r="Q146" s="295">
        <v>0.65477099999999999</v>
      </c>
      <c r="R146" s="295">
        <v>0.65575600000000001</v>
      </c>
      <c r="S146" s="295">
        <v>0.65636799999999995</v>
      </c>
      <c r="T146" s="295">
        <v>0.65710500000000005</v>
      </c>
      <c r="U146" s="295">
        <v>0.65780099999999997</v>
      </c>
      <c r="V146" s="295">
        <v>0.65814600000000001</v>
      </c>
      <c r="W146" s="295">
        <v>0.65824199999999999</v>
      </c>
      <c r="X146" s="295">
        <v>0.658551</v>
      </c>
      <c r="Y146" s="295">
        <v>0.65925299999999998</v>
      </c>
      <c r="Z146" s="295">
        <v>0.65980399999999995</v>
      </c>
      <c r="AA146" s="295">
        <v>0.66007499999999997</v>
      </c>
      <c r="AB146" s="295">
        <v>0.66052699999999998</v>
      </c>
      <c r="AC146" s="295">
        <v>0.660914</v>
      </c>
      <c r="AD146" s="295">
        <v>0.66132500000000005</v>
      </c>
      <c r="AE146" s="295">
        <v>0.661748</v>
      </c>
      <c r="AF146" s="295">
        <v>0.662582</v>
      </c>
      <c r="AG146" s="295">
        <v>0.66327400000000003</v>
      </c>
      <c r="AH146" s="296">
        <v>4.4289999999999998E-3</v>
      </c>
    </row>
    <row r="147" spans="1:34" ht="15" customHeight="1" x14ac:dyDescent="0.25">
      <c r="A147" s="213" t="s">
        <v>1078</v>
      </c>
      <c r="B147" s="294" t="s">
        <v>1079</v>
      </c>
      <c r="C147" s="295">
        <v>3.2115450000000001</v>
      </c>
      <c r="D147" s="295">
        <v>3.2758259999999999</v>
      </c>
      <c r="E147" s="295">
        <v>3.2770589999999999</v>
      </c>
      <c r="F147" s="295">
        <v>3.284837</v>
      </c>
      <c r="G147" s="295">
        <v>3.264796</v>
      </c>
      <c r="H147" s="295">
        <v>3.2942979999999999</v>
      </c>
      <c r="I147" s="295">
        <v>3.3137539999999999</v>
      </c>
      <c r="J147" s="295">
        <v>3.340309</v>
      </c>
      <c r="K147" s="295">
        <v>3.3689079999999998</v>
      </c>
      <c r="L147" s="295">
        <v>3.4008280000000002</v>
      </c>
      <c r="M147" s="295">
        <v>3.4186610000000002</v>
      </c>
      <c r="N147" s="295">
        <v>3.4432160000000001</v>
      </c>
      <c r="O147" s="295">
        <v>3.4649359999999998</v>
      </c>
      <c r="P147" s="295">
        <v>3.4804930000000001</v>
      </c>
      <c r="Q147" s="295">
        <v>3.5145550000000001</v>
      </c>
      <c r="R147" s="295">
        <v>3.53166</v>
      </c>
      <c r="S147" s="295">
        <v>3.563787</v>
      </c>
      <c r="T147" s="295">
        <v>3.5966269999999998</v>
      </c>
      <c r="U147" s="295">
        <v>3.6091150000000001</v>
      </c>
      <c r="V147" s="295">
        <v>3.6234690000000001</v>
      </c>
      <c r="W147" s="295">
        <v>3.6240570000000001</v>
      </c>
      <c r="X147" s="295">
        <v>3.6359699999999999</v>
      </c>
      <c r="Y147" s="295">
        <v>3.646353</v>
      </c>
      <c r="Z147" s="295">
        <v>3.6452040000000001</v>
      </c>
      <c r="AA147" s="295">
        <v>3.6590370000000001</v>
      </c>
      <c r="AB147" s="295">
        <v>3.6870690000000002</v>
      </c>
      <c r="AC147" s="295">
        <v>3.6935829999999998</v>
      </c>
      <c r="AD147" s="295">
        <v>3.7213159999999998</v>
      </c>
      <c r="AE147" s="295">
        <v>3.758235</v>
      </c>
      <c r="AF147" s="295">
        <v>3.7817460000000001</v>
      </c>
      <c r="AG147" s="295">
        <v>3.8227440000000001</v>
      </c>
      <c r="AH147" s="296">
        <v>5.8240000000000002E-3</v>
      </c>
    </row>
    <row r="148" spans="1:34" ht="15" customHeight="1" x14ac:dyDescent="0.25">
      <c r="A148" s="213" t="s">
        <v>1080</v>
      </c>
      <c r="B148" s="294" t="s">
        <v>1040</v>
      </c>
      <c r="C148" s="295">
        <v>8.325787</v>
      </c>
      <c r="D148" s="295">
        <v>8.7574280000000009</v>
      </c>
      <c r="E148" s="295">
        <v>9.0893820000000005</v>
      </c>
      <c r="F148" s="295">
        <v>9.2496290000000005</v>
      </c>
      <c r="G148" s="295">
        <v>9.3760080000000006</v>
      </c>
      <c r="H148" s="295">
        <v>9.5421899999999997</v>
      </c>
      <c r="I148" s="295">
        <v>9.6572359999999993</v>
      </c>
      <c r="J148" s="295">
        <v>9.7564440000000001</v>
      </c>
      <c r="K148" s="295">
        <v>9.8619599999999998</v>
      </c>
      <c r="L148" s="295">
        <v>9.9763359999999999</v>
      </c>
      <c r="M148" s="295">
        <v>10.094253999999999</v>
      </c>
      <c r="N148" s="295">
        <v>10.215581999999999</v>
      </c>
      <c r="O148" s="295">
        <v>10.310739999999999</v>
      </c>
      <c r="P148" s="295">
        <v>10.406791</v>
      </c>
      <c r="Q148" s="295">
        <v>10.532785000000001</v>
      </c>
      <c r="R148" s="295">
        <v>10.641168</v>
      </c>
      <c r="S148" s="295">
        <v>10.736217</v>
      </c>
      <c r="T148" s="295">
        <v>10.840574</v>
      </c>
      <c r="U148" s="295">
        <v>10.925114000000001</v>
      </c>
      <c r="V148" s="295">
        <v>10.987669</v>
      </c>
      <c r="W148" s="295">
        <v>11.01821</v>
      </c>
      <c r="X148" s="295">
        <v>11.0786</v>
      </c>
      <c r="Y148" s="295">
        <v>11.167805</v>
      </c>
      <c r="Z148" s="295">
        <v>11.238225999999999</v>
      </c>
      <c r="AA148" s="295">
        <v>11.305096000000001</v>
      </c>
      <c r="AB148" s="295">
        <v>11.398424</v>
      </c>
      <c r="AC148" s="295">
        <v>11.464931</v>
      </c>
      <c r="AD148" s="295">
        <v>11.554022</v>
      </c>
      <c r="AE148" s="295">
        <v>11.655813999999999</v>
      </c>
      <c r="AF148" s="295">
        <v>11.777452</v>
      </c>
      <c r="AG148" s="295">
        <v>11.907413999999999</v>
      </c>
      <c r="AH148" s="296">
        <v>1.1998E-2</v>
      </c>
    </row>
    <row r="149" spans="1:34" ht="15" customHeight="1" x14ac:dyDescent="0.25">
      <c r="A149" s="213" t="s">
        <v>1081</v>
      </c>
      <c r="B149" s="294" t="s">
        <v>152</v>
      </c>
      <c r="C149" s="295">
        <v>8.4801990000000007</v>
      </c>
      <c r="D149" s="295">
        <v>8.4200309999999998</v>
      </c>
      <c r="E149" s="295">
        <v>8.4578430000000004</v>
      </c>
      <c r="F149" s="295">
        <v>8.6901949999999992</v>
      </c>
      <c r="G149" s="295">
        <v>8.9474</v>
      </c>
      <c r="H149" s="295">
        <v>9.1169119999999992</v>
      </c>
      <c r="I149" s="295">
        <v>9.2327549999999992</v>
      </c>
      <c r="J149" s="295">
        <v>9.2479990000000001</v>
      </c>
      <c r="K149" s="295">
        <v>9.2991829999999993</v>
      </c>
      <c r="L149" s="295">
        <v>9.3506730000000005</v>
      </c>
      <c r="M149" s="295">
        <v>9.3707729999999998</v>
      </c>
      <c r="N149" s="295">
        <v>9.4294440000000002</v>
      </c>
      <c r="O149" s="295">
        <v>9.4708129999999997</v>
      </c>
      <c r="P149" s="295">
        <v>9.5096749999999997</v>
      </c>
      <c r="Q149" s="295">
        <v>9.5904469999999993</v>
      </c>
      <c r="R149" s="295">
        <v>9.6750950000000007</v>
      </c>
      <c r="S149" s="295">
        <v>9.7557270000000003</v>
      </c>
      <c r="T149" s="295">
        <v>9.8407269999999993</v>
      </c>
      <c r="U149" s="295">
        <v>9.9369150000000008</v>
      </c>
      <c r="V149" s="295">
        <v>10.038278999999999</v>
      </c>
      <c r="W149" s="295">
        <v>10.120502</v>
      </c>
      <c r="X149" s="295">
        <v>10.204603000000001</v>
      </c>
      <c r="Y149" s="295">
        <v>10.333221999999999</v>
      </c>
      <c r="Z149" s="295">
        <v>10.464765</v>
      </c>
      <c r="AA149" s="295">
        <v>10.556851999999999</v>
      </c>
      <c r="AB149" s="295">
        <v>10.630715</v>
      </c>
      <c r="AC149" s="295">
        <v>10.752179999999999</v>
      </c>
      <c r="AD149" s="295">
        <v>10.858983</v>
      </c>
      <c r="AE149" s="295">
        <v>10.957293999999999</v>
      </c>
      <c r="AF149" s="295">
        <v>11.081191</v>
      </c>
      <c r="AG149" s="295">
        <v>11.218057999999999</v>
      </c>
      <c r="AH149" s="296">
        <v>9.3699999999999999E-3</v>
      </c>
    </row>
    <row r="150" spans="1:34" ht="15" customHeight="1" x14ac:dyDescent="0.25">
      <c r="A150" s="213" t="s">
        <v>1082</v>
      </c>
      <c r="B150" s="294" t="s">
        <v>1083</v>
      </c>
      <c r="C150" s="295">
        <v>0</v>
      </c>
      <c r="D150" s="295">
        <v>0</v>
      </c>
      <c r="E150" s="295">
        <v>0</v>
      </c>
      <c r="F150" s="295">
        <v>0</v>
      </c>
      <c r="G150" s="295">
        <v>0</v>
      </c>
      <c r="H150" s="295">
        <v>0</v>
      </c>
      <c r="I150" s="295">
        <v>0</v>
      </c>
      <c r="J150" s="295">
        <v>0</v>
      </c>
      <c r="K150" s="295">
        <v>0</v>
      </c>
      <c r="L150" s="295">
        <v>0</v>
      </c>
      <c r="M150" s="295">
        <v>0</v>
      </c>
      <c r="N150" s="295">
        <v>0</v>
      </c>
      <c r="O150" s="295">
        <v>0</v>
      </c>
      <c r="P150" s="295">
        <v>0</v>
      </c>
      <c r="Q150" s="295">
        <v>0</v>
      </c>
      <c r="R150" s="295">
        <v>0</v>
      </c>
      <c r="S150" s="295">
        <v>0</v>
      </c>
      <c r="T150" s="295">
        <v>0</v>
      </c>
      <c r="U150" s="295">
        <v>0</v>
      </c>
      <c r="V150" s="295">
        <v>0</v>
      </c>
      <c r="W150" s="295">
        <v>0</v>
      </c>
      <c r="X150" s="295">
        <v>0</v>
      </c>
      <c r="Y150" s="295">
        <v>0</v>
      </c>
      <c r="Z150" s="295">
        <v>0</v>
      </c>
      <c r="AA150" s="295">
        <v>0</v>
      </c>
      <c r="AB150" s="295">
        <v>0</v>
      </c>
      <c r="AC150" s="295">
        <v>0</v>
      </c>
      <c r="AD150" s="295">
        <v>0</v>
      </c>
      <c r="AE150" s="295">
        <v>0</v>
      </c>
      <c r="AF150" s="295">
        <v>0</v>
      </c>
      <c r="AG150" s="295">
        <v>0</v>
      </c>
      <c r="AH150" s="296" t="s">
        <v>635</v>
      </c>
    </row>
    <row r="151" spans="1:34" ht="15" customHeight="1" x14ac:dyDescent="0.25">
      <c r="A151" s="213" t="s">
        <v>1084</v>
      </c>
      <c r="B151" s="294" t="s">
        <v>1085</v>
      </c>
      <c r="C151" s="295">
        <v>1.865005</v>
      </c>
      <c r="D151" s="295">
        <v>1.807725</v>
      </c>
      <c r="E151" s="295">
        <v>1.880965</v>
      </c>
      <c r="F151" s="295">
        <v>1.9408570000000001</v>
      </c>
      <c r="G151" s="295">
        <v>1.9565490000000001</v>
      </c>
      <c r="H151" s="295">
        <v>2.009153</v>
      </c>
      <c r="I151" s="295">
        <v>2.0434899999999998</v>
      </c>
      <c r="J151" s="295">
        <v>2.0588169999999999</v>
      </c>
      <c r="K151" s="295">
        <v>2.077655</v>
      </c>
      <c r="L151" s="295">
        <v>2.095453</v>
      </c>
      <c r="M151" s="295">
        <v>2.1270380000000002</v>
      </c>
      <c r="N151" s="295">
        <v>2.1532659999999999</v>
      </c>
      <c r="O151" s="295">
        <v>2.1734019999999998</v>
      </c>
      <c r="P151" s="295">
        <v>2.2095530000000001</v>
      </c>
      <c r="Q151" s="295">
        <v>2.2339820000000001</v>
      </c>
      <c r="R151" s="295">
        <v>2.2352430000000001</v>
      </c>
      <c r="S151" s="295">
        <v>2.2360989999999998</v>
      </c>
      <c r="T151" s="295">
        <v>2.2449379999999999</v>
      </c>
      <c r="U151" s="295">
        <v>2.2523170000000001</v>
      </c>
      <c r="V151" s="295">
        <v>2.2709450000000002</v>
      </c>
      <c r="W151" s="295">
        <v>2.2919559999999999</v>
      </c>
      <c r="X151" s="295">
        <v>2.306597</v>
      </c>
      <c r="Y151" s="295">
        <v>2.3343180000000001</v>
      </c>
      <c r="Z151" s="295">
        <v>2.374781</v>
      </c>
      <c r="AA151" s="295">
        <v>2.3952939999999998</v>
      </c>
      <c r="AB151" s="295">
        <v>2.3954260000000001</v>
      </c>
      <c r="AC151" s="295">
        <v>2.4161999999999999</v>
      </c>
      <c r="AD151" s="295">
        <v>2.424982</v>
      </c>
      <c r="AE151" s="295">
        <v>2.4366409999999998</v>
      </c>
      <c r="AF151" s="295">
        <v>2.4378600000000001</v>
      </c>
      <c r="AG151" s="295">
        <v>2.4408089999999998</v>
      </c>
      <c r="AH151" s="296">
        <v>9.0089999999999996E-3</v>
      </c>
    </row>
    <row r="152" spans="1:34" ht="15" customHeight="1" x14ac:dyDescent="0.25">
      <c r="A152" s="213" t="s">
        <v>1086</v>
      </c>
      <c r="B152" s="294" t="s">
        <v>1087</v>
      </c>
      <c r="C152" s="295">
        <v>0.35997099999999999</v>
      </c>
      <c r="D152" s="295">
        <v>0.495002</v>
      </c>
      <c r="E152" s="295">
        <v>0.48645500000000003</v>
      </c>
      <c r="F152" s="295">
        <v>0.49248599999999998</v>
      </c>
      <c r="G152" s="295">
        <v>0.55064999999999997</v>
      </c>
      <c r="H152" s="295">
        <v>0.63718900000000001</v>
      </c>
      <c r="I152" s="295">
        <v>0.68829200000000001</v>
      </c>
      <c r="J152" s="295">
        <v>0.68829200000000001</v>
      </c>
      <c r="K152" s="295">
        <v>0.70573300000000005</v>
      </c>
      <c r="L152" s="295">
        <v>0.73495699999999997</v>
      </c>
      <c r="M152" s="295">
        <v>0.76606700000000005</v>
      </c>
      <c r="N152" s="295">
        <v>0.78162200000000004</v>
      </c>
      <c r="O152" s="295">
        <v>0.78350799999999998</v>
      </c>
      <c r="P152" s="295">
        <v>0.78162200000000004</v>
      </c>
      <c r="Q152" s="295">
        <v>0.78162200000000004</v>
      </c>
      <c r="R152" s="295">
        <v>0.78162200000000004</v>
      </c>
      <c r="S152" s="295">
        <v>0.78350799999999998</v>
      </c>
      <c r="T152" s="295">
        <v>0.78162200000000004</v>
      </c>
      <c r="U152" s="295">
        <v>0.78162200000000004</v>
      </c>
      <c r="V152" s="295">
        <v>0.78162200000000004</v>
      </c>
      <c r="W152" s="295">
        <v>0.78350799999999998</v>
      </c>
      <c r="X152" s="295">
        <v>0.78162200000000004</v>
      </c>
      <c r="Y152" s="295">
        <v>0.78162200000000004</v>
      </c>
      <c r="Z152" s="295">
        <v>0.78162200000000004</v>
      </c>
      <c r="AA152" s="295">
        <v>0.78350799999999998</v>
      </c>
      <c r="AB152" s="295">
        <v>0.78162200000000004</v>
      </c>
      <c r="AC152" s="295">
        <v>0.78162200000000004</v>
      </c>
      <c r="AD152" s="295">
        <v>0.78162200000000004</v>
      </c>
      <c r="AE152" s="295">
        <v>0.78350799999999998</v>
      </c>
      <c r="AF152" s="295">
        <v>0.78162200000000004</v>
      </c>
      <c r="AG152" s="295">
        <v>0.78162200000000004</v>
      </c>
      <c r="AH152" s="296">
        <v>2.6182E-2</v>
      </c>
    </row>
    <row r="153" spans="1:34" ht="15" customHeight="1" x14ac:dyDescent="0.25">
      <c r="A153" s="213" t="s">
        <v>1088</v>
      </c>
      <c r="B153" s="294" t="s">
        <v>1089</v>
      </c>
      <c r="C153" s="295">
        <v>10.705174</v>
      </c>
      <c r="D153" s="295">
        <v>10.722757</v>
      </c>
      <c r="E153" s="295">
        <v>10.825262</v>
      </c>
      <c r="F153" s="295">
        <v>11.123538</v>
      </c>
      <c r="G153" s="295">
        <v>11.454599</v>
      </c>
      <c r="H153" s="295">
        <v>11.763254</v>
      </c>
      <c r="I153" s="295">
        <v>11.964537999999999</v>
      </c>
      <c r="J153" s="295">
        <v>11.995108999999999</v>
      </c>
      <c r="K153" s="295">
        <v>12.082572000000001</v>
      </c>
      <c r="L153" s="295">
        <v>12.181082999999999</v>
      </c>
      <c r="M153" s="295">
        <v>12.263878999999999</v>
      </c>
      <c r="N153" s="295">
        <v>12.364331999999999</v>
      </c>
      <c r="O153" s="295">
        <v>12.427723</v>
      </c>
      <c r="P153" s="295">
        <v>12.500851000000001</v>
      </c>
      <c r="Q153" s="295">
        <v>12.606051000000001</v>
      </c>
      <c r="R153" s="295">
        <v>12.691959000000001</v>
      </c>
      <c r="S153" s="295">
        <v>12.775334000000001</v>
      </c>
      <c r="T153" s="295">
        <v>12.867286999999999</v>
      </c>
      <c r="U153" s="295">
        <v>12.970853999999999</v>
      </c>
      <c r="V153" s="295">
        <v>13.090845</v>
      </c>
      <c r="W153" s="295">
        <v>13.195967</v>
      </c>
      <c r="X153" s="295">
        <v>13.292821999999999</v>
      </c>
      <c r="Y153" s="295">
        <v>13.449161999999999</v>
      </c>
      <c r="Z153" s="295">
        <v>13.621167</v>
      </c>
      <c r="AA153" s="295">
        <v>13.735655</v>
      </c>
      <c r="AB153" s="295">
        <v>13.807764000000001</v>
      </c>
      <c r="AC153" s="295">
        <v>13.950003000000001</v>
      </c>
      <c r="AD153" s="295">
        <v>14.065587000000001</v>
      </c>
      <c r="AE153" s="295">
        <v>14.177443</v>
      </c>
      <c r="AF153" s="295">
        <v>14.300673</v>
      </c>
      <c r="AG153" s="295">
        <v>14.440488999999999</v>
      </c>
      <c r="AH153" s="296">
        <v>1.0026999999999999E-2</v>
      </c>
    </row>
    <row r="154" spans="1:34" ht="15" customHeight="1" x14ac:dyDescent="0.25">
      <c r="A154" s="213" t="s">
        <v>1090</v>
      </c>
      <c r="B154" s="294" t="s">
        <v>1091</v>
      </c>
      <c r="C154" s="295">
        <v>0.47265099999999999</v>
      </c>
      <c r="D154" s="295">
        <v>0.39605299999999999</v>
      </c>
      <c r="E154" s="295">
        <v>0.40934199999999998</v>
      </c>
      <c r="F154" s="295">
        <v>0.49793399999999999</v>
      </c>
      <c r="G154" s="295">
        <v>0.487983</v>
      </c>
      <c r="H154" s="295">
        <v>0.45944400000000002</v>
      </c>
      <c r="I154" s="295">
        <v>0.45657999999999999</v>
      </c>
      <c r="J154" s="295">
        <v>0.44544600000000001</v>
      </c>
      <c r="K154" s="295">
        <v>0.42712099999999997</v>
      </c>
      <c r="L154" s="295">
        <v>0.41013899999999998</v>
      </c>
      <c r="M154" s="295">
        <v>0.40978599999999998</v>
      </c>
      <c r="N154" s="295">
        <v>0.40927799999999998</v>
      </c>
      <c r="O154" s="295">
        <v>0.40397899999999998</v>
      </c>
      <c r="P154" s="295">
        <v>0.39724199999999998</v>
      </c>
      <c r="Q154" s="295">
        <v>0.39794800000000002</v>
      </c>
      <c r="R154" s="295">
        <v>0.39924100000000001</v>
      </c>
      <c r="S154" s="295">
        <v>0.39598800000000001</v>
      </c>
      <c r="T154" s="295">
        <v>0.396254</v>
      </c>
      <c r="U154" s="295">
        <v>0.399368</v>
      </c>
      <c r="V154" s="295">
        <v>0.40063900000000002</v>
      </c>
      <c r="W154" s="295">
        <v>0.39474199999999998</v>
      </c>
      <c r="X154" s="295">
        <v>0.39587</v>
      </c>
      <c r="Y154" s="295">
        <v>0.40470400000000001</v>
      </c>
      <c r="Z154" s="295">
        <v>0.41109699999999999</v>
      </c>
      <c r="AA154" s="295">
        <v>0.40808499999999998</v>
      </c>
      <c r="AB154" s="295">
        <v>0.40725600000000001</v>
      </c>
      <c r="AC154" s="295">
        <v>0.406142</v>
      </c>
      <c r="AD154" s="295">
        <v>0.40423599999999998</v>
      </c>
      <c r="AE154" s="295">
        <v>0.40629199999999999</v>
      </c>
      <c r="AF154" s="295">
        <v>0.404858</v>
      </c>
      <c r="AG154" s="295">
        <v>0.41049099999999999</v>
      </c>
      <c r="AH154" s="296">
        <v>-4.6889999999999996E-3</v>
      </c>
    </row>
    <row r="155" spans="1:34" ht="15" customHeight="1" x14ac:dyDescent="0.25">
      <c r="A155" s="213" t="s">
        <v>1092</v>
      </c>
      <c r="B155" s="294" t="s">
        <v>1093</v>
      </c>
      <c r="C155" s="295">
        <v>0.485064</v>
      </c>
      <c r="D155" s="295">
        <v>0.47934199999999999</v>
      </c>
      <c r="E155" s="295">
        <v>0.46726699999999999</v>
      </c>
      <c r="F155" s="295">
        <v>0.46915499999999999</v>
      </c>
      <c r="G155" s="295">
        <v>0.46759099999999998</v>
      </c>
      <c r="H155" s="295">
        <v>0.46502300000000002</v>
      </c>
      <c r="I155" s="295">
        <v>0.46110699999999999</v>
      </c>
      <c r="J155" s="295">
        <v>0.45631300000000002</v>
      </c>
      <c r="K155" s="295">
        <v>0.45037300000000002</v>
      </c>
      <c r="L155" s="295">
        <v>0.44508799999999998</v>
      </c>
      <c r="M155" s="295">
        <v>0.441326</v>
      </c>
      <c r="N155" s="295">
        <v>0.437861</v>
      </c>
      <c r="O155" s="295">
        <v>0.43243199999999998</v>
      </c>
      <c r="P155" s="295">
        <v>0.42744700000000002</v>
      </c>
      <c r="Q155" s="295">
        <v>0.422371</v>
      </c>
      <c r="R155" s="295">
        <v>0.42247400000000002</v>
      </c>
      <c r="S155" s="295">
        <v>0.42204399999999997</v>
      </c>
      <c r="T155" s="295">
        <v>0.42192299999999999</v>
      </c>
      <c r="U155" s="295">
        <v>0.42235200000000001</v>
      </c>
      <c r="V155" s="295">
        <v>0.422344</v>
      </c>
      <c r="W155" s="295">
        <v>0.42203099999999999</v>
      </c>
      <c r="X155" s="295">
        <v>0.42267199999999999</v>
      </c>
      <c r="Y155" s="295">
        <v>0.42946699999999999</v>
      </c>
      <c r="Z155" s="295">
        <v>0.43753599999999998</v>
      </c>
      <c r="AA155" s="295">
        <v>0.445413</v>
      </c>
      <c r="AB155" s="295">
        <v>0.45685799999999999</v>
      </c>
      <c r="AC155" s="295">
        <v>0.45975500000000002</v>
      </c>
      <c r="AD155" s="295">
        <v>0.46111000000000002</v>
      </c>
      <c r="AE155" s="295">
        <v>0.46283200000000002</v>
      </c>
      <c r="AF155" s="295">
        <v>0.46524599999999999</v>
      </c>
      <c r="AG155" s="295">
        <v>0.46775099999999997</v>
      </c>
      <c r="AH155" s="296">
        <v>-1.2110000000000001E-3</v>
      </c>
    </row>
    <row r="156" spans="1:34" ht="15" customHeight="1" x14ac:dyDescent="0.25">
      <c r="A156" s="213" t="s">
        <v>1094</v>
      </c>
      <c r="B156" s="294" t="s">
        <v>1095</v>
      </c>
      <c r="C156" s="295">
        <v>0</v>
      </c>
      <c r="D156" s="295">
        <v>0</v>
      </c>
      <c r="E156" s="295">
        <v>0</v>
      </c>
      <c r="F156" s="295">
        <v>0</v>
      </c>
      <c r="G156" s="295">
        <v>0</v>
      </c>
      <c r="H156" s="295">
        <v>0</v>
      </c>
      <c r="I156" s="295">
        <v>0</v>
      </c>
      <c r="J156" s="295">
        <v>0</v>
      </c>
      <c r="K156" s="295">
        <v>0</v>
      </c>
      <c r="L156" s="295">
        <v>0</v>
      </c>
      <c r="M156" s="295">
        <v>0</v>
      </c>
      <c r="N156" s="295">
        <v>0</v>
      </c>
      <c r="O156" s="295">
        <v>0</v>
      </c>
      <c r="P156" s="295">
        <v>0</v>
      </c>
      <c r="Q156" s="295">
        <v>0</v>
      </c>
      <c r="R156" s="295">
        <v>0</v>
      </c>
      <c r="S156" s="295">
        <v>0</v>
      </c>
      <c r="T156" s="295">
        <v>0</v>
      </c>
      <c r="U156" s="295">
        <v>0</v>
      </c>
      <c r="V156" s="295">
        <v>0</v>
      </c>
      <c r="W156" s="295">
        <v>0</v>
      </c>
      <c r="X156" s="295">
        <v>0</v>
      </c>
      <c r="Y156" s="295">
        <v>0</v>
      </c>
      <c r="Z156" s="295">
        <v>0</v>
      </c>
      <c r="AA156" s="295">
        <v>0</v>
      </c>
      <c r="AB156" s="295">
        <v>0</v>
      </c>
      <c r="AC156" s="295">
        <v>0</v>
      </c>
      <c r="AD156" s="295">
        <v>0</v>
      </c>
      <c r="AE156" s="295">
        <v>0</v>
      </c>
      <c r="AF156" s="295">
        <v>0</v>
      </c>
      <c r="AG156" s="295">
        <v>0</v>
      </c>
      <c r="AH156" s="296" t="s">
        <v>635</v>
      </c>
    </row>
    <row r="157" spans="1:34" ht="15" customHeight="1" x14ac:dyDescent="0.25">
      <c r="A157" s="213" t="s">
        <v>1096</v>
      </c>
      <c r="B157" s="294" t="s">
        <v>1097</v>
      </c>
      <c r="C157" s="295">
        <v>-2.4546999999999999E-2</v>
      </c>
      <c r="D157" s="295">
        <v>-2.4834999999999999E-2</v>
      </c>
      <c r="E157" s="295">
        <v>-2.554E-2</v>
      </c>
      <c r="F157" s="295">
        <v>-3.1741999999999999E-2</v>
      </c>
      <c r="G157" s="295">
        <v>-2.4374E-2</v>
      </c>
      <c r="H157" s="295">
        <v>-2.3581999999999999E-2</v>
      </c>
      <c r="I157" s="295">
        <v>-2.3761000000000001E-2</v>
      </c>
      <c r="J157" s="295">
        <v>-2.3547999999999999E-2</v>
      </c>
      <c r="K157" s="295">
        <v>-2.3507E-2</v>
      </c>
      <c r="L157" s="295">
        <v>-2.3259999999999999E-2</v>
      </c>
      <c r="M157" s="295">
        <v>-2.2973E-2</v>
      </c>
      <c r="N157" s="295">
        <v>-2.2726E-2</v>
      </c>
      <c r="O157" s="295">
        <v>-2.2679000000000001E-2</v>
      </c>
      <c r="P157" s="295">
        <v>-2.2606000000000001E-2</v>
      </c>
      <c r="Q157" s="295">
        <v>-2.2516999999999999E-2</v>
      </c>
      <c r="R157" s="295">
        <v>-2.2372E-2</v>
      </c>
      <c r="S157" s="295">
        <v>-2.2432000000000001E-2</v>
      </c>
      <c r="T157" s="295">
        <v>-2.2290000000000001E-2</v>
      </c>
      <c r="U157" s="295">
        <v>-2.1985000000000001E-2</v>
      </c>
      <c r="V157" s="295">
        <v>-2.1854999999999999E-2</v>
      </c>
      <c r="W157" s="295">
        <v>-2.2058999999999999E-2</v>
      </c>
      <c r="X157" s="295">
        <v>-2.1781999999999999E-2</v>
      </c>
      <c r="Y157" s="295">
        <v>-2.1339E-2</v>
      </c>
      <c r="Z157" s="295">
        <v>-2.1006E-2</v>
      </c>
      <c r="AA157" s="295">
        <v>-2.1162E-2</v>
      </c>
      <c r="AB157" s="295">
        <v>-2.0931999999999999E-2</v>
      </c>
      <c r="AC157" s="295">
        <v>-2.0872000000000002E-2</v>
      </c>
      <c r="AD157" s="295">
        <v>-2.0801E-2</v>
      </c>
      <c r="AE157" s="295">
        <v>-2.0572E-2</v>
      </c>
      <c r="AF157" s="295">
        <v>-2.0466999999999999E-2</v>
      </c>
      <c r="AG157" s="295">
        <v>-1.9972E-2</v>
      </c>
      <c r="AH157" s="296">
        <v>-6.8519999999999996E-3</v>
      </c>
    </row>
    <row r="158" spans="1:34" ht="15" customHeight="1" x14ac:dyDescent="0.25">
      <c r="A158" s="213" t="s">
        <v>1098</v>
      </c>
      <c r="B158" s="294" t="s">
        <v>1099</v>
      </c>
      <c r="C158" s="295">
        <v>0.933168</v>
      </c>
      <c r="D158" s="295">
        <v>0.85055999999999998</v>
      </c>
      <c r="E158" s="295">
        <v>0.85106999999999999</v>
      </c>
      <c r="F158" s="295">
        <v>0.93534700000000004</v>
      </c>
      <c r="G158" s="295">
        <v>0.931199</v>
      </c>
      <c r="H158" s="295">
        <v>0.90088599999999996</v>
      </c>
      <c r="I158" s="295">
        <v>0.893926</v>
      </c>
      <c r="J158" s="295">
        <v>0.87821099999999996</v>
      </c>
      <c r="K158" s="295">
        <v>0.85398700000000005</v>
      </c>
      <c r="L158" s="295">
        <v>0.83196700000000001</v>
      </c>
      <c r="M158" s="295">
        <v>0.82813999999999999</v>
      </c>
      <c r="N158" s="295">
        <v>0.82441200000000003</v>
      </c>
      <c r="O158" s="295">
        <v>0.81373099999999998</v>
      </c>
      <c r="P158" s="295">
        <v>0.80208199999999996</v>
      </c>
      <c r="Q158" s="295">
        <v>0.79780200000000001</v>
      </c>
      <c r="R158" s="295">
        <v>0.79934400000000005</v>
      </c>
      <c r="S158" s="295">
        <v>0.79559999999999997</v>
      </c>
      <c r="T158" s="295">
        <v>0.79588700000000001</v>
      </c>
      <c r="U158" s="295">
        <v>0.799736</v>
      </c>
      <c r="V158" s="295">
        <v>0.80112799999999995</v>
      </c>
      <c r="W158" s="295">
        <v>0.79471499999999995</v>
      </c>
      <c r="X158" s="295">
        <v>0.79676000000000002</v>
      </c>
      <c r="Y158" s="295">
        <v>0.812832</v>
      </c>
      <c r="Z158" s="295">
        <v>0.82762599999999997</v>
      </c>
      <c r="AA158" s="295">
        <v>0.83233500000000005</v>
      </c>
      <c r="AB158" s="295">
        <v>0.84318300000000002</v>
      </c>
      <c r="AC158" s="295">
        <v>0.84502500000000003</v>
      </c>
      <c r="AD158" s="295">
        <v>0.84454499999999999</v>
      </c>
      <c r="AE158" s="295">
        <v>0.84855199999999997</v>
      </c>
      <c r="AF158" s="295">
        <v>0.84963699999999998</v>
      </c>
      <c r="AG158" s="295">
        <v>0.85827100000000001</v>
      </c>
      <c r="AH158" s="296">
        <v>-2.7850000000000001E-3</v>
      </c>
    </row>
    <row r="159" spans="1:34" ht="15" customHeight="1" x14ac:dyDescent="0.25">
      <c r="A159" s="213" t="s">
        <v>1100</v>
      </c>
      <c r="B159" s="294" t="s">
        <v>1101</v>
      </c>
      <c r="C159" s="295">
        <v>0.90481</v>
      </c>
      <c r="D159" s="295">
        <v>0.88107100000000005</v>
      </c>
      <c r="E159" s="295">
        <v>0.87069200000000002</v>
      </c>
      <c r="F159" s="295">
        <v>0.87605100000000002</v>
      </c>
      <c r="G159" s="295">
        <v>0.879</v>
      </c>
      <c r="H159" s="295">
        <v>0.88542399999999999</v>
      </c>
      <c r="I159" s="295">
        <v>0.88824899999999996</v>
      </c>
      <c r="J159" s="295">
        <v>0.89047699999999996</v>
      </c>
      <c r="K159" s="295">
        <v>0.89277300000000004</v>
      </c>
      <c r="L159" s="295">
        <v>0.89517199999999997</v>
      </c>
      <c r="M159" s="295">
        <v>0.899613</v>
      </c>
      <c r="N159" s="295">
        <v>0.90926399999999996</v>
      </c>
      <c r="O159" s="295">
        <v>0.91255399999999998</v>
      </c>
      <c r="P159" s="295">
        <v>0.91770499999999999</v>
      </c>
      <c r="Q159" s="295">
        <v>0.92390300000000003</v>
      </c>
      <c r="R159" s="295">
        <v>0.92998000000000003</v>
      </c>
      <c r="S159" s="295">
        <v>0.93480099999999999</v>
      </c>
      <c r="T159" s="295">
        <v>0.94000700000000004</v>
      </c>
      <c r="U159" s="295">
        <v>0.94540199999999996</v>
      </c>
      <c r="V159" s="295">
        <v>0.95161099999999998</v>
      </c>
      <c r="W159" s="295">
        <v>0.95842700000000003</v>
      </c>
      <c r="X159" s="295">
        <v>0.96508899999999997</v>
      </c>
      <c r="Y159" s="295">
        <v>0.97315099999999999</v>
      </c>
      <c r="Z159" s="295">
        <v>0.98217600000000005</v>
      </c>
      <c r="AA159" s="295">
        <v>0.99148099999999995</v>
      </c>
      <c r="AB159" s="295">
        <v>1.0054069999999999</v>
      </c>
      <c r="AC159" s="295">
        <v>1.010229</v>
      </c>
      <c r="AD159" s="295">
        <v>1.0276369999999999</v>
      </c>
      <c r="AE159" s="295">
        <v>1.037398</v>
      </c>
      <c r="AF159" s="295">
        <v>1.047914</v>
      </c>
      <c r="AG159" s="295">
        <v>1.058575</v>
      </c>
      <c r="AH159" s="296">
        <v>5.2459999999999998E-3</v>
      </c>
    </row>
    <row r="160" spans="1:34" ht="15" customHeight="1" x14ac:dyDescent="0.25">
      <c r="A160" s="213" t="s">
        <v>1102</v>
      </c>
      <c r="B160" s="294" t="s">
        <v>1103</v>
      </c>
      <c r="C160" s="295">
        <v>1.530173</v>
      </c>
      <c r="D160" s="295">
        <v>1.529323</v>
      </c>
      <c r="E160" s="295">
        <v>1.5716939999999999</v>
      </c>
      <c r="F160" s="295">
        <v>1.5782290000000001</v>
      </c>
      <c r="G160" s="295">
        <v>1.587089</v>
      </c>
      <c r="H160" s="295">
        <v>1.598157</v>
      </c>
      <c r="I160" s="295">
        <v>1.605324</v>
      </c>
      <c r="J160" s="295">
        <v>1.6105160000000001</v>
      </c>
      <c r="K160" s="295">
        <v>1.6115360000000001</v>
      </c>
      <c r="L160" s="295">
        <v>1.614317</v>
      </c>
      <c r="M160" s="295">
        <v>1.6222510000000001</v>
      </c>
      <c r="N160" s="295">
        <v>1.6316059999999999</v>
      </c>
      <c r="O160" s="295">
        <v>1.6357189999999999</v>
      </c>
      <c r="P160" s="295">
        <v>1.6369370000000001</v>
      </c>
      <c r="Q160" s="295">
        <v>1.6364989999999999</v>
      </c>
      <c r="R160" s="295">
        <v>1.643351</v>
      </c>
      <c r="S160" s="295">
        <v>1.648714</v>
      </c>
      <c r="T160" s="295">
        <v>1.6552629999999999</v>
      </c>
      <c r="U160" s="295">
        <v>1.666488</v>
      </c>
      <c r="V160" s="295">
        <v>1.67628</v>
      </c>
      <c r="W160" s="295">
        <v>1.6850270000000001</v>
      </c>
      <c r="X160" s="295">
        <v>1.6986779999999999</v>
      </c>
      <c r="Y160" s="295">
        <v>1.7146699999999999</v>
      </c>
      <c r="Z160" s="295">
        <v>1.732558</v>
      </c>
      <c r="AA160" s="295">
        <v>1.7497389999999999</v>
      </c>
      <c r="AB160" s="295">
        <v>1.767995</v>
      </c>
      <c r="AC160" s="295">
        <v>1.786321</v>
      </c>
      <c r="AD160" s="295">
        <v>1.8069809999999999</v>
      </c>
      <c r="AE160" s="295">
        <v>1.8267720000000001</v>
      </c>
      <c r="AF160" s="295">
        <v>1.8490880000000001</v>
      </c>
      <c r="AG160" s="295">
        <v>1.871858</v>
      </c>
      <c r="AH160" s="296">
        <v>6.7409999999999996E-3</v>
      </c>
    </row>
    <row r="161" spans="1:34" ht="15" customHeight="1" x14ac:dyDescent="0.25">
      <c r="A161" s="213" t="s">
        <v>1104</v>
      </c>
      <c r="B161" s="294" t="s">
        <v>1045</v>
      </c>
      <c r="C161" s="295">
        <v>3.0669249999999999</v>
      </c>
      <c r="D161" s="295">
        <v>3.033747</v>
      </c>
      <c r="E161" s="295">
        <v>3.1554220000000002</v>
      </c>
      <c r="F161" s="295">
        <v>3.2282139999999999</v>
      </c>
      <c r="G161" s="295">
        <v>3.287128</v>
      </c>
      <c r="H161" s="295">
        <v>3.3563040000000002</v>
      </c>
      <c r="I161" s="295">
        <v>3.4003230000000002</v>
      </c>
      <c r="J161" s="295">
        <v>3.434094</v>
      </c>
      <c r="K161" s="295">
        <v>3.457919</v>
      </c>
      <c r="L161" s="295">
        <v>3.4821080000000002</v>
      </c>
      <c r="M161" s="295">
        <v>3.5145780000000002</v>
      </c>
      <c r="N161" s="295">
        <v>3.5458699999999999</v>
      </c>
      <c r="O161" s="295">
        <v>3.5634269999999999</v>
      </c>
      <c r="P161" s="295">
        <v>3.5801470000000002</v>
      </c>
      <c r="Q161" s="295">
        <v>3.605359</v>
      </c>
      <c r="R161" s="295">
        <v>3.6268549999999999</v>
      </c>
      <c r="S161" s="295">
        <v>3.646274</v>
      </c>
      <c r="T161" s="295">
        <v>3.6654149999999999</v>
      </c>
      <c r="U161" s="295">
        <v>3.6899109999999999</v>
      </c>
      <c r="V161" s="295">
        <v>3.7132869999999998</v>
      </c>
      <c r="W161" s="295">
        <v>3.7276470000000002</v>
      </c>
      <c r="X161" s="295">
        <v>3.7522509999999998</v>
      </c>
      <c r="Y161" s="295">
        <v>3.7890320000000002</v>
      </c>
      <c r="Z161" s="295">
        <v>3.8273579999999998</v>
      </c>
      <c r="AA161" s="295">
        <v>3.8551389999999999</v>
      </c>
      <c r="AB161" s="295">
        <v>3.8812319999999998</v>
      </c>
      <c r="AC161" s="295">
        <v>3.9073880000000001</v>
      </c>
      <c r="AD161" s="295">
        <v>3.9312670000000001</v>
      </c>
      <c r="AE161" s="295">
        <v>3.9572340000000001</v>
      </c>
      <c r="AF161" s="295">
        <v>3.9872809999999999</v>
      </c>
      <c r="AG161" s="295">
        <v>4.0191210000000002</v>
      </c>
      <c r="AH161" s="296">
        <v>9.0539999999999995E-3</v>
      </c>
    </row>
    <row r="162" spans="1:34" ht="15" customHeight="1" x14ac:dyDescent="0.2">
      <c r="A162" s="213" t="s">
        <v>1105</v>
      </c>
      <c r="B162" s="204" t="s">
        <v>1047</v>
      </c>
      <c r="C162" s="205">
        <v>25.466035999999999</v>
      </c>
      <c r="D162" s="205">
        <v>25.774887</v>
      </c>
      <c r="E162" s="205">
        <v>26.363524999999999</v>
      </c>
      <c r="F162" s="205">
        <v>26.991008999999998</v>
      </c>
      <c r="G162" s="205">
        <v>27.515024</v>
      </c>
      <c r="H162" s="205">
        <v>28.046213000000002</v>
      </c>
      <c r="I162" s="205">
        <v>28.409594999999999</v>
      </c>
      <c r="J162" s="205">
        <v>28.56485</v>
      </c>
      <c r="K162" s="205">
        <v>28.760748</v>
      </c>
      <c r="L162" s="205">
        <v>28.980982000000001</v>
      </c>
      <c r="M162" s="205">
        <v>29.222709999999999</v>
      </c>
      <c r="N162" s="205">
        <v>29.491066</v>
      </c>
      <c r="O162" s="205">
        <v>29.663893000000002</v>
      </c>
      <c r="P162" s="205">
        <v>29.844512999999999</v>
      </c>
      <c r="Q162" s="205">
        <v>30.102399999999999</v>
      </c>
      <c r="R162" s="205">
        <v>30.332661000000002</v>
      </c>
      <c r="S162" s="205">
        <v>30.536940000000001</v>
      </c>
      <c r="T162" s="205">
        <v>30.764433</v>
      </c>
      <c r="U162" s="205">
        <v>30.997509000000001</v>
      </c>
      <c r="V162" s="205">
        <v>31.220822999999999</v>
      </c>
      <c r="W162" s="205">
        <v>31.379992999999999</v>
      </c>
      <c r="X162" s="205">
        <v>31.584199999999999</v>
      </c>
      <c r="Y162" s="205">
        <v>31.906652000000001</v>
      </c>
      <c r="Z162" s="205">
        <v>32.229111000000003</v>
      </c>
      <c r="AA162" s="205">
        <v>32.469444000000003</v>
      </c>
      <c r="AB162" s="205">
        <v>32.704002000000003</v>
      </c>
      <c r="AC162" s="205">
        <v>32.963894000000003</v>
      </c>
      <c r="AD162" s="205">
        <v>33.230041999999997</v>
      </c>
      <c r="AE162" s="205">
        <v>33.503211999999998</v>
      </c>
      <c r="AF162" s="205">
        <v>33.812041999999998</v>
      </c>
      <c r="AG162" s="205">
        <v>34.155726999999999</v>
      </c>
      <c r="AH162" s="206">
        <v>9.8340000000000007E-3</v>
      </c>
    </row>
    <row r="163" spans="1:34" ht="15" customHeight="1" x14ac:dyDescent="0.25">
      <c r="A163" s="213" t="s">
        <v>1106</v>
      </c>
      <c r="B163" s="294" t="s">
        <v>1049</v>
      </c>
      <c r="C163" s="295">
        <v>5.7165419999999996</v>
      </c>
      <c r="D163" s="295">
        <v>5.6488189999999996</v>
      </c>
      <c r="E163" s="295">
        <v>5.9023770000000004</v>
      </c>
      <c r="F163" s="295">
        <v>5.918647</v>
      </c>
      <c r="G163" s="295">
        <v>5.9067509999999999</v>
      </c>
      <c r="H163" s="295">
        <v>5.8611820000000003</v>
      </c>
      <c r="I163" s="295">
        <v>5.7760959999999999</v>
      </c>
      <c r="J163" s="295">
        <v>5.7668710000000001</v>
      </c>
      <c r="K163" s="295">
        <v>5.7744629999999999</v>
      </c>
      <c r="L163" s="295">
        <v>5.7932399999999999</v>
      </c>
      <c r="M163" s="295">
        <v>5.834721</v>
      </c>
      <c r="N163" s="295">
        <v>5.872573</v>
      </c>
      <c r="O163" s="295">
        <v>5.8672129999999996</v>
      </c>
      <c r="P163" s="295">
        <v>5.8720410000000003</v>
      </c>
      <c r="Q163" s="295">
        <v>5.8827389999999999</v>
      </c>
      <c r="R163" s="295">
        <v>5.9009219999999996</v>
      </c>
      <c r="S163" s="295">
        <v>5.911664</v>
      </c>
      <c r="T163" s="295">
        <v>5.9233950000000002</v>
      </c>
      <c r="U163" s="295">
        <v>5.9300629999999996</v>
      </c>
      <c r="V163" s="295">
        <v>5.9364400000000002</v>
      </c>
      <c r="W163" s="295">
        <v>5.931997</v>
      </c>
      <c r="X163" s="295">
        <v>5.9521480000000002</v>
      </c>
      <c r="Y163" s="295">
        <v>5.9920010000000001</v>
      </c>
      <c r="Z163" s="295">
        <v>6.0288620000000002</v>
      </c>
      <c r="AA163" s="295">
        <v>6.047199</v>
      </c>
      <c r="AB163" s="295">
        <v>6.0620919999999998</v>
      </c>
      <c r="AC163" s="295">
        <v>6.0814880000000002</v>
      </c>
      <c r="AD163" s="295">
        <v>6.1004569999999996</v>
      </c>
      <c r="AE163" s="295">
        <v>6.130401</v>
      </c>
      <c r="AF163" s="295">
        <v>6.1597359999999997</v>
      </c>
      <c r="AG163" s="295">
        <v>6.1833819999999999</v>
      </c>
      <c r="AH163" s="296">
        <v>2.6199999999999999E-3</v>
      </c>
    </row>
    <row r="164" spans="1:34" ht="15" customHeight="1" x14ac:dyDescent="0.2">
      <c r="A164" s="213" t="s">
        <v>1107</v>
      </c>
      <c r="B164" s="204" t="s">
        <v>179</v>
      </c>
      <c r="C164" s="205">
        <v>31.182579</v>
      </c>
      <c r="D164" s="205">
        <v>31.423705999999999</v>
      </c>
      <c r="E164" s="205">
        <v>32.265903000000002</v>
      </c>
      <c r="F164" s="205">
        <v>32.909657000000003</v>
      </c>
      <c r="G164" s="205">
        <v>33.421776000000001</v>
      </c>
      <c r="H164" s="205">
        <v>33.907393999999996</v>
      </c>
      <c r="I164" s="205">
        <v>34.185692000000003</v>
      </c>
      <c r="J164" s="205">
        <v>34.331721999999999</v>
      </c>
      <c r="K164" s="205">
        <v>34.535209999999999</v>
      </c>
      <c r="L164" s="205">
        <v>34.774222999999999</v>
      </c>
      <c r="M164" s="205">
        <v>35.057429999999997</v>
      </c>
      <c r="N164" s="205">
        <v>35.363639999999997</v>
      </c>
      <c r="O164" s="205">
        <v>35.531104999999997</v>
      </c>
      <c r="P164" s="205">
        <v>35.716552999999998</v>
      </c>
      <c r="Q164" s="205">
        <v>35.985137999999999</v>
      </c>
      <c r="R164" s="205">
        <v>36.233581999999998</v>
      </c>
      <c r="S164" s="205">
        <v>36.448605000000001</v>
      </c>
      <c r="T164" s="205">
        <v>36.687828000000003</v>
      </c>
      <c r="U164" s="205">
        <v>36.927570000000003</v>
      </c>
      <c r="V164" s="205">
        <v>37.157265000000002</v>
      </c>
      <c r="W164" s="205">
        <v>37.311988999999997</v>
      </c>
      <c r="X164" s="205">
        <v>37.536346000000002</v>
      </c>
      <c r="Y164" s="205">
        <v>37.898651000000001</v>
      </c>
      <c r="Z164" s="205">
        <v>38.257973</v>
      </c>
      <c r="AA164" s="205">
        <v>38.516643999999999</v>
      </c>
      <c r="AB164" s="205">
        <v>38.766094000000002</v>
      </c>
      <c r="AC164" s="205">
        <v>39.045380000000002</v>
      </c>
      <c r="AD164" s="205">
        <v>39.330497999999999</v>
      </c>
      <c r="AE164" s="205">
        <v>39.633614000000001</v>
      </c>
      <c r="AF164" s="205">
        <v>39.971778999999998</v>
      </c>
      <c r="AG164" s="205">
        <v>40.339108000000003</v>
      </c>
      <c r="AH164" s="206">
        <v>8.6189999999999999E-3</v>
      </c>
    </row>
    <row r="167" spans="1:34" ht="15" customHeight="1" x14ac:dyDescent="0.2">
      <c r="B167" s="204" t="s">
        <v>1108</v>
      </c>
    </row>
    <row r="168" spans="1:34" ht="15" customHeight="1" x14ac:dyDescent="0.25">
      <c r="A168" s="213" t="s">
        <v>1109</v>
      </c>
      <c r="B168" s="294" t="s">
        <v>1036</v>
      </c>
      <c r="C168" s="295">
        <v>5.6759999999999996E-3</v>
      </c>
      <c r="D168" s="295">
        <v>6.1419999999999999E-3</v>
      </c>
      <c r="E168" s="295">
        <v>6.4400000000000004E-3</v>
      </c>
      <c r="F168" s="295">
        <v>6.6429999999999996E-3</v>
      </c>
      <c r="G168" s="295">
        <v>6.731E-3</v>
      </c>
      <c r="H168" s="295">
        <v>6.8539999999999998E-3</v>
      </c>
      <c r="I168" s="295">
        <v>6.8910000000000004E-3</v>
      </c>
      <c r="J168" s="295">
        <v>6.9420000000000003E-3</v>
      </c>
      <c r="K168" s="295">
        <v>7.0099999999999997E-3</v>
      </c>
      <c r="L168" s="295">
        <v>7.0660000000000002E-3</v>
      </c>
      <c r="M168" s="295">
        <v>7.1710000000000003E-3</v>
      </c>
      <c r="N168" s="295">
        <v>7.2329999999999998E-3</v>
      </c>
      <c r="O168" s="295">
        <v>7.3299999999999997E-3</v>
      </c>
      <c r="P168" s="295">
        <v>7.4180000000000001E-3</v>
      </c>
      <c r="Q168" s="295">
        <v>7.5709999999999996E-3</v>
      </c>
      <c r="R168" s="295">
        <v>7.7299999999999999E-3</v>
      </c>
      <c r="S168" s="295">
        <v>7.8989999999999998E-3</v>
      </c>
      <c r="T168" s="295">
        <v>8.0829999999999999E-3</v>
      </c>
      <c r="U168" s="295">
        <v>8.2950000000000003E-3</v>
      </c>
      <c r="V168" s="295">
        <v>8.5009999999999999E-3</v>
      </c>
      <c r="W168" s="295">
        <v>8.7390000000000002E-3</v>
      </c>
      <c r="X168" s="295">
        <v>8.9870000000000002E-3</v>
      </c>
      <c r="Y168" s="295">
        <v>9.2540000000000001E-3</v>
      </c>
      <c r="Z168" s="295">
        <v>9.5449999999999997E-3</v>
      </c>
      <c r="AA168" s="295">
        <v>9.8370000000000003E-3</v>
      </c>
      <c r="AB168" s="295">
        <v>1.014E-2</v>
      </c>
      <c r="AC168" s="295">
        <v>1.0475E-2</v>
      </c>
      <c r="AD168" s="295">
        <v>1.0807000000000001E-2</v>
      </c>
      <c r="AE168" s="295">
        <v>1.1172E-2</v>
      </c>
      <c r="AF168" s="295">
        <v>1.1540999999999999E-2</v>
      </c>
      <c r="AG168" s="295">
        <v>1.1937E-2</v>
      </c>
      <c r="AH168" s="296">
        <v>2.5087000000000002E-2</v>
      </c>
    </row>
    <row r="169" spans="1:34" ht="15" customHeight="1" x14ac:dyDescent="0.25">
      <c r="A169" s="213" t="s">
        <v>1110</v>
      </c>
      <c r="B169" s="294" t="s">
        <v>1054</v>
      </c>
      <c r="C169" s="295">
        <v>14.825628</v>
      </c>
      <c r="D169" s="295">
        <v>15.479929</v>
      </c>
      <c r="E169" s="295">
        <v>15.476940000000001</v>
      </c>
      <c r="F169" s="295">
        <v>15.473867</v>
      </c>
      <c r="G169" s="295">
        <v>15.415546000000001</v>
      </c>
      <c r="H169" s="295">
        <v>15.333024</v>
      </c>
      <c r="I169" s="295">
        <v>15.227326</v>
      </c>
      <c r="J169" s="295">
        <v>15.118141</v>
      </c>
      <c r="K169" s="295">
        <v>15.013564000000001</v>
      </c>
      <c r="L169" s="295">
        <v>14.899419999999999</v>
      </c>
      <c r="M169" s="295">
        <v>14.799495</v>
      </c>
      <c r="N169" s="295">
        <v>14.704511</v>
      </c>
      <c r="O169" s="295">
        <v>14.617435</v>
      </c>
      <c r="P169" s="295">
        <v>14.553504</v>
      </c>
      <c r="Q169" s="295">
        <v>14.504936000000001</v>
      </c>
      <c r="R169" s="295">
        <v>14.464999000000001</v>
      </c>
      <c r="S169" s="295">
        <v>14.423914</v>
      </c>
      <c r="T169" s="295">
        <v>14.385998000000001</v>
      </c>
      <c r="U169" s="295">
        <v>14.354929</v>
      </c>
      <c r="V169" s="295">
        <v>14.33661</v>
      </c>
      <c r="W169" s="295">
        <v>14.325787</v>
      </c>
      <c r="X169" s="295">
        <v>14.319191</v>
      </c>
      <c r="Y169" s="295">
        <v>14.328246999999999</v>
      </c>
      <c r="Z169" s="295">
        <v>14.348844</v>
      </c>
      <c r="AA169" s="295">
        <v>14.373186</v>
      </c>
      <c r="AB169" s="295">
        <v>14.395925</v>
      </c>
      <c r="AC169" s="295">
        <v>14.422081</v>
      </c>
      <c r="AD169" s="295">
        <v>14.451188</v>
      </c>
      <c r="AE169" s="295">
        <v>14.487655999999999</v>
      </c>
      <c r="AF169" s="295">
        <v>14.531824</v>
      </c>
      <c r="AG169" s="295">
        <v>14.57723</v>
      </c>
      <c r="AH169" s="296">
        <v>-5.6300000000000002E-4</v>
      </c>
    </row>
    <row r="170" spans="1:34" ht="15" customHeight="1" x14ac:dyDescent="0.25">
      <c r="A170" s="213" t="s">
        <v>1111</v>
      </c>
      <c r="B170" s="294" t="s">
        <v>1112</v>
      </c>
      <c r="C170" s="295">
        <v>3.1355000000000001E-2</v>
      </c>
      <c r="D170" s="295">
        <v>3.2398000000000003E-2</v>
      </c>
      <c r="E170" s="295">
        <v>3.0668999999999998E-2</v>
      </c>
      <c r="F170" s="295">
        <v>3.1647000000000002E-2</v>
      </c>
      <c r="G170" s="295">
        <v>3.1378999999999997E-2</v>
      </c>
      <c r="H170" s="295">
        <v>3.0842000000000001E-2</v>
      </c>
      <c r="I170" s="295">
        <v>3.0282E-2</v>
      </c>
      <c r="J170" s="295">
        <v>2.9645000000000001E-2</v>
      </c>
      <c r="K170" s="295">
        <v>2.8837000000000002E-2</v>
      </c>
      <c r="L170" s="295">
        <v>2.8178000000000002E-2</v>
      </c>
      <c r="M170" s="295">
        <v>2.7453999999999999E-2</v>
      </c>
      <c r="N170" s="295">
        <v>2.699E-2</v>
      </c>
      <c r="O170" s="295">
        <v>2.6453999999999998E-2</v>
      </c>
      <c r="P170" s="295">
        <v>2.6107999999999999E-2</v>
      </c>
      <c r="Q170" s="295">
        <v>2.5822000000000001E-2</v>
      </c>
      <c r="R170" s="295">
        <v>2.5649999999999999E-2</v>
      </c>
      <c r="S170" s="295">
        <v>2.5522E-2</v>
      </c>
      <c r="T170" s="295">
        <v>2.546E-2</v>
      </c>
      <c r="U170" s="295">
        <v>2.5423000000000001E-2</v>
      </c>
      <c r="V170" s="295">
        <v>2.5565000000000001E-2</v>
      </c>
      <c r="W170" s="295">
        <v>2.5641000000000001E-2</v>
      </c>
      <c r="X170" s="295">
        <v>2.5805000000000002E-2</v>
      </c>
      <c r="Y170" s="295">
        <v>2.6044999999999999E-2</v>
      </c>
      <c r="Z170" s="295">
        <v>2.6329000000000002E-2</v>
      </c>
      <c r="AA170" s="295">
        <v>2.6668000000000001E-2</v>
      </c>
      <c r="AB170" s="295">
        <v>2.7073E-2</v>
      </c>
      <c r="AC170" s="295">
        <v>2.7345000000000001E-2</v>
      </c>
      <c r="AD170" s="295">
        <v>2.7734000000000002E-2</v>
      </c>
      <c r="AE170" s="295">
        <v>2.8129999999999999E-2</v>
      </c>
      <c r="AF170" s="295">
        <v>2.8611999999999999E-2</v>
      </c>
      <c r="AG170" s="295">
        <v>2.9113E-2</v>
      </c>
      <c r="AH170" s="296">
        <v>-2.4689999999999998E-3</v>
      </c>
    </row>
    <row r="171" spans="1:34" ht="15" customHeight="1" x14ac:dyDescent="0.25">
      <c r="A171" s="213" t="s">
        <v>1113</v>
      </c>
      <c r="B171" s="294" t="s">
        <v>1114</v>
      </c>
      <c r="C171" s="295">
        <v>2.2397659999999999</v>
      </c>
      <c r="D171" s="295">
        <v>2.9432200000000002</v>
      </c>
      <c r="E171" s="295">
        <v>3.2602820000000001</v>
      </c>
      <c r="F171" s="295">
        <v>3.3879790000000001</v>
      </c>
      <c r="G171" s="295">
        <v>3.4530379999999998</v>
      </c>
      <c r="H171" s="295">
        <v>3.5127429999999999</v>
      </c>
      <c r="I171" s="295">
        <v>3.5313539999999999</v>
      </c>
      <c r="J171" s="295">
        <v>3.5476489999999998</v>
      </c>
      <c r="K171" s="295">
        <v>3.577601</v>
      </c>
      <c r="L171" s="295">
        <v>3.5994480000000002</v>
      </c>
      <c r="M171" s="295">
        <v>3.6296010000000001</v>
      </c>
      <c r="N171" s="295">
        <v>3.6682079999999999</v>
      </c>
      <c r="O171" s="295">
        <v>3.7160350000000002</v>
      </c>
      <c r="P171" s="295">
        <v>3.7660559999999998</v>
      </c>
      <c r="Q171" s="295">
        <v>3.8164349999999998</v>
      </c>
      <c r="R171" s="295">
        <v>3.8659479999999999</v>
      </c>
      <c r="S171" s="295">
        <v>3.904417</v>
      </c>
      <c r="T171" s="295">
        <v>3.938256</v>
      </c>
      <c r="U171" s="295">
        <v>3.9765139999999999</v>
      </c>
      <c r="V171" s="295">
        <v>4.0163250000000001</v>
      </c>
      <c r="W171" s="295">
        <v>4.0634259999999998</v>
      </c>
      <c r="X171" s="295">
        <v>4.1095439999999996</v>
      </c>
      <c r="Y171" s="295">
        <v>4.1617319999999998</v>
      </c>
      <c r="Z171" s="295">
        <v>4.2157669999999996</v>
      </c>
      <c r="AA171" s="295">
        <v>4.2727880000000003</v>
      </c>
      <c r="AB171" s="295">
        <v>4.3259670000000003</v>
      </c>
      <c r="AC171" s="295">
        <v>4.3766749999999996</v>
      </c>
      <c r="AD171" s="295">
        <v>4.4224550000000002</v>
      </c>
      <c r="AE171" s="295">
        <v>4.4647540000000001</v>
      </c>
      <c r="AF171" s="295">
        <v>4.5035809999999996</v>
      </c>
      <c r="AG171" s="295">
        <v>4.542726</v>
      </c>
      <c r="AH171" s="296">
        <v>2.3852000000000002E-2</v>
      </c>
    </row>
    <row r="172" spans="1:34" ht="15" customHeight="1" x14ac:dyDescent="0.25">
      <c r="A172" s="213" t="s">
        <v>1115</v>
      </c>
      <c r="B172" s="294" t="s">
        <v>1116</v>
      </c>
      <c r="C172" s="295">
        <v>6.148733</v>
      </c>
      <c r="D172" s="295">
        <v>6.2643779999999998</v>
      </c>
      <c r="E172" s="295">
        <v>6.3173269999999997</v>
      </c>
      <c r="F172" s="295">
        <v>6.3378509999999997</v>
      </c>
      <c r="G172" s="295">
        <v>6.3657209999999997</v>
      </c>
      <c r="H172" s="295">
        <v>6.4308100000000001</v>
      </c>
      <c r="I172" s="295">
        <v>6.4135160000000004</v>
      </c>
      <c r="J172" s="295">
        <v>6.3902130000000001</v>
      </c>
      <c r="K172" s="295">
        <v>6.3503930000000004</v>
      </c>
      <c r="L172" s="295">
        <v>6.3062959999999997</v>
      </c>
      <c r="M172" s="295">
        <v>6.2428869999999996</v>
      </c>
      <c r="N172" s="295">
        <v>6.2200069999999998</v>
      </c>
      <c r="O172" s="295">
        <v>6.1743969999999999</v>
      </c>
      <c r="P172" s="295">
        <v>6.137257</v>
      </c>
      <c r="Q172" s="295">
        <v>6.1106850000000001</v>
      </c>
      <c r="R172" s="295">
        <v>6.089855</v>
      </c>
      <c r="S172" s="295">
        <v>6.0664230000000003</v>
      </c>
      <c r="T172" s="295">
        <v>6.0437419999999999</v>
      </c>
      <c r="U172" s="295">
        <v>6.0348660000000001</v>
      </c>
      <c r="V172" s="295">
        <v>6.0274450000000002</v>
      </c>
      <c r="W172" s="295">
        <v>6.0202749999999998</v>
      </c>
      <c r="X172" s="295">
        <v>6.0146470000000001</v>
      </c>
      <c r="Y172" s="295">
        <v>6.0452709999999996</v>
      </c>
      <c r="Z172" s="295">
        <v>6.0681719999999997</v>
      </c>
      <c r="AA172" s="295">
        <v>6.0942049999999997</v>
      </c>
      <c r="AB172" s="295">
        <v>6.106401</v>
      </c>
      <c r="AC172" s="295">
        <v>6.1278220000000001</v>
      </c>
      <c r="AD172" s="295">
        <v>6.1447859999999999</v>
      </c>
      <c r="AE172" s="295">
        <v>6.1658109999999997</v>
      </c>
      <c r="AF172" s="295">
        <v>6.1877139999999997</v>
      </c>
      <c r="AG172" s="295">
        <v>6.212294</v>
      </c>
      <c r="AH172" s="296">
        <v>3.4299999999999999E-4</v>
      </c>
    </row>
    <row r="173" spans="1:34" ht="15" customHeight="1" x14ac:dyDescent="0.25">
      <c r="A173" s="213" t="s">
        <v>1117</v>
      </c>
      <c r="B173" s="294" t="s">
        <v>1060</v>
      </c>
      <c r="C173" s="295">
        <v>0.431201</v>
      </c>
      <c r="D173" s="295">
        <v>0.49296200000000001</v>
      </c>
      <c r="E173" s="295">
        <v>0.718001</v>
      </c>
      <c r="F173" s="295">
        <v>0.710785</v>
      </c>
      <c r="G173" s="295">
        <v>0.69421299999999997</v>
      </c>
      <c r="H173" s="295">
        <v>0.60718799999999995</v>
      </c>
      <c r="I173" s="295">
        <v>0.60691399999999995</v>
      </c>
      <c r="J173" s="295">
        <v>0.57501400000000003</v>
      </c>
      <c r="K173" s="295">
        <v>0.56890099999999999</v>
      </c>
      <c r="L173" s="295">
        <v>0.56285799999999997</v>
      </c>
      <c r="M173" s="295">
        <v>0.60637399999999997</v>
      </c>
      <c r="N173" s="295">
        <v>0.56653799999999999</v>
      </c>
      <c r="O173" s="295">
        <v>0.56378600000000001</v>
      </c>
      <c r="P173" s="295">
        <v>0.56009500000000001</v>
      </c>
      <c r="Q173" s="295">
        <v>0.55675200000000002</v>
      </c>
      <c r="R173" s="295">
        <v>0.55302600000000002</v>
      </c>
      <c r="S173" s="295">
        <v>0.55013400000000001</v>
      </c>
      <c r="T173" s="295">
        <v>0.55312499999999998</v>
      </c>
      <c r="U173" s="295">
        <v>0.54577600000000004</v>
      </c>
      <c r="V173" s="295">
        <v>0.54537000000000002</v>
      </c>
      <c r="W173" s="295">
        <v>0.52142299999999997</v>
      </c>
      <c r="X173" s="295">
        <v>0.53777900000000001</v>
      </c>
      <c r="Y173" s="295">
        <v>0.50985899999999995</v>
      </c>
      <c r="Z173" s="295">
        <v>0.50864799999999999</v>
      </c>
      <c r="AA173" s="295">
        <v>0.49150199999999999</v>
      </c>
      <c r="AB173" s="295">
        <v>0.50203299999999995</v>
      </c>
      <c r="AC173" s="295">
        <v>0.487508</v>
      </c>
      <c r="AD173" s="295">
        <v>0.47897600000000001</v>
      </c>
      <c r="AE173" s="295">
        <v>0.47632099999999999</v>
      </c>
      <c r="AF173" s="295">
        <v>0.475107</v>
      </c>
      <c r="AG173" s="295">
        <v>0.47149799999999997</v>
      </c>
      <c r="AH173" s="296">
        <v>2.9819999999999998E-3</v>
      </c>
    </row>
    <row r="174" spans="1:34" ht="15" customHeight="1" x14ac:dyDescent="0.25">
      <c r="A174" s="213" t="s">
        <v>1118</v>
      </c>
      <c r="B174" s="294" t="s">
        <v>1119</v>
      </c>
      <c r="C174" s="295">
        <v>0.143681</v>
      </c>
      <c r="D174" s="295">
        <v>0.14584800000000001</v>
      </c>
      <c r="E174" s="295">
        <v>0.14723</v>
      </c>
      <c r="F174" s="295">
        <v>0.14821999999999999</v>
      </c>
      <c r="G174" s="295">
        <v>0.14881900000000001</v>
      </c>
      <c r="H174" s="295">
        <v>0.149117</v>
      </c>
      <c r="I174" s="295">
        <v>0.149257</v>
      </c>
      <c r="J174" s="295">
        <v>0.14891299999999999</v>
      </c>
      <c r="K174" s="295">
        <v>0.14865300000000001</v>
      </c>
      <c r="L174" s="295">
        <v>0.14844399999999999</v>
      </c>
      <c r="M174" s="295">
        <v>0.148233</v>
      </c>
      <c r="N174" s="295">
        <v>0.148058</v>
      </c>
      <c r="O174" s="295">
        <v>0.14787700000000001</v>
      </c>
      <c r="P174" s="295">
        <v>0.14773500000000001</v>
      </c>
      <c r="Q174" s="295">
        <v>0.147676</v>
      </c>
      <c r="R174" s="295">
        <v>0.147568</v>
      </c>
      <c r="S174" s="295">
        <v>0.14741199999999999</v>
      </c>
      <c r="T174" s="295">
        <v>0.14727000000000001</v>
      </c>
      <c r="U174" s="295">
        <v>0.14716000000000001</v>
      </c>
      <c r="V174" s="295">
        <v>0.14704100000000001</v>
      </c>
      <c r="W174" s="295">
        <v>0.14691299999999999</v>
      </c>
      <c r="X174" s="295">
        <v>0.14683499999999999</v>
      </c>
      <c r="Y174" s="295">
        <v>0.146809</v>
      </c>
      <c r="Z174" s="295">
        <v>0.14673800000000001</v>
      </c>
      <c r="AA174" s="295">
        <v>0.146733</v>
      </c>
      <c r="AB174" s="295">
        <v>0.146809</v>
      </c>
      <c r="AC174" s="295">
        <v>0.14688000000000001</v>
      </c>
      <c r="AD174" s="295">
        <v>0.146925</v>
      </c>
      <c r="AE174" s="295">
        <v>0.146953</v>
      </c>
      <c r="AF174" s="295">
        <v>0.146928</v>
      </c>
      <c r="AG174" s="295">
        <v>0.14686099999999999</v>
      </c>
      <c r="AH174" s="296">
        <v>7.2999999999999996E-4</v>
      </c>
    </row>
    <row r="175" spans="1:34" ht="15" customHeight="1" x14ac:dyDescent="0.25">
      <c r="A175" s="213" t="s">
        <v>1120</v>
      </c>
      <c r="B175" s="294" t="s">
        <v>1040</v>
      </c>
      <c r="C175" s="295">
        <v>23.794685000000001</v>
      </c>
      <c r="D175" s="295">
        <v>25.332483</v>
      </c>
      <c r="E175" s="295">
        <v>25.926220000000001</v>
      </c>
      <c r="F175" s="295">
        <v>26.065344</v>
      </c>
      <c r="G175" s="295">
        <v>26.084071999999999</v>
      </c>
      <c r="H175" s="295">
        <v>26.039738</v>
      </c>
      <c r="I175" s="295">
        <v>25.935257</v>
      </c>
      <c r="J175" s="295">
        <v>25.786874999999998</v>
      </c>
      <c r="K175" s="295">
        <v>25.666121</v>
      </c>
      <c r="L175" s="295">
        <v>25.523537000000001</v>
      </c>
      <c r="M175" s="295">
        <v>25.433762000000002</v>
      </c>
      <c r="N175" s="295">
        <v>25.314556</v>
      </c>
      <c r="O175" s="295">
        <v>25.226858</v>
      </c>
      <c r="P175" s="295">
        <v>25.172063999999999</v>
      </c>
      <c r="Q175" s="295">
        <v>25.144058000000001</v>
      </c>
      <c r="R175" s="295">
        <v>25.129128000000001</v>
      </c>
      <c r="S175" s="295">
        <v>25.100199</v>
      </c>
      <c r="T175" s="295">
        <v>25.076474999999999</v>
      </c>
      <c r="U175" s="295">
        <v>25.067543000000001</v>
      </c>
      <c r="V175" s="295">
        <v>25.081296999999999</v>
      </c>
      <c r="W175" s="295">
        <v>25.086563000000002</v>
      </c>
      <c r="X175" s="295">
        <v>25.136986</v>
      </c>
      <c r="Y175" s="295">
        <v>25.201174000000002</v>
      </c>
      <c r="Z175" s="295">
        <v>25.297713999999999</v>
      </c>
      <c r="AA175" s="295">
        <v>25.388252000000001</v>
      </c>
      <c r="AB175" s="295">
        <v>25.487273999999999</v>
      </c>
      <c r="AC175" s="295">
        <v>25.571445000000001</v>
      </c>
      <c r="AD175" s="295">
        <v>25.655134</v>
      </c>
      <c r="AE175" s="295">
        <v>25.752668</v>
      </c>
      <c r="AF175" s="295">
        <v>25.856693</v>
      </c>
      <c r="AG175" s="295">
        <v>25.962548999999999</v>
      </c>
      <c r="AH175" s="296">
        <v>2.911E-3</v>
      </c>
    </row>
    <row r="176" spans="1:34" ht="15" customHeight="1" x14ac:dyDescent="0.25">
      <c r="A176" s="213" t="s">
        <v>1121</v>
      </c>
      <c r="B176" s="294" t="s">
        <v>1122</v>
      </c>
      <c r="C176" s="295">
        <v>0.70627899999999999</v>
      </c>
      <c r="D176" s="295">
        <v>0.76189300000000004</v>
      </c>
      <c r="E176" s="295">
        <v>0.75658300000000001</v>
      </c>
      <c r="F176" s="295">
        <v>0.71793899999999999</v>
      </c>
      <c r="G176" s="295">
        <v>0.68035800000000002</v>
      </c>
      <c r="H176" s="295">
        <v>0.66490400000000005</v>
      </c>
      <c r="I176" s="295">
        <v>0.62340399999999996</v>
      </c>
      <c r="J176" s="295">
        <v>0.61793200000000004</v>
      </c>
      <c r="K176" s="295">
        <v>0.61683600000000005</v>
      </c>
      <c r="L176" s="295">
        <v>0.61629</v>
      </c>
      <c r="M176" s="295">
        <v>0.61148100000000005</v>
      </c>
      <c r="N176" s="295">
        <v>0.612707</v>
      </c>
      <c r="O176" s="295">
        <v>0.61787099999999995</v>
      </c>
      <c r="P176" s="295">
        <v>0.62041199999999996</v>
      </c>
      <c r="Q176" s="295">
        <v>0.62257700000000005</v>
      </c>
      <c r="R176" s="295">
        <v>0.62744299999999997</v>
      </c>
      <c r="S176" s="295">
        <v>0.63063599999999997</v>
      </c>
      <c r="T176" s="295">
        <v>0.63487499999999997</v>
      </c>
      <c r="U176" s="295">
        <v>0.63971</v>
      </c>
      <c r="V176" s="295">
        <v>0.64397499999999996</v>
      </c>
      <c r="W176" s="295">
        <v>0.65073599999999998</v>
      </c>
      <c r="X176" s="295">
        <v>0.654636</v>
      </c>
      <c r="Y176" s="295">
        <v>0.66025900000000004</v>
      </c>
      <c r="Z176" s="295">
        <v>0.66815400000000003</v>
      </c>
      <c r="AA176" s="295">
        <v>0.67605199999999999</v>
      </c>
      <c r="AB176" s="295">
        <v>0.68138500000000002</v>
      </c>
      <c r="AC176" s="295">
        <v>0.68932599999999999</v>
      </c>
      <c r="AD176" s="295">
        <v>0.69373600000000002</v>
      </c>
      <c r="AE176" s="295">
        <v>0.69961600000000002</v>
      </c>
      <c r="AF176" s="295">
        <v>0.70664700000000003</v>
      </c>
      <c r="AG176" s="295">
        <v>0.71458900000000003</v>
      </c>
      <c r="AH176" s="296">
        <v>3.8999999999999999E-4</v>
      </c>
    </row>
    <row r="177" spans="1:34" ht="15" customHeight="1" x14ac:dyDescent="0.25">
      <c r="A177" s="213" t="s">
        <v>1123</v>
      </c>
      <c r="B177" s="294" t="s">
        <v>1124</v>
      </c>
      <c r="C177" s="295">
        <v>8.7413000000000005E-2</v>
      </c>
      <c r="D177" s="295">
        <v>0.11268599999999999</v>
      </c>
      <c r="E177" s="295">
        <v>9.8006999999999997E-2</v>
      </c>
      <c r="F177" s="295">
        <v>0.106604</v>
      </c>
      <c r="G177" s="295">
        <v>0.11422599999999999</v>
      </c>
      <c r="H177" s="295">
        <v>0.12744</v>
      </c>
      <c r="I177" s="295">
        <v>0.13340099999999999</v>
      </c>
      <c r="J177" s="295">
        <v>0.14213300000000001</v>
      </c>
      <c r="K177" s="295">
        <v>0.15151400000000001</v>
      </c>
      <c r="L177" s="295">
        <v>0.16044600000000001</v>
      </c>
      <c r="M177" s="295">
        <v>0.16239899999999999</v>
      </c>
      <c r="N177" s="295">
        <v>0.177616</v>
      </c>
      <c r="O177" s="295">
        <v>0.18890399999999999</v>
      </c>
      <c r="P177" s="295">
        <v>0.19935700000000001</v>
      </c>
      <c r="Q177" s="295">
        <v>0.210642</v>
      </c>
      <c r="R177" s="295">
        <v>0.22209400000000001</v>
      </c>
      <c r="S177" s="295">
        <v>0.23252300000000001</v>
      </c>
      <c r="T177" s="295">
        <v>0.242866</v>
      </c>
      <c r="U177" s="295">
        <v>0.25632500000000003</v>
      </c>
      <c r="V177" s="295">
        <v>0.26690399999999997</v>
      </c>
      <c r="W177" s="295">
        <v>0.28937099999999999</v>
      </c>
      <c r="X177" s="295">
        <v>0.30161100000000002</v>
      </c>
      <c r="Y177" s="295">
        <v>0.32134400000000002</v>
      </c>
      <c r="Z177" s="295">
        <v>0.33713500000000002</v>
      </c>
      <c r="AA177" s="295">
        <v>0.35410599999999998</v>
      </c>
      <c r="AB177" s="295">
        <v>0.36527799999999999</v>
      </c>
      <c r="AC177" s="295">
        <v>0.38466299999999998</v>
      </c>
      <c r="AD177" s="295">
        <v>0.401669</v>
      </c>
      <c r="AE177" s="295">
        <v>0.41611199999999998</v>
      </c>
      <c r="AF177" s="295">
        <v>0.43151299999999998</v>
      </c>
      <c r="AG177" s="295">
        <v>0.44815300000000002</v>
      </c>
      <c r="AH177" s="296">
        <v>5.5995000000000003E-2</v>
      </c>
    </row>
    <row r="178" spans="1:34" ht="15" customHeight="1" x14ac:dyDescent="0.25">
      <c r="A178" s="213" t="s">
        <v>1125</v>
      </c>
      <c r="B178" s="294" t="s">
        <v>1126</v>
      </c>
      <c r="C178" s="295">
        <v>3.8200000000000002E-4</v>
      </c>
      <c r="D178" s="295">
        <v>4.8099999999999998E-4</v>
      </c>
      <c r="E178" s="295">
        <v>5.8100000000000003E-4</v>
      </c>
      <c r="F178" s="295">
        <v>6.7900000000000002E-4</v>
      </c>
      <c r="G178" s="295">
        <v>7.76E-4</v>
      </c>
      <c r="H178" s="295">
        <v>8.7399999999999999E-4</v>
      </c>
      <c r="I178" s="295">
        <v>9.6599999999999995E-4</v>
      </c>
      <c r="J178" s="295">
        <v>1.057E-3</v>
      </c>
      <c r="K178" s="295">
        <v>1.1479999999999999E-3</v>
      </c>
      <c r="L178" s="295">
        <v>1.24E-3</v>
      </c>
      <c r="M178" s="295">
        <v>1.3359999999999999E-3</v>
      </c>
      <c r="N178" s="295">
        <v>1.4319999999999999E-3</v>
      </c>
      <c r="O178" s="295">
        <v>1.5280000000000001E-3</v>
      </c>
      <c r="P178" s="295">
        <v>1.6249999999999999E-3</v>
      </c>
      <c r="Q178" s="295">
        <v>1.7260000000000001E-3</v>
      </c>
      <c r="R178" s="295">
        <v>1.833E-3</v>
      </c>
      <c r="S178" s="295">
        <v>1.9430000000000001E-3</v>
      </c>
      <c r="T178" s="295">
        <v>2.0600000000000002E-3</v>
      </c>
      <c r="U178" s="295">
        <v>2.1849999999999999E-3</v>
      </c>
      <c r="V178" s="295">
        <v>2.3140000000000001E-3</v>
      </c>
      <c r="W178" s="295">
        <v>2.4489999999999998E-3</v>
      </c>
      <c r="X178" s="295">
        <v>2.5899999999999999E-3</v>
      </c>
      <c r="Y178" s="295">
        <v>2.7430000000000002E-3</v>
      </c>
      <c r="Z178" s="295">
        <v>2.921E-3</v>
      </c>
      <c r="AA178" s="295">
        <v>3.075E-3</v>
      </c>
      <c r="AB178" s="295">
        <v>3.2330000000000002E-3</v>
      </c>
      <c r="AC178" s="295">
        <v>3.3969999999999998E-3</v>
      </c>
      <c r="AD178" s="295">
        <v>3.5669999999999999E-3</v>
      </c>
      <c r="AE178" s="295">
        <v>3.7460000000000002E-3</v>
      </c>
      <c r="AF178" s="295">
        <v>3.9329999999999999E-3</v>
      </c>
      <c r="AG178" s="295">
        <v>4.1289999999999999E-3</v>
      </c>
      <c r="AH178" s="296">
        <v>8.2608000000000001E-2</v>
      </c>
    </row>
    <row r="179" spans="1:34" ht="15" customHeight="1" x14ac:dyDescent="0.25">
      <c r="A179" s="213" t="s">
        <v>1127</v>
      </c>
      <c r="B179" s="294" t="s">
        <v>1045</v>
      </c>
      <c r="C179" s="295">
        <v>3.5471999999999997E-2</v>
      </c>
      <c r="D179" s="295">
        <v>4.2674999999999998E-2</v>
      </c>
      <c r="E179" s="295">
        <v>4.8665E-2</v>
      </c>
      <c r="F179" s="295">
        <v>5.4239000000000002E-2</v>
      </c>
      <c r="G179" s="295">
        <v>5.9386000000000001E-2</v>
      </c>
      <c r="H179" s="295">
        <v>6.4575999999999995E-2</v>
      </c>
      <c r="I179" s="295">
        <v>7.0818000000000006E-2</v>
      </c>
      <c r="J179" s="295">
        <v>7.7282000000000003E-2</v>
      </c>
      <c r="K179" s="295">
        <v>8.3912E-2</v>
      </c>
      <c r="L179" s="295">
        <v>9.0830999999999995E-2</v>
      </c>
      <c r="M179" s="295">
        <v>9.8704E-2</v>
      </c>
      <c r="N179" s="295">
        <v>0.107215</v>
      </c>
      <c r="O179" s="295">
        <v>0.116773</v>
      </c>
      <c r="P179" s="295">
        <v>0.127278</v>
      </c>
      <c r="Q179" s="295">
        <v>0.138795</v>
      </c>
      <c r="R179" s="295">
        <v>0.151226</v>
      </c>
      <c r="S179" s="295">
        <v>0.16445399999999999</v>
      </c>
      <c r="T179" s="295">
        <v>0.17851900000000001</v>
      </c>
      <c r="U179" s="295">
        <v>0.193546</v>
      </c>
      <c r="V179" s="295">
        <v>0.20934900000000001</v>
      </c>
      <c r="W179" s="295">
        <v>0.22616</v>
      </c>
      <c r="X179" s="295">
        <v>0.24320700000000001</v>
      </c>
      <c r="Y179" s="295">
        <v>0.26083600000000001</v>
      </c>
      <c r="Z179" s="295">
        <v>0.278866</v>
      </c>
      <c r="AA179" s="295">
        <v>0.29765200000000003</v>
      </c>
      <c r="AB179" s="295">
        <v>0.31593399999999999</v>
      </c>
      <c r="AC179" s="295">
        <v>0.33468500000000001</v>
      </c>
      <c r="AD179" s="295">
        <v>0.35379899999999997</v>
      </c>
      <c r="AE179" s="295">
        <v>0.37342799999999998</v>
      </c>
      <c r="AF179" s="295">
        <v>0.39361699999999999</v>
      </c>
      <c r="AG179" s="295">
        <v>0.413887</v>
      </c>
      <c r="AH179" s="296">
        <v>8.5342000000000001E-2</v>
      </c>
    </row>
    <row r="180" spans="1:34" ht="15" customHeight="1" x14ac:dyDescent="0.2">
      <c r="A180" s="213" t="s">
        <v>1128</v>
      </c>
      <c r="B180" s="204" t="s">
        <v>1047</v>
      </c>
      <c r="C180" s="205">
        <v>24.624229</v>
      </c>
      <c r="D180" s="205">
        <v>26.250216999999999</v>
      </c>
      <c r="E180" s="205">
        <v>26.830057</v>
      </c>
      <c r="F180" s="205">
        <v>26.944804999999999</v>
      </c>
      <c r="G180" s="205">
        <v>26.938818000000001</v>
      </c>
      <c r="H180" s="205">
        <v>26.89753</v>
      </c>
      <c r="I180" s="205">
        <v>26.763846999999998</v>
      </c>
      <c r="J180" s="205">
        <v>26.625278000000002</v>
      </c>
      <c r="K180" s="205">
        <v>26.519531000000001</v>
      </c>
      <c r="L180" s="205">
        <v>26.392344000000001</v>
      </c>
      <c r="M180" s="205">
        <v>26.307682</v>
      </c>
      <c r="N180" s="205">
        <v>26.213526000000002</v>
      </c>
      <c r="O180" s="205">
        <v>26.151931999999999</v>
      </c>
      <c r="P180" s="205">
        <v>26.120736999999998</v>
      </c>
      <c r="Q180" s="205">
        <v>26.117799999999999</v>
      </c>
      <c r="R180" s="205">
        <v>26.131723000000001</v>
      </c>
      <c r="S180" s="205">
        <v>26.129754999999999</v>
      </c>
      <c r="T180" s="205">
        <v>26.134796000000001</v>
      </c>
      <c r="U180" s="205">
        <v>26.159309</v>
      </c>
      <c r="V180" s="205">
        <v>26.203838000000001</v>
      </c>
      <c r="W180" s="205">
        <v>26.255279999999999</v>
      </c>
      <c r="X180" s="205">
        <v>26.339030999999999</v>
      </c>
      <c r="Y180" s="205">
        <v>26.446356000000002</v>
      </c>
      <c r="Z180" s="205">
        <v>26.584790999999999</v>
      </c>
      <c r="AA180" s="205">
        <v>26.719137</v>
      </c>
      <c r="AB180" s="205">
        <v>26.853103999999998</v>
      </c>
      <c r="AC180" s="205">
        <v>26.983516999999999</v>
      </c>
      <c r="AD180" s="205">
        <v>27.107906</v>
      </c>
      <c r="AE180" s="205">
        <v>27.245571000000002</v>
      </c>
      <c r="AF180" s="205">
        <v>27.392405</v>
      </c>
      <c r="AG180" s="205">
        <v>27.543306000000001</v>
      </c>
      <c r="AH180" s="206">
        <v>3.741E-3</v>
      </c>
    </row>
    <row r="181" spans="1:34" ht="15" customHeight="1" x14ac:dyDescent="0.25">
      <c r="A181" s="213" t="s">
        <v>1129</v>
      </c>
      <c r="B181" s="294" t="s">
        <v>1049</v>
      </c>
      <c r="C181" s="295">
        <v>6.6117999999999996E-2</v>
      </c>
      <c r="D181" s="295">
        <v>7.9461000000000004E-2</v>
      </c>
      <c r="E181" s="295">
        <v>9.103E-2</v>
      </c>
      <c r="F181" s="295">
        <v>9.9442000000000003E-2</v>
      </c>
      <c r="G181" s="295">
        <v>0.106712</v>
      </c>
      <c r="H181" s="295">
        <v>0.11277</v>
      </c>
      <c r="I181" s="295">
        <v>0.120298</v>
      </c>
      <c r="J181" s="295">
        <v>0.12978000000000001</v>
      </c>
      <c r="K181" s="295">
        <v>0.140126</v>
      </c>
      <c r="L181" s="295">
        <v>0.151118</v>
      </c>
      <c r="M181" s="295">
        <v>0.16386400000000001</v>
      </c>
      <c r="N181" s="295">
        <v>0.177566</v>
      </c>
      <c r="O181" s="295">
        <v>0.19226799999999999</v>
      </c>
      <c r="P181" s="295">
        <v>0.208758</v>
      </c>
      <c r="Q181" s="295">
        <v>0.226467</v>
      </c>
      <c r="R181" s="295">
        <v>0.24604599999999999</v>
      </c>
      <c r="S181" s="295">
        <v>0.26662799999999998</v>
      </c>
      <c r="T181" s="295">
        <v>0.28849000000000002</v>
      </c>
      <c r="U181" s="295">
        <v>0.31104799999999999</v>
      </c>
      <c r="V181" s="295">
        <v>0.33468700000000001</v>
      </c>
      <c r="W181" s="295">
        <v>0.35989900000000002</v>
      </c>
      <c r="X181" s="295">
        <v>0.385797</v>
      </c>
      <c r="Y181" s="295">
        <v>0.41248800000000002</v>
      </c>
      <c r="Z181" s="295">
        <v>0.43927100000000002</v>
      </c>
      <c r="AA181" s="295">
        <v>0.46689900000000001</v>
      </c>
      <c r="AB181" s="295">
        <v>0.49345600000000001</v>
      </c>
      <c r="AC181" s="295">
        <v>0.52090700000000001</v>
      </c>
      <c r="AD181" s="295">
        <v>0.54901699999999998</v>
      </c>
      <c r="AE181" s="295">
        <v>0.57850100000000004</v>
      </c>
      <c r="AF181" s="295">
        <v>0.60807800000000001</v>
      </c>
      <c r="AG181" s="295">
        <v>0.63676100000000002</v>
      </c>
      <c r="AH181" s="296">
        <v>7.8422000000000006E-2</v>
      </c>
    </row>
    <row r="182" spans="1:34" ht="15" customHeight="1" x14ac:dyDescent="0.2">
      <c r="A182" s="213" t="s">
        <v>1130</v>
      </c>
      <c r="B182" s="204" t="s">
        <v>179</v>
      </c>
      <c r="C182" s="205">
        <v>24.690348</v>
      </c>
      <c r="D182" s="205">
        <v>26.329678000000001</v>
      </c>
      <c r="E182" s="205">
        <v>26.921087</v>
      </c>
      <c r="F182" s="205">
        <v>27.044246999999999</v>
      </c>
      <c r="G182" s="205">
        <v>27.045529999999999</v>
      </c>
      <c r="H182" s="205">
        <v>27.010300000000001</v>
      </c>
      <c r="I182" s="205">
        <v>26.884146000000001</v>
      </c>
      <c r="J182" s="205">
        <v>26.755057999999998</v>
      </c>
      <c r="K182" s="205">
        <v>26.659658</v>
      </c>
      <c r="L182" s="205">
        <v>26.543461000000001</v>
      </c>
      <c r="M182" s="205">
        <v>26.471546</v>
      </c>
      <c r="N182" s="205">
        <v>26.391092</v>
      </c>
      <c r="O182" s="205">
        <v>26.344200000000001</v>
      </c>
      <c r="P182" s="205">
        <v>26.329494</v>
      </c>
      <c r="Q182" s="205">
        <v>26.344266999999999</v>
      </c>
      <c r="R182" s="205">
        <v>26.377769000000001</v>
      </c>
      <c r="S182" s="205">
        <v>26.396383</v>
      </c>
      <c r="T182" s="205">
        <v>26.423286000000001</v>
      </c>
      <c r="U182" s="205">
        <v>26.470358000000001</v>
      </c>
      <c r="V182" s="205">
        <v>26.538525</v>
      </c>
      <c r="W182" s="205">
        <v>26.615179000000001</v>
      </c>
      <c r="X182" s="205">
        <v>26.724829</v>
      </c>
      <c r="Y182" s="205">
        <v>26.858843</v>
      </c>
      <c r="Z182" s="205">
        <v>27.024063000000002</v>
      </c>
      <c r="AA182" s="205">
        <v>27.186035</v>
      </c>
      <c r="AB182" s="205">
        <v>27.34656</v>
      </c>
      <c r="AC182" s="205">
        <v>27.504422999999999</v>
      </c>
      <c r="AD182" s="205">
        <v>27.656922999999999</v>
      </c>
      <c r="AE182" s="205">
        <v>27.824072000000001</v>
      </c>
      <c r="AF182" s="205">
        <v>28.000482999999999</v>
      </c>
      <c r="AG182" s="205">
        <v>28.180067000000001</v>
      </c>
      <c r="AH182" s="206">
        <v>4.4159999999999998E-3</v>
      </c>
    </row>
    <row r="184" spans="1:34" ht="15" customHeight="1" x14ac:dyDescent="0.2">
      <c r="B184" s="204" t="s">
        <v>1131</v>
      </c>
    </row>
    <row r="185" spans="1:34" ht="15" customHeight="1" x14ac:dyDescent="0.2">
      <c r="A185" s="213" t="s">
        <v>1132</v>
      </c>
      <c r="B185" s="204" t="s">
        <v>179</v>
      </c>
      <c r="C185" s="205">
        <v>-0.41434599999999999</v>
      </c>
      <c r="D185" s="205">
        <v>-0.42799900000000002</v>
      </c>
      <c r="E185" s="205">
        <v>-0.43112499999999998</v>
      </c>
      <c r="F185" s="205">
        <v>-0.43231399999999998</v>
      </c>
      <c r="G185" s="205">
        <v>-0.43306099999999997</v>
      </c>
      <c r="H185" s="205">
        <v>-0.43508400000000003</v>
      </c>
      <c r="I185" s="205">
        <v>-0.433334</v>
      </c>
      <c r="J185" s="205">
        <v>-0.43129499999999998</v>
      </c>
      <c r="K185" s="205">
        <v>-0.42866199999999999</v>
      </c>
      <c r="L185" s="205">
        <v>-0.42572700000000002</v>
      </c>
      <c r="M185" s="205">
        <v>-0.42216599999999999</v>
      </c>
      <c r="N185" s="205">
        <v>-0.42035600000000001</v>
      </c>
      <c r="O185" s="205">
        <v>-0.417715</v>
      </c>
      <c r="P185" s="205">
        <v>-0.41566999999999998</v>
      </c>
      <c r="Q185" s="205">
        <v>-0.41421999999999998</v>
      </c>
      <c r="R185" s="205">
        <v>-0.41309400000000002</v>
      </c>
      <c r="S185" s="205">
        <v>-0.41181499999999999</v>
      </c>
      <c r="T185" s="205">
        <v>-0.41058600000000001</v>
      </c>
      <c r="U185" s="205">
        <v>-0.41001100000000001</v>
      </c>
      <c r="V185" s="205">
        <v>-0.40963300000000002</v>
      </c>
      <c r="W185" s="205">
        <v>-0.40936400000000001</v>
      </c>
      <c r="X185" s="205">
        <v>-0.40919899999999998</v>
      </c>
      <c r="Y185" s="205">
        <v>-0.41071299999999999</v>
      </c>
      <c r="Z185" s="205">
        <v>-0.41203200000000001</v>
      </c>
      <c r="AA185" s="205">
        <v>-0.41352899999999998</v>
      </c>
      <c r="AB185" s="205">
        <v>-0.41442400000000001</v>
      </c>
      <c r="AC185" s="205">
        <v>-0.41572999999999999</v>
      </c>
      <c r="AD185" s="205">
        <v>-0.41686600000000001</v>
      </c>
      <c r="AE185" s="205">
        <v>-0.418236</v>
      </c>
      <c r="AF185" s="205">
        <v>-0.419711</v>
      </c>
      <c r="AG185" s="205">
        <v>-0.42131000000000002</v>
      </c>
      <c r="AH185" s="206">
        <v>5.5599999999999996E-4</v>
      </c>
    </row>
    <row r="187" spans="1:34" ht="15" customHeight="1" x14ac:dyDescent="0.2">
      <c r="B187" s="204" t="s">
        <v>1133</v>
      </c>
    </row>
    <row r="188" spans="1:34" ht="15" customHeight="1" x14ac:dyDescent="0.25">
      <c r="A188" s="213" t="s">
        <v>1134</v>
      </c>
      <c r="B188" s="294" t="s">
        <v>1072</v>
      </c>
      <c r="C188" s="295">
        <v>3.7599010000000002</v>
      </c>
      <c r="D188" s="295">
        <v>4.0373970000000003</v>
      </c>
      <c r="E188" s="295">
        <v>4.3001870000000002</v>
      </c>
      <c r="F188" s="295">
        <v>4.4223710000000001</v>
      </c>
      <c r="G188" s="295">
        <v>4.5363550000000004</v>
      </c>
      <c r="H188" s="295">
        <v>4.6354709999999999</v>
      </c>
      <c r="I188" s="295">
        <v>4.6982720000000002</v>
      </c>
      <c r="J188" s="295">
        <v>4.744745</v>
      </c>
      <c r="K188" s="295">
        <v>4.8002520000000004</v>
      </c>
      <c r="L188" s="295">
        <v>4.8608880000000001</v>
      </c>
      <c r="M188" s="295">
        <v>4.9370599999999998</v>
      </c>
      <c r="N188" s="295">
        <v>5.0081530000000001</v>
      </c>
      <c r="O188" s="295">
        <v>5.0584930000000004</v>
      </c>
      <c r="P188" s="295">
        <v>5.1171920000000002</v>
      </c>
      <c r="Q188" s="295">
        <v>5.1855950000000002</v>
      </c>
      <c r="R188" s="295">
        <v>5.2535429999999996</v>
      </c>
      <c r="S188" s="295">
        <v>5.2970860000000002</v>
      </c>
      <c r="T188" s="295">
        <v>5.3496269999999999</v>
      </c>
      <c r="U188" s="295">
        <v>5.4001080000000004</v>
      </c>
      <c r="V188" s="295">
        <v>5.4271430000000001</v>
      </c>
      <c r="W188" s="295">
        <v>5.4364999999999997</v>
      </c>
      <c r="X188" s="295">
        <v>5.4613399999999999</v>
      </c>
      <c r="Y188" s="295">
        <v>5.5141559999999998</v>
      </c>
      <c r="Z188" s="295">
        <v>5.5571599999999997</v>
      </c>
      <c r="AA188" s="295">
        <v>5.5810829999999996</v>
      </c>
      <c r="AB188" s="295">
        <v>5.6185590000000003</v>
      </c>
      <c r="AC188" s="295">
        <v>5.6509840000000002</v>
      </c>
      <c r="AD188" s="295">
        <v>5.6851950000000002</v>
      </c>
      <c r="AE188" s="295">
        <v>5.7209849999999998</v>
      </c>
      <c r="AF188" s="295">
        <v>5.7873080000000003</v>
      </c>
      <c r="AG188" s="295">
        <v>5.8441359999999998</v>
      </c>
      <c r="AH188" s="296">
        <v>1.481E-2</v>
      </c>
    </row>
    <row r="189" spans="1:34" ht="15" customHeight="1" x14ac:dyDescent="0.25">
      <c r="A189" s="213" t="s">
        <v>1135</v>
      </c>
      <c r="B189" s="294" t="s">
        <v>1054</v>
      </c>
      <c r="C189" s="295">
        <v>15.234125000000001</v>
      </c>
      <c r="D189" s="295">
        <v>15.931428</v>
      </c>
      <c r="E189" s="295">
        <v>15.93966</v>
      </c>
      <c r="F189" s="295">
        <v>15.947531</v>
      </c>
      <c r="G189" s="295">
        <v>15.899977</v>
      </c>
      <c r="H189" s="295">
        <v>15.828621999999999</v>
      </c>
      <c r="I189" s="295">
        <v>15.729457</v>
      </c>
      <c r="J189" s="295">
        <v>15.625776</v>
      </c>
      <c r="K189" s="295">
        <v>15.525605000000001</v>
      </c>
      <c r="L189" s="295">
        <v>15.416259999999999</v>
      </c>
      <c r="M189" s="295">
        <v>15.320665999999999</v>
      </c>
      <c r="N189" s="295">
        <v>15.230912</v>
      </c>
      <c r="O189" s="295">
        <v>15.148534</v>
      </c>
      <c r="P189" s="295">
        <v>15.089048</v>
      </c>
      <c r="Q189" s="295">
        <v>15.045040999999999</v>
      </c>
      <c r="R189" s="295">
        <v>15.009499999999999</v>
      </c>
      <c r="S189" s="295">
        <v>14.972295000000001</v>
      </c>
      <c r="T189" s="295">
        <v>14.938276</v>
      </c>
      <c r="U189" s="295">
        <v>14.911413</v>
      </c>
      <c r="V189" s="295">
        <v>14.89739</v>
      </c>
      <c r="W189" s="295">
        <v>14.890686000000001</v>
      </c>
      <c r="X189" s="295">
        <v>14.888508</v>
      </c>
      <c r="Y189" s="295">
        <v>14.90217</v>
      </c>
      <c r="Z189" s="295">
        <v>14.927738</v>
      </c>
      <c r="AA189" s="295">
        <v>14.957181</v>
      </c>
      <c r="AB189" s="295">
        <v>14.984838999999999</v>
      </c>
      <c r="AC189" s="295">
        <v>15.015745000000001</v>
      </c>
      <c r="AD189" s="295">
        <v>15.049625000000001</v>
      </c>
      <c r="AE189" s="295">
        <v>15.090983</v>
      </c>
      <c r="AF189" s="295">
        <v>15.140309999999999</v>
      </c>
      <c r="AG189" s="295">
        <v>15.190861</v>
      </c>
      <c r="AH189" s="296">
        <v>-9.5000000000000005E-5</v>
      </c>
    </row>
    <row r="190" spans="1:34" ht="15" customHeight="1" x14ac:dyDescent="0.25">
      <c r="A190" s="213" t="s">
        <v>1136</v>
      </c>
      <c r="B190" s="294" t="s">
        <v>1112</v>
      </c>
      <c r="C190" s="295">
        <v>3.1355000000000001E-2</v>
      </c>
      <c r="D190" s="295">
        <v>3.2398000000000003E-2</v>
      </c>
      <c r="E190" s="295">
        <v>3.0668999999999998E-2</v>
      </c>
      <c r="F190" s="295">
        <v>3.1647000000000002E-2</v>
      </c>
      <c r="G190" s="295">
        <v>3.1378999999999997E-2</v>
      </c>
      <c r="H190" s="295">
        <v>3.0842000000000001E-2</v>
      </c>
      <c r="I190" s="295">
        <v>3.0282E-2</v>
      </c>
      <c r="J190" s="295">
        <v>2.9645000000000001E-2</v>
      </c>
      <c r="K190" s="295">
        <v>2.8837000000000002E-2</v>
      </c>
      <c r="L190" s="295">
        <v>2.8178000000000002E-2</v>
      </c>
      <c r="M190" s="295">
        <v>2.7453999999999999E-2</v>
      </c>
      <c r="N190" s="295">
        <v>2.699E-2</v>
      </c>
      <c r="O190" s="295">
        <v>2.6453999999999998E-2</v>
      </c>
      <c r="P190" s="295">
        <v>2.6107999999999999E-2</v>
      </c>
      <c r="Q190" s="295">
        <v>2.5822000000000001E-2</v>
      </c>
      <c r="R190" s="295">
        <v>2.5649999999999999E-2</v>
      </c>
      <c r="S190" s="295">
        <v>2.5522E-2</v>
      </c>
      <c r="T190" s="295">
        <v>2.546E-2</v>
      </c>
      <c r="U190" s="295">
        <v>2.5423000000000001E-2</v>
      </c>
      <c r="V190" s="295">
        <v>2.5565000000000001E-2</v>
      </c>
      <c r="W190" s="295">
        <v>2.5641000000000001E-2</v>
      </c>
      <c r="X190" s="295">
        <v>2.5805000000000002E-2</v>
      </c>
      <c r="Y190" s="295">
        <v>2.6044999999999999E-2</v>
      </c>
      <c r="Z190" s="295">
        <v>2.6329000000000002E-2</v>
      </c>
      <c r="AA190" s="295">
        <v>2.6668000000000001E-2</v>
      </c>
      <c r="AB190" s="295">
        <v>2.7073E-2</v>
      </c>
      <c r="AC190" s="295">
        <v>2.7345000000000001E-2</v>
      </c>
      <c r="AD190" s="295">
        <v>2.7734000000000002E-2</v>
      </c>
      <c r="AE190" s="295">
        <v>2.8129999999999999E-2</v>
      </c>
      <c r="AF190" s="295">
        <v>2.8611999999999999E-2</v>
      </c>
      <c r="AG190" s="295">
        <v>2.9113E-2</v>
      </c>
      <c r="AH190" s="296">
        <v>-2.4689999999999998E-3</v>
      </c>
    </row>
    <row r="191" spans="1:34" ht="15" customHeight="1" x14ac:dyDescent="0.25">
      <c r="A191" s="213" t="s">
        <v>1137</v>
      </c>
      <c r="B191" s="294" t="s">
        <v>1114</v>
      </c>
      <c r="C191" s="295">
        <v>2.2330719999999999</v>
      </c>
      <c r="D191" s="295">
        <v>2.9344239999999999</v>
      </c>
      <c r="E191" s="295">
        <v>3.2505380000000001</v>
      </c>
      <c r="F191" s="295">
        <v>3.3778540000000001</v>
      </c>
      <c r="G191" s="295">
        <v>3.4427189999999999</v>
      </c>
      <c r="H191" s="295">
        <v>3.5022449999999998</v>
      </c>
      <c r="I191" s="295">
        <v>3.5207999999999999</v>
      </c>
      <c r="J191" s="295">
        <v>3.5370469999999998</v>
      </c>
      <c r="K191" s="295">
        <v>3.5669089999999999</v>
      </c>
      <c r="L191" s="295">
        <v>3.5886909999999999</v>
      </c>
      <c r="M191" s="295">
        <v>3.618754</v>
      </c>
      <c r="N191" s="295">
        <v>3.6572450000000001</v>
      </c>
      <c r="O191" s="295">
        <v>3.7049289999999999</v>
      </c>
      <c r="P191" s="295">
        <v>3.7548010000000001</v>
      </c>
      <c r="Q191" s="295">
        <v>3.8050299999999999</v>
      </c>
      <c r="R191" s="295">
        <v>3.8543940000000001</v>
      </c>
      <c r="S191" s="295">
        <v>3.8927480000000001</v>
      </c>
      <c r="T191" s="295">
        <v>3.9264860000000001</v>
      </c>
      <c r="U191" s="295">
        <v>3.9646300000000001</v>
      </c>
      <c r="V191" s="295">
        <v>4.0043220000000002</v>
      </c>
      <c r="W191" s="295">
        <v>4.0512829999999997</v>
      </c>
      <c r="X191" s="295">
        <v>4.0972629999999999</v>
      </c>
      <c r="Y191" s="295">
        <v>4.1492950000000004</v>
      </c>
      <c r="Z191" s="295">
        <v>4.2031679999999998</v>
      </c>
      <c r="AA191" s="295">
        <v>4.2600189999999998</v>
      </c>
      <c r="AB191" s="295">
        <v>4.3130389999999998</v>
      </c>
      <c r="AC191" s="295">
        <v>4.3635950000000001</v>
      </c>
      <c r="AD191" s="295">
        <v>4.4092380000000002</v>
      </c>
      <c r="AE191" s="295">
        <v>4.4514110000000002</v>
      </c>
      <c r="AF191" s="295">
        <v>4.4901220000000004</v>
      </c>
      <c r="AG191" s="295">
        <v>4.5291499999999996</v>
      </c>
      <c r="AH191" s="296">
        <v>2.3852000000000002E-2</v>
      </c>
    </row>
    <row r="192" spans="1:34" ht="15" customHeight="1" x14ac:dyDescent="0.25">
      <c r="A192" s="213" t="s">
        <v>1138</v>
      </c>
      <c r="B192" s="294" t="s">
        <v>1139</v>
      </c>
      <c r="C192" s="295">
        <v>2.9529999999999999E-3</v>
      </c>
      <c r="D192" s="295">
        <v>3.1229999999999999E-3</v>
      </c>
      <c r="E192" s="295">
        <v>3.14E-3</v>
      </c>
      <c r="F192" s="295">
        <v>3.2190000000000001E-3</v>
      </c>
      <c r="G192" s="295">
        <v>3.2009999999999999E-3</v>
      </c>
      <c r="H192" s="295">
        <v>3.2699999999999999E-3</v>
      </c>
      <c r="I192" s="295">
        <v>3.1670000000000001E-3</v>
      </c>
      <c r="J192" s="295">
        <v>3.1229999999999999E-3</v>
      </c>
      <c r="K192" s="295">
        <v>3.0100000000000001E-3</v>
      </c>
      <c r="L192" s="295">
        <v>2.9640000000000001E-3</v>
      </c>
      <c r="M192" s="295">
        <v>2.856E-3</v>
      </c>
      <c r="N192" s="295">
        <v>2.8140000000000001E-3</v>
      </c>
      <c r="O192" s="295">
        <v>2.7590000000000002E-3</v>
      </c>
      <c r="P192" s="295">
        <v>2.7299999999999998E-3</v>
      </c>
      <c r="Q192" s="295">
        <v>2.7079999999999999E-3</v>
      </c>
      <c r="R192" s="295">
        <v>2.6909999999999998E-3</v>
      </c>
      <c r="S192" s="295">
        <v>2.6689999999999999E-3</v>
      </c>
      <c r="T192" s="295">
        <v>2.6319999999999998E-3</v>
      </c>
      <c r="U192" s="295">
        <v>2.594E-3</v>
      </c>
      <c r="V192" s="295">
        <v>2.5899999999999999E-3</v>
      </c>
      <c r="W192" s="295">
        <v>2.5400000000000002E-3</v>
      </c>
      <c r="X192" s="295">
        <v>2.5089999999999999E-3</v>
      </c>
      <c r="Y192" s="295">
        <v>2.4880000000000002E-3</v>
      </c>
      <c r="Z192" s="295">
        <v>2.4459999999999998E-3</v>
      </c>
      <c r="AA192" s="295">
        <v>2.4429999999999999E-3</v>
      </c>
      <c r="AB192" s="295">
        <v>2.431E-3</v>
      </c>
      <c r="AC192" s="295">
        <v>2.3990000000000001E-3</v>
      </c>
      <c r="AD192" s="295">
        <v>2.385E-3</v>
      </c>
      <c r="AE192" s="295">
        <v>2.3890000000000001E-3</v>
      </c>
      <c r="AF192" s="295">
        <v>2.3770000000000002E-3</v>
      </c>
      <c r="AG192" s="295">
        <v>2.3730000000000001E-3</v>
      </c>
      <c r="AH192" s="296">
        <v>-7.2589999999999998E-3</v>
      </c>
    </row>
    <row r="193" spans="1:34" ht="15" customHeight="1" x14ac:dyDescent="0.25">
      <c r="A193" s="213" t="s">
        <v>1140</v>
      </c>
      <c r="B193" s="294" t="s">
        <v>1038</v>
      </c>
      <c r="C193" s="295">
        <v>7.7677889999999996</v>
      </c>
      <c r="D193" s="295">
        <v>7.9753749999999997</v>
      </c>
      <c r="E193" s="295">
        <v>8.0588460000000008</v>
      </c>
      <c r="F193" s="295">
        <v>8.0837450000000004</v>
      </c>
      <c r="G193" s="295">
        <v>8.1188110000000009</v>
      </c>
      <c r="H193" s="295">
        <v>8.1968809999999994</v>
      </c>
      <c r="I193" s="295">
        <v>8.1935540000000007</v>
      </c>
      <c r="J193" s="295">
        <v>8.1802849999999996</v>
      </c>
      <c r="K193" s="295">
        <v>8.1462679999999992</v>
      </c>
      <c r="L193" s="295">
        <v>8.1097300000000008</v>
      </c>
      <c r="M193" s="295">
        <v>8.0561089999999993</v>
      </c>
      <c r="N193" s="295">
        <v>8.0445119999999992</v>
      </c>
      <c r="O193" s="295">
        <v>8.0098230000000008</v>
      </c>
      <c r="P193" s="295">
        <v>7.9830589999999999</v>
      </c>
      <c r="Q193" s="295">
        <v>7.9684350000000004</v>
      </c>
      <c r="R193" s="295">
        <v>7.9602750000000002</v>
      </c>
      <c r="S193" s="295">
        <v>7.9466700000000001</v>
      </c>
      <c r="T193" s="295">
        <v>7.9329010000000002</v>
      </c>
      <c r="U193" s="295">
        <v>7.9345889999999999</v>
      </c>
      <c r="V193" s="295">
        <v>7.9384449999999998</v>
      </c>
      <c r="W193" s="295">
        <v>7.9420320000000002</v>
      </c>
      <c r="X193" s="295">
        <v>7.9496250000000002</v>
      </c>
      <c r="Y193" s="295">
        <v>7.993906</v>
      </c>
      <c r="Z193" s="295">
        <v>8.0330150000000007</v>
      </c>
      <c r="AA193" s="295">
        <v>8.0768120000000003</v>
      </c>
      <c r="AB193" s="295">
        <v>8.1067680000000006</v>
      </c>
      <c r="AC193" s="295">
        <v>8.1447009999999995</v>
      </c>
      <c r="AD193" s="295">
        <v>8.1778010000000005</v>
      </c>
      <c r="AE193" s="295">
        <v>8.2171959999999995</v>
      </c>
      <c r="AF193" s="295">
        <v>8.259703</v>
      </c>
      <c r="AG193" s="295">
        <v>8.3056929999999998</v>
      </c>
      <c r="AH193" s="296">
        <v>2.2339999999999999E-3</v>
      </c>
    </row>
    <row r="194" spans="1:34" ht="15" customHeight="1" x14ac:dyDescent="0.25">
      <c r="A194" s="213" t="s">
        <v>1141</v>
      </c>
      <c r="B194" s="294" t="s">
        <v>1060</v>
      </c>
      <c r="C194" s="295">
        <v>0.46397100000000002</v>
      </c>
      <c r="D194" s="295">
        <v>0.52949599999999997</v>
      </c>
      <c r="E194" s="295">
        <v>0.75490900000000005</v>
      </c>
      <c r="F194" s="295">
        <v>0.74726800000000004</v>
      </c>
      <c r="G194" s="295">
        <v>0.73081499999999999</v>
      </c>
      <c r="H194" s="295">
        <v>0.64493100000000003</v>
      </c>
      <c r="I194" s="295">
        <v>0.64485700000000001</v>
      </c>
      <c r="J194" s="295">
        <v>0.61358299999999999</v>
      </c>
      <c r="K194" s="295">
        <v>0.60784400000000005</v>
      </c>
      <c r="L194" s="295">
        <v>0.60238199999999997</v>
      </c>
      <c r="M194" s="295">
        <v>0.64637299999999998</v>
      </c>
      <c r="N194" s="295">
        <v>0.60709400000000002</v>
      </c>
      <c r="O194" s="295">
        <v>0.60446100000000003</v>
      </c>
      <c r="P194" s="295">
        <v>0.60115600000000002</v>
      </c>
      <c r="Q194" s="295">
        <v>0.59818199999999999</v>
      </c>
      <c r="R194" s="295">
        <v>0.59466399999999997</v>
      </c>
      <c r="S194" s="295">
        <v>0.59197</v>
      </c>
      <c r="T194" s="295">
        <v>0.59524900000000003</v>
      </c>
      <c r="U194" s="295">
        <v>0.588028</v>
      </c>
      <c r="V194" s="295">
        <v>0.58785699999999996</v>
      </c>
      <c r="W194" s="295">
        <v>0.56356600000000001</v>
      </c>
      <c r="X194" s="295">
        <v>0.57995399999999997</v>
      </c>
      <c r="Y194" s="295">
        <v>0.55227700000000002</v>
      </c>
      <c r="Z194" s="295">
        <v>0.55137599999999998</v>
      </c>
      <c r="AA194" s="295">
        <v>0.53447299999999998</v>
      </c>
      <c r="AB194" s="295">
        <v>0.545157</v>
      </c>
      <c r="AC194" s="295">
        <v>0.53080700000000003</v>
      </c>
      <c r="AD194" s="295">
        <v>0.52250600000000003</v>
      </c>
      <c r="AE194" s="295">
        <v>0.52012199999999997</v>
      </c>
      <c r="AF194" s="295">
        <v>0.51921499999999998</v>
      </c>
      <c r="AG194" s="295">
        <v>0.51583500000000004</v>
      </c>
      <c r="AH194" s="296">
        <v>3.5379999999999999E-3</v>
      </c>
    </row>
    <row r="195" spans="1:34" ht="15" customHeight="1" x14ac:dyDescent="0.25">
      <c r="A195" s="213" t="s">
        <v>1142</v>
      </c>
      <c r="B195" s="294" t="s">
        <v>1077</v>
      </c>
      <c r="C195" s="295">
        <v>0.58092500000000002</v>
      </c>
      <c r="D195" s="295">
        <v>0.60737300000000005</v>
      </c>
      <c r="E195" s="295">
        <v>0.64119300000000001</v>
      </c>
      <c r="F195" s="295">
        <v>0.64207400000000003</v>
      </c>
      <c r="G195" s="295">
        <v>0.64420200000000005</v>
      </c>
      <c r="H195" s="295">
        <v>0.64595999999999998</v>
      </c>
      <c r="I195" s="295">
        <v>0.64704899999999999</v>
      </c>
      <c r="J195" s="295">
        <v>0.64783100000000005</v>
      </c>
      <c r="K195" s="295">
        <v>0.64876900000000004</v>
      </c>
      <c r="L195" s="295">
        <v>0.64976400000000001</v>
      </c>
      <c r="M195" s="295">
        <v>0.65099600000000002</v>
      </c>
      <c r="N195" s="295">
        <v>0.65211300000000005</v>
      </c>
      <c r="O195" s="295">
        <v>0.65287300000000004</v>
      </c>
      <c r="P195" s="295">
        <v>0.65375799999999995</v>
      </c>
      <c r="Q195" s="295">
        <v>0.65477099999999999</v>
      </c>
      <c r="R195" s="295">
        <v>0.65575600000000001</v>
      </c>
      <c r="S195" s="295">
        <v>0.65636799999999995</v>
      </c>
      <c r="T195" s="295">
        <v>0.65710500000000005</v>
      </c>
      <c r="U195" s="295">
        <v>0.65780099999999997</v>
      </c>
      <c r="V195" s="295">
        <v>0.65814600000000001</v>
      </c>
      <c r="W195" s="295">
        <v>0.65824199999999999</v>
      </c>
      <c r="X195" s="295">
        <v>0.658551</v>
      </c>
      <c r="Y195" s="295">
        <v>0.65925299999999998</v>
      </c>
      <c r="Z195" s="295">
        <v>0.65980399999999995</v>
      </c>
      <c r="AA195" s="295">
        <v>0.66007499999999997</v>
      </c>
      <c r="AB195" s="295">
        <v>0.66052699999999998</v>
      </c>
      <c r="AC195" s="295">
        <v>0.660914</v>
      </c>
      <c r="AD195" s="295">
        <v>0.66132500000000005</v>
      </c>
      <c r="AE195" s="295">
        <v>0.661748</v>
      </c>
      <c r="AF195" s="295">
        <v>0.662582</v>
      </c>
      <c r="AG195" s="295">
        <v>0.66327400000000003</v>
      </c>
      <c r="AH195" s="296">
        <v>4.4289999999999998E-3</v>
      </c>
    </row>
    <row r="196" spans="1:34" ht="15" customHeight="1" x14ac:dyDescent="0.25">
      <c r="A196" s="213" t="s">
        <v>1143</v>
      </c>
      <c r="B196" s="294" t="s">
        <v>1144</v>
      </c>
      <c r="C196" s="295">
        <v>3.3536030000000001</v>
      </c>
      <c r="D196" s="295">
        <v>3.420051</v>
      </c>
      <c r="E196" s="295">
        <v>3.4226670000000001</v>
      </c>
      <c r="F196" s="295">
        <v>3.4314339999999999</v>
      </c>
      <c r="G196" s="295">
        <v>3.4119929999999998</v>
      </c>
      <c r="H196" s="295">
        <v>3.4417909999999998</v>
      </c>
      <c r="I196" s="295">
        <v>3.4613879999999999</v>
      </c>
      <c r="J196" s="295">
        <v>3.4875989999999999</v>
      </c>
      <c r="K196" s="295">
        <v>3.5159379999999998</v>
      </c>
      <c r="L196" s="295">
        <v>3.5476489999999998</v>
      </c>
      <c r="M196" s="295">
        <v>3.5652710000000001</v>
      </c>
      <c r="N196" s="295">
        <v>3.5896509999999999</v>
      </c>
      <c r="O196" s="295">
        <v>3.6111900000000001</v>
      </c>
      <c r="P196" s="295">
        <v>3.6266050000000001</v>
      </c>
      <c r="Q196" s="295">
        <v>3.6606079999999999</v>
      </c>
      <c r="R196" s="295">
        <v>3.6776049999999998</v>
      </c>
      <c r="S196" s="295">
        <v>3.7095750000000001</v>
      </c>
      <c r="T196" s="295">
        <v>3.7422740000000001</v>
      </c>
      <c r="U196" s="295">
        <v>3.7546520000000001</v>
      </c>
      <c r="V196" s="295">
        <v>3.7688869999999999</v>
      </c>
      <c r="W196" s="295">
        <v>3.7693479999999999</v>
      </c>
      <c r="X196" s="295">
        <v>3.7811819999999998</v>
      </c>
      <c r="Y196" s="295">
        <v>3.7915390000000002</v>
      </c>
      <c r="Z196" s="295">
        <v>3.7903180000000001</v>
      </c>
      <c r="AA196" s="295">
        <v>3.8041469999999999</v>
      </c>
      <c r="AB196" s="295">
        <v>3.8322560000000001</v>
      </c>
      <c r="AC196" s="295">
        <v>3.8388409999999999</v>
      </c>
      <c r="AD196" s="295">
        <v>3.8666179999999999</v>
      </c>
      <c r="AE196" s="295">
        <v>3.9035660000000001</v>
      </c>
      <c r="AF196" s="295">
        <v>3.9270510000000001</v>
      </c>
      <c r="AG196" s="295">
        <v>3.9679820000000001</v>
      </c>
      <c r="AH196" s="296">
        <v>5.6230000000000004E-3</v>
      </c>
    </row>
    <row r="197" spans="1:34" ht="15" customHeight="1" x14ac:dyDescent="0.25">
      <c r="A197" s="213" t="s">
        <v>1145</v>
      </c>
      <c r="B197" s="294" t="s">
        <v>1040</v>
      </c>
      <c r="C197" s="295">
        <v>33.396338999999998</v>
      </c>
      <c r="D197" s="295">
        <v>35.438667000000002</v>
      </c>
      <c r="E197" s="295">
        <v>36.371139999999997</v>
      </c>
      <c r="F197" s="295">
        <v>36.655495000000002</v>
      </c>
      <c r="G197" s="295">
        <v>36.788071000000002</v>
      </c>
      <c r="H197" s="295">
        <v>36.899174000000002</v>
      </c>
      <c r="I197" s="295">
        <v>36.898539999999997</v>
      </c>
      <c r="J197" s="295">
        <v>36.839989000000003</v>
      </c>
      <c r="K197" s="295">
        <v>36.814597999999997</v>
      </c>
      <c r="L197" s="295">
        <v>36.778328000000002</v>
      </c>
      <c r="M197" s="295">
        <v>36.798084000000003</v>
      </c>
      <c r="N197" s="295">
        <v>36.792492000000003</v>
      </c>
      <c r="O197" s="295">
        <v>36.793064000000001</v>
      </c>
      <c r="P197" s="295">
        <v>36.82835</v>
      </c>
      <c r="Q197" s="295">
        <v>36.920372</v>
      </c>
      <c r="R197" s="295">
        <v>37.008426999999998</v>
      </c>
      <c r="S197" s="295">
        <v>37.069381999999997</v>
      </c>
      <c r="T197" s="295">
        <v>37.144553999999999</v>
      </c>
      <c r="U197" s="295">
        <v>37.213813999999999</v>
      </c>
      <c r="V197" s="295">
        <v>37.284779</v>
      </c>
      <c r="W197" s="295">
        <v>37.314197999999998</v>
      </c>
      <c r="X197" s="295">
        <v>37.418930000000003</v>
      </c>
      <c r="Y197" s="295">
        <v>37.565083000000001</v>
      </c>
      <c r="Z197" s="295">
        <v>37.725025000000002</v>
      </c>
      <c r="AA197" s="295">
        <v>37.876232000000002</v>
      </c>
      <c r="AB197" s="295">
        <v>38.063580000000002</v>
      </c>
      <c r="AC197" s="295">
        <v>38.207985000000001</v>
      </c>
      <c r="AD197" s="295">
        <v>38.374695000000003</v>
      </c>
      <c r="AE197" s="295">
        <v>38.568401000000001</v>
      </c>
      <c r="AF197" s="295">
        <v>38.788665999999999</v>
      </c>
      <c r="AG197" s="295">
        <v>39.019306</v>
      </c>
      <c r="AH197" s="296">
        <v>5.2009999999999999E-3</v>
      </c>
    </row>
    <row r="198" spans="1:34" ht="15" customHeight="1" x14ac:dyDescent="0.25">
      <c r="A198" s="213" t="s">
        <v>1146</v>
      </c>
      <c r="B198" s="294" t="s">
        <v>152</v>
      </c>
      <c r="C198" s="295">
        <v>16.849997999999999</v>
      </c>
      <c r="D198" s="295">
        <v>16.796188000000001</v>
      </c>
      <c r="E198" s="295">
        <v>16.927792</v>
      </c>
      <c r="F198" s="295">
        <v>17.271153999999999</v>
      </c>
      <c r="G198" s="295">
        <v>17.603263999999999</v>
      </c>
      <c r="H198" s="295">
        <v>17.840502000000001</v>
      </c>
      <c r="I198" s="295">
        <v>17.957037</v>
      </c>
      <c r="J198" s="295">
        <v>17.969683</v>
      </c>
      <c r="K198" s="295">
        <v>18.019943000000001</v>
      </c>
      <c r="L198" s="295">
        <v>18.067831000000002</v>
      </c>
      <c r="M198" s="295">
        <v>18.065097999999999</v>
      </c>
      <c r="N198" s="295">
        <v>18.128229000000001</v>
      </c>
      <c r="O198" s="295">
        <v>18.177223000000001</v>
      </c>
      <c r="P198" s="295">
        <v>18.222895000000001</v>
      </c>
      <c r="Q198" s="295">
        <v>18.310770000000002</v>
      </c>
      <c r="R198" s="295">
        <v>18.407506999999999</v>
      </c>
      <c r="S198" s="295">
        <v>18.501819999999999</v>
      </c>
      <c r="T198" s="295">
        <v>18.599699000000001</v>
      </c>
      <c r="U198" s="295">
        <v>18.711161000000001</v>
      </c>
      <c r="V198" s="295">
        <v>18.824608000000001</v>
      </c>
      <c r="W198" s="295">
        <v>18.933516999999998</v>
      </c>
      <c r="X198" s="295">
        <v>19.035021</v>
      </c>
      <c r="Y198" s="295">
        <v>19.189274000000001</v>
      </c>
      <c r="Z198" s="295">
        <v>19.342119</v>
      </c>
      <c r="AA198" s="295">
        <v>19.458303000000001</v>
      </c>
      <c r="AB198" s="295">
        <v>19.547926</v>
      </c>
      <c r="AC198" s="295">
        <v>19.693398999999999</v>
      </c>
      <c r="AD198" s="295">
        <v>19.819292000000001</v>
      </c>
      <c r="AE198" s="295">
        <v>19.932390000000002</v>
      </c>
      <c r="AF198" s="295">
        <v>20.069050000000001</v>
      </c>
      <c r="AG198" s="295">
        <v>20.218792000000001</v>
      </c>
      <c r="AH198" s="296">
        <v>6.0939999999999996E-3</v>
      </c>
    </row>
    <row r="199" spans="1:34" ht="15" customHeight="1" x14ac:dyDescent="0.25">
      <c r="A199" s="213" t="s">
        <v>1147</v>
      </c>
      <c r="B199" s="294" t="s">
        <v>1083</v>
      </c>
      <c r="C199" s="295">
        <v>0</v>
      </c>
      <c r="D199" s="295">
        <v>0</v>
      </c>
      <c r="E199" s="295">
        <v>0</v>
      </c>
      <c r="F199" s="295">
        <v>0</v>
      </c>
      <c r="G199" s="295">
        <v>0</v>
      </c>
      <c r="H199" s="295">
        <v>0</v>
      </c>
      <c r="I199" s="295">
        <v>0</v>
      </c>
      <c r="J199" s="295">
        <v>0</v>
      </c>
      <c r="K199" s="295">
        <v>0</v>
      </c>
      <c r="L199" s="295">
        <v>0</v>
      </c>
      <c r="M199" s="295">
        <v>0</v>
      </c>
      <c r="N199" s="295">
        <v>0</v>
      </c>
      <c r="O199" s="295">
        <v>0</v>
      </c>
      <c r="P199" s="295">
        <v>0</v>
      </c>
      <c r="Q199" s="295">
        <v>0</v>
      </c>
      <c r="R199" s="295">
        <v>0</v>
      </c>
      <c r="S199" s="295">
        <v>0</v>
      </c>
      <c r="T199" s="295">
        <v>0</v>
      </c>
      <c r="U199" s="295">
        <v>0</v>
      </c>
      <c r="V199" s="295">
        <v>0</v>
      </c>
      <c r="W199" s="295">
        <v>0</v>
      </c>
      <c r="X199" s="295">
        <v>0</v>
      </c>
      <c r="Y199" s="295">
        <v>0</v>
      </c>
      <c r="Z199" s="295">
        <v>0</v>
      </c>
      <c r="AA199" s="295">
        <v>0</v>
      </c>
      <c r="AB199" s="295">
        <v>0</v>
      </c>
      <c r="AC199" s="295">
        <v>0</v>
      </c>
      <c r="AD199" s="295">
        <v>0</v>
      </c>
      <c r="AE199" s="295">
        <v>0</v>
      </c>
      <c r="AF199" s="295">
        <v>0</v>
      </c>
      <c r="AG199" s="295">
        <v>0</v>
      </c>
      <c r="AH199" s="296" t="s">
        <v>635</v>
      </c>
    </row>
    <row r="200" spans="1:34" ht="15" customHeight="1" x14ac:dyDescent="0.25">
      <c r="A200" s="213" t="s">
        <v>1148</v>
      </c>
      <c r="B200" s="294" t="s">
        <v>1085</v>
      </c>
      <c r="C200" s="295">
        <v>1.865005</v>
      </c>
      <c r="D200" s="295">
        <v>1.807725</v>
      </c>
      <c r="E200" s="295">
        <v>1.880965</v>
      </c>
      <c r="F200" s="295">
        <v>1.9408570000000001</v>
      </c>
      <c r="G200" s="295">
        <v>1.9565490000000001</v>
      </c>
      <c r="H200" s="295">
        <v>2.009153</v>
      </c>
      <c r="I200" s="295">
        <v>2.0434899999999998</v>
      </c>
      <c r="J200" s="295">
        <v>2.0588169999999999</v>
      </c>
      <c r="K200" s="295">
        <v>2.077655</v>
      </c>
      <c r="L200" s="295">
        <v>2.095453</v>
      </c>
      <c r="M200" s="295">
        <v>2.1270380000000002</v>
      </c>
      <c r="N200" s="295">
        <v>2.1532659999999999</v>
      </c>
      <c r="O200" s="295">
        <v>2.1734019999999998</v>
      </c>
      <c r="P200" s="295">
        <v>2.2095530000000001</v>
      </c>
      <c r="Q200" s="295">
        <v>2.2339820000000001</v>
      </c>
      <c r="R200" s="295">
        <v>2.2352430000000001</v>
      </c>
      <c r="S200" s="295">
        <v>2.2360989999999998</v>
      </c>
      <c r="T200" s="295">
        <v>2.2449379999999999</v>
      </c>
      <c r="U200" s="295">
        <v>2.2523170000000001</v>
      </c>
      <c r="V200" s="295">
        <v>2.2709450000000002</v>
      </c>
      <c r="W200" s="295">
        <v>2.2919559999999999</v>
      </c>
      <c r="X200" s="295">
        <v>2.306597</v>
      </c>
      <c r="Y200" s="295">
        <v>2.3343180000000001</v>
      </c>
      <c r="Z200" s="295">
        <v>2.374781</v>
      </c>
      <c r="AA200" s="295">
        <v>2.3952939999999998</v>
      </c>
      <c r="AB200" s="295">
        <v>2.3954260000000001</v>
      </c>
      <c r="AC200" s="295">
        <v>2.4161999999999999</v>
      </c>
      <c r="AD200" s="295">
        <v>2.424982</v>
      </c>
      <c r="AE200" s="295">
        <v>2.4366409999999998</v>
      </c>
      <c r="AF200" s="295">
        <v>2.4378600000000001</v>
      </c>
      <c r="AG200" s="295">
        <v>2.4408089999999998</v>
      </c>
      <c r="AH200" s="296">
        <v>9.0089999999999996E-3</v>
      </c>
    </row>
    <row r="201" spans="1:34" ht="15" customHeight="1" x14ac:dyDescent="0.25">
      <c r="A201" s="213" t="s">
        <v>1149</v>
      </c>
      <c r="B201" s="294" t="s">
        <v>1087</v>
      </c>
      <c r="C201" s="295">
        <v>0.35997099999999999</v>
      </c>
      <c r="D201" s="295">
        <v>0.495002</v>
      </c>
      <c r="E201" s="295">
        <v>0.48645500000000003</v>
      </c>
      <c r="F201" s="295">
        <v>0.49248599999999998</v>
      </c>
      <c r="G201" s="295">
        <v>0.55064999999999997</v>
      </c>
      <c r="H201" s="295">
        <v>0.63718900000000001</v>
      </c>
      <c r="I201" s="295">
        <v>0.68829200000000001</v>
      </c>
      <c r="J201" s="295">
        <v>0.68829200000000001</v>
      </c>
      <c r="K201" s="295">
        <v>0.70573300000000005</v>
      </c>
      <c r="L201" s="295">
        <v>0.73495699999999997</v>
      </c>
      <c r="M201" s="295">
        <v>0.76606700000000005</v>
      </c>
      <c r="N201" s="295">
        <v>0.78162200000000004</v>
      </c>
      <c r="O201" s="295">
        <v>0.78350799999999998</v>
      </c>
      <c r="P201" s="295">
        <v>0.78162200000000004</v>
      </c>
      <c r="Q201" s="295">
        <v>0.78162200000000004</v>
      </c>
      <c r="R201" s="295">
        <v>0.78162200000000004</v>
      </c>
      <c r="S201" s="295">
        <v>0.78350799999999998</v>
      </c>
      <c r="T201" s="295">
        <v>0.78162200000000004</v>
      </c>
      <c r="U201" s="295">
        <v>0.78162200000000004</v>
      </c>
      <c r="V201" s="295">
        <v>0.78162200000000004</v>
      </c>
      <c r="W201" s="295">
        <v>0.78350799999999998</v>
      </c>
      <c r="X201" s="295">
        <v>0.78162200000000004</v>
      </c>
      <c r="Y201" s="295">
        <v>0.78162200000000004</v>
      </c>
      <c r="Z201" s="295">
        <v>0.78162200000000004</v>
      </c>
      <c r="AA201" s="295">
        <v>0.78350799999999998</v>
      </c>
      <c r="AB201" s="295">
        <v>0.78162200000000004</v>
      </c>
      <c r="AC201" s="295">
        <v>0.78162200000000004</v>
      </c>
      <c r="AD201" s="295">
        <v>0.78162200000000004</v>
      </c>
      <c r="AE201" s="295">
        <v>0.78350799999999998</v>
      </c>
      <c r="AF201" s="295">
        <v>0.78162200000000004</v>
      </c>
      <c r="AG201" s="295">
        <v>0.78162200000000004</v>
      </c>
      <c r="AH201" s="296">
        <v>2.6182E-2</v>
      </c>
    </row>
    <row r="202" spans="1:34" ht="15" customHeight="1" x14ac:dyDescent="0.25">
      <c r="A202" s="213" t="s">
        <v>1150</v>
      </c>
      <c r="B202" s="294" t="s">
        <v>1122</v>
      </c>
      <c r="C202" s="295">
        <v>0.70627899999999999</v>
      </c>
      <c r="D202" s="295">
        <v>0.76189300000000004</v>
      </c>
      <c r="E202" s="295">
        <v>0.75658300000000001</v>
      </c>
      <c r="F202" s="295">
        <v>0.71793899999999999</v>
      </c>
      <c r="G202" s="295">
        <v>0.68035800000000002</v>
      </c>
      <c r="H202" s="295">
        <v>0.66490400000000005</v>
      </c>
      <c r="I202" s="295">
        <v>0.62340399999999996</v>
      </c>
      <c r="J202" s="295">
        <v>0.61793200000000004</v>
      </c>
      <c r="K202" s="295">
        <v>0.61683600000000005</v>
      </c>
      <c r="L202" s="295">
        <v>0.61629</v>
      </c>
      <c r="M202" s="295">
        <v>0.61148100000000005</v>
      </c>
      <c r="N202" s="295">
        <v>0.612707</v>
      </c>
      <c r="O202" s="295">
        <v>0.61787099999999995</v>
      </c>
      <c r="P202" s="295">
        <v>0.62041199999999996</v>
      </c>
      <c r="Q202" s="295">
        <v>0.62257700000000005</v>
      </c>
      <c r="R202" s="295">
        <v>0.62744299999999997</v>
      </c>
      <c r="S202" s="295">
        <v>0.63063599999999997</v>
      </c>
      <c r="T202" s="295">
        <v>0.63487499999999997</v>
      </c>
      <c r="U202" s="295">
        <v>0.63971</v>
      </c>
      <c r="V202" s="295">
        <v>0.64397499999999996</v>
      </c>
      <c r="W202" s="295">
        <v>0.65073599999999998</v>
      </c>
      <c r="X202" s="295">
        <v>0.654636</v>
      </c>
      <c r="Y202" s="295">
        <v>0.66025900000000004</v>
      </c>
      <c r="Z202" s="295">
        <v>0.66815400000000003</v>
      </c>
      <c r="AA202" s="295">
        <v>0.67605199999999999</v>
      </c>
      <c r="AB202" s="295">
        <v>0.68138500000000002</v>
      </c>
      <c r="AC202" s="295">
        <v>0.68932599999999999</v>
      </c>
      <c r="AD202" s="295">
        <v>0.69373600000000002</v>
      </c>
      <c r="AE202" s="295">
        <v>0.69961600000000002</v>
      </c>
      <c r="AF202" s="295">
        <v>0.70664700000000003</v>
      </c>
      <c r="AG202" s="295">
        <v>0.71458900000000003</v>
      </c>
      <c r="AH202" s="296">
        <v>3.8999999999999999E-4</v>
      </c>
    </row>
    <row r="203" spans="1:34" ht="15" customHeight="1" x14ac:dyDescent="0.25">
      <c r="A203" s="213" t="s">
        <v>1151</v>
      </c>
      <c r="B203" s="294" t="s">
        <v>1089</v>
      </c>
      <c r="C203" s="295">
        <v>19.781251999999999</v>
      </c>
      <c r="D203" s="295">
        <v>19.860807000000001</v>
      </c>
      <c r="E203" s="295">
        <v>20.051791999999999</v>
      </c>
      <c r="F203" s="295">
        <v>20.422438</v>
      </c>
      <c r="G203" s="295">
        <v>20.790821000000001</v>
      </c>
      <c r="H203" s="295">
        <v>21.151748999999999</v>
      </c>
      <c r="I203" s="295">
        <v>21.312221999999998</v>
      </c>
      <c r="J203" s="295">
        <v>21.334723</v>
      </c>
      <c r="K203" s="295">
        <v>21.420168</v>
      </c>
      <c r="L203" s="295">
        <v>21.514530000000001</v>
      </c>
      <c r="M203" s="295">
        <v>21.569683000000001</v>
      </c>
      <c r="N203" s="295">
        <v>21.675825</v>
      </c>
      <c r="O203" s="295">
        <v>21.752005</v>
      </c>
      <c r="P203" s="295">
        <v>21.834479999999999</v>
      </c>
      <c r="Q203" s="295">
        <v>21.948951999999998</v>
      </c>
      <c r="R203" s="295">
        <v>22.051815000000001</v>
      </c>
      <c r="S203" s="295">
        <v>22.152062999999998</v>
      </c>
      <c r="T203" s="295">
        <v>22.261134999999999</v>
      </c>
      <c r="U203" s="295">
        <v>22.384809000000001</v>
      </c>
      <c r="V203" s="295">
        <v>22.521149000000001</v>
      </c>
      <c r="W203" s="295">
        <v>22.659718000000002</v>
      </c>
      <c r="X203" s="295">
        <v>22.777875999999999</v>
      </c>
      <c r="Y203" s="295">
        <v>22.965472999999999</v>
      </c>
      <c r="Z203" s="295">
        <v>23.166675999999999</v>
      </c>
      <c r="AA203" s="295">
        <v>23.313158000000001</v>
      </c>
      <c r="AB203" s="295">
        <v>23.406358999999998</v>
      </c>
      <c r="AC203" s="295">
        <v>23.580546999999999</v>
      </c>
      <c r="AD203" s="295">
        <v>23.719633000000002</v>
      </c>
      <c r="AE203" s="295">
        <v>23.852156000000001</v>
      </c>
      <c r="AF203" s="295">
        <v>23.995180000000001</v>
      </c>
      <c r="AG203" s="295">
        <v>24.155812999999998</v>
      </c>
      <c r="AH203" s="296">
        <v>6.6819999999999996E-3</v>
      </c>
    </row>
    <row r="204" spans="1:34" ht="15" customHeight="1" x14ac:dyDescent="0.25">
      <c r="A204" s="213" t="s">
        <v>1152</v>
      </c>
      <c r="B204" s="294" t="s">
        <v>1091</v>
      </c>
      <c r="C204" s="295">
        <v>0.47265099999999999</v>
      </c>
      <c r="D204" s="295">
        <v>0.39605299999999999</v>
      </c>
      <c r="E204" s="295">
        <v>0.40934199999999998</v>
      </c>
      <c r="F204" s="295">
        <v>0.49793399999999999</v>
      </c>
      <c r="G204" s="295">
        <v>0.487983</v>
      </c>
      <c r="H204" s="295">
        <v>0.45944400000000002</v>
      </c>
      <c r="I204" s="295">
        <v>0.45657999999999999</v>
      </c>
      <c r="J204" s="295">
        <v>0.44544600000000001</v>
      </c>
      <c r="K204" s="295">
        <v>0.42712099999999997</v>
      </c>
      <c r="L204" s="295">
        <v>0.41013899999999998</v>
      </c>
      <c r="M204" s="295">
        <v>0.40978599999999998</v>
      </c>
      <c r="N204" s="295">
        <v>0.40927799999999998</v>
      </c>
      <c r="O204" s="295">
        <v>0.40397899999999998</v>
      </c>
      <c r="P204" s="295">
        <v>0.39724199999999998</v>
      </c>
      <c r="Q204" s="295">
        <v>0.39794800000000002</v>
      </c>
      <c r="R204" s="295">
        <v>0.39924100000000001</v>
      </c>
      <c r="S204" s="295">
        <v>0.39598800000000001</v>
      </c>
      <c r="T204" s="295">
        <v>0.396254</v>
      </c>
      <c r="U204" s="295">
        <v>0.399368</v>
      </c>
      <c r="V204" s="295">
        <v>0.40063900000000002</v>
      </c>
      <c r="W204" s="295">
        <v>0.39474199999999998</v>
      </c>
      <c r="X204" s="295">
        <v>0.39587</v>
      </c>
      <c r="Y204" s="295">
        <v>0.40470400000000001</v>
      </c>
      <c r="Z204" s="295">
        <v>0.41109699999999999</v>
      </c>
      <c r="AA204" s="295">
        <v>0.40808499999999998</v>
      </c>
      <c r="AB204" s="295">
        <v>0.40725600000000001</v>
      </c>
      <c r="AC204" s="295">
        <v>0.406142</v>
      </c>
      <c r="AD204" s="295">
        <v>0.40423599999999998</v>
      </c>
      <c r="AE204" s="295">
        <v>0.40629199999999999</v>
      </c>
      <c r="AF204" s="295">
        <v>0.404858</v>
      </c>
      <c r="AG204" s="295">
        <v>0.41049099999999999</v>
      </c>
      <c r="AH204" s="296">
        <v>-4.6889999999999996E-3</v>
      </c>
    </row>
    <row r="205" spans="1:34" ht="15" customHeight="1" x14ac:dyDescent="0.25">
      <c r="A205" s="213" t="s">
        <v>1153</v>
      </c>
      <c r="B205" s="294" t="s">
        <v>1154</v>
      </c>
      <c r="C205" s="295">
        <v>0.50229500000000005</v>
      </c>
      <c r="D205" s="295">
        <v>0.494981</v>
      </c>
      <c r="E205" s="295">
        <v>0.48130200000000001</v>
      </c>
      <c r="F205" s="295">
        <v>0.484568</v>
      </c>
      <c r="G205" s="295">
        <v>0.48270800000000003</v>
      </c>
      <c r="H205" s="295">
        <v>0.480016</v>
      </c>
      <c r="I205" s="295">
        <v>0.47603200000000001</v>
      </c>
      <c r="J205" s="295">
        <v>0.471221</v>
      </c>
      <c r="K205" s="295">
        <v>0.46519500000000003</v>
      </c>
      <c r="L205" s="295">
        <v>0.459783</v>
      </c>
      <c r="M205" s="295">
        <v>0.45589200000000002</v>
      </c>
      <c r="N205" s="295">
        <v>0.45228299999999999</v>
      </c>
      <c r="O205" s="295">
        <v>0.44670199999999999</v>
      </c>
      <c r="P205" s="295">
        <v>0.44157999999999997</v>
      </c>
      <c r="Q205" s="295">
        <v>0.43637100000000001</v>
      </c>
      <c r="R205" s="295">
        <v>0.43632300000000002</v>
      </c>
      <c r="S205" s="295">
        <v>0.43570700000000001</v>
      </c>
      <c r="T205" s="295">
        <v>0.43548799999999999</v>
      </c>
      <c r="U205" s="295">
        <v>0.435832</v>
      </c>
      <c r="V205" s="295">
        <v>0.43577700000000003</v>
      </c>
      <c r="W205" s="295">
        <v>0.43536200000000003</v>
      </c>
      <c r="X205" s="295">
        <v>0.43592599999999998</v>
      </c>
      <c r="Y205" s="295">
        <v>0.44264399999999998</v>
      </c>
      <c r="Z205" s="295">
        <v>0.45061200000000001</v>
      </c>
      <c r="AA205" s="295">
        <v>0.45840399999999998</v>
      </c>
      <c r="AB205" s="295">
        <v>0.46979900000000002</v>
      </c>
      <c r="AC205" s="295">
        <v>0.47261300000000001</v>
      </c>
      <c r="AD205" s="295">
        <v>0.47389300000000001</v>
      </c>
      <c r="AE205" s="295">
        <v>0.47556300000000001</v>
      </c>
      <c r="AF205" s="295">
        <v>0.47787600000000002</v>
      </c>
      <c r="AG205" s="295">
        <v>0.48028199999999999</v>
      </c>
      <c r="AH205" s="296">
        <v>-1.493E-3</v>
      </c>
    </row>
    <row r="206" spans="1:34" ht="15" customHeight="1" x14ac:dyDescent="0.25">
      <c r="A206" s="213" t="s">
        <v>1155</v>
      </c>
      <c r="B206" s="294" t="s">
        <v>1095</v>
      </c>
      <c r="C206" s="295">
        <v>0</v>
      </c>
      <c r="D206" s="295">
        <v>0</v>
      </c>
      <c r="E206" s="295">
        <v>0</v>
      </c>
      <c r="F206" s="295">
        <v>0</v>
      </c>
      <c r="G206" s="295">
        <v>0</v>
      </c>
      <c r="H206" s="295">
        <v>0</v>
      </c>
      <c r="I206" s="295">
        <v>0</v>
      </c>
      <c r="J206" s="295">
        <v>0</v>
      </c>
      <c r="K206" s="295">
        <v>0</v>
      </c>
      <c r="L206" s="295">
        <v>0</v>
      </c>
      <c r="M206" s="295">
        <v>0</v>
      </c>
      <c r="N206" s="295">
        <v>0</v>
      </c>
      <c r="O206" s="295">
        <v>0</v>
      </c>
      <c r="P206" s="295">
        <v>0</v>
      </c>
      <c r="Q206" s="295">
        <v>0</v>
      </c>
      <c r="R206" s="295">
        <v>0</v>
      </c>
      <c r="S206" s="295">
        <v>0</v>
      </c>
      <c r="T206" s="295">
        <v>0</v>
      </c>
      <c r="U206" s="295">
        <v>0</v>
      </c>
      <c r="V206" s="295">
        <v>0</v>
      </c>
      <c r="W206" s="295">
        <v>0</v>
      </c>
      <c r="X206" s="295">
        <v>0</v>
      </c>
      <c r="Y206" s="295">
        <v>0</v>
      </c>
      <c r="Z206" s="295">
        <v>0</v>
      </c>
      <c r="AA206" s="295">
        <v>0</v>
      </c>
      <c r="AB206" s="295">
        <v>0</v>
      </c>
      <c r="AC206" s="295">
        <v>0</v>
      </c>
      <c r="AD206" s="295">
        <v>0</v>
      </c>
      <c r="AE206" s="295">
        <v>0</v>
      </c>
      <c r="AF206" s="295">
        <v>0</v>
      </c>
      <c r="AG206" s="295">
        <v>0</v>
      </c>
      <c r="AH206" s="296" t="s">
        <v>635</v>
      </c>
    </row>
    <row r="207" spans="1:34" ht="15" customHeight="1" x14ac:dyDescent="0.25">
      <c r="A207" s="213" t="s">
        <v>1156</v>
      </c>
      <c r="B207" s="294" t="s">
        <v>1097</v>
      </c>
      <c r="C207" s="295">
        <v>-2.4546999999999999E-2</v>
      </c>
      <c r="D207" s="295">
        <v>-2.4834999999999999E-2</v>
      </c>
      <c r="E207" s="295">
        <v>-2.554E-2</v>
      </c>
      <c r="F207" s="295">
        <v>-3.1741999999999999E-2</v>
      </c>
      <c r="G207" s="295">
        <v>-2.4374E-2</v>
      </c>
      <c r="H207" s="295">
        <v>-2.3581999999999999E-2</v>
      </c>
      <c r="I207" s="295">
        <v>-2.3761000000000001E-2</v>
      </c>
      <c r="J207" s="295">
        <v>-2.3547999999999999E-2</v>
      </c>
      <c r="K207" s="295">
        <v>-2.3507E-2</v>
      </c>
      <c r="L207" s="295">
        <v>-2.3259999999999999E-2</v>
      </c>
      <c r="M207" s="295">
        <v>-2.2973E-2</v>
      </c>
      <c r="N207" s="295">
        <v>-2.2726E-2</v>
      </c>
      <c r="O207" s="295">
        <v>-2.2679000000000001E-2</v>
      </c>
      <c r="P207" s="295">
        <v>-2.2606000000000001E-2</v>
      </c>
      <c r="Q207" s="295">
        <v>-2.2516999999999999E-2</v>
      </c>
      <c r="R207" s="295">
        <v>-2.2372E-2</v>
      </c>
      <c r="S207" s="295">
        <v>-2.2432000000000001E-2</v>
      </c>
      <c r="T207" s="295">
        <v>-2.2290000000000001E-2</v>
      </c>
      <c r="U207" s="295">
        <v>-2.1985000000000001E-2</v>
      </c>
      <c r="V207" s="295">
        <v>-2.1854999999999999E-2</v>
      </c>
      <c r="W207" s="295">
        <v>-2.2058999999999999E-2</v>
      </c>
      <c r="X207" s="295">
        <v>-2.1781999999999999E-2</v>
      </c>
      <c r="Y207" s="295">
        <v>-2.1339E-2</v>
      </c>
      <c r="Z207" s="295">
        <v>-2.1006E-2</v>
      </c>
      <c r="AA207" s="295">
        <v>-2.1162E-2</v>
      </c>
      <c r="AB207" s="295">
        <v>-2.0931999999999999E-2</v>
      </c>
      <c r="AC207" s="295">
        <v>-2.0872000000000002E-2</v>
      </c>
      <c r="AD207" s="295">
        <v>-2.0801E-2</v>
      </c>
      <c r="AE207" s="295">
        <v>-2.0572E-2</v>
      </c>
      <c r="AF207" s="295">
        <v>-2.0466999999999999E-2</v>
      </c>
      <c r="AG207" s="295">
        <v>-1.9972E-2</v>
      </c>
      <c r="AH207" s="296">
        <v>-6.8519999999999996E-3</v>
      </c>
    </row>
    <row r="208" spans="1:34" ht="15" customHeight="1" x14ac:dyDescent="0.25">
      <c r="A208" s="213" t="s">
        <v>1157</v>
      </c>
      <c r="B208" s="294" t="s">
        <v>1099</v>
      </c>
      <c r="C208" s="295">
        <v>0.95040000000000002</v>
      </c>
      <c r="D208" s="295">
        <v>0.86619900000000005</v>
      </c>
      <c r="E208" s="295">
        <v>0.86510399999999998</v>
      </c>
      <c r="F208" s="295">
        <v>0.95076000000000005</v>
      </c>
      <c r="G208" s="295">
        <v>0.94631600000000005</v>
      </c>
      <c r="H208" s="295">
        <v>0.91587799999999997</v>
      </c>
      <c r="I208" s="295">
        <v>0.90885099999999996</v>
      </c>
      <c r="J208" s="295">
        <v>0.893119</v>
      </c>
      <c r="K208" s="295">
        <v>0.86880999999999997</v>
      </c>
      <c r="L208" s="295">
        <v>0.84666200000000003</v>
      </c>
      <c r="M208" s="295">
        <v>0.84270599999999996</v>
      </c>
      <c r="N208" s="295">
        <v>0.838835</v>
      </c>
      <c r="O208" s="295">
        <v>0.82800200000000002</v>
      </c>
      <c r="P208" s="295">
        <v>0.81621500000000002</v>
      </c>
      <c r="Q208" s="295">
        <v>0.81180200000000002</v>
      </c>
      <c r="R208" s="295">
        <v>0.81319200000000003</v>
      </c>
      <c r="S208" s="295">
        <v>0.80926299999999995</v>
      </c>
      <c r="T208" s="295">
        <v>0.80945199999999995</v>
      </c>
      <c r="U208" s="295">
        <v>0.81321500000000002</v>
      </c>
      <c r="V208" s="295">
        <v>0.81456099999999998</v>
      </c>
      <c r="W208" s="295">
        <v>0.80804500000000001</v>
      </c>
      <c r="X208" s="295">
        <v>0.81001400000000001</v>
      </c>
      <c r="Y208" s="295">
        <v>0.82600899999999999</v>
      </c>
      <c r="Z208" s="295">
        <v>0.84070199999999995</v>
      </c>
      <c r="AA208" s="295">
        <v>0.84532700000000005</v>
      </c>
      <c r="AB208" s="295">
        <v>0.856124</v>
      </c>
      <c r="AC208" s="295">
        <v>0.85788299999999995</v>
      </c>
      <c r="AD208" s="295">
        <v>0.85732799999999998</v>
      </c>
      <c r="AE208" s="295">
        <v>0.86128300000000002</v>
      </c>
      <c r="AF208" s="295">
        <v>0.86226700000000001</v>
      </c>
      <c r="AG208" s="295">
        <v>0.87080100000000005</v>
      </c>
      <c r="AH208" s="296">
        <v>-2.911E-3</v>
      </c>
    </row>
    <row r="209" spans="1:34" ht="15" customHeight="1" x14ac:dyDescent="0.25">
      <c r="A209" s="213" t="s">
        <v>1158</v>
      </c>
      <c r="B209" s="294" t="s">
        <v>1101</v>
      </c>
      <c r="C209" s="295">
        <v>0.90481</v>
      </c>
      <c r="D209" s="295">
        <v>0.88107100000000005</v>
      </c>
      <c r="E209" s="295">
        <v>0.87069200000000002</v>
      </c>
      <c r="F209" s="295">
        <v>0.87605100000000002</v>
      </c>
      <c r="G209" s="295">
        <v>0.879</v>
      </c>
      <c r="H209" s="295">
        <v>0.88542399999999999</v>
      </c>
      <c r="I209" s="295">
        <v>0.88824899999999996</v>
      </c>
      <c r="J209" s="295">
        <v>0.89047699999999996</v>
      </c>
      <c r="K209" s="295">
        <v>0.89277300000000004</v>
      </c>
      <c r="L209" s="295">
        <v>0.89517199999999997</v>
      </c>
      <c r="M209" s="295">
        <v>0.899613</v>
      </c>
      <c r="N209" s="295">
        <v>0.90926399999999996</v>
      </c>
      <c r="O209" s="295">
        <v>0.91255399999999998</v>
      </c>
      <c r="P209" s="295">
        <v>0.91770499999999999</v>
      </c>
      <c r="Q209" s="295">
        <v>0.92390300000000003</v>
      </c>
      <c r="R209" s="295">
        <v>0.92998000000000003</v>
      </c>
      <c r="S209" s="295">
        <v>0.93480099999999999</v>
      </c>
      <c r="T209" s="295">
        <v>0.94000700000000004</v>
      </c>
      <c r="U209" s="295">
        <v>0.94540199999999996</v>
      </c>
      <c r="V209" s="295">
        <v>0.95161099999999998</v>
      </c>
      <c r="W209" s="295">
        <v>0.95842700000000003</v>
      </c>
      <c r="X209" s="295">
        <v>0.96508899999999997</v>
      </c>
      <c r="Y209" s="295">
        <v>0.97315099999999999</v>
      </c>
      <c r="Z209" s="295">
        <v>0.98217600000000005</v>
      </c>
      <c r="AA209" s="295">
        <v>0.99148099999999995</v>
      </c>
      <c r="AB209" s="295">
        <v>1.0054069999999999</v>
      </c>
      <c r="AC209" s="295">
        <v>1.010229</v>
      </c>
      <c r="AD209" s="295">
        <v>1.0276369999999999</v>
      </c>
      <c r="AE209" s="295">
        <v>1.037398</v>
      </c>
      <c r="AF209" s="295">
        <v>1.047914</v>
      </c>
      <c r="AG209" s="295">
        <v>1.058575</v>
      </c>
      <c r="AH209" s="296">
        <v>5.2459999999999998E-3</v>
      </c>
    </row>
    <row r="210" spans="1:34" ht="15" customHeight="1" x14ac:dyDescent="0.25">
      <c r="A210" s="213" t="s">
        <v>1159</v>
      </c>
      <c r="B210" s="294" t="s">
        <v>1160</v>
      </c>
      <c r="C210" s="295">
        <v>2.1189010000000001</v>
      </c>
      <c r="D210" s="295">
        <v>2.1148720000000001</v>
      </c>
      <c r="E210" s="295">
        <v>2.14682</v>
      </c>
      <c r="F210" s="295">
        <v>2.1583559999999999</v>
      </c>
      <c r="G210" s="295">
        <v>2.172631</v>
      </c>
      <c r="H210" s="295">
        <v>2.1856900000000001</v>
      </c>
      <c r="I210" s="295">
        <v>2.1918799999999998</v>
      </c>
      <c r="J210" s="295">
        <v>2.1935530000000001</v>
      </c>
      <c r="K210" s="295">
        <v>2.1916449999999998</v>
      </c>
      <c r="L210" s="295">
        <v>2.1903320000000002</v>
      </c>
      <c r="M210" s="295">
        <v>2.1938650000000002</v>
      </c>
      <c r="N210" s="295">
        <v>2.1979199999999999</v>
      </c>
      <c r="O210" s="295">
        <v>2.1967249999999998</v>
      </c>
      <c r="P210" s="295">
        <v>2.191808</v>
      </c>
      <c r="Q210" s="295">
        <v>2.1846779999999999</v>
      </c>
      <c r="R210" s="295">
        <v>2.1843509999999999</v>
      </c>
      <c r="S210" s="295">
        <v>2.1824400000000002</v>
      </c>
      <c r="T210" s="295">
        <v>2.1826430000000001</v>
      </c>
      <c r="U210" s="295">
        <v>2.188304</v>
      </c>
      <c r="V210" s="295">
        <v>2.1919439999999999</v>
      </c>
      <c r="W210" s="295">
        <v>2.1956660000000001</v>
      </c>
      <c r="X210" s="295">
        <v>2.204685</v>
      </c>
      <c r="Y210" s="295">
        <v>2.216091</v>
      </c>
      <c r="Z210" s="295">
        <v>2.2299310000000001</v>
      </c>
      <c r="AA210" s="295">
        <v>2.2425489999999999</v>
      </c>
      <c r="AB210" s="295">
        <v>2.2563559999999998</v>
      </c>
      <c r="AC210" s="295">
        <v>2.271369</v>
      </c>
      <c r="AD210" s="295">
        <v>2.2887870000000001</v>
      </c>
      <c r="AE210" s="295">
        <v>2.3045629999999999</v>
      </c>
      <c r="AF210" s="295">
        <v>2.322775</v>
      </c>
      <c r="AG210" s="295">
        <v>2.3411849999999998</v>
      </c>
      <c r="AH210" s="296">
        <v>3.3310000000000002E-3</v>
      </c>
    </row>
    <row r="211" spans="1:34" ht="15" customHeight="1" x14ac:dyDescent="0.25">
      <c r="A211" s="213" t="s">
        <v>1161</v>
      </c>
      <c r="B211" s="294" t="s">
        <v>1126</v>
      </c>
      <c r="C211" s="295">
        <v>3.8200000000000002E-4</v>
      </c>
      <c r="D211" s="295">
        <v>4.8099999999999998E-4</v>
      </c>
      <c r="E211" s="295">
        <v>5.8100000000000003E-4</v>
      </c>
      <c r="F211" s="295">
        <v>6.7900000000000002E-4</v>
      </c>
      <c r="G211" s="295">
        <v>7.76E-4</v>
      </c>
      <c r="H211" s="295">
        <v>8.7399999999999999E-4</v>
      </c>
      <c r="I211" s="295">
        <v>9.6599999999999995E-4</v>
      </c>
      <c r="J211" s="295">
        <v>1.057E-3</v>
      </c>
      <c r="K211" s="295">
        <v>1.1479999999999999E-3</v>
      </c>
      <c r="L211" s="295">
        <v>1.24E-3</v>
      </c>
      <c r="M211" s="295">
        <v>1.3359999999999999E-3</v>
      </c>
      <c r="N211" s="295">
        <v>1.4319999999999999E-3</v>
      </c>
      <c r="O211" s="295">
        <v>1.5280000000000001E-3</v>
      </c>
      <c r="P211" s="295">
        <v>1.6249999999999999E-3</v>
      </c>
      <c r="Q211" s="295">
        <v>1.7260000000000001E-3</v>
      </c>
      <c r="R211" s="295">
        <v>1.833E-3</v>
      </c>
      <c r="S211" s="295">
        <v>1.9430000000000001E-3</v>
      </c>
      <c r="T211" s="295">
        <v>2.0600000000000002E-3</v>
      </c>
      <c r="U211" s="295">
        <v>2.1849999999999999E-3</v>
      </c>
      <c r="V211" s="295">
        <v>2.3140000000000001E-3</v>
      </c>
      <c r="W211" s="295">
        <v>2.4489999999999998E-3</v>
      </c>
      <c r="X211" s="295">
        <v>2.5899999999999999E-3</v>
      </c>
      <c r="Y211" s="295">
        <v>2.7430000000000002E-3</v>
      </c>
      <c r="Z211" s="295">
        <v>2.921E-3</v>
      </c>
      <c r="AA211" s="295">
        <v>3.075E-3</v>
      </c>
      <c r="AB211" s="295">
        <v>3.2330000000000002E-3</v>
      </c>
      <c r="AC211" s="295">
        <v>3.3969999999999998E-3</v>
      </c>
      <c r="AD211" s="295">
        <v>3.5669999999999999E-3</v>
      </c>
      <c r="AE211" s="295">
        <v>3.7460000000000002E-3</v>
      </c>
      <c r="AF211" s="295">
        <v>3.9329999999999999E-3</v>
      </c>
      <c r="AG211" s="295">
        <v>4.1289999999999999E-3</v>
      </c>
      <c r="AH211" s="296">
        <v>8.2608000000000001E-2</v>
      </c>
    </row>
    <row r="212" spans="1:34" ht="15" customHeight="1" x14ac:dyDescent="0.25">
      <c r="A212" s="213" t="s">
        <v>1162</v>
      </c>
      <c r="B212" s="294" t="s">
        <v>1045</v>
      </c>
      <c r="C212" s="295">
        <v>12.490561</v>
      </c>
      <c r="D212" s="295">
        <v>12.557575999999999</v>
      </c>
      <c r="E212" s="295">
        <v>12.785978</v>
      </c>
      <c r="F212" s="295">
        <v>12.942157</v>
      </c>
      <c r="G212" s="295">
        <v>13.094977999999999</v>
      </c>
      <c r="H212" s="295">
        <v>13.257808000000001</v>
      </c>
      <c r="I212" s="295">
        <v>13.339819</v>
      </c>
      <c r="J212" s="295">
        <v>13.411543</v>
      </c>
      <c r="K212" s="295">
        <v>13.480756</v>
      </c>
      <c r="L212" s="295">
        <v>13.552886000000001</v>
      </c>
      <c r="M212" s="295">
        <v>13.630618999999999</v>
      </c>
      <c r="N212" s="295">
        <v>13.715643999999999</v>
      </c>
      <c r="O212" s="295">
        <v>13.802553</v>
      </c>
      <c r="P212" s="295">
        <v>13.883183000000001</v>
      </c>
      <c r="Q212" s="295">
        <v>13.985749999999999</v>
      </c>
      <c r="R212" s="295">
        <v>14.085832</v>
      </c>
      <c r="S212" s="295">
        <v>14.191535999999999</v>
      </c>
      <c r="T212" s="295">
        <v>14.305477</v>
      </c>
      <c r="U212" s="295">
        <v>14.429239000000001</v>
      </c>
      <c r="V212" s="295">
        <v>14.554337</v>
      </c>
      <c r="W212" s="295">
        <v>14.665445999999999</v>
      </c>
      <c r="X212" s="295">
        <v>14.791359999999999</v>
      </c>
      <c r="Y212" s="295">
        <v>14.932017999999999</v>
      </c>
      <c r="Z212" s="295">
        <v>15.091609</v>
      </c>
      <c r="AA212" s="295">
        <v>15.240055</v>
      </c>
      <c r="AB212" s="295">
        <v>15.390181999999999</v>
      </c>
      <c r="AC212" s="295">
        <v>15.545669</v>
      </c>
      <c r="AD212" s="295">
        <v>15.700813</v>
      </c>
      <c r="AE212" s="295">
        <v>15.865411999999999</v>
      </c>
      <c r="AF212" s="295">
        <v>16.045347</v>
      </c>
      <c r="AG212" s="295">
        <v>16.235745999999999</v>
      </c>
      <c r="AH212" s="296">
        <v>8.7799999999999996E-3</v>
      </c>
    </row>
    <row r="213" spans="1:34" ht="15" customHeight="1" x14ac:dyDescent="0.2">
      <c r="A213" s="213" t="s">
        <v>1163</v>
      </c>
      <c r="B213" s="204" t="s">
        <v>1047</v>
      </c>
      <c r="C213" s="205">
        <v>69.642639000000003</v>
      </c>
      <c r="D213" s="205">
        <v>71.719673</v>
      </c>
      <c r="E213" s="205">
        <v>73.092110000000005</v>
      </c>
      <c r="F213" s="205">
        <v>74.005936000000005</v>
      </c>
      <c r="G213" s="205">
        <v>74.672591999999995</v>
      </c>
      <c r="H213" s="205">
        <v>75.296599999999998</v>
      </c>
      <c r="I213" s="205">
        <v>75.540526999999997</v>
      </c>
      <c r="J213" s="205">
        <v>75.564460999999994</v>
      </c>
      <c r="K213" s="205">
        <v>75.669899000000001</v>
      </c>
      <c r="L213" s="205">
        <v>75.779151999999996</v>
      </c>
      <c r="M213" s="205">
        <v>75.935905000000005</v>
      </c>
      <c r="N213" s="205">
        <v>76.131409000000005</v>
      </c>
      <c r="O213" s="205">
        <v>76.286429999999996</v>
      </c>
      <c r="P213" s="205">
        <v>76.473365999999999</v>
      </c>
      <c r="Q213" s="205">
        <v>76.777184000000005</v>
      </c>
      <c r="R213" s="205">
        <v>77.075432000000006</v>
      </c>
      <c r="S213" s="205">
        <v>77.341431</v>
      </c>
      <c r="T213" s="205">
        <v>77.645325</v>
      </c>
      <c r="U213" s="205">
        <v>77.976973999999998</v>
      </c>
      <c r="V213" s="205">
        <v>78.320694000000003</v>
      </c>
      <c r="W213" s="205">
        <v>78.603950999999995</v>
      </c>
      <c r="X213" s="205">
        <v>78.970551</v>
      </c>
      <c r="Y213" s="205">
        <v>79.480568000000005</v>
      </c>
      <c r="Z213" s="205">
        <v>80.03904</v>
      </c>
      <c r="AA213" s="205">
        <v>80.511878999999993</v>
      </c>
      <c r="AB213" s="205">
        <v>80.981239000000002</v>
      </c>
      <c r="AC213" s="205">
        <v>81.477080999999998</v>
      </c>
      <c r="AD213" s="205">
        <v>81.972458000000003</v>
      </c>
      <c r="AE213" s="205">
        <v>82.492958000000002</v>
      </c>
      <c r="AF213" s="205">
        <v>83.066078000000005</v>
      </c>
      <c r="AG213" s="205">
        <v>83.685554999999994</v>
      </c>
      <c r="AH213" s="206">
        <v>6.1419999999999999E-3</v>
      </c>
    </row>
    <row r="214" spans="1:34" ht="15" customHeight="1" x14ac:dyDescent="0.25">
      <c r="A214" s="213" t="s">
        <v>1164</v>
      </c>
      <c r="B214" s="294" t="s">
        <v>1049</v>
      </c>
      <c r="C214" s="295">
        <v>23.281569999999999</v>
      </c>
      <c r="D214" s="295">
        <v>23.382133</v>
      </c>
      <c r="E214" s="295">
        <v>23.916822</v>
      </c>
      <c r="F214" s="295">
        <v>23.728313</v>
      </c>
      <c r="G214" s="295">
        <v>23.530804</v>
      </c>
      <c r="H214" s="295">
        <v>23.152377999999999</v>
      </c>
      <c r="I214" s="295">
        <v>22.660222999999998</v>
      </c>
      <c r="J214" s="295">
        <v>22.521993999999999</v>
      </c>
      <c r="K214" s="295">
        <v>22.511841</v>
      </c>
      <c r="L214" s="295">
        <v>22.548157</v>
      </c>
      <c r="M214" s="295">
        <v>22.628848999999999</v>
      </c>
      <c r="N214" s="295">
        <v>22.715472999999999</v>
      </c>
      <c r="O214" s="295">
        <v>22.726023000000001</v>
      </c>
      <c r="P214" s="295">
        <v>22.770744000000001</v>
      </c>
      <c r="Q214" s="295">
        <v>22.820063000000001</v>
      </c>
      <c r="R214" s="295">
        <v>22.917763000000001</v>
      </c>
      <c r="S214" s="295">
        <v>23.008583000000002</v>
      </c>
      <c r="T214" s="295">
        <v>23.117977</v>
      </c>
      <c r="U214" s="295">
        <v>23.189253000000001</v>
      </c>
      <c r="V214" s="295">
        <v>23.268046999999999</v>
      </c>
      <c r="W214" s="295">
        <v>23.337883000000001</v>
      </c>
      <c r="X214" s="295">
        <v>23.463348</v>
      </c>
      <c r="Y214" s="295">
        <v>23.613593999999999</v>
      </c>
      <c r="Z214" s="295">
        <v>23.772335000000002</v>
      </c>
      <c r="AA214" s="295">
        <v>23.905666</v>
      </c>
      <c r="AB214" s="295">
        <v>24.03791</v>
      </c>
      <c r="AC214" s="295">
        <v>24.195392999999999</v>
      </c>
      <c r="AD214" s="295">
        <v>24.364189</v>
      </c>
      <c r="AE214" s="295">
        <v>24.578108</v>
      </c>
      <c r="AF214" s="295">
        <v>24.787592</v>
      </c>
      <c r="AG214" s="295">
        <v>24.978548</v>
      </c>
      <c r="AH214" s="296">
        <v>2.3479999999999998E-3</v>
      </c>
    </row>
    <row r="215" spans="1:34" ht="15" customHeight="1" x14ac:dyDescent="0.2">
      <c r="A215" s="213" t="s">
        <v>1165</v>
      </c>
      <c r="B215" s="204" t="s">
        <v>179</v>
      </c>
      <c r="C215" s="205">
        <v>92.924210000000002</v>
      </c>
      <c r="D215" s="205">
        <v>95.101806999999994</v>
      </c>
      <c r="E215" s="205">
        <v>97.008933999999996</v>
      </c>
      <c r="F215" s="205">
        <v>97.734252999999995</v>
      </c>
      <c r="G215" s="205">
        <v>98.203400000000002</v>
      </c>
      <c r="H215" s="205">
        <v>98.448975000000004</v>
      </c>
      <c r="I215" s="205">
        <v>98.200751999999994</v>
      </c>
      <c r="J215" s="205">
        <v>98.086455999999998</v>
      </c>
      <c r="K215" s="205">
        <v>98.181740000000005</v>
      </c>
      <c r="L215" s="205">
        <v>98.327309</v>
      </c>
      <c r="M215" s="205">
        <v>98.564757999999998</v>
      </c>
      <c r="N215" s="205">
        <v>98.846878000000004</v>
      </c>
      <c r="O215" s="205">
        <v>99.012450999999999</v>
      </c>
      <c r="P215" s="205">
        <v>99.244110000000006</v>
      </c>
      <c r="Q215" s="205">
        <v>99.597244000000003</v>
      </c>
      <c r="R215" s="205">
        <v>99.993195</v>
      </c>
      <c r="S215" s="205">
        <v>100.350014</v>
      </c>
      <c r="T215" s="205">
        <v>100.763306</v>
      </c>
      <c r="U215" s="205">
        <v>101.166229</v>
      </c>
      <c r="V215" s="205">
        <v>101.588745</v>
      </c>
      <c r="W215" s="205">
        <v>101.941833</v>
      </c>
      <c r="X215" s="205">
        <v>102.433899</v>
      </c>
      <c r="Y215" s="205">
        <v>103.094162</v>
      </c>
      <c r="Z215" s="205">
        <v>103.81137099999999</v>
      </c>
      <c r="AA215" s="205">
        <v>104.417542</v>
      </c>
      <c r="AB215" s="205">
        <v>105.01915</v>
      </c>
      <c r="AC215" s="205">
        <v>105.67247</v>
      </c>
      <c r="AD215" s="205">
        <v>106.336647</v>
      </c>
      <c r="AE215" s="205">
        <v>107.071068</v>
      </c>
      <c r="AF215" s="205">
        <v>107.853668</v>
      </c>
      <c r="AG215" s="205">
        <v>108.664101</v>
      </c>
      <c r="AH215" s="206">
        <v>5.2300000000000003E-3</v>
      </c>
    </row>
    <row r="218" spans="1:34" ht="15" customHeight="1" x14ac:dyDescent="0.2">
      <c r="B218" s="204" t="s">
        <v>1166</v>
      </c>
    </row>
    <row r="219" spans="1:34" ht="15" customHeight="1" x14ac:dyDescent="0.25">
      <c r="A219" s="213" t="s">
        <v>1167</v>
      </c>
      <c r="B219" s="294" t="s">
        <v>1058</v>
      </c>
      <c r="C219" s="295">
        <v>7.2748999999999994E-2</v>
      </c>
      <c r="D219" s="295">
        <v>7.9286999999999996E-2</v>
      </c>
      <c r="E219" s="295">
        <v>8.1532999999999994E-2</v>
      </c>
      <c r="F219" s="295">
        <v>7.5553999999999996E-2</v>
      </c>
      <c r="G219" s="295">
        <v>7.1104000000000001E-2</v>
      </c>
      <c r="H219" s="295">
        <v>6.6305000000000003E-2</v>
      </c>
      <c r="I219" s="295">
        <v>6.3308000000000003E-2</v>
      </c>
      <c r="J219" s="295">
        <v>5.8624999999999997E-2</v>
      </c>
      <c r="K219" s="295">
        <v>5.5885999999999998E-2</v>
      </c>
      <c r="L219" s="295">
        <v>5.4662000000000002E-2</v>
      </c>
      <c r="M219" s="295">
        <v>5.3336000000000001E-2</v>
      </c>
      <c r="N219" s="295">
        <v>5.0311000000000002E-2</v>
      </c>
      <c r="O219" s="295">
        <v>4.9723999999999997E-2</v>
      </c>
      <c r="P219" s="295">
        <v>4.9377999999999998E-2</v>
      </c>
      <c r="Q219" s="295">
        <v>4.9332000000000001E-2</v>
      </c>
      <c r="R219" s="295">
        <v>4.8445000000000002E-2</v>
      </c>
      <c r="S219" s="295">
        <v>4.8170999999999999E-2</v>
      </c>
      <c r="T219" s="295">
        <v>4.7E-2</v>
      </c>
      <c r="U219" s="295">
        <v>4.4354999999999999E-2</v>
      </c>
      <c r="V219" s="295">
        <v>4.3950999999999997E-2</v>
      </c>
      <c r="W219" s="295">
        <v>4.3734000000000002E-2</v>
      </c>
      <c r="X219" s="295">
        <v>4.3015999999999999E-2</v>
      </c>
      <c r="Y219" s="295">
        <v>4.2292000000000003E-2</v>
      </c>
      <c r="Z219" s="295">
        <v>4.1189000000000003E-2</v>
      </c>
      <c r="AA219" s="295">
        <v>4.0473000000000002E-2</v>
      </c>
      <c r="AB219" s="295">
        <v>3.9308000000000003E-2</v>
      </c>
      <c r="AC219" s="295">
        <v>3.9216000000000001E-2</v>
      </c>
      <c r="AD219" s="295">
        <v>3.9412000000000003E-2</v>
      </c>
      <c r="AE219" s="295">
        <v>3.9653000000000001E-2</v>
      </c>
      <c r="AF219" s="295">
        <v>3.9829999999999997E-2</v>
      </c>
      <c r="AG219" s="295">
        <v>3.9865999999999999E-2</v>
      </c>
      <c r="AH219" s="296">
        <v>-1.985E-2</v>
      </c>
    </row>
    <row r="220" spans="1:34" ht="15" customHeight="1" x14ac:dyDescent="0.25">
      <c r="A220" s="213" t="s">
        <v>1168</v>
      </c>
      <c r="B220" s="294" t="s">
        <v>1060</v>
      </c>
      <c r="C220" s="295">
        <v>8.0357999999999999E-2</v>
      </c>
      <c r="D220" s="295">
        <v>3.8109999999999998E-2</v>
      </c>
      <c r="E220" s="295">
        <v>3.8214999999999999E-2</v>
      </c>
      <c r="F220" s="295">
        <v>3.5952999999999999E-2</v>
      </c>
      <c r="G220" s="295">
        <v>3.4966999999999998E-2</v>
      </c>
      <c r="H220" s="295">
        <v>3.4588000000000001E-2</v>
      </c>
      <c r="I220" s="295">
        <v>3.3929000000000001E-2</v>
      </c>
      <c r="J220" s="295">
        <v>3.3323999999999999E-2</v>
      </c>
      <c r="K220" s="295">
        <v>3.2761999999999999E-2</v>
      </c>
      <c r="L220" s="295">
        <v>3.2235E-2</v>
      </c>
      <c r="M220" s="295">
        <v>3.1595999999999999E-2</v>
      </c>
      <c r="N220" s="295">
        <v>3.1282999999999998E-2</v>
      </c>
      <c r="O220" s="295">
        <v>3.1018E-2</v>
      </c>
      <c r="P220" s="295">
        <v>3.0782E-2</v>
      </c>
      <c r="Q220" s="295">
        <v>3.0584E-2</v>
      </c>
      <c r="R220" s="295">
        <v>3.0383E-2</v>
      </c>
      <c r="S220" s="295">
        <v>2.9774999999999999E-2</v>
      </c>
      <c r="T220" s="295">
        <v>2.9163000000000001E-2</v>
      </c>
      <c r="U220" s="295">
        <v>2.8566000000000001E-2</v>
      </c>
      <c r="V220" s="295">
        <v>2.7955000000000001E-2</v>
      </c>
      <c r="W220" s="295">
        <v>2.7324999999999999E-2</v>
      </c>
      <c r="X220" s="295">
        <v>2.5391E-2</v>
      </c>
      <c r="Y220" s="295">
        <v>2.3411000000000001E-2</v>
      </c>
      <c r="Z220" s="295">
        <v>2.1402999999999998E-2</v>
      </c>
      <c r="AA220" s="295">
        <v>1.9342000000000002E-2</v>
      </c>
      <c r="AB220" s="295">
        <v>1.7245E-2</v>
      </c>
      <c r="AC220" s="295">
        <v>1.7330999999999999E-2</v>
      </c>
      <c r="AD220" s="295">
        <v>1.7433000000000001E-2</v>
      </c>
      <c r="AE220" s="295">
        <v>1.7541000000000001E-2</v>
      </c>
      <c r="AF220" s="295">
        <v>1.7655000000000001E-2</v>
      </c>
      <c r="AG220" s="295">
        <v>1.7774999999999999E-2</v>
      </c>
      <c r="AH220" s="296">
        <v>-4.9044999999999998E-2</v>
      </c>
    </row>
    <row r="221" spans="1:34" ht="15" customHeight="1" x14ac:dyDescent="0.25">
      <c r="A221" s="213" t="s">
        <v>1169</v>
      </c>
      <c r="B221" s="294" t="s">
        <v>1040</v>
      </c>
      <c r="C221" s="295">
        <v>0.15310699999999999</v>
      </c>
      <c r="D221" s="295">
        <v>0.117397</v>
      </c>
      <c r="E221" s="295">
        <v>0.11974799999999999</v>
      </c>
      <c r="F221" s="295">
        <v>0.111507</v>
      </c>
      <c r="G221" s="295">
        <v>0.106071</v>
      </c>
      <c r="H221" s="295">
        <v>0.100893</v>
      </c>
      <c r="I221" s="295">
        <v>9.7237000000000004E-2</v>
      </c>
      <c r="J221" s="295">
        <v>9.1949000000000003E-2</v>
      </c>
      <c r="K221" s="295">
        <v>8.8647000000000004E-2</v>
      </c>
      <c r="L221" s="295">
        <v>8.6898000000000003E-2</v>
      </c>
      <c r="M221" s="295">
        <v>8.4931999999999994E-2</v>
      </c>
      <c r="N221" s="295">
        <v>8.1595000000000001E-2</v>
      </c>
      <c r="O221" s="295">
        <v>8.0741999999999994E-2</v>
      </c>
      <c r="P221" s="295">
        <v>8.0159999999999995E-2</v>
      </c>
      <c r="Q221" s="295">
        <v>7.9916000000000001E-2</v>
      </c>
      <c r="R221" s="295">
        <v>7.8828999999999996E-2</v>
      </c>
      <c r="S221" s="295">
        <v>7.7946000000000001E-2</v>
      </c>
      <c r="T221" s="295">
        <v>7.6162999999999995E-2</v>
      </c>
      <c r="U221" s="295">
        <v>7.2921E-2</v>
      </c>
      <c r="V221" s="295">
        <v>7.1906999999999999E-2</v>
      </c>
      <c r="W221" s="295">
        <v>7.1058999999999997E-2</v>
      </c>
      <c r="X221" s="295">
        <v>6.8406999999999996E-2</v>
      </c>
      <c r="Y221" s="295">
        <v>6.5702999999999998E-2</v>
      </c>
      <c r="Z221" s="295">
        <v>6.2590999999999994E-2</v>
      </c>
      <c r="AA221" s="295">
        <v>5.9815E-2</v>
      </c>
      <c r="AB221" s="295">
        <v>5.6551999999999998E-2</v>
      </c>
      <c r="AC221" s="295">
        <v>5.6547E-2</v>
      </c>
      <c r="AD221" s="295">
        <v>5.6845E-2</v>
      </c>
      <c r="AE221" s="295">
        <v>5.7194000000000002E-2</v>
      </c>
      <c r="AF221" s="295">
        <v>5.7485000000000001E-2</v>
      </c>
      <c r="AG221" s="295">
        <v>5.7641999999999999E-2</v>
      </c>
      <c r="AH221" s="296">
        <v>-3.2038999999999998E-2</v>
      </c>
    </row>
    <row r="222" spans="1:34" ht="15" customHeight="1" x14ac:dyDescent="0.25">
      <c r="A222" s="213" t="s">
        <v>1170</v>
      </c>
      <c r="B222" s="294" t="s">
        <v>152</v>
      </c>
      <c r="C222" s="295">
        <v>12.113227999999999</v>
      </c>
      <c r="D222" s="295">
        <v>10.182993</v>
      </c>
      <c r="E222" s="295">
        <v>10.161618000000001</v>
      </c>
      <c r="F222" s="295">
        <v>10.548325</v>
      </c>
      <c r="G222" s="295">
        <v>10.420664</v>
      </c>
      <c r="H222" s="295">
        <v>10.804379000000001</v>
      </c>
      <c r="I222" s="295">
        <v>10.95269</v>
      </c>
      <c r="J222" s="295">
        <v>10.947373000000001</v>
      </c>
      <c r="K222" s="295">
        <v>10.757313</v>
      </c>
      <c r="L222" s="295">
        <v>10.716670000000001</v>
      </c>
      <c r="M222" s="295">
        <v>10.547957</v>
      </c>
      <c r="N222" s="295">
        <v>10.596031999999999</v>
      </c>
      <c r="O222" s="295">
        <v>10.586589</v>
      </c>
      <c r="P222" s="295">
        <v>10.579742</v>
      </c>
      <c r="Q222" s="295">
        <v>10.601254000000001</v>
      </c>
      <c r="R222" s="295">
        <v>10.496686</v>
      </c>
      <c r="S222" s="295">
        <v>10.532959</v>
      </c>
      <c r="T222" s="295">
        <v>10.65573</v>
      </c>
      <c r="U222" s="295">
        <v>10.850422999999999</v>
      </c>
      <c r="V222" s="295">
        <v>11.023621</v>
      </c>
      <c r="W222" s="295">
        <v>11.202322000000001</v>
      </c>
      <c r="X222" s="295">
        <v>11.28614</v>
      </c>
      <c r="Y222" s="295">
        <v>11.447305</v>
      </c>
      <c r="Z222" s="295">
        <v>11.658573000000001</v>
      </c>
      <c r="AA222" s="295">
        <v>11.814387</v>
      </c>
      <c r="AB222" s="295">
        <v>11.970561999999999</v>
      </c>
      <c r="AC222" s="295">
        <v>12.027822</v>
      </c>
      <c r="AD222" s="295">
        <v>12.110754</v>
      </c>
      <c r="AE222" s="295">
        <v>12.246274</v>
      </c>
      <c r="AF222" s="295">
        <v>12.374743</v>
      </c>
      <c r="AG222" s="295">
        <v>12.541656</v>
      </c>
      <c r="AH222" s="296">
        <v>1.1590000000000001E-3</v>
      </c>
    </row>
    <row r="223" spans="1:34" ht="15" customHeight="1" x14ac:dyDescent="0.25">
      <c r="A223" s="213" t="s">
        <v>1171</v>
      </c>
      <c r="B223" s="294" t="s">
        <v>1172</v>
      </c>
      <c r="C223" s="295">
        <v>8.0372520000000005</v>
      </c>
      <c r="D223" s="295">
        <v>9.7583029999999997</v>
      </c>
      <c r="E223" s="295">
        <v>10.286911999999999</v>
      </c>
      <c r="F223" s="295">
        <v>8.8741859999999999</v>
      </c>
      <c r="G223" s="295">
        <v>7.8973040000000001</v>
      </c>
      <c r="H223" s="295">
        <v>6.8991860000000003</v>
      </c>
      <c r="I223" s="295">
        <v>7.0620089999999998</v>
      </c>
      <c r="J223" s="295">
        <v>6.812093</v>
      </c>
      <c r="K223" s="295">
        <v>6.8632309999999999</v>
      </c>
      <c r="L223" s="295">
        <v>6.8725519999999998</v>
      </c>
      <c r="M223" s="295">
        <v>6.7708930000000001</v>
      </c>
      <c r="N223" s="295">
        <v>6.645454</v>
      </c>
      <c r="O223" s="295">
        <v>6.5267390000000001</v>
      </c>
      <c r="P223" s="295">
        <v>6.5113989999999999</v>
      </c>
      <c r="Q223" s="295">
        <v>6.4951619999999997</v>
      </c>
      <c r="R223" s="295">
        <v>6.3487489999999998</v>
      </c>
      <c r="S223" s="295">
        <v>6.338298</v>
      </c>
      <c r="T223" s="295">
        <v>6.2504530000000003</v>
      </c>
      <c r="U223" s="295">
        <v>6.0741139999999998</v>
      </c>
      <c r="V223" s="295">
        <v>6.021325</v>
      </c>
      <c r="W223" s="295">
        <v>6.0038419999999997</v>
      </c>
      <c r="X223" s="295">
        <v>5.9681509999999998</v>
      </c>
      <c r="Y223" s="295">
        <v>5.9714640000000001</v>
      </c>
      <c r="Z223" s="295">
        <v>5.9054339999999996</v>
      </c>
      <c r="AA223" s="295">
        <v>5.8614980000000001</v>
      </c>
      <c r="AB223" s="295">
        <v>5.7307129999999997</v>
      </c>
      <c r="AC223" s="295">
        <v>5.7030320000000003</v>
      </c>
      <c r="AD223" s="295">
        <v>5.6941519999999999</v>
      </c>
      <c r="AE223" s="295">
        <v>5.7253869999999996</v>
      </c>
      <c r="AF223" s="295">
        <v>5.7473349999999996</v>
      </c>
      <c r="AG223" s="295">
        <v>5.7313669999999997</v>
      </c>
      <c r="AH223" s="296">
        <v>-1.1207999999999999E-2</v>
      </c>
    </row>
    <row r="224" spans="1:34" ht="15" customHeight="1" x14ac:dyDescent="0.25">
      <c r="A224" s="213" t="s">
        <v>1173</v>
      </c>
      <c r="B224" s="294" t="s">
        <v>1174</v>
      </c>
      <c r="C224" s="295">
        <v>8.2053379999999994</v>
      </c>
      <c r="D224" s="295">
        <v>7.9521930000000003</v>
      </c>
      <c r="E224" s="295">
        <v>7.7023359999999998</v>
      </c>
      <c r="F224" s="295">
        <v>7.8394539999999999</v>
      </c>
      <c r="G224" s="295">
        <v>7.8721709999999998</v>
      </c>
      <c r="H224" s="295">
        <v>7.7886559999999996</v>
      </c>
      <c r="I224" s="295">
        <v>6.8895980000000003</v>
      </c>
      <c r="J224" s="295">
        <v>6.742038</v>
      </c>
      <c r="K224" s="295">
        <v>6.7456670000000001</v>
      </c>
      <c r="L224" s="295">
        <v>6.5818890000000003</v>
      </c>
      <c r="M224" s="295">
        <v>6.5897199999999998</v>
      </c>
      <c r="N224" s="295">
        <v>6.6018720000000002</v>
      </c>
      <c r="O224" s="295">
        <v>6.6107250000000004</v>
      </c>
      <c r="P224" s="295">
        <v>6.5300070000000003</v>
      </c>
      <c r="Q224" s="295">
        <v>6.3550139999999997</v>
      </c>
      <c r="R224" s="295">
        <v>6.3697049999999997</v>
      </c>
      <c r="S224" s="295">
        <v>6.301876</v>
      </c>
      <c r="T224" s="295">
        <v>6.3040830000000003</v>
      </c>
      <c r="U224" s="295">
        <v>6.3062860000000001</v>
      </c>
      <c r="V224" s="295">
        <v>6.3062860000000001</v>
      </c>
      <c r="W224" s="295">
        <v>6.2189899999999998</v>
      </c>
      <c r="X224" s="295">
        <v>6.232081</v>
      </c>
      <c r="Y224" s="295">
        <v>6.241549</v>
      </c>
      <c r="Z224" s="295">
        <v>6.2506820000000003</v>
      </c>
      <c r="AA224" s="295">
        <v>6.2585800000000003</v>
      </c>
      <c r="AB224" s="295">
        <v>6.2671380000000001</v>
      </c>
      <c r="AC224" s="295">
        <v>6.2715930000000002</v>
      </c>
      <c r="AD224" s="295">
        <v>6.1951790000000004</v>
      </c>
      <c r="AE224" s="295">
        <v>6.197953</v>
      </c>
      <c r="AF224" s="295">
        <v>6.2013059999999998</v>
      </c>
      <c r="AG224" s="295">
        <v>6.2061510000000002</v>
      </c>
      <c r="AH224" s="296">
        <v>-9.2650000000000007E-3</v>
      </c>
    </row>
    <row r="225" spans="1:34" ht="15" customHeight="1" x14ac:dyDescent="0.25">
      <c r="A225" s="213" t="s">
        <v>1175</v>
      </c>
      <c r="B225" s="294" t="s">
        <v>1176</v>
      </c>
      <c r="C225" s="295">
        <v>6.9892469999999998</v>
      </c>
      <c r="D225" s="295">
        <v>7.647767</v>
      </c>
      <c r="E225" s="295">
        <v>8.1620500000000007</v>
      </c>
      <c r="F225" s="295">
        <v>9.0320909999999994</v>
      </c>
      <c r="G225" s="295">
        <v>10.05791</v>
      </c>
      <c r="H225" s="295">
        <v>10.554788</v>
      </c>
      <c r="I225" s="295">
        <v>10.731877000000001</v>
      </c>
      <c r="J225" s="295">
        <v>11.059958</v>
      </c>
      <c r="K225" s="295">
        <v>11.250163000000001</v>
      </c>
      <c r="L225" s="295">
        <v>11.557998</v>
      </c>
      <c r="M225" s="295">
        <v>11.972022000000001</v>
      </c>
      <c r="N225" s="295">
        <v>12.222474</v>
      </c>
      <c r="O225" s="295">
        <v>12.431068</v>
      </c>
      <c r="P225" s="295">
        <v>12.661788</v>
      </c>
      <c r="Q225" s="295">
        <v>12.975739000000001</v>
      </c>
      <c r="R225" s="295">
        <v>13.412765</v>
      </c>
      <c r="S225" s="295">
        <v>13.656935000000001</v>
      </c>
      <c r="T225" s="295">
        <v>13.8474</v>
      </c>
      <c r="U225" s="295">
        <v>14.026551</v>
      </c>
      <c r="V225" s="295">
        <v>14.110263</v>
      </c>
      <c r="W225" s="295">
        <v>14.220262999999999</v>
      </c>
      <c r="X225" s="295">
        <v>14.416359</v>
      </c>
      <c r="Y225" s="295">
        <v>14.539234</v>
      </c>
      <c r="Z225" s="295">
        <v>14.707656999999999</v>
      </c>
      <c r="AA225" s="295">
        <v>14.873734000000001</v>
      </c>
      <c r="AB225" s="295">
        <v>15.127509</v>
      </c>
      <c r="AC225" s="295">
        <v>15.407783999999999</v>
      </c>
      <c r="AD225" s="295">
        <v>15.735132999999999</v>
      </c>
      <c r="AE225" s="295">
        <v>15.944194</v>
      </c>
      <c r="AF225" s="295">
        <v>16.183862999999999</v>
      </c>
      <c r="AG225" s="295">
        <v>16.410440000000001</v>
      </c>
      <c r="AH225" s="296">
        <v>2.886E-2</v>
      </c>
    </row>
    <row r="226" spans="1:34" ht="15" customHeight="1" x14ac:dyDescent="0.25">
      <c r="A226" s="213" t="s">
        <v>1177</v>
      </c>
      <c r="B226" s="294" t="s">
        <v>1178</v>
      </c>
      <c r="C226" s="295">
        <v>0.118079</v>
      </c>
      <c r="D226" s="295">
        <v>0.118079</v>
      </c>
      <c r="E226" s="295">
        <v>0.118079</v>
      </c>
      <c r="F226" s="295">
        <v>0.118079</v>
      </c>
      <c r="G226" s="295">
        <v>0.118079</v>
      </c>
      <c r="H226" s="295">
        <v>0.118079</v>
      </c>
      <c r="I226" s="295">
        <v>0.118079</v>
      </c>
      <c r="J226" s="295">
        <v>0.118079</v>
      </c>
      <c r="K226" s="295">
        <v>0.118079</v>
      </c>
      <c r="L226" s="295">
        <v>0.118079</v>
      </c>
      <c r="M226" s="295">
        <v>0.118079</v>
      </c>
      <c r="N226" s="295">
        <v>0.118079</v>
      </c>
      <c r="O226" s="295">
        <v>0.118079</v>
      </c>
      <c r="P226" s="295">
        <v>0.118079</v>
      </c>
      <c r="Q226" s="295">
        <v>0.118079</v>
      </c>
      <c r="R226" s="295">
        <v>0.118079</v>
      </c>
      <c r="S226" s="295">
        <v>0.118079</v>
      </c>
      <c r="T226" s="295">
        <v>0.118079</v>
      </c>
      <c r="U226" s="295">
        <v>0.118079</v>
      </c>
      <c r="V226" s="295">
        <v>0.118079</v>
      </c>
      <c r="W226" s="295">
        <v>0.118079</v>
      </c>
      <c r="X226" s="295">
        <v>0.118079</v>
      </c>
      <c r="Y226" s="295">
        <v>0.118079</v>
      </c>
      <c r="Z226" s="295">
        <v>0.118079</v>
      </c>
      <c r="AA226" s="295">
        <v>0.118079</v>
      </c>
      <c r="AB226" s="295">
        <v>0.118079</v>
      </c>
      <c r="AC226" s="295">
        <v>0.118079</v>
      </c>
      <c r="AD226" s="295">
        <v>0.118079</v>
      </c>
      <c r="AE226" s="295">
        <v>0.118079</v>
      </c>
      <c r="AF226" s="295">
        <v>0.118079</v>
      </c>
      <c r="AG226" s="295">
        <v>0.118079</v>
      </c>
      <c r="AH226" s="296">
        <v>0</v>
      </c>
    </row>
    <row r="227" spans="1:34" ht="15" customHeight="1" x14ac:dyDescent="0.25">
      <c r="A227" s="213" t="s">
        <v>1179</v>
      </c>
      <c r="B227" s="294" t="s">
        <v>1180</v>
      </c>
      <c r="C227" s="295">
        <v>0.15588199999999999</v>
      </c>
      <c r="D227" s="295">
        <v>0.16298099999999999</v>
      </c>
      <c r="E227" s="295">
        <v>0.15206</v>
      </c>
      <c r="F227" s="295">
        <v>0.14682799999999999</v>
      </c>
      <c r="G227" s="295">
        <v>0.153588</v>
      </c>
      <c r="H227" s="295">
        <v>0.144208</v>
      </c>
      <c r="I227" s="295">
        <v>0.14854999999999999</v>
      </c>
      <c r="J227" s="295">
        <v>0.162048</v>
      </c>
      <c r="K227" s="295">
        <v>0.16949600000000001</v>
      </c>
      <c r="L227" s="295">
        <v>0.16695599999999999</v>
      </c>
      <c r="M227" s="295">
        <v>0.17585999999999999</v>
      </c>
      <c r="N227" s="295">
        <v>0.16561200000000001</v>
      </c>
      <c r="O227" s="295">
        <v>0.17463500000000001</v>
      </c>
      <c r="P227" s="295">
        <v>0.17275299999999999</v>
      </c>
      <c r="Q227" s="295">
        <v>0.18065000000000001</v>
      </c>
      <c r="R227" s="295">
        <v>0.178783</v>
      </c>
      <c r="S227" s="295">
        <v>0.17402699999999999</v>
      </c>
      <c r="T227" s="295">
        <v>0.17155100000000001</v>
      </c>
      <c r="U227" s="295">
        <v>0.170124</v>
      </c>
      <c r="V227" s="295">
        <v>0.170905</v>
      </c>
      <c r="W227" s="295">
        <v>0.16877600000000001</v>
      </c>
      <c r="X227" s="295">
        <v>0.16549</v>
      </c>
      <c r="Y227" s="295">
        <v>0.162276</v>
      </c>
      <c r="Z227" s="295">
        <v>0.16092799999999999</v>
      </c>
      <c r="AA227" s="295">
        <v>0.15962399999999999</v>
      </c>
      <c r="AB227" s="295">
        <v>0.15753800000000001</v>
      </c>
      <c r="AC227" s="295">
        <v>0.15620100000000001</v>
      </c>
      <c r="AD227" s="295">
        <v>0.15485699999999999</v>
      </c>
      <c r="AE227" s="295">
        <v>0.154442</v>
      </c>
      <c r="AF227" s="295">
        <v>0.15013199999999999</v>
      </c>
      <c r="AG227" s="295">
        <v>0.14896100000000001</v>
      </c>
      <c r="AH227" s="296">
        <v>-1.513E-3</v>
      </c>
    </row>
    <row r="228" spans="1:34" ht="15" customHeight="1" x14ac:dyDescent="0.2">
      <c r="A228" s="213" t="s">
        <v>1181</v>
      </c>
      <c r="B228" s="204" t="s">
        <v>179</v>
      </c>
      <c r="C228" s="205">
        <v>35.772132999999997</v>
      </c>
      <c r="D228" s="205">
        <v>35.939709000000001</v>
      </c>
      <c r="E228" s="205">
        <v>36.702801000000001</v>
      </c>
      <c r="F228" s="205">
        <v>36.670470999999999</v>
      </c>
      <c r="G228" s="205">
        <v>36.625782000000001</v>
      </c>
      <c r="H228" s="205">
        <v>36.410187000000001</v>
      </c>
      <c r="I228" s="205">
        <v>36.000042000000001</v>
      </c>
      <c r="J228" s="205">
        <v>35.933537000000001</v>
      </c>
      <c r="K228" s="205">
        <v>35.992595999999999</v>
      </c>
      <c r="L228" s="205">
        <v>36.101044000000002</v>
      </c>
      <c r="M228" s="205">
        <v>36.259467999999998</v>
      </c>
      <c r="N228" s="205">
        <v>36.431117999999998</v>
      </c>
      <c r="O228" s="205">
        <v>36.528576000000001</v>
      </c>
      <c r="P228" s="205">
        <v>36.653927000000003</v>
      </c>
      <c r="Q228" s="205">
        <v>36.805813000000001</v>
      </c>
      <c r="R228" s="205">
        <v>37.003593000000002</v>
      </c>
      <c r="S228" s="205">
        <v>37.200119000000001</v>
      </c>
      <c r="T228" s="205">
        <v>37.423454</v>
      </c>
      <c r="U228" s="205">
        <v>37.618492000000003</v>
      </c>
      <c r="V228" s="205">
        <v>37.822384</v>
      </c>
      <c r="W228" s="205">
        <v>38.003329999999998</v>
      </c>
      <c r="X228" s="205">
        <v>38.254707000000003</v>
      </c>
      <c r="Y228" s="205">
        <v>38.545611999999998</v>
      </c>
      <c r="Z228" s="205">
        <v>38.863945000000001</v>
      </c>
      <c r="AA228" s="205">
        <v>39.145721000000002</v>
      </c>
      <c r="AB228" s="205">
        <v>39.428092999999997</v>
      </c>
      <c r="AC228" s="205">
        <v>39.741061999999999</v>
      </c>
      <c r="AD228" s="205">
        <v>40.065002</v>
      </c>
      <c r="AE228" s="205">
        <v>40.443519999999999</v>
      </c>
      <c r="AF228" s="205">
        <v>40.832939000000003</v>
      </c>
      <c r="AG228" s="205">
        <v>41.214294000000002</v>
      </c>
      <c r="AH228" s="206">
        <v>4.7320000000000001E-3</v>
      </c>
    </row>
    <row r="230" spans="1:34" ht="15" customHeight="1" x14ac:dyDescent="0.2">
      <c r="B230" s="204" t="s">
        <v>1182</v>
      </c>
    </row>
    <row r="231" spans="1:34" ht="15" customHeight="1" x14ac:dyDescent="0.25">
      <c r="A231" s="213" t="s">
        <v>1183</v>
      </c>
      <c r="B231" s="294" t="s">
        <v>1072</v>
      </c>
      <c r="C231" s="295">
        <v>3.7599010000000002</v>
      </c>
      <c r="D231" s="295">
        <v>4.0373970000000003</v>
      </c>
      <c r="E231" s="295">
        <v>4.3001870000000002</v>
      </c>
      <c r="F231" s="295">
        <v>4.4223710000000001</v>
      </c>
      <c r="G231" s="295">
        <v>4.5363550000000004</v>
      </c>
      <c r="H231" s="295">
        <v>4.6354709999999999</v>
      </c>
      <c r="I231" s="295">
        <v>4.6982720000000002</v>
      </c>
      <c r="J231" s="295">
        <v>4.744745</v>
      </c>
      <c r="K231" s="295">
        <v>4.8002520000000004</v>
      </c>
      <c r="L231" s="295">
        <v>4.8608880000000001</v>
      </c>
      <c r="M231" s="295">
        <v>4.9370599999999998</v>
      </c>
      <c r="N231" s="295">
        <v>5.0081530000000001</v>
      </c>
      <c r="O231" s="295">
        <v>5.0584930000000004</v>
      </c>
      <c r="P231" s="295">
        <v>5.1171920000000002</v>
      </c>
      <c r="Q231" s="295">
        <v>5.1855950000000002</v>
      </c>
      <c r="R231" s="295">
        <v>5.2535429999999996</v>
      </c>
      <c r="S231" s="295">
        <v>5.2970860000000002</v>
      </c>
      <c r="T231" s="295">
        <v>5.3496269999999999</v>
      </c>
      <c r="U231" s="295">
        <v>5.4001080000000004</v>
      </c>
      <c r="V231" s="295">
        <v>5.4271430000000001</v>
      </c>
      <c r="W231" s="295">
        <v>5.4364999999999997</v>
      </c>
      <c r="X231" s="295">
        <v>5.4613399999999999</v>
      </c>
      <c r="Y231" s="295">
        <v>5.5141559999999998</v>
      </c>
      <c r="Z231" s="295">
        <v>5.5571599999999997</v>
      </c>
      <c r="AA231" s="295">
        <v>5.5810829999999996</v>
      </c>
      <c r="AB231" s="295">
        <v>5.6185590000000003</v>
      </c>
      <c r="AC231" s="295">
        <v>5.6509840000000002</v>
      </c>
      <c r="AD231" s="295">
        <v>5.6851950000000002</v>
      </c>
      <c r="AE231" s="295">
        <v>5.7209849999999998</v>
      </c>
      <c r="AF231" s="295">
        <v>5.7873080000000003</v>
      </c>
      <c r="AG231" s="295">
        <v>5.8441359999999998</v>
      </c>
      <c r="AH231" s="296">
        <v>1.481E-2</v>
      </c>
    </row>
    <row r="232" spans="1:34" ht="15" customHeight="1" x14ac:dyDescent="0.25">
      <c r="A232" s="213" t="s">
        <v>1184</v>
      </c>
      <c r="B232" s="294" t="s">
        <v>1054</v>
      </c>
      <c r="C232" s="295">
        <v>15.234125000000001</v>
      </c>
      <c r="D232" s="295">
        <v>15.931428</v>
      </c>
      <c r="E232" s="295">
        <v>15.93966</v>
      </c>
      <c r="F232" s="295">
        <v>15.947531</v>
      </c>
      <c r="G232" s="295">
        <v>15.899977</v>
      </c>
      <c r="H232" s="295">
        <v>15.828621999999999</v>
      </c>
      <c r="I232" s="295">
        <v>15.729457</v>
      </c>
      <c r="J232" s="295">
        <v>15.625776</v>
      </c>
      <c r="K232" s="295">
        <v>15.525605000000001</v>
      </c>
      <c r="L232" s="295">
        <v>15.416259999999999</v>
      </c>
      <c r="M232" s="295">
        <v>15.320665999999999</v>
      </c>
      <c r="N232" s="295">
        <v>15.230912</v>
      </c>
      <c r="O232" s="295">
        <v>15.148534</v>
      </c>
      <c r="P232" s="295">
        <v>15.089048</v>
      </c>
      <c r="Q232" s="295">
        <v>15.045040999999999</v>
      </c>
      <c r="R232" s="295">
        <v>15.009499999999999</v>
      </c>
      <c r="S232" s="295">
        <v>14.972295000000001</v>
      </c>
      <c r="T232" s="295">
        <v>14.938276</v>
      </c>
      <c r="U232" s="295">
        <v>14.911413</v>
      </c>
      <c r="V232" s="295">
        <v>14.89739</v>
      </c>
      <c r="W232" s="295">
        <v>14.890686000000001</v>
      </c>
      <c r="X232" s="295">
        <v>14.888508</v>
      </c>
      <c r="Y232" s="295">
        <v>14.90217</v>
      </c>
      <c r="Z232" s="295">
        <v>14.927738</v>
      </c>
      <c r="AA232" s="295">
        <v>14.957181</v>
      </c>
      <c r="AB232" s="295">
        <v>14.984838999999999</v>
      </c>
      <c r="AC232" s="295">
        <v>15.015745000000001</v>
      </c>
      <c r="AD232" s="295">
        <v>15.049625000000001</v>
      </c>
      <c r="AE232" s="295">
        <v>15.090983</v>
      </c>
      <c r="AF232" s="295">
        <v>15.140309999999999</v>
      </c>
      <c r="AG232" s="295">
        <v>15.190861</v>
      </c>
      <c r="AH232" s="296">
        <v>-9.5000000000000005E-5</v>
      </c>
    </row>
    <row r="233" spans="1:34" ht="15" customHeight="1" x14ac:dyDescent="0.25">
      <c r="A233" s="213" t="s">
        <v>1185</v>
      </c>
      <c r="B233" s="294" t="s">
        <v>1112</v>
      </c>
      <c r="C233" s="295">
        <v>3.1355000000000001E-2</v>
      </c>
      <c r="D233" s="295">
        <v>3.2398000000000003E-2</v>
      </c>
      <c r="E233" s="295">
        <v>3.0668999999999998E-2</v>
      </c>
      <c r="F233" s="295">
        <v>3.1647000000000002E-2</v>
      </c>
      <c r="G233" s="295">
        <v>3.1378999999999997E-2</v>
      </c>
      <c r="H233" s="295">
        <v>3.0842000000000001E-2</v>
      </c>
      <c r="I233" s="295">
        <v>3.0282E-2</v>
      </c>
      <c r="J233" s="295">
        <v>2.9645000000000001E-2</v>
      </c>
      <c r="K233" s="295">
        <v>2.8837000000000002E-2</v>
      </c>
      <c r="L233" s="295">
        <v>2.8178000000000002E-2</v>
      </c>
      <c r="M233" s="295">
        <v>2.7453999999999999E-2</v>
      </c>
      <c r="N233" s="295">
        <v>2.699E-2</v>
      </c>
      <c r="O233" s="295">
        <v>2.6453999999999998E-2</v>
      </c>
      <c r="P233" s="295">
        <v>2.6107999999999999E-2</v>
      </c>
      <c r="Q233" s="295">
        <v>2.5822000000000001E-2</v>
      </c>
      <c r="R233" s="295">
        <v>2.5649999999999999E-2</v>
      </c>
      <c r="S233" s="295">
        <v>2.5522E-2</v>
      </c>
      <c r="T233" s="295">
        <v>2.546E-2</v>
      </c>
      <c r="U233" s="295">
        <v>2.5423000000000001E-2</v>
      </c>
      <c r="V233" s="295">
        <v>2.5565000000000001E-2</v>
      </c>
      <c r="W233" s="295">
        <v>2.5641000000000001E-2</v>
      </c>
      <c r="X233" s="295">
        <v>2.5805000000000002E-2</v>
      </c>
      <c r="Y233" s="295">
        <v>2.6044999999999999E-2</v>
      </c>
      <c r="Z233" s="295">
        <v>2.6329000000000002E-2</v>
      </c>
      <c r="AA233" s="295">
        <v>2.6668000000000001E-2</v>
      </c>
      <c r="AB233" s="295">
        <v>2.7073E-2</v>
      </c>
      <c r="AC233" s="295">
        <v>2.7345000000000001E-2</v>
      </c>
      <c r="AD233" s="295">
        <v>2.7734000000000002E-2</v>
      </c>
      <c r="AE233" s="295">
        <v>2.8129999999999999E-2</v>
      </c>
      <c r="AF233" s="295">
        <v>2.8611999999999999E-2</v>
      </c>
      <c r="AG233" s="295">
        <v>2.9113E-2</v>
      </c>
      <c r="AH233" s="296">
        <v>-2.4689999999999998E-3</v>
      </c>
    </row>
    <row r="234" spans="1:34" ht="15" customHeight="1" x14ac:dyDescent="0.25">
      <c r="A234" s="213" t="s">
        <v>1186</v>
      </c>
      <c r="B234" s="294" t="s">
        <v>1114</v>
      </c>
      <c r="C234" s="295">
        <v>2.2330719999999999</v>
      </c>
      <c r="D234" s="295">
        <v>2.9344239999999999</v>
      </c>
      <c r="E234" s="295">
        <v>3.2505380000000001</v>
      </c>
      <c r="F234" s="295">
        <v>3.3778540000000001</v>
      </c>
      <c r="G234" s="295">
        <v>3.4427189999999999</v>
      </c>
      <c r="H234" s="295">
        <v>3.5022449999999998</v>
      </c>
      <c r="I234" s="295">
        <v>3.5207999999999999</v>
      </c>
      <c r="J234" s="295">
        <v>3.5370469999999998</v>
      </c>
      <c r="K234" s="295">
        <v>3.5669089999999999</v>
      </c>
      <c r="L234" s="295">
        <v>3.5886909999999999</v>
      </c>
      <c r="M234" s="295">
        <v>3.618754</v>
      </c>
      <c r="N234" s="295">
        <v>3.6572450000000001</v>
      </c>
      <c r="O234" s="295">
        <v>3.7049289999999999</v>
      </c>
      <c r="P234" s="295">
        <v>3.7548010000000001</v>
      </c>
      <c r="Q234" s="295">
        <v>3.8050299999999999</v>
      </c>
      <c r="R234" s="295">
        <v>3.8543940000000001</v>
      </c>
      <c r="S234" s="295">
        <v>3.8927480000000001</v>
      </c>
      <c r="T234" s="295">
        <v>3.9264860000000001</v>
      </c>
      <c r="U234" s="295">
        <v>3.9646300000000001</v>
      </c>
      <c r="V234" s="295">
        <v>4.0043220000000002</v>
      </c>
      <c r="W234" s="295">
        <v>4.0512829999999997</v>
      </c>
      <c r="X234" s="295">
        <v>4.0972629999999999</v>
      </c>
      <c r="Y234" s="295">
        <v>4.1492950000000004</v>
      </c>
      <c r="Z234" s="295">
        <v>4.2031679999999998</v>
      </c>
      <c r="AA234" s="295">
        <v>4.2600189999999998</v>
      </c>
      <c r="AB234" s="295">
        <v>4.3130389999999998</v>
      </c>
      <c r="AC234" s="295">
        <v>4.3635950000000001</v>
      </c>
      <c r="AD234" s="295">
        <v>4.4092380000000002</v>
      </c>
      <c r="AE234" s="295">
        <v>4.4514110000000002</v>
      </c>
      <c r="AF234" s="295">
        <v>4.4901220000000004</v>
      </c>
      <c r="AG234" s="295">
        <v>4.5291499999999996</v>
      </c>
      <c r="AH234" s="296">
        <v>2.3852000000000002E-2</v>
      </c>
    </row>
    <row r="235" spans="1:34" ht="15" customHeight="1" x14ac:dyDescent="0.25">
      <c r="A235" s="213" t="s">
        <v>1187</v>
      </c>
      <c r="B235" s="294" t="s">
        <v>1139</v>
      </c>
      <c r="C235" s="295">
        <v>2.9529999999999999E-3</v>
      </c>
      <c r="D235" s="295">
        <v>3.1229999999999999E-3</v>
      </c>
      <c r="E235" s="295">
        <v>3.14E-3</v>
      </c>
      <c r="F235" s="295">
        <v>3.2190000000000001E-3</v>
      </c>
      <c r="G235" s="295">
        <v>3.2009999999999999E-3</v>
      </c>
      <c r="H235" s="295">
        <v>3.2699999999999999E-3</v>
      </c>
      <c r="I235" s="295">
        <v>3.1670000000000001E-3</v>
      </c>
      <c r="J235" s="295">
        <v>3.1229999999999999E-3</v>
      </c>
      <c r="K235" s="295">
        <v>3.0100000000000001E-3</v>
      </c>
      <c r="L235" s="295">
        <v>2.9640000000000001E-3</v>
      </c>
      <c r="M235" s="295">
        <v>2.856E-3</v>
      </c>
      <c r="N235" s="295">
        <v>2.8140000000000001E-3</v>
      </c>
      <c r="O235" s="295">
        <v>2.7590000000000002E-3</v>
      </c>
      <c r="P235" s="295">
        <v>2.7299999999999998E-3</v>
      </c>
      <c r="Q235" s="295">
        <v>2.7079999999999999E-3</v>
      </c>
      <c r="R235" s="295">
        <v>2.6909999999999998E-3</v>
      </c>
      <c r="S235" s="295">
        <v>2.6689999999999999E-3</v>
      </c>
      <c r="T235" s="295">
        <v>2.6319999999999998E-3</v>
      </c>
      <c r="U235" s="295">
        <v>2.594E-3</v>
      </c>
      <c r="V235" s="295">
        <v>2.5899999999999999E-3</v>
      </c>
      <c r="W235" s="295">
        <v>2.5400000000000002E-3</v>
      </c>
      <c r="X235" s="295">
        <v>2.5089999999999999E-3</v>
      </c>
      <c r="Y235" s="295">
        <v>2.4880000000000002E-3</v>
      </c>
      <c r="Z235" s="295">
        <v>2.4459999999999998E-3</v>
      </c>
      <c r="AA235" s="295">
        <v>2.4429999999999999E-3</v>
      </c>
      <c r="AB235" s="295">
        <v>2.431E-3</v>
      </c>
      <c r="AC235" s="295">
        <v>2.3990000000000001E-3</v>
      </c>
      <c r="AD235" s="295">
        <v>2.385E-3</v>
      </c>
      <c r="AE235" s="295">
        <v>2.3890000000000001E-3</v>
      </c>
      <c r="AF235" s="295">
        <v>2.3770000000000002E-3</v>
      </c>
      <c r="AG235" s="295">
        <v>2.3730000000000001E-3</v>
      </c>
      <c r="AH235" s="296">
        <v>-7.2589999999999998E-3</v>
      </c>
    </row>
    <row r="236" spans="1:34" ht="15" customHeight="1" x14ac:dyDescent="0.25">
      <c r="A236" s="213" t="s">
        <v>1188</v>
      </c>
      <c r="B236" s="294" t="s">
        <v>1038</v>
      </c>
      <c r="C236" s="295">
        <v>7.8405389999999997</v>
      </c>
      <c r="D236" s="295">
        <v>8.0546620000000004</v>
      </c>
      <c r="E236" s="295">
        <v>8.1403789999999994</v>
      </c>
      <c r="F236" s="295">
        <v>8.1592990000000007</v>
      </c>
      <c r="G236" s="295">
        <v>8.1899149999999992</v>
      </c>
      <c r="H236" s="295">
        <v>8.2631859999999993</v>
      </c>
      <c r="I236" s="295">
        <v>8.2568619999999999</v>
      </c>
      <c r="J236" s="295">
        <v>8.2389100000000006</v>
      </c>
      <c r="K236" s="295">
        <v>8.2021529999999991</v>
      </c>
      <c r="L236" s="295">
        <v>8.1643919999999994</v>
      </c>
      <c r="M236" s="295">
        <v>8.1094460000000002</v>
      </c>
      <c r="N236" s="295">
        <v>8.0948229999999999</v>
      </c>
      <c r="O236" s="295">
        <v>8.0595470000000002</v>
      </c>
      <c r="P236" s="295">
        <v>8.0324360000000006</v>
      </c>
      <c r="Q236" s="295">
        <v>8.0177669999999992</v>
      </c>
      <c r="R236" s="295">
        <v>8.0087200000000003</v>
      </c>
      <c r="S236" s="295">
        <v>7.9948399999999999</v>
      </c>
      <c r="T236" s="295">
        <v>7.9799009999999999</v>
      </c>
      <c r="U236" s="295">
        <v>7.9789440000000003</v>
      </c>
      <c r="V236" s="295">
        <v>7.9823969999999997</v>
      </c>
      <c r="W236" s="295">
        <v>7.9857659999999999</v>
      </c>
      <c r="X236" s="295">
        <v>7.9926399999999997</v>
      </c>
      <c r="Y236" s="295">
        <v>8.0361980000000006</v>
      </c>
      <c r="Z236" s="295">
        <v>8.0742039999999999</v>
      </c>
      <c r="AA236" s="295">
        <v>8.1172850000000007</v>
      </c>
      <c r="AB236" s="295">
        <v>8.1460749999999997</v>
      </c>
      <c r="AC236" s="295">
        <v>8.1839169999999992</v>
      </c>
      <c r="AD236" s="295">
        <v>8.2172140000000002</v>
      </c>
      <c r="AE236" s="295">
        <v>8.2568490000000008</v>
      </c>
      <c r="AF236" s="295">
        <v>8.2995330000000003</v>
      </c>
      <c r="AG236" s="295">
        <v>8.3455589999999997</v>
      </c>
      <c r="AH236" s="296">
        <v>2.0830000000000002E-3</v>
      </c>
    </row>
    <row r="237" spans="1:34" ht="15" customHeight="1" x14ac:dyDescent="0.25">
      <c r="A237" s="213" t="s">
        <v>1189</v>
      </c>
      <c r="B237" s="294" t="s">
        <v>1060</v>
      </c>
      <c r="C237" s="295">
        <v>0.54432899999999995</v>
      </c>
      <c r="D237" s="295">
        <v>0.56760699999999997</v>
      </c>
      <c r="E237" s="295">
        <v>0.79312400000000005</v>
      </c>
      <c r="F237" s="295">
        <v>0.78322199999999997</v>
      </c>
      <c r="G237" s="295">
        <v>0.76578199999999996</v>
      </c>
      <c r="H237" s="295">
        <v>0.67951899999999998</v>
      </c>
      <c r="I237" s="295">
        <v>0.678786</v>
      </c>
      <c r="J237" s="295">
        <v>0.64690700000000001</v>
      </c>
      <c r="K237" s="295">
        <v>0.64060600000000001</v>
      </c>
      <c r="L237" s="295">
        <v>0.63461699999999999</v>
      </c>
      <c r="M237" s="295">
        <v>0.67796999999999996</v>
      </c>
      <c r="N237" s="295">
        <v>0.63837699999999997</v>
      </c>
      <c r="O237" s="295">
        <v>0.63547799999999999</v>
      </c>
      <c r="P237" s="295">
        <v>0.63193900000000003</v>
      </c>
      <c r="Q237" s="295">
        <v>0.62876600000000005</v>
      </c>
      <c r="R237" s="295">
        <v>0.62504700000000002</v>
      </c>
      <c r="S237" s="295">
        <v>0.62174499999999999</v>
      </c>
      <c r="T237" s="295">
        <v>0.62441199999999997</v>
      </c>
      <c r="U237" s="295">
        <v>0.61659399999999998</v>
      </c>
      <c r="V237" s="295">
        <v>0.61581300000000005</v>
      </c>
      <c r="W237" s="295">
        <v>0.59089100000000006</v>
      </c>
      <c r="X237" s="295">
        <v>0.60534399999999999</v>
      </c>
      <c r="Y237" s="295">
        <v>0.57568799999999998</v>
      </c>
      <c r="Z237" s="295">
        <v>0.57277900000000004</v>
      </c>
      <c r="AA237" s="295">
        <v>0.55381499999999995</v>
      </c>
      <c r="AB237" s="295">
        <v>0.56240199999999996</v>
      </c>
      <c r="AC237" s="295">
        <v>0.54813900000000004</v>
      </c>
      <c r="AD237" s="295">
        <v>0.53993899999999995</v>
      </c>
      <c r="AE237" s="295">
        <v>0.537663</v>
      </c>
      <c r="AF237" s="295">
        <v>0.53686999999999996</v>
      </c>
      <c r="AG237" s="295">
        <v>0.53361099999999995</v>
      </c>
      <c r="AH237" s="296">
        <v>-6.6299999999999996E-4</v>
      </c>
    </row>
    <row r="238" spans="1:34" ht="15" customHeight="1" x14ac:dyDescent="0.25">
      <c r="A238" s="213" t="s">
        <v>1190</v>
      </c>
      <c r="B238" s="294" t="s">
        <v>1077</v>
      </c>
      <c r="C238" s="295">
        <v>0.58092500000000002</v>
      </c>
      <c r="D238" s="295">
        <v>0.60737300000000005</v>
      </c>
      <c r="E238" s="295">
        <v>0.64119300000000001</v>
      </c>
      <c r="F238" s="295">
        <v>0.64207400000000003</v>
      </c>
      <c r="G238" s="295">
        <v>0.64420200000000005</v>
      </c>
      <c r="H238" s="295">
        <v>0.64595999999999998</v>
      </c>
      <c r="I238" s="295">
        <v>0.64704899999999999</v>
      </c>
      <c r="J238" s="295">
        <v>0.64783100000000005</v>
      </c>
      <c r="K238" s="295">
        <v>0.64876900000000004</v>
      </c>
      <c r="L238" s="295">
        <v>0.64976400000000001</v>
      </c>
      <c r="M238" s="295">
        <v>0.65099600000000002</v>
      </c>
      <c r="N238" s="295">
        <v>0.65211300000000005</v>
      </c>
      <c r="O238" s="295">
        <v>0.65287300000000004</v>
      </c>
      <c r="P238" s="295">
        <v>0.65375799999999995</v>
      </c>
      <c r="Q238" s="295">
        <v>0.65477099999999999</v>
      </c>
      <c r="R238" s="295">
        <v>0.65575600000000001</v>
      </c>
      <c r="S238" s="295">
        <v>0.65636799999999995</v>
      </c>
      <c r="T238" s="295">
        <v>0.65710500000000005</v>
      </c>
      <c r="U238" s="295">
        <v>0.65780099999999997</v>
      </c>
      <c r="V238" s="295">
        <v>0.65814600000000001</v>
      </c>
      <c r="W238" s="295">
        <v>0.65824199999999999</v>
      </c>
      <c r="X238" s="295">
        <v>0.658551</v>
      </c>
      <c r="Y238" s="295">
        <v>0.65925299999999998</v>
      </c>
      <c r="Z238" s="295">
        <v>0.65980399999999995</v>
      </c>
      <c r="AA238" s="295">
        <v>0.66007499999999997</v>
      </c>
      <c r="AB238" s="295">
        <v>0.66052699999999998</v>
      </c>
      <c r="AC238" s="295">
        <v>0.660914</v>
      </c>
      <c r="AD238" s="295">
        <v>0.66132500000000005</v>
      </c>
      <c r="AE238" s="295">
        <v>0.661748</v>
      </c>
      <c r="AF238" s="295">
        <v>0.662582</v>
      </c>
      <c r="AG238" s="295">
        <v>0.66327400000000003</v>
      </c>
      <c r="AH238" s="296">
        <v>4.4289999999999998E-3</v>
      </c>
    </row>
    <row r="239" spans="1:34" ht="15" customHeight="1" x14ac:dyDescent="0.25">
      <c r="A239" s="213" t="s">
        <v>1191</v>
      </c>
      <c r="B239" s="294" t="s">
        <v>1144</v>
      </c>
      <c r="C239" s="295">
        <v>3.3536030000000001</v>
      </c>
      <c r="D239" s="295">
        <v>3.420051</v>
      </c>
      <c r="E239" s="295">
        <v>3.4226670000000001</v>
      </c>
      <c r="F239" s="295">
        <v>3.4314339999999999</v>
      </c>
      <c r="G239" s="295">
        <v>3.4119929999999998</v>
      </c>
      <c r="H239" s="295">
        <v>3.4417909999999998</v>
      </c>
      <c r="I239" s="295">
        <v>3.4613879999999999</v>
      </c>
      <c r="J239" s="295">
        <v>3.4875989999999999</v>
      </c>
      <c r="K239" s="295">
        <v>3.5159379999999998</v>
      </c>
      <c r="L239" s="295">
        <v>3.5476489999999998</v>
      </c>
      <c r="M239" s="295">
        <v>3.5652710000000001</v>
      </c>
      <c r="N239" s="295">
        <v>3.5896509999999999</v>
      </c>
      <c r="O239" s="295">
        <v>3.6111900000000001</v>
      </c>
      <c r="P239" s="295">
        <v>3.6266050000000001</v>
      </c>
      <c r="Q239" s="295">
        <v>3.6606079999999999</v>
      </c>
      <c r="R239" s="295">
        <v>3.6776049999999998</v>
      </c>
      <c r="S239" s="295">
        <v>3.7095750000000001</v>
      </c>
      <c r="T239" s="295">
        <v>3.7422740000000001</v>
      </c>
      <c r="U239" s="295">
        <v>3.7546520000000001</v>
      </c>
      <c r="V239" s="295">
        <v>3.7688869999999999</v>
      </c>
      <c r="W239" s="295">
        <v>3.7693479999999999</v>
      </c>
      <c r="X239" s="295">
        <v>3.7811819999999998</v>
      </c>
      <c r="Y239" s="295">
        <v>3.7915390000000002</v>
      </c>
      <c r="Z239" s="295">
        <v>3.7903180000000001</v>
      </c>
      <c r="AA239" s="295">
        <v>3.8041469999999999</v>
      </c>
      <c r="AB239" s="295">
        <v>3.8322560000000001</v>
      </c>
      <c r="AC239" s="295">
        <v>3.8388409999999999</v>
      </c>
      <c r="AD239" s="295">
        <v>3.8666179999999999</v>
      </c>
      <c r="AE239" s="295">
        <v>3.9035660000000001</v>
      </c>
      <c r="AF239" s="295">
        <v>3.9270510000000001</v>
      </c>
      <c r="AG239" s="295">
        <v>3.9679820000000001</v>
      </c>
      <c r="AH239" s="296">
        <v>5.6230000000000004E-3</v>
      </c>
    </row>
    <row r="240" spans="1:34" ht="15" customHeight="1" x14ac:dyDescent="0.25">
      <c r="A240" s="213" t="s">
        <v>1192</v>
      </c>
      <c r="B240" s="294" t="s">
        <v>1040</v>
      </c>
      <c r="C240" s="295">
        <v>33.549446000000003</v>
      </c>
      <c r="D240" s="295">
        <v>35.556064999999997</v>
      </c>
      <c r="E240" s="295">
        <v>36.490890999999998</v>
      </c>
      <c r="F240" s="295">
        <v>36.767001999999998</v>
      </c>
      <c r="G240" s="295">
        <v>36.894142000000002</v>
      </c>
      <c r="H240" s="295">
        <v>37.000064999999999</v>
      </c>
      <c r="I240" s="295">
        <v>36.995781000000001</v>
      </c>
      <c r="J240" s="295">
        <v>36.931938000000002</v>
      </c>
      <c r="K240" s="295">
        <v>36.903244000000001</v>
      </c>
      <c r="L240" s="295">
        <v>36.865226999999997</v>
      </c>
      <c r="M240" s="295">
        <v>36.883018</v>
      </c>
      <c r="N240" s="295">
        <v>36.874088</v>
      </c>
      <c r="O240" s="295">
        <v>36.873806000000002</v>
      </c>
      <c r="P240" s="295">
        <v>36.908512000000002</v>
      </c>
      <c r="Q240" s="295">
        <v>37.000281999999999</v>
      </c>
      <c r="R240" s="295">
        <v>37.087257000000001</v>
      </c>
      <c r="S240" s="295">
        <v>37.147326999999997</v>
      </c>
      <c r="T240" s="295">
        <v>37.220714999999998</v>
      </c>
      <c r="U240" s="295">
        <v>37.286743000000001</v>
      </c>
      <c r="V240" s="295">
        <v>37.356689000000003</v>
      </c>
      <c r="W240" s="295">
        <v>37.385258</v>
      </c>
      <c r="X240" s="295">
        <v>37.487335000000002</v>
      </c>
      <c r="Y240" s="295">
        <v>37.630786999999998</v>
      </c>
      <c r="Z240" s="295">
        <v>37.787616999999997</v>
      </c>
      <c r="AA240" s="295">
        <v>37.936047000000002</v>
      </c>
      <c r="AB240" s="295">
        <v>38.120128999999999</v>
      </c>
      <c r="AC240" s="295">
        <v>38.264533999999998</v>
      </c>
      <c r="AD240" s="295">
        <v>38.431541000000003</v>
      </c>
      <c r="AE240" s="295">
        <v>38.625591</v>
      </c>
      <c r="AF240" s="295">
        <v>38.846153000000001</v>
      </c>
      <c r="AG240" s="295">
        <v>39.076946</v>
      </c>
      <c r="AH240" s="296">
        <v>5.097E-3</v>
      </c>
    </row>
    <row r="241" spans="1:34" ht="15" customHeight="1" x14ac:dyDescent="0.25">
      <c r="A241" s="213" t="s">
        <v>1193</v>
      </c>
      <c r="B241" s="294" t="s">
        <v>152</v>
      </c>
      <c r="C241" s="295">
        <v>28.963225999999999</v>
      </c>
      <c r="D241" s="295">
        <v>26.979181000000001</v>
      </c>
      <c r="E241" s="295">
        <v>27.089409</v>
      </c>
      <c r="F241" s="295">
        <v>27.819479000000001</v>
      </c>
      <c r="G241" s="295">
        <v>28.023928000000002</v>
      </c>
      <c r="H241" s="295">
        <v>28.644880000000001</v>
      </c>
      <c r="I241" s="295">
        <v>28.909727</v>
      </c>
      <c r="J241" s="295">
        <v>28.917055000000001</v>
      </c>
      <c r="K241" s="295">
        <v>28.777256000000001</v>
      </c>
      <c r="L241" s="295">
        <v>28.784502</v>
      </c>
      <c r="M241" s="295">
        <v>28.613054000000002</v>
      </c>
      <c r="N241" s="295">
        <v>28.724262</v>
      </c>
      <c r="O241" s="295">
        <v>28.763812999999999</v>
      </c>
      <c r="P241" s="295">
        <v>28.802637000000001</v>
      </c>
      <c r="Q241" s="295">
        <v>28.912023999999999</v>
      </c>
      <c r="R241" s="295">
        <v>28.904191999999998</v>
      </c>
      <c r="S241" s="295">
        <v>29.034779</v>
      </c>
      <c r="T241" s="295">
        <v>29.25543</v>
      </c>
      <c r="U241" s="295">
        <v>29.561582999999999</v>
      </c>
      <c r="V241" s="295">
        <v>29.848227999999999</v>
      </c>
      <c r="W241" s="295">
        <v>30.135839000000001</v>
      </c>
      <c r="X241" s="295">
        <v>30.321161</v>
      </c>
      <c r="Y241" s="295">
        <v>30.636579999999999</v>
      </c>
      <c r="Z241" s="295">
        <v>31.000692000000001</v>
      </c>
      <c r="AA241" s="295">
        <v>31.272690000000001</v>
      </c>
      <c r="AB241" s="295">
        <v>31.518488000000001</v>
      </c>
      <c r="AC241" s="295">
        <v>31.721222000000001</v>
      </c>
      <c r="AD241" s="295">
        <v>31.930046000000001</v>
      </c>
      <c r="AE241" s="295">
        <v>32.178660999999998</v>
      </c>
      <c r="AF241" s="295">
        <v>32.443793999999997</v>
      </c>
      <c r="AG241" s="295">
        <v>32.760447999999997</v>
      </c>
      <c r="AH241" s="296">
        <v>4.1149999999999997E-3</v>
      </c>
    </row>
    <row r="242" spans="1:34" ht="15" customHeight="1" x14ac:dyDescent="0.25">
      <c r="A242" s="213" t="s">
        <v>1194</v>
      </c>
      <c r="B242" s="294" t="s">
        <v>1083</v>
      </c>
      <c r="C242" s="295">
        <v>0</v>
      </c>
      <c r="D242" s="295">
        <v>0</v>
      </c>
      <c r="E242" s="295">
        <v>0</v>
      </c>
      <c r="F242" s="295">
        <v>0</v>
      </c>
      <c r="G242" s="295">
        <v>0</v>
      </c>
      <c r="H242" s="295">
        <v>0</v>
      </c>
      <c r="I242" s="295">
        <v>0</v>
      </c>
      <c r="J242" s="295">
        <v>0</v>
      </c>
      <c r="K242" s="295">
        <v>0</v>
      </c>
      <c r="L242" s="295">
        <v>0</v>
      </c>
      <c r="M242" s="295">
        <v>0</v>
      </c>
      <c r="N242" s="295">
        <v>0</v>
      </c>
      <c r="O242" s="295">
        <v>0</v>
      </c>
      <c r="P242" s="295">
        <v>0</v>
      </c>
      <c r="Q242" s="295">
        <v>0</v>
      </c>
      <c r="R242" s="295">
        <v>0</v>
      </c>
      <c r="S242" s="295">
        <v>0</v>
      </c>
      <c r="T242" s="295">
        <v>0</v>
      </c>
      <c r="U242" s="295">
        <v>0</v>
      </c>
      <c r="V242" s="295">
        <v>0</v>
      </c>
      <c r="W242" s="295">
        <v>0</v>
      </c>
      <c r="X242" s="295">
        <v>0</v>
      </c>
      <c r="Y242" s="295">
        <v>0</v>
      </c>
      <c r="Z242" s="295">
        <v>0</v>
      </c>
      <c r="AA242" s="295">
        <v>0</v>
      </c>
      <c r="AB242" s="295">
        <v>0</v>
      </c>
      <c r="AC242" s="295">
        <v>0</v>
      </c>
      <c r="AD242" s="295">
        <v>0</v>
      </c>
      <c r="AE242" s="295">
        <v>0</v>
      </c>
      <c r="AF242" s="295">
        <v>0</v>
      </c>
      <c r="AG242" s="295">
        <v>0</v>
      </c>
      <c r="AH242" s="296" t="s">
        <v>635</v>
      </c>
    </row>
    <row r="243" spans="1:34" ht="15" customHeight="1" x14ac:dyDescent="0.25">
      <c r="A243" s="213" t="s">
        <v>1195</v>
      </c>
      <c r="B243" s="294" t="s">
        <v>1085</v>
      </c>
      <c r="C243" s="295">
        <v>1.865005</v>
      </c>
      <c r="D243" s="295">
        <v>1.807725</v>
      </c>
      <c r="E243" s="295">
        <v>1.880965</v>
      </c>
      <c r="F243" s="295">
        <v>1.9408570000000001</v>
      </c>
      <c r="G243" s="295">
        <v>1.9565490000000001</v>
      </c>
      <c r="H243" s="295">
        <v>2.009153</v>
      </c>
      <c r="I243" s="295">
        <v>2.0434899999999998</v>
      </c>
      <c r="J243" s="295">
        <v>2.0588169999999999</v>
      </c>
      <c r="K243" s="295">
        <v>2.077655</v>
      </c>
      <c r="L243" s="295">
        <v>2.095453</v>
      </c>
      <c r="M243" s="295">
        <v>2.1270380000000002</v>
      </c>
      <c r="N243" s="295">
        <v>2.1532659999999999</v>
      </c>
      <c r="O243" s="295">
        <v>2.1734019999999998</v>
      </c>
      <c r="P243" s="295">
        <v>2.2095530000000001</v>
      </c>
      <c r="Q243" s="295">
        <v>2.2339820000000001</v>
      </c>
      <c r="R243" s="295">
        <v>2.2352430000000001</v>
      </c>
      <c r="S243" s="295">
        <v>2.2360989999999998</v>
      </c>
      <c r="T243" s="295">
        <v>2.2449379999999999</v>
      </c>
      <c r="U243" s="295">
        <v>2.2523170000000001</v>
      </c>
      <c r="V243" s="295">
        <v>2.2709450000000002</v>
      </c>
      <c r="W243" s="295">
        <v>2.2919559999999999</v>
      </c>
      <c r="X243" s="295">
        <v>2.306597</v>
      </c>
      <c r="Y243" s="295">
        <v>2.3343180000000001</v>
      </c>
      <c r="Z243" s="295">
        <v>2.374781</v>
      </c>
      <c r="AA243" s="295">
        <v>2.3952939999999998</v>
      </c>
      <c r="AB243" s="295">
        <v>2.3954260000000001</v>
      </c>
      <c r="AC243" s="295">
        <v>2.4161999999999999</v>
      </c>
      <c r="AD243" s="295">
        <v>2.424982</v>
      </c>
      <c r="AE243" s="295">
        <v>2.4366409999999998</v>
      </c>
      <c r="AF243" s="295">
        <v>2.4378600000000001</v>
      </c>
      <c r="AG243" s="295">
        <v>2.4408089999999998</v>
      </c>
      <c r="AH243" s="296">
        <v>9.0089999999999996E-3</v>
      </c>
    </row>
    <row r="244" spans="1:34" ht="15" customHeight="1" x14ac:dyDescent="0.25">
      <c r="A244" s="213" t="s">
        <v>1196</v>
      </c>
      <c r="B244" s="294" t="s">
        <v>1087</v>
      </c>
      <c r="C244" s="295">
        <v>0.35997099999999999</v>
      </c>
      <c r="D244" s="295">
        <v>0.495002</v>
      </c>
      <c r="E244" s="295">
        <v>0.48645500000000003</v>
      </c>
      <c r="F244" s="295">
        <v>0.49248599999999998</v>
      </c>
      <c r="G244" s="295">
        <v>0.55064999999999997</v>
      </c>
      <c r="H244" s="295">
        <v>0.63718900000000001</v>
      </c>
      <c r="I244" s="295">
        <v>0.68829200000000001</v>
      </c>
      <c r="J244" s="295">
        <v>0.68829200000000001</v>
      </c>
      <c r="K244" s="295">
        <v>0.70573300000000005</v>
      </c>
      <c r="L244" s="295">
        <v>0.73495699999999997</v>
      </c>
      <c r="M244" s="295">
        <v>0.76606700000000005</v>
      </c>
      <c r="N244" s="295">
        <v>0.78162200000000004</v>
      </c>
      <c r="O244" s="295">
        <v>0.78350799999999998</v>
      </c>
      <c r="P244" s="295">
        <v>0.78162200000000004</v>
      </c>
      <c r="Q244" s="295">
        <v>0.78162200000000004</v>
      </c>
      <c r="R244" s="295">
        <v>0.78162200000000004</v>
      </c>
      <c r="S244" s="295">
        <v>0.78350799999999998</v>
      </c>
      <c r="T244" s="295">
        <v>0.78162200000000004</v>
      </c>
      <c r="U244" s="295">
        <v>0.78162200000000004</v>
      </c>
      <c r="V244" s="295">
        <v>0.78162200000000004</v>
      </c>
      <c r="W244" s="295">
        <v>0.78350799999999998</v>
      </c>
      <c r="X244" s="295">
        <v>0.78162200000000004</v>
      </c>
      <c r="Y244" s="295">
        <v>0.78162200000000004</v>
      </c>
      <c r="Z244" s="295">
        <v>0.78162200000000004</v>
      </c>
      <c r="AA244" s="295">
        <v>0.78350799999999998</v>
      </c>
      <c r="AB244" s="295">
        <v>0.78162200000000004</v>
      </c>
      <c r="AC244" s="295">
        <v>0.78162200000000004</v>
      </c>
      <c r="AD244" s="295">
        <v>0.78162200000000004</v>
      </c>
      <c r="AE244" s="295">
        <v>0.78350799999999998</v>
      </c>
      <c r="AF244" s="295">
        <v>0.78162200000000004</v>
      </c>
      <c r="AG244" s="295">
        <v>0.78162200000000004</v>
      </c>
      <c r="AH244" s="296">
        <v>2.6182E-2</v>
      </c>
    </row>
    <row r="245" spans="1:34" ht="15" customHeight="1" x14ac:dyDescent="0.25">
      <c r="A245" s="213" t="s">
        <v>1197</v>
      </c>
      <c r="B245" s="294" t="s">
        <v>1122</v>
      </c>
      <c r="C245" s="295">
        <v>0.70627899999999999</v>
      </c>
      <c r="D245" s="295">
        <v>0.76189300000000004</v>
      </c>
      <c r="E245" s="295">
        <v>0.75658300000000001</v>
      </c>
      <c r="F245" s="295">
        <v>0.71793899999999999</v>
      </c>
      <c r="G245" s="295">
        <v>0.68035800000000002</v>
      </c>
      <c r="H245" s="295">
        <v>0.66490400000000005</v>
      </c>
      <c r="I245" s="295">
        <v>0.62340399999999996</v>
      </c>
      <c r="J245" s="295">
        <v>0.61793200000000004</v>
      </c>
      <c r="K245" s="295">
        <v>0.61683600000000005</v>
      </c>
      <c r="L245" s="295">
        <v>0.61629</v>
      </c>
      <c r="M245" s="295">
        <v>0.61148100000000005</v>
      </c>
      <c r="N245" s="295">
        <v>0.612707</v>
      </c>
      <c r="O245" s="295">
        <v>0.61787099999999995</v>
      </c>
      <c r="P245" s="295">
        <v>0.62041199999999996</v>
      </c>
      <c r="Q245" s="295">
        <v>0.62257700000000005</v>
      </c>
      <c r="R245" s="295">
        <v>0.62744299999999997</v>
      </c>
      <c r="S245" s="295">
        <v>0.63063599999999997</v>
      </c>
      <c r="T245" s="295">
        <v>0.63487499999999997</v>
      </c>
      <c r="U245" s="295">
        <v>0.63971</v>
      </c>
      <c r="V245" s="295">
        <v>0.64397499999999996</v>
      </c>
      <c r="W245" s="295">
        <v>0.65073599999999998</v>
      </c>
      <c r="X245" s="295">
        <v>0.654636</v>
      </c>
      <c r="Y245" s="295">
        <v>0.66025900000000004</v>
      </c>
      <c r="Z245" s="295">
        <v>0.66815400000000003</v>
      </c>
      <c r="AA245" s="295">
        <v>0.67605199999999999</v>
      </c>
      <c r="AB245" s="295">
        <v>0.68138500000000002</v>
      </c>
      <c r="AC245" s="295">
        <v>0.68932599999999999</v>
      </c>
      <c r="AD245" s="295">
        <v>0.69373600000000002</v>
      </c>
      <c r="AE245" s="295">
        <v>0.69961600000000002</v>
      </c>
      <c r="AF245" s="295">
        <v>0.70664700000000003</v>
      </c>
      <c r="AG245" s="295">
        <v>0.71458900000000003</v>
      </c>
      <c r="AH245" s="296">
        <v>3.8999999999999999E-4</v>
      </c>
    </row>
    <row r="246" spans="1:34" ht="15" customHeight="1" x14ac:dyDescent="0.25">
      <c r="A246" s="213" t="s">
        <v>1198</v>
      </c>
      <c r="B246" s="294" t="s">
        <v>1089</v>
      </c>
      <c r="C246" s="295">
        <v>31.894480000000001</v>
      </c>
      <c r="D246" s="295">
        <v>30.043801999999999</v>
      </c>
      <c r="E246" s="295">
        <v>30.213408999999999</v>
      </c>
      <c r="F246" s="295">
        <v>30.970762000000001</v>
      </c>
      <c r="G246" s="295">
        <v>31.211485</v>
      </c>
      <c r="H246" s="295">
        <v>31.956126999999999</v>
      </c>
      <c r="I246" s="295">
        <v>32.264912000000002</v>
      </c>
      <c r="J246" s="295">
        <v>32.282097</v>
      </c>
      <c r="K246" s="295">
        <v>32.177478999999998</v>
      </c>
      <c r="L246" s="295">
        <v>32.231200999999999</v>
      </c>
      <c r="M246" s="295">
        <v>32.117640999999999</v>
      </c>
      <c r="N246" s="295">
        <v>32.271853999999998</v>
      </c>
      <c r="O246" s="295">
        <v>32.338596000000003</v>
      </c>
      <c r="P246" s="295">
        <v>32.414223</v>
      </c>
      <c r="Q246" s="295">
        <v>32.550204999999998</v>
      </c>
      <c r="R246" s="295">
        <v>32.548499999999997</v>
      </c>
      <c r="S246" s="295">
        <v>32.685020000000002</v>
      </c>
      <c r="T246" s="295">
        <v>32.916865999999999</v>
      </c>
      <c r="U246" s="295">
        <v>33.235228999999997</v>
      </c>
      <c r="V246" s="295">
        <v>33.544769000000002</v>
      </c>
      <c r="W246" s="295">
        <v>33.862037999999998</v>
      </c>
      <c r="X246" s="295">
        <v>34.064017999999997</v>
      </c>
      <c r="Y246" s="295">
        <v>34.412776999999998</v>
      </c>
      <c r="Z246" s="295">
        <v>34.825252999999996</v>
      </c>
      <c r="AA246" s="295">
        <v>35.127544</v>
      </c>
      <c r="AB246" s="295">
        <v>35.376922999999998</v>
      </c>
      <c r="AC246" s="295">
        <v>35.608372000000003</v>
      </c>
      <c r="AD246" s="295">
        <v>35.830390999999999</v>
      </c>
      <c r="AE246" s="295">
        <v>36.098427000000001</v>
      </c>
      <c r="AF246" s="295">
        <v>36.369923</v>
      </c>
      <c r="AG246" s="295">
        <v>36.697468000000001</v>
      </c>
      <c r="AH246" s="296">
        <v>4.6870000000000002E-3</v>
      </c>
    </row>
    <row r="247" spans="1:34" ht="15" customHeight="1" x14ac:dyDescent="0.25">
      <c r="A247" s="213" t="s">
        <v>1199</v>
      </c>
      <c r="B247" s="294" t="s">
        <v>1091</v>
      </c>
      <c r="C247" s="295">
        <v>0.47265099999999999</v>
      </c>
      <c r="D247" s="295">
        <v>0.39605299999999999</v>
      </c>
      <c r="E247" s="295">
        <v>0.40934199999999998</v>
      </c>
      <c r="F247" s="295">
        <v>0.49793399999999999</v>
      </c>
      <c r="G247" s="295">
        <v>0.487983</v>
      </c>
      <c r="H247" s="295">
        <v>0.45944400000000002</v>
      </c>
      <c r="I247" s="295">
        <v>0.45657999999999999</v>
      </c>
      <c r="J247" s="295">
        <v>0.44544600000000001</v>
      </c>
      <c r="K247" s="295">
        <v>0.42712099999999997</v>
      </c>
      <c r="L247" s="295">
        <v>0.41013899999999998</v>
      </c>
      <c r="M247" s="295">
        <v>0.40978599999999998</v>
      </c>
      <c r="N247" s="295">
        <v>0.40927799999999998</v>
      </c>
      <c r="O247" s="295">
        <v>0.40397899999999998</v>
      </c>
      <c r="P247" s="295">
        <v>0.39724199999999998</v>
      </c>
      <c r="Q247" s="295">
        <v>0.39794800000000002</v>
      </c>
      <c r="R247" s="295">
        <v>0.39924100000000001</v>
      </c>
      <c r="S247" s="295">
        <v>0.39598800000000001</v>
      </c>
      <c r="T247" s="295">
        <v>0.396254</v>
      </c>
      <c r="U247" s="295">
        <v>0.399368</v>
      </c>
      <c r="V247" s="295">
        <v>0.40063900000000002</v>
      </c>
      <c r="W247" s="295">
        <v>0.39474199999999998</v>
      </c>
      <c r="X247" s="295">
        <v>0.39587</v>
      </c>
      <c r="Y247" s="295">
        <v>0.40470400000000001</v>
      </c>
      <c r="Z247" s="295">
        <v>0.41109699999999999</v>
      </c>
      <c r="AA247" s="295">
        <v>0.40808499999999998</v>
      </c>
      <c r="AB247" s="295">
        <v>0.40725600000000001</v>
      </c>
      <c r="AC247" s="295">
        <v>0.406142</v>
      </c>
      <c r="AD247" s="295">
        <v>0.40423599999999998</v>
      </c>
      <c r="AE247" s="295">
        <v>0.40629199999999999</v>
      </c>
      <c r="AF247" s="295">
        <v>0.404858</v>
      </c>
      <c r="AG247" s="295">
        <v>0.41049099999999999</v>
      </c>
      <c r="AH247" s="296">
        <v>-4.6889999999999996E-3</v>
      </c>
    </row>
    <row r="248" spans="1:34" ht="15" customHeight="1" x14ac:dyDescent="0.25">
      <c r="A248" s="213" t="s">
        <v>1200</v>
      </c>
      <c r="B248" s="294" t="s">
        <v>1154</v>
      </c>
      <c r="C248" s="295">
        <v>8.5395479999999999</v>
      </c>
      <c r="D248" s="295">
        <v>10.253284000000001</v>
      </c>
      <c r="E248" s="295">
        <v>10.768214</v>
      </c>
      <c r="F248" s="295">
        <v>9.3587530000000001</v>
      </c>
      <c r="G248" s="295">
        <v>8.3800120000000007</v>
      </c>
      <c r="H248" s="295">
        <v>7.3792020000000003</v>
      </c>
      <c r="I248" s="295">
        <v>7.5380409999999998</v>
      </c>
      <c r="J248" s="295">
        <v>7.2833139999999998</v>
      </c>
      <c r="K248" s="295">
        <v>7.3284260000000003</v>
      </c>
      <c r="L248" s="295">
        <v>7.3323349999999996</v>
      </c>
      <c r="M248" s="295">
        <v>7.2267849999999996</v>
      </c>
      <c r="N248" s="295">
        <v>7.0977370000000004</v>
      </c>
      <c r="O248" s="295">
        <v>6.9734410000000002</v>
      </c>
      <c r="P248" s="295">
        <v>6.952979</v>
      </c>
      <c r="Q248" s="295">
        <v>6.9315329999999999</v>
      </c>
      <c r="R248" s="295">
        <v>6.7850710000000003</v>
      </c>
      <c r="S248" s="295">
        <v>6.7740049999999998</v>
      </c>
      <c r="T248" s="295">
        <v>6.6859409999999997</v>
      </c>
      <c r="U248" s="295">
        <v>6.5099460000000002</v>
      </c>
      <c r="V248" s="295">
        <v>6.4571019999999999</v>
      </c>
      <c r="W248" s="295">
        <v>6.439203</v>
      </c>
      <c r="X248" s="295">
        <v>6.404077</v>
      </c>
      <c r="Y248" s="295">
        <v>6.4141069999999996</v>
      </c>
      <c r="Z248" s="295">
        <v>6.3560449999999999</v>
      </c>
      <c r="AA248" s="295">
        <v>6.3199019999999999</v>
      </c>
      <c r="AB248" s="295">
        <v>6.2005119999999998</v>
      </c>
      <c r="AC248" s="295">
        <v>6.1756450000000003</v>
      </c>
      <c r="AD248" s="295">
        <v>6.1680460000000004</v>
      </c>
      <c r="AE248" s="295">
        <v>6.2009499999999997</v>
      </c>
      <c r="AF248" s="295">
        <v>6.225212</v>
      </c>
      <c r="AG248" s="295">
        <v>6.2116480000000003</v>
      </c>
      <c r="AH248" s="296">
        <v>-1.0553E-2</v>
      </c>
    </row>
    <row r="249" spans="1:34" ht="15" customHeight="1" x14ac:dyDescent="0.25">
      <c r="A249" s="213" t="s">
        <v>1201</v>
      </c>
      <c r="B249" s="294" t="s">
        <v>1095</v>
      </c>
      <c r="C249" s="295">
        <v>0</v>
      </c>
      <c r="D249" s="295">
        <v>0</v>
      </c>
      <c r="E249" s="295">
        <v>0</v>
      </c>
      <c r="F249" s="295">
        <v>0</v>
      </c>
      <c r="G249" s="295">
        <v>0</v>
      </c>
      <c r="H249" s="295">
        <v>0</v>
      </c>
      <c r="I249" s="295">
        <v>0</v>
      </c>
      <c r="J249" s="295">
        <v>0</v>
      </c>
      <c r="K249" s="295">
        <v>0</v>
      </c>
      <c r="L249" s="295">
        <v>0</v>
      </c>
      <c r="M249" s="295">
        <v>0</v>
      </c>
      <c r="N249" s="295">
        <v>0</v>
      </c>
      <c r="O249" s="295">
        <v>0</v>
      </c>
      <c r="P249" s="295">
        <v>0</v>
      </c>
      <c r="Q249" s="295">
        <v>0</v>
      </c>
      <c r="R249" s="295">
        <v>0</v>
      </c>
      <c r="S249" s="295">
        <v>0</v>
      </c>
      <c r="T249" s="295">
        <v>0</v>
      </c>
      <c r="U249" s="295">
        <v>0</v>
      </c>
      <c r="V249" s="295">
        <v>0</v>
      </c>
      <c r="W249" s="295">
        <v>0</v>
      </c>
      <c r="X249" s="295">
        <v>0</v>
      </c>
      <c r="Y249" s="295">
        <v>0</v>
      </c>
      <c r="Z249" s="295">
        <v>0</v>
      </c>
      <c r="AA249" s="295">
        <v>0</v>
      </c>
      <c r="AB249" s="295">
        <v>0</v>
      </c>
      <c r="AC249" s="295">
        <v>0</v>
      </c>
      <c r="AD249" s="295">
        <v>0</v>
      </c>
      <c r="AE249" s="295">
        <v>0</v>
      </c>
      <c r="AF249" s="295">
        <v>0</v>
      </c>
      <c r="AG249" s="295">
        <v>0</v>
      </c>
      <c r="AH249" s="296" t="s">
        <v>635</v>
      </c>
    </row>
    <row r="250" spans="1:34" ht="15" customHeight="1" x14ac:dyDescent="0.25">
      <c r="A250" s="213" t="s">
        <v>1202</v>
      </c>
      <c r="B250" s="294" t="s">
        <v>1097</v>
      </c>
      <c r="C250" s="295">
        <v>-2.4546999999999999E-2</v>
      </c>
      <c r="D250" s="295">
        <v>-2.4834999999999999E-2</v>
      </c>
      <c r="E250" s="295">
        <v>-2.554E-2</v>
      </c>
      <c r="F250" s="295">
        <v>-3.1741999999999999E-2</v>
      </c>
      <c r="G250" s="295">
        <v>-2.4374E-2</v>
      </c>
      <c r="H250" s="295">
        <v>-2.3581999999999999E-2</v>
      </c>
      <c r="I250" s="295">
        <v>-2.3761000000000001E-2</v>
      </c>
      <c r="J250" s="295">
        <v>-2.3547999999999999E-2</v>
      </c>
      <c r="K250" s="295">
        <v>-2.3507E-2</v>
      </c>
      <c r="L250" s="295">
        <v>-2.3259999999999999E-2</v>
      </c>
      <c r="M250" s="295">
        <v>-2.2973E-2</v>
      </c>
      <c r="N250" s="295">
        <v>-2.2726E-2</v>
      </c>
      <c r="O250" s="295">
        <v>-2.2679000000000001E-2</v>
      </c>
      <c r="P250" s="295">
        <v>-2.2606000000000001E-2</v>
      </c>
      <c r="Q250" s="295">
        <v>-2.2516999999999999E-2</v>
      </c>
      <c r="R250" s="295">
        <v>-2.2372E-2</v>
      </c>
      <c r="S250" s="295">
        <v>-2.2432000000000001E-2</v>
      </c>
      <c r="T250" s="295">
        <v>-2.2290000000000001E-2</v>
      </c>
      <c r="U250" s="295">
        <v>-2.1985000000000001E-2</v>
      </c>
      <c r="V250" s="295">
        <v>-2.1854999999999999E-2</v>
      </c>
      <c r="W250" s="295">
        <v>-2.2058999999999999E-2</v>
      </c>
      <c r="X250" s="295">
        <v>-2.1781999999999999E-2</v>
      </c>
      <c r="Y250" s="295">
        <v>-2.1339E-2</v>
      </c>
      <c r="Z250" s="295">
        <v>-2.1006E-2</v>
      </c>
      <c r="AA250" s="295">
        <v>-2.1162E-2</v>
      </c>
      <c r="AB250" s="295">
        <v>-2.0931999999999999E-2</v>
      </c>
      <c r="AC250" s="295">
        <v>-2.0872000000000002E-2</v>
      </c>
      <c r="AD250" s="295">
        <v>-2.0801E-2</v>
      </c>
      <c r="AE250" s="295">
        <v>-2.0572E-2</v>
      </c>
      <c r="AF250" s="295">
        <v>-2.0466999999999999E-2</v>
      </c>
      <c r="AG250" s="295">
        <v>-1.9972E-2</v>
      </c>
      <c r="AH250" s="296">
        <v>-6.8519999999999996E-3</v>
      </c>
    </row>
    <row r="251" spans="1:34" ht="15" customHeight="1" x14ac:dyDescent="0.25">
      <c r="A251" s="213" t="s">
        <v>1203</v>
      </c>
      <c r="B251" s="294" t="s">
        <v>1099</v>
      </c>
      <c r="C251" s="295">
        <v>8.9876520000000006</v>
      </c>
      <c r="D251" s="295">
        <v>10.624501</v>
      </c>
      <c r="E251" s="295">
        <v>11.152017000000001</v>
      </c>
      <c r="F251" s="295">
        <v>9.8249449999999996</v>
      </c>
      <c r="G251" s="295">
        <v>8.8436199999999996</v>
      </c>
      <c r="H251" s="295">
        <v>7.8150639999999996</v>
      </c>
      <c r="I251" s="295">
        <v>7.9708600000000001</v>
      </c>
      <c r="J251" s="295">
        <v>7.7052120000000004</v>
      </c>
      <c r="K251" s="295">
        <v>7.7320409999999997</v>
      </c>
      <c r="L251" s="295">
        <v>7.719214</v>
      </c>
      <c r="M251" s="295">
        <v>7.6135979999999996</v>
      </c>
      <c r="N251" s="295">
        <v>7.4842890000000004</v>
      </c>
      <c r="O251" s="295">
        <v>7.3547409999999998</v>
      </c>
      <c r="P251" s="295">
        <v>7.3276139999999996</v>
      </c>
      <c r="Q251" s="295">
        <v>7.3069639999999998</v>
      </c>
      <c r="R251" s="295">
        <v>7.1619409999999997</v>
      </c>
      <c r="S251" s="295">
        <v>7.1475609999999996</v>
      </c>
      <c r="T251" s="295">
        <v>7.0599059999999998</v>
      </c>
      <c r="U251" s="295">
        <v>6.8873290000000003</v>
      </c>
      <c r="V251" s="295">
        <v>6.8358860000000004</v>
      </c>
      <c r="W251" s="295">
        <v>6.8118869999999996</v>
      </c>
      <c r="X251" s="295">
        <v>6.7781650000000004</v>
      </c>
      <c r="Y251" s="295">
        <v>6.797472</v>
      </c>
      <c r="Z251" s="295">
        <v>6.7461359999999999</v>
      </c>
      <c r="AA251" s="295">
        <v>6.7068250000000003</v>
      </c>
      <c r="AB251" s="295">
        <v>6.5868370000000001</v>
      </c>
      <c r="AC251" s="295">
        <v>6.5609149999999996</v>
      </c>
      <c r="AD251" s="295">
        <v>6.5514799999999997</v>
      </c>
      <c r="AE251" s="295">
        <v>6.5866689999999997</v>
      </c>
      <c r="AF251" s="295">
        <v>6.6096029999999999</v>
      </c>
      <c r="AG251" s="295">
        <v>6.6021679999999998</v>
      </c>
      <c r="AH251" s="296">
        <v>-1.0229E-2</v>
      </c>
    </row>
    <row r="252" spans="1:34" ht="15" customHeight="1" x14ac:dyDescent="0.25">
      <c r="A252" s="213" t="s">
        <v>1204</v>
      </c>
      <c r="B252" s="294" t="s">
        <v>1174</v>
      </c>
      <c r="C252" s="295">
        <v>8.2053379999999994</v>
      </c>
      <c r="D252" s="295">
        <v>7.9521930000000003</v>
      </c>
      <c r="E252" s="295">
        <v>7.7023359999999998</v>
      </c>
      <c r="F252" s="295">
        <v>7.8394539999999999</v>
      </c>
      <c r="G252" s="295">
        <v>7.8721709999999998</v>
      </c>
      <c r="H252" s="295">
        <v>7.7886559999999996</v>
      </c>
      <c r="I252" s="295">
        <v>6.8895980000000003</v>
      </c>
      <c r="J252" s="295">
        <v>6.742038</v>
      </c>
      <c r="K252" s="295">
        <v>6.7456670000000001</v>
      </c>
      <c r="L252" s="295">
        <v>6.5818890000000003</v>
      </c>
      <c r="M252" s="295">
        <v>6.5897199999999998</v>
      </c>
      <c r="N252" s="295">
        <v>6.6018720000000002</v>
      </c>
      <c r="O252" s="295">
        <v>6.6107250000000004</v>
      </c>
      <c r="P252" s="295">
        <v>6.5300070000000003</v>
      </c>
      <c r="Q252" s="295">
        <v>6.3550139999999997</v>
      </c>
      <c r="R252" s="295">
        <v>6.3697049999999997</v>
      </c>
      <c r="S252" s="295">
        <v>6.301876</v>
      </c>
      <c r="T252" s="295">
        <v>6.3040830000000003</v>
      </c>
      <c r="U252" s="295">
        <v>6.3062860000000001</v>
      </c>
      <c r="V252" s="295">
        <v>6.3062860000000001</v>
      </c>
      <c r="W252" s="295">
        <v>6.2189899999999998</v>
      </c>
      <c r="X252" s="295">
        <v>6.232081</v>
      </c>
      <c r="Y252" s="295">
        <v>6.241549</v>
      </c>
      <c r="Z252" s="295">
        <v>6.2506820000000003</v>
      </c>
      <c r="AA252" s="295">
        <v>6.2585800000000003</v>
      </c>
      <c r="AB252" s="295">
        <v>6.2671380000000001</v>
      </c>
      <c r="AC252" s="295">
        <v>6.2715930000000002</v>
      </c>
      <c r="AD252" s="295">
        <v>6.1951790000000004</v>
      </c>
      <c r="AE252" s="295">
        <v>6.197953</v>
      </c>
      <c r="AF252" s="295">
        <v>6.2013059999999998</v>
      </c>
      <c r="AG252" s="295">
        <v>6.2061510000000002</v>
      </c>
      <c r="AH252" s="296">
        <v>-9.2650000000000007E-3</v>
      </c>
    </row>
    <row r="253" spans="1:34" ht="15" customHeight="1" x14ac:dyDescent="0.25">
      <c r="A253" s="213" t="s">
        <v>1205</v>
      </c>
      <c r="B253" s="294" t="s">
        <v>1101</v>
      </c>
      <c r="C253" s="295">
        <v>0.90481</v>
      </c>
      <c r="D253" s="295">
        <v>0.88107100000000005</v>
      </c>
      <c r="E253" s="295">
        <v>0.87069200000000002</v>
      </c>
      <c r="F253" s="295">
        <v>0.87605100000000002</v>
      </c>
      <c r="G253" s="295">
        <v>0.879</v>
      </c>
      <c r="H253" s="295">
        <v>0.88542399999999999</v>
      </c>
      <c r="I253" s="295">
        <v>0.88824899999999996</v>
      </c>
      <c r="J253" s="295">
        <v>0.89047699999999996</v>
      </c>
      <c r="K253" s="295">
        <v>0.89277300000000004</v>
      </c>
      <c r="L253" s="295">
        <v>0.89517199999999997</v>
      </c>
      <c r="M253" s="295">
        <v>0.899613</v>
      </c>
      <c r="N253" s="295">
        <v>0.90926399999999996</v>
      </c>
      <c r="O253" s="295">
        <v>0.91255399999999998</v>
      </c>
      <c r="P253" s="295">
        <v>0.91770499999999999</v>
      </c>
      <c r="Q253" s="295">
        <v>0.92390300000000003</v>
      </c>
      <c r="R253" s="295">
        <v>0.92998000000000003</v>
      </c>
      <c r="S253" s="295">
        <v>0.93480099999999999</v>
      </c>
      <c r="T253" s="295">
        <v>0.94000700000000004</v>
      </c>
      <c r="U253" s="295">
        <v>0.94540199999999996</v>
      </c>
      <c r="V253" s="295">
        <v>0.95161099999999998</v>
      </c>
      <c r="W253" s="295">
        <v>0.95842700000000003</v>
      </c>
      <c r="X253" s="295">
        <v>0.96508899999999997</v>
      </c>
      <c r="Y253" s="295">
        <v>0.97315099999999999</v>
      </c>
      <c r="Z253" s="295">
        <v>0.98217600000000005</v>
      </c>
      <c r="AA253" s="295">
        <v>0.99148099999999995</v>
      </c>
      <c r="AB253" s="295">
        <v>1.0054069999999999</v>
      </c>
      <c r="AC253" s="295">
        <v>1.010229</v>
      </c>
      <c r="AD253" s="295">
        <v>1.0276369999999999</v>
      </c>
      <c r="AE253" s="295">
        <v>1.037398</v>
      </c>
      <c r="AF253" s="295">
        <v>1.047914</v>
      </c>
      <c r="AG253" s="295">
        <v>1.058575</v>
      </c>
      <c r="AH253" s="296">
        <v>5.2459999999999998E-3</v>
      </c>
    </row>
    <row r="254" spans="1:34" ht="15" customHeight="1" x14ac:dyDescent="0.25">
      <c r="A254" s="213" t="s">
        <v>1206</v>
      </c>
      <c r="B254" s="294" t="s">
        <v>1207</v>
      </c>
      <c r="C254" s="295">
        <v>9.1081479999999999</v>
      </c>
      <c r="D254" s="295">
        <v>9.7626390000000001</v>
      </c>
      <c r="E254" s="295">
        <v>10.308869</v>
      </c>
      <c r="F254" s="295">
        <v>11.190448</v>
      </c>
      <c r="G254" s="295">
        <v>12.23054</v>
      </c>
      <c r="H254" s="295">
        <v>12.740478</v>
      </c>
      <c r="I254" s="295">
        <v>12.923757999999999</v>
      </c>
      <c r="J254" s="295">
        <v>13.253511</v>
      </c>
      <c r="K254" s="295">
        <v>13.441808</v>
      </c>
      <c r="L254" s="295">
        <v>13.748329999999999</v>
      </c>
      <c r="M254" s="295">
        <v>14.165887</v>
      </c>
      <c r="N254" s="295">
        <v>14.420394</v>
      </c>
      <c r="O254" s="295">
        <v>14.627793</v>
      </c>
      <c r="P254" s="295">
        <v>14.853597000000001</v>
      </c>
      <c r="Q254" s="295">
        <v>15.160417000000001</v>
      </c>
      <c r="R254" s="295">
        <v>15.597116</v>
      </c>
      <c r="S254" s="295">
        <v>15.839375</v>
      </c>
      <c r="T254" s="295">
        <v>16.030045000000001</v>
      </c>
      <c r="U254" s="295">
        <v>16.214856999999999</v>
      </c>
      <c r="V254" s="295">
        <v>16.302208</v>
      </c>
      <c r="W254" s="295">
        <v>16.415929999999999</v>
      </c>
      <c r="X254" s="295">
        <v>16.621044000000001</v>
      </c>
      <c r="Y254" s="295">
        <v>16.755327000000001</v>
      </c>
      <c r="Z254" s="295">
        <v>16.937588000000002</v>
      </c>
      <c r="AA254" s="295">
        <v>17.116285000000001</v>
      </c>
      <c r="AB254" s="295">
        <v>17.383865</v>
      </c>
      <c r="AC254" s="295">
        <v>17.679152999999999</v>
      </c>
      <c r="AD254" s="295">
        <v>18.023921999999999</v>
      </c>
      <c r="AE254" s="295">
        <v>18.248757999999999</v>
      </c>
      <c r="AF254" s="295">
        <v>18.506637999999999</v>
      </c>
      <c r="AG254" s="295">
        <v>18.751625000000001</v>
      </c>
      <c r="AH254" s="296">
        <v>2.4362000000000002E-2</v>
      </c>
    </row>
    <row r="255" spans="1:34" ht="15" customHeight="1" x14ac:dyDescent="0.25">
      <c r="A255" s="213" t="s">
        <v>1208</v>
      </c>
      <c r="B255" s="294" t="s">
        <v>1126</v>
      </c>
      <c r="C255" s="295">
        <v>3.8200000000000002E-4</v>
      </c>
      <c r="D255" s="295">
        <v>4.8099999999999998E-4</v>
      </c>
      <c r="E255" s="295">
        <v>5.8100000000000003E-4</v>
      </c>
      <c r="F255" s="295">
        <v>6.7900000000000002E-4</v>
      </c>
      <c r="G255" s="295">
        <v>7.76E-4</v>
      </c>
      <c r="H255" s="295">
        <v>8.7399999999999999E-4</v>
      </c>
      <c r="I255" s="295">
        <v>9.6599999999999995E-4</v>
      </c>
      <c r="J255" s="295">
        <v>1.057E-3</v>
      </c>
      <c r="K255" s="295">
        <v>1.1479999999999999E-3</v>
      </c>
      <c r="L255" s="295">
        <v>1.24E-3</v>
      </c>
      <c r="M255" s="295">
        <v>1.3359999999999999E-3</v>
      </c>
      <c r="N255" s="295">
        <v>1.4319999999999999E-3</v>
      </c>
      <c r="O255" s="295">
        <v>1.5280000000000001E-3</v>
      </c>
      <c r="P255" s="295">
        <v>1.6249999999999999E-3</v>
      </c>
      <c r="Q255" s="295">
        <v>1.7260000000000001E-3</v>
      </c>
      <c r="R255" s="295">
        <v>1.833E-3</v>
      </c>
      <c r="S255" s="295">
        <v>1.9430000000000001E-3</v>
      </c>
      <c r="T255" s="295">
        <v>2.0600000000000002E-3</v>
      </c>
      <c r="U255" s="295">
        <v>2.1849999999999999E-3</v>
      </c>
      <c r="V255" s="295">
        <v>2.3140000000000001E-3</v>
      </c>
      <c r="W255" s="295">
        <v>2.4489999999999998E-3</v>
      </c>
      <c r="X255" s="295">
        <v>2.5899999999999999E-3</v>
      </c>
      <c r="Y255" s="295">
        <v>2.7430000000000002E-3</v>
      </c>
      <c r="Z255" s="295">
        <v>2.921E-3</v>
      </c>
      <c r="AA255" s="295">
        <v>3.075E-3</v>
      </c>
      <c r="AB255" s="295">
        <v>3.2330000000000002E-3</v>
      </c>
      <c r="AC255" s="295">
        <v>3.3969999999999998E-3</v>
      </c>
      <c r="AD255" s="295">
        <v>3.5669999999999999E-3</v>
      </c>
      <c r="AE255" s="295">
        <v>3.7460000000000002E-3</v>
      </c>
      <c r="AF255" s="295">
        <v>3.9329999999999999E-3</v>
      </c>
      <c r="AG255" s="295">
        <v>4.1289999999999999E-3</v>
      </c>
      <c r="AH255" s="296">
        <v>8.2608000000000001E-2</v>
      </c>
    </row>
    <row r="256" spans="1:34" ht="15" customHeight="1" x14ac:dyDescent="0.25">
      <c r="A256" s="213" t="s">
        <v>1209</v>
      </c>
      <c r="B256" s="294" t="s">
        <v>1178</v>
      </c>
      <c r="C256" s="295">
        <v>0.118079</v>
      </c>
      <c r="D256" s="295">
        <v>0.118079</v>
      </c>
      <c r="E256" s="295">
        <v>0.118079</v>
      </c>
      <c r="F256" s="295">
        <v>0.118079</v>
      </c>
      <c r="G256" s="295">
        <v>0.118079</v>
      </c>
      <c r="H256" s="295">
        <v>0.118079</v>
      </c>
      <c r="I256" s="295">
        <v>0.118079</v>
      </c>
      <c r="J256" s="295">
        <v>0.118079</v>
      </c>
      <c r="K256" s="295">
        <v>0.118079</v>
      </c>
      <c r="L256" s="295">
        <v>0.118079</v>
      </c>
      <c r="M256" s="295">
        <v>0.118079</v>
      </c>
      <c r="N256" s="295">
        <v>0.118079</v>
      </c>
      <c r="O256" s="295">
        <v>0.118079</v>
      </c>
      <c r="P256" s="295">
        <v>0.118079</v>
      </c>
      <c r="Q256" s="295">
        <v>0.118079</v>
      </c>
      <c r="R256" s="295">
        <v>0.118079</v>
      </c>
      <c r="S256" s="295">
        <v>0.118079</v>
      </c>
      <c r="T256" s="295">
        <v>0.118079</v>
      </c>
      <c r="U256" s="295">
        <v>0.118079</v>
      </c>
      <c r="V256" s="295">
        <v>0.118079</v>
      </c>
      <c r="W256" s="295">
        <v>0.118079</v>
      </c>
      <c r="X256" s="295">
        <v>0.118079</v>
      </c>
      <c r="Y256" s="295">
        <v>0.118079</v>
      </c>
      <c r="Z256" s="295">
        <v>0.118079</v>
      </c>
      <c r="AA256" s="295">
        <v>0.118079</v>
      </c>
      <c r="AB256" s="295">
        <v>0.118079</v>
      </c>
      <c r="AC256" s="295">
        <v>0.118079</v>
      </c>
      <c r="AD256" s="295">
        <v>0.118079</v>
      </c>
      <c r="AE256" s="295">
        <v>0.118079</v>
      </c>
      <c r="AF256" s="295">
        <v>0.118079</v>
      </c>
      <c r="AG256" s="295">
        <v>0.118079</v>
      </c>
      <c r="AH256" s="296">
        <v>0</v>
      </c>
    </row>
    <row r="257" spans="1:34" ht="15" customHeight="1" x14ac:dyDescent="0.25">
      <c r="A257" s="213" t="s">
        <v>1210</v>
      </c>
      <c r="B257" s="294" t="s">
        <v>1180</v>
      </c>
      <c r="C257" s="295">
        <v>0.15588199999999999</v>
      </c>
      <c r="D257" s="295">
        <v>0.16298099999999999</v>
      </c>
      <c r="E257" s="295">
        <v>0.15206</v>
      </c>
      <c r="F257" s="295">
        <v>0.14682799999999999</v>
      </c>
      <c r="G257" s="295">
        <v>0.153588</v>
      </c>
      <c r="H257" s="295">
        <v>0.144208</v>
      </c>
      <c r="I257" s="295">
        <v>0.14854999999999999</v>
      </c>
      <c r="J257" s="295">
        <v>0.162048</v>
      </c>
      <c r="K257" s="295">
        <v>0.16949600000000001</v>
      </c>
      <c r="L257" s="295">
        <v>0.16695599999999999</v>
      </c>
      <c r="M257" s="295">
        <v>0.17585999999999999</v>
      </c>
      <c r="N257" s="295">
        <v>0.16561200000000001</v>
      </c>
      <c r="O257" s="295">
        <v>0.17463500000000001</v>
      </c>
      <c r="P257" s="295">
        <v>0.17275299999999999</v>
      </c>
      <c r="Q257" s="295">
        <v>0.18065000000000001</v>
      </c>
      <c r="R257" s="295">
        <v>0.178783</v>
      </c>
      <c r="S257" s="295">
        <v>0.17402699999999999</v>
      </c>
      <c r="T257" s="295">
        <v>0.17155100000000001</v>
      </c>
      <c r="U257" s="295">
        <v>0.170124</v>
      </c>
      <c r="V257" s="295">
        <v>0.170905</v>
      </c>
      <c r="W257" s="295">
        <v>0.16877600000000001</v>
      </c>
      <c r="X257" s="295">
        <v>0.16549</v>
      </c>
      <c r="Y257" s="295">
        <v>0.162276</v>
      </c>
      <c r="Z257" s="295">
        <v>0.16092799999999999</v>
      </c>
      <c r="AA257" s="295">
        <v>0.15962399999999999</v>
      </c>
      <c r="AB257" s="295">
        <v>0.15753800000000001</v>
      </c>
      <c r="AC257" s="295">
        <v>0.15620100000000001</v>
      </c>
      <c r="AD257" s="295">
        <v>0.15485699999999999</v>
      </c>
      <c r="AE257" s="295">
        <v>0.154442</v>
      </c>
      <c r="AF257" s="295">
        <v>0.15013199999999999</v>
      </c>
      <c r="AG257" s="295">
        <v>0.14896100000000001</v>
      </c>
      <c r="AH257" s="296">
        <v>-1.513E-3</v>
      </c>
    </row>
    <row r="258" spans="1:34" ht="15" customHeight="1" x14ac:dyDescent="0.2">
      <c r="A258" s="213" t="s">
        <v>1211</v>
      </c>
      <c r="B258" s="204" t="s">
        <v>179</v>
      </c>
      <c r="C258" s="205">
        <v>92.924210000000002</v>
      </c>
      <c r="D258" s="205">
        <v>95.101814000000005</v>
      </c>
      <c r="E258" s="205">
        <v>97.008933999999996</v>
      </c>
      <c r="F258" s="205">
        <v>97.734245000000001</v>
      </c>
      <c r="G258" s="205">
        <v>98.203400000000002</v>
      </c>
      <c r="H258" s="205">
        <v>98.448975000000004</v>
      </c>
      <c r="I258" s="205">
        <v>98.200760000000002</v>
      </c>
      <c r="J258" s="205">
        <v>98.086464000000007</v>
      </c>
      <c r="K258" s="205">
        <v>98.181740000000005</v>
      </c>
      <c r="L258" s="205">
        <v>98.327309</v>
      </c>
      <c r="M258" s="205">
        <v>98.564751000000001</v>
      </c>
      <c r="N258" s="205">
        <v>98.846885999999998</v>
      </c>
      <c r="O258" s="205">
        <v>99.012459000000007</v>
      </c>
      <c r="P258" s="205">
        <v>99.244118</v>
      </c>
      <c r="Q258" s="205">
        <v>99.597244000000003</v>
      </c>
      <c r="R258" s="205">
        <v>99.993195</v>
      </c>
      <c r="S258" s="205">
        <v>100.350014</v>
      </c>
      <c r="T258" s="205">
        <v>100.763313</v>
      </c>
      <c r="U258" s="205">
        <v>101.166237</v>
      </c>
      <c r="V258" s="205">
        <v>101.588753</v>
      </c>
      <c r="W258" s="205">
        <v>101.941833</v>
      </c>
      <c r="X258" s="205">
        <v>102.433891</v>
      </c>
      <c r="Y258" s="205">
        <v>103.094162</v>
      </c>
      <c r="Z258" s="205">
        <v>103.811378</v>
      </c>
      <c r="AA258" s="205">
        <v>104.417542</v>
      </c>
      <c r="AB258" s="205">
        <v>105.01915700000001</v>
      </c>
      <c r="AC258" s="205">
        <v>105.672478</v>
      </c>
      <c r="AD258" s="205">
        <v>106.336647</v>
      </c>
      <c r="AE258" s="205">
        <v>107.07106</v>
      </c>
      <c r="AF258" s="205">
        <v>107.853683</v>
      </c>
      <c r="AG258" s="205">
        <v>108.664108</v>
      </c>
      <c r="AH258" s="206">
        <v>5.2300000000000003E-3</v>
      </c>
    </row>
    <row r="260" spans="1:34" ht="15" customHeight="1" x14ac:dyDescent="0.2">
      <c r="B260" s="204" t="s">
        <v>1212</v>
      </c>
    </row>
    <row r="261" spans="1:34" ht="15" customHeight="1" x14ac:dyDescent="0.25">
      <c r="A261" s="213" t="s">
        <v>1213</v>
      </c>
      <c r="B261" s="294" t="s">
        <v>1214</v>
      </c>
      <c r="C261" s="295">
        <v>69.642639000000003</v>
      </c>
      <c r="D261" s="295">
        <v>71.719673</v>
      </c>
      <c r="E261" s="295">
        <v>73.092110000000005</v>
      </c>
      <c r="F261" s="295">
        <v>74.005936000000005</v>
      </c>
      <c r="G261" s="295">
        <v>74.672591999999995</v>
      </c>
      <c r="H261" s="295">
        <v>75.296599999999998</v>
      </c>
      <c r="I261" s="295">
        <v>75.540526999999997</v>
      </c>
      <c r="J261" s="295">
        <v>75.564460999999994</v>
      </c>
      <c r="K261" s="295">
        <v>75.669899000000001</v>
      </c>
      <c r="L261" s="295">
        <v>75.779151999999996</v>
      </c>
      <c r="M261" s="295">
        <v>75.935905000000005</v>
      </c>
      <c r="N261" s="295">
        <v>76.131409000000005</v>
      </c>
      <c r="O261" s="295">
        <v>76.286429999999996</v>
      </c>
      <c r="P261" s="295">
        <v>76.473365999999999</v>
      </c>
      <c r="Q261" s="295">
        <v>76.777184000000005</v>
      </c>
      <c r="R261" s="295">
        <v>77.075432000000006</v>
      </c>
      <c r="S261" s="295">
        <v>77.341431</v>
      </c>
      <c r="T261" s="295">
        <v>77.645325</v>
      </c>
      <c r="U261" s="295">
        <v>77.976973999999998</v>
      </c>
      <c r="V261" s="295">
        <v>78.320694000000003</v>
      </c>
      <c r="W261" s="295">
        <v>78.603950999999995</v>
      </c>
      <c r="X261" s="295">
        <v>78.970551</v>
      </c>
      <c r="Y261" s="295">
        <v>79.480568000000005</v>
      </c>
      <c r="Z261" s="295">
        <v>80.03904</v>
      </c>
      <c r="AA261" s="295">
        <v>80.511878999999993</v>
      </c>
      <c r="AB261" s="295">
        <v>80.981239000000002</v>
      </c>
      <c r="AC261" s="295">
        <v>81.477080999999998</v>
      </c>
      <c r="AD261" s="295">
        <v>81.972458000000003</v>
      </c>
      <c r="AE261" s="295">
        <v>82.492958000000002</v>
      </c>
      <c r="AF261" s="295">
        <v>83.066078000000005</v>
      </c>
      <c r="AG261" s="295">
        <v>83.685554999999994</v>
      </c>
      <c r="AH261" s="296">
        <v>6.1419999999999999E-3</v>
      </c>
    </row>
    <row r="262" spans="1:34" ht="15" customHeight="1" x14ac:dyDescent="0.25">
      <c r="A262" s="213" t="s">
        <v>1215</v>
      </c>
      <c r="B262" s="294" t="s">
        <v>1216</v>
      </c>
      <c r="C262" s="295">
        <v>92.924210000000002</v>
      </c>
      <c r="D262" s="295">
        <v>95.101814000000005</v>
      </c>
      <c r="E262" s="295">
        <v>97.008933999999996</v>
      </c>
      <c r="F262" s="295">
        <v>97.734245000000001</v>
      </c>
      <c r="G262" s="295">
        <v>98.203400000000002</v>
      </c>
      <c r="H262" s="295">
        <v>98.448975000000004</v>
      </c>
      <c r="I262" s="295">
        <v>98.200760000000002</v>
      </c>
      <c r="J262" s="295">
        <v>98.086464000000007</v>
      </c>
      <c r="K262" s="295">
        <v>98.181740000000005</v>
      </c>
      <c r="L262" s="295">
        <v>98.327309</v>
      </c>
      <c r="M262" s="295">
        <v>98.564751000000001</v>
      </c>
      <c r="N262" s="295">
        <v>98.846885999999998</v>
      </c>
      <c r="O262" s="295">
        <v>99.012459000000007</v>
      </c>
      <c r="P262" s="295">
        <v>99.244118</v>
      </c>
      <c r="Q262" s="295">
        <v>99.597244000000003</v>
      </c>
      <c r="R262" s="295">
        <v>99.993195</v>
      </c>
      <c r="S262" s="295">
        <v>100.350014</v>
      </c>
      <c r="T262" s="295">
        <v>100.763313</v>
      </c>
      <c r="U262" s="295">
        <v>101.166237</v>
      </c>
      <c r="V262" s="295">
        <v>101.588753</v>
      </c>
      <c r="W262" s="295">
        <v>101.941833</v>
      </c>
      <c r="X262" s="295">
        <v>102.433891</v>
      </c>
      <c r="Y262" s="295">
        <v>103.094162</v>
      </c>
      <c r="Z262" s="295">
        <v>103.811378</v>
      </c>
      <c r="AA262" s="295">
        <v>104.417542</v>
      </c>
      <c r="AB262" s="295">
        <v>105.01915700000001</v>
      </c>
      <c r="AC262" s="295">
        <v>105.672478</v>
      </c>
      <c r="AD262" s="295">
        <v>106.336647</v>
      </c>
      <c r="AE262" s="295">
        <v>107.07106</v>
      </c>
      <c r="AF262" s="295">
        <v>107.853683</v>
      </c>
      <c r="AG262" s="295">
        <v>108.664108</v>
      </c>
      <c r="AH262" s="296">
        <v>5.2300000000000003E-3</v>
      </c>
    </row>
    <row r="263" spans="1:34" ht="15" customHeight="1" x14ac:dyDescent="0.25">
      <c r="A263" s="213" t="s">
        <v>1217</v>
      </c>
      <c r="B263" s="294" t="s">
        <v>1218</v>
      </c>
      <c r="C263" s="295">
        <v>1.082012</v>
      </c>
      <c r="D263" s="295">
        <v>1.18085</v>
      </c>
      <c r="E263" s="295">
        <v>1.168698</v>
      </c>
      <c r="F263" s="295">
        <v>1.171079</v>
      </c>
      <c r="G263" s="295">
        <v>1.1687069999999999</v>
      </c>
      <c r="H263" s="295">
        <v>1.1708069999999999</v>
      </c>
      <c r="I263" s="295">
        <v>1.1708879999999999</v>
      </c>
      <c r="J263" s="295">
        <v>1.1704870000000001</v>
      </c>
      <c r="K263" s="295">
        <v>1.170139</v>
      </c>
      <c r="L263" s="295">
        <v>1.1690830000000001</v>
      </c>
      <c r="M263" s="295">
        <v>1.1689179999999999</v>
      </c>
      <c r="N263" s="295">
        <v>1.169257</v>
      </c>
      <c r="O263" s="295">
        <v>1.170024</v>
      </c>
      <c r="P263" s="295">
        <v>1.1725810000000001</v>
      </c>
      <c r="Q263" s="295">
        <v>1.1763079999999999</v>
      </c>
      <c r="R263" s="295">
        <v>1.1807160000000001</v>
      </c>
      <c r="S263" s="295">
        <v>1.1834150000000001</v>
      </c>
      <c r="T263" s="295">
        <v>1.1863669999999999</v>
      </c>
      <c r="U263" s="295">
        <v>1.1898690000000001</v>
      </c>
      <c r="V263" s="295">
        <v>1.1944680000000001</v>
      </c>
      <c r="W263" s="295">
        <v>1.1995899999999999</v>
      </c>
      <c r="X263" s="295">
        <v>1.2043140000000001</v>
      </c>
      <c r="Y263" s="295">
        <v>1.210356</v>
      </c>
      <c r="Z263" s="295">
        <v>1.21739</v>
      </c>
      <c r="AA263" s="295">
        <v>1.2247809999999999</v>
      </c>
      <c r="AB263" s="295">
        <v>1.232083</v>
      </c>
      <c r="AC263" s="295">
        <v>1.239587</v>
      </c>
      <c r="AD263" s="295">
        <v>1.247422</v>
      </c>
      <c r="AE263" s="295">
        <v>1.2558940000000001</v>
      </c>
      <c r="AF263" s="295">
        <v>1.265104</v>
      </c>
      <c r="AG263" s="295">
        <v>1.27444</v>
      </c>
      <c r="AH263" s="296">
        <v>5.4710000000000002E-3</v>
      </c>
    </row>
    <row r="264" spans="1:34" ht="15" customHeight="1" x14ac:dyDescent="0.25">
      <c r="A264" s="213" t="s">
        <v>1219</v>
      </c>
      <c r="B264" s="294" t="s">
        <v>1220</v>
      </c>
      <c r="C264" s="295">
        <v>330.40802000000002</v>
      </c>
      <c r="D264" s="295">
        <v>332.66256700000002</v>
      </c>
      <c r="E264" s="295">
        <v>334.98495500000001</v>
      </c>
      <c r="F264" s="295">
        <v>337.28607199999999</v>
      </c>
      <c r="G264" s="295">
        <v>339.56256100000002</v>
      </c>
      <c r="H264" s="295">
        <v>341.81274400000001</v>
      </c>
      <c r="I264" s="295">
        <v>344.037781</v>
      </c>
      <c r="J264" s="295">
        <v>346.23037699999998</v>
      </c>
      <c r="K264" s="295">
        <v>348.38626099999999</v>
      </c>
      <c r="L264" s="295">
        <v>350.510986</v>
      </c>
      <c r="M264" s="295">
        <v>352.59774800000002</v>
      </c>
      <c r="N264" s="295">
        <v>354.63107300000001</v>
      </c>
      <c r="O264" s="295">
        <v>356.61285400000003</v>
      </c>
      <c r="P264" s="295">
        <v>358.54745500000001</v>
      </c>
      <c r="Q264" s="295">
        <v>360.43542500000001</v>
      </c>
      <c r="R264" s="295">
        <v>362.27773999999999</v>
      </c>
      <c r="S264" s="295">
        <v>364.07598899999999</v>
      </c>
      <c r="T264" s="295">
        <v>365.83209199999999</v>
      </c>
      <c r="U264" s="295">
        <v>367.54803500000003</v>
      </c>
      <c r="V264" s="295">
        <v>369.22619600000002</v>
      </c>
      <c r="W264" s="295">
        <v>370.86914100000001</v>
      </c>
      <c r="X264" s="295">
        <v>372.47976699999998</v>
      </c>
      <c r="Y264" s="295">
        <v>374.06146200000001</v>
      </c>
      <c r="Z264" s="295">
        <v>375.61776700000001</v>
      </c>
      <c r="AA264" s="295">
        <v>377.15304600000002</v>
      </c>
      <c r="AB264" s="295">
        <v>378.67199699999998</v>
      </c>
      <c r="AC264" s="295">
        <v>380.17904700000003</v>
      </c>
      <c r="AD264" s="295">
        <v>381.677277</v>
      </c>
      <c r="AE264" s="295">
        <v>383.17071499999997</v>
      </c>
      <c r="AF264" s="295">
        <v>384.66336100000001</v>
      </c>
      <c r="AG264" s="295">
        <v>386.15859999999998</v>
      </c>
      <c r="AH264" s="296">
        <v>5.2110000000000004E-3</v>
      </c>
    </row>
    <row r="265" spans="1:34" ht="15" customHeight="1" x14ac:dyDescent="0.25">
      <c r="A265" s="213" t="s">
        <v>1221</v>
      </c>
      <c r="B265" s="294" t="s">
        <v>1222</v>
      </c>
      <c r="C265" s="297">
        <v>18171.386718999998</v>
      </c>
      <c r="D265" s="297">
        <v>18739.230468999998</v>
      </c>
      <c r="E265" s="297">
        <v>19535.0625</v>
      </c>
      <c r="F265" s="297">
        <v>20170.175781000002</v>
      </c>
      <c r="G265" s="297">
        <v>20682.980468999998</v>
      </c>
      <c r="H265" s="297">
        <v>21192.648438</v>
      </c>
      <c r="I265" s="297">
        <v>21653.730468999998</v>
      </c>
      <c r="J265" s="297">
        <v>22078.480468999998</v>
      </c>
      <c r="K265" s="297">
        <v>22477.355468999998</v>
      </c>
      <c r="L265" s="297">
        <v>22858.132812</v>
      </c>
      <c r="M265" s="297">
        <v>23288.818359000001</v>
      </c>
      <c r="N265" s="297">
        <v>23759.802734000001</v>
      </c>
      <c r="O265" s="297">
        <v>24256.835938</v>
      </c>
      <c r="P265" s="297">
        <v>24769.533202999999</v>
      </c>
      <c r="Q265" s="297">
        <v>25310.607422000001</v>
      </c>
      <c r="R265" s="297">
        <v>25841.998047000001</v>
      </c>
      <c r="S265" s="297">
        <v>26331.703125</v>
      </c>
      <c r="T265" s="297">
        <v>26809.158202999999</v>
      </c>
      <c r="U265" s="297">
        <v>27307.626952999999</v>
      </c>
      <c r="V265" s="297">
        <v>27826.453125</v>
      </c>
      <c r="W265" s="297">
        <v>28370.613281000002</v>
      </c>
      <c r="X265" s="297">
        <v>28925.115234000001</v>
      </c>
      <c r="Y265" s="297">
        <v>29509.078125</v>
      </c>
      <c r="Z265" s="297">
        <v>30115.902343999998</v>
      </c>
      <c r="AA265" s="297">
        <v>30722.546875</v>
      </c>
      <c r="AB265" s="297">
        <v>31317.330077999999</v>
      </c>
      <c r="AC265" s="297">
        <v>31908.9375</v>
      </c>
      <c r="AD265" s="297">
        <v>32501.925781000002</v>
      </c>
      <c r="AE265" s="297">
        <v>33120.199219000002</v>
      </c>
      <c r="AF265" s="297">
        <v>33745.574219000002</v>
      </c>
      <c r="AG265" s="297">
        <v>34364.589844000002</v>
      </c>
      <c r="AH265" s="296">
        <v>2.1465999999999999E-2</v>
      </c>
    </row>
    <row r="266" spans="1:34" ht="15" customHeight="1" x14ac:dyDescent="0.2">
      <c r="B266" s="204" t="s">
        <v>1223</v>
      </c>
    </row>
    <row r="267" spans="1:34" ht="15" customHeight="1" thickBot="1" x14ac:dyDescent="0.3">
      <c r="A267" s="213" t="s">
        <v>1224</v>
      </c>
      <c r="B267" s="294" t="s">
        <v>1225</v>
      </c>
      <c r="C267" s="298">
        <v>4562.533203</v>
      </c>
      <c r="D267" s="298">
        <v>4725.0302730000003</v>
      </c>
      <c r="E267" s="298">
        <v>4844.7026370000003</v>
      </c>
      <c r="F267" s="298">
        <v>4768.6391599999997</v>
      </c>
      <c r="G267" s="298">
        <v>4687.7612300000001</v>
      </c>
      <c r="H267" s="298">
        <v>4622.8789059999999</v>
      </c>
      <c r="I267" s="298">
        <v>4649.9047849999997</v>
      </c>
      <c r="J267" s="298">
        <v>4615.0253910000001</v>
      </c>
      <c r="K267" s="298">
        <v>4606.2368159999996</v>
      </c>
      <c r="L267" s="298">
        <v>4601.1010740000002</v>
      </c>
      <c r="M267" s="298">
        <v>4583.5478519999997</v>
      </c>
      <c r="N267" s="298">
        <v>4570.6992190000001</v>
      </c>
      <c r="O267" s="298">
        <v>4558.2045900000003</v>
      </c>
      <c r="P267" s="298">
        <v>4558.0371089999999</v>
      </c>
      <c r="Q267" s="298">
        <v>4565.2216799999997</v>
      </c>
      <c r="R267" s="298">
        <v>4552.8789059999999</v>
      </c>
      <c r="S267" s="298">
        <v>4559.2036129999997</v>
      </c>
      <c r="T267" s="298">
        <v>4563.6484380000002</v>
      </c>
      <c r="U267" s="298">
        <v>4564.5971680000002</v>
      </c>
      <c r="V267" s="298">
        <v>4578.9243159999996</v>
      </c>
      <c r="W267" s="298">
        <v>4595.7509769999997</v>
      </c>
      <c r="X267" s="298">
        <v>4609.673828</v>
      </c>
      <c r="Y267" s="298">
        <v>4635.0380859999996</v>
      </c>
      <c r="Z267" s="298">
        <v>4660.1601559999999</v>
      </c>
      <c r="AA267" s="298">
        <v>4679.6904299999997</v>
      </c>
      <c r="AB267" s="298">
        <v>4691.0751950000003</v>
      </c>
      <c r="AC267" s="298">
        <v>4707.0844729999999</v>
      </c>
      <c r="AD267" s="298">
        <v>4725.8671880000002</v>
      </c>
      <c r="AE267" s="298">
        <v>4753.484375</v>
      </c>
      <c r="AF267" s="298">
        <v>4779.4003910000001</v>
      </c>
      <c r="AG267" s="298">
        <v>4806.9130859999996</v>
      </c>
      <c r="AH267" s="296">
        <v>1.7409999999999999E-3</v>
      </c>
    </row>
    <row r="268" spans="1:34" ht="15" customHeight="1" x14ac:dyDescent="0.2">
      <c r="B268" s="305" t="s">
        <v>1226</v>
      </c>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c r="AD268" s="305"/>
      <c r="AE268" s="305"/>
      <c r="AF268" s="305"/>
      <c r="AG268" s="305"/>
      <c r="AH268" s="305"/>
    </row>
    <row r="269" spans="1:34" ht="15" customHeight="1" x14ac:dyDescent="0.2">
      <c r="B269" s="208" t="s">
        <v>1227</v>
      </c>
    </row>
    <row r="270" spans="1:34" ht="15" customHeight="1" x14ac:dyDescent="0.2">
      <c r="B270" s="208" t="s">
        <v>1228</v>
      </c>
    </row>
    <row r="271" spans="1:34" ht="15" customHeight="1" x14ac:dyDescent="0.2">
      <c r="B271" s="208" t="s">
        <v>1229</v>
      </c>
    </row>
    <row r="272" spans="1:34" ht="15" customHeight="1" x14ac:dyDescent="0.2">
      <c r="B272" s="208" t="s">
        <v>1230</v>
      </c>
    </row>
    <row r="273" spans="2:2" ht="15" customHeight="1" x14ac:dyDescent="0.2">
      <c r="B273" s="208" t="s">
        <v>1231</v>
      </c>
    </row>
    <row r="274" spans="2:2" ht="15" customHeight="1" x14ac:dyDescent="0.2">
      <c r="B274" s="208" t="s">
        <v>1232</v>
      </c>
    </row>
    <row r="275" spans="2:2" ht="15" customHeight="1" x14ac:dyDescent="0.2">
      <c r="B275" s="208" t="s">
        <v>1233</v>
      </c>
    </row>
    <row r="276" spans="2:2" ht="15" customHeight="1" x14ac:dyDescent="0.2">
      <c r="B276" s="208" t="s">
        <v>1234</v>
      </c>
    </row>
    <row r="277" spans="2:2" ht="15" customHeight="1" x14ac:dyDescent="0.2">
      <c r="B277" s="208" t="s">
        <v>1235</v>
      </c>
    </row>
    <row r="278" spans="2:2" ht="15" customHeight="1" x14ac:dyDescent="0.2">
      <c r="B278" s="208" t="s">
        <v>1236</v>
      </c>
    </row>
    <row r="279" spans="2:2" ht="15" customHeight="1" x14ac:dyDescent="0.2">
      <c r="B279" s="208" t="s">
        <v>1237</v>
      </c>
    </row>
    <row r="280" spans="2:2" ht="15" customHeight="1" x14ac:dyDescent="0.2">
      <c r="B280" s="208" t="s">
        <v>1238</v>
      </c>
    </row>
    <row r="281" spans="2:2" ht="15" customHeight="1" x14ac:dyDescent="0.2">
      <c r="B281" s="208" t="s">
        <v>1239</v>
      </c>
    </row>
    <row r="282" spans="2:2" ht="15" customHeight="1" x14ac:dyDescent="0.2">
      <c r="B282" s="208" t="s">
        <v>1240</v>
      </c>
    </row>
    <row r="283" spans="2:2" ht="15" customHeight="1" x14ac:dyDescent="0.2">
      <c r="B283" s="208" t="s">
        <v>1241</v>
      </c>
    </row>
    <row r="284" spans="2:2" ht="15" customHeight="1" x14ac:dyDescent="0.2">
      <c r="B284" s="208" t="s">
        <v>1242</v>
      </c>
    </row>
    <row r="285" spans="2:2" ht="15" customHeight="1" x14ac:dyDescent="0.2">
      <c r="B285" s="208" t="s">
        <v>1243</v>
      </c>
    </row>
    <row r="286" spans="2:2" ht="15" customHeight="1" x14ac:dyDescent="0.2">
      <c r="B286" s="208" t="s">
        <v>1244</v>
      </c>
    </row>
    <row r="287" spans="2:2" ht="15" customHeight="1" x14ac:dyDescent="0.2">
      <c r="B287" s="208" t="s">
        <v>1245</v>
      </c>
    </row>
    <row r="288" spans="2:2" ht="15" customHeight="1" x14ac:dyDescent="0.2">
      <c r="B288" s="208" t="s">
        <v>1246</v>
      </c>
    </row>
    <row r="289" spans="2:2" ht="15" customHeight="1" x14ac:dyDescent="0.2">
      <c r="B289" s="208" t="s">
        <v>1247</v>
      </c>
    </row>
    <row r="290" spans="2:2" ht="15" customHeight="1" x14ac:dyDescent="0.2">
      <c r="B290" s="208" t="s">
        <v>1248</v>
      </c>
    </row>
    <row r="291" spans="2:2" ht="15" customHeight="1" x14ac:dyDescent="0.2">
      <c r="B291" s="208" t="s">
        <v>1249</v>
      </c>
    </row>
    <row r="292" spans="2:2" ht="15" customHeight="1" x14ac:dyDescent="0.2">
      <c r="B292" s="208" t="s">
        <v>1250</v>
      </c>
    </row>
    <row r="293" spans="2:2" ht="15" customHeight="1" x14ac:dyDescent="0.2">
      <c r="B293" s="208" t="s">
        <v>1251</v>
      </c>
    </row>
    <row r="294" spans="2:2" ht="15" customHeight="1" x14ac:dyDescent="0.2">
      <c r="B294" s="208" t="s">
        <v>1252</v>
      </c>
    </row>
    <row r="295" spans="2:2" ht="15" customHeight="1" x14ac:dyDescent="0.2">
      <c r="B295" s="208" t="s">
        <v>202</v>
      </c>
    </row>
    <row r="296" spans="2:2" ht="15" customHeight="1" x14ac:dyDescent="0.2">
      <c r="B296" s="208" t="s">
        <v>1253</v>
      </c>
    </row>
    <row r="297" spans="2:2" ht="15" customHeight="1" x14ac:dyDescent="0.2">
      <c r="B297" s="208" t="s">
        <v>1254</v>
      </c>
    </row>
    <row r="298" spans="2:2" ht="15" customHeight="1" x14ac:dyDescent="0.2">
      <c r="B298" s="208" t="s">
        <v>1255</v>
      </c>
    </row>
    <row r="299" spans="2:2" ht="15" customHeight="1" x14ac:dyDescent="0.2">
      <c r="B299" s="208" t="s">
        <v>1256</v>
      </c>
    </row>
    <row r="300" spans="2:2" ht="15" customHeight="1" x14ac:dyDescent="0.2">
      <c r="B300" s="208" t="s">
        <v>1257</v>
      </c>
    </row>
    <row r="301" spans="2:2" ht="15" customHeight="1" x14ac:dyDescent="0.2">
      <c r="B301" s="208" t="s">
        <v>616</v>
      </c>
    </row>
    <row r="302" spans="2:2" ht="15" customHeight="1" x14ac:dyDescent="0.2">
      <c r="B302" s="208" t="s">
        <v>601</v>
      </c>
    </row>
    <row r="303" spans="2:2" ht="15" customHeight="1" x14ac:dyDescent="0.2">
      <c r="B303" s="208" t="s">
        <v>1258</v>
      </c>
    </row>
    <row r="304" spans="2:2" ht="15" customHeight="1" x14ac:dyDescent="0.2">
      <c r="B304" s="208" t="s">
        <v>1030</v>
      </c>
    </row>
    <row r="305" spans="2:2" ht="15" customHeight="1" x14ac:dyDescent="0.2">
      <c r="B305" s="208" t="s">
        <v>1031</v>
      </c>
    </row>
    <row r="335" spans="1:34" ht="15" customHeight="1" x14ac:dyDescent="0.25">
      <c r="A335" s="213" t="s">
        <v>1259</v>
      </c>
      <c r="B335" s="202" t="s">
        <v>1011</v>
      </c>
      <c r="AH335" s="292" t="s">
        <v>597</v>
      </c>
    </row>
    <row r="336" spans="1:34" ht="15" customHeight="1" x14ac:dyDescent="0.2">
      <c r="B336" s="199" t="s">
        <v>1260</v>
      </c>
      <c r="AH336" s="292" t="s">
        <v>598</v>
      </c>
    </row>
    <row r="337" spans="1:34" ht="15" customHeight="1" x14ac:dyDescent="0.2">
      <c r="B337" s="199" t="s">
        <v>124</v>
      </c>
      <c r="C337" s="222" t="s">
        <v>124</v>
      </c>
      <c r="D337" s="222" t="s">
        <v>124</v>
      </c>
      <c r="E337" s="222" t="s">
        <v>124</v>
      </c>
      <c r="F337" s="222" t="s">
        <v>124</v>
      </c>
      <c r="G337" s="222" t="s">
        <v>124</v>
      </c>
      <c r="H337" s="222" t="s">
        <v>124</v>
      </c>
      <c r="I337" s="222" t="s">
        <v>124</v>
      </c>
      <c r="J337" s="222" t="s">
        <v>124</v>
      </c>
      <c r="K337" s="222" t="s">
        <v>124</v>
      </c>
      <c r="L337" s="222" t="s">
        <v>124</v>
      </c>
      <c r="M337" s="222" t="s">
        <v>124</v>
      </c>
      <c r="N337" s="222" t="s">
        <v>124</v>
      </c>
      <c r="O337" s="222" t="s">
        <v>124</v>
      </c>
      <c r="P337" s="222" t="s">
        <v>124</v>
      </c>
      <c r="Q337" s="222" t="s">
        <v>124</v>
      </c>
      <c r="R337" s="222" t="s">
        <v>124</v>
      </c>
      <c r="S337" s="222" t="s">
        <v>124</v>
      </c>
      <c r="T337" s="222" t="s">
        <v>124</v>
      </c>
      <c r="U337" s="222" t="s">
        <v>124</v>
      </c>
      <c r="V337" s="222" t="s">
        <v>124</v>
      </c>
      <c r="W337" s="222" t="s">
        <v>124</v>
      </c>
      <c r="X337" s="222" t="s">
        <v>124</v>
      </c>
      <c r="Y337" s="222" t="s">
        <v>124</v>
      </c>
      <c r="Z337" s="222" t="s">
        <v>124</v>
      </c>
      <c r="AA337" s="222" t="s">
        <v>124</v>
      </c>
      <c r="AB337" s="222" t="s">
        <v>124</v>
      </c>
      <c r="AC337" s="222" t="s">
        <v>124</v>
      </c>
      <c r="AD337" s="222" t="s">
        <v>124</v>
      </c>
      <c r="AE337" s="222" t="s">
        <v>124</v>
      </c>
      <c r="AF337" s="222" t="s">
        <v>124</v>
      </c>
      <c r="AG337" s="222" t="s">
        <v>124</v>
      </c>
      <c r="AH337" s="292" t="s">
        <v>599</v>
      </c>
    </row>
    <row r="338" spans="1:34" ht="15" customHeight="1" thickBot="1" x14ac:dyDescent="0.25">
      <c r="B338" s="200" t="s">
        <v>1033</v>
      </c>
      <c r="C338" s="200">
        <v>2020</v>
      </c>
      <c r="D338" s="200">
        <v>2021</v>
      </c>
      <c r="E338" s="200">
        <v>2022</v>
      </c>
      <c r="F338" s="200">
        <v>2023</v>
      </c>
      <c r="G338" s="200">
        <v>2024</v>
      </c>
      <c r="H338" s="200">
        <v>2025</v>
      </c>
      <c r="I338" s="200">
        <v>2026</v>
      </c>
      <c r="J338" s="200">
        <v>2027</v>
      </c>
      <c r="K338" s="200">
        <v>2028</v>
      </c>
      <c r="L338" s="200">
        <v>2029</v>
      </c>
      <c r="M338" s="200">
        <v>2030</v>
      </c>
      <c r="N338" s="200">
        <v>2031</v>
      </c>
      <c r="O338" s="200">
        <v>2032</v>
      </c>
      <c r="P338" s="200">
        <v>2033</v>
      </c>
      <c r="Q338" s="200">
        <v>2034</v>
      </c>
      <c r="R338" s="200">
        <v>2035</v>
      </c>
      <c r="S338" s="200">
        <v>2036</v>
      </c>
      <c r="T338" s="200">
        <v>2037</v>
      </c>
      <c r="U338" s="200">
        <v>2038</v>
      </c>
      <c r="V338" s="200">
        <v>2039</v>
      </c>
      <c r="W338" s="200">
        <v>2040</v>
      </c>
      <c r="X338" s="200">
        <v>2041</v>
      </c>
      <c r="Y338" s="200">
        <v>2042</v>
      </c>
      <c r="Z338" s="200">
        <v>2043</v>
      </c>
      <c r="AA338" s="200">
        <v>2044</v>
      </c>
      <c r="AB338" s="200">
        <v>2045</v>
      </c>
      <c r="AC338" s="200">
        <v>2046</v>
      </c>
      <c r="AD338" s="200">
        <v>2047</v>
      </c>
      <c r="AE338" s="200">
        <v>2048</v>
      </c>
      <c r="AF338" s="200">
        <v>2049</v>
      </c>
      <c r="AG338" s="200">
        <v>2050</v>
      </c>
      <c r="AH338" s="293" t="s">
        <v>600</v>
      </c>
    </row>
    <row r="339" spans="1:34" ht="15" customHeight="1" thickTop="1" x14ac:dyDescent="0.2"/>
    <row r="340" spans="1:34" ht="15" customHeight="1" x14ac:dyDescent="0.2">
      <c r="B340" s="204" t="s">
        <v>1034</v>
      </c>
    </row>
    <row r="341" spans="1:34" ht="15" customHeight="1" x14ac:dyDescent="0.25">
      <c r="A341" s="213" t="s">
        <v>1261</v>
      </c>
      <c r="B341" s="294" t="s">
        <v>1036</v>
      </c>
      <c r="C341" s="295">
        <v>17.296467</v>
      </c>
      <c r="D341" s="295">
        <v>17.244969999999999</v>
      </c>
      <c r="E341" s="295">
        <v>17.625685000000001</v>
      </c>
      <c r="F341" s="295">
        <v>17.954712000000001</v>
      </c>
      <c r="G341" s="295">
        <v>18.416067000000002</v>
      </c>
      <c r="H341" s="295">
        <v>18.941322</v>
      </c>
      <c r="I341" s="295">
        <v>19.434629000000001</v>
      </c>
      <c r="J341" s="295">
        <v>19.830193000000001</v>
      </c>
      <c r="K341" s="295">
        <v>20.335965999999999</v>
      </c>
      <c r="L341" s="295">
        <v>20.730618</v>
      </c>
      <c r="M341" s="295">
        <v>21.304586</v>
      </c>
      <c r="N341" s="295">
        <v>21.653576000000001</v>
      </c>
      <c r="O341" s="295">
        <v>22.060241999999999</v>
      </c>
      <c r="P341" s="295">
        <v>22.386769999999999</v>
      </c>
      <c r="Q341" s="295">
        <v>22.654890000000002</v>
      </c>
      <c r="R341" s="295">
        <v>22.894186000000001</v>
      </c>
      <c r="S341" s="295">
        <v>23.147251000000001</v>
      </c>
      <c r="T341" s="295">
        <v>23.386858</v>
      </c>
      <c r="U341" s="295">
        <v>23.652559</v>
      </c>
      <c r="V341" s="295">
        <v>23.875177000000001</v>
      </c>
      <c r="W341" s="295">
        <v>24.15991</v>
      </c>
      <c r="X341" s="295">
        <v>24.450009999999999</v>
      </c>
      <c r="Y341" s="295">
        <v>24.673584000000002</v>
      </c>
      <c r="Z341" s="295">
        <v>24.926960000000001</v>
      </c>
      <c r="AA341" s="295">
        <v>25.129292</v>
      </c>
      <c r="AB341" s="295">
        <v>25.209168999999999</v>
      </c>
      <c r="AC341" s="295">
        <v>25.428142999999999</v>
      </c>
      <c r="AD341" s="295">
        <v>25.672754000000001</v>
      </c>
      <c r="AE341" s="295">
        <v>25.853521000000001</v>
      </c>
      <c r="AF341" s="295">
        <v>26.013168</v>
      </c>
      <c r="AG341" s="295">
        <v>26.161359999999998</v>
      </c>
      <c r="AH341" s="296">
        <v>1.3887999999999999E-2</v>
      </c>
    </row>
    <row r="342" spans="1:34" ht="15" customHeight="1" x14ac:dyDescent="0.25">
      <c r="A342" s="213" t="s">
        <v>1262</v>
      </c>
      <c r="B342" s="294" t="s">
        <v>1058</v>
      </c>
      <c r="C342" s="295">
        <v>17.748362</v>
      </c>
      <c r="D342" s="295">
        <v>17.778863999999999</v>
      </c>
      <c r="E342" s="295">
        <v>18.963369</v>
      </c>
      <c r="F342" s="295">
        <v>20.773458000000002</v>
      </c>
      <c r="G342" s="295">
        <v>21.839068999999999</v>
      </c>
      <c r="H342" s="295">
        <v>22.699041000000001</v>
      </c>
      <c r="I342" s="295">
        <v>23.481902999999999</v>
      </c>
      <c r="J342" s="295">
        <v>23.776160999999998</v>
      </c>
      <c r="K342" s="295">
        <v>24.231667000000002</v>
      </c>
      <c r="L342" s="295">
        <v>24.44117</v>
      </c>
      <c r="M342" s="295">
        <v>24.847829999999998</v>
      </c>
      <c r="N342" s="295">
        <v>25.066272999999999</v>
      </c>
      <c r="O342" s="295">
        <v>25.340609000000001</v>
      </c>
      <c r="P342" s="295">
        <v>25.481379</v>
      </c>
      <c r="Q342" s="295">
        <v>25.600838</v>
      </c>
      <c r="R342" s="295">
        <v>25.710733000000001</v>
      </c>
      <c r="S342" s="295">
        <v>25.802935000000002</v>
      </c>
      <c r="T342" s="295">
        <v>26.059711</v>
      </c>
      <c r="U342" s="295">
        <v>26.283843999999998</v>
      </c>
      <c r="V342" s="295">
        <v>26.279558000000002</v>
      </c>
      <c r="W342" s="295">
        <v>26.681564000000002</v>
      </c>
      <c r="X342" s="295">
        <v>26.906618000000002</v>
      </c>
      <c r="Y342" s="295">
        <v>27.046600000000002</v>
      </c>
      <c r="Z342" s="295">
        <v>27.319841</v>
      </c>
      <c r="AA342" s="295">
        <v>27.321362000000001</v>
      </c>
      <c r="AB342" s="295">
        <v>27.333366000000002</v>
      </c>
      <c r="AC342" s="295">
        <v>27.629111999999999</v>
      </c>
      <c r="AD342" s="295">
        <v>27.750019000000002</v>
      </c>
      <c r="AE342" s="295">
        <v>27.724965999999998</v>
      </c>
      <c r="AF342" s="295">
        <v>27.836818999999998</v>
      </c>
      <c r="AG342" s="295">
        <v>27.803888000000001</v>
      </c>
      <c r="AH342" s="296">
        <v>1.5075E-2</v>
      </c>
    </row>
    <row r="343" spans="1:34" ht="15" customHeight="1" x14ac:dyDescent="0.25">
      <c r="A343" s="213" t="s">
        <v>1263</v>
      </c>
      <c r="B343" s="294" t="s">
        <v>152</v>
      </c>
      <c r="C343" s="295">
        <v>10.141716000000001</v>
      </c>
      <c r="D343" s="295">
        <v>10.408849</v>
      </c>
      <c r="E343" s="295">
        <v>10.337325999999999</v>
      </c>
      <c r="F343" s="295">
        <v>10.214817999999999</v>
      </c>
      <c r="G343" s="295">
        <v>10.059002</v>
      </c>
      <c r="H343" s="295">
        <v>10.151187</v>
      </c>
      <c r="I343" s="295">
        <v>10.292802</v>
      </c>
      <c r="J343" s="295">
        <v>10.392097</v>
      </c>
      <c r="K343" s="295">
        <v>10.504792</v>
      </c>
      <c r="L343" s="295">
        <v>10.640135000000001</v>
      </c>
      <c r="M343" s="295">
        <v>10.991203000000001</v>
      </c>
      <c r="N343" s="295">
        <v>11.037716</v>
      </c>
      <c r="O343" s="295">
        <v>11.129956999999999</v>
      </c>
      <c r="P343" s="295">
        <v>11.238853000000001</v>
      </c>
      <c r="Q343" s="295">
        <v>11.304461</v>
      </c>
      <c r="R343" s="295">
        <v>11.339491000000001</v>
      </c>
      <c r="S343" s="295">
        <v>11.355261</v>
      </c>
      <c r="T343" s="295">
        <v>11.382251999999999</v>
      </c>
      <c r="U343" s="295">
        <v>11.413114</v>
      </c>
      <c r="V343" s="295">
        <v>11.433721999999999</v>
      </c>
      <c r="W343" s="295">
        <v>11.440595</v>
      </c>
      <c r="X343" s="295">
        <v>11.46537</v>
      </c>
      <c r="Y343" s="295">
        <v>11.473703</v>
      </c>
      <c r="Z343" s="295">
        <v>11.487436000000001</v>
      </c>
      <c r="AA343" s="295">
        <v>11.492419999999999</v>
      </c>
      <c r="AB343" s="295">
        <v>11.526282999999999</v>
      </c>
      <c r="AC343" s="295">
        <v>11.544835000000001</v>
      </c>
      <c r="AD343" s="295">
        <v>11.587941000000001</v>
      </c>
      <c r="AE343" s="295">
        <v>11.633906</v>
      </c>
      <c r="AF343" s="295">
        <v>11.69857</v>
      </c>
      <c r="AG343" s="295">
        <v>11.758008</v>
      </c>
      <c r="AH343" s="296">
        <v>4.9410000000000001E-3</v>
      </c>
    </row>
    <row r="344" spans="1:34" ht="15" customHeight="1" x14ac:dyDescent="0.25">
      <c r="A344" s="213" t="s">
        <v>1264</v>
      </c>
      <c r="B344" s="294" t="s">
        <v>1265</v>
      </c>
      <c r="C344" s="295">
        <v>35.773701000000003</v>
      </c>
      <c r="D344" s="295">
        <v>36.521652000000003</v>
      </c>
      <c r="E344" s="295">
        <v>36.452052999999999</v>
      </c>
      <c r="F344" s="295">
        <v>36.330298999999997</v>
      </c>
      <c r="G344" s="295">
        <v>36.192146000000001</v>
      </c>
      <c r="H344" s="295">
        <v>36.242401000000001</v>
      </c>
      <c r="I344" s="295">
        <v>36.374554000000003</v>
      </c>
      <c r="J344" s="295">
        <v>36.465439000000003</v>
      </c>
      <c r="K344" s="295">
        <v>36.492538000000003</v>
      </c>
      <c r="L344" s="295">
        <v>36.578372999999999</v>
      </c>
      <c r="M344" s="295">
        <v>36.536777000000001</v>
      </c>
      <c r="N344" s="295">
        <v>36.553043000000002</v>
      </c>
      <c r="O344" s="295">
        <v>36.472050000000003</v>
      </c>
      <c r="P344" s="295">
        <v>36.629868000000002</v>
      </c>
      <c r="Q344" s="295">
        <v>36.640644000000002</v>
      </c>
      <c r="R344" s="295">
        <v>36.633685999999997</v>
      </c>
      <c r="S344" s="295">
        <v>36.505116000000001</v>
      </c>
      <c r="T344" s="295">
        <v>36.402721</v>
      </c>
      <c r="U344" s="295">
        <v>36.290756000000002</v>
      </c>
      <c r="V344" s="295">
        <v>36.189422999999998</v>
      </c>
      <c r="W344" s="295">
        <v>36.138255999999998</v>
      </c>
      <c r="X344" s="295">
        <v>36.084187</v>
      </c>
      <c r="Y344" s="295">
        <v>36.080382999999998</v>
      </c>
      <c r="Z344" s="295">
        <v>35.827250999999997</v>
      </c>
      <c r="AA344" s="295">
        <v>35.799590999999999</v>
      </c>
      <c r="AB344" s="295">
        <v>35.726509</v>
      </c>
      <c r="AC344" s="295">
        <v>35.558886999999999</v>
      </c>
      <c r="AD344" s="295">
        <v>35.538307000000003</v>
      </c>
      <c r="AE344" s="295">
        <v>35.437187000000002</v>
      </c>
      <c r="AF344" s="295">
        <v>35.205562999999998</v>
      </c>
      <c r="AG344" s="295">
        <v>34.958140999999998</v>
      </c>
      <c r="AH344" s="296">
        <v>-7.6800000000000002E-4</v>
      </c>
    </row>
    <row r="346" spans="1:34" ht="15" customHeight="1" x14ac:dyDescent="0.2">
      <c r="B346" s="204" t="s">
        <v>1051</v>
      </c>
    </row>
    <row r="347" spans="1:34" ht="15" customHeight="1" x14ac:dyDescent="0.25">
      <c r="A347" s="213" t="s">
        <v>1266</v>
      </c>
      <c r="B347" s="294" t="s">
        <v>1036</v>
      </c>
      <c r="C347" s="295">
        <v>12.770180999999999</v>
      </c>
      <c r="D347" s="295">
        <v>13.676785000000001</v>
      </c>
      <c r="E347" s="295">
        <v>14.423190999999999</v>
      </c>
      <c r="F347" s="295">
        <v>14.733396000000001</v>
      </c>
      <c r="G347" s="295">
        <v>15.167415999999999</v>
      </c>
      <c r="H347" s="295">
        <v>15.611053999999999</v>
      </c>
      <c r="I347" s="295">
        <v>15.963915</v>
      </c>
      <c r="J347" s="295">
        <v>16.189354000000002</v>
      </c>
      <c r="K347" s="295">
        <v>16.611692000000001</v>
      </c>
      <c r="L347" s="295">
        <v>16.841206</v>
      </c>
      <c r="M347" s="295">
        <v>17.341975999999999</v>
      </c>
      <c r="N347" s="295">
        <v>17.562738</v>
      </c>
      <c r="O347" s="295">
        <v>17.882100999999999</v>
      </c>
      <c r="P347" s="295">
        <v>18.085668999999999</v>
      </c>
      <c r="Q347" s="295">
        <v>18.236032000000002</v>
      </c>
      <c r="R347" s="295">
        <v>18.381124</v>
      </c>
      <c r="S347" s="295">
        <v>18.564876999999999</v>
      </c>
      <c r="T347" s="295">
        <v>18.728542000000001</v>
      </c>
      <c r="U347" s="295">
        <v>18.932264</v>
      </c>
      <c r="V347" s="295">
        <v>19.068708000000001</v>
      </c>
      <c r="W347" s="295">
        <v>19.303858000000002</v>
      </c>
      <c r="X347" s="295">
        <v>19.520657</v>
      </c>
      <c r="Y347" s="295">
        <v>19.642268999999999</v>
      </c>
      <c r="Z347" s="295">
        <v>19.832070999999999</v>
      </c>
      <c r="AA347" s="295">
        <v>19.947846999999999</v>
      </c>
      <c r="AB347" s="295">
        <v>19.925961000000001</v>
      </c>
      <c r="AC347" s="295">
        <v>20.145717999999999</v>
      </c>
      <c r="AD347" s="295">
        <v>20.347836000000001</v>
      </c>
      <c r="AE347" s="295">
        <v>20.444044000000002</v>
      </c>
      <c r="AF347" s="295">
        <v>20.537389999999998</v>
      </c>
      <c r="AG347" s="295">
        <v>20.630967999999999</v>
      </c>
      <c r="AH347" s="296">
        <v>1.6118E-2</v>
      </c>
    </row>
    <row r="348" spans="1:34" ht="15" customHeight="1" x14ac:dyDescent="0.25">
      <c r="A348" s="213" t="s">
        <v>1267</v>
      </c>
      <c r="B348" s="294" t="s">
        <v>1058</v>
      </c>
      <c r="C348" s="295">
        <v>17.825056</v>
      </c>
      <c r="D348" s="295">
        <v>17.904530000000001</v>
      </c>
      <c r="E348" s="295">
        <v>18.036928</v>
      </c>
      <c r="F348" s="295">
        <v>18.838764000000001</v>
      </c>
      <c r="G348" s="295">
        <v>18.912728999999999</v>
      </c>
      <c r="H348" s="295">
        <v>18.771132999999999</v>
      </c>
      <c r="I348" s="295">
        <v>18.557403999999998</v>
      </c>
      <c r="J348" s="295">
        <v>18.853065000000001</v>
      </c>
      <c r="K348" s="295">
        <v>19.317806000000001</v>
      </c>
      <c r="L348" s="295">
        <v>19.533591999999999</v>
      </c>
      <c r="M348" s="295">
        <v>20.209999</v>
      </c>
      <c r="N348" s="295">
        <v>20.429369000000001</v>
      </c>
      <c r="O348" s="295">
        <v>20.743228999999999</v>
      </c>
      <c r="P348" s="295">
        <v>20.885148999999998</v>
      </c>
      <c r="Q348" s="295">
        <v>21.007522999999999</v>
      </c>
      <c r="R348" s="295">
        <v>21.119064000000002</v>
      </c>
      <c r="S348" s="295">
        <v>21.208853000000001</v>
      </c>
      <c r="T348" s="295">
        <v>21.470179000000002</v>
      </c>
      <c r="U348" s="295">
        <v>21.697239</v>
      </c>
      <c r="V348" s="295">
        <v>21.694443</v>
      </c>
      <c r="W348" s="295">
        <v>22.099841999999999</v>
      </c>
      <c r="X348" s="295">
        <v>22.329301999999998</v>
      </c>
      <c r="Y348" s="295">
        <v>22.472546000000001</v>
      </c>
      <c r="Z348" s="295">
        <v>22.747976000000001</v>
      </c>
      <c r="AA348" s="295">
        <v>22.754546999999999</v>
      </c>
      <c r="AB348" s="295">
        <v>22.770657</v>
      </c>
      <c r="AC348" s="295">
        <v>23.073558999999999</v>
      </c>
      <c r="AD348" s="295">
        <v>23.199966</v>
      </c>
      <c r="AE348" s="295">
        <v>23.185492</v>
      </c>
      <c r="AF348" s="295">
        <v>23.299648000000001</v>
      </c>
      <c r="AG348" s="295">
        <v>23.269392</v>
      </c>
      <c r="AH348" s="296">
        <v>8.9239999999999996E-3</v>
      </c>
    </row>
    <row r="349" spans="1:34" ht="15" customHeight="1" x14ac:dyDescent="0.25">
      <c r="A349" s="213" t="s">
        <v>1268</v>
      </c>
      <c r="B349" s="294" t="s">
        <v>1060</v>
      </c>
      <c r="C349" s="295">
        <v>5.2465200000000003</v>
      </c>
      <c r="D349" s="295">
        <v>4.0942629999999998</v>
      </c>
      <c r="E349" s="295">
        <v>5.1900339999999998</v>
      </c>
      <c r="F349" s="295">
        <v>6.7779639999999999</v>
      </c>
      <c r="G349" s="295">
        <v>7.931368</v>
      </c>
      <c r="H349" s="295">
        <v>8.9791360000000005</v>
      </c>
      <c r="I349" s="295">
        <v>9.8990690000000008</v>
      </c>
      <c r="J349" s="295">
        <v>10.196802</v>
      </c>
      <c r="K349" s="295">
        <v>10.592093</v>
      </c>
      <c r="L349" s="295">
        <v>10.869861</v>
      </c>
      <c r="M349" s="295">
        <v>11.263557</v>
      </c>
      <c r="N349" s="295">
        <v>11.497426000000001</v>
      </c>
      <c r="O349" s="295">
        <v>11.77319</v>
      </c>
      <c r="P349" s="295">
        <v>11.949337</v>
      </c>
      <c r="Q349" s="295">
        <v>12.063053</v>
      </c>
      <c r="R349" s="295">
        <v>12.193261</v>
      </c>
      <c r="S349" s="295">
        <v>12.232118</v>
      </c>
      <c r="T349" s="295">
        <v>12.209752</v>
      </c>
      <c r="U349" s="295">
        <v>12.466872</v>
      </c>
      <c r="V349" s="295">
        <v>12.476933000000001</v>
      </c>
      <c r="W349" s="295">
        <v>13.353137</v>
      </c>
      <c r="X349" s="295">
        <v>13.627573999999999</v>
      </c>
      <c r="Y349" s="295">
        <v>13.747514000000001</v>
      </c>
      <c r="Z349" s="295">
        <v>13.783707</v>
      </c>
      <c r="AA349" s="295">
        <v>13.89822</v>
      </c>
      <c r="AB349" s="295">
        <v>13.906148999999999</v>
      </c>
      <c r="AC349" s="295">
        <v>14.080503</v>
      </c>
      <c r="AD349" s="295">
        <v>14.206488</v>
      </c>
      <c r="AE349" s="295">
        <v>14.287227</v>
      </c>
      <c r="AF349" s="295">
        <v>14.389654</v>
      </c>
      <c r="AG349" s="295">
        <v>14.487740000000001</v>
      </c>
      <c r="AH349" s="296">
        <v>3.4438000000000003E-2</v>
      </c>
    </row>
    <row r="350" spans="1:34" ht="15" customHeight="1" x14ac:dyDescent="0.25">
      <c r="A350" s="213" t="s">
        <v>1269</v>
      </c>
      <c r="B350" s="294" t="s">
        <v>152</v>
      </c>
      <c r="C350" s="295">
        <v>7.2274659999999997</v>
      </c>
      <c r="D350" s="295">
        <v>7.6516929999999999</v>
      </c>
      <c r="E350" s="295">
        <v>7.8881639999999997</v>
      </c>
      <c r="F350" s="295">
        <v>7.720345</v>
      </c>
      <c r="G350" s="295">
        <v>7.5386949999999997</v>
      </c>
      <c r="H350" s="295">
        <v>7.5983919999999996</v>
      </c>
      <c r="I350" s="295">
        <v>7.7040459999999999</v>
      </c>
      <c r="J350" s="295">
        <v>7.7659649999999996</v>
      </c>
      <c r="K350" s="295">
        <v>7.8454110000000004</v>
      </c>
      <c r="L350" s="295">
        <v>7.9493349999999996</v>
      </c>
      <c r="M350" s="295">
        <v>8.1961999999999993</v>
      </c>
      <c r="N350" s="295">
        <v>8.2066599999999994</v>
      </c>
      <c r="O350" s="295">
        <v>8.2608739999999994</v>
      </c>
      <c r="P350" s="295">
        <v>8.3454949999999997</v>
      </c>
      <c r="Q350" s="295">
        <v>8.3917640000000002</v>
      </c>
      <c r="R350" s="295">
        <v>8.4106970000000008</v>
      </c>
      <c r="S350" s="295">
        <v>8.4123409999999996</v>
      </c>
      <c r="T350" s="295">
        <v>8.4253590000000003</v>
      </c>
      <c r="U350" s="295">
        <v>8.4426860000000001</v>
      </c>
      <c r="V350" s="295">
        <v>8.4523840000000003</v>
      </c>
      <c r="W350" s="295">
        <v>8.4503760000000003</v>
      </c>
      <c r="X350" s="295">
        <v>8.4663350000000008</v>
      </c>
      <c r="Y350" s="295">
        <v>8.4654799999999994</v>
      </c>
      <c r="Z350" s="295">
        <v>8.4723860000000002</v>
      </c>
      <c r="AA350" s="295">
        <v>8.4692749999999997</v>
      </c>
      <c r="AB350" s="295">
        <v>8.4950449999999993</v>
      </c>
      <c r="AC350" s="295">
        <v>8.5066939999999995</v>
      </c>
      <c r="AD350" s="295">
        <v>8.5417070000000006</v>
      </c>
      <c r="AE350" s="295">
        <v>8.5799920000000007</v>
      </c>
      <c r="AF350" s="295">
        <v>8.6351279999999999</v>
      </c>
      <c r="AG350" s="295">
        <v>8.6853630000000006</v>
      </c>
      <c r="AH350" s="296">
        <v>6.1440000000000002E-3</v>
      </c>
    </row>
    <row r="351" spans="1:34" ht="15" customHeight="1" x14ac:dyDescent="0.25">
      <c r="A351" s="213" t="s">
        <v>1270</v>
      </c>
      <c r="B351" s="294" t="s">
        <v>1265</v>
      </c>
      <c r="C351" s="295">
        <v>31.325308</v>
      </c>
      <c r="D351" s="295">
        <v>31.729654</v>
      </c>
      <c r="E351" s="295">
        <v>31.600876</v>
      </c>
      <c r="F351" s="295">
        <v>31.229500000000002</v>
      </c>
      <c r="G351" s="295">
        <v>30.964794000000001</v>
      </c>
      <c r="H351" s="295">
        <v>30.935793</v>
      </c>
      <c r="I351" s="295">
        <v>30.947141999999999</v>
      </c>
      <c r="J351" s="295">
        <v>30.978432000000002</v>
      </c>
      <c r="K351" s="295">
        <v>30.913927000000001</v>
      </c>
      <c r="L351" s="295">
        <v>30.892523000000001</v>
      </c>
      <c r="M351" s="295">
        <v>30.75046</v>
      </c>
      <c r="N351" s="295">
        <v>30.748163000000002</v>
      </c>
      <c r="O351" s="295">
        <v>30.515893999999999</v>
      </c>
      <c r="P351" s="295">
        <v>30.675961000000001</v>
      </c>
      <c r="Q351" s="295">
        <v>30.558975</v>
      </c>
      <c r="R351" s="295">
        <v>30.525621000000001</v>
      </c>
      <c r="S351" s="295">
        <v>30.311733</v>
      </c>
      <c r="T351" s="295">
        <v>30.123640000000002</v>
      </c>
      <c r="U351" s="295">
        <v>29.915848</v>
      </c>
      <c r="V351" s="295">
        <v>29.743776</v>
      </c>
      <c r="W351" s="295">
        <v>29.633825000000002</v>
      </c>
      <c r="X351" s="295">
        <v>29.530055999999998</v>
      </c>
      <c r="Y351" s="295">
        <v>29.479113000000002</v>
      </c>
      <c r="Z351" s="295">
        <v>29.127269999999999</v>
      </c>
      <c r="AA351" s="295">
        <v>29.027113</v>
      </c>
      <c r="AB351" s="295">
        <v>28.877562000000001</v>
      </c>
      <c r="AC351" s="295">
        <v>28.642489999999999</v>
      </c>
      <c r="AD351" s="295">
        <v>28.577128999999999</v>
      </c>
      <c r="AE351" s="295">
        <v>28.398197</v>
      </c>
      <c r="AF351" s="295">
        <v>28.082920000000001</v>
      </c>
      <c r="AG351" s="295">
        <v>27.798862</v>
      </c>
      <c r="AH351" s="296">
        <v>-3.973E-3</v>
      </c>
    </row>
    <row r="353" spans="1:34" ht="15" customHeight="1" x14ac:dyDescent="0.2">
      <c r="B353" s="204" t="s">
        <v>1271</v>
      </c>
    </row>
    <row r="354" spans="1:34" ht="15" customHeight="1" x14ac:dyDescent="0.25">
      <c r="A354" s="213" t="s">
        <v>1272</v>
      </c>
      <c r="B354" s="294" t="s">
        <v>1036</v>
      </c>
      <c r="C354" s="295">
        <v>7.6224270000000001</v>
      </c>
      <c r="D354" s="295">
        <v>8.5728740000000005</v>
      </c>
      <c r="E354" s="295">
        <v>9.2753320000000006</v>
      </c>
      <c r="F354" s="295">
        <v>9.54481</v>
      </c>
      <c r="G354" s="295">
        <v>9.9572979999999998</v>
      </c>
      <c r="H354" s="295">
        <v>10.382115000000001</v>
      </c>
      <c r="I354" s="295">
        <v>10.717040000000001</v>
      </c>
      <c r="J354" s="295">
        <v>10.928203</v>
      </c>
      <c r="K354" s="295">
        <v>11.351072</v>
      </c>
      <c r="L354" s="295">
        <v>11.568662</v>
      </c>
      <c r="M354" s="295">
        <v>11.846738999999999</v>
      </c>
      <c r="N354" s="295">
        <v>12.065503</v>
      </c>
      <c r="O354" s="295">
        <v>12.359942</v>
      </c>
      <c r="P354" s="295">
        <v>12.563041</v>
      </c>
      <c r="Q354" s="295">
        <v>12.713467</v>
      </c>
      <c r="R354" s="295">
        <v>12.861796</v>
      </c>
      <c r="S354" s="295">
        <v>13.053260999999999</v>
      </c>
      <c r="T354" s="295">
        <v>13.222058000000001</v>
      </c>
      <c r="U354" s="295">
        <v>13.435862999999999</v>
      </c>
      <c r="V354" s="295">
        <v>13.574801000000001</v>
      </c>
      <c r="W354" s="295">
        <v>13.826199000000001</v>
      </c>
      <c r="X354" s="295">
        <v>14.054221</v>
      </c>
      <c r="Y354" s="295">
        <v>14.177619999999999</v>
      </c>
      <c r="Z354" s="295">
        <v>14.382066999999999</v>
      </c>
      <c r="AA354" s="295">
        <v>14.501739000000001</v>
      </c>
      <c r="AB354" s="295">
        <v>14.471138</v>
      </c>
      <c r="AC354" s="295">
        <v>14.718584999999999</v>
      </c>
      <c r="AD354" s="295">
        <v>14.936582</v>
      </c>
      <c r="AE354" s="295">
        <v>15.034656999999999</v>
      </c>
      <c r="AF354" s="295">
        <v>15.134816000000001</v>
      </c>
      <c r="AG354" s="295">
        <v>15.236333999999999</v>
      </c>
      <c r="AH354" s="296">
        <v>2.3355000000000001E-2</v>
      </c>
    </row>
    <row r="355" spans="1:34" ht="15" customHeight="1" x14ac:dyDescent="0.25">
      <c r="A355" s="213" t="s">
        <v>1273</v>
      </c>
      <c r="B355" s="294" t="s">
        <v>1058</v>
      </c>
      <c r="C355" s="295">
        <v>17.750848999999999</v>
      </c>
      <c r="D355" s="295">
        <v>17.783930000000002</v>
      </c>
      <c r="E355" s="295">
        <v>17.956678</v>
      </c>
      <c r="F355" s="295">
        <v>18.814810000000001</v>
      </c>
      <c r="G355" s="295">
        <v>18.897867000000002</v>
      </c>
      <c r="H355" s="295">
        <v>18.761683000000001</v>
      </c>
      <c r="I355" s="295">
        <v>18.553094999999999</v>
      </c>
      <c r="J355" s="295">
        <v>18.850301999999999</v>
      </c>
      <c r="K355" s="295">
        <v>19.324498999999999</v>
      </c>
      <c r="L355" s="295">
        <v>19.549272999999999</v>
      </c>
      <c r="M355" s="295">
        <v>19.956367</v>
      </c>
      <c r="N355" s="295">
        <v>20.183392999999999</v>
      </c>
      <c r="O355" s="295">
        <v>20.460177999999999</v>
      </c>
      <c r="P355" s="295">
        <v>20.598799</v>
      </c>
      <c r="Q355" s="295">
        <v>20.723047000000001</v>
      </c>
      <c r="R355" s="295">
        <v>20.838035999999999</v>
      </c>
      <c r="S355" s="295">
        <v>20.919165</v>
      </c>
      <c r="T355" s="295">
        <v>21.182859000000001</v>
      </c>
      <c r="U355" s="295">
        <v>21.403994000000001</v>
      </c>
      <c r="V355" s="295">
        <v>21.402145000000001</v>
      </c>
      <c r="W355" s="295">
        <v>21.807596</v>
      </c>
      <c r="X355" s="295">
        <v>22.042513</v>
      </c>
      <c r="Y355" s="295">
        <v>22.186398000000001</v>
      </c>
      <c r="Z355" s="295">
        <v>22.451678999999999</v>
      </c>
      <c r="AA355" s="295">
        <v>22.459719</v>
      </c>
      <c r="AB355" s="295">
        <v>22.483221</v>
      </c>
      <c r="AC355" s="295">
        <v>22.790527000000001</v>
      </c>
      <c r="AD355" s="295">
        <v>22.923496</v>
      </c>
      <c r="AE355" s="295">
        <v>22.915863000000002</v>
      </c>
      <c r="AF355" s="295">
        <v>23.036384999999999</v>
      </c>
      <c r="AG355" s="295">
        <v>23.011987999999999</v>
      </c>
      <c r="AH355" s="296">
        <v>8.6899999999999998E-3</v>
      </c>
    </row>
    <row r="356" spans="1:34" ht="15" customHeight="1" x14ac:dyDescent="0.25">
      <c r="A356" s="213" t="s">
        <v>1274</v>
      </c>
      <c r="B356" s="294" t="s">
        <v>1060</v>
      </c>
      <c r="C356" s="295">
        <v>5.4227220000000003</v>
      </c>
      <c r="D356" s="295">
        <v>4.4307449999999999</v>
      </c>
      <c r="E356" s="295">
        <v>5.8522499999999997</v>
      </c>
      <c r="F356" s="295">
        <v>7.7520530000000001</v>
      </c>
      <c r="G356" s="295">
        <v>9.2132869999999993</v>
      </c>
      <c r="H356" s="295">
        <v>10.559336999999999</v>
      </c>
      <c r="I356" s="295">
        <v>11.804924</v>
      </c>
      <c r="J356" s="295">
        <v>12.129104</v>
      </c>
      <c r="K356" s="295">
        <v>12.551246000000001</v>
      </c>
      <c r="L356" s="295">
        <v>12.806289</v>
      </c>
      <c r="M356" s="295">
        <v>13.190077</v>
      </c>
      <c r="N356" s="295">
        <v>13.426761000000001</v>
      </c>
      <c r="O356" s="295">
        <v>13.69956</v>
      </c>
      <c r="P356" s="295">
        <v>13.87435</v>
      </c>
      <c r="Q356" s="295">
        <v>13.987534</v>
      </c>
      <c r="R356" s="295">
        <v>14.116496</v>
      </c>
      <c r="S356" s="295">
        <v>14.157347</v>
      </c>
      <c r="T356" s="295">
        <v>14.139758</v>
      </c>
      <c r="U356" s="295">
        <v>14.396801999999999</v>
      </c>
      <c r="V356" s="295">
        <v>14.405290000000001</v>
      </c>
      <c r="W356" s="295">
        <v>15.138901000000001</v>
      </c>
      <c r="X356" s="295">
        <v>15.37872</v>
      </c>
      <c r="Y356" s="295">
        <v>15.529366</v>
      </c>
      <c r="Z356" s="295">
        <v>15.713333</v>
      </c>
      <c r="AA356" s="295">
        <v>15.829058</v>
      </c>
      <c r="AB356" s="295">
        <v>15.835978000000001</v>
      </c>
      <c r="AC356" s="295">
        <v>16.011714999999999</v>
      </c>
      <c r="AD356" s="295">
        <v>16.137794</v>
      </c>
      <c r="AE356" s="295">
        <v>16.218719</v>
      </c>
      <c r="AF356" s="295">
        <v>16.321145999999999</v>
      </c>
      <c r="AG356" s="295">
        <v>16.417200000000001</v>
      </c>
      <c r="AH356" s="296">
        <v>3.7615000000000003E-2</v>
      </c>
    </row>
    <row r="357" spans="1:34" ht="15" customHeight="1" x14ac:dyDescent="0.25">
      <c r="A357" s="213" t="s">
        <v>1275</v>
      </c>
      <c r="B357" s="294" t="s">
        <v>1276</v>
      </c>
      <c r="C357" s="295">
        <v>3.0610119999999998</v>
      </c>
      <c r="D357" s="295">
        <v>4.0065809999999997</v>
      </c>
      <c r="E357" s="295">
        <v>4.1526290000000001</v>
      </c>
      <c r="F357" s="295">
        <v>3.9303469999999998</v>
      </c>
      <c r="G357" s="295">
        <v>3.7192699999999999</v>
      </c>
      <c r="H357" s="295">
        <v>3.7802030000000002</v>
      </c>
      <c r="I357" s="295">
        <v>3.875111</v>
      </c>
      <c r="J357" s="295">
        <v>3.9360719999999998</v>
      </c>
      <c r="K357" s="295">
        <v>4.056311</v>
      </c>
      <c r="L357" s="295">
        <v>4.1671589999999998</v>
      </c>
      <c r="M357" s="295">
        <v>4.1978270000000002</v>
      </c>
      <c r="N357" s="295">
        <v>4.2063259999999998</v>
      </c>
      <c r="O357" s="295">
        <v>4.2582589999999998</v>
      </c>
      <c r="P357" s="295">
        <v>4.3301230000000004</v>
      </c>
      <c r="Q357" s="295">
        <v>4.3629059999999997</v>
      </c>
      <c r="R357" s="295">
        <v>4.373704</v>
      </c>
      <c r="S357" s="295">
        <v>4.3741969999999997</v>
      </c>
      <c r="T357" s="295">
        <v>4.363181</v>
      </c>
      <c r="U357" s="295">
        <v>4.3811689999999999</v>
      </c>
      <c r="V357" s="295">
        <v>4.3741260000000004</v>
      </c>
      <c r="W357" s="295">
        <v>4.3648819999999997</v>
      </c>
      <c r="X357" s="295">
        <v>4.3615079999999997</v>
      </c>
      <c r="Y357" s="295">
        <v>4.3428490000000002</v>
      </c>
      <c r="Z357" s="295">
        <v>4.3259429999999996</v>
      </c>
      <c r="AA357" s="295">
        <v>4.3170270000000004</v>
      </c>
      <c r="AB357" s="295">
        <v>4.3242310000000002</v>
      </c>
      <c r="AC357" s="295">
        <v>4.3272000000000004</v>
      </c>
      <c r="AD357" s="295">
        <v>4.349329</v>
      </c>
      <c r="AE357" s="295">
        <v>4.3891309999999999</v>
      </c>
      <c r="AF357" s="295">
        <v>4.442545</v>
      </c>
      <c r="AG357" s="295">
        <v>4.4806970000000002</v>
      </c>
      <c r="AH357" s="296">
        <v>1.2782E-2</v>
      </c>
    </row>
    <row r="358" spans="1:34" ht="15" customHeight="1" x14ac:dyDescent="0.25">
      <c r="A358" s="213" t="s">
        <v>1277</v>
      </c>
      <c r="B358" s="294" t="s">
        <v>1091</v>
      </c>
      <c r="C358" s="295">
        <v>4.01729</v>
      </c>
      <c r="D358" s="295">
        <v>3.6009570000000002</v>
      </c>
      <c r="E358" s="295">
        <v>3.3575499999999998</v>
      </c>
      <c r="F358" s="295">
        <v>3.2188159999999999</v>
      </c>
      <c r="G358" s="295">
        <v>3.136171</v>
      </c>
      <c r="H358" s="295">
        <v>3.0998329999999998</v>
      </c>
      <c r="I358" s="295">
        <v>3.0590670000000002</v>
      </c>
      <c r="J358" s="295">
        <v>3.0477449999999999</v>
      </c>
      <c r="K358" s="295">
        <v>3.0552410000000001</v>
      </c>
      <c r="L358" s="295">
        <v>3.0795460000000001</v>
      </c>
      <c r="M358" s="295">
        <v>3.1109</v>
      </c>
      <c r="N358" s="295">
        <v>3.1460279999999998</v>
      </c>
      <c r="O358" s="295">
        <v>3.17902</v>
      </c>
      <c r="P358" s="295">
        <v>3.2106629999999998</v>
      </c>
      <c r="Q358" s="295">
        <v>3.2437269999999998</v>
      </c>
      <c r="R358" s="295">
        <v>3.2775050000000001</v>
      </c>
      <c r="S358" s="295">
        <v>3.310343</v>
      </c>
      <c r="T358" s="295">
        <v>3.3446500000000001</v>
      </c>
      <c r="U358" s="295">
        <v>3.380706</v>
      </c>
      <c r="V358" s="295">
        <v>3.4141780000000002</v>
      </c>
      <c r="W358" s="295">
        <v>3.447819</v>
      </c>
      <c r="X358" s="295">
        <v>3.4831310000000002</v>
      </c>
      <c r="Y358" s="295">
        <v>3.5200279999999999</v>
      </c>
      <c r="Z358" s="295">
        <v>3.5590980000000001</v>
      </c>
      <c r="AA358" s="295">
        <v>3.5940370000000001</v>
      </c>
      <c r="AB358" s="295">
        <v>3.6316609999999998</v>
      </c>
      <c r="AC358" s="295">
        <v>3.6709079999999998</v>
      </c>
      <c r="AD358" s="295">
        <v>3.7096420000000001</v>
      </c>
      <c r="AE358" s="295">
        <v>3.7486899999999999</v>
      </c>
      <c r="AF358" s="295">
        <v>3.7900459999999998</v>
      </c>
      <c r="AG358" s="295">
        <v>3.83358</v>
      </c>
      <c r="AH358" s="296">
        <v>-1.5590000000000001E-3</v>
      </c>
    </row>
    <row r="359" spans="1:34" ht="15" customHeight="1" x14ac:dyDescent="0.25">
      <c r="A359" s="213" t="s">
        <v>1278</v>
      </c>
      <c r="B359" s="294" t="s">
        <v>1093</v>
      </c>
      <c r="C359" s="295">
        <v>2.821307</v>
      </c>
      <c r="D359" s="295">
        <v>2.825831</v>
      </c>
      <c r="E359" s="295">
        <v>2.8912049999999998</v>
      </c>
      <c r="F359" s="295">
        <v>2.8795899999999999</v>
      </c>
      <c r="G359" s="295">
        <v>2.883505</v>
      </c>
      <c r="H359" s="295">
        <v>2.8916930000000001</v>
      </c>
      <c r="I359" s="295">
        <v>2.8850739999999999</v>
      </c>
      <c r="J359" s="295">
        <v>2.875848</v>
      </c>
      <c r="K359" s="295">
        <v>2.8701940000000001</v>
      </c>
      <c r="L359" s="295">
        <v>2.8692630000000001</v>
      </c>
      <c r="M359" s="295">
        <v>2.8689499999999999</v>
      </c>
      <c r="N359" s="295">
        <v>2.871991</v>
      </c>
      <c r="O359" s="295">
        <v>2.8604509999999999</v>
      </c>
      <c r="P359" s="295">
        <v>2.8634870000000001</v>
      </c>
      <c r="Q359" s="295">
        <v>2.8656290000000002</v>
      </c>
      <c r="R359" s="295">
        <v>2.872293</v>
      </c>
      <c r="S359" s="295">
        <v>2.8702109999999998</v>
      </c>
      <c r="T359" s="295">
        <v>2.8762400000000001</v>
      </c>
      <c r="U359" s="295">
        <v>2.8852869999999999</v>
      </c>
      <c r="V359" s="295">
        <v>2.8913120000000001</v>
      </c>
      <c r="W359" s="295">
        <v>2.900102</v>
      </c>
      <c r="X359" s="295">
        <v>2.9084370000000002</v>
      </c>
      <c r="Y359" s="295">
        <v>2.90917</v>
      </c>
      <c r="Z359" s="295">
        <v>2.907594</v>
      </c>
      <c r="AA359" s="295">
        <v>2.90707</v>
      </c>
      <c r="AB359" s="295">
        <v>2.911734</v>
      </c>
      <c r="AC359" s="295">
        <v>2.921424</v>
      </c>
      <c r="AD359" s="295">
        <v>2.9305620000000001</v>
      </c>
      <c r="AE359" s="295">
        <v>2.9392070000000001</v>
      </c>
      <c r="AF359" s="295">
        <v>2.9507340000000002</v>
      </c>
      <c r="AG359" s="295">
        <v>2.9633780000000001</v>
      </c>
      <c r="AH359" s="296">
        <v>1.639E-3</v>
      </c>
    </row>
    <row r="360" spans="1:34" ht="15" customHeight="1" x14ac:dyDescent="0.25">
      <c r="A360" s="213" t="s">
        <v>1279</v>
      </c>
      <c r="B360" s="294" t="s">
        <v>1280</v>
      </c>
      <c r="C360" s="296" t="s">
        <v>635</v>
      </c>
      <c r="D360" s="296" t="s">
        <v>635</v>
      </c>
      <c r="E360" s="296" t="s">
        <v>635</v>
      </c>
      <c r="F360" s="296" t="s">
        <v>635</v>
      </c>
      <c r="G360" s="296" t="s">
        <v>635</v>
      </c>
      <c r="H360" s="296" t="s">
        <v>635</v>
      </c>
      <c r="I360" s="296" t="s">
        <v>635</v>
      </c>
      <c r="J360" s="296" t="s">
        <v>635</v>
      </c>
      <c r="K360" s="296" t="s">
        <v>635</v>
      </c>
      <c r="L360" s="296" t="s">
        <v>635</v>
      </c>
      <c r="M360" s="296" t="s">
        <v>635</v>
      </c>
      <c r="N360" s="296" t="s">
        <v>635</v>
      </c>
      <c r="O360" s="296" t="s">
        <v>635</v>
      </c>
      <c r="P360" s="296" t="s">
        <v>635</v>
      </c>
      <c r="Q360" s="296" t="s">
        <v>635</v>
      </c>
      <c r="R360" s="296" t="s">
        <v>635</v>
      </c>
      <c r="S360" s="296" t="s">
        <v>635</v>
      </c>
      <c r="T360" s="296" t="s">
        <v>635</v>
      </c>
      <c r="U360" s="296" t="s">
        <v>635</v>
      </c>
      <c r="V360" s="296" t="s">
        <v>635</v>
      </c>
      <c r="W360" s="296" t="s">
        <v>635</v>
      </c>
      <c r="X360" s="296" t="s">
        <v>635</v>
      </c>
      <c r="Y360" s="296" t="s">
        <v>635</v>
      </c>
      <c r="Z360" s="296" t="s">
        <v>635</v>
      </c>
      <c r="AA360" s="296" t="s">
        <v>635</v>
      </c>
      <c r="AB360" s="296" t="s">
        <v>635</v>
      </c>
      <c r="AC360" s="296" t="s">
        <v>635</v>
      </c>
      <c r="AD360" s="296" t="s">
        <v>635</v>
      </c>
      <c r="AE360" s="296" t="s">
        <v>635</v>
      </c>
      <c r="AF360" s="296" t="s">
        <v>635</v>
      </c>
      <c r="AG360" s="296" t="s">
        <v>635</v>
      </c>
      <c r="AH360" s="296" t="s">
        <v>635</v>
      </c>
    </row>
    <row r="361" spans="1:34" ht="15" customHeight="1" x14ac:dyDescent="0.25">
      <c r="A361" s="213" t="s">
        <v>1281</v>
      </c>
      <c r="B361" s="294" t="s">
        <v>1265</v>
      </c>
      <c r="C361" s="295">
        <v>20.713954999999999</v>
      </c>
      <c r="D361" s="295">
        <v>20.936140000000002</v>
      </c>
      <c r="E361" s="295">
        <v>20.638390000000001</v>
      </c>
      <c r="F361" s="295">
        <v>20.160730000000001</v>
      </c>
      <c r="G361" s="295">
        <v>19.855924999999999</v>
      </c>
      <c r="H361" s="295">
        <v>19.743105</v>
      </c>
      <c r="I361" s="295">
        <v>19.769461</v>
      </c>
      <c r="J361" s="295">
        <v>19.713902000000001</v>
      </c>
      <c r="K361" s="295">
        <v>19.670210000000001</v>
      </c>
      <c r="L361" s="295">
        <v>19.661643999999999</v>
      </c>
      <c r="M361" s="295">
        <v>19.562768999999999</v>
      </c>
      <c r="N361" s="295">
        <v>19.579107</v>
      </c>
      <c r="O361" s="295">
        <v>19.503533999999998</v>
      </c>
      <c r="P361" s="295">
        <v>19.505814000000001</v>
      </c>
      <c r="Q361" s="295">
        <v>19.479683000000001</v>
      </c>
      <c r="R361" s="295">
        <v>19.465959999999999</v>
      </c>
      <c r="S361" s="295">
        <v>19.351633</v>
      </c>
      <c r="T361" s="295">
        <v>19.246034999999999</v>
      </c>
      <c r="U361" s="295">
        <v>19.164674999999999</v>
      </c>
      <c r="V361" s="295">
        <v>19.058592000000001</v>
      </c>
      <c r="W361" s="295">
        <v>18.976123999999999</v>
      </c>
      <c r="X361" s="295">
        <v>18.888048000000001</v>
      </c>
      <c r="Y361" s="295">
        <v>18.822946999999999</v>
      </c>
      <c r="Z361" s="295">
        <v>18.662371</v>
      </c>
      <c r="AA361" s="295">
        <v>18.576585999999999</v>
      </c>
      <c r="AB361" s="295">
        <v>18.496055999999999</v>
      </c>
      <c r="AC361" s="295">
        <v>18.390442</v>
      </c>
      <c r="AD361" s="295">
        <v>18.340174000000001</v>
      </c>
      <c r="AE361" s="295">
        <v>18.280028999999999</v>
      </c>
      <c r="AF361" s="295">
        <v>18.168600000000001</v>
      </c>
      <c r="AG361" s="295">
        <v>18.055204</v>
      </c>
      <c r="AH361" s="296">
        <v>-4.5690000000000001E-3</v>
      </c>
    </row>
    <row r="363" spans="1:34" ht="15" customHeight="1" x14ac:dyDescent="0.2">
      <c r="B363" s="204" t="s">
        <v>1108</v>
      </c>
    </row>
    <row r="364" spans="1:34" ht="15" customHeight="1" x14ac:dyDescent="0.25">
      <c r="A364" s="213" t="s">
        <v>1282</v>
      </c>
      <c r="B364" s="294" t="s">
        <v>1036</v>
      </c>
      <c r="C364" s="295">
        <v>11.987021</v>
      </c>
      <c r="D364" s="295">
        <v>12.993525999999999</v>
      </c>
      <c r="E364" s="295">
        <v>13.655568000000001</v>
      </c>
      <c r="F364" s="295">
        <v>13.893079999999999</v>
      </c>
      <c r="G364" s="295">
        <v>14.271658</v>
      </c>
      <c r="H364" s="295">
        <v>14.653779999999999</v>
      </c>
      <c r="I364" s="295">
        <v>14.948100999999999</v>
      </c>
      <c r="J364" s="295">
        <v>15.129092</v>
      </c>
      <c r="K364" s="295">
        <v>15.500791</v>
      </c>
      <c r="L364" s="295">
        <v>15.682501</v>
      </c>
      <c r="M364" s="295">
        <v>16.348835000000001</v>
      </c>
      <c r="N364" s="295">
        <v>16.528155999999999</v>
      </c>
      <c r="O364" s="295">
        <v>16.83276</v>
      </c>
      <c r="P364" s="295">
        <v>16.994880999999999</v>
      </c>
      <c r="Q364" s="295">
        <v>17.113755999999999</v>
      </c>
      <c r="R364" s="295">
        <v>17.232593999999999</v>
      </c>
      <c r="S364" s="295">
        <v>17.388017999999999</v>
      </c>
      <c r="T364" s="295">
        <v>17.52281</v>
      </c>
      <c r="U364" s="295">
        <v>17.695232000000001</v>
      </c>
      <c r="V364" s="295">
        <v>17.803747000000001</v>
      </c>
      <c r="W364" s="295">
        <v>18.006798</v>
      </c>
      <c r="X364" s="295">
        <v>18.187048000000001</v>
      </c>
      <c r="Y364" s="295">
        <v>18.280268</v>
      </c>
      <c r="Z364" s="295">
        <v>18.442333000000001</v>
      </c>
      <c r="AA364" s="295">
        <v>18.533463000000001</v>
      </c>
      <c r="AB364" s="295">
        <v>18.504009</v>
      </c>
      <c r="AC364" s="295">
        <v>18.703420999999999</v>
      </c>
      <c r="AD364" s="295">
        <v>18.873041000000001</v>
      </c>
      <c r="AE364" s="295">
        <v>18.945166</v>
      </c>
      <c r="AF364" s="295">
        <v>19.02149</v>
      </c>
      <c r="AG364" s="295">
        <v>19.098797000000001</v>
      </c>
      <c r="AH364" s="296">
        <v>1.5647999999999999E-2</v>
      </c>
    </row>
    <row r="365" spans="1:34" ht="15" customHeight="1" x14ac:dyDescent="0.25">
      <c r="A365" s="213" t="s">
        <v>1283</v>
      </c>
      <c r="B365" s="294" t="s">
        <v>1284</v>
      </c>
      <c r="C365" s="295">
        <v>21.060583000000001</v>
      </c>
      <c r="D365" s="295">
        <v>22.146184999999999</v>
      </c>
      <c r="E365" s="295">
        <v>23.762771999999998</v>
      </c>
      <c r="F365" s="295">
        <v>24.028258999999998</v>
      </c>
      <c r="G365" s="295">
        <v>24.037443</v>
      </c>
      <c r="H365" s="295">
        <v>24.419589999999999</v>
      </c>
      <c r="I365" s="295">
        <v>24.594436999999999</v>
      </c>
      <c r="J365" s="295">
        <v>24.887339000000001</v>
      </c>
      <c r="K365" s="295">
        <v>25.569994000000001</v>
      </c>
      <c r="L365" s="295">
        <v>26.027909999999999</v>
      </c>
      <c r="M365" s="295">
        <v>27.143618</v>
      </c>
      <c r="N365" s="295">
        <v>27.288709999999998</v>
      </c>
      <c r="O365" s="295">
        <v>27.865879</v>
      </c>
      <c r="P365" s="295">
        <v>28.109138000000002</v>
      </c>
      <c r="Q365" s="295">
        <v>28.525244000000001</v>
      </c>
      <c r="R365" s="295">
        <v>28.765039000000002</v>
      </c>
      <c r="S365" s="295">
        <v>29.16386</v>
      </c>
      <c r="T365" s="295">
        <v>29.495522999999999</v>
      </c>
      <c r="U365" s="295">
        <v>29.907316000000002</v>
      </c>
      <c r="V365" s="295">
        <v>29.970499</v>
      </c>
      <c r="W365" s="295">
        <v>30.506793999999999</v>
      </c>
      <c r="X365" s="295">
        <v>30.810787000000001</v>
      </c>
      <c r="Y365" s="295">
        <v>31.019123</v>
      </c>
      <c r="Z365" s="295">
        <v>31.216325999999999</v>
      </c>
      <c r="AA365" s="295">
        <v>31.337109000000002</v>
      </c>
      <c r="AB365" s="295">
        <v>31.151344000000002</v>
      </c>
      <c r="AC365" s="295">
        <v>31.591562</v>
      </c>
      <c r="AD365" s="295">
        <v>31.735039</v>
      </c>
      <c r="AE365" s="295">
        <v>31.869351999999999</v>
      </c>
      <c r="AF365" s="295">
        <v>31.818169000000001</v>
      </c>
      <c r="AG365" s="295">
        <v>31.851942000000001</v>
      </c>
      <c r="AH365" s="296">
        <v>1.3885E-2</v>
      </c>
    </row>
    <row r="366" spans="1:34" ht="15" customHeight="1" x14ac:dyDescent="0.25">
      <c r="A366" s="213" t="s">
        <v>1285</v>
      </c>
      <c r="B366" s="294" t="s">
        <v>1286</v>
      </c>
      <c r="C366" s="295">
        <v>18.753333999999999</v>
      </c>
      <c r="D366" s="295">
        <v>19.581600000000002</v>
      </c>
      <c r="E366" s="295">
        <v>19.949960999999998</v>
      </c>
      <c r="F366" s="295">
        <v>20.466608000000001</v>
      </c>
      <c r="G366" s="295">
        <v>20.520903000000001</v>
      </c>
      <c r="H366" s="295">
        <v>20.876915</v>
      </c>
      <c r="I366" s="295">
        <v>21.058793999999999</v>
      </c>
      <c r="J366" s="295">
        <v>21.300373</v>
      </c>
      <c r="K366" s="295">
        <v>21.837596999999999</v>
      </c>
      <c r="L366" s="295">
        <v>22.20318</v>
      </c>
      <c r="M366" s="295">
        <v>23.275110000000002</v>
      </c>
      <c r="N366" s="295">
        <v>23.377623</v>
      </c>
      <c r="O366" s="295">
        <v>23.857278999999998</v>
      </c>
      <c r="P366" s="295">
        <v>24.03895</v>
      </c>
      <c r="Q366" s="295">
        <v>24.360823</v>
      </c>
      <c r="R366" s="295">
        <v>24.547155</v>
      </c>
      <c r="S366" s="295">
        <v>24.861537999999999</v>
      </c>
      <c r="T366" s="295">
        <v>25.124531000000001</v>
      </c>
      <c r="U366" s="295">
        <v>25.45579</v>
      </c>
      <c r="V366" s="295">
        <v>25.496863999999999</v>
      </c>
      <c r="W366" s="295">
        <v>25.936050000000002</v>
      </c>
      <c r="X366" s="295">
        <v>26.179081</v>
      </c>
      <c r="Y366" s="295">
        <v>26.342677999999999</v>
      </c>
      <c r="Z366" s="295">
        <v>26.504950000000001</v>
      </c>
      <c r="AA366" s="295">
        <v>26.600300000000001</v>
      </c>
      <c r="AB366" s="295">
        <v>26.436019999999999</v>
      </c>
      <c r="AC366" s="295">
        <v>26.794720000000002</v>
      </c>
      <c r="AD366" s="295">
        <v>26.90859</v>
      </c>
      <c r="AE366" s="295">
        <v>27.010861999999999</v>
      </c>
      <c r="AF366" s="295">
        <v>26.962119999999999</v>
      </c>
      <c r="AG366" s="295">
        <v>26.986158</v>
      </c>
      <c r="AH366" s="296">
        <v>1.2206E-2</v>
      </c>
    </row>
    <row r="367" spans="1:34" ht="15" customHeight="1" x14ac:dyDescent="0.25">
      <c r="A367" s="213" t="s">
        <v>1287</v>
      </c>
      <c r="B367" s="294" t="s">
        <v>1288</v>
      </c>
      <c r="C367" s="295">
        <v>9.5686540000000004</v>
      </c>
      <c r="D367" s="295">
        <v>10.38209</v>
      </c>
      <c r="E367" s="295">
        <v>11.409501000000001</v>
      </c>
      <c r="F367" s="295">
        <v>12.686662999999999</v>
      </c>
      <c r="G367" s="295">
        <v>13.670933</v>
      </c>
      <c r="H367" s="295">
        <v>14.324781</v>
      </c>
      <c r="I367" s="295">
        <v>14.882508</v>
      </c>
      <c r="J367" s="295">
        <v>15.202828</v>
      </c>
      <c r="K367" s="295">
        <v>15.737565999999999</v>
      </c>
      <c r="L367" s="295">
        <v>16.006945000000002</v>
      </c>
      <c r="M367" s="295">
        <v>16.443601999999998</v>
      </c>
      <c r="N367" s="295">
        <v>16.788630000000001</v>
      </c>
      <c r="O367" s="295">
        <v>17.151931999999999</v>
      </c>
      <c r="P367" s="295">
        <v>17.379487999999998</v>
      </c>
      <c r="Q367" s="295">
        <v>17.540754</v>
      </c>
      <c r="R367" s="295">
        <v>17.702083999999999</v>
      </c>
      <c r="S367" s="295">
        <v>17.853045000000002</v>
      </c>
      <c r="T367" s="295">
        <v>18.161622999999999</v>
      </c>
      <c r="U367" s="295">
        <v>18.464945</v>
      </c>
      <c r="V367" s="295">
        <v>18.511952999999998</v>
      </c>
      <c r="W367" s="295">
        <v>18.933668000000001</v>
      </c>
      <c r="X367" s="295">
        <v>19.201376</v>
      </c>
      <c r="Y367" s="295">
        <v>19.386066</v>
      </c>
      <c r="Z367" s="295">
        <v>19.782837000000001</v>
      </c>
      <c r="AA367" s="295">
        <v>19.862282</v>
      </c>
      <c r="AB367" s="295">
        <v>19.891548</v>
      </c>
      <c r="AC367" s="295">
        <v>20.226320000000001</v>
      </c>
      <c r="AD367" s="295">
        <v>20.384836</v>
      </c>
      <c r="AE367" s="295">
        <v>20.381083</v>
      </c>
      <c r="AF367" s="295">
        <v>20.504282</v>
      </c>
      <c r="AG367" s="295">
        <v>20.515535</v>
      </c>
      <c r="AH367" s="296">
        <v>2.5749000000000001E-2</v>
      </c>
    </row>
    <row r="368" spans="1:34" ht="15" customHeight="1" x14ac:dyDescent="0.25">
      <c r="A368" s="213" t="s">
        <v>1289</v>
      </c>
      <c r="B368" s="294" t="s">
        <v>1290</v>
      </c>
      <c r="C368" s="295">
        <v>18.329231</v>
      </c>
      <c r="D368" s="295">
        <v>18.273346</v>
      </c>
      <c r="E368" s="295">
        <v>19.046023999999999</v>
      </c>
      <c r="F368" s="295">
        <v>20.623405000000002</v>
      </c>
      <c r="G368" s="295">
        <v>21.297197000000001</v>
      </c>
      <c r="H368" s="295">
        <v>21.785954</v>
      </c>
      <c r="I368" s="295">
        <v>22.210991</v>
      </c>
      <c r="J368" s="295">
        <v>22.593557000000001</v>
      </c>
      <c r="K368" s="295">
        <v>22.971128</v>
      </c>
      <c r="L368" s="295">
        <v>23.195786999999999</v>
      </c>
      <c r="M368" s="295">
        <v>23.947137999999999</v>
      </c>
      <c r="N368" s="295">
        <v>24.199486</v>
      </c>
      <c r="O368" s="295">
        <v>24.494249</v>
      </c>
      <c r="P368" s="295">
        <v>24.627996</v>
      </c>
      <c r="Q368" s="295">
        <v>24.729305</v>
      </c>
      <c r="R368" s="295">
        <v>24.859311999999999</v>
      </c>
      <c r="S368" s="295">
        <v>24.912538999999999</v>
      </c>
      <c r="T368" s="295">
        <v>25.176369000000001</v>
      </c>
      <c r="U368" s="295">
        <v>25.368034000000002</v>
      </c>
      <c r="V368" s="295">
        <v>25.366301</v>
      </c>
      <c r="W368" s="295">
        <v>25.751277999999999</v>
      </c>
      <c r="X368" s="295">
        <v>25.980412000000001</v>
      </c>
      <c r="Y368" s="295">
        <v>26.118195</v>
      </c>
      <c r="Z368" s="295">
        <v>26.363329</v>
      </c>
      <c r="AA368" s="295">
        <v>26.420486</v>
      </c>
      <c r="AB368" s="295">
        <v>26.377047000000001</v>
      </c>
      <c r="AC368" s="295">
        <v>26.680728999999999</v>
      </c>
      <c r="AD368" s="295">
        <v>26.790631999999999</v>
      </c>
      <c r="AE368" s="295">
        <v>26.803560000000001</v>
      </c>
      <c r="AF368" s="295">
        <v>26.926409</v>
      </c>
      <c r="AG368" s="295">
        <v>26.899525000000001</v>
      </c>
      <c r="AH368" s="296">
        <v>1.2869E-2</v>
      </c>
    </row>
    <row r="369" spans="1:34" ht="15" customHeight="1" x14ac:dyDescent="0.25">
      <c r="A369" s="213" t="s">
        <v>1291</v>
      </c>
      <c r="B369" s="294" t="s">
        <v>1060</v>
      </c>
      <c r="C369" s="295">
        <v>9.2080660000000005</v>
      </c>
      <c r="D369" s="295">
        <v>6.9896099999999999</v>
      </c>
      <c r="E369" s="295">
        <v>7.2794930000000004</v>
      </c>
      <c r="F369" s="295">
        <v>8.2561239999999998</v>
      </c>
      <c r="G369" s="295">
        <v>9.5382689999999997</v>
      </c>
      <c r="H369" s="295">
        <v>10.436764999999999</v>
      </c>
      <c r="I369" s="295">
        <v>10.628365000000001</v>
      </c>
      <c r="J369" s="295">
        <v>11.623129</v>
      </c>
      <c r="K369" s="295">
        <v>12.019511</v>
      </c>
      <c r="L369" s="295">
        <v>12.298515</v>
      </c>
      <c r="M369" s="295">
        <v>11.720955999999999</v>
      </c>
      <c r="N369" s="295">
        <v>12.869246</v>
      </c>
      <c r="O369" s="295">
        <v>13.091429</v>
      </c>
      <c r="P369" s="295">
        <v>13.261008</v>
      </c>
      <c r="Q369" s="295">
        <v>13.353704</v>
      </c>
      <c r="R369" s="295">
        <v>13.466514</v>
      </c>
      <c r="S369" s="295">
        <v>13.581047999999999</v>
      </c>
      <c r="T369" s="295">
        <v>13.655549000000001</v>
      </c>
      <c r="U369" s="295">
        <v>13.880350999999999</v>
      </c>
      <c r="V369" s="295">
        <v>13.871862</v>
      </c>
      <c r="W369" s="295">
        <v>14.331268</v>
      </c>
      <c r="X369" s="295">
        <v>14.39934</v>
      </c>
      <c r="Y369" s="295">
        <v>14.355679</v>
      </c>
      <c r="Z369" s="295">
        <v>15.003704000000001</v>
      </c>
      <c r="AA369" s="295">
        <v>15.172947000000001</v>
      </c>
      <c r="AB369" s="295">
        <v>15.124024</v>
      </c>
      <c r="AC369" s="295">
        <v>15.672876</v>
      </c>
      <c r="AD369" s="295">
        <v>15.934730999999999</v>
      </c>
      <c r="AE369" s="295">
        <v>16.016013999999998</v>
      </c>
      <c r="AF369" s="295">
        <v>16.104278999999998</v>
      </c>
      <c r="AG369" s="295">
        <v>16.228577000000001</v>
      </c>
      <c r="AH369" s="296">
        <v>1.9068999999999999E-2</v>
      </c>
    </row>
    <row r="370" spans="1:34" ht="15" customHeight="1" x14ac:dyDescent="0.25">
      <c r="A370" s="213" t="s">
        <v>1292</v>
      </c>
      <c r="B370" s="294" t="s">
        <v>1293</v>
      </c>
      <c r="C370" s="295">
        <v>13.013437</v>
      </c>
      <c r="D370" s="295">
        <v>13.549860000000001</v>
      </c>
      <c r="E370" s="295">
        <v>14.103418</v>
      </c>
      <c r="F370" s="295">
        <v>13.663523</v>
      </c>
      <c r="G370" s="295">
        <v>13.213331</v>
      </c>
      <c r="H370" s="295">
        <v>12.980700000000001</v>
      </c>
      <c r="I370" s="295">
        <v>12.840733999999999</v>
      </c>
      <c r="J370" s="295">
        <v>12.638794000000001</v>
      </c>
      <c r="K370" s="295">
        <v>12.448757000000001</v>
      </c>
      <c r="L370" s="295">
        <v>12.265294000000001</v>
      </c>
      <c r="M370" s="295">
        <v>12.755559</v>
      </c>
      <c r="N370" s="295">
        <v>12.486568999999999</v>
      </c>
      <c r="O370" s="295">
        <v>12.408625000000001</v>
      </c>
      <c r="P370" s="295">
        <v>12.283224000000001</v>
      </c>
      <c r="Q370" s="295">
        <v>12.144088999999999</v>
      </c>
      <c r="R370" s="295">
        <v>12.011392000000001</v>
      </c>
      <c r="S370" s="295">
        <v>11.887935000000001</v>
      </c>
      <c r="T370" s="295">
        <v>11.770106999999999</v>
      </c>
      <c r="U370" s="295">
        <v>11.717392</v>
      </c>
      <c r="V370" s="295">
        <v>11.624411</v>
      </c>
      <c r="W370" s="295">
        <v>11.580387</v>
      </c>
      <c r="X370" s="295">
        <v>11.506880000000001</v>
      </c>
      <c r="Y370" s="295">
        <v>11.445311999999999</v>
      </c>
      <c r="Z370" s="295">
        <v>11.382652999999999</v>
      </c>
      <c r="AA370" s="295">
        <v>11.334954</v>
      </c>
      <c r="AB370" s="295">
        <v>11.304909</v>
      </c>
      <c r="AC370" s="295">
        <v>11.286099</v>
      </c>
      <c r="AD370" s="295">
        <v>11.28459</v>
      </c>
      <c r="AE370" s="295">
        <v>11.294017999999999</v>
      </c>
      <c r="AF370" s="295">
        <v>11.327301</v>
      </c>
      <c r="AG370" s="295">
        <v>11.347664999999999</v>
      </c>
      <c r="AH370" s="296">
        <v>-4.555E-3</v>
      </c>
    </row>
    <row r="371" spans="1:34" ht="15" customHeight="1" x14ac:dyDescent="0.25">
      <c r="A371" s="213" t="s">
        <v>1294</v>
      </c>
      <c r="B371" s="294" t="s">
        <v>1265</v>
      </c>
      <c r="C371" s="295">
        <v>34.841343000000002</v>
      </c>
      <c r="D371" s="295">
        <v>36.389786000000001</v>
      </c>
      <c r="E371" s="295">
        <v>35.617527000000003</v>
      </c>
      <c r="F371" s="295">
        <v>34.944107000000002</v>
      </c>
      <c r="G371" s="295">
        <v>34.428542999999998</v>
      </c>
      <c r="H371" s="295">
        <v>34.413761000000001</v>
      </c>
      <c r="I371" s="295">
        <v>34.636916999999997</v>
      </c>
      <c r="J371" s="295">
        <v>34.727820999999999</v>
      </c>
      <c r="K371" s="295">
        <v>34.804482</v>
      </c>
      <c r="L371" s="295">
        <v>34.925434000000003</v>
      </c>
      <c r="M371" s="295">
        <v>34.843421999999997</v>
      </c>
      <c r="N371" s="295">
        <v>34.976954999999997</v>
      </c>
      <c r="O371" s="295">
        <v>34.950581</v>
      </c>
      <c r="P371" s="295">
        <v>35.159678999999997</v>
      </c>
      <c r="Q371" s="295">
        <v>35.215763000000003</v>
      </c>
      <c r="R371" s="295">
        <v>35.118279000000001</v>
      </c>
      <c r="S371" s="295">
        <v>35.017761</v>
      </c>
      <c r="T371" s="295">
        <v>34.933582000000001</v>
      </c>
      <c r="U371" s="295">
        <v>34.798606999999997</v>
      </c>
      <c r="V371" s="295">
        <v>34.639476999999999</v>
      </c>
      <c r="W371" s="295">
        <v>34.525359999999999</v>
      </c>
      <c r="X371" s="295">
        <v>34.392944</v>
      </c>
      <c r="Y371" s="295">
        <v>34.255809999999997</v>
      </c>
      <c r="Z371" s="295">
        <v>33.950023999999999</v>
      </c>
      <c r="AA371" s="295">
        <v>33.772938000000003</v>
      </c>
      <c r="AB371" s="295">
        <v>33.615543000000002</v>
      </c>
      <c r="AC371" s="295">
        <v>33.415622999999997</v>
      </c>
      <c r="AD371" s="295">
        <v>33.253639</v>
      </c>
      <c r="AE371" s="295">
        <v>33.127701000000002</v>
      </c>
      <c r="AF371" s="295">
        <v>32.973610000000001</v>
      </c>
      <c r="AG371" s="295">
        <v>32.717269999999999</v>
      </c>
      <c r="AH371" s="296">
        <v>-2.0950000000000001E-3</v>
      </c>
    </row>
    <row r="373" spans="1:34" ht="15" customHeight="1" x14ac:dyDescent="0.2">
      <c r="B373" s="204" t="s">
        <v>1295</v>
      </c>
    </row>
    <row r="374" spans="1:34" ht="15" customHeight="1" x14ac:dyDescent="0.25">
      <c r="A374" s="213" t="s">
        <v>1296</v>
      </c>
      <c r="B374" s="294" t="s">
        <v>1058</v>
      </c>
      <c r="C374" s="295">
        <v>17.709454000000001</v>
      </c>
      <c r="D374" s="295">
        <v>17.736681000000001</v>
      </c>
      <c r="E374" s="295">
        <v>17.849488999999998</v>
      </c>
      <c r="F374" s="295">
        <v>18.286124999999998</v>
      </c>
      <c r="G374" s="295">
        <v>18.340199999999999</v>
      </c>
      <c r="H374" s="295">
        <v>18.197597999999999</v>
      </c>
      <c r="I374" s="295">
        <v>17.801485</v>
      </c>
      <c r="J374" s="295">
        <v>18.115117999999999</v>
      </c>
      <c r="K374" s="295">
        <v>18.547117</v>
      </c>
      <c r="L374" s="295">
        <v>18.745708</v>
      </c>
      <c r="M374" s="295">
        <v>19.122778</v>
      </c>
      <c r="N374" s="295">
        <v>19.226334000000001</v>
      </c>
      <c r="O374" s="295">
        <v>19.518585000000002</v>
      </c>
      <c r="P374" s="295">
        <v>19.684090000000001</v>
      </c>
      <c r="Q374" s="295">
        <v>19.856324999999998</v>
      </c>
      <c r="R374" s="295">
        <v>19.987324000000001</v>
      </c>
      <c r="S374" s="295">
        <v>20.136797000000001</v>
      </c>
      <c r="T374" s="295">
        <v>20.414366000000001</v>
      </c>
      <c r="U374" s="295">
        <v>20.602679999999999</v>
      </c>
      <c r="V374" s="295">
        <v>20.629332000000002</v>
      </c>
      <c r="W374" s="295">
        <v>21.084249</v>
      </c>
      <c r="X374" s="295">
        <v>21.313354</v>
      </c>
      <c r="Y374" s="295">
        <v>21.467369000000001</v>
      </c>
      <c r="Z374" s="295">
        <v>21.806847000000001</v>
      </c>
      <c r="AA374" s="295">
        <v>21.819689</v>
      </c>
      <c r="AB374" s="295">
        <v>21.831968</v>
      </c>
      <c r="AC374" s="295">
        <v>22.152266000000001</v>
      </c>
      <c r="AD374" s="295">
        <v>22.286465</v>
      </c>
      <c r="AE374" s="295">
        <v>22.284217999999999</v>
      </c>
      <c r="AF374" s="295">
        <v>22.403027000000002</v>
      </c>
      <c r="AG374" s="295">
        <v>22.384056000000001</v>
      </c>
      <c r="AH374" s="296">
        <v>7.8390000000000005E-3</v>
      </c>
    </row>
    <row r="375" spans="1:34" ht="15" customHeight="1" x14ac:dyDescent="0.25">
      <c r="A375" s="213" t="s">
        <v>1297</v>
      </c>
      <c r="B375" s="294" t="s">
        <v>1060</v>
      </c>
      <c r="C375" s="295">
        <v>8.2907849999999996</v>
      </c>
      <c r="D375" s="295">
        <v>8.8505050000000001</v>
      </c>
      <c r="E375" s="295">
        <v>9.7519310000000008</v>
      </c>
      <c r="F375" s="295">
        <v>10.984901000000001</v>
      </c>
      <c r="G375" s="295">
        <v>11.933863000000001</v>
      </c>
      <c r="H375" s="295">
        <v>12.652984999999999</v>
      </c>
      <c r="I375" s="295">
        <v>13.308279000000001</v>
      </c>
      <c r="J375" s="295">
        <v>13.621131</v>
      </c>
      <c r="K375" s="295">
        <v>14.037400999999999</v>
      </c>
      <c r="L375" s="295">
        <v>14.243209999999999</v>
      </c>
      <c r="M375" s="295">
        <v>14.673905</v>
      </c>
      <c r="N375" s="295">
        <v>14.860886000000001</v>
      </c>
      <c r="O375" s="295">
        <v>15.106888</v>
      </c>
      <c r="P375" s="295">
        <v>15.261984</v>
      </c>
      <c r="Q375" s="295">
        <v>15.383951</v>
      </c>
      <c r="R375" s="295">
        <v>15.521896999999999</v>
      </c>
      <c r="S375" s="295">
        <v>15.602078000000001</v>
      </c>
      <c r="T375" s="295">
        <v>15.679478</v>
      </c>
      <c r="U375" s="295">
        <v>15.899034</v>
      </c>
      <c r="V375" s="295">
        <v>15.880424</v>
      </c>
      <c r="W375" s="295">
        <v>16.378768999999998</v>
      </c>
      <c r="X375" s="295">
        <v>16.489996000000001</v>
      </c>
      <c r="Y375" s="295">
        <v>16.481967999999998</v>
      </c>
      <c r="Z375" s="295">
        <v>16.547727999999999</v>
      </c>
      <c r="AA375" s="295">
        <v>16.464558</v>
      </c>
      <c r="AB375" s="295">
        <v>16.218039999999998</v>
      </c>
      <c r="AC375" s="295">
        <v>16.41395</v>
      </c>
      <c r="AD375" s="295">
        <v>16.56711</v>
      </c>
      <c r="AE375" s="295">
        <v>16.69183</v>
      </c>
      <c r="AF375" s="295">
        <v>16.822192999999999</v>
      </c>
      <c r="AG375" s="295">
        <v>16.941462999999999</v>
      </c>
      <c r="AH375" s="296">
        <v>2.4107E-2</v>
      </c>
    </row>
    <row r="376" spans="1:34" ht="15" customHeight="1" x14ac:dyDescent="0.25">
      <c r="A376" s="213" t="s">
        <v>1298</v>
      </c>
      <c r="B376" s="294" t="s">
        <v>152</v>
      </c>
      <c r="C376" s="295">
        <v>2.4475289999999998</v>
      </c>
      <c r="D376" s="295">
        <v>3.500251</v>
      </c>
      <c r="E376" s="295">
        <v>3.6043889999999998</v>
      </c>
      <c r="F376" s="295">
        <v>3.3732150000000001</v>
      </c>
      <c r="G376" s="295">
        <v>3.1497820000000001</v>
      </c>
      <c r="H376" s="295">
        <v>3.2386529999999998</v>
      </c>
      <c r="I376" s="295">
        <v>3.3265920000000002</v>
      </c>
      <c r="J376" s="295">
        <v>3.3708650000000002</v>
      </c>
      <c r="K376" s="295">
        <v>3.4824510000000002</v>
      </c>
      <c r="L376" s="295">
        <v>3.5863800000000001</v>
      </c>
      <c r="M376" s="295">
        <v>3.6098659999999998</v>
      </c>
      <c r="N376" s="295">
        <v>3.6081080000000001</v>
      </c>
      <c r="O376" s="295">
        <v>3.6624859999999999</v>
      </c>
      <c r="P376" s="295">
        <v>3.72994</v>
      </c>
      <c r="Q376" s="295">
        <v>3.7634189999999998</v>
      </c>
      <c r="R376" s="295">
        <v>3.7636569999999998</v>
      </c>
      <c r="S376" s="295">
        <v>3.7659090000000002</v>
      </c>
      <c r="T376" s="295">
        <v>3.745787</v>
      </c>
      <c r="U376" s="295">
        <v>3.7747510000000002</v>
      </c>
      <c r="V376" s="295">
        <v>3.7731129999999999</v>
      </c>
      <c r="W376" s="295">
        <v>3.7718400000000001</v>
      </c>
      <c r="X376" s="295">
        <v>3.7619180000000001</v>
      </c>
      <c r="Y376" s="295">
        <v>3.7476910000000001</v>
      </c>
      <c r="Z376" s="295">
        <v>3.7319469999999999</v>
      </c>
      <c r="AA376" s="295">
        <v>3.731636</v>
      </c>
      <c r="AB376" s="295">
        <v>3.7389190000000001</v>
      </c>
      <c r="AC376" s="295">
        <v>3.7431589999999999</v>
      </c>
      <c r="AD376" s="295">
        <v>3.7627120000000001</v>
      </c>
      <c r="AE376" s="295">
        <v>3.8107440000000001</v>
      </c>
      <c r="AF376" s="295">
        <v>3.8606910000000001</v>
      </c>
      <c r="AG376" s="295">
        <v>3.9015369999999998</v>
      </c>
      <c r="AH376" s="296">
        <v>1.5664000000000001E-2</v>
      </c>
    </row>
    <row r="377" spans="1:34" ht="15" customHeight="1" x14ac:dyDescent="0.25">
      <c r="A377" s="213" t="s">
        <v>1299</v>
      </c>
      <c r="B377" s="294" t="s">
        <v>1172</v>
      </c>
      <c r="C377" s="295">
        <v>1.9632609999999999</v>
      </c>
      <c r="D377" s="295">
        <v>1.9911140000000001</v>
      </c>
      <c r="E377" s="295">
        <v>2.0229509999999999</v>
      </c>
      <c r="F377" s="295">
        <v>1.9492659999999999</v>
      </c>
      <c r="G377" s="295">
        <v>1.9309639999999999</v>
      </c>
      <c r="H377" s="295">
        <v>1.893561</v>
      </c>
      <c r="I377" s="295">
        <v>1.8771329999999999</v>
      </c>
      <c r="J377" s="295">
        <v>1.8653660000000001</v>
      </c>
      <c r="K377" s="295">
        <v>1.8418840000000001</v>
      </c>
      <c r="L377" s="295">
        <v>1.843364</v>
      </c>
      <c r="M377" s="295">
        <v>1.831437</v>
      </c>
      <c r="N377" s="295">
        <v>1.8349789999999999</v>
      </c>
      <c r="O377" s="295">
        <v>1.8227390000000001</v>
      </c>
      <c r="P377" s="295">
        <v>1.816109</v>
      </c>
      <c r="Q377" s="295">
        <v>1.8157920000000001</v>
      </c>
      <c r="R377" s="295">
        <v>1.8079130000000001</v>
      </c>
      <c r="S377" s="295">
        <v>1.805229</v>
      </c>
      <c r="T377" s="295">
        <v>1.803245</v>
      </c>
      <c r="U377" s="295">
        <v>1.814559</v>
      </c>
      <c r="V377" s="295">
        <v>1.8075209999999999</v>
      </c>
      <c r="W377" s="295">
        <v>1.8072919999999999</v>
      </c>
      <c r="X377" s="295">
        <v>1.8055570000000001</v>
      </c>
      <c r="Y377" s="295">
        <v>1.805439</v>
      </c>
      <c r="Z377" s="295">
        <v>1.8055060000000001</v>
      </c>
      <c r="AA377" s="295">
        <v>1.7930459999999999</v>
      </c>
      <c r="AB377" s="295">
        <v>1.7905660000000001</v>
      </c>
      <c r="AC377" s="295">
        <v>1.7912999999999999</v>
      </c>
      <c r="AD377" s="295">
        <v>1.788813</v>
      </c>
      <c r="AE377" s="295">
        <v>1.785466</v>
      </c>
      <c r="AF377" s="295">
        <v>1.7867500000000001</v>
      </c>
      <c r="AG377" s="295">
        <v>1.7877940000000001</v>
      </c>
      <c r="AH377" s="296">
        <v>-3.1159999999999998E-3</v>
      </c>
    </row>
    <row r="378" spans="1:34" ht="15" customHeight="1" x14ac:dyDescent="0.25">
      <c r="A378" s="213" t="s">
        <v>1300</v>
      </c>
      <c r="B378" s="294" t="s">
        <v>1301</v>
      </c>
      <c r="C378" s="295">
        <v>0.68612300000000004</v>
      </c>
      <c r="D378" s="295">
        <v>0.68712899999999999</v>
      </c>
      <c r="E378" s="295">
        <v>0.68813500000000005</v>
      </c>
      <c r="F378" s="295">
        <v>0.69014699999999995</v>
      </c>
      <c r="G378" s="295">
        <v>0.69115300000000002</v>
      </c>
      <c r="H378" s="295">
        <v>0.69316500000000003</v>
      </c>
      <c r="I378" s="295">
        <v>0.69417099999999998</v>
      </c>
      <c r="J378" s="295">
        <v>0.696183</v>
      </c>
      <c r="K378" s="295">
        <v>0.69718899999999995</v>
      </c>
      <c r="L378" s="295">
        <v>0.69920099999999996</v>
      </c>
      <c r="M378" s="295">
        <v>0.70121299999999998</v>
      </c>
      <c r="N378" s="295">
        <v>0.70221900000000004</v>
      </c>
      <c r="O378" s="295">
        <v>0.70423100000000005</v>
      </c>
      <c r="P378" s="295">
        <v>0.70624299999999995</v>
      </c>
      <c r="Q378" s="295">
        <v>0.70724900000000002</v>
      </c>
      <c r="R378" s="295">
        <v>0.70926199999999995</v>
      </c>
      <c r="S378" s="295">
        <v>0.71127399999999996</v>
      </c>
      <c r="T378" s="295">
        <v>0.71228000000000002</v>
      </c>
      <c r="U378" s="295">
        <v>0.71429200000000004</v>
      </c>
      <c r="V378" s="295">
        <v>0.71630400000000005</v>
      </c>
      <c r="W378" s="295">
        <v>0.71831599999999995</v>
      </c>
      <c r="X378" s="295">
        <v>0.72032799999999997</v>
      </c>
      <c r="Y378" s="295">
        <v>0.72233999999999998</v>
      </c>
      <c r="Z378" s="295">
        <v>0.724352</v>
      </c>
      <c r="AA378" s="295">
        <v>0.72636400000000001</v>
      </c>
      <c r="AB378" s="295">
        <v>0.72837600000000002</v>
      </c>
      <c r="AC378" s="295">
        <v>0.73038800000000004</v>
      </c>
      <c r="AD378" s="295">
        <v>0.73240099999999997</v>
      </c>
      <c r="AE378" s="295">
        <v>0.73441299999999998</v>
      </c>
      <c r="AF378" s="295">
        <v>0.736425</v>
      </c>
      <c r="AG378" s="295">
        <v>0.73843700000000001</v>
      </c>
      <c r="AH378" s="296">
        <v>2.4520000000000002E-3</v>
      </c>
    </row>
    <row r="381" spans="1:34" ht="15" customHeight="1" x14ac:dyDescent="0.2">
      <c r="B381" s="204" t="s">
        <v>1302</v>
      </c>
    </row>
    <row r="382" spans="1:34" ht="15" customHeight="1" x14ac:dyDescent="0.25">
      <c r="A382" s="213" t="s">
        <v>1303</v>
      </c>
      <c r="B382" s="294" t="s">
        <v>1036</v>
      </c>
      <c r="C382" s="295">
        <v>14.346581</v>
      </c>
      <c r="D382" s="295">
        <v>14.921747999999999</v>
      </c>
      <c r="E382" s="295">
        <v>15.432912</v>
      </c>
      <c r="F382" s="295">
        <v>15.185498000000001</v>
      </c>
      <c r="G382" s="295">
        <v>15.624696999999999</v>
      </c>
      <c r="H382" s="295">
        <v>16.084785</v>
      </c>
      <c r="I382" s="295">
        <v>16.484385</v>
      </c>
      <c r="J382" s="295">
        <v>16.770074999999999</v>
      </c>
      <c r="K382" s="295">
        <v>17.216595000000002</v>
      </c>
      <c r="L382" s="295">
        <v>17.506768999999998</v>
      </c>
      <c r="M382" s="295">
        <v>17.965813000000001</v>
      </c>
      <c r="N382" s="295">
        <v>18.225525000000001</v>
      </c>
      <c r="O382" s="295">
        <v>18.551182000000001</v>
      </c>
      <c r="P382" s="295">
        <v>18.789888000000001</v>
      </c>
      <c r="Q382" s="295">
        <v>18.970455000000001</v>
      </c>
      <c r="R382" s="295">
        <v>19.134841999999999</v>
      </c>
      <c r="S382" s="295">
        <v>19.329262</v>
      </c>
      <c r="T382" s="295">
        <v>19.505749000000002</v>
      </c>
      <c r="U382" s="295">
        <v>19.715443</v>
      </c>
      <c r="V382" s="295">
        <v>19.866772000000001</v>
      </c>
      <c r="W382" s="295">
        <v>20.107980999999999</v>
      </c>
      <c r="X382" s="295">
        <v>20.336114999999999</v>
      </c>
      <c r="Y382" s="295">
        <v>20.477595999999998</v>
      </c>
      <c r="Z382" s="295">
        <v>20.67098</v>
      </c>
      <c r="AA382" s="295">
        <v>20.796772000000001</v>
      </c>
      <c r="AB382" s="295">
        <v>20.788253999999998</v>
      </c>
      <c r="AC382" s="295">
        <v>20.987528000000001</v>
      </c>
      <c r="AD382" s="295">
        <v>21.185461</v>
      </c>
      <c r="AE382" s="295">
        <v>21.290223999999998</v>
      </c>
      <c r="AF382" s="295">
        <v>21.383932000000001</v>
      </c>
      <c r="AG382" s="295">
        <v>21.472774999999999</v>
      </c>
      <c r="AH382" s="296">
        <v>1.3533E-2</v>
      </c>
    </row>
    <row r="383" spans="1:34" ht="15" customHeight="1" x14ac:dyDescent="0.25">
      <c r="A383" s="213" t="s">
        <v>1304</v>
      </c>
      <c r="B383" s="294" t="s">
        <v>1284</v>
      </c>
      <c r="C383" s="295">
        <v>21.060583000000001</v>
      </c>
      <c r="D383" s="295">
        <v>22.146184999999999</v>
      </c>
      <c r="E383" s="295">
        <v>23.762771999999998</v>
      </c>
      <c r="F383" s="295">
        <v>24.028258999999998</v>
      </c>
      <c r="G383" s="295">
        <v>24.037443</v>
      </c>
      <c r="H383" s="295">
        <v>24.419589999999999</v>
      </c>
      <c r="I383" s="295">
        <v>24.594436999999999</v>
      </c>
      <c r="J383" s="295">
        <v>24.887339000000001</v>
      </c>
      <c r="K383" s="295">
        <v>25.569994000000001</v>
      </c>
      <c r="L383" s="295">
        <v>26.027909999999999</v>
      </c>
      <c r="M383" s="295">
        <v>27.143618</v>
      </c>
      <c r="N383" s="295">
        <v>27.288709999999998</v>
      </c>
      <c r="O383" s="295">
        <v>27.865879</v>
      </c>
      <c r="P383" s="295">
        <v>28.109138000000002</v>
      </c>
      <c r="Q383" s="295">
        <v>28.525244000000001</v>
      </c>
      <c r="R383" s="295">
        <v>28.765039000000002</v>
      </c>
      <c r="S383" s="295">
        <v>29.16386</v>
      </c>
      <c r="T383" s="295">
        <v>29.495522999999999</v>
      </c>
      <c r="U383" s="295">
        <v>29.907316000000002</v>
      </c>
      <c r="V383" s="295">
        <v>29.970499</v>
      </c>
      <c r="W383" s="295">
        <v>30.506793999999999</v>
      </c>
      <c r="X383" s="295">
        <v>30.810787000000001</v>
      </c>
      <c r="Y383" s="295">
        <v>31.019123</v>
      </c>
      <c r="Z383" s="295">
        <v>31.216325999999999</v>
      </c>
      <c r="AA383" s="295">
        <v>31.337109000000002</v>
      </c>
      <c r="AB383" s="295">
        <v>31.151344000000002</v>
      </c>
      <c r="AC383" s="295">
        <v>31.591562</v>
      </c>
      <c r="AD383" s="295">
        <v>31.735039</v>
      </c>
      <c r="AE383" s="295">
        <v>31.869351999999999</v>
      </c>
      <c r="AF383" s="295">
        <v>31.818169000000001</v>
      </c>
      <c r="AG383" s="295">
        <v>31.851942000000001</v>
      </c>
      <c r="AH383" s="296">
        <v>1.3885E-2</v>
      </c>
    </row>
    <row r="384" spans="1:34" ht="15" customHeight="1" x14ac:dyDescent="0.25">
      <c r="A384" s="213" t="s">
        <v>1305</v>
      </c>
      <c r="B384" s="294" t="s">
        <v>1286</v>
      </c>
      <c r="C384" s="295">
        <v>18.741731999999999</v>
      </c>
      <c r="D384" s="295">
        <v>19.573311</v>
      </c>
      <c r="E384" s="295">
        <v>19.945088999999999</v>
      </c>
      <c r="F384" s="295">
        <v>20.465281999999998</v>
      </c>
      <c r="G384" s="295">
        <v>20.523399000000001</v>
      </c>
      <c r="H384" s="295">
        <v>20.883133000000001</v>
      </c>
      <c r="I384" s="295">
        <v>21.068757999999999</v>
      </c>
      <c r="J384" s="295">
        <v>21.310596</v>
      </c>
      <c r="K384" s="295">
        <v>21.847967000000001</v>
      </c>
      <c r="L384" s="295">
        <v>22.213674999999999</v>
      </c>
      <c r="M384" s="295">
        <v>23.282709000000001</v>
      </c>
      <c r="N384" s="295">
        <v>23.385339999999999</v>
      </c>
      <c r="O384" s="295">
        <v>23.864628</v>
      </c>
      <c r="P384" s="295">
        <v>24.046417000000002</v>
      </c>
      <c r="Q384" s="295">
        <v>24.368258000000001</v>
      </c>
      <c r="R384" s="295">
        <v>24.554805999999999</v>
      </c>
      <c r="S384" s="295">
        <v>24.869215000000001</v>
      </c>
      <c r="T384" s="295">
        <v>25.132297999999999</v>
      </c>
      <c r="U384" s="295">
        <v>25.463638</v>
      </c>
      <c r="V384" s="295">
        <v>25.504778000000002</v>
      </c>
      <c r="W384" s="295">
        <v>25.94417</v>
      </c>
      <c r="X384" s="295">
        <v>26.187311000000001</v>
      </c>
      <c r="Y384" s="295">
        <v>26.350994</v>
      </c>
      <c r="Z384" s="295">
        <v>26.513508000000002</v>
      </c>
      <c r="AA384" s="295">
        <v>26.60894</v>
      </c>
      <c r="AB384" s="295">
        <v>26.444877999999999</v>
      </c>
      <c r="AC384" s="295">
        <v>26.803733999999999</v>
      </c>
      <c r="AD384" s="295">
        <v>26.917736000000001</v>
      </c>
      <c r="AE384" s="295">
        <v>27.020115000000001</v>
      </c>
      <c r="AF384" s="295">
        <v>26.971647000000001</v>
      </c>
      <c r="AG384" s="295">
        <v>26.995811</v>
      </c>
      <c r="AH384" s="296">
        <v>1.2239E-2</v>
      </c>
    </row>
    <row r="385" spans="1:34" ht="15" customHeight="1" x14ac:dyDescent="0.25">
      <c r="A385" s="213" t="s">
        <v>1306</v>
      </c>
      <c r="B385" s="294" t="s">
        <v>1288</v>
      </c>
      <c r="C385" s="295">
        <v>9.5686540000000004</v>
      </c>
      <c r="D385" s="295">
        <v>10.38209</v>
      </c>
      <c r="E385" s="295">
        <v>11.409501000000001</v>
      </c>
      <c r="F385" s="295">
        <v>12.686662999999999</v>
      </c>
      <c r="G385" s="295">
        <v>13.670933</v>
      </c>
      <c r="H385" s="295">
        <v>14.324781</v>
      </c>
      <c r="I385" s="295">
        <v>14.882508</v>
      </c>
      <c r="J385" s="295">
        <v>15.202828</v>
      </c>
      <c r="K385" s="295">
        <v>15.737565999999999</v>
      </c>
      <c r="L385" s="295">
        <v>16.006945000000002</v>
      </c>
      <c r="M385" s="295">
        <v>16.443601999999998</v>
      </c>
      <c r="N385" s="295">
        <v>16.788630000000001</v>
      </c>
      <c r="O385" s="295">
        <v>17.151931999999999</v>
      </c>
      <c r="P385" s="295">
        <v>17.379487999999998</v>
      </c>
      <c r="Q385" s="295">
        <v>17.540754</v>
      </c>
      <c r="R385" s="295">
        <v>17.702083999999999</v>
      </c>
      <c r="S385" s="295">
        <v>17.853045000000002</v>
      </c>
      <c r="T385" s="295">
        <v>18.161622999999999</v>
      </c>
      <c r="U385" s="295">
        <v>18.464945</v>
      </c>
      <c r="V385" s="295">
        <v>18.511952999999998</v>
      </c>
      <c r="W385" s="295">
        <v>18.933668000000001</v>
      </c>
      <c r="X385" s="295">
        <v>19.201376</v>
      </c>
      <c r="Y385" s="295">
        <v>19.386066</v>
      </c>
      <c r="Z385" s="295">
        <v>19.782837000000001</v>
      </c>
      <c r="AA385" s="295">
        <v>19.862282</v>
      </c>
      <c r="AB385" s="295">
        <v>19.891548</v>
      </c>
      <c r="AC385" s="295">
        <v>20.226320000000001</v>
      </c>
      <c r="AD385" s="295">
        <v>20.384836</v>
      </c>
      <c r="AE385" s="295">
        <v>20.381083</v>
      </c>
      <c r="AF385" s="295">
        <v>20.504282</v>
      </c>
      <c r="AG385" s="295">
        <v>20.515535</v>
      </c>
      <c r="AH385" s="296">
        <v>2.5749000000000001E-2</v>
      </c>
    </row>
    <row r="386" spans="1:34" ht="15" customHeight="1" x14ac:dyDescent="0.25">
      <c r="A386" s="213" t="s">
        <v>1307</v>
      </c>
      <c r="B386" s="294" t="s">
        <v>1058</v>
      </c>
      <c r="C386" s="295">
        <v>18.184811</v>
      </c>
      <c r="D386" s="295">
        <v>18.148792</v>
      </c>
      <c r="E386" s="295">
        <v>18.822013999999999</v>
      </c>
      <c r="F386" s="295">
        <v>20.264175000000002</v>
      </c>
      <c r="G386" s="295">
        <v>20.845184</v>
      </c>
      <c r="H386" s="295">
        <v>21.206381</v>
      </c>
      <c r="I386" s="295">
        <v>21.495951000000002</v>
      </c>
      <c r="J386" s="295">
        <v>21.784077</v>
      </c>
      <c r="K386" s="295">
        <v>22.244188000000001</v>
      </c>
      <c r="L386" s="295">
        <v>22.459275999999999</v>
      </c>
      <c r="M386" s="295">
        <v>23.105626999999998</v>
      </c>
      <c r="N386" s="295">
        <v>23.322846999999999</v>
      </c>
      <c r="O386" s="295">
        <v>23.617177999999999</v>
      </c>
      <c r="P386" s="295">
        <v>23.736338</v>
      </c>
      <c r="Q386" s="295">
        <v>23.837885</v>
      </c>
      <c r="R386" s="295">
        <v>23.945634999999999</v>
      </c>
      <c r="S386" s="295">
        <v>24.003824000000002</v>
      </c>
      <c r="T386" s="295">
        <v>24.256943</v>
      </c>
      <c r="U386" s="295">
        <v>24.460791</v>
      </c>
      <c r="V386" s="295">
        <v>24.445608</v>
      </c>
      <c r="W386" s="295">
        <v>24.82995</v>
      </c>
      <c r="X386" s="295">
        <v>25.051601000000002</v>
      </c>
      <c r="Y386" s="295">
        <v>25.185835000000001</v>
      </c>
      <c r="Z386" s="295">
        <v>25.426183999999999</v>
      </c>
      <c r="AA386" s="295">
        <v>25.421391</v>
      </c>
      <c r="AB386" s="295">
        <v>25.435822000000002</v>
      </c>
      <c r="AC386" s="295">
        <v>25.734095</v>
      </c>
      <c r="AD386" s="295">
        <v>25.85932</v>
      </c>
      <c r="AE386" s="295">
        <v>25.839624000000001</v>
      </c>
      <c r="AF386" s="295">
        <v>25.950748000000001</v>
      </c>
      <c r="AG386" s="295">
        <v>25.91798</v>
      </c>
      <c r="AH386" s="296">
        <v>1.1882E-2</v>
      </c>
    </row>
    <row r="387" spans="1:34" ht="15" customHeight="1" x14ac:dyDescent="0.25">
      <c r="A387" s="213" t="s">
        <v>1308</v>
      </c>
      <c r="B387" s="294" t="s">
        <v>1060</v>
      </c>
      <c r="C387" s="295">
        <v>8.8440239999999992</v>
      </c>
      <c r="D387" s="295">
        <v>6.9484919999999999</v>
      </c>
      <c r="E387" s="295">
        <v>7.3304039999999997</v>
      </c>
      <c r="F387" s="295">
        <v>8.3550690000000003</v>
      </c>
      <c r="G387" s="295">
        <v>9.6273780000000002</v>
      </c>
      <c r="H387" s="295">
        <v>10.548054</v>
      </c>
      <c r="I387" s="295">
        <v>10.81873</v>
      </c>
      <c r="J387" s="295">
        <v>11.746345</v>
      </c>
      <c r="K387" s="295">
        <v>12.14523</v>
      </c>
      <c r="L387" s="295">
        <v>12.419244000000001</v>
      </c>
      <c r="M387" s="295">
        <v>11.936453</v>
      </c>
      <c r="N387" s="295">
        <v>12.992946</v>
      </c>
      <c r="O387" s="295">
        <v>13.219483</v>
      </c>
      <c r="P387" s="295">
        <v>13.389030999999999</v>
      </c>
      <c r="Q387" s="295">
        <v>13.484859</v>
      </c>
      <c r="R387" s="295">
        <v>13.600291</v>
      </c>
      <c r="S387" s="295">
        <v>13.707050000000001</v>
      </c>
      <c r="T387" s="295">
        <v>13.773096000000001</v>
      </c>
      <c r="U387" s="295">
        <v>13.999563999999999</v>
      </c>
      <c r="V387" s="295">
        <v>13.990041</v>
      </c>
      <c r="W387" s="295">
        <v>14.474513</v>
      </c>
      <c r="X387" s="295">
        <v>14.546669</v>
      </c>
      <c r="Y387" s="295">
        <v>14.519397</v>
      </c>
      <c r="Z387" s="295">
        <v>15.104215999999999</v>
      </c>
      <c r="AA387" s="295">
        <v>15.258431</v>
      </c>
      <c r="AB387" s="295">
        <v>15.201715</v>
      </c>
      <c r="AC387" s="295">
        <v>15.712348</v>
      </c>
      <c r="AD387" s="295">
        <v>15.960597</v>
      </c>
      <c r="AE387" s="295">
        <v>16.043537000000001</v>
      </c>
      <c r="AF387" s="295">
        <v>16.134604</v>
      </c>
      <c r="AG387" s="295">
        <v>16.256782999999999</v>
      </c>
      <c r="AH387" s="296">
        <v>2.0500000000000001E-2</v>
      </c>
    </row>
    <row r="388" spans="1:34" ht="15" customHeight="1" x14ac:dyDescent="0.25">
      <c r="A388" s="213" t="s">
        <v>1309</v>
      </c>
      <c r="B388" s="294" t="s">
        <v>152</v>
      </c>
      <c r="C388" s="295">
        <v>4.5260930000000004</v>
      </c>
      <c r="D388" s="295">
        <v>5.4667700000000004</v>
      </c>
      <c r="E388" s="295">
        <v>5.5877999999999997</v>
      </c>
      <c r="F388" s="295">
        <v>5.3569000000000004</v>
      </c>
      <c r="G388" s="295">
        <v>5.157864</v>
      </c>
      <c r="H388" s="295">
        <v>5.2057700000000002</v>
      </c>
      <c r="I388" s="295">
        <v>5.2906519999999997</v>
      </c>
      <c r="J388" s="295">
        <v>5.350447</v>
      </c>
      <c r="K388" s="295">
        <v>5.4704040000000003</v>
      </c>
      <c r="L388" s="295">
        <v>5.5807399999999996</v>
      </c>
      <c r="M388" s="295">
        <v>5.7013809999999996</v>
      </c>
      <c r="N388" s="295">
        <v>5.7061950000000001</v>
      </c>
      <c r="O388" s="295">
        <v>5.7653309999999998</v>
      </c>
      <c r="P388" s="295">
        <v>5.8418159999999997</v>
      </c>
      <c r="Q388" s="295">
        <v>5.8763540000000001</v>
      </c>
      <c r="R388" s="295">
        <v>5.8924969999999997</v>
      </c>
      <c r="S388" s="295">
        <v>5.8904940000000003</v>
      </c>
      <c r="T388" s="295">
        <v>5.8731749999999998</v>
      </c>
      <c r="U388" s="295">
        <v>5.8801360000000003</v>
      </c>
      <c r="V388" s="295">
        <v>5.8654000000000002</v>
      </c>
      <c r="W388" s="295">
        <v>5.8502700000000001</v>
      </c>
      <c r="X388" s="295">
        <v>5.8433200000000003</v>
      </c>
      <c r="Y388" s="295">
        <v>5.8191329999999999</v>
      </c>
      <c r="Z388" s="295">
        <v>5.7926469999999997</v>
      </c>
      <c r="AA388" s="295">
        <v>5.7784329999999997</v>
      </c>
      <c r="AB388" s="295">
        <v>5.7802480000000003</v>
      </c>
      <c r="AC388" s="295">
        <v>5.7813119999999998</v>
      </c>
      <c r="AD388" s="295">
        <v>5.7996850000000002</v>
      </c>
      <c r="AE388" s="295">
        <v>5.8323020000000003</v>
      </c>
      <c r="AF388" s="295">
        <v>5.874587</v>
      </c>
      <c r="AG388" s="295">
        <v>5.9039760000000001</v>
      </c>
      <c r="AH388" s="296">
        <v>8.8979999999999997E-3</v>
      </c>
    </row>
    <row r="389" spans="1:34" ht="15" customHeight="1" x14ac:dyDescent="0.25">
      <c r="A389" s="213" t="s">
        <v>1310</v>
      </c>
      <c r="B389" s="294" t="s">
        <v>1091</v>
      </c>
      <c r="C389" s="295">
        <v>4.01729</v>
      </c>
      <c r="D389" s="295">
        <v>3.6009570000000002</v>
      </c>
      <c r="E389" s="295">
        <v>3.3575499999999998</v>
      </c>
      <c r="F389" s="295">
        <v>3.2188159999999999</v>
      </c>
      <c r="G389" s="295">
        <v>3.136171</v>
      </c>
      <c r="H389" s="295">
        <v>3.0998329999999998</v>
      </c>
      <c r="I389" s="295">
        <v>3.0590670000000002</v>
      </c>
      <c r="J389" s="295">
        <v>3.0477449999999999</v>
      </c>
      <c r="K389" s="295">
        <v>3.0552410000000001</v>
      </c>
      <c r="L389" s="295">
        <v>3.0795460000000001</v>
      </c>
      <c r="M389" s="295">
        <v>3.1109</v>
      </c>
      <c r="N389" s="295">
        <v>3.1460279999999998</v>
      </c>
      <c r="O389" s="295">
        <v>3.17902</v>
      </c>
      <c r="P389" s="295">
        <v>3.2106629999999998</v>
      </c>
      <c r="Q389" s="295">
        <v>3.2437269999999998</v>
      </c>
      <c r="R389" s="295">
        <v>3.2775050000000001</v>
      </c>
      <c r="S389" s="295">
        <v>3.310343</v>
      </c>
      <c r="T389" s="295">
        <v>3.3446500000000001</v>
      </c>
      <c r="U389" s="295">
        <v>3.380706</v>
      </c>
      <c r="V389" s="295">
        <v>3.4141780000000002</v>
      </c>
      <c r="W389" s="295">
        <v>3.447819</v>
      </c>
      <c r="X389" s="295">
        <v>3.4831310000000002</v>
      </c>
      <c r="Y389" s="295">
        <v>3.5200279999999999</v>
      </c>
      <c r="Z389" s="295">
        <v>3.5590980000000001</v>
      </c>
      <c r="AA389" s="295">
        <v>3.5940370000000001</v>
      </c>
      <c r="AB389" s="295">
        <v>3.6316609999999998</v>
      </c>
      <c r="AC389" s="295">
        <v>3.6709079999999998</v>
      </c>
      <c r="AD389" s="295">
        <v>3.7096420000000001</v>
      </c>
      <c r="AE389" s="295">
        <v>3.7486899999999999</v>
      </c>
      <c r="AF389" s="295">
        <v>3.7900459999999998</v>
      </c>
      <c r="AG389" s="295">
        <v>3.83358</v>
      </c>
      <c r="AH389" s="296">
        <v>-1.5590000000000001E-3</v>
      </c>
    </row>
    <row r="390" spans="1:34" ht="15" customHeight="1" x14ac:dyDescent="0.25">
      <c r="A390" s="213" t="s">
        <v>1311</v>
      </c>
      <c r="B390" s="294" t="s">
        <v>1154</v>
      </c>
      <c r="C390" s="295">
        <v>2.0209510000000002</v>
      </c>
      <c r="D390" s="295">
        <v>2.0367899999999999</v>
      </c>
      <c r="E390" s="295">
        <v>2.0669149999999998</v>
      </c>
      <c r="F390" s="295">
        <v>2.0035820000000002</v>
      </c>
      <c r="G390" s="295">
        <v>1.992804</v>
      </c>
      <c r="H390" s="295">
        <v>1.9666600000000001</v>
      </c>
      <c r="I390" s="295">
        <v>1.948895</v>
      </c>
      <c r="J390" s="295">
        <v>1.939144</v>
      </c>
      <c r="K390" s="295">
        <v>1.915645</v>
      </c>
      <c r="L390" s="295">
        <v>1.9161619999999999</v>
      </c>
      <c r="M390" s="295">
        <v>1.9055519999999999</v>
      </c>
      <c r="N390" s="295">
        <v>1.9098599999999999</v>
      </c>
      <c r="O390" s="295">
        <v>1.89819</v>
      </c>
      <c r="P390" s="295">
        <v>1.891683</v>
      </c>
      <c r="Q390" s="295">
        <v>1.8909689999999999</v>
      </c>
      <c r="R390" s="295">
        <v>1.8857060000000001</v>
      </c>
      <c r="S390" s="295">
        <v>1.8830849999999999</v>
      </c>
      <c r="T390" s="295">
        <v>1.882638</v>
      </c>
      <c r="U390" s="295">
        <v>1.8959330000000001</v>
      </c>
      <c r="V390" s="295">
        <v>1.890498</v>
      </c>
      <c r="W390" s="295">
        <v>1.8910739999999999</v>
      </c>
      <c r="X390" s="295">
        <v>1.89062</v>
      </c>
      <c r="Y390" s="295">
        <v>1.8915599999999999</v>
      </c>
      <c r="Z390" s="295">
        <v>1.893635</v>
      </c>
      <c r="AA390" s="295">
        <v>1.8839589999999999</v>
      </c>
      <c r="AB390" s="295">
        <v>1.885804</v>
      </c>
      <c r="AC390" s="295">
        <v>1.888145</v>
      </c>
      <c r="AD390" s="295">
        <v>1.8869579999999999</v>
      </c>
      <c r="AE390" s="295">
        <v>1.884377</v>
      </c>
      <c r="AF390" s="295">
        <v>1.886533</v>
      </c>
      <c r="AG390" s="295">
        <v>1.889184</v>
      </c>
      <c r="AH390" s="296">
        <v>-2.245E-3</v>
      </c>
    </row>
    <row r="391" spans="1:34" ht="15" customHeight="1" x14ac:dyDescent="0.25">
      <c r="A391" s="213" t="s">
        <v>1312</v>
      </c>
      <c r="B391" s="294" t="s">
        <v>1280</v>
      </c>
      <c r="C391" s="296" t="s">
        <v>635</v>
      </c>
      <c r="D391" s="296" t="s">
        <v>635</v>
      </c>
      <c r="E391" s="296" t="s">
        <v>635</v>
      </c>
      <c r="F391" s="296" t="s">
        <v>635</v>
      </c>
      <c r="G391" s="296" t="s">
        <v>635</v>
      </c>
      <c r="H391" s="296" t="s">
        <v>635</v>
      </c>
      <c r="I391" s="296" t="s">
        <v>635</v>
      </c>
      <c r="J391" s="296" t="s">
        <v>635</v>
      </c>
      <c r="K391" s="296" t="s">
        <v>635</v>
      </c>
      <c r="L391" s="296" t="s">
        <v>635</v>
      </c>
      <c r="M391" s="296" t="s">
        <v>635</v>
      </c>
      <c r="N391" s="296" t="s">
        <v>635</v>
      </c>
      <c r="O391" s="296" t="s">
        <v>635</v>
      </c>
      <c r="P391" s="296" t="s">
        <v>635</v>
      </c>
      <c r="Q391" s="296" t="s">
        <v>635</v>
      </c>
      <c r="R391" s="296" t="s">
        <v>635</v>
      </c>
      <c r="S391" s="296" t="s">
        <v>635</v>
      </c>
      <c r="T391" s="296" t="s">
        <v>635</v>
      </c>
      <c r="U391" s="296" t="s">
        <v>635</v>
      </c>
      <c r="V391" s="296" t="s">
        <v>635</v>
      </c>
      <c r="W391" s="296" t="s">
        <v>635</v>
      </c>
      <c r="X391" s="296" t="s">
        <v>635</v>
      </c>
      <c r="Y391" s="296" t="s">
        <v>635</v>
      </c>
      <c r="Z391" s="296" t="s">
        <v>635</v>
      </c>
      <c r="AA391" s="296" t="s">
        <v>635</v>
      </c>
      <c r="AB391" s="296" t="s">
        <v>635</v>
      </c>
      <c r="AC391" s="296" t="s">
        <v>635</v>
      </c>
      <c r="AD391" s="296" t="s">
        <v>635</v>
      </c>
      <c r="AE391" s="296" t="s">
        <v>635</v>
      </c>
      <c r="AF391" s="296" t="s">
        <v>635</v>
      </c>
      <c r="AG391" s="296" t="s">
        <v>635</v>
      </c>
      <c r="AH391" s="296" t="s">
        <v>635</v>
      </c>
    </row>
    <row r="392" spans="1:34" ht="15" customHeight="1" x14ac:dyDescent="0.25">
      <c r="A392" s="213" t="s">
        <v>1313</v>
      </c>
      <c r="B392" s="294" t="s">
        <v>1265</v>
      </c>
      <c r="C392" s="295">
        <v>30.52927</v>
      </c>
      <c r="D392" s="295">
        <v>31.078572999999999</v>
      </c>
      <c r="E392" s="295">
        <v>30.842476000000001</v>
      </c>
      <c r="F392" s="295">
        <v>30.494845999999999</v>
      </c>
      <c r="G392" s="295">
        <v>30.234068000000001</v>
      </c>
      <c r="H392" s="295">
        <v>30.173155000000001</v>
      </c>
      <c r="I392" s="295">
        <v>30.214378</v>
      </c>
      <c r="J392" s="295">
        <v>30.233242000000001</v>
      </c>
      <c r="K392" s="295">
        <v>30.206510999999999</v>
      </c>
      <c r="L392" s="295">
        <v>30.227758000000001</v>
      </c>
      <c r="M392" s="295">
        <v>30.127459000000002</v>
      </c>
      <c r="N392" s="295">
        <v>30.132662</v>
      </c>
      <c r="O392" s="295">
        <v>30.008766000000001</v>
      </c>
      <c r="P392" s="295">
        <v>30.135576</v>
      </c>
      <c r="Q392" s="295">
        <v>30.097469</v>
      </c>
      <c r="R392" s="295">
        <v>30.087129999999998</v>
      </c>
      <c r="S392" s="295">
        <v>29.944870000000002</v>
      </c>
      <c r="T392" s="295">
        <v>29.825738999999999</v>
      </c>
      <c r="U392" s="295">
        <v>29.698384999999998</v>
      </c>
      <c r="V392" s="295">
        <v>29.581619</v>
      </c>
      <c r="W392" s="295">
        <v>29.517130000000002</v>
      </c>
      <c r="X392" s="295">
        <v>29.444268999999998</v>
      </c>
      <c r="Y392" s="295">
        <v>29.406445999999999</v>
      </c>
      <c r="Z392" s="295">
        <v>29.142996</v>
      </c>
      <c r="AA392" s="295">
        <v>29.081484</v>
      </c>
      <c r="AB392" s="295">
        <v>28.987698000000002</v>
      </c>
      <c r="AC392" s="295">
        <v>28.821566000000001</v>
      </c>
      <c r="AD392" s="295">
        <v>28.785509000000001</v>
      </c>
      <c r="AE392" s="295">
        <v>28.676859</v>
      </c>
      <c r="AF392" s="295">
        <v>28.455863999999998</v>
      </c>
      <c r="AG392" s="295">
        <v>28.236422999999998</v>
      </c>
      <c r="AH392" s="296">
        <v>-2.5990000000000002E-3</v>
      </c>
    </row>
    <row r="394" spans="1:34" ht="15" customHeight="1" x14ac:dyDescent="0.2">
      <c r="B394" s="204" t="s">
        <v>1314</v>
      </c>
    </row>
    <row r="395" spans="1:34" ht="15" customHeight="1" x14ac:dyDescent="0.2">
      <c r="B395" s="204" t="s">
        <v>1315</v>
      </c>
    </row>
    <row r="396" spans="1:34" ht="15" customHeight="1" x14ac:dyDescent="0.25">
      <c r="A396" s="213" t="s">
        <v>1316</v>
      </c>
      <c r="B396" s="294" t="s">
        <v>1034</v>
      </c>
      <c r="C396" s="297">
        <v>246.644623</v>
      </c>
      <c r="D396" s="297">
        <v>252.38949600000001</v>
      </c>
      <c r="E396" s="297">
        <v>253.92919900000001</v>
      </c>
      <c r="F396" s="297">
        <v>253.618729</v>
      </c>
      <c r="G396" s="297">
        <v>252.99195900000001</v>
      </c>
      <c r="H396" s="297">
        <v>254.51208500000001</v>
      </c>
      <c r="I396" s="297">
        <v>256.82385299999999</v>
      </c>
      <c r="J396" s="297">
        <v>258.47827100000001</v>
      </c>
      <c r="K396" s="297">
        <v>260.14340199999998</v>
      </c>
      <c r="L396" s="297">
        <v>262.172302</v>
      </c>
      <c r="M396" s="297">
        <v>264.74359099999998</v>
      </c>
      <c r="N396" s="297">
        <v>266.12603799999999</v>
      </c>
      <c r="O396" s="297">
        <v>267.43823200000003</v>
      </c>
      <c r="P396" s="297">
        <v>269.97430400000002</v>
      </c>
      <c r="Q396" s="297">
        <v>271.67965700000002</v>
      </c>
      <c r="R396" s="297">
        <v>273.238068</v>
      </c>
      <c r="S396" s="297">
        <v>274.17263800000001</v>
      </c>
      <c r="T396" s="297">
        <v>275.43374599999999</v>
      </c>
      <c r="U396" s="297">
        <v>276.68289199999998</v>
      </c>
      <c r="V396" s="297">
        <v>277.84515399999998</v>
      </c>
      <c r="W396" s="297">
        <v>279.25646999999998</v>
      </c>
      <c r="X396" s="297">
        <v>280.66412400000002</v>
      </c>
      <c r="Y396" s="297">
        <v>282.265625</v>
      </c>
      <c r="Z396" s="297">
        <v>282.66189600000001</v>
      </c>
      <c r="AA396" s="297">
        <v>284.24471999999997</v>
      </c>
      <c r="AB396" s="297">
        <v>285.63592499999999</v>
      </c>
      <c r="AC396" s="297">
        <v>286.59011800000002</v>
      </c>
      <c r="AD396" s="297">
        <v>288.43215900000001</v>
      </c>
      <c r="AE396" s="297">
        <v>289.79193099999998</v>
      </c>
      <c r="AF396" s="297">
        <v>290.541473</v>
      </c>
      <c r="AG396" s="297">
        <v>291.22595200000001</v>
      </c>
      <c r="AH396" s="296">
        <v>5.5539999999999999E-3</v>
      </c>
    </row>
    <row r="397" spans="1:34" ht="15" customHeight="1" x14ac:dyDescent="0.25">
      <c r="A397" s="213" t="s">
        <v>1317</v>
      </c>
      <c r="B397" s="294" t="s">
        <v>1051</v>
      </c>
      <c r="C397" s="297">
        <v>173.49534600000001</v>
      </c>
      <c r="D397" s="297">
        <v>180.670593</v>
      </c>
      <c r="E397" s="297">
        <v>184.310776</v>
      </c>
      <c r="F397" s="297">
        <v>185.65533400000001</v>
      </c>
      <c r="G397" s="297">
        <v>186.88351399999999</v>
      </c>
      <c r="H397" s="297">
        <v>189.988708</v>
      </c>
      <c r="I397" s="297">
        <v>190.892899</v>
      </c>
      <c r="J397" s="297">
        <v>191.811035</v>
      </c>
      <c r="K397" s="297">
        <v>192.60356100000001</v>
      </c>
      <c r="L397" s="297">
        <v>193.51005599999999</v>
      </c>
      <c r="M397" s="297">
        <v>194.64939899999999</v>
      </c>
      <c r="N397" s="297">
        <v>195.22024500000001</v>
      </c>
      <c r="O397" s="297">
        <v>195.39856</v>
      </c>
      <c r="P397" s="297">
        <v>197.24310299999999</v>
      </c>
      <c r="Q397" s="297">
        <v>197.870193</v>
      </c>
      <c r="R397" s="297">
        <v>198.721497</v>
      </c>
      <c r="S397" s="297">
        <v>198.78921500000001</v>
      </c>
      <c r="T397" s="297">
        <v>199.18872099999999</v>
      </c>
      <c r="U397" s="297">
        <v>199.582764</v>
      </c>
      <c r="V397" s="297">
        <v>199.98632799999999</v>
      </c>
      <c r="W397" s="297">
        <v>200.86352500000001</v>
      </c>
      <c r="X397" s="297">
        <v>201.851089</v>
      </c>
      <c r="Y397" s="297">
        <v>203.00225800000001</v>
      </c>
      <c r="Z397" s="297">
        <v>203.03653</v>
      </c>
      <c r="AA397" s="297">
        <v>204.15687600000001</v>
      </c>
      <c r="AB397" s="297">
        <v>205.10343900000001</v>
      </c>
      <c r="AC397" s="297">
        <v>205.918915</v>
      </c>
      <c r="AD397" s="297">
        <v>207.63172900000001</v>
      </c>
      <c r="AE397" s="297">
        <v>208.804688</v>
      </c>
      <c r="AF397" s="297">
        <v>209.460815</v>
      </c>
      <c r="AG397" s="297">
        <v>210.346588</v>
      </c>
      <c r="AH397" s="296">
        <v>6.4409999999999997E-3</v>
      </c>
    </row>
    <row r="398" spans="1:34" ht="15" customHeight="1" x14ac:dyDescent="0.25">
      <c r="A398" s="213" t="s">
        <v>1318</v>
      </c>
      <c r="B398" s="294" t="s">
        <v>1271</v>
      </c>
      <c r="C398" s="297">
        <v>151.91566499999999</v>
      </c>
      <c r="D398" s="297">
        <v>162.800781</v>
      </c>
      <c r="E398" s="297">
        <v>174.47210699999999</v>
      </c>
      <c r="F398" s="297">
        <v>179.223434</v>
      </c>
      <c r="G398" s="297">
        <v>182.97735599999999</v>
      </c>
      <c r="H398" s="297">
        <v>189.152725</v>
      </c>
      <c r="I398" s="297">
        <v>194.67924500000001</v>
      </c>
      <c r="J398" s="297">
        <v>198.80526699999999</v>
      </c>
      <c r="K398" s="297">
        <v>204.87973</v>
      </c>
      <c r="L398" s="297">
        <v>209.86445599999999</v>
      </c>
      <c r="M398" s="297">
        <v>214.680542</v>
      </c>
      <c r="N398" s="297">
        <v>219.27430699999999</v>
      </c>
      <c r="O398" s="297">
        <v>223.388947</v>
      </c>
      <c r="P398" s="297">
        <v>227.44894400000001</v>
      </c>
      <c r="Q398" s="297">
        <v>231.31474299999999</v>
      </c>
      <c r="R398" s="297">
        <v>235.24560500000001</v>
      </c>
      <c r="S398" s="297">
        <v>237.76445000000001</v>
      </c>
      <c r="T398" s="297">
        <v>240.85237100000001</v>
      </c>
      <c r="U398" s="297">
        <v>244.85781900000001</v>
      </c>
      <c r="V398" s="297">
        <v>246.75235000000001</v>
      </c>
      <c r="W398" s="297">
        <v>250.49644499999999</v>
      </c>
      <c r="X398" s="297">
        <v>253.97789</v>
      </c>
      <c r="Y398" s="297">
        <v>257.656342</v>
      </c>
      <c r="Z398" s="297">
        <v>261.642853</v>
      </c>
      <c r="AA398" s="297">
        <v>264.15332000000001</v>
      </c>
      <c r="AB398" s="297">
        <v>265.98818999999997</v>
      </c>
      <c r="AC398" s="297">
        <v>270.43722500000001</v>
      </c>
      <c r="AD398" s="297">
        <v>274.35574300000002</v>
      </c>
      <c r="AE398" s="297">
        <v>277.55514499999998</v>
      </c>
      <c r="AF398" s="297">
        <v>281.69671599999998</v>
      </c>
      <c r="AG398" s="297">
        <v>285.327179</v>
      </c>
      <c r="AH398" s="296">
        <v>2.1232999999999998E-2</v>
      </c>
    </row>
    <row r="399" spans="1:34" ht="15" customHeight="1" x14ac:dyDescent="0.25">
      <c r="A399" s="213" t="s">
        <v>1319</v>
      </c>
      <c r="B399" s="294" t="s">
        <v>1108</v>
      </c>
      <c r="C399" s="297">
        <v>411.85290500000002</v>
      </c>
      <c r="D399" s="297">
        <v>447.77114899999998</v>
      </c>
      <c r="E399" s="297">
        <v>467.56277499999999</v>
      </c>
      <c r="F399" s="297">
        <v>492.20871</v>
      </c>
      <c r="G399" s="297">
        <v>501.82074</v>
      </c>
      <c r="H399" s="297">
        <v>513.03790300000003</v>
      </c>
      <c r="I399" s="297">
        <v>518.46130400000004</v>
      </c>
      <c r="J399" s="297">
        <v>523.09198000000004</v>
      </c>
      <c r="K399" s="297">
        <v>533.81982400000004</v>
      </c>
      <c r="L399" s="297">
        <v>538.92242399999998</v>
      </c>
      <c r="M399" s="297">
        <v>558.13958700000001</v>
      </c>
      <c r="N399" s="297">
        <v>560.83966099999998</v>
      </c>
      <c r="O399" s="297">
        <v>569.390625</v>
      </c>
      <c r="P399" s="297">
        <v>572.66516100000001</v>
      </c>
      <c r="Q399" s="297">
        <v>578.20989999999995</v>
      </c>
      <c r="R399" s="297">
        <v>582.17669699999999</v>
      </c>
      <c r="S399" s="297">
        <v>587.36163299999998</v>
      </c>
      <c r="T399" s="297">
        <v>593.67236300000002</v>
      </c>
      <c r="U399" s="297">
        <v>601.205872</v>
      </c>
      <c r="V399" s="297">
        <v>602.63000499999998</v>
      </c>
      <c r="W399" s="297">
        <v>614.01214600000003</v>
      </c>
      <c r="X399" s="297">
        <v>621.432861</v>
      </c>
      <c r="Y399" s="297">
        <v>627.68994099999998</v>
      </c>
      <c r="Z399" s="297">
        <v>636.24981700000001</v>
      </c>
      <c r="AA399" s="297">
        <v>640.952271</v>
      </c>
      <c r="AB399" s="297">
        <v>641.65142800000001</v>
      </c>
      <c r="AC399" s="297">
        <v>653.11474599999997</v>
      </c>
      <c r="AD399" s="297">
        <v>659.145264</v>
      </c>
      <c r="AE399" s="297">
        <v>663.680969</v>
      </c>
      <c r="AF399" s="297">
        <v>667.55731200000002</v>
      </c>
      <c r="AG399" s="297">
        <v>671.22692900000004</v>
      </c>
      <c r="AH399" s="296">
        <v>1.6414999999999999E-2</v>
      </c>
    </row>
    <row r="400" spans="1:34" ht="15" customHeight="1" x14ac:dyDescent="0.25">
      <c r="A400" s="213" t="s">
        <v>1320</v>
      </c>
      <c r="B400" s="294" t="s">
        <v>1321</v>
      </c>
      <c r="C400" s="297">
        <v>983.90850799999998</v>
      </c>
      <c r="D400" s="297">
        <v>1043.6319579999999</v>
      </c>
      <c r="E400" s="297">
        <v>1080.2749020000001</v>
      </c>
      <c r="F400" s="297">
        <v>1110.706177</v>
      </c>
      <c r="G400" s="297">
        <v>1124.6735839999999</v>
      </c>
      <c r="H400" s="297">
        <v>1146.6914059999999</v>
      </c>
      <c r="I400" s="297">
        <v>1160.8572999999999</v>
      </c>
      <c r="J400" s="297">
        <v>1172.1865230000001</v>
      </c>
      <c r="K400" s="297">
        <v>1191.446533</v>
      </c>
      <c r="L400" s="297">
        <v>1204.4692379999999</v>
      </c>
      <c r="M400" s="297">
        <v>1232.213135</v>
      </c>
      <c r="N400" s="297">
        <v>1241.4602050000001</v>
      </c>
      <c r="O400" s="297">
        <v>1255.6163329999999</v>
      </c>
      <c r="P400" s="297">
        <v>1267.331543</v>
      </c>
      <c r="Q400" s="297">
        <v>1279.0744629999999</v>
      </c>
      <c r="R400" s="297">
        <v>1289.381836</v>
      </c>
      <c r="S400" s="297">
        <v>1298.0878909999999</v>
      </c>
      <c r="T400" s="297">
        <v>1309.147217</v>
      </c>
      <c r="U400" s="297">
        <v>1322.329346</v>
      </c>
      <c r="V400" s="297">
        <v>1327.2138669999999</v>
      </c>
      <c r="W400" s="297">
        <v>1344.6286620000001</v>
      </c>
      <c r="X400" s="297">
        <v>1357.926025</v>
      </c>
      <c r="Y400" s="297">
        <v>1370.6141359999999</v>
      </c>
      <c r="Z400" s="297">
        <v>1383.591064</v>
      </c>
      <c r="AA400" s="297">
        <v>1393.507202</v>
      </c>
      <c r="AB400" s="297">
        <v>1398.3789059999999</v>
      </c>
      <c r="AC400" s="297">
        <v>1416.0610349999999</v>
      </c>
      <c r="AD400" s="297">
        <v>1429.5649410000001</v>
      </c>
      <c r="AE400" s="297">
        <v>1439.832764</v>
      </c>
      <c r="AF400" s="297">
        <v>1449.2563479999999</v>
      </c>
      <c r="AG400" s="297">
        <v>1458.1267089999999</v>
      </c>
      <c r="AH400" s="296">
        <v>1.3199000000000001E-2</v>
      </c>
    </row>
    <row r="401" spans="1:34" ht="15" customHeight="1" x14ac:dyDescent="0.25">
      <c r="A401" s="213" t="s">
        <v>1322</v>
      </c>
      <c r="B401" s="294" t="s">
        <v>1323</v>
      </c>
      <c r="C401" s="297">
        <v>0.66034599999999999</v>
      </c>
      <c r="D401" s="297">
        <v>0.71748199999999995</v>
      </c>
      <c r="E401" s="297">
        <v>0.72878600000000004</v>
      </c>
      <c r="F401" s="297">
        <v>0.76042699999999996</v>
      </c>
      <c r="G401" s="297">
        <v>0.75426700000000002</v>
      </c>
      <c r="H401" s="297">
        <v>0.75314499999999995</v>
      </c>
      <c r="I401" s="297">
        <v>0.74475800000000003</v>
      </c>
      <c r="J401" s="297">
        <v>0.73777800000000004</v>
      </c>
      <c r="K401" s="297">
        <v>0.73736199999999996</v>
      </c>
      <c r="L401" s="297">
        <v>0.73342399999999996</v>
      </c>
      <c r="M401" s="297">
        <v>0.74521300000000001</v>
      </c>
      <c r="N401" s="297">
        <v>0.73652600000000001</v>
      </c>
      <c r="O401" s="297">
        <v>0.73715399999999998</v>
      </c>
      <c r="P401" s="297">
        <v>0.73388600000000004</v>
      </c>
      <c r="Q401" s="297">
        <v>0.73657799999999995</v>
      </c>
      <c r="R401" s="297">
        <v>0.73782099999999995</v>
      </c>
      <c r="S401" s="297">
        <v>0.74431599999999998</v>
      </c>
      <c r="T401" s="297">
        <v>0.75095500000000004</v>
      </c>
      <c r="U401" s="297">
        <v>0.76033700000000004</v>
      </c>
      <c r="V401" s="297">
        <v>0.76620999999999995</v>
      </c>
      <c r="W401" s="297">
        <v>0.78223100000000001</v>
      </c>
      <c r="X401" s="297">
        <v>0.79506500000000002</v>
      </c>
      <c r="Y401" s="297">
        <v>0.80788899999999997</v>
      </c>
      <c r="Z401" s="297">
        <v>0.82189400000000001</v>
      </c>
      <c r="AA401" s="297">
        <v>0.83569800000000005</v>
      </c>
      <c r="AB401" s="297">
        <v>0.84337399999999996</v>
      </c>
      <c r="AC401" s="297">
        <v>0.86386399999999997</v>
      </c>
      <c r="AD401" s="297">
        <v>0.88012500000000005</v>
      </c>
      <c r="AE401" s="297">
        <v>0.89648000000000005</v>
      </c>
      <c r="AF401" s="297">
        <v>0.91038799999999998</v>
      </c>
      <c r="AG401" s="297">
        <v>0.92731799999999998</v>
      </c>
      <c r="AH401" s="296">
        <v>1.1382E-2</v>
      </c>
    </row>
    <row r="402" spans="1:34" ht="15" customHeight="1" x14ac:dyDescent="0.2">
      <c r="A402" s="213" t="s">
        <v>1324</v>
      </c>
      <c r="B402" s="204" t="s">
        <v>1325</v>
      </c>
      <c r="C402" s="299">
        <v>984.568848</v>
      </c>
      <c r="D402" s="299">
        <v>1044.349487</v>
      </c>
      <c r="E402" s="299">
        <v>1081.0036620000001</v>
      </c>
      <c r="F402" s="299">
        <v>1111.466553</v>
      </c>
      <c r="G402" s="299">
        <v>1125.427856</v>
      </c>
      <c r="H402" s="299">
        <v>1147.4445800000001</v>
      </c>
      <c r="I402" s="299">
        <v>1161.6020510000001</v>
      </c>
      <c r="J402" s="299">
        <v>1172.9243160000001</v>
      </c>
      <c r="K402" s="299">
        <v>1192.1838379999999</v>
      </c>
      <c r="L402" s="299">
        <v>1205.2026370000001</v>
      </c>
      <c r="M402" s="299">
        <v>1232.958374</v>
      </c>
      <c r="N402" s="299">
        <v>1242.1967770000001</v>
      </c>
      <c r="O402" s="299">
        <v>1256.3535159999999</v>
      </c>
      <c r="P402" s="299">
        <v>1268.0654300000001</v>
      </c>
      <c r="Q402" s="299">
        <v>1279.8110349999999</v>
      </c>
      <c r="R402" s="299">
        <v>1290.119629</v>
      </c>
      <c r="S402" s="299">
        <v>1298.8321530000001</v>
      </c>
      <c r="T402" s="299">
        <v>1309.898193</v>
      </c>
      <c r="U402" s="299">
        <v>1323.0897219999999</v>
      </c>
      <c r="V402" s="299">
        <v>1327.9801030000001</v>
      </c>
      <c r="W402" s="299">
        <v>1345.410889</v>
      </c>
      <c r="X402" s="299">
        <v>1358.7210689999999</v>
      </c>
      <c r="Y402" s="299">
        <v>1371.4219969999999</v>
      </c>
      <c r="Z402" s="299">
        <v>1384.4129640000001</v>
      </c>
      <c r="AA402" s="299">
        <v>1394.3428960000001</v>
      </c>
      <c r="AB402" s="299">
        <v>1399.2222899999999</v>
      </c>
      <c r="AC402" s="299">
        <v>1416.924927</v>
      </c>
      <c r="AD402" s="299">
        <v>1430.445068</v>
      </c>
      <c r="AE402" s="299">
        <v>1440.7292480000001</v>
      </c>
      <c r="AF402" s="299">
        <v>1450.1667480000001</v>
      </c>
      <c r="AG402" s="299">
        <v>1459.054077</v>
      </c>
      <c r="AH402" s="206">
        <v>1.3198E-2</v>
      </c>
    </row>
    <row r="405" spans="1:34" ht="15" customHeight="1" x14ac:dyDescent="0.2">
      <c r="B405" s="204" t="s">
        <v>1326</v>
      </c>
    </row>
    <row r="406" spans="1:34" ht="15" customHeight="1" x14ac:dyDescent="0.2">
      <c r="B406" s="204" t="s">
        <v>1034</v>
      </c>
    </row>
    <row r="407" spans="1:34" ht="15" customHeight="1" x14ac:dyDescent="0.25">
      <c r="A407" s="213" t="s">
        <v>1327</v>
      </c>
      <c r="B407" s="294" t="s">
        <v>1036</v>
      </c>
      <c r="C407" s="295">
        <v>17.296467</v>
      </c>
      <c r="D407" s="295">
        <v>17.426860999999999</v>
      </c>
      <c r="E407" s="295">
        <v>18.020187</v>
      </c>
      <c r="F407" s="295">
        <v>18.605923000000001</v>
      </c>
      <c r="G407" s="295">
        <v>19.404615</v>
      </c>
      <c r="H407" s="295">
        <v>20.373873</v>
      </c>
      <c r="I407" s="295">
        <v>21.402180000000001</v>
      </c>
      <c r="J407" s="295">
        <v>22.392430999999998</v>
      </c>
      <c r="K407" s="295">
        <v>23.568413</v>
      </c>
      <c r="L407" s="295">
        <v>24.658950999999998</v>
      </c>
      <c r="M407" s="295">
        <v>25.997776000000002</v>
      </c>
      <c r="N407" s="295">
        <v>27.085837999999999</v>
      </c>
      <c r="O407" s="295">
        <v>28.263743999999999</v>
      </c>
      <c r="P407" s="295">
        <v>29.351633</v>
      </c>
      <c r="Q407" s="295">
        <v>30.371055999999999</v>
      </c>
      <c r="R407" s="295">
        <v>31.368922999999999</v>
      </c>
      <c r="S407" s="295">
        <v>32.399723000000002</v>
      </c>
      <c r="T407" s="295">
        <v>33.423060999999997</v>
      </c>
      <c r="U407" s="295">
        <v>34.511997000000001</v>
      </c>
      <c r="V407" s="295">
        <v>35.557555999999998</v>
      </c>
      <c r="W407" s="295">
        <v>36.742854999999999</v>
      </c>
      <c r="X407" s="295">
        <v>37.982365000000001</v>
      </c>
      <c r="Y407" s="295">
        <v>39.172263999999998</v>
      </c>
      <c r="Z407" s="295">
        <v>40.482120999999999</v>
      </c>
      <c r="AA407" s="295">
        <v>41.784697999999999</v>
      </c>
      <c r="AB407" s="295">
        <v>42.950164999999998</v>
      </c>
      <c r="AC407" s="295">
        <v>44.448421000000003</v>
      </c>
      <c r="AD407" s="295">
        <v>46.08202</v>
      </c>
      <c r="AE407" s="295">
        <v>47.688046</v>
      </c>
      <c r="AF407" s="295">
        <v>49.347847000000002</v>
      </c>
      <c r="AG407" s="295">
        <v>51.084923000000003</v>
      </c>
      <c r="AH407" s="296">
        <v>3.6759E-2</v>
      </c>
    </row>
    <row r="408" spans="1:34" ht="15" customHeight="1" x14ac:dyDescent="0.25">
      <c r="A408" s="213" t="s">
        <v>1328</v>
      </c>
      <c r="B408" s="294" t="s">
        <v>1058</v>
      </c>
      <c r="C408" s="295">
        <v>17.748362</v>
      </c>
      <c r="D408" s="295">
        <v>17.966388999999999</v>
      </c>
      <c r="E408" s="295">
        <v>19.387812</v>
      </c>
      <c r="F408" s="295">
        <v>21.526904999999999</v>
      </c>
      <c r="G408" s="295">
        <v>23.011361999999998</v>
      </c>
      <c r="H408" s="295">
        <v>24.415792</v>
      </c>
      <c r="I408" s="295">
        <v>25.859197999999999</v>
      </c>
      <c r="J408" s="295">
        <v>26.848255000000002</v>
      </c>
      <c r="K408" s="295">
        <v>28.083344</v>
      </c>
      <c r="L408" s="295">
        <v>29.072631999999999</v>
      </c>
      <c r="M408" s="295">
        <v>30.321560000000002</v>
      </c>
      <c r="N408" s="295">
        <v>31.354680999999999</v>
      </c>
      <c r="O408" s="295">
        <v>32.466576000000003</v>
      </c>
      <c r="P408" s="295">
        <v>33.409022999999998</v>
      </c>
      <c r="Q408" s="295">
        <v>34.320380999999998</v>
      </c>
      <c r="R408" s="295">
        <v>35.228068999999998</v>
      </c>
      <c r="S408" s="295">
        <v>36.11694</v>
      </c>
      <c r="T408" s="295">
        <v>37.242939</v>
      </c>
      <c r="U408" s="295">
        <v>38.351368000000001</v>
      </c>
      <c r="V408" s="295">
        <v>39.138424000000001</v>
      </c>
      <c r="W408" s="295">
        <v>40.577835</v>
      </c>
      <c r="X408" s="295">
        <v>41.798634</v>
      </c>
      <c r="Y408" s="295">
        <v>42.939712999999998</v>
      </c>
      <c r="Z408" s="295">
        <v>44.368232999999996</v>
      </c>
      <c r="AA408" s="295">
        <v>45.429645999999998</v>
      </c>
      <c r="AB408" s="295">
        <v>46.569271000000001</v>
      </c>
      <c r="AC408" s="295">
        <v>48.295723000000002</v>
      </c>
      <c r="AD408" s="295">
        <v>49.810661000000003</v>
      </c>
      <c r="AE408" s="295">
        <v>51.140017999999998</v>
      </c>
      <c r="AF408" s="295">
        <v>52.807372999999998</v>
      </c>
      <c r="AG408" s="295">
        <v>54.292267000000002</v>
      </c>
      <c r="AH408" s="296">
        <v>3.7973E-2</v>
      </c>
    </row>
    <row r="409" spans="1:34" ht="15" customHeight="1" x14ac:dyDescent="0.25">
      <c r="A409" s="213" t="s">
        <v>1329</v>
      </c>
      <c r="B409" s="294" t="s">
        <v>152</v>
      </c>
      <c r="C409" s="295">
        <v>10.141716000000001</v>
      </c>
      <c r="D409" s="295">
        <v>10.518637</v>
      </c>
      <c r="E409" s="295">
        <v>10.568699000000001</v>
      </c>
      <c r="F409" s="295">
        <v>10.585305999999999</v>
      </c>
      <c r="G409" s="295">
        <v>10.598955999999999</v>
      </c>
      <c r="H409" s="295">
        <v>10.918931000000001</v>
      </c>
      <c r="I409" s="295">
        <v>11.334839000000001</v>
      </c>
      <c r="J409" s="295">
        <v>11.73485</v>
      </c>
      <c r="K409" s="295">
        <v>12.174552</v>
      </c>
      <c r="L409" s="295">
        <v>12.65638</v>
      </c>
      <c r="M409" s="295">
        <v>13.412457</v>
      </c>
      <c r="N409" s="295">
        <v>13.806762000000001</v>
      </c>
      <c r="O409" s="295">
        <v>14.259785000000001</v>
      </c>
      <c r="P409" s="295">
        <v>14.735431999999999</v>
      </c>
      <c r="Q409" s="295">
        <v>15.154714999999999</v>
      </c>
      <c r="R409" s="295">
        <v>15.537027999999999</v>
      </c>
      <c r="S409" s="295">
        <v>15.894209999999999</v>
      </c>
      <c r="T409" s="295">
        <v>16.266815000000001</v>
      </c>
      <c r="U409" s="295">
        <v>16.653138999999999</v>
      </c>
      <c r="V409" s="295">
        <v>17.028362000000001</v>
      </c>
      <c r="W409" s="295">
        <v>17.399076000000001</v>
      </c>
      <c r="X409" s="295">
        <v>17.811111</v>
      </c>
      <c r="Y409" s="295">
        <v>18.215876000000002</v>
      </c>
      <c r="Z409" s="295">
        <v>18.655937000000002</v>
      </c>
      <c r="AA409" s="295">
        <v>19.109465</v>
      </c>
      <c r="AB409" s="295">
        <v>19.637924000000002</v>
      </c>
      <c r="AC409" s="295">
        <v>20.180385999999999</v>
      </c>
      <c r="AD409" s="295">
        <v>20.800094999999999</v>
      </c>
      <c r="AE409" s="295">
        <v>21.459291</v>
      </c>
      <c r="AF409" s="295">
        <v>22.192577</v>
      </c>
      <c r="AG409" s="295">
        <v>22.959700000000002</v>
      </c>
      <c r="AH409" s="296">
        <v>2.7609999999999999E-2</v>
      </c>
    </row>
    <row r="410" spans="1:34" ht="15" customHeight="1" x14ac:dyDescent="0.25">
      <c r="A410" s="213" t="s">
        <v>1330</v>
      </c>
      <c r="B410" s="294" t="s">
        <v>1265</v>
      </c>
      <c r="C410" s="295">
        <v>35.773701000000003</v>
      </c>
      <c r="D410" s="295">
        <v>36.906863999999999</v>
      </c>
      <c r="E410" s="295">
        <v>37.267932999999999</v>
      </c>
      <c r="F410" s="295">
        <v>37.647987000000001</v>
      </c>
      <c r="G410" s="295">
        <v>38.134892000000001</v>
      </c>
      <c r="H410" s="295">
        <v>38.983448000000003</v>
      </c>
      <c r="I410" s="295">
        <v>40.057094999999997</v>
      </c>
      <c r="J410" s="295">
        <v>41.177101</v>
      </c>
      <c r="K410" s="295">
        <v>42.293106000000002</v>
      </c>
      <c r="L410" s="295">
        <v>43.509768999999999</v>
      </c>
      <c r="M410" s="295">
        <v>44.585467999999999</v>
      </c>
      <c r="N410" s="295">
        <v>45.723151999999999</v>
      </c>
      <c r="O410" s="295">
        <v>46.728259999999999</v>
      </c>
      <c r="P410" s="295">
        <v>48.025973999999998</v>
      </c>
      <c r="Q410" s="295">
        <v>49.120303999999997</v>
      </c>
      <c r="R410" s="295">
        <v>50.194374000000003</v>
      </c>
      <c r="S410" s="295">
        <v>51.097019000000003</v>
      </c>
      <c r="T410" s="295">
        <v>52.024535999999998</v>
      </c>
      <c r="U410" s="295">
        <v>52.952686</v>
      </c>
      <c r="V410" s="295">
        <v>53.897289000000001</v>
      </c>
      <c r="W410" s="295">
        <v>54.959755000000001</v>
      </c>
      <c r="X410" s="295">
        <v>56.055709999999998</v>
      </c>
      <c r="Y410" s="295">
        <v>57.281925000000001</v>
      </c>
      <c r="Z410" s="295">
        <v>58.184513000000003</v>
      </c>
      <c r="AA410" s="295">
        <v>59.527149000000001</v>
      </c>
      <c r="AB410" s="295">
        <v>60.869098999999999</v>
      </c>
      <c r="AC410" s="295">
        <v>62.156979</v>
      </c>
      <c r="AD410" s="295">
        <v>63.790461999999998</v>
      </c>
      <c r="AE410" s="295">
        <v>65.365577999999999</v>
      </c>
      <c r="AF410" s="295">
        <v>66.786124999999998</v>
      </c>
      <c r="AG410" s="295">
        <v>68.262276</v>
      </c>
      <c r="AH410" s="296">
        <v>2.1772E-2</v>
      </c>
    </row>
    <row r="412" spans="1:34" ht="15" customHeight="1" x14ac:dyDescent="0.2">
      <c r="B412" s="204" t="s">
        <v>1051</v>
      </c>
    </row>
    <row r="413" spans="1:34" ht="15" customHeight="1" x14ac:dyDescent="0.25">
      <c r="A413" s="213" t="s">
        <v>1331</v>
      </c>
      <c r="B413" s="294" t="s">
        <v>1036</v>
      </c>
      <c r="C413" s="295">
        <v>12.770180999999999</v>
      </c>
      <c r="D413" s="295">
        <v>13.821040999999999</v>
      </c>
      <c r="E413" s="295">
        <v>14.746015</v>
      </c>
      <c r="F413" s="295">
        <v>15.267771</v>
      </c>
      <c r="G413" s="295">
        <v>15.981583000000001</v>
      </c>
      <c r="H413" s="295">
        <v>16.791733000000001</v>
      </c>
      <c r="I413" s="295">
        <v>17.580093000000002</v>
      </c>
      <c r="J413" s="295">
        <v>18.281164</v>
      </c>
      <c r="K413" s="295">
        <v>19.252157</v>
      </c>
      <c r="L413" s="295">
        <v>20.032518</v>
      </c>
      <c r="M413" s="295">
        <v>21.162241000000002</v>
      </c>
      <c r="N413" s="295">
        <v>21.968724999999999</v>
      </c>
      <c r="O413" s="295">
        <v>22.910681</v>
      </c>
      <c r="P413" s="295">
        <v>23.712395000000001</v>
      </c>
      <c r="Q413" s="295">
        <v>24.447151000000002</v>
      </c>
      <c r="R413" s="295">
        <v>25.185261000000001</v>
      </c>
      <c r="S413" s="295">
        <v>25.985668</v>
      </c>
      <c r="T413" s="295">
        <v>26.765682000000002</v>
      </c>
      <c r="U413" s="295">
        <v>27.624507999999999</v>
      </c>
      <c r="V413" s="295">
        <v>28.399228999999998</v>
      </c>
      <c r="W413" s="295">
        <v>29.357676999999999</v>
      </c>
      <c r="X413" s="295">
        <v>30.324760000000001</v>
      </c>
      <c r="Y413" s="295">
        <v>31.184449999999998</v>
      </c>
      <c r="Z413" s="295">
        <v>32.20787</v>
      </c>
      <c r="AA413" s="295">
        <v>33.169052000000001</v>
      </c>
      <c r="AB413" s="295">
        <v>33.948886999999999</v>
      </c>
      <c r="AC413" s="295">
        <v>35.214737</v>
      </c>
      <c r="AD413" s="295">
        <v>36.523910999999998</v>
      </c>
      <c r="AE413" s="295">
        <v>37.710011000000002</v>
      </c>
      <c r="AF413" s="295">
        <v>38.960113999999997</v>
      </c>
      <c r="AG413" s="295">
        <v>40.285805000000003</v>
      </c>
      <c r="AH413" s="296">
        <v>3.9038999999999997E-2</v>
      </c>
    </row>
    <row r="414" spans="1:34" ht="15" customHeight="1" x14ac:dyDescent="0.25">
      <c r="A414" s="213" t="s">
        <v>1332</v>
      </c>
      <c r="B414" s="294" t="s">
        <v>1058</v>
      </c>
      <c r="C414" s="295">
        <v>17.825056</v>
      </c>
      <c r="D414" s="295">
        <v>18.093378000000001</v>
      </c>
      <c r="E414" s="295">
        <v>18.440636000000001</v>
      </c>
      <c r="F414" s="295">
        <v>19.522041000000002</v>
      </c>
      <c r="G414" s="295">
        <v>19.92794</v>
      </c>
      <c r="H414" s="295">
        <v>20.190811</v>
      </c>
      <c r="I414" s="295">
        <v>20.436146000000001</v>
      </c>
      <c r="J414" s="295">
        <v>21.289051000000001</v>
      </c>
      <c r="K414" s="295">
        <v>22.388411999999999</v>
      </c>
      <c r="L414" s="295">
        <v>23.235095999999999</v>
      </c>
      <c r="M414" s="295">
        <v>24.662064000000001</v>
      </c>
      <c r="N414" s="295">
        <v>25.554511999999999</v>
      </c>
      <c r="O414" s="295">
        <v>26.576377999999998</v>
      </c>
      <c r="P414" s="295">
        <v>27.382836999999999</v>
      </c>
      <c r="Q414" s="295">
        <v>28.162600999999999</v>
      </c>
      <c r="R414" s="295">
        <v>28.936705</v>
      </c>
      <c r="S414" s="295">
        <v>29.686501</v>
      </c>
      <c r="T414" s="295">
        <v>30.683861</v>
      </c>
      <c r="U414" s="295">
        <v>31.658947000000001</v>
      </c>
      <c r="V414" s="295">
        <v>32.309761000000002</v>
      </c>
      <c r="W414" s="295">
        <v>33.609862999999997</v>
      </c>
      <c r="X414" s="295">
        <v>34.687908</v>
      </c>
      <c r="Y414" s="295">
        <v>35.677852999999999</v>
      </c>
      <c r="Z414" s="295">
        <v>36.943385999999997</v>
      </c>
      <c r="AA414" s="295">
        <v>37.835999000000001</v>
      </c>
      <c r="AB414" s="295">
        <v>38.795546999999999</v>
      </c>
      <c r="AC414" s="295">
        <v>40.332607000000003</v>
      </c>
      <c r="AD414" s="295">
        <v>41.643420999999996</v>
      </c>
      <c r="AE414" s="295">
        <v>42.766742999999998</v>
      </c>
      <c r="AF414" s="295">
        <v>44.200211000000003</v>
      </c>
      <c r="AG414" s="295">
        <v>45.437820000000002</v>
      </c>
      <c r="AH414" s="296">
        <v>3.1683000000000003E-2</v>
      </c>
    </row>
    <row r="415" spans="1:34" ht="15" customHeight="1" x14ac:dyDescent="0.25">
      <c r="A415" s="213" t="s">
        <v>1333</v>
      </c>
      <c r="B415" s="294" t="s">
        <v>1060</v>
      </c>
      <c r="C415" s="295">
        <v>5.2465200000000003</v>
      </c>
      <c r="D415" s="295">
        <v>4.1374469999999999</v>
      </c>
      <c r="E415" s="295">
        <v>5.3061999999999996</v>
      </c>
      <c r="F415" s="295">
        <v>7.0237980000000002</v>
      </c>
      <c r="G415" s="295">
        <v>8.357113</v>
      </c>
      <c r="H415" s="295">
        <v>9.6582369999999997</v>
      </c>
      <c r="I415" s="295">
        <v>10.901244999999999</v>
      </c>
      <c r="J415" s="295">
        <v>11.51432</v>
      </c>
      <c r="K415" s="295">
        <v>12.275729</v>
      </c>
      <c r="L415" s="295">
        <v>12.929638000000001</v>
      </c>
      <c r="M415" s="295">
        <v>13.744807</v>
      </c>
      <c r="N415" s="295">
        <v>14.381800999999999</v>
      </c>
      <c r="O415" s="295">
        <v>15.083899000000001</v>
      </c>
      <c r="P415" s="295">
        <v>15.666957</v>
      </c>
      <c r="Q415" s="295">
        <v>16.171679999999999</v>
      </c>
      <c r="R415" s="295">
        <v>16.706838999999999</v>
      </c>
      <c r="S415" s="295">
        <v>17.121565</v>
      </c>
      <c r="T415" s="295">
        <v>17.449428999999999</v>
      </c>
      <c r="U415" s="295">
        <v>18.190702000000002</v>
      </c>
      <c r="V415" s="295">
        <v>18.582027</v>
      </c>
      <c r="W415" s="295">
        <v>20.307707000000001</v>
      </c>
      <c r="X415" s="295">
        <v>21.170033</v>
      </c>
      <c r="Y415" s="295">
        <v>21.825821000000001</v>
      </c>
      <c r="Z415" s="295">
        <v>22.385147</v>
      </c>
      <c r="AA415" s="295">
        <v>23.1098</v>
      </c>
      <c r="AB415" s="295">
        <v>23.692627000000002</v>
      </c>
      <c r="AC415" s="295">
        <v>24.612736000000002</v>
      </c>
      <c r="AD415" s="295">
        <v>25.500326000000001</v>
      </c>
      <c r="AE415" s="295">
        <v>26.353467999999999</v>
      </c>
      <c r="AF415" s="295">
        <v>27.297654999999999</v>
      </c>
      <c r="AG415" s="295">
        <v>28.290009000000001</v>
      </c>
      <c r="AH415" s="296">
        <v>5.7771999999999997E-2</v>
      </c>
    </row>
    <row r="416" spans="1:34" ht="15" customHeight="1" x14ac:dyDescent="0.25">
      <c r="A416" s="213" t="s">
        <v>1334</v>
      </c>
      <c r="B416" s="294" t="s">
        <v>152</v>
      </c>
      <c r="C416" s="295">
        <v>7.2274659999999997</v>
      </c>
      <c r="D416" s="295">
        <v>7.7324000000000002</v>
      </c>
      <c r="E416" s="295">
        <v>8.0647190000000002</v>
      </c>
      <c r="F416" s="295">
        <v>8.0003600000000006</v>
      </c>
      <c r="G416" s="295">
        <v>7.9433619999999996</v>
      </c>
      <c r="H416" s="295">
        <v>8.1730660000000004</v>
      </c>
      <c r="I416" s="295">
        <v>8.4839990000000007</v>
      </c>
      <c r="J416" s="295">
        <v>8.7693980000000007</v>
      </c>
      <c r="K416" s="295">
        <v>9.0924560000000003</v>
      </c>
      <c r="L416" s="295">
        <v>9.4556889999999996</v>
      </c>
      <c r="M416" s="295">
        <v>10.001742</v>
      </c>
      <c r="N416" s="295">
        <v>10.265476</v>
      </c>
      <c r="O416" s="295">
        <v>10.583893</v>
      </c>
      <c r="P416" s="295">
        <v>10.941905</v>
      </c>
      <c r="Q416" s="295">
        <v>11.249965</v>
      </c>
      <c r="R416" s="295">
        <v>11.524082999999999</v>
      </c>
      <c r="S416" s="295">
        <v>11.774940000000001</v>
      </c>
      <c r="T416" s="295">
        <v>12.041005999999999</v>
      </c>
      <c r="U416" s="295">
        <v>12.31892</v>
      </c>
      <c r="V416" s="295">
        <v>12.588224</v>
      </c>
      <c r="W416" s="295">
        <v>12.851495</v>
      </c>
      <c r="X416" s="295">
        <v>13.152201</v>
      </c>
      <c r="Y416" s="295">
        <v>13.439961</v>
      </c>
      <c r="Z416" s="295">
        <v>13.759406</v>
      </c>
      <c r="AA416" s="295">
        <v>14.082611999999999</v>
      </c>
      <c r="AB416" s="295">
        <v>14.473447</v>
      </c>
      <c r="AC416" s="295">
        <v>14.86971</v>
      </c>
      <c r="AD416" s="295">
        <v>15.332172999999999</v>
      </c>
      <c r="AE416" s="295">
        <v>15.826204000000001</v>
      </c>
      <c r="AF416" s="295">
        <v>16.381125999999998</v>
      </c>
      <c r="AG416" s="295">
        <v>16.959786999999999</v>
      </c>
      <c r="AH416" s="296">
        <v>2.8840000000000001E-2</v>
      </c>
    </row>
    <row r="417" spans="1:34" ht="15" customHeight="1" x14ac:dyDescent="0.25">
      <c r="A417" s="213" t="s">
        <v>1335</v>
      </c>
      <c r="B417" s="294" t="s">
        <v>1265</v>
      </c>
      <c r="C417" s="295">
        <v>31.325308</v>
      </c>
      <c r="D417" s="295">
        <v>32.064323000000002</v>
      </c>
      <c r="E417" s="295">
        <v>32.308174000000001</v>
      </c>
      <c r="F417" s="295">
        <v>32.362183000000002</v>
      </c>
      <c r="G417" s="295">
        <v>32.626942</v>
      </c>
      <c r="H417" s="295">
        <v>33.275497000000001</v>
      </c>
      <c r="I417" s="295">
        <v>34.080212000000003</v>
      </c>
      <c r="J417" s="295">
        <v>34.981121000000002</v>
      </c>
      <c r="K417" s="295">
        <v>35.827762999999997</v>
      </c>
      <c r="L417" s="295">
        <v>36.746479000000001</v>
      </c>
      <c r="M417" s="295">
        <v>37.524482999999996</v>
      </c>
      <c r="N417" s="295">
        <v>38.461998000000001</v>
      </c>
      <c r="O417" s="295">
        <v>39.097191000000002</v>
      </c>
      <c r="P417" s="295">
        <v>40.219718999999998</v>
      </c>
      <c r="Q417" s="295">
        <v>40.967238999999999</v>
      </c>
      <c r="R417" s="295">
        <v>41.825287000000003</v>
      </c>
      <c r="S417" s="295">
        <v>42.428004999999999</v>
      </c>
      <c r="T417" s="295">
        <v>43.050857999999998</v>
      </c>
      <c r="U417" s="295">
        <v>43.650908999999999</v>
      </c>
      <c r="V417" s="295">
        <v>44.297722</v>
      </c>
      <c r="W417" s="295">
        <v>45.067692000000001</v>
      </c>
      <c r="X417" s="295">
        <v>45.874065000000002</v>
      </c>
      <c r="Y417" s="295">
        <v>46.801617</v>
      </c>
      <c r="Z417" s="295">
        <v>47.303550999999999</v>
      </c>
      <c r="AA417" s="295">
        <v>48.265948999999999</v>
      </c>
      <c r="AB417" s="295">
        <v>49.200195000000001</v>
      </c>
      <c r="AC417" s="295">
        <v>50.067107999999998</v>
      </c>
      <c r="AD417" s="295">
        <v>51.295307000000001</v>
      </c>
      <c r="AE417" s="295">
        <v>52.381821000000002</v>
      </c>
      <c r="AF417" s="295">
        <v>53.274239000000001</v>
      </c>
      <c r="AG417" s="295">
        <v>54.282454999999999</v>
      </c>
      <c r="AH417" s="296">
        <v>1.8495000000000001E-2</v>
      </c>
    </row>
    <row r="419" spans="1:34" ht="15" customHeight="1" x14ac:dyDescent="0.2">
      <c r="B419" s="204" t="s">
        <v>1271</v>
      </c>
    </row>
    <row r="420" spans="1:34" ht="15" customHeight="1" x14ac:dyDescent="0.25">
      <c r="A420" s="213" t="s">
        <v>1336</v>
      </c>
      <c r="B420" s="294" t="s">
        <v>1036</v>
      </c>
      <c r="C420" s="295">
        <v>7.6224270000000001</v>
      </c>
      <c r="D420" s="295">
        <v>8.663297</v>
      </c>
      <c r="E420" s="295">
        <v>9.4829349999999994</v>
      </c>
      <c r="F420" s="295">
        <v>9.8909979999999997</v>
      </c>
      <c r="G420" s="295">
        <v>10.491792</v>
      </c>
      <c r="H420" s="295">
        <v>11.167325</v>
      </c>
      <c r="I420" s="295">
        <v>11.802027000000001</v>
      </c>
      <c r="J420" s="295">
        <v>12.340223999999999</v>
      </c>
      <c r="K420" s="295">
        <v>13.15535</v>
      </c>
      <c r="L420" s="295">
        <v>13.760857</v>
      </c>
      <c r="M420" s="295">
        <v>14.456458</v>
      </c>
      <c r="N420" s="295">
        <v>15.092392</v>
      </c>
      <c r="O420" s="295">
        <v>15.835649999999999</v>
      </c>
      <c r="P420" s="295">
        <v>16.471594</v>
      </c>
      <c r="Q420" s="295">
        <v>17.043623</v>
      </c>
      <c r="R420" s="295">
        <v>17.622845000000002</v>
      </c>
      <c r="S420" s="295">
        <v>18.270938999999998</v>
      </c>
      <c r="T420" s="295">
        <v>18.896153999999999</v>
      </c>
      <c r="U420" s="295">
        <v>19.604579999999999</v>
      </c>
      <c r="V420" s="295">
        <v>20.217093999999999</v>
      </c>
      <c r="W420" s="295">
        <v>21.027149000000001</v>
      </c>
      <c r="X420" s="295">
        <v>21.832815</v>
      </c>
      <c r="Y420" s="295">
        <v>22.508666999999999</v>
      </c>
      <c r="Z420" s="295">
        <v>23.356902999999999</v>
      </c>
      <c r="AA420" s="295">
        <v>24.113323000000001</v>
      </c>
      <c r="AB420" s="295">
        <v>24.655225999999999</v>
      </c>
      <c r="AC420" s="295">
        <v>25.728103999999998</v>
      </c>
      <c r="AD420" s="295">
        <v>26.810828999999998</v>
      </c>
      <c r="AE420" s="295">
        <v>27.732137999999999</v>
      </c>
      <c r="AF420" s="295">
        <v>28.711252000000002</v>
      </c>
      <c r="AG420" s="295">
        <v>29.751778000000002</v>
      </c>
      <c r="AH420" s="296">
        <v>4.6439000000000001E-2</v>
      </c>
    </row>
    <row r="421" spans="1:34" ht="15" customHeight="1" x14ac:dyDescent="0.25">
      <c r="A421" s="213" t="s">
        <v>1337</v>
      </c>
      <c r="B421" s="294" t="s">
        <v>1058</v>
      </c>
      <c r="C421" s="295">
        <v>17.750848999999999</v>
      </c>
      <c r="D421" s="295">
        <v>17.971506000000002</v>
      </c>
      <c r="E421" s="295">
        <v>18.358588999999998</v>
      </c>
      <c r="F421" s="295">
        <v>19.497215000000001</v>
      </c>
      <c r="G421" s="295">
        <v>19.912281</v>
      </c>
      <c r="H421" s="295">
        <v>20.180647</v>
      </c>
      <c r="I421" s="295">
        <v>20.4314</v>
      </c>
      <c r="J421" s="295">
        <v>21.285928999999999</v>
      </c>
      <c r="K421" s="295">
        <v>22.396170000000001</v>
      </c>
      <c r="L421" s="295">
        <v>23.253748000000002</v>
      </c>
      <c r="M421" s="295">
        <v>24.352557999999998</v>
      </c>
      <c r="N421" s="295">
        <v>25.246828000000001</v>
      </c>
      <c r="O421" s="295">
        <v>26.213733999999999</v>
      </c>
      <c r="P421" s="295">
        <v>27.007398999999999</v>
      </c>
      <c r="Q421" s="295">
        <v>27.781234999999999</v>
      </c>
      <c r="R421" s="295">
        <v>28.551646999999999</v>
      </c>
      <c r="S421" s="295">
        <v>29.281019000000001</v>
      </c>
      <c r="T421" s="295">
        <v>30.273243000000001</v>
      </c>
      <c r="U421" s="295">
        <v>31.231065999999998</v>
      </c>
      <c r="V421" s="295">
        <v>31.874442999999999</v>
      </c>
      <c r="W421" s="295">
        <v>33.165413000000001</v>
      </c>
      <c r="X421" s="295">
        <v>34.24239</v>
      </c>
      <c r="Y421" s="295">
        <v>35.223557</v>
      </c>
      <c r="Z421" s="295">
        <v>36.462189000000002</v>
      </c>
      <c r="AA421" s="295">
        <v>37.345759999999999</v>
      </c>
      <c r="AB421" s="295">
        <v>38.305827999999998</v>
      </c>
      <c r="AC421" s="295">
        <v>39.837868</v>
      </c>
      <c r="AD421" s="295">
        <v>41.14716</v>
      </c>
      <c r="AE421" s="295">
        <v>42.269398000000002</v>
      </c>
      <c r="AF421" s="295">
        <v>43.700789999999998</v>
      </c>
      <c r="AG421" s="295">
        <v>44.935187999999997</v>
      </c>
      <c r="AH421" s="296">
        <v>3.1444E-2</v>
      </c>
    </row>
    <row r="422" spans="1:34" ht="15" customHeight="1" x14ac:dyDescent="0.25">
      <c r="A422" s="213" t="s">
        <v>1338</v>
      </c>
      <c r="B422" s="294" t="s">
        <v>1060</v>
      </c>
      <c r="C422" s="295">
        <v>5.4227220000000003</v>
      </c>
      <c r="D422" s="295">
        <v>4.4774779999999996</v>
      </c>
      <c r="E422" s="295">
        <v>5.9832359999999998</v>
      </c>
      <c r="F422" s="295">
        <v>8.0332170000000005</v>
      </c>
      <c r="G422" s="295">
        <v>9.7078439999999997</v>
      </c>
      <c r="H422" s="295">
        <v>11.357949</v>
      </c>
      <c r="I422" s="295">
        <v>13.000048</v>
      </c>
      <c r="J422" s="295">
        <v>13.696293000000001</v>
      </c>
      <c r="K422" s="295">
        <v>14.546294</v>
      </c>
      <c r="L422" s="295">
        <v>15.233007000000001</v>
      </c>
      <c r="M422" s="295">
        <v>16.09572</v>
      </c>
      <c r="N422" s="295">
        <v>16.795151000000001</v>
      </c>
      <c r="O422" s="295">
        <v>17.551978999999999</v>
      </c>
      <c r="P422" s="295">
        <v>18.19087</v>
      </c>
      <c r="Q422" s="295">
        <v>18.751631</v>
      </c>
      <c r="R422" s="295">
        <v>19.341996999999999</v>
      </c>
      <c r="S422" s="295">
        <v>19.816352999999999</v>
      </c>
      <c r="T422" s="295">
        <v>20.207674000000001</v>
      </c>
      <c r="U422" s="295">
        <v>21.006710000000002</v>
      </c>
      <c r="V422" s="295">
        <v>21.453951</v>
      </c>
      <c r="W422" s="295">
        <v>23.023533</v>
      </c>
      <c r="X422" s="295">
        <v>23.890387</v>
      </c>
      <c r="Y422" s="295">
        <v>24.654726</v>
      </c>
      <c r="Z422" s="295">
        <v>25.518916999999998</v>
      </c>
      <c r="AA422" s="295">
        <v>26.320374999999999</v>
      </c>
      <c r="AB422" s="295">
        <v>26.980575999999999</v>
      </c>
      <c r="AC422" s="295">
        <v>27.988496999999999</v>
      </c>
      <c r="AD422" s="295">
        <v>28.96698</v>
      </c>
      <c r="AE422" s="295">
        <v>29.916198999999999</v>
      </c>
      <c r="AF422" s="295">
        <v>30.961760000000002</v>
      </c>
      <c r="AG422" s="295">
        <v>32.057636000000002</v>
      </c>
      <c r="AH422" s="296">
        <v>6.1020999999999999E-2</v>
      </c>
    </row>
    <row r="423" spans="1:34" ht="15" customHeight="1" x14ac:dyDescent="0.25">
      <c r="A423" s="213" t="s">
        <v>1339</v>
      </c>
      <c r="B423" s="294" t="s">
        <v>1276</v>
      </c>
      <c r="C423" s="295">
        <v>3.0610119999999998</v>
      </c>
      <c r="D423" s="295">
        <v>4.0488400000000002</v>
      </c>
      <c r="E423" s="295">
        <v>4.2455740000000004</v>
      </c>
      <c r="F423" s="295">
        <v>4.0728999999999997</v>
      </c>
      <c r="G423" s="295">
        <v>3.9189159999999998</v>
      </c>
      <c r="H423" s="295">
        <v>4.066103</v>
      </c>
      <c r="I423" s="295">
        <v>4.2674250000000002</v>
      </c>
      <c r="J423" s="295">
        <v>4.4446479999999999</v>
      </c>
      <c r="K423" s="295">
        <v>4.7010699999999996</v>
      </c>
      <c r="L423" s="295">
        <v>4.9568120000000002</v>
      </c>
      <c r="M423" s="295">
        <v>5.1225670000000001</v>
      </c>
      <c r="N423" s="295">
        <v>5.2615730000000003</v>
      </c>
      <c r="O423" s="295">
        <v>5.4557130000000003</v>
      </c>
      <c r="P423" s="295">
        <v>5.6772910000000003</v>
      </c>
      <c r="Q423" s="295">
        <v>5.8488939999999996</v>
      </c>
      <c r="R423" s="295">
        <v>5.992718</v>
      </c>
      <c r="S423" s="295">
        <v>6.1226609999999999</v>
      </c>
      <c r="T423" s="295">
        <v>6.2355910000000003</v>
      </c>
      <c r="U423" s="295">
        <v>6.3926660000000002</v>
      </c>
      <c r="V423" s="295">
        <v>6.5144320000000002</v>
      </c>
      <c r="W423" s="295">
        <v>6.6381959999999998</v>
      </c>
      <c r="X423" s="295">
        <v>6.775474</v>
      </c>
      <c r="Y423" s="295">
        <v>6.8947929999999999</v>
      </c>
      <c r="Z423" s="295">
        <v>7.0254589999999997</v>
      </c>
      <c r="AA423" s="295">
        <v>7.1783020000000004</v>
      </c>
      <c r="AB423" s="295">
        <v>7.3674160000000004</v>
      </c>
      <c r="AC423" s="295">
        <v>7.5639510000000003</v>
      </c>
      <c r="AD423" s="295">
        <v>7.8069470000000001</v>
      </c>
      <c r="AE423" s="295">
        <v>8.0959599999999998</v>
      </c>
      <c r="AF423" s="295">
        <v>8.4276560000000007</v>
      </c>
      <c r="AG423" s="295">
        <v>8.7493940000000006</v>
      </c>
      <c r="AH423" s="296">
        <v>3.5628E-2</v>
      </c>
    </row>
    <row r="424" spans="1:34" ht="15" customHeight="1" x14ac:dyDescent="0.25">
      <c r="A424" s="213" t="s">
        <v>1340</v>
      </c>
      <c r="B424" s="294" t="s">
        <v>1091</v>
      </c>
      <c r="C424" s="295">
        <v>4.01729</v>
      </c>
      <c r="D424" s="295">
        <v>3.638938</v>
      </c>
      <c r="E424" s="295">
        <v>3.4326989999999999</v>
      </c>
      <c r="F424" s="295">
        <v>3.3355610000000002</v>
      </c>
      <c r="G424" s="295">
        <v>3.304516</v>
      </c>
      <c r="H424" s="295">
        <v>3.334276</v>
      </c>
      <c r="I424" s="295">
        <v>3.3687659999999999</v>
      </c>
      <c r="J424" s="295">
        <v>3.4415420000000001</v>
      </c>
      <c r="K424" s="295">
        <v>3.5408789999999999</v>
      </c>
      <c r="L424" s="295">
        <v>3.6631019999999999</v>
      </c>
      <c r="M424" s="295">
        <v>3.7962009999999999</v>
      </c>
      <c r="N424" s="295">
        <v>3.935276</v>
      </c>
      <c r="O424" s="295">
        <v>4.0729839999999999</v>
      </c>
      <c r="P424" s="295">
        <v>4.2095479999999998</v>
      </c>
      <c r="Q424" s="295">
        <v>4.3485279999999999</v>
      </c>
      <c r="R424" s="295">
        <v>4.4907389999999996</v>
      </c>
      <c r="S424" s="295">
        <v>4.6335600000000001</v>
      </c>
      <c r="T424" s="295">
        <v>4.7799680000000002</v>
      </c>
      <c r="U424" s="295">
        <v>4.9328669999999999</v>
      </c>
      <c r="V424" s="295">
        <v>5.0847720000000001</v>
      </c>
      <c r="W424" s="295">
        <v>5.2435090000000004</v>
      </c>
      <c r="X424" s="295">
        <v>5.4109410000000002</v>
      </c>
      <c r="Y424" s="295">
        <v>5.5884660000000004</v>
      </c>
      <c r="Z424" s="295">
        <v>5.7800789999999997</v>
      </c>
      <c r="AA424" s="295">
        <v>5.9761230000000003</v>
      </c>
      <c r="AB424" s="295">
        <v>6.1874479999999998</v>
      </c>
      <c r="AC424" s="295">
        <v>6.4167519999999998</v>
      </c>
      <c r="AD424" s="295">
        <v>6.6587230000000002</v>
      </c>
      <c r="AE424" s="295">
        <v>6.9146369999999999</v>
      </c>
      <c r="AF424" s="295">
        <v>7.189845</v>
      </c>
      <c r="AG424" s="295">
        <v>7.485779</v>
      </c>
      <c r="AH424" s="296">
        <v>2.0962999999999999E-2</v>
      </c>
    </row>
    <row r="425" spans="1:34" ht="15" customHeight="1" x14ac:dyDescent="0.25">
      <c r="A425" s="213" t="s">
        <v>1341</v>
      </c>
      <c r="B425" s="294" t="s">
        <v>1093</v>
      </c>
      <c r="C425" s="295">
        <v>2.821307</v>
      </c>
      <c r="D425" s="295">
        <v>2.8556360000000001</v>
      </c>
      <c r="E425" s="295">
        <v>2.9559160000000002</v>
      </c>
      <c r="F425" s="295">
        <v>2.984032</v>
      </c>
      <c r="G425" s="295">
        <v>3.0382880000000001</v>
      </c>
      <c r="H425" s="295">
        <v>3.1103939999999999</v>
      </c>
      <c r="I425" s="295">
        <v>3.1771579999999999</v>
      </c>
      <c r="J425" s="295">
        <v>3.247433</v>
      </c>
      <c r="K425" s="295">
        <v>3.3264179999999999</v>
      </c>
      <c r="L425" s="295">
        <v>3.4129710000000002</v>
      </c>
      <c r="M425" s="295">
        <v>3.5009519999999998</v>
      </c>
      <c r="N425" s="295">
        <v>3.5924909999999999</v>
      </c>
      <c r="O425" s="295">
        <v>3.6648299999999998</v>
      </c>
      <c r="P425" s="295">
        <v>3.7543609999999998</v>
      </c>
      <c r="Q425" s="295">
        <v>3.8416510000000001</v>
      </c>
      <c r="R425" s="295">
        <v>3.93553</v>
      </c>
      <c r="S425" s="295">
        <v>4.0174979999999998</v>
      </c>
      <c r="T425" s="295">
        <v>4.1105460000000003</v>
      </c>
      <c r="U425" s="295">
        <v>4.2099890000000002</v>
      </c>
      <c r="V425" s="295">
        <v>4.3060609999999997</v>
      </c>
      <c r="W425" s="295">
        <v>4.4105309999999998</v>
      </c>
      <c r="X425" s="295">
        <v>4.5181709999999997</v>
      </c>
      <c r="Y425" s="295">
        <v>4.6186550000000004</v>
      </c>
      <c r="Z425" s="295">
        <v>4.7220180000000003</v>
      </c>
      <c r="AA425" s="295">
        <v>4.8338419999999998</v>
      </c>
      <c r="AB425" s="295">
        <v>4.9608720000000002</v>
      </c>
      <c r="AC425" s="295">
        <v>5.1066520000000004</v>
      </c>
      <c r="AD425" s="295">
        <v>5.2602919999999997</v>
      </c>
      <c r="AE425" s="295">
        <v>5.4215070000000001</v>
      </c>
      <c r="AF425" s="295">
        <v>5.5976410000000003</v>
      </c>
      <c r="AG425" s="295">
        <v>5.7865460000000004</v>
      </c>
      <c r="AH425" s="296">
        <v>2.4233000000000001E-2</v>
      </c>
    </row>
    <row r="426" spans="1:34" ht="15" customHeight="1" x14ac:dyDescent="0.25">
      <c r="A426" s="213" t="s">
        <v>1342</v>
      </c>
      <c r="B426" s="294" t="s">
        <v>1280</v>
      </c>
      <c r="C426" s="296" t="s">
        <v>635</v>
      </c>
      <c r="D426" s="296" t="s">
        <v>635</v>
      </c>
      <c r="E426" s="296" t="s">
        <v>635</v>
      </c>
      <c r="F426" s="296" t="s">
        <v>635</v>
      </c>
      <c r="G426" s="296" t="s">
        <v>635</v>
      </c>
      <c r="H426" s="296" t="s">
        <v>635</v>
      </c>
      <c r="I426" s="296" t="s">
        <v>635</v>
      </c>
      <c r="J426" s="296" t="s">
        <v>635</v>
      </c>
      <c r="K426" s="296" t="s">
        <v>635</v>
      </c>
      <c r="L426" s="296" t="s">
        <v>635</v>
      </c>
      <c r="M426" s="296" t="s">
        <v>635</v>
      </c>
      <c r="N426" s="296" t="s">
        <v>635</v>
      </c>
      <c r="O426" s="296" t="s">
        <v>635</v>
      </c>
      <c r="P426" s="296" t="s">
        <v>635</v>
      </c>
      <c r="Q426" s="296" t="s">
        <v>635</v>
      </c>
      <c r="R426" s="296" t="s">
        <v>635</v>
      </c>
      <c r="S426" s="296" t="s">
        <v>635</v>
      </c>
      <c r="T426" s="296" t="s">
        <v>635</v>
      </c>
      <c r="U426" s="296" t="s">
        <v>635</v>
      </c>
      <c r="V426" s="296" t="s">
        <v>635</v>
      </c>
      <c r="W426" s="296" t="s">
        <v>635</v>
      </c>
      <c r="X426" s="296" t="s">
        <v>635</v>
      </c>
      <c r="Y426" s="296" t="s">
        <v>635</v>
      </c>
      <c r="Z426" s="296" t="s">
        <v>635</v>
      </c>
      <c r="AA426" s="296" t="s">
        <v>635</v>
      </c>
      <c r="AB426" s="296" t="s">
        <v>635</v>
      </c>
      <c r="AC426" s="296" t="s">
        <v>635</v>
      </c>
      <c r="AD426" s="296" t="s">
        <v>635</v>
      </c>
      <c r="AE426" s="296" t="s">
        <v>635</v>
      </c>
      <c r="AF426" s="296" t="s">
        <v>635</v>
      </c>
      <c r="AG426" s="296" t="s">
        <v>635</v>
      </c>
      <c r="AH426" s="296" t="s">
        <v>635</v>
      </c>
    </row>
    <row r="427" spans="1:34" ht="15" customHeight="1" x14ac:dyDescent="0.25">
      <c r="A427" s="213" t="s">
        <v>1343</v>
      </c>
      <c r="B427" s="294" t="s">
        <v>1265</v>
      </c>
      <c r="C427" s="295">
        <v>20.713954999999999</v>
      </c>
      <c r="D427" s="295">
        <v>21.156965</v>
      </c>
      <c r="E427" s="295">
        <v>21.100325000000002</v>
      </c>
      <c r="F427" s="295">
        <v>20.891953000000001</v>
      </c>
      <c r="G427" s="295">
        <v>20.921764</v>
      </c>
      <c r="H427" s="295">
        <v>21.236295999999999</v>
      </c>
      <c r="I427" s="295">
        <v>21.770910000000001</v>
      </c>
      <c r="J427" s="295">
        <v>22.261113999999999</v>
      </c>
      <c r="K427" s="295">
        <v>22.796832999999999</v>
      </c>
      <c r="L427" s="295">
        <v>23.387415000000001</v>
      </c>
      <c r="M427" s="295">
        <v>23.872252</v>
      </c>
      <c r="N427" s="295">
        <v>24.490946000000001</v>
      </c>
      <c r="O427" s="295">
        <v>24.988073</v>
      </c>
      <c r="P427" s="295">
        <v>25.574369000000001</v>
      </c>
      <c r="Q427" s="295">
        <v>26.114386</v>
      </c>
      <c r="R427" s="295">
        <v>26.671671</v>
      </c>
      <c r="S427" s="295">
        <v>27.08691</v>
      </c>
      <c r="T427" s="295">
        <v>27.505251000000001</v>
      </c>
      <c r="U427" s="295">
        <v>27.963625</v>
      </c>
      <c r="V427" s="295">
        <v>28.384160999999999</v>
      </c>
      <c r="W427" s="295">
        <v>28.859252999999999</v>
      </c>
      <c r="X427" s="295">
        <v>29.342022</v>
      </c>
      <c r="Y427" s="295">
        <v>29.883678</v>
      </c>
      <c r="Z427" s="295">
        <v>30.308243000000001</v>
      </c>
      <c r="AA427" s="295">
        <v>30.888930999999999</v>
      </c>
      <c r="AB427" s="295">
        <v>31.512688000000001</v>
      </c>
      <c r="AC427" s="295">
        <v>32.146510999999997</v>
      </c>
      <c r="AD427" s="295">
        <v>32.920200000000001</v>
      </c>
      <c r="AE427" s="295">
        <v>33.718380000000003</v>
      </c>
      <c r="AF427" s="295">
        <v>34.466442000000001</v>
      </c>
      <c r="AG427" s="295">
        <v>35.256144999999997</v>
      </c>
      <c r="AH427" s="296">
        <v>1.7885999999999999E-2</v>
      </c>
    </row>
    <row r="430" spans="1:34" ht="15" customHeight="1" x14ac:dyDescent="0.2">
      <c r="B430" s="204" t="s">
        <v>1108</v>
      </c>
    </row>
    <row r="431" spans="1:34" ht="15" customHeight="1" x14ac:dyDescent="0.25">
      <c r="A431" s="213" t="s">
        <v>1344</v>
      </c>
      <c r="B431" s="294" t="s">
        <v>1036</v>
      </c>
      <c r="C431" s="295">
        <v>11.987021</v>
      </c>
      <c r="D431" s="295">
        <v>13.130575</v>
      </c>
      <c r="E431" s="295">
        <v>13.961211</v>
      </c>
      <c r="F431" s="295">
        <v>14.396977</v>
      </c>
      <c r="G431" s="295">
        <v>15.037742</v>
      </c>
      <c r="H431" s="295">
        <v>15.762059000000001</v>
      </c>
      <c r="I431" s="295">
        <v>16.461438999999999</v>
      </c>
      <c r="J431" s="295">
        <v>17.083905999999999</v>
      </c>
      <c r="K431" s="295">
        <v>17.964676000000001</v>
      </c>
      <c r="L431" s="295">
        <v>18.654245</v>
      </c>
      <c r="M431" s="295">
        <v>19.950323000000001</v>
      </c>
      <c r="N431" s="295">
        <v>20.674596999999999</v>
      </c>
      <c r="O431" s="295">
        <v>21.566257</v>
      </c>
      <c r="P431" s="295">
        <v>22.282247999999999</v>
      </c>
      <c r="Q431" s="295">
        <v>22.942633000000001</v>
      </c>
      <c r="R431" s="295">
        <v>23.61158</v>
      </c>
      <c r="S431" s="295">
        <v>24.338394000000001</v>
      </c>
      <c r="T431" s="295">
        <v>25.042524</v>
      </c>
      <c r="U431" s="295">
        <v>25.819524999999999</v>
      </c>
      <c r="V431" s="295">
        <v>26.515309999999999</v>
      </c>
      <c r="W431" s="295">
        <v>27.385083999999999</v>
      </c>
      <c r="X431" s="295">
        <v>28.253038</v>
      </c>
      <c r="Y431" s="295">
        <v>29.022110000000001</v>
      </c>
      <c r="Z431" s="295">
        <v>29.950893000000001</v>
      </c>
      <c r="AA431" s="295">
        <v>30.817226000000002</v>
      </c>
      <c r="AB431" s="295">
        <v>31.526236999999998</v>
      </c>
      <c r="AC431" s="295">
        <v>32.693600000000004</v>
      </c>
      <c r="AD431" s="295">
        <v>33.876685999999999</v>
      </c>
      <c r="AE431" s="295">
        <v>34.945259</v>
      </c>
      <c r="AF431" s="295">
        <v>36.084400000000002</v>
      </c>
      <c r="AG431" s="295">
        <v>37.293953000000002</v>
      </c>
      <c r="AH431" s="296">
        <v>3.8558000000000002E-2</v>
      </c>
    </row>
    <row r="432" spans="1:34" ht="15" customHeight="1" x14ac:dyDescent="0.25">
      <c r="A432" s="213" t="s">
        <v>1345</v>
      </c>
      <c r="B432" s="294" t="s">
        <v>1284</v>
      </c>
      <c r="C432" s="295">
        <v>21.060583000000001</v>
      </c>
      <c r="D432" s="295">
        <v>22.379771999999999</v>
      </c>
      <c r="E432" s="295">
        <v>24.294636000000001</v>
      </c>
      <c r="F432" s="295">
        <v>24.899754999999999</v>
      </c>
      <c r="G432" s="295">
        <v>25.327742000000001</v>
      </c>
      <c r="H432" s="295">
        <v>26.266466000000001</v>
      </c>
      <c r="I432" s="295">
        <v>27.084361999999999</v>
      </c>
      <c r="J432" s="295">
        <v>28.103006000000001</v>
      </c>
      <c r="K432" s="295">
        <v>29.634401</v>
      </c>
      <c r="L432" s="295">
        <v>30.960051</v>
      </c>
      <c r="M432" s="295">
        <v>33.123089</v>
      </c>
      <c r="N432" s="295">
        <v>34.134666000000003</v>
      </c>
      <c r="O432" s="295">
        <v>35.701973000000002</v>
      </c>
      <c r="P432" s="295">
        <v>36.854320999999999</v>
      </c>
      <c r="Q432" s="295">
        <v>38.240825999999998</v>
      </c>
      <c r="R432" s="295">
        <v>39.412990999999998</v>
      </c>
      <c r="S432" s="295">
        <v>40.821300999999998</v>
      </c>
      <c r="T432" s="295">
        <v>42.153193999999999</v>
      </c>
      <c r="U432" s="295">
        <v>43.638461999999997</v>
      </c>
      <c r="V432" s="295">
        <v>44.635384000000002</v>
      </c>
      <c r="W432" s="295">
        <v>46.395321000000003</v>
      </c>
      <c r="X432" s="295">
        <v>47.863644000000001</v>
      </c>
      <c r="Y432" s="295">
        <v>49.246566999999999</v>
      </c>
      <c r="Z432" s="295">
        <v>50.696235999999999</v>
      </c>
      <c r="AA432" s="295">
        <v>52.106983</v>
      </c>
      <c r="AB432" s="295">
        <v>53.074157999999997</v>
      </c>
      <c r="AC432" s="295">
        <v>55.222087999999999</v>
      </c>
      <c r="AD432" s="295">
        <v>56.963684000000001</v>
      </c>
      <c r="AE432" s="295">
        <v>58.784534000000001</v>
      </c>
      <c r="AF432" s="295">
        <v>60.360129999999998</v>
      </c>
      <c r="AG432" s="295">
        <v>62.196846000000001</v>
      </c>
      <c r="AH432" s="296">
        <v>3.6755999999999997E-2</v>
      </c>
    </row>
    <row r="433" spans="1:34" ht="15" customHeight="1" x14ac:dyDescent="0.25">
      <c r="A433" s="213" t="s">
        <v>1346</v>
      </c>
      <c r="B433" s="294" t="s">
        <v>1286</v>
      </c>
      <c r="C433" s="295">
        <v>18.753333999999999</v>
      </c>
      <c r="D433" s="295">
        <v>19.788136999999999</v>
      </c>
      <c r="E433" s="295">
        <v>20.396485999999999</v>
      </c>
      <c r="F433" s="295">
        <v>21.208925000000001</v>
      </c>
      <c r="G433" s="295">
        <v>21.622437000000001</v>
      </c>
      <c r="H433" s="295">
        <v>22.455853999999999</v>
      </c>
      <c r="I433" s="295">
        <v>23.190774999999999</v>
      </c>
      <c r="J433" s="295">
        <v>24.052572000000001</v>
      </c>
      <c r="K433" s="295">
        <v>25.308731000000002</v>
      </c>
      <c r="L433" s="295">
        <v>26.410557000000001</v>
      </c>
      <c r="M433" s="295">
        <v>28.402387999999998</v>
      </c>
      <c r="N433" s="295">
        <v>29.242397</v>
      </c>
      <c r="O433" s="295">
        <v>30.566122</v>
      </c>
      <c r="P433" s="295">
        <v>31.517831999999999</v>
      </c>
      <c r="Q433" s="295">
        <v>32.65802</v>
      </c>
      <c r="R433" s="295">
        <v>33.633769999999998</v>
      </c>
      <c r="S433" s="295">
        <v>34.799244000000002</v>
      </c>
      <c r="T433" s="295">
        <v>35.906436999999997</v>
      </c>
      <c r="U433" s="295">
        <v>37.143135000000001</v>
      </c>
      <c r="V433" s="295">
        <v>37.972752</v>
      </c>
      <c r="W433" s="295">
        <v>39.444046</v>
      </c>
      <c r="X433" s="295">
        <v>40.668427000000001</v>
      </c>
      <c r="Y433" s="295">
        <v>41.822150999999998</v>
      </c>
      <c r="Z433" s="295">
        <v>43.044823000000001</v>
      </c>
      <c r="AA433" s="295">
        <v>44.230671000000001</v>
      </c>
      <c r="AB433" s="295">
        <v>45.040413000000001</v>
      </c>
      <c r="AC433" s="295">
        <v>46.837200000000003</v>
      </c>
      <c r="AD433" s="295">
        <v>48.300316000000002</v>
      </c>
      <c r="AE433" s="295">
        <v>49.822819000000003</v>
      </c>
      <c r="AF433" s="295">
        <v>51.148045000000003</v>
      </c>
      <c r="AG433" s="295">
        <v>52.695495999999999</v>
      </c>
      <c r="AH433" s="296">
        <v>3.5038E-2</v>
      </c>
    </row>
    <row r="434" spans="1:34" ht="15" customHeight="1" x14ac:dyDescent="0.25">
      <c r="A434" s="213" t="s">
        <v>1347</v>
      </c>
      <c r="B434" s="294" t="s">
        <v>1288</v>
      </c>
      <c r="C434" s="295">
        <v>9.5686540000000004</v>
      </c>
      <c r="D434" s="295">
        <v>10.491593999999999</v>
      </c>
      <c r="E434" s="295">
        <v>11.664871</v>
      </c>
      <c r="F434" s="295">
        <v>13.146803999999999</v>
      </c>
      <c r="G434" s="295">
        <v>14.404769999999999</v>
      </c>
      <c r="H434" s="295">
        <v>15.408177</v>
      </c>
      <c r="I434" s="295">
        <v>16.389203999999999</v>
      </c>
      <c r="J434" s="295">
        <v>17.167169999999999</v>
      </c>
      <c r="K434" s="295">
        <v>18.239086</v>
      </c>
      <c r="L434" s="295">
        <v>19.040171000000001</v>
      </c>
      <c r="M434" s="295">
        <v>20.065964000000001</v>
      </c>
      <c r="N434" s="295">
        <v>21.000416000000001</v>
      </c>
      <c r="O434" s="295">
        <v>21.975183000000001</v>
      </c>
      <c r="P434" s="295">
        <v>22.78651</v>
      </c>
      <c r="Q434" s="295">
        <v>23.515066000000001</v>
      </c>
      <c r="R434" s="295">
        <v>24.254860000000001</v>
      </c>
      <c r="S434" s="295">
        <v>24.989301999999999</v>
      </c>
      <c r="T434" s="295">
        <v>25.955479</v>
      </c>
      <c r="U434" s="295">
        <v>26.942630999999999</v>
      </c>
      <c r="V434" s="295">
        <v>27.570049000000001</v>
      </c>
      <c r="W434" s="295">
        <v>28.794685000000001</v>
      </c>
      <c r="X434" s="295">
        <v>29.828768</v>
      </c>
      <c r="Y434" s="295">
        <v>30.777698999999998</v>
      </c>
      <c r="Z434" s="295">
        <v>32.127910999999997</v>
      </c>
      <c r="AA434" s="295">
        <v>33.026775000000001</v>
      </c>
      <c r="AB434" s="295">
        <v>33.890259</v>
      </c>
      <c r="AC434" s="295">
        <v>35.355632999999997</v>
      </c>
      <c r="AD434" s="295">
        <v>36.590324000000003</v>
      </c>
      <c r="AE434" s="295">
        <v>37.593876000000002</v>
      </c>
      <c r="AF434" s="295">
        <v>38.897308000000002</v>
      </c>
      <c r="AG434" s="295">
        <v>40.060402000000003</v>
      </c>
      <c r="AH434" s="296">
        <v>4.8887E-2</v>
      </c>
    </row>
    <row r="435" spans="1:34" ht="15" customHeight="1" x14ac:dyDescent="0.25">
      <c r="A435" s="213" t="s">
        <v>1348</v>
      </c>
      <c r="B435" s="294" t="s">
        <v>1290</v>
      </c>
      <c r="C435" s="295">
        <v>18.329231</v>
      </c>
      <c r="D435" s="295">
        <v>18.466083999999999</v>
      </c>
      <c r="E435" s="295">
        <v>19.472317</v>
      </c>
      <c r="F435" s="295">
        <v>21.371407999999999</v>
      </c>
      <c r="G435" s="295">
        <v>22.440401000000001</v>
      </c>
      <c r="H435" s="295">
        <v>23.433647000000001</v>
      </c>
      <c r="I435" s="295">
        <v>24.459620000000001</v>
      </c>
      <c r="J435" s="295">
        <v>25.512846</v>
      </c>
      <c r="K435" s="295">
        <v>26.622440000000001</v>
      </c>
      <c r="L435" s="295">
        <v>27.591256999999999</v>
      </c>
      <c r="M435" s="295">
        <v>29.222456000000001</v>
      </c>
      <c r="N435" s="295">
        <v>30.270443</v>
      </c>
      <c r="O435" s="295">
        <v>31.382214000000001</v>
      </c>
      <c r="P435" s="295">
        <v>32.290142000000003</v>
      </c>
      <c r="Q435" s="295">
        <v>33.152008000000002</v>
      </c>
      <c r="R435" s="295">
        <v>34.061478000000001</v>
      </c>
      <c r="S435" s="295">
        <v>34.870632000000001</v>
      </c>
      <c r="T435" s="295">
        <v>35.980522000000001</v>
      </c>
      <c r="U435" s="295">
        <v>37.015087000000001</v>
      </c>
      <c r="V435" s="295">
        <v>37.778297000000002</v>
      </c>
      <c r="W435" s="295">
        <v>39.163040000000002</v>
      </c>
      <c r="X435" s="295">
        <v>40.359797999999998</v>
      </c>
      <c r="Y435" s="295">
        <v>41.465755000000001</v>
      </c>
      <c r="Z435" s="295">
        <v>42.814827000000001</v>
      </c>
      <c r="AA435" s="295">
        <v>43.931683</v>
      </c>
      <c r="AB435" s="295">
        <v>44.939940999999997</v>
      </c>
      <c r="AC435" s="295">
        <v>46.637943</v>
      </c>
      <c r="AD435" s="295">
        <v>48.088585000000002</v>
      </c>
      <c r="AE435" s="295">
        <v>49.440437000000003</v>
      </c>
      <c r="AF435" s="295">
        <v>51.080295999999997</v>
      </c>
      <c r="AG435" s="295">
        <v>52.526328999999997</v>
      </c>
      <c r="AH435" s="296">
        <v>3.5716999999999999E-2</v>
      </c>
    </row>
    <row r="436" spans="1:34" ht="15" customHeight="1" x14ac:dyDescent="0.25">
      <c r="A436" s="213" t="s">
        <v>1349</v>
      </c>
      <c r="B436" s="294" t="s">
        <v>1060</v>
      </c>
      <c r="C436" s="295">
        <v>9.2080660000000005</v>
      </c>
      <c r="D436" s="295">
        <v>7.0633330000000001</v>
      </c>
      <c r="E436" s="295">
        <v>7.4424250000000001</v>
      </c>
      <c r="F436" s="295">
        <v>8.5555710000000005</v>
      </c>
      <c r="G436" s="295">
        <v>10.050269999999999</v>
      </c>
      <c r="H436" s="295">
        <v>11.226108</v>
      </c>
      <c r="I436" s="295">
        <v>11.704374</v>
      </c>
      <c r="J436" s="295">
        <v>13.124941</v>
      </c>
      <c r="K436" s="295">
        <v>13.930038</v>
      </c>
      <c r="L436" s="295">
        <v>14.629014</v>
      </c>
      <c r="M436" s="295">
        <v>14.302966</v>
      </c>
      <c r="N436" s="295">
        <v>16.097771000000002</v>
      </c>
      <c r="O436" s="295">
        <v>16.772836999999999</v>
      </c>
      <c r="P436" s="295">
        <v>17.386709</v>
      </c>
      <c r="Q436" s="295">
        <v>17.901921999999999</v>
      </c>
      <c r="R436" s="295">
        <v>18.451409999999999</v>
      </c>
      <c r="S436" s="295">
        <v>19.009692999999999</v>
      </c>
      <c r="T436" s="295">
        <v>19.515673</v>
      </c>
      <c r="U436" s="295">
        <v>20.253143000000001</v>
      </c>
      <c r="V436" s="295">
        <v>20.659511999999999</v>
      </c>
      <c r="W436" s="295">
        <v>21.795269000000001</v>
      </c>
      <c r="X436" s="295">
        <v>22.368946000000001</v>
      </c>
      <c r="Y436" s="295">
        <v>22.791354999999999</v>
      </c>
      <c r="Z436" s="295">
        <v>24.366458999999999</v>
      </c>
      <c r="AA436" s="295">
        <v>25.229403000000001</v>
      </c>
      <c r="AB436" s="295">
        <v>25.767583999999999</v>
      </c>
      <c r="AC436" s="295">
        <v>27.396208000000001</v>
      </c>
      <c r="AD436" s="295">
        <v>28.602485999999999</v>
      </c>
      <c r="AE436" s="295">
        <v>29.542299</v>
      </c>
      <c r="AF436" s="295">
        <v>30.550353999999999</v>
      </c>
      <c r="AG436" s="295">
        <v>31.689318</v>
      </c>
      <c r="AH436" s="296">
        <v>4.2056999999999997E-2</v>
      </c>
    </row>
    <row r="437" spans="1:34" ht="15" customHeight="1" x14ac:dyDescent="0.25">
      <c r="A437" s="213" t="s">
        <v>1350</v>
      </c>
      <c r="B437" s="294" t="s">
        <v>1293</v>
      </c>
      <c r="C437" s="295">
        <v>13.013437</v>
      </c>
      <c r="D437" s="295">
        <v>13.692778000000001</v>
      </c>
      <c r="E437" s="295">
        <v>14.419085000000001</v>
      </c>
      <c r="F437" s="295">
        <v>14.159095000000001</v>
      </c>
      <c r="G437" s="295">
        <v>13.922605000000001</v>
      </c>
      <c r="H437" s="295">
        <v>13.962441999999999</v>
      </c>
      <c r="I437" s="295">
        <v>14.140722999999999</v>
      </c>
      <c r="J437" s="295">
        <v>14.271839999999999</v>
      </c>
      <c r="K437" s="295">
        <v>14.427515</v>
      </c>
      <c r="L437" s="295">
        <v>14.589498000000001</v>
      </c>
      <c r="M437" s="295">
        <v>15.565483</v>
      </c>
      <c r="N437" s="295">
        <v>15.619092</v>
      </c>
      <c r="O437" s="295">
        <v>15.898021999999999</v>
      </c>
      <c r="P437" s="295">
        <v>16.104721000000001</v>
      </c>
      <c r="Q437" s="295">
        <v>16.280317</v>
      </c>
      <c r="R437" s="295">
        <v>16.457647000000001</v>
      </c>
      <c r="S437" s="295">
        <v>16.639804999999999</v>
      </c>
      <c r="T437" s="295">
        <v>16.821114999999999</v>
      </c>
      <c r="U437" s="295">
        <v>17.09712</v>
      </c>
      <c r="V437" s="295">
        <v>17.312356999999999</v>
      </c>
      <c r="W437" s="295">
        <v>17.611675000000002</v>
      </c>
      <c r="X437" s="295">
        <v>17.875595000000001</v>
      </c>
      <c r="Y437" s="295">
        <v>18.170801000000001</v>
      </c>
      <c r="Z437" s="295">
        <v>18.485765000000001</v>
      </c>
      <c r="AA437" s="295">
        <v>18.847631</v>
      </c>
      <c r="AB437" s="295">
        <v>19.260757000000002</v>
      </c>
      <c r="AC437" s="295">
        <v>19.728114999999999</v>
      </c>
      <c r="AD437" s="295">
        <v>20.255586999999998</v>
      </c>
      <c r="AE437" s="295">
        <v>20.832352</v>
      </c>
      <c r="AF437" s="295">
        <v>21.488268000000001</v>
      </c>
      <c r="AG437" s="295">
        <v>22.158428000000001</v>
      </c>
      <c r="AH437" s="296">
        <v>1.7899999999999999E-2</v>
      </c>
    </row>
    <row r="438" spans="1:34" ht="15" customHeight="1" x14ac:dyDescent="0.25">
      <c r="A438" s="213" t="s">
        <v>1351</v>
      </c>
      <c r="B438" s="294" t="s">
        <v>1265</v>
      </c>
      <c r="C438" s="295">
        <v>34.841343000000002</v>
      </c>
      <c r="D438" s="295">
        <v>36.773609</v>
      </c>
      <c r="E438" s="295">
        <v>36.414726000000002</v>
      </c>
      <c r="F438" s="295">
        <v>36.211517000000001</v>
      </c>
      <c r="G438" s="295">
        <v>36.276618999999997</v>
      </c>
      <c r="H438" s="295">
        <v>37.016506</v>
      </c>
      <c r="I438" s="295">
        <v>38.143538999999997</v>
      </c>
      <c r="J438" s="295">
        <v>39.214970000000001</v>
      </c>
      <c r="K438" s="295">
        <v>40.336727000000003</v>
      </c>
      <c r="L438" s="295">
        <v>41.543605999999997</v>
      </c>
      <c r="M438" s="295">
        <v>42.519081</v>
      </c>
      <c r="N438" s="295">
        <v>43.751674999999999</v>
      </c>
      <c r="O438" s="295">
        <v>44.778942000000001</v>
      </c>
      <c r="P438" s="295">
        <v>46.098388999999997</v>
      </c>
      <c r="Q438" s="295">
        <v>47.21011</v>
      </c>
      <c r="R438" s="295">
        <v>48.118003999999999</v>
      </c>
      <c r="S438" s="295">
        <v>49.015137000000003</v>
      </c>
      <c r="T438" s="295">
        <v>49.924931000000001</v>
      </c>
      <c r="U438" s="295">
        <v>50.775455000000001</v>
      </c>
      <c r="V438" s="295">
        <v>51.588940000000001</v>
      </c>
      <c r="W438" s="295">
        <v>52.506832000000003</v>
      </c>
      <c r="X438" s="295">
        <v>53.428417000000003</v>
      </c>
      <c r="Y438" s="295">
        <v>54.385193000000001</v>
      </c>
      <c r="Z438" s="295">
        <v>55.135845000000003</v>
      </c>
      <c r="AA438" s="295">
        <v>56.157252999999997</v>
      </c>
      <c r="AB438" s="295">
        <v>57.272537</v>
      </c>
      <c r="AC438" s="295">
        <v>58.410544999999999</v>
      </c>
      <c r="AD438" s="295">
        <v>59.689537000000001</v>
      </c>
      <c r="AE438" s="295">
        <v>61.105618</v>
      </c>
      <c r="AF438" s="295">
        <v>62.552036000000001</v>
      </c>
      <c r="AG438" s="295">
        <v>63.886558999999998</v>
      </c>
      <c r="AH438" s="296">
        <v>2.0416E-2</v>
      </c>
    </row>
    <row r="440" spans="1:34" ht="15" customHeight="1" x14ac:dyDescent="0.2">
      <c r="B440" s="204" t="s">
        <v>1295</v>
      </c>
    </row>
    <row r="441" spans="1:34" ht="15" customHeight="1" x14ac:dyDescent="0.25">
      <c r="A441" s="213" t="s">
        <v>1352</v>
      </c>
      <c r="B441" s="294" t="s">
        <v>1058</v>
      </c>
      <c r="C441" s="295">
        <v>17.709454000000001</v>
      </c>
      <c r="D441" s="295">
        <v>17.923759</v>
      </c>
      <c r="E441" s="295">
        <v>18.249001</v>
      </c>
      <c r="F441" s="295">
        <v>18.949356000000002</v>
      </c>
      <c r="G441" s="295">
        <v>19.324677999999999</v>
      </c>
      <c r="H441" s="295">
        <v>19.573898</v>
      </c>
      <c r="I441" s="295">
        <v>19.603697</v>
      </c>
      <c r="J441" s="295">
        <v>20.455753000000001</v>
      </c>
      <c r="K441" s="295">
        <v>21.495221999999998</v>
      </c>
      <c r="L441" s="295">
        <v>22.297915</v>
      </c>
      <c r="M441" s="295">
        <v>23.335336999999999</v>
      </c>
      <c r="N441" s="295">
        <v>24.049669000000002</v>
      </c>
      <c r="O441" s="295">
        <v>25.007356999999999</v>
      </c>
      <c r="P441" s="295">
        <v>25.808109000000002</v>
      </c>
      <c r="Q441" s="295">
        <v>26.619308</v>
      </c>
      <c r="R441" s="295">
        <v>27.386026000000001</v>
      </c>
      <c r="S441" s="295">
        <v>28.185918999999998</v>
      </c>
      <c r="T441" s="295">
        <v>29.174956999999999</v>
      </c>
      <c r="U441" s="295">
        <v>30.061851999999998</v>
      </c>
      <c r="V441" s="295">
        <v>30.723479999999999</v>
      </c>
      <c r="W441" s="295">
        <v>32.065331</v>
      </c>
      <c r="X441" s="295">
        <v>33.109665</v>
      </c>
      <c r="Y441" s="295">
        <v>34.082016000000003</v>
      </c>
      <c r="Z441" s="295">
        <v>35.414963</v>
      </c>
      <c r="AA441" s="295">
        <v>36.281525000000002</v>
      </c>
      <c r="AB441" s="295">
        <v>37.196255000000001</v>
      </c>
      <c r="AC441" s="295">
        <v>38.722183000000001</v>
      </c>
      <c r="AD441" s="295">
        <v>40.003703999999999</v>
      </c>
      <c r="AE441" s="295">
        <v>41.104298</v>
      </c>
      <c r="AF441" s="295">
        <v>42.499287000000002</v>
      </c>
      <c r="AG441" s="295">
        <v>43.709038</v>
      </c>
      <c r="AH441" s="296">
        <v>3.0572999999999999E-2</v>
      </c>
    </row>
    <row r="442" spans="1:34" ht="15" customHeight="1" x14ac:dyDescent="0.25">
      <c r="A442" s="213" t="s">
        <v>1353</v>
      </c>
      <c r="B442" s="294" t="s">
        <v>1060</v>
      </c>
      <c r="C442" s="295">
        <v>8.2907849999999996</v>
      </c>
      <c r="D442" s="295">
        <v>8.9438549999999992</v>
      </c>
      <c r="E442" s="295">
        <v>9.9702009999999994</v>
      </c>
      <c r="F442" s="295">
        <v>11.383319999999999</v>
      </c>
      <c r="G442" s="295">
        <v>12.574456</v>
      </c>
      <c r="H442" s="295">
        <v>13.609940999999999</v>
      </c>
      <c r="I442" s="295">
        <v>14.655602</v>
      </c>
      <c r="J442" s="295">
        <v>15.381103</v>
      </c>
      <c r="K442" s="295">
        <v>16.268677</v>
      </c>
      <c r="L442" s="295">
        <v>16.942216999999999</v>
      </c>
      <c r="M442" s="295">
        <v>17.906421999999999</v>
      </c>
      <c r="N442" s="295">
        <v>18.589055999999999</v>
      </c>
      <c r="O442" s="295">
        <v>19.355056999999999</v>
      </c>
      <c r="P442" s="295">
        <v>20.01022</v>
      </c>
      <c r="Q442" s="295">
        <v>20.623664999999999</v>
      </c>
      <c r="R442" s="295">
        <v>21.267634999999999</v>
      </c>
      <c r="S442" s="295">
        <v>21.838573</v>
      </c>
      <c r="T442" s="295">
        <v>22.408148000000001</v>
      </c>
      <c r="U442" s="295">
        <v>23.198650000000001</v>
      </c>
      <c r="V442" s="295">
        <v>23.650883</v>
      </c>
      <c r="W442" s="295">
        <v>24.909144999999999</v>
      </c>
      <c r="X442" s="295">
        <v>25.616717999999999</v>
      </c>
      <c r="Y442" s="295">
        <v>26.167095</v>
      </c>
      <c r="Z442" s="295">
        <v>26.874001</v>
      </c>
      <c r="AA442" s="295">
        <v>27.377077</v>
      </c>
      <c r="AB442" s="295">
        <v>27.631516000000001</v>
      </c>
      <c r="AC442" s="295">
        <v>28.691603000000001</v>
      </c>
      <c r="AD442" s="295">
        <v>29.737590999999998</v>
      </c>
      <c r="AE442" s="295">
        <v>30.788872000000001</v>
      </c>
      <c r="AF442" s="295">
        <v>31.912261999999998</v>
      </c>
      <c r="AG442" s="295">
        <v>33.081359999999997</v>
      </c>
      <c r="AH442" s="296">
        <v>4.7208E-2</v>
      </c>
    </row>
    <row r="443" spans="1:34" ht="15" customHeight="1" x14ac:dyDescent="0.25">
      <c r="A443" s="213" t="s">
        <v>1354</v>
      </c>
      <c r="B443" s="294" t="s">
        <v>152</v>
      </c>
      <c r="C443" s="295">
        <v>2.4475289999999998</v>
      </c>
      <c r="D443" s="295">
        <v>3.5371700000000001</v>
      </c>
      <c r="E443" s="295">
        <v>3.6850640000000001</v>
      </c>
      <c r="F443" s="295">
        <v>3.4955599999999998</v>
      </c>
      <c r="G443" s="295">
        <v>3.3188589999999998</v>
      </c>
      <c r="H443" s="295">
        <v>3.4835950000000002</v>
      </c>
      <c r="I443" s="295">
        <v>3.6633740000000001</v>
      </c>
      <c r="J443" s="295">
        <v>3.8064110000000002</v>
      </c>
      <c r="K443" s="295">
        <v>4.0359939999999996</v>
      </c>
      <c r="L443" s="295">
        <v>4.2659789999999997</v>
      </c>
      <c r="M443" s="295">
        <v>4.4050840000000004</v>
      </c>
      <c r="N443" s="295">
        <v>4.5132789999999998</v>
      </c>
      <c r="O443" s="295">
        <v>4.6924039999999998</v>
      </c>
      <c r="P443" s="295">
        <v>4.8903809999999996</v>
      </c>
      <c r="Q443" s="295">
        <v>5.0452250000000003</v>
      </c>
      <c r="R443" s="295">
        <v>5.1568490000000002</v>
      </c>
      <c r="S443" s="295">
        <v>5.2712260000000004</v>
      </c>
      <c r="T443" s="295">
        <v>5.3532500000000001</v>
      </c>
      <c r="U443" s="295">
        <v>5.5078279999999999</v>
      </c>
      <c r="V443" s="295">
        <v>5.6193379999999999</v>
      </c>
      <c r="W443" s="295">
        <v>5.7362869999999999</v>
      </c>
      <c r="X443" s="295">
        <v>5.8440279999999998</v>
      </c>
      <c r="Y443" s="295">
        <v>5.9499069999999996</v>
      </c>
      <c r="Z443" s="295">
        <v>6.0607920000000002</v>
      </c>
      <c r="AA443" s="295">
        <v>6.2049209999999997</v>
      </c>
      <c r="AB443" s="295">
        <v>6.37019</v>
      </c>
      <c r="AC443" s="295">
        <v>6.5430460000000004</v>
      </c>
      <c r="AD443" s="295">
        <v>6.7539829999999998</v>
      </c>
      <c r="AE443" s="295">
        <v>7.0290970000000002</v>
      </c>
      <c r="AF443" s="295">
        <v>7.3238599999999998</v>
      </c>
      <c r="AG443" s="295">
        <v>7.6184770000000004</v>
      </c>
      <c r="AH443" s="296">
        <v>3.8574999999999998E-2</v>
      </c>
    </row>
    <row r="444" spans="1:34" ht="15" customHeight="1" x14ac:dyDescent="0.25">
      <c r="A444" s="213" t="s">
        <v>1355</v>
      </c>
      <c r="B444" s="294" t="s">
        <v>1172</v>
      </c>
      <c r="C444" s="295">
        <v>1.9632609999999999</v>
      </c>
      <c r="D444" s="295">
        <v>2.0121150000000001</v>
      </c>
      <c r="E444" s="295">
        <v>2.0682290000000001</v>
      </c>
      <c r="F444" s="295">
        <v>2.019965</v>
      </c>
      <c r="G444" s="295">
        <v>2.0346150000000001</v>
      </c>
      <c r="H444" s="295">
        <v>2.036772</v>
      </c>
      <c r="I444" s="295">
        <v>2.0671729999999999</v>
      </c>
      <c r="J444" s="295">
        <v>2.1063879999999999</v>
      </c>
      <c r="K444" s="295">
        <v>2.134655</v>
      </c>
      <c r="L444" s="295">
        <v>2.192672</v>
      </c>
      <c r="M444" s="295">
        <v>2.2348849999999998</v>
      </c>
      <c r="N444" s="295">
        <v>2.2953229999999998</v>
      </c>
      <c r="O444" s="295">
        <v>2.3353069999999998</v>
      </c>
      <c r="P444" s="295">
        <v>2.3811279999999999</v>
      </c>
      <c r="Q444" s="295">
        <v>2.4342429999999999</v>
      </c>
      <c r="R444" s="295">
        <v>2.4771480000000001</v>
      </c>
      <c r="S444" s="295">
        <v>2.5268190000000001</v>
      </c>
      <c r="T444" s="295">
        <v>2.5770870000000001</v>
      </c>
      <c r="U444" s="295">
        <v>2.6476660000000001</v>
      </c>
      <c r="V444" s="295">
        <v>2.691961</v>
      </c>
      <c r="W444" s="295">
        <v>2.748564</v>
      </c>
      <c r="X444" s="295">
        <v>2.8048790000000001</v>
      </c>
      <c r="Y444" s="295">
        <v>2.8663500000000002</v>
      </c>
      <c r="Z444" s="295">
        <v>2.932194</v>
      </c>
      <c r="AA444" s="295">
        <v>2.9814560000000001</v>
      </c>
      <c r="AB444" s="295">
        <v>3.0506790000000001</v>
      </c>
      <c r="AC444" s="295">
        <v>3.1311939999999998</v>
      </c>
      <c r="AD444" s="295">
        <v>3.2108789999999998</v>
      </c>
      <c r="AE444" s="295">
        <v>3.293377</v>
      </c>
      <c r="AF444" s="295">
        <v>3.3895249999999999</v>
      </c>
      <c r="AG444" s="295">
        <v>3.4910009999999998</v>
      </c>
      <c r="AH444" s="296">
        <v>1.9370999999999999E-2</v>
      </c>
    </row>
    <row r="445" spans="1:34" ht="15" customHeight="1" x14ac:dyDescent="0.25">
      <c r="A445" s="213" t="s">
        <v>1356</v>
      </c>
      <c r="B445" s="294" t="s">
        <v>1301</v>
      </c>
      <c r="C445" s="295">
        <v>0.68612300000000004</v>
      </c>
      <c r="D445" s="295">
        <v>0.69437599999999999</v>
      </c>
      <c r="E445" s="295">
        <v>0.70353699999999997</v>
      </c>
      <c r="F445" s="295">
        <v>0.71517799999999998</v>
      </c>
      <c r="G445" s="295">
        <v>0.72825300000000004</v>
      </c>
      <c r="H445" s="295">
        <v>0.74558899999999995</v>
      </c>
      <c r="I445" s="295">
        <v>0.76444800000000002</v>
      </c>
      <c r="J445" s="295">
        <v>0.78613599999999995</v>
      </c>
      <c r="K445" s="295">
        <v>0.80800899999999998</v>
      </c>
      <c r="L445" s="295">
        <v>0.83169599999999999</v>
      </c>
      <c r="M445" s="295">
        <v>0.85568299999999997</v>
      </c>
      <c r="N445" s="295">
        <v>0.878386</v>
      </c>
      <c r="O445" s="295">
        <v>0.90226600000000001</v>
      </c>
      <c r="P445" s="295">
        <v>0.92596599999999996</v>
      </c>
      <c r="Q445" s="295">
        <v>0.94813599999999998</v>
      </c>
      <c r="R445" s="295">
        <v>0.97180900000000003</v>
      </c>
      <c r="S445" s="295">
        <v>0.99558500000000005</v>
      </c>
      <c r="T445" s="295">
        <v>1.017946</v>
      </c>
      <c r="U445" s="295">
        <v>1.0422400000000001</v>
      </c>
      <c r="V445" s="295">
        <v>1.0667990000000001</v>
      </c>
      <c r="W445" s="295">
        <v>1.0924290000000001</v>
      </c>
      <c r="X445" s="295">
        <v>1.119008</v>
      </c>
      <c r="Y445" s="295">
        <v>1.146801</v>
      </c>
      <c r="Z445" s="295">
        <v>1.176369</v>
      </c>
      <c r="AA445" s="295">
        <v>1.2077899999999999</v>
      </c>
      <c r="AB445" s="295">
        <v>1.2409730000000001</v>
      </c>
      <c r="AC445" s="295">
        <v>1.2767200000000001</v>
      </c>
      <c r="AD445" s="295">
        <v>1.314643</v>
      </c>
      <c r="AE445" s="295">
        <v>1.3546590000000001</v>
      </c>
      <c r="AF445" s="295">
        <v>1.397022</v>
      </c>
      <c r="AG445" s="295">
        <v>1.441935</v>
      </c>
      <c r="AH445" s="296">
        <v>2.5065E-2</v>
      </c>
    </row>
    <row r="447" spans="1:34" ht="15" customHeight="1" x14ac:dyDescent="0.2">
      <c r="B447" s="204" t="s">
        <v>1302</v>
      </c>
    </row>
    <row r="448" spans="1:34" ht="15" customHeight="1" x14ac:dyDescent="0.25">
      <c r="A448" s="213" t="s">
        <v>1357</v>
      </c>
      <c r="B448" s="294" t="s">
        <v>1036</v>
      </c>
      <c r="C448" s="295">
        <v>14.346581</v>
      </c>
      <c r="D448" s="295">
        <v>15.079136</v>
      </c>
      <c r="E448" s="295">
        <v>15.778335999999999</v>
      </c>
      <c r="F448" s="295">
        <v>15.736272</v>
      </c>
      <c r="G448" s="295">
        <v>16.463408999999999</v>
      </c>
      <c r="H448" s="295">
        <v>17.301292</v>
      </c>
      <c r="I448" s="295">
        <v>18.153254</v>
      </c>
      <c r="J448" s="295">
        <v>18.936917999999999</v>
      </c>
      <c r="K448" s="295">
        <v>19.953211</v>
      </c>
      <c r="L448" s="295">
        <v>20.824202</v>
      </c>
      <c r="M448" s="295">
        <v>21.923501999999999</v>
      </c>
      <c r="N448" s="295">
        <v>22.797787</v>
      </c>
      <c r="O448" s="295">
        <v>23.767911999999999</v>
      </c>
      <c r="P448" s="295">
        <v>24.635708000000001</v>
      </c>
      <c r="Q448" s="295">
        <v>25.431716999999999</v>
      </c>
      <c r="R448" s="295">
        <v>26.217981000000002</v>
      </c>
      <c r="S448" s="295">
        <v>27.055596999999999</v>
      </c>
      <c r="T448" s="295">
        <v>27.876421000000001</v>
      </c>
      <c r="U448" s="295">
        <v>28.767263</v>
      </c>
      <c r="V448" s="295">
        <v>29.587793000000001</v>
      </c>
      <c r="W448" s="295">
        <v>30.580603</v>
      </c>
      <c r="X448" s="295">
        <v>31.591553000000001</v>
      </c>
      <c r="Y448" s="295">
        <v>32.510632000000001</v>
      </c>
      <c r="Z448" s="295">
        <v>33.570281999999999</v>
      </c>
      <c r="AA448" s="295">
        <v>34.580630999999997</v>
      </c>
      <c r="AB448" s="295">
        <v>35.418022000000001</v>
      </c>
      <c r="AC448" s="295">
        <v>36.686222000000001</v>
      </c>
      <c r="AD448" s="295">
        <v>38.027428</v>
      </c>
      <c r="AE448" s="295">
        <v>39.270831999999999</v>
      </c>
      <c r="AF448" s="295">
        <v>40.566032</v>
      </c>
      <c r="AG448" s="295">
        <v>41.929588000000003</v>
      </c>
      <c r="AH448" s="296">
        <v>3.6395999999999998E-2</v>
      </c>
    </row>
    <row r="449" spans="1:34" ht="15" customHeight="1" x14ac:dyDescent="0.25">
      <c r="A449" s="213" t="s">
        <v>1358</v>
      </c>
      <c r="B449" s="294" t="s">
        <v>1284</v>
      </c>
      <c r="C449" s="295">
        <v>21.060583000000001</v>
      </c>
      <c r="D449" s="295">
        <v>22.379771999999999</v>
      </c>
      <c r="E449" s="295">
        <v>24.294636000000001</v>
      </c>
      <c r="F449" s="295">
        <v>24.899754999999999</v>
      </c>
      <c r="G449" s="295">
        <v>25.327742000000001</v>
      </c>
      <c r="H449" s="295">
        <v>26.266466000000001</v>
      </c>
      <c r="I449" s="295">
        <v>27.084361999999999</v>
      </c>
      <c r="J449" s="295">
        <v>28.103006000000001</v>
      </c>
      <c r="K449" s="295">
        <v>29.634401</v>
      </c>
      <c r="L449" s="295">
        <v>30.960051</v>
      </c>
      <c r="M449" s="295">
        <v>33.123089</v>
      </c>
      <c r="N449" s="295">
        <v>34.134666000000003</v>
      </c>
      <c r="O449" s="295">
        <v>35.701973000000002</v>
      </c>
      <c r="P449" s="295">
        <v>36.854320999999999</v>
      </c>
      <c r="Q449" s="295">
        <v>38.240825999999998</v>
      </c>
      <c r="R449" s="295">
        <v>39.412990999999998</v>
      </c>
      <c r="S449" s="295">
        <v>40.821300999999998</v>
      </c>
      <c r="T449" s="295">
        <v>42.153193999999999</v>
      </c>
      <c r="U449" s="295">
        <v>43.638461999999997</v>
      </c>
      <c r="V449" s="295">
        <v>44.635384000000002</v>
      </c>
      <c r="W449" s="295">
        <v>46.395321000000003</v>
      </c>
      <c r="X449" s="295">
        <v>47.863644000000001</v>
      </c>
      <c r="Y449" s="295">
        <v>49.246566999999999</v>
      </c>
      <c r="Z449" s="295">
        <v>50.696235999999999</v>
      </c>
      <c r="AA449" s="295">
        <v>52.106983</v>
      </c>
      <c r="AB449" s="295">
        <v>53.074157999999997</v>
      </c>
      <c r="AC449" s="295">
        <v>55.222087999999999</v>
      </c>
      <c r="AD449" s="295">
        <v>56.963684000000001</v>
      </c>
      <c r="AE449" s="295">
        <v>58.784534000000001</v>
      </c>
      <c r="AF449" s="295">
        <v>60.360129999999998</v>
      </c>
      <c r="AG449" s="295">
        <v>62.196846000000001</v>
      </c>
      <c r="AH449" s="296">
        <v>3.6755999999999997E-2</v>
      </c>
    </row>
    <row r="450" spans="1:34" ht="15" customHeight="1" x14ac:dyDescent="0.25">
      <c r="A450" s="213" t="s">
        <v>1359</v>
      </c>
      <c r="B450" s="294" t="s">
        <v>1286</v>
      </c>
      <c r="C450" s="295">
        <v>18.741731999999999</v>
      </c>
      <c r="D450" s="295">
        <v>19.779762000000002</v>
      </c>
      <c r="E450" s="295">
        <v>20.391506</v>
      </c>
      <c r="F450" s="295">
        <v>21.207552</v>
      </c>
      <c r="G450" s="295">
        <v>21.625069</v>
      </c>
      <c r="H450" s="295">
        <v>22.462543</v>
      </c>
      <c r="I450" s="295">
        <v>23.201746</v>
      </c>
      <c r="J450" s="295">
        <v>24.064115999999999</v>
      </c>
      <c r="K450" s="295">
        <v>25.320751000000001</v>
      </c>
      <c r="L450" s="295">
        <v>26.42304</v>
      </c>
      <c r="M450" s="295">
        <v>28.411660999999999</v>
      </c>
      <c r="N450" s="295">
        <v>29.252051999999999</v>
      </c>
      <c r="O450" s="295">
        <v>30.575541000000001</v>
      </c>
      <c r="P450" s="295">
        <v>31.527623999999999</v>
      </c>
      <c r="Q450" s="295">
        <v>32.667988000000001</v>
      </c>
      <c r="R450" s="295">
        <v>33.644252999999999</v>
      </c>
      <c r="S450" s="295">
        <v>34.809989999999999</v>
      </c>
      <c r="T450" s="295">
        <v>35.917538</v>
      </c>
      <c r="U450" s="295">
        <v>37.154586999999999</v>
      </c>
      <c r="V450" s="295">
        <v>37.984535000000001</v>
      </c>
      <c r="W450" s="295">
        <v>39.456394000000003</v>
      </c>
      <c r="X450" s="295">
        <v>40.68121</v>
      </c>
      <c r="Y450" s="295">
        <v>41.835354000000002</v>
      </c>
      <c r="Z450" s="295">
        <v>43.058720000000001</v>
      </c>
      <c r="AA450" s="295">
        <v>44.245041000000001</v>
      </c>
      <c r="AB450" s="295">
        <v>45.055508000000003</v>
      </c>
      <c r="AC450" s="295">
        <v>46.852958999999998</v>
      </c>
      <c r="AD450" s="295">
        <v>48.31673</v>
      </c>
      <c r="AE450" s="295">
        <v>49.839886</v>
      </c>
      <c r="AF450" s="295">
        <v>51.166114999999998</v>
      </c>
      <c r="AG450" s="295">
        <v>52.714348000000001</v>
      </c>
      <c r="AH450" s="296">
        <v>3.5071999999999999E-2</v>
      </c>
    </row>
    <row r="451" spans="1:34" ht="15" customHeight="1" x14ac:dyDescent="0.25">
      <c r="A451" s="213" t="s">
        <v>1360</v>
      </c>
      <c r="B451" s="294" t="s">
        <v>1288</v>
      </c>
      <c r="C451" s="295">
        <v>9.5686540000000004</v>
      </c>
      <c r="D451" s="295">
        <v>10.491593999999999</v>
      </c>
      <c r="E451" s="295">
        <v>11.664871</v>
      </c>
      <c r="F451" s="295">
        <v>13.146803999999999</v>
      </c>
      <c r="G451" s="295">
        <v>14.404769999999999</v>
      </c>
      <c r="H451" s="295">
        <v>15.408177</v>
      </c>
      <c r="I451" s="295">
        <v>16.389203999999999</v>
      </c>
      <c r="J451" s="295">
        <v>17.167169999999999</v>
      </c>
      <c r="K451" s="295">
        <v>18.239086</v>
      </c>
      <c r="L451" s="295">
        <v>19.040171000000001</v>
      </c>
      <c r="M451" s="295">
        <v>20.065964000000001</v>
      </c>
      <c r="N451" s="295">
        <v>21.000416000000001</v>
      </c>
      <c r="O451" s="295">
        <v>21.975183000000001</v>
      </c>
      <c r="P451" s="295">
        <v>22.78651</v>
      </c>
      <c r="Q451" s="295">
        <v>23.515066000000001</v>
      </c>
      <c r="R451" s="295">
        <v>24.254860000000001</v>
      </c>
      <c r="S451" s="295">
        <v>24.989301999999999</v>
      </c>
      <c r="T451" s="295">
        <v>25.955479</v>
      </c>
      <c r="U451" s="295">
        <v>26.942630999999999</v>
      </c>
      <c r="V451" s="295">
        <v>27.570049000000001</v>
      </c>
      <c r="W451" s="295">
        <v>28.794685000000001</v>
      </c>
      <c r="X451" s="295">
        <v>29.828768</v>
      </c>
      <c r="Y451" s="295">
        <v>30.777698999999998</v>
      </c>
      <c r="Z451" s="295">
        <v>32.127910999999997</v>
      </c>
      <c r="AA451" s="295">
        <v>33.026775000000001</v>
      </c>
      <c r="AB451" s="295">
        <v>33.890259</v>
      </c>
      <c r="AC451" s="295">
        <v>35.355632999999997</v>
      </c>
      <c r="AD451" s="295">
        <v>36.590324000000003</v>
      </c>
      <c r="AE451" s="295">
        <v>37.593876000000002</v>
      </c>
      <c r="AF451" s="295">
        <v>38.897308000000002</v>
      </c>
      <c r="AG451" s="295">
        <v>40.060402000000003</v>
      </c>
      <c r="AH451" s="296">
        <v>4.8887E-2</v>
      </c>
    </row>
    <row r="452" spans="1:34" ht="15" customHeight="1" x14ac:dyDescent="0.25">
      <c r="A452" s="213" t="s">
        <v>1361</v>
      </c>
      <c r="B452" s="294" t="s">
        <v>1058</v>
      </c>
      <c r="C452" s="295">
        <v>18.184811</v>
      </c>
      <c r="D452" s="295">
        <v>18.340218</v>
      </c>
      <c r="E452" s="295">
        <v>19.243293999999999</v>
      </c>
      <c r="F452" s="295">
        <v>20.999151000000001</v>
      </c>
      <c r="G452" s="295">
        <v>21.964127000000001</v>
      </c>
      <c r="H452" s="295">
        <v>22.81024</v>
      </c>
      <c r="I452" s="295">
        <v>23.672187999999998</v>
      </c>
      <c r="J452" s="295">
        <v>24.598773999999999</v>
      </c>
      <c r="K452" s="295">
        <v>25.779951000000001</v>
      </c>
      <c r="L452" s="295">
        <v>26.715181000000001</v>
      </c>
      <c r="M452" s="295">
        <v>28.19557</v>
      </c>
      <c r="N452" s="295">
        <v>29.173881999999999</v>
      </c>
      <c r="O452" s="295">
        <v>30.258505</v>
      </c>
      <c r="P452" s="295">
        <v>31.121072999999999</v>
      </c>
      <c r="Q452" s="295">
        <v>31.956973999999999</v>
      </c>
      <c r="R452" s="295">
        <v>32.809586000000003</v>
      </c>
      <c r="S452" s="295">
        <v>33.598686000000001</v>
      </c>
      <c r="T452" s="295">
        <v>34.666533999999999</v>
      </c>
      <c r="U452" s="295">
        <v>35.691307000000002</v>
      </c>
      <c r="V452" s="295">
        <v>36.407100999999997</v>
      </c>
      <c r="W452" s="295">
        <v>37.761868</v>
      </c>
      <c r="X452" s="295">
        <v>38.916919999999998</v>
      </c>
      <c r="Y452" s="295">
        <v>39.985523000000001</v>
      </c>
      <c r="Z452" s="295">
        <v>41.292873</v>
      </c>
      <c r="AA452" s="295">
        <v>42.270397000000003</v>
      </c>
      <c r="AB452" s="295">
        <v>43.336326999999997</v>
      </c>
      <c r="AC452" s="295">
        <v>44.983226999999999</v>
      </c>
      <c r="AD452" s="295">
        <v>46.416896999999999</v>
      </c>
      <c r="AE452" s="295">
        <v>47.662415000000003</v>
      </c>
      <c r="AF452" s="295">
        <v>49.229435000000002</v>
      </c>
      <c r="AG452" s="295">
        <v>50.609684000000001</v>
      </c>
      <c r="AH452" s="296">
        <v>3.4707000000000002E-2</v>
      </c>
    </row>
    <row r="453" spans="1:34" ht="15" customHeight="1" x14ac:dyDescent="0.25">
      <c r="A453" s="213" t="s">
        <v>1362</v>
      </c>
      <c r="B453" s="294" t="s">
        <v>1060</v>
      </c>
      <c r="C453" s="295">
        <v>8.8440239999999992</v>
      </c>
      <c r="D453" s="295">
        <v>7.0217809999999998</v>
      </c>
      <c r="E453" s="295">
        <v>7.4944750000000004</v>
      </c>
      <c r="F453" s="295">
        <v>8.6581050000000008</v>
      </c>
      <c r="G453" s="295">
        <v>10.144163000000001</v>
      </c>
      <c r="H453" s="295">
        <v>11.345813</v>
      </c>
      <c r="I453" s="295">
        <v>11.914013000000001</v>
      </c>
      <c r="J453" s="295">
        <v>13.264078</v>
      </c>
      <c r="K453" s="295">
        <v>14.075742</v>
      </c>
      <c r="L453" s="295">
        <v>14.77262</v>
      </c>
      <c r="M453" s="295">
        <v>14.565935</v>
      </c>
      <c r="N453" s="295">
        <v>16.252503999999998</v>
      </c>
      <c r="O453" s="295">
        <v>16.936900999999999</v>
      </c>
      <c r="P453" s="295">
        <v>17.554563999999999</v>
      </c>
      <c r="Q453" s="295">
        <v>18.077746999999999</v>
      </c>
      <c r="R453" s="295">
        <v>18.634708</v>
      </c>
      <c r="S453" s="295">
        <v>19.186062</v>
      </c>
      <c r="T453" s="295">
        <v>19.683664</v>
      </c>
      <c r="U453" s="295">
        <v>20.42709</v>
      </c>
      <c r="V453" s="295">
        <v>20.835515999999998</v>
      </c>
      <c r="W453" s="295">
        <v>22.013119</v>
      </c>
      <c r="X453" s="295">
        <v>22.597818</v>
      </c>
      <c r="Y453" s="295">
        <v>23.051279000000001</v>
      </c>
      <c r="Z453" s="295">
        <v>24.529693999999999</v>
      </c>
      <c r="AA453" s="295">
        <v>25.371545999999999</v>
      </c>
      <c r="AB453" s="295">
        <v>25.899947999999998</v>
      </c>
      <c r="AC453" s="295">
        <v>27.465202000000001</v>
      </c>
      <c r="AD453" s="295">
        <v>28.648914000000001</v>
      </c>
      <c r="AE453" s="295">
        <v>29.593064999999999</v>
      </c>
      <c r="AF453" s="295">
        <v>30.607882</v>
      </c>
      <c r="AG453" s="295">
        <v>31.744395999999998</v>
      </c>
      <c r="AH453" s="296">
        <v>4.3519000000000002E-2</v>
      </c>
    </row>
    <row r="454" spans="1:34" ht="15" customHeight="1" x14ac:dyDescent="0.25">
      <c r="A454" s="213" t="s">
        <v>1363</v>
      </c>
      <c r="B454" s="294" t="s">
        <v>152</v>
      </c>
      <c r="C454" s="295">
        <v>4.5260930000000004</v>
      </c>
      <c r="D454" s="295">
        <v>5.5244309999999999</v>
      </c>
      <c r="E454" s="295">
        <v>5.7128680000000003</v>
      </c>
      <c r="F454" s="295">
        <v>5.5511929999999996</v>
      </c>
      <c r="G454" s="295">
        <v>5.4347310000000002</v>
      </c>
      <c r="H454" s="295">
        <v>5.5994869999999999</v>
      </c>
      <c r="I454" s="295">
        <v>5.8262749999999999</v>
      </c>
      <c r="J454" s="295">
        <v>6.0417730000000001</v>
      </c>
      <c r="K454" s="295">
        <v>6.3399359999999998</v>
      </c>
      <c r="L454" s="295">
        <v>6.6382589999999997</v>
      </c>
      <c r="M454" s="295">
        <v>6.957338</v>
      </c>
      <c r="N454" s="295">
        <v>7.137715</v>
      </c>
      <c r="O454" s="295">
        <v>7.386584</v>
      </c>
      <c r="P454" s="295">
        <v>7.659294</v>
      </c>
      <c r="Q454" s="295">
        <v>7.8778170000000003</v>
      </c>
      <c r="R454" s="295">
        <v>8.0737220000000001</v>
      </c>
      <c r="S454" s="295">
        <v>8.2450550000000007</v>
      </c>
      <c r="T454" s="295">
        <v>8.3935809999999993</v>
      </c>
      <c r="U454" s="295">
        <v>8.5798430000000003</v>
      </c>
      <c r="V454" s="295">
        <v>8.7354029999999998</v>
      </c>
      <c r="W454" s="295">
        <v>8.8972020000000001</v>
      </c>
      <c r="X454" s="295">
        <v>9.0774240000000006</v>
      </c>
      <c r="Y454" s="295">
        <v>9.238569</v>
      </c>
      <c r="Z454" s="295">
        <v>9.4074299999999997</v>
      </c>
      <c r="AA454" s="295">
        <v>9.6083119999999997</v>
      </c>
      <c r="AB454" s="295">
        <v>9.8481070000000006</v>
      </c>
      <c r="AC454" s="295">
        <v>10.105740000000001</v>
      </c>
      <c r="AD454" s="295">
        <v>10.410303000000001</v>
      </c>
      <c r="AE454" s="295">
        <v>10.757956999999999</v>
      </c>
      <c r="AF454" s="295">
        <v>11.144287</v>
      </c>
      <c r="AG454" s="295">
        <v>11.528613</v>
      </c>
      <c r="AH454" s="296">
        <v>3.1656999999999998E-2</v>
      </c>
    </row>
    <row r="455" spans="1:34" ht="15" customHeight="1" x14ac:dyDescent="0.25">
      <c r="A455" s="213" t="s">
        <v>1364</v>
      </c>
      <c r="B455" s="294" t="s">
        <v>1091</v>
      </c>
      <c r="C455" s="295">
        <v>4.01729</v>
      </c>
      <c r="D455" s="295">
        <v>3.638938</v>
      </c>
      <c r="E455" s="295">
        <v>3.4326989999999999</v>
      </c>
      <c r="F455" s="295">
        <v>3.3355610000000002</v>
      </c>
      <c r="G455" s="295">
        <v>3.304516</v>
      </c>
      <c r="H455" s="295">
        <v>3.334276</v>
      </c>
      <c r="I455" s="295">
        <v>3.3687659999999999</v>
      </c>
      <c r="J455" s="295">
        <v>3.4415420000000001</v>
      </c>
      <c r="K455" s="295">
        <v>3.5408789999999999</v>
      </c>
      <c r="L455" s="295">
        <v>3.6631019999999999</v>
      </c>
      <c r="M455" s="295">
        <v>3.7962009999999999</v>
      </c>
      <c r="N455" s="295">
        <v>3.935276</v>
      </c>
      <c r="O455" s="295">
        <v>4.0729839999999999</v>
      </c>
      <c r="P455" s="295">
        <v>4.2095479999999998</v>
      </c>
      <c r="Q455" s="295">
        <v>4.3485279999999999</v>
      </c>
      <c r="R455" s="295">
        <v>4.4907389999999996</v>
      </c>
      <c r="S455" s="295">
        <v>4.6335600000000001</v>
      </c>
      <c r="T455" s="295">
        <v>4.7799680000000002</v>
      </c>
      <c r="U455" s="295">
        <v>4.9328669999999999</v>
      </c>
      <c r="V455" s="295">
        <v>5.0847720000000001</v>
      </c>
      <c r="W455" s="295">
        <v>5.2435090000000004</v>
      </c>
      <c r="X455" s="295">
        <v>5.4109410000000002</v>
      </c>
      <c r="Y455" s="295">
        <v>5.5884660000000004</v>
      </c>
      <c r="Z455" s="295">
        <v>5.7800789999999997</v>
      </c>
      <c r="AA455" s="295">
        <v>5.9761230000000003</v>
      </c>
      <c r="AB455" s="295">
        <v>6.1874479999999998</v>
      </c>
      <c r="AC455" s="295">
        <v>6.4167519999999998</v>
      </c>
      <c r="AD455" s="295">
        <v>6.6587230000000002</v>
      </c>
      <c r="AE455" s="295">
        <v>6.9146369999999999</v>
      </c>
      <c r="AF455" s="295">
        <v>7.189845</v>
      </c>
      <c r="AG455" s="295">
        <v>7.485779</v>
      </c>
      <c r="AH455" s="296">
        <v>2.0962999999999999E-2</v>
      </c>
    </row>
    <row r="456" spans="1:34" ht="15" customHeight="1" x14ac:dyDescent="0.25">
      <c r="A456" s="213" t="s">
        <v>1365</v>
      </c>
      <c r="B456" s="294" t="s">
        <v>1154</v>
      </c>
      <c r="C456" s="295">
        <v>2.0209510000000002</v>
      </c>
      <c r="D456" s="295">
        <v>2.0582729999999998</v>
      </c>
      <c r="E456" s="295">
        <v>2.1131769999999999</v>
      </c>
      <c r="F456" s="295">
        <v>2.0762510000000001</v>
      </c>
      <c r="G456" s="295">
        <v>2.0997759999999999</v>
      </c>
      <c r="H456" s="295">
        <v>2.1154000000000002</v>
      </c>
      <c r="I456" s="295">
        <v>2.1461999999999999</v>
      </c>
      <c r="J456" s="295">
        <v>2.1896990000000001</v>
      </c>
      <c r="K456" s="295">
        <v>2.2201409999999999</v>
      </c>
      <c r="L456" s="295">
        <v>2.279264</v>
      </c>
      <c r="M456" s="295">
        <v>2.325326</v>
      </c>
      <c r="N456" s="295">
        <v>2.3889900000000002</v>
      </c>
      <c r="O456" s="295">
        <v>2.431975</v>
      </c>
      <c r="P456" s="295">
        <v>2.4802149999999998</v>
      </c>
      <c r="Q456" s="295">
        <v>2.5350259999999998</v>
      </c>
      <c r="R456" s="295">
        <v>2.5837379999999999</v>
      </c>
      <c r="S456" s="295">
        <v>2.635796</v>
      </c>
      <c r="T456" s="295">
        <v>2.69055</v>
      </c>
      <c r="U456" s="295">
        <v>2.7664</v>
      </c>
      <c r="V456" s="295">
        <v>2.8155380000000001</v>
      </c>
      <c r="W456" s="295">
        <v>2.875982</v>
      </c>
      <c r="X456" s="295">
        <v>2.9370210000000001</v>
      </c>
      <c r="Y456" s="295">
        <v>3.0030779999999999</v>
      </c>
      <c r="Z456" s="295">
        <v>3.0753189999999999</v>
      </c>
      <c r="AA456" s="295">
        <v>3.132625</v>
      </c>
      <c r="AB456" s="295">
        <v>3.212942</v>
      </c>
      <c r="AC456" s="295">
        <v>3.3004799999999999</v>
      </c>
      <c r="AD456" s="295">
        <v>3.3870480000000001</v>
      </c>
      <c r="AE456" s="295">
        <v>3.4758230000000001</v>
      </c>
      <c r="AF456" s="295">
        <v>3.5788160000000002</v>
      </c>
      <c r="AG456" s="295">
        <v>3.688984</v>
      </c>
      <c r="AH456" s="296">
        <v>2.0261999999999999E-2</v>
      </c>
    </row>
    <row r="457" spans="1:34" ht="15" customHeight="1" x14ac:dyDescent="0.25">
      <c r="A457" s="213" t="s">
        <v>1366</v>
      </c>
      <c r="B457" s="294" t="s">
        <v>1280</v>
      </c>
      <c r="C457" s="296" t="s">
        <v>635</v>
      </c>
      <c r="D457" s="296" t="s">
        <v>635</v>
      </c>
      <c r="E457" s="296" t="s">
        <v>635</v>
      </c>
      <c r="F457" s="296" t="s">
        <v>635</v>
      </c>
      <c r="G457" s="296" t="s">
        <v>635</v>
      </c>
      <c r="H457" s="296" t="s">
        <v>635</v>
      </c>
      <c r="I457" s="296" t="s">
        <v>635</v>
      </c>
      <c r="J457" s="296" t="s">
        <v>635</v>
      </c>
      <c r="K457" s="296" t="s">
        <v>635</v>
      </c>
      <c r="L457" s="296" t="s">
        <v>635</v>
      </c>
      <c r="M457" s="296" t="s">
        <v>635</v>
      </c>
      <c r="N457" s="296" t="s">
        <v>635</v>
      </c>
      <c r="O457" s="296" t="s">
        <v>635</v>
      </c>
      <c r="P457" s="296" t="s">
        <v>635</v>
      </c>
      <c r="Q457" s="296" t="s">
        <v>635</v>
      </c>
      <c r="R457" s="296" t="s">
        <v>635</v>
      </c>
      <c r="S457" s="296" t="s">
        <v>635</v>
      </c>
      <c r="T457" s="296" t="s">
        <v>635</v>
      </c>
      <c r="U457" s="296" t="s">
        <v>635</v>
      </c>
      <c r="V457" s="296" t="s">
        <v>635</v>
      </c>
      <c r="W457" s="296" t="s">
        <v>635</v>
      </c>
      <c r="X457" s="296" t="s">
        <v>635</v>
      </c>
      <c r="Y457" s="296" t="s">
        <v>635</v>
      </c>
      <c r="Z457" s="296" t="s">
        <v>635</v>
      </c>
      <c r="AA457" s="296" t="s">
        <v>635</v>
      </c>
      <c r="AB457" s="296" t="s">
        <v>635</v>
      </c>
      <c r="AC457" s="296" t="s">
        <v>635</v>
      </c>
      <c r="AD457" s="296" t="s">
        <v>635</v>
      </c>
      <c r="AE457" s="296" t="s">
        <v>635</v>
      </c>
      <c r="AF457" s="296" t="s">
        <v>635</v>
      </c>
      <c r="AG457" s="296" t="s">
        <v>635</v>
      </c>
      <c r="AH457" s="296" t="s">
        <v>635</v>
      </c>
    </row>
    <row r="458" spans="1:34" ht="15" customHeight="1" x14ac:dyDescent="0.25">
      <c r="A458" s="213" t="s">
        <v>1367</v>
      </c>
      <c r="B458" s="294" t="s">
        <v>1265</v>
      </c>
      <c r="C458" s="295">
        <v>30.52927</v>
      </c>
      <c r="D458" s="295">
        <v>31.406376000000002</v>
      </c>
      <c r="E458" s="295">
        <v>31.532800999999999</v>
      </c>
      <c r="F458" s="295">
        <v>31.600883</v>
      </c>
      <c r="G458" s="295">
        <v>31.856992999999999</v>
      </c>
      <c r="H458" s="295">
        <v>32.455176999999999</v>
      </c>
      <c r="I458" s="295">
        <v>33.273266</v>
      </c>
      <c r="J458" s="295">
        <v>34.139648000000001</v>
      </c>
      <c r="K458" s="295">
        <v>35.007899999999999</v>
      </c>
      <c r="L458" s="295">
        <v>35.955745999999998</v>
      </c>
      <c r="M458" s="295">
        <v>36.764240000000001</v>
      </c>
      <c r="N458" s="295">
        <v>37.692081000000002</v>
      </c>
      <c r="O458" s="295">
        <v>38.447456000000003</v>
      </c>
      <c r="P458" s="295">
        <v>39.511211000000003</v>
      </c>
      <c r="Q458" s="295">
        <v>40.348548999999998</v>
      </c>
      <c r="R458" s="295">
        <v>41.224476000000003</v>
      </c>
      <c r="S458" s="295">
        <v>41.914496999999997</v>
      </c>
      <c r="T458" s="295">
        <v>42.625118000000001</v>
      </c>
      <c r="U458" s="295">
        <v>43.333602999999997</v>
      </c>
      <c r="V458" s="295">
        <v>44.056216999999997</v>
      </c>
      <c r="W458" s="295">
        <v>44.890220999999997</v>
      </c>
      <c r="X458" s="295">
        <v>45.740799000000003</v>
      </c>
      <c r="Y458" s="295">
        <v>46.686248999999997</v>
      </c>
      <c r="Z458" s="295">
        <v>47.329085999999997</v>
      </c>
      <c r="AA458" s="295">
        <v>48.356358</v>
      </c>
      <c r="AB458" s="295">
        <v>49.387839999999997</v>
      </c>
      <c r="AC458" s="295">
        <v>50.380130999999999</v>
      </c>
      <c r="AD458" s="295">
        <v>51.669342</v>
      </c>
      <c r="AE458" s="295">
        <v>52.895828000000002</v>
      </c>
      <c r="AF458" s="295">
        <v>53.981724</v>
      </c>
      <c r="AG458" s="295">
        <v>55.136875000000003</v>
      </c>
      <c r="AH458" s="296">
        <v>1.9900000000000001E-2</v>
      </c>
    </row>
    <row r="460" spans="1:34" ht="15" customHeight="1" x14ac:dyDescent="0.2">
      <c r="B460" s="204" t="s">
        <v>1314</v>
      </c>
    </row>
    <row r="461" spans="1:34" ht="15" customHeight="1" x14ac:dyDescent="0.2">
      <c r="B461" s="204" t="s">
        <v>1368</v>
      </c>
    </row>
    <row r="462" spans="1:34" ht="15" customHeight="1" x14ac:dyDescent="0.25">
      <c r="A462" s="213" t="s">
        <v>1369</v>
      </c>
      <c r="B462" s="294" t="s">
        <v>1034</v>
      </c>
      <c r="C462" s="297">
        <v>246.644623</v>
      </c>
      <c r="D462" s="297">
        <v>255.05157500000001</v>
      </c>
      <c r="E462" s="297">
        <v>259.61270100000002</v>
      </c>
      <c r="F462" s="297">
        <v>262.81738300000001</v>
      </c>
      <c r="G462" s="297">
        <v>266.57223499999998</v>
      </c>
      <c r="H462" s="297">
        <v>273.761078</v>
      </c>
      <c r="I462" s="297">
        <v>282.82455399999998</v>
      </c>
      <c r="J462" s="297">
        <v>291.87600700000002</v>
      </c>
      <c r="K462" s="297">
        <v>301.49377399999997</v>
      </c>
      <c r="L462" s="297">
        <v>311.85244799999998</v>
      </c>
      <c r="M462" s="297">
        <v>323.063965</v>
      </c>
      <c r="N462" s="297">
        <v>332.88943499999999</v>
      </c>
      <c r="O462" s="297">
        <v>342.64382899999998</v>
      </c>
      <c r="P462" s="297">
        <v>353.96743800000002</v>
      </c>
      <c r="Q462" s="297">
        <v>364.21267699999999</v>
      </c>
      <c r="R462" s="297">
        <v>374.38253800000001</v>
      </c>
      <c r="S462" s="297">
        <v>383.765533</v>
      </c>
      <c r="T462" s="297">
        <v>393.63299599999999</v>
      </c>
      <c r="U462" s="297">
        <v>403.71444700000001</v>
      </c>
      <c r="V462" s="297">
        <v>413.79775999999998</v>
      </c>
      <c r="W462" s="297">
        <v>424.69863900000001</v>
      </c>
      <c r="X462" s="297">
        <v>436.00341800000001</v>
      </c>
      <c r="Y462" s="297">
        <v>448.13043199999998</v>
      </c>
      <c r="Z462" s="297">
        <v>459.05126999999999</v>
      </c>
      <c r="AA462" s="297">
        <v>472.63885499999998</v>
      </c>
      <c r="AB462" s="297">
        <v>486.65267899999998</v>
      </c>
      <c r="AC462" s="297">
        <v>500.95983899999999</v>
      </c>
      <c r="AD462" s="297">
        <v>517.72930899999994</v>
      </c>
      <c r="AE462" s="297">
        <v>534.53497300000004</v>
      </c>
      <c r="AF462" s="297">
        <v>551.16687000000002</v>
      </c>
      <c r="AG462" s="297">
        <v>568.67291299999999</v>
      </c>
      <c r="AH462" s="296">
        <v>2.8237000000000002E-2</v>
      </c>
    </row>
    <row r="463" spans="1:34" ht="15" customHeight="1" x14ac:dyDescent="0.25">
      <c r="A463" s="213" t="s">
        <v>1370</v>
      </c>
      <c r="B463" s="294" t="s">
        <v>1051</v>
      </c>
      <c r="C463" s="297">
        <v>173.49534600000001</v>
      </c>
      <c r="D463" s="297">
        <v>182.57621800000001</v>
      </c>
      <c r="E463" s="297">
        <v>188.43606600000001</v>
      </c>
      <c r="F463" s="297">
        <v>192.388992</v>
      </c>
      <c r="G463" s="297">
        <v>196.91516100000001</v>
      </c>
      <c r="H463" s="297">
        <v>204.35772700000001</v>
      </c>
      <c r="I463" s="297">
        <v>210.21878100000001</v>
      </c>
      <c r="J463" s="297">
        <v>216.594742</v>
      </c>
      <c r="K463" s="297">
        <v>223.21830700000001</v>
      </c>
      <c r="L463" s="297">
        <v>230.17910800000001</v>
      </c>
      <c r="M463" s="297">
        <v>237.52873199999999</v>
      </c>
      <c r="N463" s="297">
        <v>244.195404</v>
      </c>
      <c r="O463" s="297">
        <v>250.34608499999999</v>
      </c>
      <c r="P463" s="297">
        <v>258.608429</v>
      </c>
      <c r="Q463" s="297">
        <v>265.26400799999999</v>
      </c>
      <c r="R463" s="297">
        <v>272.282196</v>
      </c>
      <c r="S463" s="297">
        <v>278.249664</v>
      </c>
      <c r="T463" s="297">
        <v>284.66830399999998</v>
      </c>
      <c r="U463" s="297">
        <v>291.21585099999999</v>
      </c>
      <c r="V463" s="297">
        <v>297.84176600000001</v>
      </c>
      <c r="W463" s="297">
        <v>305.47711199999998</v>
      </c>
      <c r="X463" s="297">
        <v>313.56967200000003</v>
      </c>
      <c r="Y463" s="297">
        <v>322.290344</v>
      </c>
      <c r="Z463" s="297">
        <v>329.73733499999997</v>
      </c>
      <c r="AA463" s="297">
        <v>339.469696</v>
      </c>
      <c r="AB463" s="297">
        <v>349.44534299999998</v>
      </c>
      <c r="AC463" s="297">
        <v>359.94650300000001</v>
      </c>
      <c r="AD463" s="297">
        <v>372.69430499999999</v>
      </c>
      <c r="AE463" s="297">
        <v>385.15017699999999</v>
      </c>
      <c r="AF463" s="297">
        <v>397.35415599999999</v>
      </c>
      <c r="AG463" s="297">
        <v>410.74087500000002</v>
      </c>
      <c r="AH463" s="296">
        <v>2.9144E-2</v>
      </c>
    </row>
    <row r="464" spans="1:34" ht="15" customHeight="1" x14ac:dyDescent="0.25">
      <c r="A464" s="213" t="s">
        <v>1371</v>
      </c>
      <c r="B464" s="294" t="s">
        <v>1271</v>
      </c>
      <c r="C464" s="297">
        <v>151.91566499999999</v>
      </c>
      <c r="D464" s="297">
        <v>164.51792900000001</v>
      </c>
      <c r="E464" s="297">
        <v>178.377197</v>
      </c>
      <c r="F464" s="297">
        <v>185.723816</v>
      </c>
      <c r="G464" s="297">
        <v>192.79933199999999</v>
      </c>
      <c r="H464" s="297">
        <v>203.45851099999999</v>
      </c>
      <c r="I464" s="297">
        <v>214.38845800000001</v>
      </c>
      <c r="J464" s="297">
        <v>224.49269100000001</v>
      </c>
      <c r="K464" s="297">
        <v>237.44581600000001</v>
      </c>
      <c r="L464" s="297">
        <v>249.63256799999999</v>
      </c>
      <c r="M464" s="297">
        <v>261.972534</v>
      </c>
      <c r="N464" s="297">
        <v>274.28393599999998</v>
      </c>
      <c r="O464" s="297">
        <v>286.207581</v>
      </c>
      <c r="P464" s="297">
        <v>298.21176100000002</v>
      </c>
      <c r="Q464" s="297">
        <v>310.09960899999999</v>
      </c>
      <c r="R464" s="297">
        <v>322.32641599999999</v>
      </c>
      <c r="S464" s="297">
        <v>332.804169</v>
      </c>
      <c r="T464" s="297">
        <v>344.21142600000002</v>
      </c>
      <c r="U464" s="297">
        <v>357.27773999999999</v>
      </c>
      <c r="V464" s="297">
        <v>367.490906</v>
      </c>
      <c r="W464" s="297">
        <v>380.95980800000001</v>
      </c>
      <c r="X464" s="297">
        <v>394.54711900000001</v>
      </c>
      <c r="Y464" s="297">
        <v>409.06024200000002</v>
      </c>
      <c r="Z464" s="297">
        <v>424.91574100000003</v>
      </c>
      <c r="AA464" s="297">
        <v>439.23111</v>
      </c>
      <c r="AB464" s="297">
        <v>453.17782599999998</v>
      </c>
      <c r="AC464" s="297">
        <v>472.72457900000001</v>
      </c>
      <c r="AD464" s="297">
        <v>492.46243299999998</v>
      </c>
      <c r="AE464" s="297">
        <v>511.96362299999998</v>
      </c>
      <c r="AF464" s="297">
        <v>534.38806199999999</v>
      </c>
      <c r="AG464" s="297">
        <v>557.15441899999996</v>
      </c>
      <c r="AH464" s="296">
        <v>4.4269000000000003E-2</v>
      </c>
    </row>
    <row r="465" spans="1:34" ht="15" customHeight="1" x14ac:dyDescent="0.25">
      <c r="A465" s="213" t="s">
        <v>1372</v>
      </c>
      <c r="B465" s="294" t="s">
        <v>1108</v>
      </c>
      <c r="C465" s="297">
        <v>411.85290500000002</v>
      </c>
      <c r="D465" s="297">
        <v>452.49401899999998</v>
      </c>
      <c r="E465" s="297">
        <v>478.02789300000001</v>
      </c>
      <c r="F465" s="297">
        <v>510.06097399999999</v>
      </c>
      <c r="G465" s="297">
        <v>528.75781199999994</v>
      </c>
      <c r="H465" s="297">
        <v>551.83941700000003</v>
      </c>
      <c r="I465" s="297">
        <v>570.95001200000002</v>
      </c>
      <c r="J465" s="297">
        <v>590.68017599999996</v>
      </c>
      <c r="K465" s="297">
        <v>618.67163100000005</v>
      </c>
      <c r="L465" s="297">
        <v>641.04522699999995</v>
      </c>
      <c r="M465" s="297">
        <v>681.09216300000003</v>
      </c>
      <c r="N465" s="297">
        <v>701.53826900000001</v>
      </c>
      <c r="O465" s="297">
        <v>729.50756799999999</v>
      </c>
      <c r="P465" s="297">
        <v>750.830017</v>
      </c>
      <c r="Q465" s="297">
        <v>775.14587400000005</v>
      </c>
      <c r="R465" s="297">
        <v>797.680969</v>
      </c>
      <c r="S465" s="297">
        <v>822.14312700000005</v>
      </c>
      <c r="T465" s="297">
        <v>848.44012499999997</v>
      </c>
      <c r="U465" s="297">
        <v>877.23345900000004</v>
      </c>
      <c r="V465" s="297">
        <v>897.50323500000002</v>
      </c>
      <c r="W465" s="297">
        <v>933.80145300000004</v>
      </c>
      <c r="X465" s="297">
        <v>965.37744099999998</v>
      </c>
      <c r="Y465" s="297">
        <v>996.53283699999997</v>
      </c>
      <c r="Z465" s="297">
        <v>1033.288452</v>
      </c>
      <c r="AA465" s="297">
        <v>1065.7680660000001</v>
      </c>
      <c r="AB465" s="297">
        <v>1093.2147219999999</v>
      </c>
      <c r="AC465" s="297">
        <v>1141.6453859999999</v>
      </c>
      <c r="AD465" s="297">
        <v>1183.151001</v>
      </c>
      <c r="AE465" s="297">
        <v>1224.1910399999999</v>
      </c>
      <c r="AF465" s="297">
        <v>1266.378418</v>
      </c>
      <c r="AG465" s="297">
        <v>1310.695557</v>
      </c>
      <c r="AH465" s="296">
        <v>3.9342000000000002E-2</v>
      </c>
    </row>
    <row r="466" spans="1:34" ht="15" customHeight="1" x14ac:dyDescent="0.25">
      <c r="A466" s="213" t="s">
        <v>1373</v>
      </c>
      <c r="B466" s="294" t="s">
        <v>1321</v>
      </c>
      <c r="C466" s="297">
        <v>983.90850799999998</v>
      </c>
      <c r="D466" s="297">
        <v>1054.6396480000001</v>
      </c>
      <c r="E466" s="297">
        <v>1104.453857</v>
      </c>
      <c r="F466" s="297">
        <v>1150.9910890000001</v>
      </c>
      <c r="G466" s="297">
        <v>1185.0445560000001</v>
      </c>
      <c r="H466" s="297">
        <v>1233.4167480000001</v>
      </c>
      <c r="I466" s="297">
        <v>1278.381836</v>
      </c>
      <c r="J466" s="297">
        <v>1323.6435550000001</v>
      </c>
      <c r="K466" s="297">
        <v>1380.8295900000001</v>
      </c>
      <c r="L466" s="297">
        <v>1432.709351</v>
      </c>
      <c r="M466" s="297">
        <v>1503.657471</v>
      </c>
      <c r="N466" s="297">
        <v>1552.906982</v>
      </c>
      <c r="O466" s="297">
        <v>1608.705078</v>
      </c>
      <c r="P466" s="297">
        <v>1661.6176760000001</v>
      </c>
      <c r="Q466" s="297">
        <v>1714.722168</v>
      </c>
      <c r="R466" s="297">
        <v>1766.6721190000001</v>
      </c>
      <c r="S466" s="297">
        <v>1816.9624020000001</v>
      </c>
      <c r="T466" s="297">
        <v>1870.952759</v>
      </c>
      <c r="U466" s="297">
        <v>1929.44165</v>
      </c>
      <c r="V466" s="297">
        <v>1976.633789</v>
      </c>
      <c r="W466" s="297">
        <v>2044.937134</v>
      </c>
      <c r="X466" s="297">
        <v>2109.4978030000002</v>
      </c>
      <c r="Y466" s="297">
        <v>2176.0139159999999</v>
      </c>
      <c r="Z466" s="297">
        <v>2246.9929200000001</v>
      </c>
      <c r="AA466" s="297">
        <v>2317.1076659999999</v>
      </c>
      <c r="AB466" s="297">
        <v>2382.4904790000001</v>
      </c>
      <c r="AC466" s="297">
        <v>2475.2763669999999</v>
      </c>
      <c r="AD466" s="297">
        <v>2566.036865</v>
      </c>
      <c r="AE466" s="297">
        <v>2655.8398440000001</v>
      </c>
      <c r="AF466" s="297">
        <v>2749.2875979999999</v>
      </c>
      <c r="AG466" s="297">
        <v>2847.2639159999999</v>
      </c>
      <c r="AH466" s="296">
        <v>3.6054000000000003E-2</v>
      </c>
    </row>
    <row r="467" spans="1:34" ht="15" customHeight="1" x14ac:dyDescent="0.25">
      <c r="A467" s="213" t="s">
        <v>1374</v>
      </c>
      <c r="B467" s="294" t="s">
        <v>1323</v>
      </c>
      <c r="C467" s="297">
        <v>0.66034599999999999</v>
      </c>
      <c r="D467" s="297">
        <v>0.72504999999999997</v>
      </c>
      <c r="E467" s="297">
        <v>0.74509800000000004</v>
      </c>
      <c r="F467" s="297">
        <v>0.78800800000000004</v>
      </c>
      <c r="G467" s="297">
        <v>0.79475499999999999</v>
      </c>
      <c r="H467" s="297">
        <v>0.81010599999999999</v>
      </c>
      <c r="I467" s="297">
        <v>0.82015700000000002</v>
      </c>
      <c r="J467" s="297">
        <v>0.83310600000000001</v>
      </c>
      <c r="K467" s="297">
        <v>0.85456699999999997</v>
      </c>
      <c r="L467" s="297">
        <v>0.87240399999999996</v>
      </c>
      <c r="M467" s="297">
        <v>0.90937599999999996</v>
      </c>
      <c r="N467" s="297">
        <v>0.92130000000000001</v>
      </c>
      <c r="O467" s="297">
        <v>0.94444700000000004</v>
      </c>
      <c r="P467" s="297">
        <v>0.96220899999999998</v>
      </c>
      <c r="Q467" s="297">
        <v>0.98745300000000003</v>
      </c>
      <c r="R467" s="297">
        <v>1.0109399999999999</v>
      </c>
      <c r="S467" s="297">
        <v>1.0418350000000001</v>
      </c>
      <c r="T467" s="297">
        <v>1.0732189999999999</v>
      </c>
      <c r="U467" s="297">
        <v>1.109426</v>
      </c>
      <c r="V467" s="297">
        <v>1.141124</v>
      </c>
      <c r="W467" s="297">
        <v>1.1896310000000001</v>
      </c>
      <c r="X467" s="297">
        <v>1.2351099999999999</v>
      </c>
      <c r="Y467" s="297">
        <v>1.2826200000000001</v>
      </c>
      <c r="Z467" s="297">
        <v>1.334781</v>
      </c>
      <c r="AA467" s="297">
        <v>1.389589</v>
      </c>
      <c r="AB467" s="297">
        <v>1.4369000000000001</v>
      </c>
      <c r="AC467" s="297">
        <v>1.5100359999999999</v>
      </c>
      <c r="AD467" s="297">
        <v>1.5798049999999999</v>
      </c>
      <c r="AE467" s="297">
        <v>1.6536010000000001</v>
      </c>
      <c r="AF467" s="297">
        <v>1.7270369999999999</v>
      </c>
      <c r="AG467" s="297">
        <v>1.810762</v>
      </c>
      <c r="AH467" s="296">
        <v>3.4195999999999997E-2</v>
      </c>
    </row>
    <row r="468" spans="1:34" ht="15" customHeight="1" x14ac:dyDescent="0.2">
      <c r="A468" s="213" t="s">
        <v>1375</v>
      </c>
      <c r="B468" s="204" t="s">
        <v>1325</v>
      </c>
      <c r="C468" s="299">
        <v>984.568848</v>
      </c>
      <c r="D468" s="299">
        <v>1055.3648679999999</v>
      </c>
      <c r="E468" s="299">
        <v>1105.198975</v>
      </c>
      <c r="F468" s="299">
        <v>1151.779053</v>
      </c>
      <c r="G468" s="299">
        <v>1185.8392329999999</v>
      </c>
      <c r="H468" s="299">
        <v>1234.226807</v>
      </c>
      <c r="I468" s="299">
        <v>1279.2020259999999</v>
      </c>
      <c r="J468" s="299">
        <v>1324.4765620000001</v>
      </c>
      <c r="K468" s="299">
        <v>1381.6842039999999</v>
      </c>
      <c r="L468" s="299">
        <v>1433.5816649999999</v>
      </c>
      <c r="M468" s="299">
        <v>1504.5668949999999</v>
      </c>
      <c r="N468" s="299">
        <v>1553.8283690000001</v>
      </c>
      <c r="O468" s="299">
        <v>1609.6495359999999</v>
      </c>
      <c r="P468" s="299">
        <v>1662.5798339999999</v>
      </c>
      <c r="Q468" s="299">
        <v>1715.709595</v>
      </c>
      <c r="R468" s="299">
        <v>1767.6831050000001</v>
      </c>
      <c r="S468" s="299">
        <v>1818.00415</v>
      </c>
      <c r="T468" s="299">
        <v>1872.026245</v>
      </c>
      <c r="U468" s="299">
        <v>1930.551025</v>
      </c>
      <c r="V468" s="299">
        <v>1977.7749020000001</v>
      </c>
      <c r="W468" s="299">
        <v>2046.126831</v>
      </c>
      <c r="X468" s="299">
        <v>2110.7329100000002</v>
      </c>
      <c r="Y468" s="299">
        <v>2177.2963869999999</v>
      </c>
      <c r="Z468" s="299">
        <v>2248.3276369999999</v>
      </c>
      <c r="AA468" s="299">
        <v>2318.4973140000002</v>
      </c>
      <c r="AB468" s="299">
        <v>2383.92749</v>
      </c>
      <c r="AC468" s="299">
        <v>2476.7863769999999</v>
      </c>
      <c r="AD468" s="299">
        <v>2567.616943</v>
      </c>
      <c r="AE468" s="299">
        <v>2657.4934079999998</v>
      </c>
      <c r="AF468" s="299">
        <v>2751.014893</v>
      </c>
      <c r="AG468" s="299">
        <v>2849.0747070000002</v>
      </c>
      <c r="AH468" s="206">
        <v>3.6053000000000002E-2</v>
      </c>
    </row>
    <row r="470" spans="1:34" ht="15" customHeight="1" thickBot="1" x14ac:dyDescent="0.25"/>
    <row r="471" spans="1:34" ht="15" customHeight="1" x14ac:dyDescent="0.2">
      <c r="B471" s="305" t="s">
        <v>1376</v>
      </c>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c r="AD471" s="305"/>
      <c r="AE471" s="305"/>
      <c r="AF471" s="305"/>
      <c r="AG471" s="305"/>
      <c r="AH471" s="305"/>
    </row>
    <row r="472" spans="1:34" ht="15" customHeight="1" x14ac:dyDescent="0.2">
      <c r="B472" s="208" t="s">
        <v>1377</v>
      </c>
    </row>
    <row r="473" spans="1:34" ht="15" customHeight="1" x14ac:dyDescent="0.2">
      <c r="B473" s="208" t="s">
        <v>1378</v>
      </c>
    </row>
    <row r="474" spans="1:34" ht="15" customHeight="1" x14ac:dyDescent="0.2">
      <c r="B474" s="208" t="s">
        <v>1241</v>
      </c>
    </row>
    <row r="475" spans="1:34" ht="15" customHeight="1" x14ac:dyDescent="0.2">
      <c r="B475" s="208" t="s">
        <v>1379</v>
      </c>
    </row>
    <row r="476" spans="1:34" ht="15" customHeight="1" x14ac:dyDescent="0.2">
      <c r="B476" s="208" t="s">
        <v>1380</v>
      </c>
    </row>
    <row r="477" spans="1:34" ht="15" customHeight="1" x14ac:dyDescent="0.2">
      <c r="B477" s="208" t="s">
        <v>1381</v>
      </c>
    </row>
    <row r="478" spans="1:34" ht="15" customHeight="1" x14ac:dyDescent="0.2">
      <c r="B478" s="208" t="s">
        <v>1382</v>
      </c>
    </row>
    <row r="479" spans="1:34" ht="15" customHeight="1" x14ac:dyDescent="0.2">
      <c r="B479" s="208" t="s">
        <v>1383</v>
      </c>
    </row>
    <row r="480" spans="1:34" ht="15" customHeight="1" x14ac:dyDescent="0.2">
      <c r="B480" s="208" t="s">
        <v>1384</v>
      </c>
    </row>
    <row r="481" spans="2:2" ht="15" customHeight="1" x14ac:dyDescent="0.2">
      <c r="B481" s="208" t="s">
        <v>1385</v>
      </c>
    </row>
    <row r="482" spans="2:2" ht="15" customHeight="1" x14ac:dyDescent="0.2">
      <c r="B482" s="208" t="s">
        <v>616</v>
      </c>
    </row>
    <row r="483" spans="2:2" ht="15" customHeight="1" x14ac:dyDescent="0.2">
      <c r="B483" s="208" t="s">
        <v>601</v>
      </c>
    </row>
    <row r="484" spans="2:2" ht="15" customHeight="1" x14ac:dyDescent="0.2">
      <c r="B484" s="208" t="s">
        <v>1030</v>
      </c>
    </row>
    <row r="485" spans="2:2" ht="15" customHeight="1" x14ac:dyDescent="0.2">
      <c r="B485" s="208" t="s">
        <v>1031</v>
      </c>
    </row>
    <row r="535" spans="1:34" ht="15" customHeight="1" x14ac:dyDescent="0.25">
      <c r="A535" s="213" t="s">
        <v>1386</v>
      </c>
      <c r="B535" s="202" t="s">
        <v>1012</v>
      </c>
      <c r="AH535" s="292" t="s">
        <v>597</v>
      </c>
    </row>
    <row r="536" spans="1:34" ht="15" customHeight="1" x14ac:dyDescent="0.2">
      <c r="B536" s="199" t="s">
        <v>123</v>
      </c>
      <c r="AH536" s="292" t="s">
        <v>598</v>
      </c>
    </row>
    <row r="537" spans="1:34" ht="15" customHeight="1" x14ac:dyDescent="0.2">
      <c r="B537" s="199" t="s">
        <v>124</v>
      </c>
      <c r="C537" s="222" t="s">
        <v>124</v>
      </c>
      <c r="D537" s="222" t="s">
        <v>124</v>
      </c>
      <c r="E537" s="222" t="s">
        <v>124</v>
      </c>
      <c r="F537" s="222" t="s">
        <v>124</v>
      </c>
      <c r="G537" s="222" t="s">
        <v>124</v>
      </c>
      <c r="H537" s="222" t="s">
        <v>124</v>
      </c>
      <c r="I537" s="222" t="s">
        <v>124</v>
      </c>
      <c r="J537" s="222" t="s">
        <v>124</v>
      </c>
      <c r="K537" s="222" t="s">
        <v>124</v>
      </c>
      <c r="L537" s="222" t="s">
        <v>124</v>
      </c>
      <c r="M537" s="222" t="s">
        <v>124</v>
      </c>
      <c r="N537" s="222" t="s">
        <v>124</v>
      </c>
      <c r="O537" s="222" t="s">
        <v>124</v>
      </c>
      <c r="P537" s="222" t="s">
        <v>124</v>
      </c>
      <c r="Q537" s="222" t="s">
        <v>124</v>
      </c>
      <c r="R537" s="222" t="s">
        <v>124</v>
      </c>
      <c r="S537" s="222" t="s">
        <v>124</v>
      </c>
      <c r="T537" s="222" t="s">
        <v>124</v>
      </c>
      <c r="U537" s="222" t="s">
        <v>124</v>
      </c>
      <c r="V537" s="222" t="s">
        <v>124</v>
      </c>
      <c r="W537" s="222" t="s">
        <v>124</v>
      </c>
      <c r="X537" s="222" t="s">
        <v>124</v>
      </c>
      <c r="Y537" s="222" t="s">
        <v>124</v>
      </c>
      <c r="Z537" s="222" t="s">
        <v>124</v>
      </c>
      <c r="AA537" s="222" t="s">
        <v>124</v>
      </c>
      <c r="AB537" s="222" t="s">
        <v>124</v>
      </c>
      <c r="AC537" s="222" t="s">
        <v>124</v>
      </c>
      <c r="AD537" s="222" t="s">
        <v>124</v>
      </c>
      <c r="AE537" s="222" t="s">
        <v>124</v>
      </c>
      <c r="AF537" s="222" t="s">
        <v>124</v>
      </c>
      <c r="AG537" s="222" t="s">
        <v>124</v>
      </c>
      <c r="AH537" s="292" t="s">
        <v>599</v>
      </c>
    </row>
    <row r="538" spans="1:34" ht="15" customHeight="1" thickBot="1" x14ac:dyDescent="0.25">
      <c r="B538" s="200" t="s">
        <v>1387</v>
      </c>
      <c r="C538" s="200">
        <v>2020</v>
      </c>
      <c r="D538" s="200">
        <v>2021</v>
      </c>
      <c r="E538" s="200">
        <v>2022</v>
      </c>
      <c r="F538" s="200">
        <v>2023</v>
      </c>
      <c r="G538" s="200">
        <v>2024</v>
      </c>
      <c r="H538" s="200">
        <v>2025</v>
      </c>
      <c r="I538" s="200">
        <v>2026</v>
      </c>
      <c r="J538" s="200">
        <v>2027</v>
      </c>
      <c r="K538" s="200">
        <v>2028</v>
      </c>
      <c r="L538" s="200">
        <v>2029</v>
      </c>
      <c r="M538" s="200">
        <v>2030</v>
      </c>
      <c r="N538" s="200">
        <v>2031</v>
      </c>
      <c r="O538" s="200">
        <v>2032</v>
      </c>
      <c r="P538" s="200">
        <v>2033</v>
      </c>
      <c r="Q538" s="200">
        <v>2034</v>
      </c>
      <c r="R538" s="200">
        <v>2035</v>
      </c>
      <c r="S538" s="200">
        <v>2036</v>
      </c>
      <c r="T538" s="200">
        <v>2037</v>
      </c>
      <c r="U538" s="200">
        <v>2038</v>
      </c>
      <c r="V538" s="200">
        <v>2039</v>
      </c>
      <c r="W538" s="200">
        <v>2040</v>
      </c>
      <c r="X538" s="200">
        <v>2041</v>
      </c>
      <c r="Y538" s="200">
        <v>2042</v>
      </c>
      <c r="Z538" s="200">
        <v>2043</v>
      </c>
      <c r="AA538" s="200">
        <v>2044</v>
      </c>
      <c r="AB538" s="200">
        <v>2045</v>
      </c>
      <c r="AC538" s="200">
        <v>2046</v>
      </c>
      <c r="AD538" s="200">
        <v>2047</v>
      </c>
      <c r="AE538" s="200">
        <v>2048</v>
      </c>
      <c r="AF538" s="200">
        <v>2049</v>
      </c>
      <c r="AG538" s="200">
        <v>2050</v>
      </c>
      <c r="AH538" s="293" t="s">
        <v>600</v>
      </c>
    </row>
    <row r="539" spans="1:34" ht="15" customHeight="1" thickTop="1" x14ac:dyDescent="0.2"/>
    <row r="540" spans="1:34" ht="15" customHeight="1" x14ac:dyDescent="0.2">
      <c r="B540" s="204" t="s">
        <v>1388</v>
      </c>
    </row>
    <row r="541" spans="1:34" ht="15" customHeight="1" x14ac:dyDescent="0.2">
      <c r="B541" s="204" t="s">
        <v>1389</v>
      </c>
    </row>
    <row r="542" spans="1:34" ht="15" customHeight="1" x14ac:dyDescent="0.25">
      <c r="A542" s="213" t="s">
        <v>1390</v>
      </c>
      <c r="B542" s="294" t="s">
        <v>1391</v>
      </c>
      <c r="C542" s="295">
        <v>84.750443000000004</v>
      </c>
      <c r="D542" s="295">
        <v>85.593697000000006</v>
      </c>
      <c r="E542" s="295">
        <v>86.438118000000003</v>
      </c>
      <c r="F542" s="295">
        <v>87.263756000000001</v>
      </c>
      <c r="G542" s="295">
        <v>88.078079000000002</v>
      </c>
      <c r="H542" s="295">
        <v>88.908073000000002</v>
      </c>
      <c r="I542" s="295">
        <v>89.730559999999997</v>
      </c>
      <c r="J542" s="295">
        <v>90.531715000000005</v>
      </c>
      <c r="K542" s="295">
        <v>91.318695000000005</v>
      </c>
      <c r="L542" s="295">
        <v>92.095459000000005</v>
      </c>
      <c r="M542" s="295">
        <v>92.863190000000003</v>
      </c>
      <c r="N542" s="295">
        <v>93.620482999999993</v>
      </c>
      <c r="O542" s="295">
        <v>94.374602999999993</v>
      </c>
      <c r="P542" s="295">
        <v>95.112335000000002</v>
      </c>
      <c r="Q542" s="295">
        <v>95.831551000000005</v>
      </c>
      <c r="R542" s="295">
        <v>96.548987999999994</v>
      </c>
      <c r="S542" s="295">
        <v>97.251769999999993</v>
      </c>
      <c r="T542" s="295">
        <v>97.942634999999996</v>
      </c>
      <c r="U542" s="295">
        <v>98.626311999999999</v>
      </c>
      <c r="V542" s="295">
        <v>99.300110000000004</v>
      </c>
      <c r="W542" s="295">
        <v>99.974013999999997</v>
      </c>
      <c r="X542" s="295">
        <v>100.64284499999999</v>
      </c>
      <c r="Y542" s="295">
        <v>101.307907</v>
      </c>
      <c r="Z542" s="295">
        <v>101.97792099999999</v>
      </c>
      <c r="AA542" s="295">
        <v>102.656685</v>
      </c>
      <c r="AB542" s="295">
        <v>103.34092699999999</v>
      </c>
      <c r="AC542" s="295">
        <v>104.026878</v>
      </c>
      <c r="AD542" s="295">
        <v>104.70899199999999</v>
      </c>
      <c r="AE542" s="295">
        <v>105.388451</v>
      </c>
      <c r="AF542" s="295">
        <v>106.06729900000001</v>
      </c>
      <c r="AG542" s="295">
        <v>106.746498</v>
      </c>
      <c r="AH542" s="296">
        <v>7.7210000000000004E-3</v>
      </c>
    </row>
    <row r="543" spans="1:34" ht="15" customHeight="1" x14ac:dyDescent="0.25">
      <c r="A543" s="213" t="s">
        <v>1392</v>
      </c>
      <c r="B543" s="294" t="s">
        <v>1393</v>
      </c>
      <c r="C543" s="295">
        <v>31.968703999999999</v>
      </c>
      <c r="D543" s="295">
        <v>32.227859000000002</v>
      </c>
      <c r="E543" s="295">
        <v>32.481696999999997</v>
      </c>
      <c r="F543" s="295">
        <v>32.722110999999998</v>
      </c>
      <c r="G543" s="295">
        <v>32.964333000000003</v>
      </c>
      <c r="H543" s="295">
        <v>33.217959999999998</v>
      </c>
      <c r="I543" s="295">
        <v>33.469734000000003</v>
      </c>
      <c r="J543" s="295">
        <v>33.709865999999998</v>
      </c>
      <c r="K543" s="295">
        <v>33.941966999999998</v>
      </c>
      <c r="L543" s="295">
        <v>34.169193</v>
      </c>
      <c r="M543" s="295">
        <v>34.396915</v>
      </c>
      <c r="N543" s="295">
        <v>34.621048000000002</v>
      </c>
      <c r="O543" s="295">
        <v>34.840218</v>
      </c>
      <c r="P543" s="295">
        <v>35.051422000000002</v>
      </c>
      <c r="Q543" s="295">
        <v>35.255718000000002</v>
      </c>
      <c r="R543" s="295">
        <v>35.458874000000002</v>
      </c>
      <c r="S543" s="295">
        <v>35.655647000000002</v>
      </c>
      <c r="T543" s="295">
        <v>35.851790999999999</v>
      </c>
      <c r="U543" s="295">
        <v>36.050476000000003</v>
      </c>
      <c r="V543" s="295">
        <v>36.251506999999997</v>
      </c>
      <c r="W543" s="295">
        <v>36.451228999999998</v>
      </c>
      <c r="X543" s="295">
        <v>36.649303000000003</v>
      </c>
      <c r="Y543" s="295">
        <v>36.850163000000002</v>
      </c>
      <c r="Z543" s="295">
        <v>37.053848000000002</v>
      </c>
      <c r="AA543" s="295">
        <v>37.255768000000003</v>
      </c>
      <c r="AB543" s="295">
        <v>37.454777</v>
      </c>
      <c r="AC543" s="295">
        <v>37.649310999999997</v>
      </c>
      <c r="AD543" s="295">
        <v>37.844073999999999</v>
      </c>
      <c r="AE543" s="295">
        <v>38.040798000000002</v>
      </c>
      <c r="AF543" s="295">
        <v>38.240433000000003</v>
      </c>
      <c r="AG543" s="295">
        <v>38.443745</v>
      </c>
      <c r="AH543" s="296">
        <v>6.1669999999999997E-3</v>
      </c>
    </row>
    <row r="544" spans="1:34" ht="15" customHeight="1" x14ac:dyDescent="0.25">
      <c r="A544" s="213" t="s">
        <v>1394</v>
      </c>
      <c r="B544" s="294" t="s">
        <v>1395</v>
      </c>
      <c r="C544" s="295">
        <v>6.6634640000000003</v>
      </c>
      <c r="D544" s="295">
        <v>6.6483860000000004</v>
      </c>
      <c r="E544" s="295">
        <v>6.6341010000000002</v>
      </c>
      <c r="F544" s="295">
        <v>6.6208140000000002</v>
      </c>
      <c r="G544" s="295">
        <v>6.6105159999999996</v>
      </c>
      <c r="H544" s="295">
        <v>6.6041939999999997</v>
      </c>
      <c r="I544" s="295">
        <v>6.6050519999999997</v>
      </c>
      <c r="J544" s="295">
        <v>6.6028560000000001</v>
      </c>
      <c r="K544" s="295">
        <v>6.5976480000000004</v>
      </c>
      <c r="L544" s="295">
        <v>6.5867889999999996</v>
      </c>
      <c r="M544" s="295">
        <v>6.5716080000000003</v>
      </c>
      <c r="N544" s="295">
        <v>6.5553319999999999</v>
      </c>
      <c r="O544" s="295">
        <v>6.5396599999999996</v>
      </c>
      <c r="P544" s="295">
        <v>6.5243869999999999</v>
      </c>
      <c r="Q544" s="295">
        <v>6.5112199999999998</v>
      </c>
      <c r="R544" s="295">
        <v>6.5020389999999999</v>
      </c>
      <c r="S544" s="295">
        <v>6.4934649999999996</v>
      </c>
      <c r="T544" s="295">
        <v>6.4835140000000004</v>
      </c>
      <c r="U544" s="295">
        <v>6.4727379999999997</v>
      </c>
      <c r="V544" s="295">
        <v>6.4627730000000003</v>
      </c>
      <c r="W544" s="295">
        <v>6.4554590000000003</v>
      </c>
      <c r="X544" s="295">
        <v>6.4490309999999997</v>
      </c>
      <c r="Y544" s="295">
        <v>6.4445810000000003</v>
      </c>
      <c r="Z544" s="295">
        <v>6.4428599999999996</v>
      </c>
      <c r="AA544" s="295">
        <v>6.4432330000000002</v>
      </c>
      <c r="AB544" s="295">
        <v>6.4440910000000002</v>
      </c>
      <c r="AC544" s="295">
        <v>6.4425730000000003</v>
      </c>
      <c r="AD544" s="295">
        <v>6.4381979999999999</v>
      </c>
      <c r="AE544" s="295">
        <v>6.4322549999999996</v>
      </c>
      <c r="AF544" s="295">
        <v>6.425656</v>
      </c>
      <c r="AG544" s="295">
        <v>6.4170800000000003</v>
      </c>
      <c r="AH544" s="296">
        <v>-1.255E-3</v>
      </c>
    </row>
    <row r="545" spans="1:34" ht="15" customHeight="1" x14ac:dyDescent="0.2">
      <c r="A545" s="213" t="s">
        <v>1396</v>
      </c>
      <c r="B545" s="204" t="s">
        <v>179</v>
      </c>
      <c r="C545" s="205">
        <v>123.382614</v>
      </c>
      <c r="D545" s="205">
        <v>124.46993999999999</v>
      </c>
      <c r="E545" s="205">
        <v>125.553917</v>
      </c>
      <c r="F545" s="205">
        <v>126.60668200000001</v>
      </c>
      <c r="G545" s="205">
        <v>127.652931</v>
      </c>
      <c r="H545" s="205">
        <v>128.73022499999999</v>
      </c>
      <c r="I545" s="205">
        <v>129.80534399999999</v>
      </c>
      <c r="J545" s="205">
        <v>130.844437</v>
      </c>
      <c r="K545" s="205">
        <v>131.858307</v>
      </c>
      <c r="L545" s="205">
        <v>132.85144</v>
      </c>
      <c r="M545" s="205">
        <v>133.83171100000001</v>
      </c>
      <c r="N545" s="205">
        <v>134.79686000000001</v>
      </c>
      <c r="O545" s="205">
        <v>135.754471</v>
      </c>
      <c r="P545" s="205">
        <v>136.688141</v>
      </c>
      <c r="Q545" s="205">
        <v>137.59848</v>
      </c>
      <c r="R545" s="205">
        <v>138.50990300000001</v>
      </c>
      <c r="S545" s="205">
        <v>139.400879</v>
      </c>
      <c r="T545" s="205">
        <v>140.27795399999999</v>
      </c>
      <c r="U545" s="205">
        <v>141.14952099999999</v>
      </c>
      <c r="V545" s="205">
        <v>142.01438899999999</v>
      </c>
      <c r="W545" s="205">
        <v>142.880707</v>
      </c>
      <c r="X545" s="205">
        <v>143.74118000000001</v>
      </c>
      <c r="Y545" s="205">
        <v>144.60264599999999</v>
      </c>
      <c r="Z545" s="205">
        <v>145.474625</v>
      </c>
      <c r="AA545" s="205">
        <v>146.355682</v>
      </c>
      <c r="AB545" s="205">
        <v>147.23979199999999</v>
      </c>
      <c r="AC545" s="205">
        <v>148.11875900000001</v>
      </c>
      <c r="AD545" s="205">
        <v>148.99127200000001</v>
      </c>
      <c r="AE545" s="205">
        <v>149.86149599999999</v>
      </c>
      <c r="AF545" s="205">
        <v>150.73339799999999</v>
      </c>
      <c r="AG545" s="205">
        <v>151.60732999999999</v>
      </c>
      <c r="AH545" s="206">
        <v>6.8900000000000003E-3</v>
      </c>
    </row>
    <row r="547" spans="1:34" ht="15" customHeight="1" x14ac:dyDescent="0.2">
      <c r="A547" s="213" t="s">
        <v>1397</v>
      </c>
      <c r="B547" s="204" t="s">
        <v>1398</v>
      </c>
      <c r="C547" s="299">
        <v>1789.3104249999999</v>
      </c>
      <c r="D547" s="299">
        <v>1795.357788</v>
      </c>
      <c r="E547" s="299">
        <v>1801.4011230000001</v>
      </c>
      <c r="F547" s="299">
        <v>1807.4682620000001</v>
      </c>
      <c r="G547" s="299">
        <v>1813.4492190000001</v>
      </c>
      <c r="H547" s="299">
        <v>1819.3139650000001</v>
      </c>
      <c r="I547" s="299">
        <v>1825.1085210000001</v>
      </c>
      <c r="J547" s="299">
        <v>1830.93335</v>
      </c>
      <c r="K547" s="299">
        <v>1836.7738039999999</v>
      </c>
      <c r="L547" s="299">
        <v>1842.6240230000001</v>
      </c>
      <c r="M547" s="299">
        <v>1848.442749</v>
      </c>
      <c r="N547" s="299">
        <v>1854.2421879999999</v>
      </c>
      <c r="O547" s="299">
        <v>1860.0407709999999</v>
      </c>
      <c r="P547" s="299">
        <v>1865.83728</v>
      </c>
      <c r="Q547" s="299">
        <v>1871.6087649999999</v>
      </c>
      <c r="R547" s="299">
        <v>1877.3393550000001</v>
      </c>
      <c r="S547" s="299">
        <v>1883.059082</v>
      </c>
      <c r="T547" s="299">
        <v>1888.739014</v>
      </c>
      <c r="U547" s="299">
        <v>1894.365967</v>
      </c>
      <c r="V547" s="299">
        <v>1899.9277340000001</v>
      </c>
      <c r="W547" s="299">
        <v>1905.4639890000001</v>
      </c>
      <c r="X547" s="299">
        <v>1910.97522</v>
      </c>
      <c r="Y547" s="299">
        <v>1916.424683</v>
      </c>
      <c r="Z547" s="299">
        <v>1921.832275</v>
      </c>
      <c r="AA547" s="299">
        <v>1927.2420649999999</v>
      </c>
      <c r="AB547" s="299">
        <v>1932.664673</v>
      </c>
      <c r="AC547" s="299">
        <v>1938.1176760000001</v>
      </c>
      <c r="AD547" s="299">
        <v>1943.5543210000001</v>
      </c>
      <c r="AE547" s="299">
        <v>1948.9592290000001</v>
      </c>
      <c r="AF547" s="299">
        <v>1954.3283690000001</v>
      </c>
      <c r="AG547" s="299">
        <v>1959.6640620000001</v>
      </c>
      <c r="AH547" s="206">
        <v>3.0360000000000001E-3</v>
      </c>
    </row>
    <row r="549" spans="1:34" ht="15" customHeight="1" x14ac:dyDescent="0.2">
      <c r="B549" s="204" t="s">
        <v>1399</v>
      </c>
    </row>
    <row r="550" spans="1:34" ht="15" customHeight="1" x14ac:dyDescent="0.2">
      <c r="B550" s="204" t="s">
        <v>1400</v>
      </c>
    </row>
    <row r="551" spans="1:34" ht="15" customHeight="1" x14ac:dyDescent="0.25">
      <c r="A551" s="213" t="s">
        <v>1401</v>
      </c>
      <c r="B551" s="294" t="s">
        <v>1402</v>
      </c>
      <c r="C551" s="298">
        <v>92.738022000000001</v>
      </c>
      <c r="D551" s="298">
        <v>91.586783999999994</v>
      </c>
      <c r="E551" s="298">
        <v>91.880095999999995</v>
      </c>
      <c r="F551" s="298">
        <v>91.111869999999996</v>
      </c>
      <c r="G551" s="298">
        <v>90.470100000000002</v>
      </c>
      <c r="H551" s="298">
        <v>89.770354999999995</v>
      </c>
      <c r="I551" s="298">
        <v>89.065894999999998</v>
      </c>
      <c r="J551" s="298">
        <v>88.379463000000001</v>
      </c>
      <c r="K551" s="298">
        <v>87.773742999999996</v>
      </c>
      <c r="L551" s="298">
        <v>87.208449999999999</v>
      </c>
      <c r="M551" s="298">
        <v>86.633553000000006</v>
      </c>
      <c r="N551" s="298">
        <v>86.134856999999997</v>
      </c>
      <c r="O551" s="298">
        <v>85.702552999999995</v>
      </c>
      <c r="P551" s="298">
        <v>85.281402999999997</v>
      </c>
      <c r="Q551" s="298">
        <v>84.919349999999994</v>
      </c>
      <c r="R551" s="298">
        <v>84.596985000000004</v>
      </c>
      <c r="S551" s="298">
        <v>84.326233000000002</v>
      </c>
      <c r="T551" s="298">
        <v>84.093863999999996</v>
      </c>
      <c r="U551" s="298">
        <v>83.883667000000003</v>
      </c>
      <c r="V551" s="298">
        <v>83.681618</v>
      </c>
      <c r="W551" s="298">
        <v>83.477538999999993</v>
      </c>
      <c r="X551" s="298">
        <v>83.281693000000004</v>
      </c>
      <c r="Y551" s="298">
        <v>83.101692</v>
      </c>
      <c r="Z551" s="298">
        <v>82.956817999999998</v>
      </c>
      <c r="AA551" s="298">
        <v>82.820435000000003</v>
      </c>
      <c r="AB551" s="298">
        <v>82.683516999999995</v>
      </c>
      <c r="AC551" s="298">
        <v>82.575637999999998</v>
      </c>
      <c r="AD551" s="298">
        <v>82.460792999999995</v>
      </c>
      <c r="AE551" s="298">
        <v>82.357017999999997</v>
      </c>
      <c r="AF551" s="298">
        <v>82.265586999999996</v>
      </c>
      <c r="AG551" s="298">
        <v>82.199286999999998</v>
      </c>
      <c r="AH551" s="296">
        <v>-4.0130000000000001E-3</v>
      </c>
    </row>
    <row r="552" spans="1:34" ht="15" customHeight="1" x14ac:dyDescent="0.25">
      <c r="A552" s="213" t="s">
        <v>1403</v>
      </c>
      <c r="B552" s="294" t="s">
        <v>1404</v>
      </c>
      <c r="C552" s="298">
        <v>92.104782</v>
      </c>
      <c r="D552" s="298">
        <v>90.868224999999995</v>
      </c>
      <c r="E552" s="298">
        <v>91.091621000000004</v>
      </c>
      <c r="F552" s="298">
        <v>90.256591999999998</v>
      </c>
      <c r="G552" s="298">
        <v>89.550323000000006</v>
      </c>
      <c r="H552" s="298">
        <v>88.786704999999998</v>
      </c>
      <c r="I552" s="298">
        <v>88.017478999999994</v>
      </c>
      <c r="J552" s="298">
        <v>87.266570999999999</v>
      </c>
      <c r="K552" s="298">
        <v>86.596435999999997</v>
      </c>
      <c r="L552" s="298">
        <v>85.966887999999997</v>
      </c>
      <c r="M552" s="298">
        <v>85.326958000000005</v>
      </c>
      <c r="N552" s="298">
        <v>84.761809999999997</v>
      </c>
      <c r="O552" s="298">
        <v>84.262253000000001</v>
      </c>
      <c r="P552" s="298">
        <v>83.772934000000006</v>
      </c>
      <c r="Q552" s="298">
        <v>83.341469000000004</v>
      </c>
      <c r="R552" s="298">
        <v>82.949066000000002</v>
      </c>
      <c r="S552" s="298">
        <v>82.607262000000006</v>
      </c>
      <c r="T552" s="298">
        <v>82.303116000000003</v>
      </c>
      <c r="U552" s="298">
        <v>82.020409000000001</v>
      </c>
      <c r="V552" s="298">
        <v>81.745148</v>
      </c>
      <c r="W552" s="298">
        <v>81.466758999999996</v>
      </c>
      <c r="X552" s="298">
        <v>81.195541000000006</v>
      </c>
      <c r="Y552" s="298">
        <v>80.938629000000006</v>
      </c>
      <c r="Z552" s="298">
        <v>80.715416000000005</v>
      </c>
      <c r="AA552" s="298">
        <v>80.499274999999997</v>
      </c>
      <c r="AB552" s="298">
        <v>80.280556000000004</v>
      </c>
      <c r="AC552" s="298">
        <v>80.088920999999999</v>
      </c>
      <c r="AD552" s="298">
        <v>79.888603000000003</v>
      </c>
      <c r="AE552" s="298">
        <v>79.697120999999996</v>
      </c>
      <c r="AF552" s="298">
        <v>79.516227999999998</v>
      </c>
      <c r="AG552" s="298">
        <v>79.358765000000005</v>
      </c>
      <c r="AH552" s="296">
        <v>-4.9529999999999999E-3</v>
      </c>
    </row>
    <row r="553" spans="1:34" ht="15" customHeight="1" x14ac:dyDescent="0.2">
      <c r="B553" s="204" t="s">
        <v>1405</v>
      </c>
    </row>
    <row r="554" spans="1:34" ht="15" customHeight="1" x14ac:dyDescent="0.25">
      <c r="A554" s="213" t="s">
        <v>1406</v>
      </c>
      <c r="B554" s="294" t="s">
        <v>1402</v>
      </c>
      <c r="C554" s="298">
        <v>51.828918000000002</v>
      </c>
      <c r="D554" s="298">
        <v>51.013106999999998</v>
      </c>
      <c r="E554" s="298">
        <v>51.004798999999998</v>
      </c>
      <c r="F554" s="298">
        <v>50.408557999999999</v>
      </c>
      <c r="G554" s="298">
        <v>49.888409000000003</v>
      </c>
      <c r="H554" s="298">
        <v>49.342972000000003</v>
      </c>
      <c r="I554" s="298">
        <v>48.800327000000003</v>
      </c>
      <c r="J554" s="298">
        <v>48.270167999999998</v>
      </c>
      <c r="K554" s="298">
        <v>47.786911000000003</v>
      </c>
      <c r="L554" s="298">
        <v>47.328400000000002</v>
      </c>
      <c r="M554" s="298">
        <v>46.868400999999999</v>
      </c>
      <c r="N554" s="298">
        <v>46.452862000000003</v>
      </c>
      <c r="O554" s="298">
        <v>46.075629999999997</v>
      </c>
      <c r="P554" s="298">
        <v>45.706775999999998</v>
      </c>
      <c r="Q554" s="298">
        <v>45.372382999999999</v>
      </c>
      <c r="R554" s="298">
        <v>45.062168</v>
      </c>
      <c r="S554" s="298">
        <v>44.781512999999997</v>
      </c>
      <c r="T554" s="298">
        <v>44.523811000000002</v>
      </c>
      <c r="U554" s="298">
        <v>44.280605000000001</v>
      </c>
      <c r="V554" s="298">
        <v>44.044632</v>
      </c>
      <c r="W554" s="298">
        <v>43.809559</v>
      </c>
      <c r="X554" s="298">
        <v>43.580730000000003</v>
      </c>
      <c r="Y554" s="298">
        <v>43.362876999999997</v>
      </c>
      <c r="Z554" s="298">
        <v>43.165481999999997</v>
      </c>
      <c r="AA554" s="298">
        <v>42.973553000000003</v>
      </c>
      <c r="AB554" s="298">
        <v>42.782131</v>
      </c>
      <c r="AC554" s="298">
        <v>42.606102</v>
      </c>
      <c r="AD554" s="298">
        <v>42.42783</v>
      </c>
      <c r="AE554" s="298">
        <v>42.256920000000001</v>
      </c>
      <c r="AF554" s="298">
        <v>42.094043999999997</v>
      </c>
      <c r="AG554" s="298">
        <v>41.945602000000001</v>
      </c>
      <c r="AH554" s="296">
        <v>-7.0280000000000004E-3</v>
      </c>
    </row>
    <row r="555" spans="1:34" ht="15" customHeight="1" x14ac:dyDescent="0.25">
      <c r="A555" s="213" t="s">
        <v>1407</v>
      </c>
      <c r="B555" s="294" t="s">
        <v>1404</v>
      </c>
      <c r="C555" s="298">
        <v>51.475014000000002</v>
      </c>
      <c r="D555" s="298">
        <v>50.612876999999997</v>
      </c>
      <c r="E555" s="298">
        <v>50.567093</v>
      </c>
      <c r="F555" s="298">
        <v>49.935367999999997</v>
      </c>
      <c r="G555" s="298">
        <v>49.381214</v>
      </c>
      <c r="H555" s="298">
        <v>48.802298999999998</v>
      </c>
      <c r="I555" s="298">
        <v>48.225887</v>
      </c>
      <c r="J555" s="298">
        <v>47.662337999999998</v>
      </c>
      <c r="K555" s="298">
        <v>47.145943000000003</v>
      </c>
      <c r="L555" s="298">
        <v>46.654601999999997</v>
      </c>
      <c r="M555" s="298">
        <v>46.161537000000003</v>
      </c>
      <c r="N555" s="298">
        <v>45.712375999999999</v>
      </c>
      <c r="O555" s="298">
        <v>45.301291999999997</v>
      </c>
      <c r="P555" s="298">
        <v>44.898304000000003</v>
      </c>
      <c r="Q555" s="298">
        <v>44.529324000000003</v>
      </c>
      <c r="R555" s="298">
        <v>44.184376</v>
      </c>
      <c r="S555" s="298">
        <v>43.868648999999998</v>
      </c>
      <c r="T555" s="298">
        <v>43.575695000000003</v>
      </c>
      <c r="U555" s="298">
        <v>43.297024</v>
      </c>
      <c r="V555" s="298">
        <v>43.025398000000003</v>
      </c>
      <c r="W555" s="298">
        <v>42.754288000000003</v>
      </c>
      <c r="X555" s="298">
        <v>42.489058999999997</v>
      </c>
      <c r="Y555" s="298">
        <v>42.234183999999999</v>
      </c>
      <c r="Z555" s="298">
        <v>41.999198999999997</v>
      </c>
      <c r="AA555" s="298">
        <v>41.769157</v>
      </c>
      <c r="AB555" s="298">
        <v>41.538795</v>
      </c>
      <c r="AC555" s="298">
        <v>41.323044000000003</v>
      </c>
      <c r="AD555" s="298">
        <v>41.104385000000001</v>
      </c>
      <c r="AE555" s="298">
        <v>40.892142999999997</v>
      </c>
      <c r="AF555" s="298">
        <v>40.687241</v>
      </c>
      <c r="AG555" s="298">
        <v>40.496108999999997</v>
      </c>
      <c r="AH555" s="296">
        <v>-7.9640000000000006E-3</v>
      </c>
    </row>
    <row r="557" spans="1:34" ht="15" customHeight="1" x14ac:dyDescent="0.2">
      <c r="B557" s="204" t="s">
        <v>1408</v>
      </c>
    </row>
    <row r="558" spans="1:34" ht="15" customHeight="1" x14ac:dyDescent="0.2">
      <c r="B558" s="204" t="s">
        <v>1409</v>
      </c>
    </row>
    <row r="559" spans="1:34" ht="15" customHeight="1" x14ac:dyDescent="0.25">
      <c r="A559" s="213" t="s">
        <v>1410</v>
      </c>
      <c r="B559" s="294" t="s">
        <v>1411</v>
      </c>
      <c r="C559" s="295">
        <v>0.64897499999999997</v>
      </c>
      <c r="D559" s="295">
        <v>0.69835899999999995</v>
      </c>
      <c r="E559" s="295">
        <v>0.70567500000000005</v>
      </c>
      <c r="F559" s="295">
        <v>0.70057899999999995</v>
      </c>
      <c r="G559" s="295">
        <v>0.69710399999999995</v>
      </c>
      <c r="H559" s="295">
        <v>0.69382900000000003</v>
      </c>
      <c r="I559" s="295">
        <v>0.68961499999999998</v>
      </c>
      <c r="J559" s="295">
        <v>0.684867</v>
      </c>
      <c r="K559" s="295">
        <v>0.68038900000000002</v>
      </c>
      <c r="L559" s="295">
        <v>0.67574100000000004</v>
      </c>
      <c r="M559" s="295">
        <v>0.67127800000000004</v>
      </c>
      <c r="N559" s="295">
        <v>0.66709300000000005</v>
      </c>
      <c r="O559" s="295">
        <v>0.66315599999999997</v>
      </c>
      <c r="P559" s="295">
        <v>0.65886900000000004</v>
      </c>
      <c r="Q559" s="295">
        <v>0.65454299999999999</v>
      </c>
      <c r="R559" s="295">
        <v>0.65064699999999998</v>
      </c>
      <c r="S559" s="295">
        <v>0.64697899999999997</v>
      </c>
      <c r="T559" s="295">
        <v>0.64345399999999997</v>
      </c>
      <c r="U559" s="295">
        <v>0.64001200000000003</v>
      </c>
      <c r="V559" s="295">
        <v>0.63648700000000002</v>
      </c>
      <c r="W559" s="295">
        <v>0.63304199999999999</v>
      </c>
      <c r="X559" s="295">
        <v>0.62941100000000005</v>
      </c>
      <c r="Y559" s="295">
        <v>0.62568000000000001</v>
      </c>
      <c r="Z559" s="295">
        <v>0.62259399999999998</v>
      </c>
      <c r="AA559" s="295">
        <v>0.61931000000000003</v>
      </c>
      <c r="AB559" s="295">
        <v>0.61587999999999998</v>
      </c>
      <c r="AC559" s="295">
        <v>0.61271600000000004</v>
      </c>
      <c r="AD559" s="295">
        <v>0.60931900000000006</v>
      </c>
      <c r="AE559" s="295">
        <v>0.60589800000000005</v>
      </c>
      <c r="AF559" s="295">
        <v>0.60285900000000003</v>
      </c>
      <c r="AG559" s="295">
        <v>0.60021000000000002</v>
      </c>
      <c r="AH559" s="296">
        <v>-2.5999999999999999E-3</v>
      </c>
    </row>
    <row r="560" spans="1:34" ht="15" customHeight="1" x14ac:dyDescent="0.25">
      <c r="A560" s="213" t="s">
        <v>1412</v>
      </c>
      <c r="B560" s="294" t="s">
        <v>1413</v>
      </c>
      <c r="C560" s="295">
        <v>0.80539300000000003</v>
      </c>
      <c r="D560" s="295">
        <v>0.766594</v>
      </c>
      <c r="E560" s="295">
        <v>0.861182</v>
      </c>
      <c r="F560" s="295">
        <v>0.87408300000000005</v>
      </c>
      <c r="G560" s="295">
        <v>0.88777700000000004</v>
      </c>
      <c r="H560" s="295">
        <v>0.90209899999999998</v>
      </c>
      <c r="I560" s="295">
        <v>0.91594299999999995</v>
      </c>
      <c r="J560" s="295">
        <v>0.92971499999999996</v>
      </c>
      <c r="K560" s="295">
        <v>0.94412300000000005</v>
      </c>
      <c r="L560" s="295">
        <v>0.95886700000000002</v>
      </c>
      <c r="M560" s="295">
        <v>0.97419299999999998</v>
      </c>
      <c r="N560" s="295">
        <v>0.99074399999999996</v>
      </c>
      <c r="O560" s="295">
        <v>1.008481</v>
      </c>
      <c r="P560" s="295">
        <v>1.025846</v>
      </c>
      <c r="Q560" s="295">
        <v>1.043779</v>
      </c>
      <c r="R560" s="295">
        <v>1.0629109999999999</v>
      </c>
      <c r="S560" s="295">
        <v>1.0831999999999999</v>
      </c>
      <c r="T560" s="295">
        <v>1.1050310000000001</v>
      </c>
      <c r="U560" s="295">
        <v>1.127032</v>
      </c>
      <c r="V560" s="295">
        <v>1.149105</v>
      </c>
      <c r="W560" s="295">
        <v>1.171538</v>
      </c>
      <c r="X560" s="295">
        <v>1.1934800000000001</v>
      </c>
      <c r="Y560" s="295">
        <v>1.216245</v>
      </c>
      <c r="Z560" s="295">
        <v>1.239965</v>
      </c>
      <c r="AA560" s="295">
        <v>1.2645310000000001</v>
      </c>
      <c r="AB560" s="295">
        <v>1.2888820000000001</v>
      </c>
      <c r="AC560" s="295">
        <v>1.3139449999999999</v>
      </c>
      <c r="AD560" s="295">
        <v>1.3385149999999999</v>
      </c>
      <c r="AE560" s="295">
        <v>1.3642240000000001</v>
      </c>
      <c r="AF560" s="295">
        <v>1.390646</v>
      </c>
      <c r="AG560" s="295">
        <v>1.418784</v>
      </c>
      <c r="AH560" s="296">
        <v>1.9053E-2</v>
      </c>
    </row>
    <row r="561" spans="1:34" ht="15" customHeight="1" x14ac:dyDescent="0.25">
      <c r="A561" s="213" t="s">
        <v>1414</v>
      </c>
      <c r="B561" s="294" t="s">
        <v>1415</v>
      </c>
      <c r="C561" s="295">
        <v>0.60754900000000001</v>
      </c>
      <c r="D561" s="295">
        <v>0.61027200000000004</v>
      </c>
      <c r="E561" s="295">
        <v>0.61248599999999997</v>
      </c>
      <c r="F561" s="295">
        <v>0.61327600000000004</v>
      </c>
      <c r="G561" s="295">
        <v>0.61469700000000005</v>
      </c>
      <c r="H561" s="295">
        <v>0.61555800000000005</v>
      </c>
      <c r="I561" s="295">
        <v>0.61551599999999995</v>
      </c>
      <c r="J561" s="295">
        <v>0.61533899999999997</v>
      </c>
      <c r="K561" s="295">
        <v>0.615263</v>
      </c>
      <c r="L561" s="295">
        <v>0.61515900000000001</v>
      </c>
      <c r="M561" s="295">
        <v>0.61544600000000005</v>
      </c>
      <c r="N561" s="295">
        <v>0.61618899999999999</v>
      </c>
      <c r="O561" s="295">
        <v>0.61755800000000005</v>
      </c>
      <c r="P561" s="295">
        <v>0.61868999999999996</v>
      </c>
      <c r="Q561" s="295">
        <v>0.62004800000000004</v>
      </c>
      <c r="R561" s="295">
        <v>0.62183600000000006</v>
      </c>
      <c r="S561" s="295">
        <v>0.62421099999999996</v>
      </c>
      <c r="T561" s="295">
        <v>0.62690800000000002</v>
      </c>
      <c r="U561" s="295">
        <v>0.62986200000000003</v>
      </c>
      <c r="V561" s="295">
        <v>0.63256699999999999</v>
      </c>
      <c r="W561" s="295">
        <v>0.63504899999999997</v>
      </c>
      <c r="X561" s="295">
        <v>0.63740300000000005</v>
      </c>
      <c r="Y561" s="295">
        <v>0.63966800000000001</v>
      </c>
      <c r="Z561" s="295">
        <v>0.64261400000000002</v>
      </c>
      <c r="AA561" s="295">
        <v>0.64552900000000002</v>
      </c>
      <c r="AB561" s="295">
        <v>0.64850600000000003</v>
      </c>
      <c r="AC561" s="295">
        <v>0.65178499999999995</v>
      </c>
      <c r="AD561" s="295">
        <v>0.65504799999999996</v>
      </c>
      <c r="AE561" s="295">
        <v>0.65846199999999999</v>
      </c>
      <c r="AF561" s="295">
        <v>0.66237500000000005</v>
      </c>
      <c r="AG561" s="295">
        <v>0.666767</v>
      </c>
      <c r="AH561" s="296">
        <v>3.1050000000000001E-3</v>
      </c>
    </row>
    <row r="562" spans="1:34" ht="15" customHeight="1" x14ac:dyDescent="0.25">
      <c r="A562" s="213" t="s">
        <v>1416</v>
      </c>
      <c r="B562" s="294" t="s">
        <v>1417</v>
      </c>
      <c r="C562" s="295">
        <v>0.29757099999999997</v>
      </c>
      <c r="D562" s="295">
        <v>0.295346</v>
      </c>
      <c r="E562" s="295">
        <v>0.29378399999999999</v>
      </c>
      <c r="F562" s="295">
        <v>0.29202600000000001</v>
      </c>
      <c r="G562" s="295">
        <v>0.29042400000000002</v>
      </c>
      <c r="H562" s="295">
        <v>0.28908299999999998</v>
      </c>
      <c r="I562" s="295">
        <v>0.28793600000000003</v>
      </c>
      <c r="J562" s="295">
        <v>0.28692200000000001</v>
      </c>
      <c r="K562" s="295">
        <v>0.28607500000000002</v>
      </c>
      <c r="L562" s="295">
        <v>0.28541899999999998</v>
      </c>
      <c r="M562" s="295">
        <v>0.28499999999999998</v>
      </c>
      <c r="N562" s="295">
        <v>0.284881</v>
      </c>
      <c r="O562" s="295">
        <v>0.28508899999999998</v>
      </c>
      <c r="P562" s="295">
        <v>0.28559600000000002</v>
      </c>
      <c r="Q562" s="295">
        <v>0.286414</v>
      </c>
      <c r="R562" s="295">
        <v>0.28758899999999998</v>
      </c>
      <c r="S562" s="295">
        <v>0.28906799999999999</v>
      </c>
      <c r="T562" s="295">
        <v>0.29083900000000001</v>
      </c>
      <c r="U562" s="295">
        <v>0.29291899999999998</v>
      </c>
      <c r="V562" s="295">
        <v>0.29527399999999998</v>
      </c>
      <c r="W562" s="295">
        <v>0.29792600000000002</v>
      </c>
      <c r="X562" s="295">
        <v>0.30085800000000001</v>
      </c>
      <c r="Y562" s="295">
        <v>0.30406499999999997</v>
      </c>
      <c r="Z562" s="295">
        <v>0.30727100000000002</v>
      </c>
      <c r="AA562" s="295">
        <v>0.31046600000000002</v>
      </c>
      <c r="AB562" s="295">
        <v>0.31362899999999999</v>
      </c>
      <c r="AC562" s="295">
        <v>0.31673499999999999</v>
      </c>
      <c r="AD562" s="295">
        <v>0.319768</v>
      </c>
      <c r="AE562" s="295">
        <v>0.32273200000000002</v>
      </c>
      <c r="AF562" s="295">
        <v>0.32563300000000001</v>
      </c>
      <c r="AG562" s="295">
        <v>0.32846999999999998</v>
      </c>
      <c r="AH562" s="296">
        <v>3.2989999999999998E-3</v>
      </c>
    </row>
    <row r="563" spans="1:34" ht="15" customHeight="1" x14ac:dyDescent="0.25">
      <c r="A563" s="213" t="s">
        <v>1418</v>
      </c>
      <c r="B563" s="294" t="s">
        <v>1419</v>
      </c>
      <c r="C563" s="295">
        <v>5.5007E-2</v>
      </c>
      <c r="D563" s="295">
        <v>5.5161000000000002E-2</v>
      </c>
      <c r="E563" s="295">
        <v>5.5458E-2</v>
      </c>
      <c r="F563" s="295">
        <v>5.5738000000000003E-2</v>
      </c>
      <c r="G563" s="295">
        <v>5.6009000000000003E-2</v>
      </c>
      <c r="H563" s="295">
        <v>5.6286000000000003E-2</v>
      </c>
      <c r="I563" s="295">
        <v>5.6556000000000002E-2</v>
      </c>
      <c r="J563" s="295">
        <v>5.6802999999999999E-2</v>
      </c>
      <c r="K563" s="295">
        <v>5.7031999999999999E-2</v>
      </c>
      <c r="L563" s="295">
        <v>5.7229000000000002E-2</v>
      </c>
      <c r="M563" s="295">
        <v>5.7396000000000003E-2</v>
      </c>
      <c r="N563" s="295">
        <v>5.7526000000000001E-2</v>
      </c>
      <c r="O563" s="295">
        <v>5.7620999999999999E-2</v>
      </c>
      <c r="P563" s="295">
        <v>5.7724999999999999E-2</v>
      </c>
      <c r="Q563" s="295">
        <v>5.7854000000000003E-2</v>
      </c>
      <c r="R563" s="295">
        <v>5.8016999999999999E-2</v>
      </c>
      <c r="S563" s="295">
        <v>5.8215000000000003E-2</v>
      </c>
      <c r="T563" s="295">
        <v>5.8450000000000002E-2</v>
      </c>
      <c r="U563" s="295">
        <v>5.8677E-2</v>
      </c>
      <c r="V563" s="295">
        <v>5.8894000000000002E-2</v>
      </c>
      <c r="W563" s="295">
        <v>5.9104999999999998E-2</v>
      </c>
      <c r="X563" s="295">
        <v>5.9304999999999997E-2</v>
      </c>
      <c r="Y563" s="295">
        <v>5.9498000000000002E-2</v>
      </c>
      <c r="Z563" s="295">
        <v>5.9686999999999997E-2</v>
      </c>
      <c r="AA563" s="295">
        <v>5.9871000000000001E-2</v>
      </c>
      <c r="AB563" s="295">
        <v>6.0049999999999999E-2</v>
      </c>
      <c r="AC563" s="295">
        <v>6.0220999999999997E-2</v>
      </c>
      <c r="AD563" s="295">
        <v>6.0386000000000002E-2</v>
      </c>
      <c r="AE563" s="295">
        <v>6.0551000000000001E-2</v>
      </c>
      <c r="AF563" s="295">
        <v>6.0719000000000002E-2</v>
      </c>
      <c r="AG563" s="295">
        <v>6.0893000000000003E-2</v>
      </c>
      <c r="AH563" s="296">
        <v>3.3939999999999999E-3</v>
      </c>
    </row>
    <row r="564" spans="1:34" ht="15" customHeight="1" x14ac:dyDescent="0.25">
      <c r="A564" s="213" t="s">
        <v>1420</v>
      </c>
      <c r="B564" s="294" t="s">
        <v>1421</v>
      </c>
      <c r="C564" s="295">
        <v>0.216421</v>
      </c>
      <c r="D564" s="295">
        <v>0.220387</v>
      </c>
      <c r="E564" s="295">
        <v>0.22392699999999999</v>
      </c>
      <c r="F564" s="295">
        <v>0.227024</v>
      </c>
      <c r="G564" s="295">
        <v>0.23042099999999999</v>
      </c>
      <c r="H564" s="295">
        <v>0.233791</v>
      </c>
      <c r="I564" s="295">
        <v>0.236868</v>
      </c>
      <c r="J564" s="295">
        <v>0.239735</v>
      </c>
      <c r="K564" s="295">
        <v>0.24265999999999999</v>
      </c>
      <c r="L564" s="295">
        <v>0.245586</v>
      </c>
      <c r="M564" s="295">
        <v>0.248642</v>
      </c>
      <c r="N564" s="295">
        <v>0.25174800000000003</v>
      </c>
      <c r="O564" s="295">
        <v>0.25499899999999998</v>
      </c>
      <c r="P564" s="295">
        <v>0.25810499999999997</v>
      </c>
      <c r="Q564" s="295">
        <v>0.26134800000000002</v>
      </c>
      <c r="R564" s="295">
        <v>0.26472400000000001</v>
      </c>
      <c r="S564" s="295">
        <v>0.26834599999999997</v>
      </c>
      <c r="T564" s="295">
        <v>0.27198499999999998</v>
      </c>
      <c r="U564" s="295">
        <v>0.27561999999999998</v>
      </c>
      <c r="V564" s="295">
        <v>0.27921099999999999</v>
      </c>
      <c r="W564" s="295">
        <v>0.28273500000000001</v>
      </c>
      <c r="X564" s="295">
        <v>0.286192</v>
      </c>
      <c r="Y564" s="295">
        <v>0.289572</v>
      </c>
      <c r="Z564" s="295">
        <v>0.293211</v>
      </c>
      <c r="AA564" s="295">
        <v>0.29679699999999998</v>
      </c>
      <c r="AB564" s="295">
        <v>0.30034499999999997</v>
      </c>
      <c r="AC564" s="295">
        <v>0.30395899999999998</v>
      </c>
      <c r="AD564" s="295">
        <v>0.30750499999999997</v>
      </c>
      <c r="AE564" s="295">
        <v>0.31109100000000001</v>
      </c>
      <c r="AF564" s="295">
        <v>0.31490099999999999</v>
      </c>
      <c r="AG564" s="295">
        <v>0.31889400000000001</v>
      </c>
      <c r="AH564" s="296">
        <v>1.3004999999999999E-2</v>
      </c>
    </row>
    <row r="565" spans="1:34" ht="15" customHeight="1" x14ac:dyDescent="0.25">
      <c r="A565" s="213" t="s">
        <v>1422</v>
      </c>
      <c r="B565" s="294" t="s">
        <v>1423</v>
      </c>
      <c r="C565" s="295">
        <v>6.9181000000000006E-2</v>
      </c>
      <c r="D565" s="295">
        <v>6.8847000000000005E-2</v>
      </c>
      <c r="E565" s="295">
        <v>6.8695999999999993E-2</v>
      </c>
      <c r="F565" s="295">
        <v>6.8514000000000005E-2</v>
      </c>
      <c r="G565" s="295">
        <v>6.8303000000000003E-2</v>
      </c>
      <c r="H565" s="295">
        <v>6.8080000000000002E-2</v>
      </c>
      <c r="I565" s="295">
        <v>6.7833000000000004E-2</v>
      </c>
      <c r="J565" s="295">
        <v>6.7552000000000001E-2</v>
      </c>
      <c r="K565" s="295">
        <v>6.7285999999999999E-2</v>
      </c>
      <c r="L565" s="295">
        <v>6.7035999999999998E-2</v>
      </c>
      <c r="M565" s="295">
        <v>6.6805000000000003E-2</v>
      </c>
      <c r="N565" s="295">
        <v>6.6594E-2</v>
      </c>
      <c r="O565" s="295">
        <v>6.6406999999999994E-2</v>
      </c>
      <c r="P565" s="295">
        <v>6.6239000000000006E-2</v>
      </c>
      <c r="Q565" s="295">
        <v>6.6095000000000001E-2</v>
      </c>
      <c r="R565" s="295">
        <v>6.5983E-2</v>
      </c>
      <c r="S565" s="295">
        <v>6.59E-2</v>
      </c>
      <c r="T565" s="295">
        <v>6.5845000000000001E-2</v>
      </c>
      <c r="U565" s="295">
        <v>6.5823999999999994E-2</v>
      </c>
      <c r="V565" s="295">
        <v>6.5833000000000003E-2</v>
      </c>
      <c r="W565" s="295">
        <v>6.5878000000000006E-2</v>
      </c>
      <c r="X565" s="295">
        <v>6.5962999999999994E-2</v>
      </c>
      <c r="Y565" s="295">
        <v>6.6087999999999994E-2</v>
      </c>
      <c r="Z565" s="295">
        <v>6.6264000000000003E-2</v>
      </c>
      <c r="AA565" s="295">
        <v>6.6497000000000001E-2</v>
      </c>
      <c r="AB565" s="295">
        <v>6.6783999999999996E-2</v>
      </c>
      <c r="AC565" s="295">
        <v>6.7123000000000002E-2</v>
      </c>
      <c r="AD565" s="295">
        <v>6.7501000000000005E-2</v>
      </c>
      <c r="AE565" s="295">
        <v>6.7876000000000006E-2</v>
      </c>
      <c r="AF565" s="295">
        <v>6.8251000000000006E-2</v>
      </c>
      <c r="AG565" s="295">
        <v>6.8624000000000004E-2</v>
      </c>
      <c r="AH565" s="296">
        <v>-2.7E-4</v>
      </c>
    </row>
    <row r="566" spans="1:34" ht="15" customHeight="1" x14ac:dyDescent="0.25">
      <c r="A566" s="213" t="s">
        <v>1424</v>
      </c>
      <c r="B566" s="294" t="s">
        <v>1425</v>
      </c>
      <c r="C566" s="295">
        <v>0.21124699999999999</v>
      </c>
      <c r="D566" s="295">
        <v>0.204709</v>
      </c>
      <c r="E566" s="295">
        <v>0.202325</v>
      </c>
      <c r="F566" s="295">
        <v>0.20133100000000001</v>
      </c>
      <c r="G566" s="295">
        <v>0.20136299999999999</v>
      </c>
      <c r="H566" s="295">
        <v>0.19996900000000001</v>
      </c>
      <c r="I566" s="295">
        <v>0.19883400000000001</v>
      </c>
      <c r="J566" s="295">
        <v>0.19838500000000001</v>
      </c>
      <c r="K566" s="295">
        <v>0.198653</v>
      </c>
      <c r="L566" s="295">
        <v>0.199213</v>
      </c>
      <c r="M566" s="295">
        <v>0.19741900000000001</v>
      </c>
      <c r="N566" s="295">
        <v>0.19624800000000001</v>
      </c>
      <c r="O566" s="295">
        <v>0.19559699999999999</v>
      </c>
      <c r="P566" s="295">
        <v>0.19511400000000001</v>
      </c>
      <c r="Q566" s="295">
        <v>0.19497800000000001</v>
      </c>
      <c r="R566" s="295">
        <v>0.19514300000000001</v>
      </c>
      <c r="S566" s="295">
        <v>0.195525</v>
      </c>
      <c r="T566" s="295">
        <v>0.19600000000000001</v>
      </c>
      <c r="U566" s="295">
        <v>0.196543</v>
      </c>
      <c r="V566" s="295">
        <v>0.19711400000000001</v>
      </c>
      <c r="W566" s="295">
        <v>0.19439999999999999</v>
      </c>
      <c r="X566" s="295">
        <v>0.19228500000000001</v>
      </c>
      <c r="Y566" s="295">
        <v>0.19058800000000001</v>
      </c>
      <c r="Z566" s="295">
        <v>0.18950400000000001</v>
      </c>
      <c r="AA566" s="295">
        <v>0.18876000000000001</v>
      </c>
      <c r="AB566" s="295">
        <v>0.18824299999999999</v>
      </c>
      <c r="AC566" s="295">
        <v>0.18789700000000001</v>
      </c>
      <c r="AD566" s="295">
        <v>0.187552</v>
      </c>
      <c r="AE566" s="295">
        <v>0.187251</v>
      </c>
      <c r="AF566" s="295">
        <v>0.18709600000000001</v>
      </c>
      <c r="AG566" s="295">
        <v>0.187254</v>
      </c>
      <c r="AH566" s="296">
        <v>-4.0109999999999998E-3</v>
      </c>
    </row>
    <row r="567" spans="1:34" ht="15" customHeight="1" x14ac:dyDescent="0.25">
      <c r="A567" s="213" t="s">
        <v>1426</v>
      </c>
      <c r="B567" s="294" t="s">
        <v>1427</v>
      </c>
      <c r="C567" s="295">
        <v>3.6778999999999999E-2</v>
      </c>
      <c r="D567" s="295">
        <v>3.7026000000000003E-2</v>
      </c>
      <c r="E567" s="295">
        <v>3.7373000000000003E-2</v>
      </c>
      <c r="F567" s="295">
        <v>3.771E-2</v>
      </c>
      <c r="G567" s="295">
        <v>3.8044000000000001E-2</v>
      </c>
      <c r="H567" s="295">
        <v>3.8386999999999998E-2</v>
      </c>
      <c r="I567" s="295">
        <v>3.8726999999999998E-2</v>
      </c>
      <c r="J567" s="295">
        <v>3.9054999999999999E-2</v>
      </c>
      <c r="K567" s="295">
        <v>3.9377000000000002E-2</v>
      </c>
      <c r="L567" s="295">
        <v>3.9694E-2</v>
      </c>
      <c r="M567" s="295">
        <v>4.0024999999999998E-2</v>
      </c>
      <c r="N567" s="295">
        <v>4.0351999999999999E-2</v>
      </c>
      <c r="O567" s="295">
        <v>4.0679E-2</v>
      </c>
      <c r="P567" s="295">
        <v>4.1000000000000002E-2</v>
      </c>
      <c r="Q567" s="295">
        <v>4.1314999999999998E-2</v>
      </c>
      <c r="R567" s="295">
        <v>4.1632000000000002E-2</v>
      </c>
      <c r="S567" s="295">
        <v>4.1942E-2</v>
      </c>
      <c r="T567" s="295">
        <v>4.2249000000000002E-2</v>
      </c>
      <c r="U567" s="295">
        <v>4.2553000000000001E-2</v>
      </c>
      <c r="V567" s="295">
        <v>4.2854000000000003E-2</v>
      </c>
      <c r="W567" s="295">
        <v>4.3154999999999999E-2</v>
      </c>
      <c r="X567" s="295">
        <v>4.3454E-2</v>
      </c>
      <c r="Y567" s="295">
        <v>4.3750999999999998E-2</v>
      </c>
      <c r="Z567" s="295">
        <v>4.4052000000000001E-2</v>
      </c>
      <c r="AA567" s="295">
        <v>4.4354999999999999E-2</v>
      </c>
      <c r="AB567" s="295">
        <v>4.4658999999999997E-2</v>
      </c>
      <c r="AC567" s="295">
        <v>4.4962000000000002E-2</v>
      </c>
      <c r="AD567" s="295">
        <v>4.5262999999999998E-2</v>
      </c>
      <c r="AE567" s="295">
        <v>4.5561999999999998E-2</v>
      </c>
      <c r="AF567" s="295">
        <v>4.5862E-2</v>
      </c>
      <c r="AG567" s="295">
        <v>4.6163000000000003E-2</v>
      </c>
      <c r="AH567" s="296">
        <v>7.6030000000000004E-3</v>
      </c>
    </row>
    <row r="568" spans="1:34" ht="15" customHeight="1" x14ac:dyDescent="0.25">
      <c r="A568" s="213" t="s">
        <v>1428</v>
      </c>
      <c r="B568" s="294" t="s">
        <v>1429</v>
      </c>
      <c r="C568" s="295">
        <v>2.6616999999999998E-2</v>
      </c>
      <c r="D568" s="295">
        <v>2.6991999999999999E-2</v>
      </c>
      <c r="E568" s="295">
        <v>2.743E-2</v>
      </c>
      <c r="F568" s="295">
        <v>2.7851999999999998E-2</v>
      </c>
      <c r="G568" s="295">
        <v>2.8261999999999999E-2</v>
      </c>
      <c r="H568" s="295">
        <v>2.8667000000000002E-2</v>
      </c>
      <c r="I568" s="295">
        <v>2.9058E-2</v>
      </c>
      <c r="J568" s="295">
        <v>2.9425E-2</v>
      </c>
      <c r="K568" s="295">
        <v>2.9825000000000001E-2</v>
      </c>
      <c r="L568" s="295">
        <v>3.0258E-2</v>
      </c>
      <c r="M568" s="295">
        <v>3.0724999999999999E-2</v>
      </c>
      <c r="N568" s="295">
        <v>3.1229E-2</v>
      </c>
      <c r="O568" s="295">
        <v>3.1773999999999997E-2</v>
      </c>
      <c r="P568" s="295">
        <v>3.2358999999999999E-2</v>
      </c>
      <c r="Q568" s="295">
        <v>3.2987000000000002E-2</v>
      </c>
      <c r="R568" s="295">
        <v>3.3612999999999997E-2</v>
      </c>
      <c r="S568" s="295">
        <v>3.4234000000000001E-2</v>
      </c>
      <c r="T568" s="295">
        <v>3.4849999999999999E-2</v>
      </c>
      <c r="U568" s="295">
        <v>3.5463000000000001E-2</v>
      </c>
      <c r="V568" s="295">
        <v>3.6073000000000001E-2</v>
      </c>
      <c r="W568" s="295">
        <v>3.6681999999999999E-2</v>
      </c>
      <c r="X568" s="295">
        <v>3.7289000000000003E-2</v>
      </c>
      <c r="Y568" s="295">
        <v>3.7893999999999997E-2</v>
      </c>
      <c r="Z568" s="295">
        <v>3.8501000000000001E-2</v>
      </c>
      <c r="AA568" s="295">
        <v>3.9108999999999998E-2</v>
      </c>
      <c r="AB568" s="295">
        <v>3.9717000000000002E-2</v>
      </c>
      <c r="AC568" s="295">
        <v>4.0322999999999998E-2</v>
      </c>
      <c r="AD568" s="295">
        <v>4.0926999999999998E-2</v>
      </c>
      <c r="AE568" s="295">
        <v>4.1529000000000003E-2</v>
      </c>
      <c r="AF568" s="295">
        <v>4.2130000000000001E-2</v>
      </c>
      <c r="AG568" s="295">
        <v>4.2730999999999998E-2</v>
      </c>
      <c r="AH568" s="296">
        <v>1.5904999999999999E-2</v>
      </c>
    </row>
    <row r="569" spans="1:34" ht="15" customHeight="1" x14ac:dyDescent="0.25">
      <c r="A569" s="213" t="s">
        <v>1430</v>
      </c>
      <c r="B569" s="294" t="s">
        <v>1431</v>
      </c>
      <c r="C569" s="295">
        <v>0.20913300000000001</v>
      </c>
      <c r="D569" s="295">
        <v>0.205207</v>
      </c>
      <c r="E569" s="295">
        <v>0.202543</v>
      </c>
      <c r="F569" s="295">
        <v>0.20023199999999999</v>
      </c>
      <c r="G569" s="295">
        <v>0.19889200000000001</v>
      </c>
      <c r="H569" s="295">
        <v>0.198295</v>
      </c>
      <c r="I569" s="295">
        <v>0.19822999999999999</v>
      </c>
      <c r="J569" s="295">
        <v>0.19878999999999999</v>
      </c>
      <c r="K569" s="295">
        <v>0.20006099999999999</v>
      </c>
      <c r="L569" s="295">
        <v>0.20200299999999999</v>
      </c>
      <c r="M569" s="295">
        <v>0.20463600000000001</v>
      </c>
      <c r="N569" s="295">
        <v>0.20782300000000001</v>
      </c>
      <c r="O569" s="295">
        <v>0.21160000000000001</v>
      </c>
      <c r="P569" s="295">
        <v>0.215644</v>
      </c>
      <c r="Q569" s="295">
        <v>0.22000500000000001</v>
      </c>
      <c r="R569" s="295">
        <v>0.22468299999999999</v>
      </c>
      <c r="S569" s="295">
        <v>0.22967000000000001</v>
      </c>
      <c r="T569" s="295">
        <v>0.23474700000000001</v>
      </c>
      <c r="U569" s="295">
        <v>0.23980299999999999</v>
      </c>
      <c r="V569" s="295">
        <v>0.244645</v>
      </c>
      <c r="W569" s="295">
        <v>0.24911700000000001</v>
      </c>
      <c r="X569" s="295">
        <v>0.25305699999999998</v>
      </c>
      <c r="Y569" s="295">
        <v>0.25641999999999998</v>
      </c>
      <c r="Z569" s="295">
        <v>0.25970900000000002</v>
      </c>
      <c r="AA569" s="295">
        <v>0.26287199999999999</v>
      </c>
      <c r="AB569" s="295">
        <v>0.26593099999999997</v>
      </c>
      <c r="AC569" s="295">
        <v>0.268959</v>
      </c>
      <c r="AD569" s="295">
        <v>0.27183800000000002</v>
      </c>
      <c r="AE569" s="295">
        <v>0.27464499999999997</v>
      </c>
      <c r="AF569" s="295">
        <v>0.27751500000000001</v>
      </c>
      <c r="AG569" s="295">
        <v>0.280476</v>
      </c>
      <c r="AH569" s="296">
        <v>9.8320000000000005E-3</v>
      </c>
    </row>
    <row r="570" spans="1:34" ht="15" customHeight="1" x14ac:dyDescent="0.25">
      <c r="A570" s="213" t="s">
        <v>1432</v>
      </c>
      <c r="B570" s="294" t="s">
        <v>1433</v>
      </c>
      <c r="C570" s="295">
        <v>8.6664000000000005E-2</v>
      </c>
      <c r="D570" s="295">
        <v>8.3833000000000005E-2</v>
      </c>
      <c r="E570" s="295">
        <v>8.1494999999999998E-2</v>
      </c>
      <c r="F570" s="295">
        <v>7.9249E-2</v>
      </c>
      <c r="G570" s="295">
        <v>7.7311000000000005E-2</v>
      </c>
      <c r="H570" s="295">
        <v>7.5550000000000006E-2</v>
      </c>
      <c r="I570" s="295">
        <v>7.3888999999999996E-2</v>
      </c>
      <c r="J570" s="295">
        <v>7.2344000000000006E-2</v>
      </c>
      <c r="K570" s="295">
        <v>7.0940000000000003E-2</v>
      </c>
      <c r="L570" s="295">
        <v>6.9648000000000002E-2</v>
      </c>
      <c r="M570" s="295">
        <v>6.8455000000000002E-2</v>
      </c>
      <c r="N570" s="295">
        <v>6.7301E-2</v>
      </c>
      <c r="O570" s="295">
        <v>6.6194000000000003E-2</v>
      </c>
      <c r="P570" s="295">
        <v>6.5015000000000003E-2</v>
      </c>
      <c r="Q570" s="295">
        <v>6.3785999999999995E-2</v>
      </c>
      <c r="R570" s="295">
        <v>6.2496999999999997E-2</v>
      </c>
      <c r="S570" s="295">
        <v>6.1143000000000003E-2</v>
      </c>
      <c r="T570" s="295">
        <v>5.9822E-2</v>
      </c>
      <c r="U570" s="295">
        <v>5.8526000000000002E-2</v>
      </c>
      <c r="V570" s="295">
        <v>5.722E-2</v>
      </c>
      <c r="W570" s="295">
        <v>5.5891999999999997E-2</v>
      </c>
      <c r="X570" s="295">
        <v>5.4535E-2</v>
      </c>
      <c r="Y570" s="295">
        <v>5.3136000000000003E-2</v>
      </c>
      <c r="Z570" s="295">
        <v>5.1763000000000003E-2</v>
      </c>
      <c r="AA570" s="295">
        <v>5.0342999999999999E-2</v>
      </c>
      <c r="AB570" s="295">
        <v>4.8862000000000003E-2</v>
      </c>
      <c r="AC570" s="295">
        <v>4.7323999999999998E-2</v>
      </c>
      <c r="AD570" s="295">
        <v>4.5687999999999999E-2</v>
      </c>
      <c r="AE570" s="295">
        <v>4.3971000000000003E-2</v>
      </c>
      <c r="AF570" s="295">
        <v>4.2151000000000001E-2</v>
      </c>
      <c r="AG570" s="295">
        <v>4.0223000000000002E-2</v>
      </c>
      <c r="AH570" s="296">
        <v>-2.5262E-2</v>
      </c>
    </row>
    <row r="571" spans="1:34" ht="15" customHeight="1" x14ac:dyDescent="0.25">
      <c r="A571" s="213" t="s">
        <v>1434</v>
      </c>
      <c r="B571" s="294" t="s">
        <v>1435</v>
      </c>
      <c r="C571" s="295">
        <v>7.8188999999999995E-2</v>
      </c>
      <c r="D571" s="295">
        <v>8.4238999999999994E-2</v>
      </c>
      <c r="E571" s="295">
        <v>8.4947999999999996E-2</v>
      </c>
      <c r="F571" s="295">
        <v>8.5345000000000004E-2</v>
      </c>
      <c r="G571" s="295">
        <v>8.5870000000000002E-2</v>
      </c>
      <c r="H571" s="295">
        <v>8.6289000000000005E-2</v>
      </c>
      <c r="I571" s="295">
        <v>8.6568000000000006E-2</v>
      </c>
      <c r="J571" s="295">
        <v>8.6861999999999995E-2</v>
      </c>
      <c r="K571" s="295">
        <v>8.7124999999999994E-2</v>
      </c>
      <c r="L571" s="295">
        <v>8.7312000000000001E-2</v>
      </c>
      <c r="M571" s="295">
        <v>8.7309999999999999E-2</v>
      </c>
      <c r="N571" s="295">
        <v>8.7224999999999997E-2</v>
      </c>
      <c r="O571" s="295">
        <v>8.6986999999999995E-2</v>
      </c>
      <c r="P571" s="295">
        <v>8.6527999999999994E-2</v>
      </c>
      <c r="Q571" s="295">
        <v>8.5852999999999999E-2</v>
      </c>
      <c r="R571" s="295">
        <v>8.5038000000000002E-2</v>
      </c>
      <c r="S571" s="295">
        <v>8.4087999999999996E-2</v>
      </c>
      <c r="T571" s="295">
        <v>8.3007999999999998E-2</v>
      </c>
      <c r="U571" s="295">
        <v>8.1807000000000005E-2</v>
      </c>
      <c r="V571" s="295">
        <v>8.0574000000000007E-2</v>
      </c>
      <c r="W571" s="295">
        <v>7.9389000000000001E-2</v>
      </c>
      <c r="X571" s="295">
        <v>7.8256999999999993E-2</v>
      </c>
      <c r="Y571" s="295">
        <v>7.7173000000000005E-2</v>
      </c>
      <c r="Z571" s="295">
        <v>7.6185000000000003E-2</v>
      </c>
      <c r="AA571" s="295">
        <v>7.5318999999999997E-2</v>
      </c>
      <c r="AB571" s="295">
        <v>7.4557999999999999E-2</v>
      </c>
      <c r="AC571" s="295">
        <v>7.3917999999999998E-2</v>
      </c>
      <c r="AD571" s="295">
        <v>7.3368000000000003E-2</v>
      </c>
      <c r="AE571" s="295">
        <v>7.2929999999999995E-2</v>
      </c>
      <c r="AF571" s="295">
        <v>7.2590000000000002E-2</v>
      </c>
      <c r="AG571" s="295">
        <v>7.2375999999999996E-2</v>
      </c>
      <c r="AH571" s="296">
        <v>-2.5720000000000001E-3</v>
      </c>
    </row>
    <row r="572" spans="1:34" ht="15" customHeight="1" x14ac:dyDescent="0.25">
      <c r="A572" s="213" t="s">
        <v>1436</v>
      </c>
      <c r="B572" s="294" t="s">
        <v>1437</v>
      </c>
      <c r="C572" s="295">
        <v>1.7822180000000001</v>
      </c>
      <c r="D572" s="295">
        <v>1.818101</v>
      </c>
      <c r="E572" s="295">
        <v>1.733101</v>
      </c>
      <c r="F572" s="295">
        <v>1.747153</v>
      </c>
      <c r="G572" s="295">
        <v>1.758786</v>
      </c>
      <c r="H572" s="295">
        <v>1.7723100000000001</v>
      </c>
      <c r="I572" s="295">
        <v>1.794389</v>
      </c>
      <c r="J572" s="295">
        <v>1.815753</v>
      </c>
      <c r="K572" s="295">
        <v>1.838033</v>
      </c>
      <c r="L572" s="295">
        <v>1.8609420000000001</v>
      </c>
      <c r="M572" s="295">
        <v>1.8856440000000001</v>
      </c>
      <c r="N572" s="295">
        <v>1.9104509999999999</v>
      </c>
      <c r="O572" s="295">
        <v>1.9358820000000001</v>
      </c>
      <c r="P572" s="295">
        <v>1.960485</v>
      </c>
      <c r="Q572" s="295">
        <v>1.988815</v>
      </c>
      <c r="R572" s="295">
        <v>2.0162659999999999</v>
      </c>
      <c r="S572" s="295">
        <v>2.0443669999999998</v>
      </c>
      <c r="T572" s="295">
        <v>2.072632</v>
      </c>
      <c r="U572" s="295">
        <v>2.1011250000000001</v>
      </c>
      <c r="V572" s="295">
        <v>2.1299169999999998</v>
      </c>
      <c r="W572" s="295">
        <v>2.158353</v>
      </c>
      <c r="X572" s="295">
        <v>2.187195</v>
      </c>
      <c r="Y572" s="295">
        <v>2.2166939999999999</v>
      </c>
      <c r="Z572" s="295">
        <v>2.2478259999999999</v>
      </c>
      <c r="AA572" s="295">
        <v>2.27888</v>
      </c>
      <c r="AB572" s="295">
        <v>2.310155</v>
      </c>
      <c r="AC572" s="295">
        <v>2.342203</v>
      </c>
      <c r="AD572" s="295">
        <v>2.3744960000000002</v>
      </c>
      <c r="AE572" s="295">
        <v>2.407788</v>
      </c>
      <c r="AF572" s="295">
        <v>2.4420419999999998</v>
      </c>
      <c r="AG572" s="295">
        <v>2.4771299999999998</v>
      </c>
      <c r="AH572" s="296">
        <v>1.1035E-2</v>
      </c>
    </row>
    <row r="573" spans="1:34" ht="15" customHeight="1" x14ac:dyDescent="0.2">
      <c r="A573" s="213" t="s">
        <v>1438</v>
      </c>
      <c r="B573" s="204" t="s">
        <v>1439</v>
      </c>
      <c r="C573" s="205">
        <v>5.1309420000000001</v>
      </c>
      <c r="D573" s="205">
        <v>5.1750749999999996</v>
      </c>
      <c r="E573" s="205">
        <v>5.1904240000000001</v>
      </c>
      <c r="F573" s="205">
        <v>5.2101129999999998</v>
      </c>
      <c r="G573" s="205">
        <v>5.2332640000000001</v>
      </c>
      <c r="H573" s="205">
        <v>5.2581959999999999</v>
      </c>
      <c r="I573" s="205">
        <v>5.2899630000000002</v>
      </c>
      <c r="J573" s="205">
        <v>5.3215479999999999</v>
      </c>
      <c r="K573" s="205">
        <v>5.3568429999999996</v>
      </c>
      <c r="L573" s="205">
        <v>5.394107</v>
      </c>
      <c r="M573" s="205">
        <v>5.4329749999999999</v>
      </c>
      <c r="N573" s="205">
        <v>5.4754069999999997</v>
      </c>
      <c r="O573" s="205">
        <v>5.522024</v>
      </c>
      <c r="P573" s="205">
        <v>5.567215</v>
      </c>
      <c r="Q573" s="205">
        <v>5.6178210000000002</v>
      </c>
      <c r="R573" s="205">
        <v>5.6705800000000002</v>
      </c>
      <c r="S573" s="205">
        <v>5.72689</v>
      </c>
      <c r="T573" s="205">
        <v>5.7858200000000002</v>
      </c>
      <c r="U573" s="205">
        <v>5.8457660000000002</v>
      </c>
      <c r="V573" s="205">
        <v>5.905767</v>
      </c>
      <c r="W573" s="205">
        <v>5.962262</v>
      </c>
      <c r="X573" s="205">
        <v>6.0186830000000002</v>
      </c>
      <c r="Y573" s="205">
        <v>6.0764740000000002</v>
      </c>
      <c r="Z573" s="205">
        <v>6.1391460000000002</v>
      </c>
      <c r="AA573" s="205">
        <v>6.2026389999999996</v>
      </c>
      <c r="AB573" s="205">
        <v>6.2662009999999997</v>
      </c>
      <c r="AC573" s="205">
        <v>6.332071</v>
      </c>
      <c r="AD573" s="205">
        <v>6.3971739999999997</v>
      </c>
      <c r="AE573" s="205">
        <v>6.4645089999999996</v>
      </c>
      <c r="AF573" s="205">
        <v>6.53477</v>
      </c>
      <c r="AG573" s="205">
        <v>6.6089929999999999</v>
      </c>
      <c r="AH573" s="206">
        <v>8.4740000000000006E-3</v>
      </c>
    </row>
    <row r="574" spans="1:34" ht="15" customHeight="1" x14ac:dyDescent="0.25">
      <c r="A574" s="213" t="s">
        <v>1440</v>
      </c>
      <c r="B574" s="294" t="s">
        <v>1441</v>
      </c>
      <c r="C574" s="295">
        <v>7.8131000000000006E-2</v>
      </c>
      <c r="D574" s="295">
        <v>8.9439000000000005E-2</v>
      </c>
      <c r="E574" s="295">
        <v>9.8996000000000001E-2</v>
      </c>
      <c r="F574" s="295">
        <v>0.10828400000000001</v>
      </c>
      <c r="G574" s="295">
        <v>0.117412</v>
      </c>
      <c r="H574" s="295">
        <v>0.12662599999999999</v>
      </c>
      <c r="I574" s="295">
        <v>0.13608999999999999</v>
      </c>
      <c r="J574" s="295">
        <v>0.145616</v>
      </c>
      <c r="K574" s="295">
        <v>0.15523799999999999</v>
      </c>
      <c r="L574" s="295">
        <v>0.16494300000000001</v>
      </c>
      <c r="M574" s="295">
        <v>0.17486399999999999</v>
      </c>
      <c r="N574" s="295">
        <v>0.185082</v>
      </c>
      <c r="O574" s="295">
        <v>0.19552700000000001</v>
      </c>
      <c r="P574" s="295">
        <v>0.20619000000000001</v>
      </c>
      <c r="Q574" s="295">
        <v>0.217114</v>
      </c>
      <c r="R574" s="295">
        <v>0.22825300000000001</v>
      </c>
      <c r="S574" s="295">
        <v>0.23962600000000001</v>
      </c>
      <c r="T574" s="295">
        <v>0.25120300000000001</v>
      </c>
      <c r="U574" s="295">
        <v>0.26299899999999998</v>
      </c>
      <c r="V574" s="295">
        <v>0.275007</v>
      </c>
      <c r="W574" s="295">
        <v>0.287302</v>
      </c>
      <c r="X574" s="295">
        <v>0.29986499999999999</v>
      </c>
      <c r="Y574" s="295">
        <v>0.31278499999999998</v>
      </c>
      <c r="Z574" s="295">
        <v>0.326067</v>
      </c>
      <c r="AA574" s="295">
        <v>0.33971499999999999</v>
      </c>
      <c r="AB574" s="295">
        <v>0.35381099999999999</v>
      </c>
      <c r="AC574" s="295">
        <v>0.36832900000000002</v>
      </c>
      <c r="AD574" s="295">
        <v>0.38323400000000002</v>
      </c>
      <c r="AE574" s="295">
        <v>0.39861600000000003</v>
      </c>
      <c r="AF574" s="295">
        <v>0.41442000000000001</v>
      </c>
      <c r="AG574" s="295">
        <v>0.43064400000000003</v>
      </c>
      <c r="AH574" s="296">
        <v>5.8546000000000001E-2</v>
      </c>
    </row>
    <row r="575" spans="1:34" ht="15" customHeight="1" x14ac:dyDescent="0.2">
      <c r="A575" s="213" t="s">
        <v>1442</v>
      </c>
      <c r="B575" s="204" t="s">
        <v>1443</v>
      </c>
      <c r="C575" s="205">
        <v>5.0528120000000003</v>
      </c>
      <c r="D575" s="205">
        <v>5.085636</v>
      </c>
      <c r="E575" s="205">
        <v>5.0914270000000004</v>
      </c>
      <c r="F575" s="205">
        <v>5.1018290000000004</v>
      </c>
      <c r="G575" s="205">
        <v>5.1158520000000003</v>
      </c>
      <c r="H575" s="205">
        <v>5.13157</v>
      </c>
      <c r="I575" s="205">
        <v>5.1538719999999998</v>
      </c>
      <c r="J575" s="205">
        <v>5.1759310000000003</v>
      </c>
      <c r="K575" s="205">
        <v>5.2016039999999997</v>
      </c>
      <c r="L575" s="205">
        <v>5.2291639999999999</v>
      </c>
      <c r="M575" s="205">
        <v>5.2581110000000004</v>
      </c>
      <c r="N575" s="205">
        <v>5.2903250000000002</v>
      </c>
      <c r="O575" s="205">
        <v>5.3264959999999997</v>
      </c>
      <c r="P575" s="205">
        <v>5.3610249999999997</v>
      </c>
      <c r="Q575" s="205">
        <v>5.4007069999999997</v>
      </c>
      <c r="R575" s="205">
        <v>5.4423269999999997</v>
      </c>
      <c r="S575" s="205">
        <v>5.4872639999999997</v>
      </c>
      <c r="T575" s="205">
        <v>5.5346159999999998</v>
      </c>
      <c r="U575" s="205">
        <v>5.5827669999999996</v>
      </c>
      <c r="V575" s="205">
        <v>5.6307609999999997</v>
      </c>
      <c r="W575" s="205">
        <v>5.6749599999999996</v>
      </c>
      <c r="X575" s="205">
        <v>5.7188179999999997</v>
      </c>
      <c r="Y575" s="205">
        <v>5.7636900000000004</v>
      </c>
      <c r="Z575" s="205">
        <v>5.8130790000000001</v>
      </c>
      <c r="AA575" s="205">
        <v>5.8629239999999996</v>
      </c>
      <c r="AB575" s="205">
        <v>5.9123900000000003</v>
      </c>
      <c r="AC575" s="205">
        <v>5.9637409999999997</v>
      </c>
      <c r="AD575" s="205">
        <v>6.0139399999999998</v>
      </c>
      <c r="AE575" s="205">
        <v>6.065893</v>
      </c>
      <c r="AF575" s="205">
        <v>6.1203500000000002</v>
      </c>
      <c r="AG575" s="205">
        <v>6.1783489999999999</v>
      </c>
      <c r="AH575" s="206">
        <v>6.7260000000000002E-3</v>
      </c>
    </row>
    <row r="577" spans="1:34" ht="15" customHeight="1" x14ac:dyDescent="0.2">
      <c r="B577" s="204" t="s">
        <v>1444</v>
      </c>
    </row>
    <row r="578" spans="1:34" ht="15" customHeight="1" x14ac:dyDescent="0.25">
      <c r="A578" s="213" t="s">
        <v>1445</v>
      </c>
      <c r="B578" s="294" t="s">
        <v>1411</v>
      </c>
      <c r="C578" s="295">
        <v>3.527199</v>
      </c>
      <c r="D578" s="295">
        <v>3.4057520000000001</v>
      </c>
      <c r="E578" s="295">
        <v>3.5360100000000001</v>
      </c>
      <c r="F578" s="295">
        <v>3.5237479999999999</v>
      </c>
      <c r="G578" s="295">
        <v>3.5176630000000002</v>
      </c>
      <c r="H578" s="295">
        <v>3.5057489999999998</v>
      </c>
      <c r="I578" s="295">
        <v>3.4871020000000001</v>
      </c>
      <c r="J578" s="295">
        <v>3.4671780000000001</v>
      </c>
      <c r="K578" s="295">
        <v>3.4485100000000002</v>
      </c>
      <c r="L578" s="295">
        <v>3.4296259999999998</v>
      </c>
      <c r="M578" s="295">
        <v>3.4080279999999998</v>
      </c>
      <c r="N578" s="295">
        <v>3.3900229999999998</v>
      </c>
      <c r="O578" s="295">
        <v>3.374133</v>
      </c>
      <c r="P578" s="295">
        <v>3.3583090000000002</v>
      </c>
      <c r="Q578" s="295">
        <v>3.342819</v>
      </c>
      <c r="R578" s="295">
        <v>3.3296060000000001</v>
      </c>
      <c r="S578" s="295">
        <v>3.317669</v>
      </c>
      <c r="T578" s="295">
        <v>3.3060640000000001</v>
      </c>
      <c r="U578" s="295">
        <v>3.2952810000000001</v>
      </c>
      <c r="V578" s="295">
        <v>3.2849910000000002</v>
      </c>
      <c r="W578" s="295">
        <v>3.276392</v>
      </c>
      <c r="X578" s="295">
        <v>3.2678569999999998</v>
      </c>
      <c r="Y578" s="295">
        <v>3.259522</v>
      </c>
      <c r="Z578" s="295">
        <v>3.2511260000000002</v>
      </c>
      <c r="AA578" s="295">
        <v>3.2432150000000002</v>
      </c>
      <c r="AB578" s="295">
        <v>3.2346189999999999</v>
      </c>
      <c r="AC578" s="295">
        <v>3.2260719999999998</v>
      </c>
      <c r="AD578" s="295">
        <v>3.2166320000000002</v>
      </c>
      <c r="AE578" s="295">
        <v>3.2067160000000001</v>
      </c>
      <c r="AF578" s="295">
        <v>3.1958169999999999</v>
      </c>
      <c r="AG578" s="295">
        <v>3.1848869999999998</v>
      </c>
      <c r="AH578" s="296">
        <v>-3.3969999999999998E-3</v>
      </c>
    </row>
    <row r="579" spans="1:34" ht="15" customHeight="1" x14ac:dyDescent="0.25">
      <c r="A579" s="213" t="s">
        <v>1446</v>
      </c>
      <c r="B579" s="294" t="s">
        <v>1413</v>
      </c>
      <c r="C579" s="295">
        <v>5.8618000000000003E-2</v>
      </c>
      <c r="D579" s="295">
        <v>5.5470999999999999E-2</v>
      </c>
      <c r="E579" s="295">
        <v>6.0270999999999998E-2</v>
      </c>
      <c r="F579" s="295">
        <v>6.0037E-2</v>
      </c>
      <c r="G579" s="295">
        <v>5.9880999999999997E-2</v>
      </c>
      <c r="H579" s="295">
        <v>5.9658000000000003E-2</v>
      </c>
      <c r="I579" s="295">
        <v>5.9376999999999999E-2</v>
      </c>
      <c r="J579" s="295">
        <v>5.9109000000000002E-2</v>
      </c>
      <c r="K579" s="295">
        <v>5.8878E-2</v>
      </c>
      <c r="L579" s="295">
        <v>5.8652000000000003E-2</v>
      </c>
      <c r="M579" s="295">
        <v>5.8368000000000003E-2</v>
      </c>
      <c r="N579" s="295">
        <v>5.8111000000000003E-2</v>
      </c>
      <c r="O579" s="295">
        <v>5.7869999999999998E-2</v>
      </c>
      <c r="P579" s="295">
        <v>5.7610000000000001E-2</v>
      </c>
      <c r="Q579" s="295">
        <v>5.7396999999999997E-2</v>
      </c>
      <c r="R579" s="295">
        <v>5.7278999999999997E-2</v>
      </c>
      <c r="S579" s="295">
        <v>5.7263000000000001E-2</v>
      </c>
      <c r="T579" s="295">
        <v>5.7386E-2</v>
      </c>
      <c r="U579" s="295">
        <v>5.7528000000000003E-2</v>
      </c>
      <c r="V579" s="295">
        <v>5.7692E-2</v>
      </c>
      <c r="W579" s="295">
        <v>5.7879E-2</v>
      </c>
      <c r="X579" s="295">
        <v>5.8028000000000003E-2</v>
      </c>
      <c r="Y579" s="295">
        <v>5.8203999999999999E-2</v>
      </c>
      <c r="Z579" s="295">
        <v>5.8355999999999998E-2</v>
      </c>
      <c r="AA579" s="295">
        <v>5.8546000000000001E-2</v>
      </c>
      <c r="AB579" s="295">
        <v>5.8698E-2</v>
      </c>
      <c r="AC579" s="295">
        <v>5.8871E-2</v>
      </c>
      <c r="AD579" s="295">
        <v>5.9020999999999997E-2</v>
      </c>
      <c r="AE579" s="295">
        <v>5.9200000000000003E-2</v>
      </c>
      <c r="AF579" s="295">
        <v>5.9353000000000003E-2</v>
      </c>
      <c r="AG579" s="295">
        <v>5.9526999999999997E-2</v>
      </c>
      <c r="AH579" s="296">
        <v>5.13E-4</v>
      </c>
    </row>
    <row r="580" spans="1:34" ht="15" customHeight="1" x14ac:dyDescent="0.25">
      <c r="A580" s="213" t="s">
        <v>1447</v>
      </c>
      <c r="B580" s="294" t="s">
        <v>1415</v>
      </c>
      <c r="C580" s="295">
        <v>1.0072779999999999</v>
      </c>
      <c r="D580" s="295">
        <v>1.004974</v>
      </c>
      <c r="E580" s="295">
        <v>1.006877</v>
      </c>
      <c r="F580" s="295">
        <v>1.01111</v>
      </c>
      <c r="G580" s="295">
        <v>1.0180279999999999</v>
      </c>
      <c r="H580" s="295">
        <v>1.0250300000000001</v>
      </c>
      <c r="I580" s="295">
        <v>1.031625</v>
      </c>
      <c r="J580" s="295">
        <v>1.0381689999999999</v>
      </c>
      <c r="K580" s="295">
        <v>1.0453809999999999</v>
      </c>
      <c r="L580" s="295">
        <v>1.053167</v>
      </c>
      <c r="M580" s="295">
        <v>1.0591699999999999</v>
      </c>
      <c r="N580" s="295">
        <v>1.065634</v>
      </c>
      <c r="O580" s="295">
        <v>1.072573</v>
      </c>
      <c r="P580" s="295">
        <v>1.0795030000000001</v>
      </c>
      <c r="Q580" s="295">
        <v>1.086028</v>
      </c>
      <c r="R580" s="295">
        <v>1.0926400000000001</v>
      </c>
      <c r="S580" s="295">
        <v>1.0990200000000001</v>
      </c>
      <c r="T580" s="295">
        <v>1.10493</v>
      </c>
      <c r="U580" s="295">
        <v>1.1103209999999999</v>
      </c>
      <c r="V580" s="295">
        <v>1.1154580000000001</v>
      </c>
      <c r="W580" s="295">
        <v>1.1206370000000001</v>
      </c>
      <c r="X580" s="295">
        <v>1.1257029999999999</v>
      </c>
      <c r="Y580" s="295">
        <v>1.130949</v>
      </c>
      <c r="Z580" s="295">
        <v>1.1364289999999999</v>
      </c>
      <c r="AA580" s="295">
        <v>1.142382</v>
      </c>
      <c r="AB580" s="295">
        <v>1.1484840000000001</v>
      </c>
      <c r="AC580" s="295">
        <v>1.1548369999999999</v>
      </c>
      <c r="AD580" s="295">
        <v>1.161232</v>
      </c>
      <c r="AE580" s="295">
        <v>1.1676530000000001</v>
      </c>
      <c r="AF580" s="295">
        <v>1.1739379999999999</v>
      </c>
      <c r="AG580" s="295">
        <v>1.180177</v>
      </c>
      <c r="AH580" s="296">
        <v>5.2940000000000001E-3</v>
      </c>
    </row>
    <row r="581" spans="1:34" ht="15" customHeight="1" x14ac:dyDescent="0.25">
      <c r="A581" s="213" t="s">
        <v>1448</v>
      </c>
      <c r="B581" s="294" t="s">
        <v>1419</v>
      </c>
      <c r="C581" s="295">
        <v>0.10345600000000001</v>
      </c>
      <c r="D581" s="295">
        <v>0.103328</v>
      </c>
      <c r="E581" s="295">
        <v>0.10348599999999999</v>
      </c>
      <c r="F581" s="295">
        <v>0.103627</v>
      </c>
      <c r="G581" s="295">
        <v>0.103771</v>
      </c>
      <c r="H581" s="295">
        <v>0.10394200000000001</v>
      </c>
      <c r="I581" s="295">
        <v>0.104106</v>
      </c>
      <c r="J581" s="295">
        <v>0.10424600000000001</v>
      </c>
      <c r="K581" s="295">
        <v>0.10439900000000001</v>
      </c>
      <c r="L581" s="295">
        <v>0.10462299999999999</v>
      </c>
      <c r="M581" s="295">
        <v>0.104916</v>
      </c>
      <c r="N581" s="295">
        <v>0.105296</v>
      </c>
      <c r="O581" s="295">
        <v>0.10577300000000001</v>
      </c>
      <c r="P581" s="295">
        <v>0.106349</v>
      </c>
      <c r="Q581" s="295">
        <v>0.106974</v>
      </c>
      <c r="R581" s="295">
        <v>0.10766100000000001</v>
      </c>
      <c r="S581" s="295">
        <v>0.108391</v>
      </c>
      <c r="T581" s="295">
        <v>0.10916099999999999</v>
      </c>
      <c r="U581" s="295">
        <v>0.10995199999999999</v>
      </c>
      <c r="V581" s="295">
        <v>0.110763</v>
      </c>
      <c r="W581" s="295">
        <v>0.11160299999999999</v>
      </c>
      <c r="X581" s="295">
        <v>0.112468</v>
      </c>
      <c r="Y581" s="295">
        <v>0.113362</v>
      </c>
      <c r="Z581" s="295">
        <v>0.114289</v>
      </c>
      <c r="AA581" s="295">
        <v>0.115247</v>
      </c>
      <c r="AB581" s="295">
        <v>0.116229</v>
      </c>
      <c r="AC581" s="295">
        <v>0.11722399999999999</v>
      </c>
      <c r="AD581" s="295">
        <v>0.11822299999999999</v>
      </c>
      <c r="AE581" s="295">
        <v>0.119216</v>
      </c>
      <c r="AF581" s="295">
        <v>0.120198</v>
      </c>
      <c r="AG581" s="295">
        <v>0.121161</v>
      </c>
      <c r="AH581" s="296">
        <v>5.2789999999999998E-3</v>
      </c>
    </row>
    <row r="582" spans="1:34" ht="15" customHeight="1" x14ac:dyDescent="0.25">
      <c r="A582" s="213" t="s">
        <v>1449</v>
      </c>
      <c r="B582" s="294" t="s">
        <v>1421</v>
      </c>
      <c r="C582" s="295">
        <v>3.9426999999999997E-2</v>
      </c>
      <c r="D582" s="295">
        <v>3.9823999999999998E-2</v>
      </c>
      <c r="E582" s="295">
        <v>4.0362000000000002E-2</v>
      </c>
      <c r="F582" s="295">
        <v>4.0979000000000002E-2</v>
      </c>
      <c r="G582" s="295">
        <v>4.1686000000000001E-2</v>
      </c>
      <c r="H582" s="295">
        <v>4.2375999999999997E-2</v>
      </c>
      <c r="I582" s="295">
        <v>4.3043999999999999E-2</v>
      </c>
      <c r="J582" s="295">
        <v>4.3714000000000003E-2</v>
      </c>
      <c r="K582" s="295">
        <v>4.4368999999999999E-2</v>
      </c>
      <c r="L582" s="295">
        <v>4.5012999999999997E-2</v>
      </c>
      <c r="M582" s="295">
        <v>4.5546000000000003E-2</v>
      </c>
      <c r="N582" s="295">
        <v>4.6134000000000001E-2</v>
      </c>
      <c r="O582" s="295">
        <v>4.6761999999999998E-2</v>
      </c>
      <c r="P582" s="295">
        <v>4.7405999999999997E-2</v>
      </c>
      <c r="Q582" s="295">
        <v>4.8042000000000001E-2</v>
      </c>
      <c r="R582" s="295">
        <v>4.8680000000000001E-2</v>
      </c>
      <c r="S582" s="295">
        <v>4.9308999999999999E-2</v>
      </c>
      <c r="T582" s="295">
        <v>4.9957000000000001E-2</v>
      </c>
      <c r="U582" s="295">
        <v>5.0618999999999997E-2</v>
      </c>
      <c r="V582" s="295">
        <v>5.1295E-2</v>
      </c>
      <c r="W582" s="295">
        <v>5.1991000000000002E-2</v>
      </c>
      <c r="X582" s="295">
        <v>5.2693999999999998E-2</v>
      </c>
      <c r="Y582" s="295">
        <v>5.3405000000000001E-2</v>
      </c>
      <c r="Z582" s="295">
        <v>5.4120000000000001E-2</v>
      </c>
      <c r="AA582" s="295">
        <v>5.4841000000000001E-2</v>
      </c>
      <c r="AB582" s="295">
        <v>5.5551999999999997E-2</v>
      </c>
      <c r="AC582" s="295">
        <v>5.6256E-2</v>
      </c>
      <c r="AD582" s="295">
        <v>5.6944000000000002E-2</v>
      </c>
      <c r="AE582" s="295">
        <v>5.7619999999999998E-2</v>
      </c>
      <c r="AF582" s="295">
        <v>5.8278000000000003E-2</v>
      </c>
      <c r="AG582" s="295">
        <v>5.8927E-2</v>
      </c>
      <c r="AH582" s="296">
        <v>1.3485E-2</v>
      </c>
    </row>
    <row r="583" spans="1:34" ht="15" customHeight="1" x14ac:dyDescent="0.25">
      <c r="A583" s="213" t="s">
        <v>1450</v>
      </c>
      <c r="B583" s="294" t="s">
        <v>1451</v>
      </c>
      <c r="C583" s="295">
        <v>0.233372</v>
      </c>
      <c r="D583" s="295">
        <v>0.23203499999999999</v>
      </c>
      <c r="E583" s="295">
        <v>0.23141100000000001</v>
      </c>
      <c r="F583" s="295">
        <v>0.23120599999999999</v>
      </c>
      <c r="G583" s="295">
        <v>0.231351</v>
      </c>
      <c r="H583" s="295">
        <v>0.23127300000000001</v>
      </c>
      <c r="I583" s="295">
        <v>0.23091</v>
      </c>
      <c r="J583" s="295">
        <v>0.23035900000000001</v>
      </c>
      <c r="K583" s="295">
        <v>0.229736</v>
      </c>
      <c r="L583" s="295">
        <v>0.22905800000000001</v>
      </c>
      <c r="M583" s="295">
        <v>0.22772700000000001</v>
      </c>
      <c r="N583" s="295">
        <v>0.226713</v>
      </c>
      <c r="O583" s="295">
        <v>0.225941</v>
      </c>
      <c r="P583" s="295">
        <v>0.22534699999999999</v>
      </c>
      <c r="Q583" s="295">
        <v>0.224801</v>
      </c>
      <c r="R583" s="295">
        <v>0.22434000000000001</v>
      </c>
      <c r="S583" s="295">
        <v>0.22394800000000001</v>
      </c>
      <c r="T583" s="295">
        <v>0.22357299999999999</v>
      </c>
      <c r="U583" s="295">
        <v>0.223191</v>
      </c>
      <c r="V583" s="295">
        <v>0.22281699999999999</v>
      </c>
      <c r="W583" s="295">
        <v>0.22247</v>
      </c>
      <c r="X583" s="295">
        <v>0.22211700000000001</v>
      </c>
      <c r="Y583" s="295">
        <v>0.221776</v>
      </c>
      <c r="Z583" s="295">
        <v>0.22144</v>
      </c>
      <c r="AA583" s="295">
        <v>0.22111600000000001</v>
      </c>
      <c r="AB583" s="295">
        <v>0.22075900000000001</v>
      </c>
      <c r="AC583" s="295">
        <v>0.22040299999999999</v>
      </c>
      <c r="AD583" s="295">
        <v>0.22001899999999999</v>
      </c>
      <c r="AE583" s="295">
        <v>0.21961600000000001</v>
      </c>
      <c r="AF583" s="295">
        <v>0.21917800000000001</v>
      </c>
      <c r="AG583" s="295">
        <v>0.21873200000000001</v>
      </c>
      <c r="AH583" s="296">
        <v>-2.1570000000000001E-3</v>
      </c>
    </row>
    <row r="584" spans="1:34" ht="15" customHeight="1" x14ac:dyDescent="0.2">
      <c r="A584" s="213" t="s">
        <v>1452</v>
      </c>
      <c r="B584" s="204" t="s">
        <v>1047</v>
      </c>
      <c r="C584" s="205">
        <v>4.9693500000000004</v>
      </c>
      <c r="D584" s="205">
        <v>4.8413839999999997</v>
      </c>
      <c r="E584" s="205">
        <v>4.9784160000000002</v>
      </c>
      <c r="F584" s="205">
        <v>4.970707</v>
      </c>
      <c r="G584" s="205">
        <v>4.9723800000000002</v>
      </c>
      <c r="H584" s="205">
        <v>4.9680289999999996</v>
      </c>
      <c r="I584" s="205">
        <v>4.9561640000000002</v>
      </c>
      <c r="J584" s="205">
        <v>4.9427760000000003</v>
      </c>
      <c r="K584" s="205">
        <v>4.931273</v>
      </c>
      <c r="L584" s="205">
        <v>4.9201389999999998</v>
      </c>
      <c r="M584" s="205">
        <v>4.9037559999999996</v>
      </c>
      <c r="N584" s="205">
        <v>4.8919119999999996</v>
      </c>
      <c r="O584" s="205">
        <v>4.8830520000000002</v>
      </c>
      <c r="P584" s="205">
        <v>4.8745240000000001</v>
      </c>
      <c r="Q584" s="205">
        <v>4.8660610000000002</v>
      </c>
      <c r="R584" s="205">
        <v>4.8602069999999999</v>
      </c>
      <c r="S584" s="205">
        <v>4.8555999999999999</v>
      </c>
      <c r="T584" s="205">
        <v>4.8510710000000001</v>
      </c>
      <c r="U584" s="205">
        <v>4.8468929999999997</v>
      </c>
      <c r="V584" s="205">
        <v>4.8430160000000004</v>
      </c>
      <c r="W584" s="205">
        <v>4.8409740000000001</v>
      </c>
      <c r="X584" s="205">
        <v>4.8388660000000003</v>
      </c>
      <c r="Y584" s="205">
        <v>4.837218</v>
      </c>
      <c r="Z584" s="205">
        <v>4.8357599999999996</v>
      </c>
      <c r="AA584" s="205">
        <v>4.8353489999999999</v>
      </c>
      <c r="AB584" s="205">
        <v>4.8343420000000004</v>
      </c>
      <c r="AC584" s="205">
        <v>4.8336639999999997</v>
      </c>
      <c r="AD584" s="205">
        <v>4.8320689999999997</v>
      </c>
      <c r="AE584" s="205">
        <v>4.8300200000000002</v>
      </c>
      <c r="AF584" s="205">
        <v>4.8267600000000002</v>
      </c>
      <c r="AG584" s="205">
        <v>4.82341</v>
      </c>
      <c r="AH584" s="206">
        <v>-9.9299999999999996E-4</v>
      </c>
    </row>
    <row r="586" spans="1:34" ht="15" customHeight="1" x14ac:dyDescent="0.2">
      <c r="B586" s="204" t="s">
        <v>1453</v>
      </c>
    </row>
    <row r="587" spans="1:34" ht="15" customHeight="1" x14ac:dyDescent="0.25">
      <c r="A587" s="213" t="s">
        <v>1454</v>
      </c>
      <c r="B587" s="294" t="s">
        <v>1411</v>
      </c>
      <c r="C587" s="295">
        <v>0.37266500000000002</v>
      </c>
      <c r="D587" s="295">
        <v>0.39995700000000001</v>
      </c>
      <c r="E587" s="295">
        <v>0.39926899999999999</v>
      </c>
      <c r="F587" s="295">
        <v>0.38784400000000002</v>
      </c>
      <c r="G587" s="295">
        <v>0.37701299999999999</v>
      </c>
      <c r="H587" s="295">
        <v>0.36751</v>
      </c>
      <c r="I587" s="295">
        <v>0.35896400000000001</v>
      </c>
      <c r="J587" s="295">
        <v>0.35164899999999999</v>
      </c>
      <c r="K587" s="295">
        <v>0.34474900000000003</v>
      </c>
      <c r="L587" s="295">
        <v>0.33844299999999999</v>
      </c>
      <c r="M587" s="295">
        <v>0.33236199999999999</v>
      </c>
      <c r="N587" s="295">
        <v>0.32668700000000001</v>
      </c>
      <c r="O587" s="295">
        <v>0.32118000000000002</v>
      </c>
      <c r="P587" s="295">
        <v>0.31600400000000001</v>
      </c>
      <c r="Q587" s="295">
        <v>0.311029</v>
      </c>
      <c r="R587" s="295">
        <v>0.306369</v>
      </c>
      <c r="S587" s="295">
        <v>0.301784</v>
      </c>
      <c r="T587" s="295">
        <v>0.29721599999999998</v>
      </c>
      <c r="U587" s="295">
        <v>0.29270499999999999</v>
      </c>
      <c r="V587" s="295">
        <v>0.28850999999999999</v>
      </c>
      <c r="W587" s="295">
        <v>0.28425899999999998</v>
      </c>
      <c r="X587" s="295">
        <v>0.28003699999999998</v>
      </c>
      <c r="Y587" s="295">
        <v>0.27586100000000002</v>
      </c>
      <c r="Z587" s="295">
        <v>0.27163999999999999</v>
      </c>
      <c r="AA587" s="295">
        <v>0.26762599999999998</v>
      </c>
      <c r="AB587" s="295">
        <v>0.26367499999999999</v>
      </c>
      <c r="AC587" s="295">
        <v>0.25955699999999998</v>
      </c>
      <c r="AD587" s="295">
        <v>0.25536199999999998</v>
      </c>
      <c r="AE587" s="295">
        <v>0.25132900000000002</v>
      </c>
      <c r="AF587" s="295">
        <v>0.247337</v>
      </c>
      <c r="AG587" s="295">
        <v>0.243419</v>
      </c>
      <c r="AH587" s="296">
        <v>-1.4095999999999999E-2</v>
      </c>
    </row>
    <row r="588" spans="1:34" ht="15" customHeight="1" x14ac:dyDescent="0.25">
      <c r="A588" s="213" t="s">
        <v>1455</v>
      </c>
      <c r="B588" s="294" t="s">
        <v>1415</v>
      </c>
      <c r="C588" s="295">
        <v>4.8758000000000003E-2</v>
      </c>
      <c r="D588" s="295">
        <v>4.7106000000000002E-2</v>
      </c>
      <c r="E588" s="295">
        <v>4.5185999999999997E-2</v>
      </c>
      <c r="F588" s="295">
        <v>4.2962E-2</v>
      </c>
      <c r="G588" s="295">
        <v>4.0973999999999997E-2</v>
      </c>
      <c r="H588" s="295">
        <v>3.9324999999999999E-2</v>
      </c>
      <c r="I588" s="295">
        <v>3.7949999999999998E-2</v>
      </c>
      <c r="J588" s="295">
        <v>3.6873000000000003E-2</v>
      </c>
      <c r="K588" s="295">
        <v>3.5999000000000003E-2</v>
      </c>
      <c r="L588" s="295">
        <v>3.5348999999999998E-2</v>
      </c>
      <c r="M588" s="295">
        <v>3.4874000000000002E-2</v>
      </c>
      <c r="N588" s="295">
        <v>3.4368000000000003E-2</v>
      </c>
      <c r="O588" s="295">
        <v>3.3827000000000003E-2</v>
      </c>
      <c r="P588" s="295">
        <v>3.3281999999999999E-2</v>
      </c>
      <c r="Q588" s="295">
        <v>3.2730000000000002E-2</v>
      </c>
      <c r="R588" s="295">
        <v>3.2176000000000003E-2</v>
      </c>
      <c r="S588" s="295">
        <v>3.1614000000000003E-2</v>
      </c>
      <c r="T588" s="295">
        <v>3.1032000000000001E-2</v>
      </c>
      <c r="U588" s="295">
        <v>3.0442E-2</v>
      </c>
      <c r="V588" s="295">
        <v>2.9881000000000001E-2</v>
      </c>
      <c r="W588" s="295">
        <v>2.9309999999999999E-2</v>
      </c>
      <c r="X588" s="295">
        <v>2.8753000000000001E-2</v>
      </c>
      <c r="Y588" s="295">
        <v>2.8226999999999999E-2</v>
      </c>
      <c r="Z588" s="295">
        <v>2.7720999999999999E-2</v>
      </c>
      <c r="AA588" s="295">
        <v>2.7262999999999999E-2</v>
      </c>
      <c r="AB588" s="295">
        <v>2.6834E-2</v>
      </c>
      <c r="AC588" s="295">
        <v>2.6407E-2</v>
      </c>
      <c r="AD588" s="295">
        <v>2.5998E-2</v>
      </c>
      <c r="AE588" s="295">
        <v>2.5621999999999999E-2</v>
      </c>
      <c r="AF588" s="295">
        <v>2.5257999999999999E-2</v>
      </c>
      <c r="AG588" s="295">
        <v>2.4912E-2</v>
      </c>
      <c r="AH588" s="296">
        <v>-2.2135999999999999E-2</v>
      </c>
    </row>
    <row r="589" spans="1:34" ht="15" customHeight="1" x14ac:dyDescent="0.25">
      <c r="A589" s="213" t="s">
        <v>1456</v>
      </c>
      <c r="B589" s="294" t="s">
        <v>1457</v>
      </c>
      <c r="C589" s="295">
        <v>7.8510000000000003E-3</v>
      </c>
      <c r="D589" s="295">
        <v>7.9019999999999993E-3</v>
      </c>
      <c r="E589" s="295">
        <v>7.8840000000000004E-3</v>
      </c>
      <c r="F589" s="295">
        <v>7.7879999999999998E-3</v>
      </c>
      <c r="G589" s="295">
        <v>7.6940000000000003E-3</v>
      </c>
      <c r="H589" s="295">
        <v>7.62E-3</v>
      </c>
      <c r="I589" s="295">
        <v>7.561E-3</v>
      </c>
      <c r="J589" s="295">
        <v>7.5189999999999996E-3</v>
      </c>
      <c r="K589" s="295">
        <v>7.4799999999999997E-3</v>
      </c>
      <c r="L589" s="295">
        <v>7.4469999999999996E-3</v>
      </c>
      <c r="M589" s="295">
        <v>7.4139999999999996E-3</v>
      </c>
      <c r="N589" s="295">
        <v>7.3850000000000001E-3</v>
      </c>
      <c r="O589" s="295">
        <v>7.3559999999999997E-3</v>
      </c>
      <c r="P589" s="295">
        <v>7.3299999999999997E-3</v>
      </c>
      <c r="Q589" s="295">
        <v>7.3070000000000001E-3</v>
      </c>
      <c r="R589" s="295">
        <v>7.2870000000000001E-3</v>
      </c>
      <c r="S589" s="295">
        <v>7.2659999999999999E-3</v>
      </c>
      <c r="T589" s="295">
        <v>7.2430000000000003E-3</v>
      </c>
      <c r="U589" s="295">
        <v>7.2179999999999996E-3</v>
      </c>
      <c r="V589" s="295">
        <v>7.1980000000000004E-3</v>
      </c>
      <c r="W589" s="295">
        <v>7.1729999999999997E-3</v>
      </c>
      <c r="X589" s="295">
        <v>7.1479999999999998E-3</v>
      </c>
      <c r="Y589" s="295">
        <v>7.1250000000000003E-3</v>
      </c>
      <c r="Z589" s="295">
        <v>7.1009999999999997E-3</v>
      </c>
      <c r="AA589" s="295">
        <v>7.0829999999999999E-3</v>
      </c>
      <c r="AB589" s="295">
        <v>7.0670000000000004E-3</v>
      </c>
      <c r="AC589" s="295">
        <v>7.0460000000000002E-3</v>
      </c>
      <c r="AD589" s="295">
        <v>7.025E-3</v>
      </c>
      <c r="AE589" s="295">
        <v>7.0089999999999996E-3</v>
      </c>
      <c r="AF589" s="295">
        <v>6.9930000000000001E-3</v>
      </c>
      <c r="AG589" s="295">
        <v>6.979E-3</v>
      </c>
      <c r="AH589" s="296">
        <v>-3.9160000000000002E-3</v>
      </c>
    </row>
    <row r="590" spans="1:34" ht="15" customHeight="1" x14ac:dyDescent="0.2">
      <c r="A590" s="213" t="s">
        <v>1458</v>
      </c>
      <c r="B590" s="204" t="s">
        <v>1047</v>
      </c>
      <c r="C590" s="205">
        <v>0.42927399999999999</v>
      </c>
      <c r="D590" s="205">
        <v>0.45496599999999998</v>
      </c>
      <c r="E590" s="205">
        <v>0.45233800000000002</v>
      </c>
      <c r="F590" s="205">
        <v>0.43859300000000001</v>
      </c>
      <c r="G590" s="205">
        <v>0.42568099999999998</v>
      </c>
      <c r="H590" s="205">
        <v>0.41445599999999999</v>
      </c>
      <c r="I590" s="205">
        <v>0.404474</v>
      </c>
      <c r="J590" s="205">
        <v>0.39604200000000001</v>
      </c>
      <c r="K590" s="205">
        <v>0.38822699999999999</v>
      </c>
      <c r="L590" s="205">
        <v>0.38123899999999999</v>
      </c>
      <c r="M590" s="205">
        <v>0.37464900000000001</v>
      </c>
      <c r="N590" s="205">
        <v>0.36843999999999999</v>
      </c>
      <c r="O590" s="205">
        <v>0.36236200000000002</v>
      </c>
      <c r="P590" s="205">
        <v>0.35661599999999999</v>
      </c>
      <c r="Q590" s="205">
        <v>0.35106599999999999</v>
      </c>
      <c r="R590" s="205">
        <v>0.345831</v>
      </c>
      <c r="S590" s="205">
        <v>0.34066400000000002</v>
      </c>
      <c r="T590" s="205">
        <v>0.33549099999999998</v>
      </c>
      <c r="U590" s="205">
        <v>0.33036500000000002</v>
      </c>
      <c r="V590" s="205">
        <v>0.32558900000000002</v>
      </c>
      <c r="W590" s="205">
        <v>0.32074200000000003</v>
      </c>
      <c r="X590" s="205">
        <v>0.315938</v>
      </c>
      <c r="Y590" s="205">
        <v>0.31121300000000002</v>
      </c>
      <c r="Z590" s="205">
        <v>0.30646200000000001</v>
      </c>
      <c r="AA590" s="205">
        <v>0.30197200000000002</v>
      </c>
      <c r="AB590" s="205">
        <v>0.29757499999999998</v>
      </c>
      <c r="AC590" s="205">
        <v>0.29300999999999999</v>
      </c>
      <c r="AD590" s="205">
        <v>0.288385</v>
      </c>
      <c r="AE590" s="205">
        <v>0.28395900000000002</v>
      </c>
      <c r="AF590" s="205">
        <v>0.27958899999999998</v>
      </c>
      <c r="AG590" s="205">
        <v>0.275341</v>
      </c>
      <c r="AH590" s="206">
        <v>-1.4694E-2</v>
      </c>
    </row>
    <row r="592" spans="1:34" ht="15" customHeight="1" x14ac:dyDescent="0.2">
      <c r="B592" s="204" t="s">
        <v>1459</v>
      </c>
    </row>
    <row r="593" spans="1:34" ht="15" customHeight="1" x14ac:dyDescent="0.25">
      <c r="A593" s="213" t="s">
        <v>1460</v>
      </c>
      <c r="B593" s="294" t="s">
        <v>1411</v>
      </c>
      <c r="C593" s="295">
        <v>0.30082599999999998</v>
      </c>
      <c r="D593" s="295">
        <v>0.31928899999999999</v>
      </c>
      <c r="E593" s="295">
        <v>0.31598199999999999</v>
      </c>
      <c r="F593" s="295">
        <v>0.31245099999999998</v>
      </c>
      <c r="G593" s="295">
        <v>0.30869200000000002</v>
      </c>
      <c r="H593" s="295">
        <v>0.304761</v>
      </c>
      <c r="I593" s="295">
        <v>0.30077199999999998</v>
      </c>
      <c r="J593" s="295">
        <v>0.29696899999999998</v>
      </c>
      <c r="K593" s="295">
        <v>0.29325200000000001</v>
      </c>
      <c r="L593" s="295">
        <v>0.28970299999999999</v>
      </c>
      <c r="M593" s="295">
        <v>0.286165</v>
      </c>
      <c r="N593" s="295">
        <v>0.28289900000000001</v>
      </c>
      <c r="O593" s="295">
        <v>0.27976800000000002</v>
      </c>
      <c r="P593" s="295">
        <v>0.27681899999999998</v>
      </c>
      <c r="Q593" s="295">
        <v>0.274063</v>
      </c>
      <c r="R593" s="295">
        <v>0.27155000000000001</v>
      </c>
      <c r="S593" s="295">
        <v>0.26910800000000001</v>
      </c>
      <c r="T593" s="295">
        <v>0.266735</v>
      </c>
      <c r="U593" s="295">
        <v>0.26442300000000002</v>
      </c>
      <c r="V593" s="295">
        <v>0.26218599999999997</v>
      </c>
      <c r="W593" s="295">
        <v>0.26002199999999998</v>
      </c>
      <c r="X593" s="295">
        <v>0.25787500000000002</v>
      </c>
      <c r="Y593" s="295">
        <v>0.25573600000000002</v>
      </c>
      <c r="Z593" s="295">
        <v>0.25361</v>
      </c>
      <c r="AA593" s="295">
        <v>0.25151400000000002</v>
      </c>
      <c r="AB593" s="295">
        <v>0.24953600000000001</v>
      </c>
      <c r="AC593" s="295">
        <v>0.24754699999999999</v>
      </c>
      <c r="AD593" s="295">
        <v>0.24548200000000001</v>
      </c>
      <c r="AE593" s="295">
        <v>0.24343999999999999</v>
      </c>
      <c r="AF593" s="295">
        <v>0.24146599999999999</v>
      </c>
      <c r="AG593" s="295">
        <v>0.23955699999999999</v>
      </c>
      <c r="AH593" s="296">
        <v>-7.5630000000000003E-3</v>
      </c>
    </row>
    <row r="594" spans="1:34" ht="15" customHeight="1" x14ac:dyDescent="0.25">
      <c r="A594" s="213" t="s">
        <v>1461</v>
      </c>
      <c r="B594" s="294" t="s">
        <v>1415</v>
      </c>
      <c r="C594" s="295">
        <v>6.5345E-2</v>
      </c>
      <c r="D594" s="295">
        <v>6.3697000000000004E-2</v>
      </c>
      <c r="E594" s="295">
        <v>6.1963999999999998E-2</v>
      </c>
      <c r="F594" s="295">
        <v>6.0192000000000002E-2</v>
      </c>
      <c r="G594" s="295">
        <v>5.8562000000000003E-2</v>
      </c>
      <c r="H594" s="295">
        <v>5.7089000000000001E-2</v>
      </c>
      <c r="I594" s="295">
        <v>5.5773999999999997E-2</v>
      </c>
      <c r="J594" s="295">
        <v>5.4623999999999999E-2</v>
      </c>
      <c r="K594" s="295">
        <v>5.3608000000000003E-2</v>
      </c>
      <c r="L594" s="295">
        <v>5.2748999999999997E-2</v>
      </c>
      <c r="M594" s="295">
        <v>5.1995E-2</v>
      </c>
      <c r="N594" s="295">
        <v>5.1180999999999997E-2</v>
      </c>
      <c r="O594" s="295">
        <v>5.0317000000000001E-2</v>
      </c>
      <c r="P594" s="295">
        <v>4.9430000000000002E-2</v>
      </c>
      <c r="Q594" s="295">
        <v>4.8529000000000003E-2</v>
      </c>
      <c r="R594" s="295">
        <v>4.7635999999999998E-2</v>
      </c>
      <c r="S594" s="295">
        <v>4.6734999999999999E-2</v>
      </c>
      <c r="T594" s="295">
        <v>4.5836000000000002E-2</v>
      </c>
      <c r="U594" s="295">
        <v>4.4946E-2</v>
      </c>
      <c r="V594" s="295">
        <v>4.4082999999999997E-2</v>
      </c>
      <c r="W594" s="295">
        <v>4.3250999999999998E-2</v>
      </c>
      <c r="X594" s="295">
        <v>4.2452999999999998E-2</v>
      </c>
      <c r="Y594" s="295">
        <v>4.1708000000000002E-2</v>
      </c>
      <c r="Z594" s="295">
        <v>4.1015999999999997E-2</v>
      </c>
      <c r="AA594" s="295">
        <v>4.0382000000000001E-2</v>
      </c>
      <c r="AB594" s="295">
        <v>3.9815000000000003E-2</v>
      </c>
      <c r="AC594" s="295">
        <v>3.9276999999999999E-2</v>
      </c>
      <c r="AD594" s="295">
        <v>3.8758000000000001E-2</v>
      </c>
      <c r="AE594" s="295">
        <v>3.8265E-2</v>
      </c>
      <c r="AF594" s="295">
        <v>3.7802000000000002E-2</v>
      </c>
      <c r="AG594" s="295">
        <v>3.7360999999999998E-2</v>
      </c>
      <c r="AH594" s="296">
        <v>-1.8463E-2</v>
      </c>
    </row>
    <row r="595" spans="1:34" ht="15" customHeight="1" x14ac:dyDescent="0.25">
      <c r="A595" s="213" t="s">
        <v>1462</v>
      </c>
      <c r="B595" s="294" t="s">
        <v>1419</v>
      </c>
      <c r="C595" s="295">
        <v>1.7066999999999999E-2</v>
      </c>
      <c r="D595" s="295">
        <v>1.6858999999999999E-2</v>
      </c>
      <c r="E595" s="295">
        <v>1.6695000000000002E-2</v>
      </c>
      <c r="F595" s="295">
        <v>1.6525000000000001E-2</v>
      </c>
      <c r="G595" s="295">
        <v>1.635E-2</v>
      </c>
      <c r="H595" s="295">
        <v>1.6171000000000001E-2</v>
      </c>
      <c r="I595" s="295">
        <v>1.5983000000000001E-2</v>
      </c>
      <c r="J595" s="295">
        <v>1.5776999999999999E-2</v>
      </c>
      <c r="K595" s="295">
        <v>1.5561E-2</v>
      </c>
      <c r="L595" s="295">
        <v>1.5335E-2</v>
      </c>
      <c r="M595" s="295">
        <v>1.5099E-2</v>
      </c>
      <c r="N595" s="295">
        <v>1.4853999999999999E-2</v>
      </c>
      <c r="O595" s="295">
        <v>1.4605E-2</v>
      </c>
      <c r="P595" s="295">
        <v>1.4394000000000001E-2</v>
      </c>
      <c r="Q595" s="295">
        <v>1.4220999999999999E-2</v>
      </c>
      <c r="R595" s="295">
        <v>1.4089000000000001E-2</v>
      </c>
      <c r="S595" s="295">
        <v>1.3998999999999999E-2</v>
      </c>
      <c r="T595" s="295">
        <v>1.3949E-2</v>
      </c>
      <c r="U595" s="295">
        <v>1.3894E-2</v>
      </c>
      <c r="V595" s="295">
        <v>1.3834000000000001E-2</v>
      </c>
      <c r="W595" s="295">
        <v>1.3769E-2</v>
      </c>
      <c r="X595" s="295">
        <v>1.3698E-2</v>
      </c>
      <c r="Y595" s="295">
        <v>1.3624000000000001E-2</v>
      </c>
      <c r="Z595" s="295">
        <v>1.3547E-2</v>
      </c>
      <c r="AA595" s="295">
        <v>1.3469999999999999E-2</v>
      </c>
      <c r="AB595" s="295">
        <v>1.3395000000000001E-2</v>
      </c>
      <c r="AC595" s="295">
        <v>1.3324000000000001E-2</v>
      </c>
      <c r="AD595" s="295">
        <v>1.3256E-2</v>
      </c>
      <c r="AE595" s="295">
        <v>1.3192000000000001E-2</v>
      </c>
      <c r="AF595" s="295">
        <v>1.3132E-2</v>
      </c>
      <c r="AG595" s="295">
        <v>1.3075E-2</v>
      </c>
      <c r="AH595" s="296">
        <v>-8.8419999999999992E-3</v>
      </c>
    </row>
    <row r="596" spans="1:34" ht="15" customHeight="1" x14ac:dyDescent="0.25">
      <c r="A596" s="213" t="s">
        <v>1463</v>
      </c>
      <c r="B596" s="294" t="s">
        <v>1464</v>
      </c>
      <c r="C596" s="295">
        <v>7.1942000000000006E-2</v>
      </c>
      <c r="D596" s="295">
        <v>7.4200000000000002E-2</v>
      </c>
      <c r="E596" s="295">
        <v>7.6177999999999996E-2</v>
      </c>
      <c r="F596" s="295">
        <v>7.7882999999999994E-2</v>
      </c>
      <c r="G596" s="295">
        <v>7.9518000000000005E-2</v>
      </c>
      <c r="H596" s="295">
        <v>8.1139000000000003E-2</v>
      </c>
      <c r="I596" s="295">
        <v>8.2757999999999998E-2</v>
      </c>
      <c r="J596" s="295">
        <v>8.4404000000000007E-2</v>
      </c>
      <c r="K596" s="295">
        <v>8.6040000000000005E-2</v>
      </c>
      <c r="L596" s="295">
        <v>8.7695999999999996E-2</v>
      </c>
      <c r="M596" s="295">
        <v>8.9279999999999998E-2</v>
      </c>
      <c r="N596" s="295">
        <v>9.0917999999999999E-2</v>
      </c>
      <c r="O596" s="295">
        <v>9.2589000000000005E-2</v>
      </c>
      <c r="P596" s="295">
        <v>9.4302999999999998E-2</v>
      </c>
      <c r="Q596" s="295">
        <v>9.6048999999999995E-2</v>
      </c>
      <c r="R596" s="295">
        <v>9.7841999999999998E-2</v>
      </c>
      <c r="S596" s="295">
        <v>9.9643999999999996E-2</v>
      </c>
      <c r="T596" s="295">
        <v>0.10145</v>
      </c>
      <c r="U596" s="295">
        <v>0.103254</v>
      </c>
      <c r="V596" s="295">
        <v>0.105071</v>
      </c>
      <c r="W596" s="295">
        <v>0.10689</v>
      </c>
      <c r="X596" s="295">
        <v>0.108706</v>
      </c>
      <c r="Y596" s="295">
        <v>0.11054700000000001</v>
      </c>
      <c r="Z596" s="295">
        <v>0.112414</v>
      </c>
      <c r="AA596" s="295">
        <v>0.11432100000000001</v>
      </c>
      <c r="AB596" s="295">
        <v>0.116299</v>
      </c>
      <c r="AC596" s="295">
        <v>0.11827600000000001</v>
      </c>
      <c r="AD596" s="295">
        <v>0.120227</v>
      </c>
      <c r="AE596" s="295">
        <v>0.122188</v>
      </c>
      <c r="AF596" s="295">
        <v>0.12418</v>
      </c>
      <c r="AG596" s="295">
        <v>0.12619900000000001</v>
      </c>
      <c r="AH596" s="296">
        <v>1.891E-2</v>
      </c>
    </row>
    <row r="597" spans="1:34" ht="15" customHeight="1" x14ac:dyDescent="0.2">
      <c r="A597" s="213" t="s">
        <v>1465</v>
      </c>
      <c r="B597" s="204" t="s">
        <v>1047</v>
      </c>
      <c r="C597" s="205">
        <v>0.45517999999999997</v>
      </c>
      <c r="D597" s="205">
        <v>0.47404499999999999</v>
      </c>
      <c r="E597" s="205">
        <v>0.47081800000000001</v>
      </c>
      <c r="F597" s="205">
        <v>0.46705000000000002</v>
      </c>
      <c r="G597" s="205">
        <v>0.46312199999999998</v>
      </c>
      <c r="H597" s="205">
        <v>0.45916000000000001</v>
      </c>
      <c r="I597" s="205">
        <v>0.45528800000000003</v>
      </c>
      <c r="J597" s="205">
        <v>0.45177400000000001</v>
      </c>
      <c r="K597" s="205">
        <v>0.448461</v>
      </c>
      <c r="L597" s="205">
        <v>0.44548300000000002</v>
      </c>
      <c r="M597" s="205">
        <v>0.44253900000000002</v>
      </c>
      <c r="N597" s="205">
        <v>0.43985200000000002</v>
      </c>
      <c r="O597" s="205">
        <v>0.437278</v>
      </c>
      <c r="P597" s="205">
        <v>0.434946</v>
      </c>
      <c r="Q597" s="205">
        <v>0.43286200000000002</v>
      </c>
      <c r="R597" s="205">
        <v>0.43111699999999997</v>
      </c>
      <c r="S597" s="205">
        <v>0.42948599999999998</v>
      </c>
      <c r="T597" s="205">
        <v>0.42797000000000002</v>
      </c>
      <c r="U597" s="205">
        <v>0.42651699999999998</v>
      </c>
      <c r="V597" s="205">
        <v>0.42517300000000002</v>
      </c>
      <c r="W597" s="205">
        <v>0.42393199999999998</v>
      </c>
      <c r="X597" s="205">
        <v>0.422732</v>
      </c>
      <c r="Y597" s="205">
        <v>0.42161500000000002</v>
      </c>
      <c r="Z597" s="205">
        <v>0.42058699999999999</v>
      </c>
      <c r="AA597" s="205">
        <v>0.41968699999999998</v>
      </c>
      <c r="AB597" s="205">
        <v>0.419045</v>
      </c>
      <c r="AC597" s="205">
        <v>0.41842400000000002</v>
      </c>
      <c r="AD597" s="205">
        <v>0.41772300000000001</v>
      </c>
      <c r="AE597" s="205">
        <v>0.41708400000000001</v>
      </c>
      <c r="AF597" s="205">
        <v>0.41658000000000001</v>
      </c>
      <c r="AG597" s="205">
        <v>0.41619200000000001</v>
      </c>
      <c r="AH597" s="206">
        <v>-2.98E-3</v>
      </c>
    </row>
    <row r="599" spans="1:34" ht="15" customHeight="1" x14ac:dyDescent="0.25">
      <c r="A599" s="213" t="s">
        <v>1466</v>
      </c>
      <c r="B599" s="294" t="s">
        <v>1467</v>
      </c>
      <c r="C599" s="295">
        <v>0.45751199999999997</v>
      </c>
      <c r="D599" s="295">
        <v>0.45433299999999999</v>
      </c>
      <c r="E599" s="295">
        <v>0.443909</v>
      </c>
      <c r="F599" s="295">
        <v>0.448911</v>
      </c>
      <c r="G599" s="295">
        <v>0.45432600000000001</v>
      </c>
      <c r="H599" s="295">
        <v>0.456316</v>
      </c>
      <c r="I599" s="295">
        <v>0.45534000000000002</v>
      </c>
      <c r="J599" s="295">
        <v>0.45182099999999997</v>
      </c>
      <c r="K599" s="295">
        <v>0.44889299999999999</v>
      </c>
      <c r="L599" s="295">
        <v>0.444799</v>
      </c>
      <c r="M599" s="295">
        <v>0.44039800000000001</v>
      </c>
      <c r="N599" s="295">
        <v>0.43509900000000001</v>
      </c>
      <c r="O599" s="295">
        <v>0.42979000000000001</v>
      </c>
      <c r="P599" s="295">
        <v>0.423655</v>
      </c>
      <c r="Q599" s="295">
        <v>0.416962</v>
      </c>
      <c r="R599" s="295">
        <v>0.40978399999999998</v>
      </c>
      <c r="S599" s="295">
        <v>0.40250999999999998</v>
      </c>
      <c r="T599" s="295">
        <v>0.39616499999999999</v>
      </c>
      <c r="U599" s="295">
        <v>0.3906</v>
      </c>
      <c r="V599" s="295">
        <v>0.38444800000000001</v>
      </c>
      <c r="W599" s="295">
        <v>0.37942199999999998</v>
      </c>
      <c r="X599" s="295">
        <v>0.37479000000000001</v>
      </c>
      <c r="Y599" s="295">
        <v>0.37020500000000001</v>
      </c>
      <c r="Z599" s="295">
        <v>0.36615700000000001</v>
      </c>
      <c r="AA599" s="295">
        <v>0.36159400000000003</v>
      </c>
      <c r="AB599" s="295">
        <v>0.35714499999999999</v>
      </c>
      <c r="AC599" s="295">
        <v>0.35383199999999998</v>
      </c>
      <c r="AD599" s="295">
        <v>0.35059000000000001</v>
      </c>
      <c r="AE599" s="295">
        <v>0.34657500000000002</v>
      </c>
      <c r="AF599" s="295">
        <v>0.34247</v>
      </c>
      <c r="AG599" s="295">
        <v>0.33811099999999999</v>
      </c>
      <c r="AH599" s="296">
        <v>-1.0030000000000001E-2</v>
      </c>
    </row>
    <row r="601" spans="1:34" ht="15" customHeight="1" x14ac:dyDescent="0.2">
      <c r="B601" s="204" t="s">
        <v>1468</v>
      </c>
    </row>
    <row r="602" spans="1:34" ht="15" customHeight="1" x14ac:dyDescent="0.25">
      <c r="A602" s="213" t="s">
        <v>1469</v>
      </c>
      <c r="B602" s="294" t="s">
        <v>1470</v>
      </c>
      <c r="C602" s="295">
        <v>5.3071780000000004</v>
      </c>
      <c r="D602" s="295">
        <v>5.2776909999999999</v>
      </c>
      <c r="E602" s="295">
        <v>5.4008450000000003</v>
      </c>
      <c r="F602" s="295">
        <v>5.3735330000000001</v>
      </c>
      <c r="G602" s="295">
        <v>5.3547989999999999</v>
      </c>
      <c r="H602" s="295">
        <v>5.3281660000000004</v>
      </c>
      <c r="I602" s="295">
        <v>5.2917920000000001</v>
      </c>
      <c r="J602" s="295">
        <v>5.2524829999999998</v>
      </c>
      <c r="K602" s="295">
        <v>5.2157920000000004</v>
      </c>
      <c r="L602" s="295">
        <v>5.178312</v>
      </c>
      <c r="M602" s="295">
        <v>5.1382300000000001</v>
      </c>
      <c r="N602" s="295">
        <v>5.1017999999999999</v>
      </c>
      <c r="O602" s="295">
        <v>5.0680269999999998</v>
      </c>
      <c r="P602" s="295">
        <v>5.0336550000000004</v>
      </c>
      <c r="Q602" s="295">
        <v>4.9994160000000001</v>
      </c>
      <c r="R602" s="295">
        <v>4.967956</v>
      </c>
      <c r="S602" s="295">
        <v>4.9380519999999999</v>
      </c>
      <c r="T602" s="295">
        <v>4.9096339999999996</v>
      </c>
      <c r="U602" s="295">
        <v>4.8830200000000001</v>
      </c>
      <c r="V602" s="295">
        <v>4.8566219999999998</v>
      </c>
      <c r="W602" s="295">
        <v>4.8331379999999999</v>
      </c>
      <c r="X602" s="295">
        <v>4.8099699999999999</v>
      </c>
      <c r="Y602" s="295">
        <v>4.7870039999999996</v>
      </c>
      <c r="Z602" s="295">
        <v>4.7651260000000004</v>
      </c>
      <c r="AA602" s="295">
        <v>4.7432590000000001</v>
      </c>
      <c r="AB602" s="295">
        <v>4.7208550000000002</v>
      </c>
      <c r="AC602" s="295">
        <v>4.6997249999999999</v>
      </c>
      <c r="AD602" s="295">
        <v>4.6773850000000001</v>
      </c>
      <c r="AE602" s="295">
        <v>4.6539570000000001</v>
      </c>
      <c r="AF602" s="295">
        <v>4.6299510000000001</v>
      </c>
      <c r="AG602" s="295">
        <v>4.606185</v>
      </c>
      <c r="AH602" s="296">
        <v>-4.7109999999999999E-3</v>
      </c>
    </row>
    <row r="603" spans="1:34" ht="15" customHeight="1" x14ac:dyDescent="0.25">
      <c r="A603" s="213" t="s">
        <v>1471</v>
      </c>
      <c r="B603" s="294" t="s">
        <v>1472</v>
      </c>
      <c r="C603" s="295">
        <v>0.86400999999999994</v>
      </c>
      <c r="D603" s="295">
        <v>0.82206500000000005</v>
      </c>
      <c r="E603" s="295">
        <v>0.92145200000000005</v>
      </c>
      <c r="F603" s="295">
        <v>0.93411999999999995</v>
      </c>
      <c r="G603" s="295">
        <v>0.947658</v>
      </c>
      <c r="H603" s="295">
        <v>0.96175600000000006</v>
      </c>
      <c r="I603" s="295">
        <v>0.97531999999999996</v>
      </c>
      <c r="J603" s="295">
        <v>0.98882400000000004</v>
      </c>
      <c r="K603" s="295">
        <v>1.003001</v>
      </c>
      <c r="L603" s="295">
        <v>1.0175190000000001</v>
      </c>
      <c r="M603" s="295">
        <v>1.0325610000000001</v>
      </c>
      <c r="N603" s="295">
        <v>1.0488550000000001</v>
      </c>
      <c r="O603" s="295">
        <v>1.066351</v>
      </c>
      <c r="P603" s="295">
        <v>1.083456</v>
      </c>
      <c r="Q603" s="295">
        <v>1.1011759999999999</v>
      </c>
      <c r="R603" s="295">
        <v>1.12019</v>
      </c>
      <c r="S603" s="295">
        <v>1.140463</v>
      </c>
      <c r="T603" s="295">
        <v>1.162417</v>
      </c>
      <c r="U603" s="295">
        <v>1.1845600000000001</v>
      </c>
      <c r="V603" s="295">
        <v>1.206796</v>
      </c>
      <c r="W603" s="295">
        <v>1.229417</v>
      </c>
      <c r="X603" s="295">
        <v>1.2515080000000001</v>
      </c>
      <c r="Y603" s="295">
        <v>1.2744489999999999</v>
      </c>
      <c r="Z603" s="295">
        <v>1.2983210000000001</v>
      </c>
      <c r="AA603" s="295">
        <v>1.3230759999999999</v>
      </c>
      <c r="AB603" s="295">
        <v>1.3475790000000001</v>
      </c>
      <c r="AC603" s="295">
        <v>1.372817</v>
      </c>
      <c r="AD603" s="295">
        <v>1.3975359999999999</v>
      </c>
      <c r="AE603" s="295">
        <v>1.423424</v>
      </c>
      <c r="AF603" s="295">
        <v>1.4499979999999999</v>
      </c>
      <c r="AG603" s="295">
        <v>1.47831</v>
      </c>
      <c r="AH603" s="296">
        <v>1.8064E-2</v>
      </c>
    </row>
    <row r="604" spans="1:34" ht="15" customHeight="1" x14ac:dyDescent="0.25">
      <c r="A604" s="213" t="s">
        <v>1473</v>
      </c>
      <c r="B604" s="294" t="s">
        <v>1474</v>
      </c>
      <c r="C604" s="295">
        <v>1.7289300000000001</v>
      </c>
      <c r="D604" s="295">
        <v>1.7260500000000001</v>
      </c>
      <c r="E604" s="295">
        <v>1.726513</v>
      </c>
      <c r="F604" s="295">
        <v>1.7275389999999999</v>
      </c>
      <c r="G604" s="295">
        <v>1.7322610000000001</v>
      </c>
      <c r="H604" s="295">
        <v>1.7370019999999999</v>
      </c>
      <c r="I604" s="295">
        <v>1.7408650000000001</v>
      </c>
      <c r="J604" s="295">
        <v>1.7450060000000001</v>
      </c>
      <c r="K604" s="295">
        <v>1.750251</v>
      </c>
      <c r="L604" s="295">
        <v>1.7564249999999999</v>
      </c>
      <c r="M604" s="295">
        <v>1.761485</v>
      </c>
      <c r="N604" s="295">
        <v>1.7673719999999999</v>
      </c>
      <c r="O604" s="295">
        <v>1.774275</v>
      </c>
      <c r="P604" s="295">
        <v>1.780905</v>
      </c>
      <c r="Q604" s="295">
        <v>1.7873349999999999</v>
      </c>
      <c r="R604" s="295">
        <v>1.794287</v>
      </c>
      <c r="S604" s="295">
        <v>1.80158</v>
      </c>
      <c r="T604" s="295">
        <v>1.808705</v>
      </c>
      <c r="U604" s="295">
        <v>1.815571</v>
      </c>
      <c r="V604" s="295">
        <v>1.8219890000000001</v>
      </c>
      <c r="W604" s="295">
        <v>1.828247</v>
      </c>
      <c r="X604" s="295">
        <v>1.8343119999999999</v>
      </c>
      <c r="Y604" s="295">
        <v>1.8405530000000001</v>
      </c>
      <c r="Z604" s="295">
        <v>1.84778</v>
      </c>
      <c r="AA604" s="295">
        <v>1.8555569999999999</v>
      </c>
      <c r="AB604" s="295">
        <v>1.8636379999999999</v>
      </c>
      <c r="AC604" s="295">
        <v>1.8723069999999999</v>
      </c>
      <c r="AD604" s="295">
        <v>1.881035</v>
      </c>
      <c r="AE604" s="295">
        <v>1.890002</v>
      </c>
      <c r="AF604" s="295">
        <v>1.899373</v>
      </c>
      <c r="AG604" s="295">
        <v>1.909216</v>
      </c>
      <c r="AH604" s="296">
        <v>3.3119999999999998E-3</v>
      </c>
    </row>
    <row r="605" spans="1:34" ht="15" customHeight="1" x14ac:dyDescent="0.25">
      <c r="A605" s="213" t="s">
        <v>1475</v>
      </c>
      <c r="B605" s="294" t="s">
        <v>1476</v>
      </c>
      <c r="C605" s="295">
        <v>0.29757099999999997</v>
      </c>
      <c r="D605" s="295">
        <v>0.295346</v>
      </c>
      <c r="E605" s="295">
        <v>0.29378399999999999</v>
      </c>
      <c r="F605" s="295">
        <v>0.29202600000000001</v>
      </c>
      <c r="G605" s="295">
        <v>0.29042400000000002</v>
      </c>
      <c r="H605" s="295">
        <v>0.28908299999999998</v>
      </c>
      <c r="I605" s="295">
        <v>0.28793600000000003</v>
      </c>
      <c r="J605" s="295">
        <v>0.28692200000000001</v>
      </c>
      <c r="K605" s="295">
        <v>0.28607500000000002</v>
      </c>
      <c r="L605" s="295">
        <v>0.28541899999999998</v>
      </c>
      <c r="M605" s="295">
        <v>0.28499999999999998</v>
      </c>
      <c r="N605" s="295">
        <v>0.284881</v>
      </c>
      <c r="O605" s="295">
        <v>0.28508899999999998</v>
      </c>
      <c r="P605" s="295">
        <v>0.28559600000000002</v>
      </c>
      <c r="Q605" s="295">
        <v>0.286414</v>
      </c>
      <c r="R605" s="295">
        <v>0.28758899999999998</v>
      </c>
      <c r="S605" s="295">
        <v>0.28906799999999999</v>
      </c>
      <c r="T605" s="295">
        <v>0.29083900000000001</v>
      </c>
      <c r="U605" s="295">
        <v>0.29291899999999998</v>
      </c>
      <c r="V605" s="295">
        <v>0.29527399999999998</v>
      </c>
      <c r="W605" s="295">
        <v>0.29792600000000002</v>
      </c>
      <c r="X605" s="295">
        <v>0.30085800000000001</v>
      </c>
      <c r="Y605" s="295">
        <v>0.30406499999999997</v>
      </c>
      <c r="Z605" s="295">
        <v>0.30727100000000002</v>
      </c>
      <c r="AA605" s="295">
        <v>0.31046600000000002</v>
      </c>
      <c r="AB605" s="295">
        <v>0.31362899999999999</v>
      </c>
      <c r="AC605" s="295">
        <v>0.31673499999999999</v>
      </c>
      <c r="AD605" s="295">
        <v>0.319768</v>
      </c>
      <c r="AE605" s="295">
        <v>0.32273200000000002</v>
      </c>
      <c r="AF605" s="295">
        <v>0.32563300000000001</v>
      </c>
      <c r="AG605" s="295">
        <v>0.32846999999999998</v>
      </c>
      <c r="AH605" s="296">
        <v>3.2989999999999998E-3</v>
      </c>
    </row>
    <row r="606" spans="1:34" ht="15" customHeight="1" x14ac:dyDescent="0.25">
      <c r="A606" s="213" t="s">
        <v>1477</v>
      </c>
      <c r="B606" s="294" t="s">
        <v>1478</v>
      </c>
      <c r="C606" s="295">
        <v>0.17552999999999999</v>
      </c>
      <c r="D606" s="295">
        <v>0.175348</v>
      </c>
      <c r="E606" s="295">
        <v>0.17563999999999999</v>
      </c>
      <c r="F606" s="295">
        <v>0.17588899999999999</v>
      </c>
      <c r="G606" s="295">
        <v>0.17613000000000001</v>
      </c>
      <c r="H606" s="295">
        <v>0.1764</v>
      </c>
      <c r="I606" s="295">
        <v>0.176644</v>
      </c>
      <c r="J606" s="295">
        <v>0.17682700000000001</v>
      </c>
      <c r="K606" s="295">
        <v>0.17699300000000001</v>
      </c>
      <c r="L606" s="295">
        <v>0.17718700000000001</v>
      </c>
      <c r="M606" s="295">
        <v>0.17741100000000001</v>
      </c>
      <c r="N606" s="295">
        <v>0.177677</v>
      </c>
      <c r="O606" s="295">
        <v>0.17799899999999999</v>
      </c>
      <c r="P606" s="295">
        <v>0.17846799999999999</v>
      </c>
      <c r="Q606" s="295">
        <v>0.17904800000000001</v>
      </c>
      <c r="R606" s="295">
        <v>0.17976800000000001</v>
      </c>
      <c r="S606" s="295">
        <v>0.18060399999999999</v>
      </c>
      <c r="T606" s="295">
        <v>0.18156</v>
      </c>
      <c r="U606" s="295">
        <v>0.18252299999999999</v>
      </c>
      <c r="V606" s="295">
        <v>0.18349199999999999</v>
      </c>
      <c r="W606" s="295">
        <v>0.184477</v>
      </c>
      <c r="X606" s="295">
        <v>0.185472</v>
      </c>
      <c r="Y606" s="295">
        <v>0.18648400000000001</v>
      </c>
      <c r="Z606" s="295">
        <v>0.187523</v>
      </c>
      <c r="AA606" s="295">
        <v>0.18858900000000001</v>
      </c>
      <c r="AB606" s="295">
        <v>0.18967400000000001</v>
      </c>
      <c r="AC606" s="295">
        <v>0.19076899999999999</v>
      </c>
      <c r="AD606" s="295">
        <v>0.19186500000000001</v>
      </c>
      <c r="AE606" s="295">
        <v>0.19295899999999999</v>
      </c>
      <c r="AF606" s="295">
        <v>0.194049</v>
      </c>
      <c r="AG606" s="295">
        <v>0.195128</v>
      </c>
      <c r="AH606" s="296">
        <v>3.5339999999999998E-3</v>
      </c>
    </row>
    <row r="607" spans="1:34" ht="15" customHeight="1" x14ac:dyDescent="0.25">
      <c r="A607" s="213" t="s">
        <v>1479</v>
      </c>
      <c r="B607" s="294" t="s">
        <v>1480</v>
      </c>
      <c r="C607" s="295">
        <v>0.25584699999999999</v>
      </c>
      <c r="D607" s="295">
        <v>0.26021100000000003</v>
      </c>
      <c r="E607" s="295">
        <v>0.264289</v>
      </c>
      <c r="F607" s="295">
        <v>0.26800299999999999</v>
      </c>
      <c r="G607" s="295">
        <v>0.27210600000000001</v>
      </c>
      <c r="H607" s="295">
        <v>0.27616800000000002</v>
      </c>
      <c r="I607" s="295">
        <v>0.27991199999999999</v>
      </c>
      <c r="J607" s="295">
        <v>0.28344900000000001</v>
      </c>
      <c r="K607" s="295">
        <v>0.28702899999999998</v>
      </c>
      <c r="L607" s="295">
        <v>0.29060000000000002</v>
      </c>
      <c r="M607" s="295">
        <v>0.29418800000000001</v>
      </c>
      <c r="N607" s="295">
        <v>0.29788199999999998</v>
      </c>
      <c r="O607" s="295">
        <v>0.30175999999999997</v>
      </c>
      <c r="P607" s="295">
        <v>0.30551099999999998</v>
      </c>
      <c r="Q607" s="295">
        <v>0.30939</v>
      </c>
      <c r="R607" s="295">
        <v>0.31340400000000002</v>
      </c>
      <c r="S607" s="295">
        <v>0.31765500000000002</v>
      </c>
      <c r="T607" s="295">
        <v>0.32194200000000001</v>
      </c>
      <c r="U607" s="295">
        <v>0.326239</v>
      </c>
      <c r="V607" s="295">
        <v>0.33050600000000002</v>
      </c>
      <c r="W607" s="295">
        <v>0.334727</v>
      </c>
      <c r="X607" s="295">
        <v>0.33888600000000002</v>
      </c>
      <c r="Y607" s="295">
        <v>0.34297699999999998</v>
      </c>
      <c r="Z607" s="295">
        <v>0.347331</v>
      </c>
      <c r="AA607" s="295">
        <v>0.35163899999999998</v>
      </c>
      <c r="AB607" s="295">
        <v>0.35589700000000002</v>
      </c>
      <c r="AC607" s="295">
        <v>0.36021500000000001</v>
      </c>
      <c r="AD607" s="295">
        <v>0.36444900000000002</v>
      </c>
      <c r="AE607" s="295">
        <v>0.36870999999999998</v>
      </c>
      <c r="AF607" s="295">
        <v>0.37317899999999998</v>
      </c>
      <c r="AG607" s="295">
        <v>0.37782100000000002</v>
      </c>
      <c r="AH607" s="296">
        <v>1.3079E-2</v>
      </c>
    </row>
    <row r="608" spans="1:34" ht="15" customHeight="1" x14ac:dyDescent="0.25">
      <c r="A608" s="213" t="s">
        <v>1481</v>
      </c>
      <c r="B608" s="294" t="s">
        <v>1482</v>
      </c>
      <c r="C608" s="295">
        <v>6.9181000000000006E-2</v>
      </c>
      <c r="D608" s="295">
        <v>6.8847000000000005E-2</v>
      </c>
      <c r="E608" s="295">
        <v>6.8695999999999993E-2</v>
      </c>
      <c r="F608" s="295">
        <v>6.8514000000000005E-2</v>
      </c>
      <c r="G608" s="295">
        <v>6.8303000000000003E-2</v>
      </c>
      <c r="H608" s="295">
        <v>6.8080000000000002E-2</v>
      </c>
      <c r="I608" s="295">
        <v>6.7833000000000004E-2</v>
      </c>
      <c r="J608" s="295">
        <v>6.7552000000000001E-2</v>
      </c>
      <c r="K608" s="295">
        <v>6.7285999999999999E-2</v>
      </c>
      <c r="L608" s="295">
        <v>6.7035999999999998E-2</v>
      </c>
      <c r="M608" s="295">
        <v>6.6805000000000003E-2</v>
      </c>
      <c r="N608" s="295">
        <v>6.6594E-2</v>
      </c>
      <c r="O608" s="295">
        <v>6.6406999999999994E-2</v>
      </c>
      <c r="P608" s="295">
        <v>6.6239000000000006E-2</v>
      </c>
      <c r="Q608" s="295">
        <v>6.6095000000000001E-2</v>
      </c>
      <c r="R608" s="295">
        <v>6.5983E-2</v>
      </c>
      <c r="S608" s="295">
        <v>6.59E-2</v>
      </c>
      <c r="T608" s="295">
        <v>6.5845000000000001E-2</v>
      </c>
      <c r="U608" s="295">
        <v>6.5823999999999994E-2</v>
      </c>
      <c r="V608" s="295">
        <v>6.5833000000000003E-2</v>
      </c>
      <c r="W608" s="295">
        <v>6.5878000000000006E-2</v>
      </c>
      <c r="X608" s="295">
        <v>6.5962999999999994E-2</v>
      </c>
      <c r="Y608" s="295">
        <v>6.6087999999999994E-2</v>
      </c>
      <c r="Z608" s="295">
        <v>6.6264000000000003E-2</v>
      </c>
      <c r="AA608" s="295">
        <v>6.6497000000000001E-2</v>
      </c>
      <c r="AB608" s="295">
        <v>6.6783999999999996E-2</v>
      </c>
      <c r="AC608" s="295">
        <v>6.7123000000000002E-2</v>
      </c>
      <c r="AD608" s="295">
        <v>6.7501000000000005E-2</v>
      </c>
      <c r="AE608" s="295">
        <v>6.7876000000000006E-2</v>
      </c>
      <c r="AF608" s="295">
        <v>6.8251000000000006E-2</v>
      </c>
      <c r="AG608" s="295">
        <v>6.8624000000000004E-2</v>
      </c>
      <c r="AH608" s="296">
        <v>-2.7E-4</v>
      </c>
    </row>
    <row r="609" spans="1:34" ht="15" customHeight="1" x14ac:dyDescent="0.25">
      <c r="A609" s="213" t="s">
        <v>1483</v>
      </c>
      <c r="B609" s="294" t="s">
        <v>1484</v>
      </c>
      <c r="C609" s="295">
        <v>0.21124699999999999</v>
      </c>
      <c r="D609" s="295">
        <v>0.204709</v>
      </c>
      <c r="E609" s="295">
        <v>0.202325</v>
      </c>
      <c r="F609" s="295">
        <v>0.20133100000000001</v>
      </c>
      <c r="G609" s="295">
        <v>0.20136299999999999</v>
      </c>
      <c r="H609" s="295">
        <v>0.19996900000000001</v>
      </c>
      <c r="I609" s="295">
        <v>0.19883400000000001</v>
      </c>
      <c r="J609" s="295">
        <v>0.19838500000000001</v>
      </c>
      <c r="K609" s="295">
        <v>0.198653</v>
      </c>
      <c r="L609" s="295">
        <v>0.199213</v>
      </c>
      <c r="M609" s="295">
        <v>0.19741900000000001</v>
      </c>
      <c r="N609" s="295">
        <v>0.19624800000000001</v>
      </c>
      <c r="O609" s="295">
        <v>0.19559699999999999</v>
      </c>
      <c r="P609" s="295">
        <v>0.19511400000000001</v>
      </c>
      <c r="Q609" s="295">
        <v>0.19497800000000001</v>
      </c>
      <c r="R609" s="295">
        <v>0.19514300000000001</v>
      </c>
      <c r="S609" s="295">
        <v>0.195525</v>
      </c>
      <c r="T609" s="295">
        <v>0.19600000000000001</v>
      </c>
      <c r="U609" s="295">
        <v>0.196543</v>
      </c>
      <c r="V609" s="295">
        <v>0.19711400000000001</v>
      </c>
      <c r="W609" s="295">
        <v>0.19439999999999999</v>
      </c>
      <c r="X609" s="295">
        <v>0.19228500000000001</v>
      </c>
      <c r="Y609" s="295">
        <v>0.19058800000000001</v>
      </c>
      <c r="Z609" s="295">
        <v>0.18950400000000001</v>
      </c>
      <c r="AA609" s="295">
        <v>0.18876000000000001</v>
      </c>
      <c r="AB609" s="295">
        <v>0.18824299999999999</v>
      </c>
      <c r="AC609" s="295">
        <v>0.18789700000000001</v>
      </c>
      <c r="AD609" s="295">
        <v>0.187552</v>
      </c>
      <c r="AE609" s="295">
        <v>0.187251</v>
      </c>
      <c r="AF609" s="295">
        <v>0.18709600000000001</v>
      </c>
      <c r="AG609" s="295">
        <v>0.187254</v>
      </c>
      <c r="AH609" s="296">
        <v>-4.0109999999999998E-3</v>
      </c>
    </row>
    <row r="610" spans="1:34" ht="15" customHeight="1" x14ac:dyDescent="0.25">
      <c r="A610" s="213" t="s">
        <v>1485</v>
      </c>
      <c r="B610" s="294" t="s">
        <v>1486</v>
      </c>
      <c r="C610" s="295">
        <v>3.6778999999999999E-2</v>
      </c>
      <c r="D610" s="295">
        <v>3.7026000000000003E-2</v>
      </c>
      <c r="E610" s="295">
        <v>3.7373000000000003E-2</v>
      </c>
      <c r="F610" s="295">
        <v>3.771E-2</v>
      </c>
      <c r="G610" s="295">
        <v>3.8044000000000001E-2</v>
      </c>
      <c r="H610" s="295">
        <v>3.8386999999999998E-2</v>
      </c>
      <c r="I610" s="295">
        <v>3.8726999999999998E-2</v>
      </c>
      <c r="J610" s="295">
        <v>3.9054999999999999E-2</v>
      </c>
      <c r="K610" s="295">
        <v>3.9377000000000002E-2</v>
      </c>
      <c r="L610" s="295">
        <v>3.9694E-2</v>
      </c>
      <c r="M610" s="295">
        <v>4.0024999999999998E-2</v>
      </c>
      <c r="N610" s="295">
        <v>4.0351999999999999E-2</v>
      </c>
      <c r="O610" s="295">
        <v>4.0679E-2</v>
      </c>
      <c r="P610" s="295">
        <v>4.1000000000000002E-2</v>
      </c>
      <c r="Q610" s="295">
        <v>4.1314999999999998E-2</v>
      </c>
      <c r="R610" s="295">
        <v>4.1632000000000002E-2</v>
      </c>
      <c r="S610" s="295">
        <v>4.1942E-2</v>
      </c>
      <c r="T610" s="295">
        <v>4.2249000000000002E-2</v>
      </c>
      <c r="U610" s="295">
        <v>4.2553000000000001E-2</v>
      </c>
      <c r="V610" s="295">
        <v>4.2854000000000003E-2</v>
      </c>
      <c r="W610" s="295">
        <v>4.3154999999999999E-2</v>
      </c>
      <c r="X610" s="295">
        <v>4.3454E-2</v>
      </c>
      <c r="Y610" s="295">
        <v>4.3750999999999998E-2</v>
      </c>
      <c r="Z610" s="295">
        <v>4.4052000000000001E-2</v>
      </c>
      <c r="AA610" s="295">
        <v>4.4354999999999999E-2</v>
      </c>
      <c r="AB610" s="295">
        <v>4.4658999999999997E-2</v>
      </c>
      <c r="AC610" s="295">
        <v>4.4962000000000002E-2</v>
      </c>
      <c r="AD610" s="295">
        <v>4.5262999999999998E-2</v>
      </c>
      <c r="AE610" s="295">
        <v>4.5561999999999998E-2</v>
      </c>
      <c r="AF610" s="295">
        <v>4.5862E-2</v>
      </c>
      <c r="AG610" s="295">
        <v>4.6163000000000003E-2</v>
      </c>
      <c r="AH610" s="296">
        <v>7.6030000000000004E-3</v>
      </c>
    </row>
    <row r="611" spans="1:34" ht="15" customHeight="1" x14ac:dyDescent="0.25">
      <c r="A611" s="213" t="s">
        <v>1487</v>
      </c>
      <c r="B611" s="294" t="s">
        <v>1488</v>
      </c>
      <c r="C611" s="295">
        <v>2.6616999999999998E-2</v>
      </c>
      <c r="D611" s="295">
        <v>2.6991999999999999E-2</v>
      </c>
      <c r="E611" s="295">
        <v>2.743E-2</v>
      </c>
      <c r="F611" s="295">
        <v>2.7851999999999998E-2</v>
      </c>
      <c r="G611" s="295">
        <v>2.8261999999999999E-2</v>
      </c>
      <c r="H611" s="295">
        <v>2.8667000000000002E-2</v>
      </c>
      <c r="I611" s="295">
        <v>2.9058E-2</v>
      </c>
      <c r="J611" s="295">
        <v>2.9425E-2</v>
      </c>
      <c r="K611" s="295">
        <v>2.9825000000000001E-2</v>
      </c>
      <c r="L611" s="295">
        <v>3.0258E-2</v>
      </c>
      <c r="M611" s="295">
        <v>3.0724999999999999E-2</v>
      </c>
      <c r="N611" s="295">
        <v>3.1229E-2</v>
      </c>
      <c r="O611" s="295">
        <v>3.1773999999999997E-2</v>
      </c>
      <c r="P611" s="295">
        <v>3.2358999999999999E-2</v>
      </c>
      <c r="Q611" s="295">
        <v>3.2987000000000002E-2</v>
      </c>
      <c r="R611" s="295">
        <v>3.3612999999999997E-2</v>
      </c>
      <c r="S611" s="295">
        <v>3.4234000000000001E-2</v>
      </c>
      <c r="T611" s="295">
        <v>3.4849999999999999E-2</v>
      </c>
      <c r="U611" s="295">
        <v>3.5463000000000001E-2</v>
      </c>
      <c r="V611" s="295">
        <v>3.6073000000000001E-2</v>
      </c>
      <c r="W611" s="295">
        <v>3.6681999999999999E-2</v>
      </c>
      <c r="X611" s="295">
        <v>3.7289000000000003E-2</v>
      </c>
      <c r="Y611" s="295">
        <v>3.7893999999999997E-2</v>
      </c>
      <c r="Z611" s="295">
        <v>3.8501000000000001E-2</v>
      </c>
      <c r="AA611" s="295">
        <v>3.9108999999999998E-2</v>
      </c>
      <c r="AB611" s="295">
        <v>3.9717000000000002E-2</v>
      </c>
      <c r="AC611" s="295">
        <v>4.0322999999999998E-2</v>
      </c>
      <c r="AD611" s="295">
        <v>4.0926999999999998E-2</v>
      </c>
      <c r="AE611" s="295">
        <v>4.1529000000000003E-2</v>
      </c>
      <c r="AF611" s="295">
        <v>4.2130000000000001E-2</v>
      </c>
      <c r="AG611" s="295">
        <v>4.2730999999999998E-2</v>
      </c>
      <c r="AH611" s="296">
        <v>1.5904999999999999E-2</v>
      </c>
    </row>
    <row r="612" spans="1:34" ht="15" customHeight="1" x14ac:dyDescent="0.25">
      <c r="A612" s="213" t="s">
        <v>1489</v>
      </c>
      <c r="B612" s="294" t="s">
        <v>1490</v>
      </c>
      <c r="C612" s="295">
        <v>0.20913300000000001</v>
      </c>
      <c r="D612" s="295">
        <v>0.205207</v>
      </c>
      <c r="E612" s="295">
        <v>0.202543</v>
      </c>
      <c r="F612" s="295">
        <v>0.20023199999999999</v>
      </c>
      <c r="G612" s="295">
        <v>0.19889200000000001</v>
      </c>
      <c r="H612" s="295">
        <v>0.198295</v>
      </c>
      <c r="I612" s="295">
        <v>0.19822999999999999</v>
      </c>
      <c r="J612" s="295">
        <v>0.19878999999999999</v>
      </c>
      <c r="K612" s="295">
        <v>0.20006099999999999</v>
      </c>
      <c r="L612" s="295">
        <v>0.20200299999999999</v>
      </c>
      <c r="M612" s="295">
        <v>0.20463600000000001</v>
      </c>
      <c r="N612" s="295">
        <v>0.20782300000000001</v>
      </c>
      <c r="O612" s="295">
        <v>0.21160000000000001</v>
      </c>
      <c r="P612" s="295">
        <v>0.215644</v>
      </c>
      <c r="Q612" s="295">
        <v>0.22000500000000001</v>
      </c>
      <c r="R612" s="295">
        <v>0.22468299999999999</v>
      </c>
      <c r="S612" s="295">
        <v>0.22967000000000001</v>
      </c>
      <c r="T612" s="295">
        <v>0.23474700000000001</v>
      </c>
      <c r="U612" s="295">
        <v>0.23980299999999999</v>
      </c>
      <c r="V612" s="295">
        <v>0.244645</v>
      </c>
      <c r="W612" s="295">
        <v>0.24911700000000001</v>
      </c>
      <c r="X612" s="295">
        <v>0.25305699999999998</v>
      </c>
      <c r="Y612" s="295">
        <v>0.25641999999999998</v>
      </c>
      <c r="Z612" s="295">
        <v>0.25970900000000002</v>
      </c>
      <c r="AA612" s="295">
        <v>0.26287199999999999</v>
      </c>
      <c r="AB612" s="295">
        <v>0.26593099999999997</v>
      </c>
      <c r="AC612" s="295">
        <v>0.268959</v>
      </c>
      <c r="AD612" s="295">
        <v>0.27183800000000002</v>
      </c>
      <c r="AE612" s="295">
        <v>0.27464499999999997</v>
      </c>
      <c r="AF612" s="295">
        <v>0.27751500000000001</v>
      </c>
      <c r="AG612" s="295">
        <v>0.280476</v>
      </c>
      <c r="AH612" s="296">
        <v>9.8320000000000005E-3</v>
      </c>
    </row>
    <row r="613" spans="1:34" ht="15" customHeight="1" x14ac:dyDescent="0.25">
      <c r="A613" s="213" t="s">
        <v>1491</v>
      </c>
      <c r="B613" s="294" t="s">
        <v>1492</v>
      </c>
      <c r="C613" s="295">
        <v>8.6664000000000005E-2</v>
      </c>
      <c r="D613" s="295">
        <v>8.3833000000000005E-2</v>
      </c>
      <c r="E613" s="295">
        <v>8.1494999999999998E-2</v>
      </c>
      <c r="F613" s="295">
        <v>7.9249E-2</v>
      </c>
      <c r="G613" s="295">
        <v>7.7311000000000005E-2</v>
      </c>
      <c r="H613" s="295">
        <v>7.5550000000000006E-2</v>
      </c>
      <c r="I613" s="295">
        <v>7.3888999999999996E-2</v>
      </c>
      <c r="J613" s="295">
        <v>7.2344000000000006E-2</v>
      </c>
      <c r="K613" s="295">
        <v>7.0940000000000003E-2</v>
      </c>
      <c r="L613" s="295">
        <v>6.9648000000000002E-2</v>
      </c>
      <c r="M613" s="295">
        <v>6.8455000000000002E-2</v>
      </c>
      <c r="N613" s="295">
        <v>6.7301E-2</v>
      </c>
      <c r="O613" s="295">
        <v>6.6194000000000003E-2</v>
      </c>
      <c r="P613" s="295">
        <v>6.5015000000000003E-2</v>
      </c>
      <c r="Q613" s="295">
        <v>6.3785999999999995E-2</v>
      </c>
      <c r="R613" s="295">
        <v>6.2496999999999997E-2</v>
      </c>
      <c r="S613" s="295">
        <v>6.1143000000000003E-2</v>
      </c>
      <c r="T613" s="295">
        <v>5.9822E-2</v>
      </c>
      <c r="U613" s="295">
        <v>5.8526000000000002E-2</v>
      </c>
      <c r="V613" s="295">
        <v>5.722E-2</v>
      </c>
      <c r="W613" s="295">
        <v>5.5891999999999997E-2</v>
      </c>
      <c r="X613" s="295">
        <v>5.4535E-2</v>
      </c>
      <c r="Y613" s="295">
        <v>5.3136000000000003E-2</v>
      </c>
      <c r="Z613" s="295">
        <v>5.1763000000000003E-2</v>
      </c>
      <c r="AA613" s="295">
        <v>5.0342999999999999E-2</v>
      </c>
      <c r="AB613" s="295">
        <v>4.8862000000000003E-2</v>
      </c>
      <c r="AC613" s="295">
        <v>4.7323999999999998E-2</v>
      </c>
      <c r="AD613" s="295">
        <v>4.5687999999999999E-2</v>
      </c>
      <c r="AE613" s="295">
        <v>4.3971000000000003E-2</v>
      </c>
      <c r="AF613" s="295">
        <v>4.2151000000000001E-2</v>
      </c>
      <c r="AG613" s="295">
        <v>4.0223000000000002E-2</v>
      </c>
      <c r="AH613" s="296">
        <v>-2.5262E-2</v>
      </c>
    </row>
    <row r="614" spans="1:34" ht="15" customHeight="1" x14ac:dyDescent="0.25">
      <c r="A614" s="213" t="s">
        <v>1493</v>
      </c>
      <c r="B614" s="294" t="s">
        <v>1494</v>
      </c>
      <c r="C614" s="295">
        <v>7.8188999999999995E-2</v>
      </c>
      <c r="D614" s="295">
        <v>8.4238999999999994E-2</v>
      </c>
      <c r="E614" s="295">
        <v>8.4947999999999996E-2</v>
      </c>
      <c r="F614" s="295">
        <v>8.5345000000000004E-2</v>
      </c>
      <c r="G614" s="295">
        <v>8.5870000000000002E-2</v>
      </c>
      <c r="H614" s="295">
        <v>8.6289000000000005E-2</v>
      </c>
      <c r="I614" s="295">
        <v>8.6568000000000006E-2</v>
      </c>
      <c r="J614" s="295">
        <v>8.6861999999999995E-2</v>
      </c>
      <c r="K614" s="295">
        <v>8.7124999999999994E-2</v>
      </c>
      <c r="L614" s="295">
        <v>8.7312000000000001E-2</v>
      </c>
      <c r="M614" s="295">
        <v>8.7309999999999999E-2</v>
      </c>
      <c r="N614" s="295">
        <v>8.7224999999999997E-2</v>
      </c>
      <c r="O614" s="295">
        <v>8.6986999999999995E-2</v>
      </c>
      <c r="P614" s="295">
        <v>8.6527999999999994E-2</v>
      </c>
      <c r="Q614" s="295">
        <v>8.5852999999999999E-2</v>
      </c>
      <c r="R614" s="295">
        <v>8.5038000000000002E-2</v>
      </c>
      <c r="S614" s="295">
        <v>8.4087999999999996E-2</v>
      </c>
      <c r="T614" s="295">
        <v>8.3007999999999998E-2</v>
      </c>
      <c r="U614" s="295">
        <v>8.1807000000000005E-2</v>
      </c>
      <c r="V614" s="295">
        <v>8.0574000000000007E-2</v>
      </c>
      <c r="W614" s="295">
        <v>7.9389000000000001E-2</v>
      </c>
      <c r="X614" s="295">
        <v>7.8256999999999993E-2</v>
      </c>
      <c r="Y614" s="295">
        <v>7.7173000000000005E-2</v>
      </c>
      <c r="Z614" s="295">
        <v>7.6185000000000003E-2</v>
      </c>
      <c r="AA614" s="295">
        <v>7.5318999999999997E-2</v>
      </c>
      <c r="AB614" s="295">
        <v>7.4557999999999999E-2</v>
      </c>
      <c r="AC614" s="295">
        <v>7.3917999999999998E-2</v>
      </c>
      <c r="AD614" s="295">
        <v>7.3368000000000003E-2</v>
      </c>
      <c r="AE614" s="295">
        <v>7.2929999999999995E-2</v>
      </c>
      <c r="AF614" s="295">
        <v>7.2590000000000002E-2</v>
      </c>
      <c r="AG614" s="295">
        <v>7.2375999999999996E-2</v>
      </c>
      <c r="AH614" s="296">
        <v>-2.5720000000000001E-3</v>
      </c>
    </row>
    <row r="615" spans="1:34" ht="15" customHeight="1" x14ac:dyDescent="0.25">
      <c r="A615" s="213" t="s">
        <v>1495</v>
      </c>
      <c r="B615" s="294" t="s">
        <v>1496</v>
      </c>
      <c r="C615" s="295">
        <v>2.095383</v>
      </c>
      <c r="D615" s="295">
        <v>2.1322380000000001</v>
      </c>
      <c r="E615" s="295">
        <v>2.0485739999999999</v>
      </c>
      <c r="F615" s="295">
        <v>2.0640299999999998</v>
      </c>
      <c r="G615" s="295">
        <v>2.07735</v>
      </c>
      <c r="H615" s="295">
        <v>2.0923419999999999</v>
      </c>
      <c r="I615" s="295">
        <v>2.115618</v>
      </c>
      <c r="J615" s="295">
        <v>2.138036</v>
      </c>
      <c r="K615" s="295">
        <v>2.161289</v>
      </c>
      <c r="L615" s="295">
        <v>2.1851430000000001</v>
      </c>
      <c r="M615" s="295">
        <v>2.2100650000000002</v>
      </c>
      <c r="N615" s="295">
        <v>2.2354660000000002</v>
      </c>
      <c r="O615" s="295">
        <v>2.2617669999999999</v>
      </c>
      <c r="P615" s="295">
        <v>2.2874650000000001</v>
      </c>
      <c r="Q615" s="295">
        <v>2.3169719999999998</v>
      </c>
      <c r="R615" s="295">
        <v>2.3457349999999999</v>
      </c>
      <c r="S615" s="295">
        <v>2.3752249999999999</v>
      </c>
      <c r="T615" s="295">
        <v>2.4048980000000002</v>
      </c>
      <c r="U615" s="295">
        <v>2.4347880000000002</v>
      </c>
      <c r="V615" s="295">
        <v>2.4650029999999998</v>
      </c>
      <c r="W615" s="295">
        <v>2.4948869999999999</v>
      </c>
      <c r="X615" s="295">
        <v>2.525166</v>
      </c>
      <c r="Y615" s="295">
        <v>2.5561419999999999</v>
      </c>
      <c r="Z615" s="295">
        <v>2.588781</v>
      </c>
      <c r="AA615" s="295">
        <v>2.6214010000000001</v>
      </c>
      <c r="AB615" s="295">
        <v>2.6542789999999998</v>
      </c>
      <c r="AC615" s="295">
        <v>2.6879270000000002</v>
      </c>
      <c r="AD615" s="295">
        <v>2.7217660000000001</v>
      </c>
      <c r="AE615" s="295">
        <v>2.7566000000000002</v>
      </c>
      <c r="AF615" s="295">
        <v>2.7923930000000001</v>
      </c>
      <c r="AG615" s="295">
        <v>2.82904</v>
      </c>
      <c r="AH615" s="296">
        <v>1.0057E-2</v>
      </c>
    </row>
    <row r="616" spans="1:34" ht="15" customHeight="1" x14ac:dyDescent="0.2">
      <c r="A616" s="213" t="s">
        <v>1497</v>
      </c>
      <c r="B616" s="204" t="s">
        <v>1498</v>
      </c>
      <c r="C616" s="205">
        <v>11.442256</v>
      </c>
      <c r="D616" s="205">
        <v>11.399803</v>
      </c>
      <c r="E616" s="205">
        <v>11.535906000000001</v>
      </c>
      <c r="F616" s="205">
        <v>11.535371</v>
      </c>
      <c r="G616" s="205">
        <v>11.548773000000001</v>
      </c>
      <c r="H616" s="205">
        <v>11.556157000000001</v>
      </c>
      <c r="I616" s="205">
        <v>11.561229000000001</v>
      </c>
      <c r="J616" s="205">
        <v>11.563961000000001</v>
      </c>
      <c r="K616" s="205">
        <v>11.573698</v>
      </c>
      <c r="L616" s="205">
        <v>11.585768</v>
      </c>
      <c r="M616" s="205">
        <v>11.594315999999999</v>
      </c>
      <c r="N616" s="205">
        <v>11.610707</v>
      </c>
      <c r="O616" s="205">
        <v>11.634506</v>
      </c>
      <c r="P616" s="205">
        <v>11.656957</v>
      </c>
      <c r="Q616" s="205">
        <v>11.684771</v>
      </c>
      <c r="R616" s="205">
        <v>11.717517000000001</v>
      </c>
      <c r="S616" s="205">
        <v>11.755152000000001</v>
      </c>
      <c r="T616" s="205">
        <v>11.796516</v>
      </c>
      <c r="U616" s="205">
        <v>11.84014</v>
      </c>
      <c r="V616" s="205">
        <v>11.883994</v>
      </c>
      <c r="W616" s="205">
        <v>11.927332</v>
      </c>
      <c r="X616" s="205">
        <v>11.97101</v>
      </c>
      <c r="Y616" s="205">
        <v>12.016722</v>
      </c>
      <c r="Z616" s="205">
        <v>12.068111</v>
      </c>
      <c r="AA616" s="205">
        <v>12.121243</v>
      </c>
      <c r="AB616" s="205">
        <v>12.174308999999999</v>
      </c>
      <c r="AC616" s="205">
        <v>12.230999000000001</v>
      </c>
      <c r="AD616" s="205">
        <v>12.285940999999999</v>
      </c>
      <c r="AE616" s="205">
        <v>12.342146</v>
      </c>
      <c r="AF616" s="205">
        <v>12.400171</v>
      </c>
      <c r="AG616" s="205">
        <v>12.462014999999999</v>
      </c>
      <c r="AH616" s="206">
        <v>2.8500000000000001E-3</v>
      </c>
    </row>
    <row r="617" spans="1:34" ht="15" customHeight="1" x14ac:dyDescent="0.25">
      <c r="A617" s="213" t="s">
        <v>1499</v>
      </c>
      <c r="B617" s="294" t="s">
        <v>1500</v>
      </c>
      <c r="C617" s="295">
        <v>7.8131000000000006E-2</v>
      </c>
      <c r="D617" s="295">
        <v>8.9439000000000005E-2</v>
      </c>
      <c r="E617" s="295">
        <v>9.8996000000000001E-2</v>
      </c>
      <c r="F617" s="295">
        <v>0.10828400000000001</v>
      </c>
      <c r="G617" s="295">
        <v>0.117412</v>
      </c>
      <c r="H617" s="295">
        <v>0.12662599999999999</v>
      </c>
      <c r="I617" s="295">
        <v>0.13608999999999999</v>
      </c>
      <c r="J617" s="295">
        <v>0.145616</v>
      </c>
      <c r="K617" s="295">
        <v>0.15523799999999999</v>
      </c>
      <c r="L617" s="295">
        <v>0.16494300000000001</v>
      </c>
      <c r="M617" s="295">
        <v>0.17486399999999999</v>
      </c>
      <c r="N617" s="295">
        <v>0.185082</v>
      </c>
      <c r="O617" s="295">
        <v>0.19552700000000001</v>
      </c>
      <c r="P617" s="295">
        <v>0.20619000000000001</v>
      </c>
      <c r="Q617" s="295">
        <v>0.217114</v>
      </c>
      <c r="R617" s="295">
        <v>0.22825300000000001</v>
      </c>
      <c r="S617" s="295">
        <v>0.23962600000000001</v>
      </c>
      <c r="T617" s="295">
        <v>0.25120300000000001</v>
      </c>
      <c r="U617" s="295">
        <v>0.26299899999999998</v>
      </c>
      <c r="V617" s="295">
        <v>0.275007</v>
      </c>
      <c r="W617" s="295">
        <v>0.287302</v>
      </c>
      <c r="X617" s="295">
        <v>0.29986499999999999</v>
      </c>
      <c r="Y617" s="295">
        <v>0.31278499999999998</v>
      </c>
      <c r="Z617" s="295">
        <v>0.326067</v>
      </c>
      <c r="AA617" s="295">
        <v>0.33971499999999999</v>
      </c>
      <c r="AB617" s="295">
        <v>0.35381099999999999</v>
      </c>
      <c r="AC617" s="295">
        <v>0.36832900000000002</v>
      </c>
      <c r="AD617" s="295">
        <v>0.38323400000000002</v>
      </c>
      <c r="AE617" s="295">
        <v>0.39861600000000003</v>
      </c>
      <c r="AF617" s="295">
        <v>0.41442000000000001</v>
      </c>
      <c r="AG617" s="295">
        <v>0.43064400000000003</v>
      </c>
      <c r="AH617" s="296">
        <v>5.8546000000000001E-2</v>
      </c>
    </row>
    <row r="618" spans="1:34" ht="15" customHeight="1" x14ac:dyDescent="0.2">
      <c r="A618" s="213" t="s">
        <v>1501</v>
      </c>
      <c r="B618" s="204" t="s">
        <v>1502</v>
      </c>
      <c r="C618" s="205">
        <v>11.364125</v>
      </c>
      <c r="D618" s="205">
        <v>11.310364999999999</v>
      </c>
      <c r="E618" s="205">
        <v>11.436909999999999</v>
      </c>
      <c r="F618" s="205">
        <v>11.427087</v>
      </c>
      <c r="G618" s="205">
        <v>11.431361000000001</v>
      </c>
      <c r="H618" s="205">
        <v>11.429531000000001</v>
      </c>
      <c r="I618" s="205">
        <v>11.425138</v>
      </c>
      <c r="J618" s="205">
        <v>11.418343999999999</v>
      </c>
      <c r="K618" s="205">
        <v>11.41846</v>
      </c>
      <c r="L618" s="205">
        <v>11.420825000000001</v>
      </c>
      <c r="M618" s="205">
        <v>11.419453000000001</v>
      </c>
      <c r="N618" s="205">
        <v>11.425625</v>
      </c>
      <c r="O618" s="205">
        <v>11.438979</v>
      </c>
      <c r="P618" s="205">
        <v>11.450767000000001</v>
      </c>
      <c r="Q618" s="205">
        <v>11.467656</v>
      </c>
      <c r="R618" s="205">
        <v>11.489264</v>
      </c>
      <c r="S618" s="205">
        <v>11.515525999999999</v>
      </c>
      <c r="T618" s="205">
        <v>11.545313</v>
      </c>
      <c r="U618" s="205">
        <v>11.577142</v>
      </c>
      <c r="V618" s="205">
        <v>11.608987000000001</v>
      </c>
      <c r="W618" s="205">
        <v>11.640029999999999</v>
      </c>
      <c r="X618" s="205">
        <v>11.671144</v>
      </c>
      <c r="Y618" s="205">
        <v>11.703937</v>
      </c>
      <c r="Z618" s="205">
        <v>11.742044</v>
      </c>
      <c r="AA618" s="205">
        <v>11.781528</v>
      </c>
      <c r="AB618" s="205">
        <v>11.820498000000001</v>
      </c>
      <c r="AC618" s="205">
        <v>11.86267</v>
      </c>
      <c r="AD618" s="205">
        <v>11.902706999999999</v>
      </c>
      <c r="AE618" s="205">
        <v>11.943530000000001</v>
      </c>
      <c r="AF618" s="205">
        <v>11.985751</v>
      </c>
      <c r="AG618" s="205">
        <v>12.031371</v>
      </c>
      <c r="AH618" s="206">
        <v>1.9040000000000001E-3</v>
      </c>
    </row>
    <row r="620" spans="1:34" ht="15" customHeight="1" x14ac:dyDescent="0.2">
      <c r="A620" s="213" t="s">
        <v>1503</v>
      </c>
      <c r="B620" s="204" t="s">
        <v>1504</v>
      </c>
      <c r="C620" s="205">
        <v>9.4179560000000002</v>
      </c>
      <c r="D620" s="205">
        <v>9.4692589999999992</v>
      </c>
      <c r="E620" s="205">
        <v>9.5235859999999999</v>
      </c>
      <c r="F620" s="205">
        <v>9.3535579999999996</v>
      </c>
      <c r="G620" s="205">
        <v>9.192634</v>
      </c>
      <c r="H620" s="205">
        <v>8.9611440000000009</v>
      </c>
      <c r="I620" s="205">
        <v>8.7546029999999995</v>
      </c>
      <c r="J620" s="205">
        <v>8.6916949999999993</v>
      </c>
      <c r="K620" s="205">
        <v>8.6860269999999993</v>
      </c>
      <c r="L620" s="205">
        <v>8.6995719999999999</v>
      </c>
      <c r="M620" s="205">
        <v>8.7289549999999991</v>
      </c>
      <c r="N620" s="205">
        <v>8.7613850000000006</v>
      </c>
      <c r="O620" s="205">
        <v>8.7698009999999993</v>
      </c>
      <c r="P620" s="205">
        <v>8.7926420000000007</v>
      </c>
      <c r="Q620" s="205">
        <v>8.8117920000000005</v>
      </c>
      <c r="R620" s="205">
        <v>8.8543400000000005</v>
      </c>
      <c r="S620" s="205">
        <v>8.8960539999999995</v>
      </c>
      <c r="T620" s="205">
        <v>8.9436619999999998</v>
      </c>
      <c r="U620" s="205">
        <v>8.9716509999999996</v>
      </c>
      <c r="V620" s="205">
        <v>9.0014699999999994</v>
      </c>
      <c r="W620" s="205">
        <v>9.0304009999999995</v>
      </c>
      <c r="X620" s="205">
        <v>9.0712130000000002</v>
      </c>
      <c r="Y620" s="205">
        <v>9.1142409999999998</v>
      </c>
      <c r="Z620" s="205">
        <v>9.1562610000000006</v>
      </c>
      <c r="AA620" s="205">
        <v>9.1960940000000004</v>
      </c>
      <c r="AB620" s="205">
        <v>9.2340040000000005</v>
      </c>
      <c r="AC620" s="205">
        <v>9.2814379999999996</v>
      </c>
      <c r="AD620" s="205">
        <v>9.3317099999999993</v>
      </c>
      <c r="AE620" s="205">
        <v>9.3964409999999994</v>
      </c>
      <c r="AF620" s="205">
        <v>9.4543610000000005</v>
      </c>
      <c r="AG620" s="205">
        <v>9.5046730000000004</v>
      </c>
      <c r="AH620" s="206">
        <v>3.0600000000000001E-4</v>
      </c>
    </row>
    <row r="622" spans="1:34" ht="15" customHeight="1" x14ac:dyDescent="0.2">
      <c r="B622" s="204" t="s">
        <v>1505</v>
      </c>
    </row>
    <row r="623" spans="1:34" ht="15" customHeight="1" x14ac:dyDescent="0.25">
      <c r="A623" s="213" t="s">
        <v>1506</v>
      </c>
      <c r="B623" s="294" t="s">
        <v>1470</v>
      </c>
      <c r="C623" s="295">
        <v>6.5168239999999997</v>
      </c>
      <c r="D623" s="295">
        <v>6.5780320000000003</v>
      </c>
      <c r="E623" s="295">
        <v>6.7208459999999999</v>
      </c>
      <c r="F623" s="295">
        <v>6.6579829999999998</v>
      </c>
      <c r="G623" s="295">
        <v>6.6074489999999999</v>
      </c>
      <c r="H623" s="295">
        <v>6.5398149999999999</v>
      </c>
      <c r="I623" s="295">
        <v>6.4632350000000001</v>
      </c>
      <c r="J623" s="295">
        <v>6.4025800000000004</v>
      </c>
      <c r="K623" s="295">
        <v>6.3519899999999998</v>
      </c>
      <c r="L623" s="295">
        <v>6.3025529999999996</v>
      </c>
      <c r="M623" s="295">
        <v>6.2526520000000003</v>
      </c>
      <c r="N623" s="295">
        <v>6.2066220000000003</v>
      </c>
      <c r="O623" s="295">
        <v>6.1599190000000004</v>
      </c>
      <c r="P623" s="295">
        <v>6.1143099999999997</v>
      </c>
      <c r="Q623" s="295">
        <v>6.067412</v>
      </c>
      <c r="R623" s="295">
        <v>6.0265639999999996</v>
      </c>
      <c r="S623" s="295">
        <v>5.9869919999999999</v>
      </c>
      <c r="T623" s="295">
        <v>5.949471</v>
      </c>
      <c r="U623" s="295">
        <v>5.9115840000000004</v>
      </c>
      <c r="V623" s="295">
        <v>5.8741750000000001</v>
      </c>
      <c r="W623" s="295">
        <v>5.8405300000000002</v>
      </c>
      <c r="X623" s="295">
        <v>5.8083960000000001</v>
      </c>
      <c r="Y623" s="295">
        <v>5.776459</v>
      </c>
      <c r="Z623" s="295">
        <v>5.7458369999999999</v>
      </c>
      <c r="AA623" s="295">
        <v>5.7147129999999997</v>
      </c>
      <c r="AB623" s="295">
        <v>5.6827969999999999</v>
      </c>
      <c r="AC623" s="295">
        <v>5.6533600000000002</v>
      </c>
      <c r="AD623" s="295">
        <v>5.6229139999999997</v>
      </c>
      <c r="AE623" s="295">
        <v>5.5925919999999998</v>
      </c>
      <c r="AF623" s="295">
        <v>5.5612750000000002</v>
      </c>
      <c r="AG623" s="295">
        <v>5.5296019999999997</v>
      </c>
      <c r="AH623" s="296">
        <v>-5.4609999999999997E-3</v>
      </c>
    </row>
    <row r="624" spans="1:34" ht="15" customHeight="1" x14ac:dyDescent="0.25">
      <c r="A624" s="213" t="s">
        <v>1507</v>
      </c>
      <c r="B624" s="294" t="s">
        <v>1472</v>
      </c>
      <c r="C624" s="295">
        <v>2.365208</v>
      </c>
      <c r="D624" s="295">
        <v>2.24946</v>
      </c>
      <c r="E624" s="295">
        <v>2.5323359999999999</v>
      </c>
      <c r="F624" s="295">
        <v>2.5366749999999998</v>
      </c>
      <c r="G624" s="295">
        <v>2.5429349999999999</v>
      </c>
      <c r="H624" s="295">
        <v>2.5371100000000002</v>
      </c>
      <c r="I624" s="295">
        <v>2.5312239999999999</v>
      </c>
      <c r="J624" s="295">
        <v>2.5500940000000001</v>
      </c>
      <c r="K624" s="295">
        <v>2.579615</v>
      </c>
      <c r="L624" s="295">
        <v>2.612803</v>
      </c>
      <c r="M624" s="295">
        <v>2.6498650000000001</v>
      </c>
      <c r="N624" s="295">
        <v>2.6896990000000001</v>
      </c>
      <c r="O624" s="295">
        <v>2.7268240000000001</v>
      </c>
      <c r="P624" s="295">
        <v>2.766016</v>
      </c>
      <c r="Q624" s="295">
        <v>2.8042739999999999</v>
      </c>
      <c r="R624" s="295">
        <v>2.8495550000000001</v>
      </c>
      <c r="S624" s="295">
        <v>2.8966440000000002</v>
      </c>
      <c r="T624" s="295">
        <v>2.948172</v>
      </c>
      <c r="U624" s="295">
        <v>2.9958140000000002</v>
      </c>
      <c r="V624" s="295">
        <v>3.0438719999999999</v>
      </c>
      <c r="W624" s="295">
        <v>3.0937459999999999</v>
      </c>
      <c r="X624" s="295">
        <v>3.1447099999999999</v>
      </c>
      <c r="Y624" s="295">
        <v>3.1978279999999999</v>
      </c>
      <c r="Z624" s="295">
        <v>3.2515170000000002</v>
      </c>
      <c r="AA624" s="295">
        <v>3.306629</v>
      </c>
      <c r="AB624" s="295">
        <v>3.3606820000000002</v>
      </c>
      <c r="AC624" s="295">
        <v>3.4178510000000002</v>
      </c>
      <c r="AD624" s="295">
        <v>3.4746139999999999</v>
      </c>
      <c r="AE624" s="295">
        <v>3.536829</v>
      </c>
      <c r="AF624" s="295">
        <v>3.5983320000000001</v>
      </c>
      <c r="AG624" s="295">
        <v>3.6610960000000001</v>
      </c>
      <c r="AH624" s="296">
        <v>1.4670000000000001E-2</v>
      </c>
    </row>
    <row r="625" spans="1:34" ht="15" customHeight="1" x14ac:dyDescent="0.25">
      <c r="A625" s="213" t="s">
        <v>1508</v>
      </c>
      <c r="B625" s="294" t="s">
        <v>1474</v>
      </c>
      <c r="C625" s="295">
        <v>2.8613599999999999</v>
      </c>
      <c r="D625" s="295">
        <v>2.8623729999999998</v>
      </c>
      <c r="E625" s="295">
        <v>2.8721990000000002</v>
      </c>
      <c r="F625" s="295">
        <v>2.8519269999999999</v>
      </c>
      <c r="G625" s="295">
        <v>2.8368310000000001</v>
      </c>
      <c r="H625" s="295">
        <v>2.8119640000000001</v>
      </c>
      <c r="I625" s="295">
        <v>2.7864360000000001</v>
      </c>
      <c r="J625" s="295">
        <v>2.7783440000000001</v>
      </c>
      <c r="K625" s="295">
        <v>2.7776939999999999</v>
      </c>
      <c r="L625" s="295">
        <v>2.779874</v>
      </c>
      <c r="M625" s="295">
        <v>2.7832170000000001</v>
      </c>
      <c r="N625" s="295">
        <v>2.7878889999999998</v>
      </c>
      <c r="O625" s="295">
        <v>2.7910910000000002</v>
      </c>
      <c r="P625" s="295">
        <v>2.7956599999999998</v>
      </c>
      <c r="Q625" s="295">
        <v>2.7990469999999998</v>
      </c>
      <c r="R625" s="295">
        <v>2.8060200000000002</v>
      </c>
      <c r="S625" s="295">
        <v>2.8136070000000002</v>
      </c>
      <c r="T625" s="295">
        <v>2.8218030000000001</v>
      </c>
      <c r="U625" s="295">
        <v>2.827823</v>
      </c>
      <c r="V625" s="295">
        <v>2.833275</v>
      </c>
      <c r="W625" s="295">
        <v>2.8388339999999999</v>
      </c>
      <c r="X625" s="295">
        <v>2.8454160000000002</v>
      </c>
      <c r="Y625" s="295">
        <v>2.8521290000000001</v>
      </c>
      <c r="Z625" s="295">
        <v>2.8600270000000001</v>
      </c>
      <c r="AA625" s="295">
        <v>2.8681390000000002</v>
      </c>
      <c r="AB625" s="295">
        <v>2.8765390000000002</v>
      </c>
      <c r="AC625" s="295">
        <v>2.8867500000000001</v>
      </c>
      <c r="AD625" s="295">
        <v>2.8975240000000002</v>
      </c>
      <c r="AE625" s="295">
        <v>2.9100670000000002</v>
      </c>
      <c r="AF625" s="295">
        <v>2.9226399999999999</v>
      </c>
      <c r="AG625" s="295">
        <v>2.9350309999999999</v>
      </c>
      <c r="AH625" s="296">
        <v>8.4800000000000001E-4</v>
      </c>
    </row>
    <row r="626" spans="1:34" ht="15" customHeight="1" x14ac:dyDescent="0.25">
      <c r="A626" s="213" t="s">
        <v>1509</v>
      </c>
      <c r="B626" s="294" t="s">
        <v>1476</v>
      </c>
      <c r="C626" s="295">
        <v>0.85222200000000004</v>
      </c>
      <c r="D626" s="295">
        <v>0.845279</v>
      </c>
      <c r="E626" s="295">
        <v>0.84332200000000002</v>
      </c>
      <c r="F626" s="295">
        <v>0.82742899999999997</v>
      </c>
      <c r="G626" s="295">
        <v>0.81229600000000002</v>
      </c>
      <c r="H626" s="295">
        <v>0.79391599999999996</v>
      </c>
      <c r="I626" s="295">
        <v>0.77705100000000005</v>
      </c>
      <c r="J626" s="295">
        <v>0.76875000000000004</v>
      </c>
      <c r="K626" s="295">
        <v>0.76380000000000003</v>
      </c>
      <c r="L626" s="295">
        <v>0.76027400000000001</v>
      </c>
      <c r="M626" s="295">
        <v>0.75814400000000004</v>
      </c>
      <c r="N626" s="295">
        <v>0.75669399999999998</v>
      </c>
      <c r="O626" s="295">
        <v>0.75448899999999997</v>
      </c>
      <c r="P626" s="295">
        <v>0.75402100000000005</v>
      </c>
      <c r="Q626" s="295">
        <v>0.75374600000000003</v>
      </c>
      <c r="R626" s="295">
        <v>0.755498</v>
      </c>
      <c r="S626" s="295">
        <v>0.75773100000000004</v>
      </c>
      <c r="T626" s="295">
        <v>0.76084200000000002</v>
      </c>
      <c r="U626" s="295">
        <v>0.76366999999999996</v>
      </c>
      <c r="V626" s="295">
        <v>0.76732800000000001</v>
      </c>
      <c r="W626" s="295">
        <v>0.77202999999999999</v>
      </c>
      <c r="X626" s="295">
        <v>0.77810599999999996</v>
      </c>
      <c r="Y626" s="295">
        <v>0.78491699999999998</v>
      </c>
      <c r="Z626" s="295">
        <v>0.79128500000000002</v>
      </c>
      <c r="AA626" s="295">
        <v>0.79746600000000001</v>
      </c>
      <c r="AB626" s="295">
        <v>0.80348600000000003</v>
      </c>
      <c r="AC626" s="295">
        <v>0.80970399999999998</v>
      </c>
      <c r="AD626" s="295">
        <v>0.81597799999999998</v>
      </c>
      <c r="AE626" s="295">
        <v>0.82269700000000001</v>
      </c>
      <c r="AF626" s="295">
        <v>0.82868699999999995</v>
      </c>
      <c r="AG626" s="295">
        <v>0.83381799999999995</v>
      </c>
      <c r="AH626" s="296">
        <v>-7.27E-4</v>
      </c>
    </row>
    <row r="627" spans="1:34" ht="15" customHeight="1" x14ac:dyDescent="0.25">
      <c r="A627" s="213" t="s">
        <v>1510</v>
      </c>
      <c r="B627" s="294" t="s">
        <v>1478</v>
      </c>
      <c r="C627" s="295">
        <v>0.278059</v>
      </c>
      <c r="D627" s="295">
        <v>0.27805800000000003</v>
      </c>
      <c r="E627" s="295">
        <v>0.27937699999999999</v>
      </c>
      <c r="F627" s="295">
        <v>0.27807999999999999</v>
      </c>
      <c r="G627" s="295">
        <v>0.27677499999999999</v>
      </c>
      <c r="H627" s="295">
        <v>0.27469399999999999</v>
      </c>
      <c r="I627" s="295">
        <v>0.27271499999999999</v>
      </c>
      <c r="J627" s="295">
        <v>0.27221699999999999</v>
      </c>
      <c r="K627" s="295">
        <v>0.272233</v>
      </c>
      <c r="L627" s="295">
        <v>0.27239999999999998</v>
      </c>
      <c r="M627" s="295">
        <v>0.27269599999999999</v>
      </c>
      <c r="N627" s="295">
        <v>0.27295000000000003</v>
      </c>
      <c r="O627" s="295">
        <v>0.27287299999999998</v>
      </c>
      <c r="P627" s="295">
        <v>0.27314699999999997</v>
      </c>
      <c r="Q627" s="295">
        <v>0.27344600000000002</v>
      </c>
      <c r="R627" s="295">
        <v>0.27416299999999999</v>
      </c>
      <c r="S627" s="295">
        <v>0.27498699999999998</v>
      </c>
      <c r="T627" s="295">
        <v>0.27601700000000001</v>
      </c>
      <c r="U627" s="295">
        <v>0.27682200000000001</v>
      </c>
      <c r="V627" s="295">
        <v>0.277646</v>
      </c>
      <c r="W627" s="295">
        <v>0.27853299999999998</v>
      </c>
      <c r="X627" s="295">
        <v>0.27954699999999999</v>
      </c>
      <c r="Y627" s="295">
        <v>0.28057500000000002</v>
      </c>
      <c r="Z627" s="295">
        <v>0.28154200000000001</v>
      </c>
      <c r="AA627" s="295">
        <v>0.282503</v>
      </c>
      <c r="AB627" s="295">
        <v>0.283466</v>
      </c>
      <c r="AC627" s="295">
        <v>0.284497</v>
      </c>
      <c r="AD627" s="295">
        <v>0.28557100000000002</v>
      </c>
      <c r="AE627" s="295">
        <v>0.28676200000000002</v>
      </c>
      <c r="AF627" s="295">
        <v>0.28784999999999999</v>
      </c>
      <c r="AG627" s="295">
        <v>0.28881099999999998</v>
      </c>
      <c r="AH627" s="296">
        <v>1.2650000000000001E-3</v>
      </c>
    </row>
    <row r="628" spans="1:34" ht="15" customHeight="1" x14ac:dyDescent="0.25">
      <c r="A628" s="213" t="s">
        <v>1511</v>
      </c>
      <c r="B628" s="294" t="s">
        <v>1480</v>
      </c>
      <c r="C628" s="295">
        <v>0.65924099999999997</v>
      </c>
      <c r="D628" s="295">
        <v>0.67057</v>
      </c>
      <c r="E628" s="295">
        <v>0.68315499999999996</v>
      </c>
      <c r="F628" s="295">
        <v>0.68423199999999995</v>
      </c>
      <c r="G628" s="295">
        <v>0.68615700000000002</v>
      </c>
      <c r="H628" s="295">
        <v>0.68444199999999999</v>
      </c>
      <c r="I628" s="295">
        <v>0.68227700000000002</v>
      </c>
      <c r="J628" s="295">
        <v>0.68603499999999995</v>
      </c>
      <c r="K628" s="295">
        <v>0.69225300000000001</v>
      </c>
      <c r="L628" s="295">
        <v>0.69918499999999995</v>
      </c>
      <c r="M628" s="295">
        <v>0.70697100000000002</v>
      </c>
      <c r="N628" s="295">
        <v>0.71482000000000001</v>
      </c>
      <c r="O628" s="295">
        <v>0.72161799999999998</v>
      </c>
      <c r="P628" s="295">
        <v>0.72884599999999999</v>
      </c>
      <c r="Q628" s="295">
        <v>0.735823</v>
      </c>
      <c r="R628" s="295">
        <v>0.74411300000000002</v>
      </c>
      <c r="S628" s="295">
        <v>0.752722</v>
      </c>
      <c r="T628" s="295">
        <v>0.76147699999999996</v>
      </c>
      <c r="U628" s="295">
        <v>0.76918900000000001</v>
      </c>
      <c r="V628" s="295">
        <v>0.77688199999999996</v>
      </c>
      <c r="W628" s="295">
        <v>0.78465799999999997</v>
      </c>
      <c r="X628" s="295">
        <v>0.79286900000000005</v>
      </c>
      <c r="Y628" s="295">
        <v>0.80090799999999995</v>
      </c>
      <c r="Z628" s="295">
        <v>0.80919700000000006</v>
      </c>
      <c r="AA628" s="295">
        <v>0.81719699999999995</v>
      </c>
      <c r="AB628" s="295">
        <v>0.82500600000000002</v>
      </c>
      <c r="AC628" s="295">
        <v>0.83329900000000001</v>
      </c>
      <c r="AD628" s="295">
        <v>0.84162899999999996</v>
      </c>
      <c r="AE628" s="295">
        <v>0.85063999999999995</v>
      </c>
      <c r="AF628" s="295">
        <v>0.859653</v>
      </c>
      <c r="AG628" s="295">
        <v>0.86843599999999999</v>
      </c>
      <c r="AH628" s="296">
        <v>9.2289999999999994E-3</v>
      </c>
    </row>
    <row r="629" spans="1:34" ht="15" customHeight="1" x14ac:dyDescent="0.25">
      <c r="A629" s="213" t="s">
        <v>1512</v>
      </c>
      <c r="B629" s="294" t="s">
        <v>1482</v>
      </c>
      <c r="C629" s="295">
        <v>0.198131</v>
      </c>
      <c r="D629" s="295">
        <v>0.19703899999999999</v>
      </c>
      <c r="E629" s="295">
        <v>0.19719600000000001</v>
      </c>
      <c r="F629" s="295">
        <v>0.194129</v>
      </c>
      <c r="G629" s="295">
        <v>0.19103999999999999</v>
      </c>
      <c r="H629" s="295">
        <v>0.18697</v>
      </c>
      <c r="I629" s="295">
        <v>0.18306</v>
      </c>
      <c r="J629" s="295">
        <v>0.18099199999999999</v>
      </c>
      <c r="K629" s="295">
        <v>0.179649</v>
      </c>
      <c r="L629" s="295">
        <v>0.178564</v>
      </c>
      <c r="M629" s="295">
        <v>0.17771100000000001</v>
      </c>
      <c r="N629" s="295">
        <v>0.17688599999999999</v>
      </c>
      <c r="O629" s="295">
        <v>0.17574600000000001</v>
      </c>
      <c r="P629" s="295">
        <v>0.17488200000000001</v>
      </c>
      <c r="Q629" s="295">
        <v>0.17393900000000001</v>
      </c>
      <c r="R629" s="295">
        <v>0.17333699999999999</v>
      </c>
      <c r="S629" s="295">
        <v>0.17274400000000001</v>
      </c>
      <c r="T629" s="295">
        <v>0.17225299999999999</v>
      </c>
      <c r="U629" s="295">
        <v>0.17160900000000001</v>
      </c>
      <c r="V629" s="295">
        <v>0.17108000000000001</v>
      </c>
      <c r="W629" s="295">
        <v>0.170713</v>
      </c>
      <c r="X629" s="295">
        <v>0.1706</v>
      </c>
      <c r="Y629" s="295">
        <v>0.1706</v>
      </c>
      <c r="Z629" s="295">
        <v>0.17064299999999999</v>
      </c>
      <c r="AA629" s="295">
        <v>0.17080400000000001</v>
      </c>
      <c r="AB629" s="295">
        <v>0.171095</v>
      </c>
      <c r="AC629" s="295">
        <v>0.171593</v>
      </c>
      <c r="AD629" s="295">
        <v>0.17224700000000001</v>
      </c>
      <c r="AE629" s="295">
        <v>0.17302699999999999</v>
      </c>
      <c r="AF629" s="295">
        <v>0.17368700000000001</v>
      </c>
      <c r="AG629" s="295">
        <v>0.17420099999999999</v>
      </c>
      <c r="AH629" s="296">
        <v>-4.2810000000000001E-3</v>
      </c>
    </row>
    <row r="630" spans="1:34" ht="15" customHeight="1" x14ac:dyDescent="0.25">
      <c r="A630" s="213" t="s">
        <v>1513</v>
      </c>
      <c r="B630" s="294" t="s">
        <v>1484</v>
      </c>
      <c r="C630" s="295">
        <v>0.60499700000000001</v>
      </c>
      <c r="D630" s="295">
        <v>0.58587500000000003</v>
      </c>
      <c r="E630" s="295">
        <v>0.580785</v>
      </c>
      <c r="F630" s="295">
        <v>0.57045400000000002</v>
      </c>
      <c r="G630" s="295">
        <v>0.56319900000000001</v>
      </c>
      <c r="H630" s="295">
        <v>0.54918</v>
      </c>
      <c r="I630" s="295">
        <v>0.53659199999999996</v>
      </c>
      <c r="J630" s="295">
        <v>0.531532</v>
      </c>
      <c r="K630" s="295">
        <v>0.530389</v>
      </c>
      <c r="L630" s="295">
        <v>0.53064699999999998</v>
      </c>
      <c r="M630" s="295">
        <v>0.52516300000000005</v>
      </c>
      <c r="N630" s="295">
        <v>0.52126899999999998</v>
      </c>
      <c r="O630" s="295">
        <v>0.517648</v>
      </c>
      <c r="P630" s="295">
        <v>0.51513299999999995</v>
      </c>
      <c r="Q630" s="295">
        <v>0.51311700000000005</v>
      </c>
      <c r="R630" s="295">
        <v>0.51264299999999996</v>
      </c>
      <c r="S630" s="295">
        <v>0.51252799999999998</v>
      </c>
      <c r="T630" s="295">
        <v>0.512741</v>
      </c>
      <c r="U630" s="295">
        <v>0.51240799999999997</v>
      </c>
      <c r="V630" s="295">
        <v>0.51224000000000003</v>
      </c>
      <c r="W630" s="295">
        <v>0.50375999999999999</v>
      </c>
      <c r="X630" s="295">
        <v>0.49730400000000002</v>
      </c>
      <c r="Y630" s="295">
        <v>0.49198399999999998</v>
      </c>
      <c r="Z630" s="295">
        <v>0.48801099999999997</v>
      </c>
      <c r="AA630" s="295">
        <v>0.48484899999999997</v>
      </c>
      <c r="AB630" s="295">
        <v>0.48225899999999999</v>
      </c>
      <c r="AC630" s="295">
        <v>0.48034199999999999</v>
      </c>
      <c r="AD630" s="295">
        <v>0.47859200000000002</v>
      </c>
      <c r="AE630" s="295">
        <v>0.47733399999999998</v>
      </c>
      <c r="AF630" s="295">
        <v>0.47613100000000003</v>
      </c>
      <c r="AG630" s="295">
        <v>0.47534199999999999</v>
      </c>
      <c r="AH630" s="296">
        <v>-8.0070000000000002E-3</v>
      </c>
    </row>
    <row r="631" spans="1:34" ht="15" customHeight="1" x14ac:dyDescent="0.25">
      <c r="A631" s="213" t="s">
        <v>1514</v>
      </c>
      <c r="B631" s="294" t="s">
        <v>1486</v>
      </c>
      <c r="C631" s="295">
        <v>0.105334</v>
      </c>
      <c r="D631" s="295">
        <v>0.10596899999999999</v>
      </c>
      <c r="E631" s="295">
        <v>0.10728</v>
      </c>
      <c r="F631" s="295">
        <v>0.106848</v>
      </c>
      <c r="G631" s="295">
        <v>0.106407</v>
      </c>
      <c r="H631" s="295">
        <v>0.105422</v>
      </c>
      <c r="I631" s="295">
        <v>0.10451299999999999</v>
      </c>
      <c r="J631" s="295">
        <v>0.10464</v>
      </c>
      <c r="K631" s="295">
        <v>0.10513400000000001</v>
      </c>
      <c r="L631" s="295">
        <v>0.10573399999999999</v>
      </c>
      <c r="M631" s="295">
        <v>0.106471</v>
      </c>
      <c r="N631" s="295">
        <v>0.107181</v>
      </c>
      <c r="O631" s="295">
        <v>0.107657</v>
      </c>
      <c r="P631" s="295">
        <v>0.108247</v>
      </c>
      <c r="Q631" s="295">
        <v>0.10872800000000001</v>
      </c>
      <c r="R631" s="295">
        <v>0.10936700000000001</v>
      </c>
      <c r="S631" s="295">
        <v>0.109943</v>
      </c>
      <c r="T631" s="295">
        <v>0.110523</v>
      </c>
      <c r="U631" s="295">
        <v>0.110939</v>
      </c>
      <c r="V631" s="295">
        <v>0.111364</v>
      </c>
      <c r="W631" s="295">
        <v>0.11183</v>
      </c>
      <c r="X631" s="295">
        <v>0.112384</v>
      </c>
      <c r="Y631" s="295">
        <v>0.11294</v>
      </c>
      <c r="Z631" s="295">
        <v>0.113442</v>
      </c>
      <c r="AA631" s="295">
        <v>0.113931</v>
      </c>
      <c r="AB631" s="295">
        <v>0.114413</v>
      </c>
      <c r="AC631" s="295">
        <v>0.114942</v>
      </c>
      <c r="AD631" s="295">
        <v>0.11550000000000001</v>
      </c>
      <c r="AE631" s="295">
        <v>0.116144</v>
      </c>
      <c r="AF631" s="295">
        <v>0.116711</v>
      </c>
      <c r="AG631" s="295">
        <v>0.117184</v>
      </c>
      <c r="AH631" s="296">
        <v>3.5599999999999998E-3</v>
      </c>
    </row>
    <row r="632" spans="1:34" ht="15" customHeight="1" x14ac:dyDescent="0.25">
      <c r="A632" s="213" t="s">
        <v>1515</v>
      </c>
      <c r="B632" s="294" t="s">
        <v>1488</v>
      </c>
      <c r="C632" s="295">
        <v>7.6228000000000004E-2</v>
      </c>
      <c r="D632" s="295">
        <v>7.7252000000000001E-2</v>
      </c>
      <c r="E632" s="295">
        <v>7.8738000000000002E-2</v>
      </c>
      <c r="F632" s="295">
        <v>7.8917000000000001E-2</v>
      </c>
      <c r="G632" s="295">
        <v>7.9047000000000006E-2</v>
      </c>
      <c r="H632" s="295">
        <v>7.8729999999999994E-2</v>
      </c>
      <c r="I632" s="295">
        <v>7.8419000000000003E-2</v>
      </c>
      <c r="J632" s="295">
        <v>7.8839000000000006E-2</v>
      </c>
      <c r="K632" s="295">
        <v>7.9629000000000005E-2</v>
      </c>
      <c r="L632" s="295">
        <v>8.0598000000000003E-2</v>
      </c>
      <c r="M632" s="295">
        <v>8.1734000000000001E-2</v>
      </c>
      <c r="N632" s="295">
        <v>8.2950999999999997E-2</v>
      </c>
      <c r="O632" s="295">
        <v>8.4090999999999999E-2</v>
      </c>
      <c r="P632" s="295">
        <v>8.5433999999999996E-2</v>
      </c>
      <c r="Q632" s="295">
        <v>8.6809999999999998E-2</v>
      </c>
      <c r="R632" s="295">
        <v>8.8303000000000006E-2</v>
      </c>
      <c r="S632" s="295">
        <v>8.9736999999999997E-2</v>
      </c>
      <c r="T632" s="295">
        <v>9.1167999999999999E-2</v>
      </c>
      <c r="U632" s="295">
        <v>9.2454999999999996E-2</v>
      </c>
      <c r="V632" s="295">
        <v>9.3743000000000007E-2</v>
      </c>
      <c r="W632" s="295">
        <v>9.5057000000000003E-2</v>
      </c>
      <c r="X632" s="295">
        <v>9.6439999999999998E-2</v>
      </c>
      <c r="Y632" s="295">
        <v>9.7821000000000005E-2</v>
      </c>
      <c r="Z632" s="295">
        <v>9.9148E-2</v>
      </c>
      <c r="AA632" s="295">
        <v>0.100456</v>
      </c>
      <c r="AB632" s="295">
        <v>0.101752</v>
      </c>
      <c r="AC632" s="295">
        <v>0.10308299999999999</v>
      </c>
      <c r="AD632" s="295">
        <v>0.104437</v>
      </c>
      <c r="AE632" s="295">
        <v>0.105864</v>
      </c>
      <c r="AF632" s="295">
        <v>0.107214</v>
      </c>
      <c r="AG632" s="295">
        <v>0.108471</v>
      </c>
      <c r="AH632" s="296">
        <v>1.1828E-2</v>
      </c>
    </row>
    <row r="633" spans="1:34" ht="15" customHeight="1" x14ac:dyDescent="0.25">
      <c r="A633" s="213" t="s">
        <v>1516</v>
      </c>
      <c r="B633" s="294" t="s">
        <v>1490</v>
      </c>
      <c r="C633" s="295">
        <v>0.59894199999999997</v>
      </c>
      <c r="D633" s="295">
        <v>0.58730199999999999</v>
      </c>
      <c r="E633" s="295">
        <v>0.58140999999999998</v>
      </c>
      <c r="F633" s="295">
        <v>0.56733900000000004</v>
      </c>
      <c r="G633" s="295">
        <v>0.55628599999999995</v>
      </c>
      <c r="H633" s="295">
        <v>0.54458300000000004</v>
      </c>
      <c r="I633" s="295">
        <v>0.53496200000000005</v>
      </c>
      <c r="J633" s="295">
        <v>0.53261700000000001</v>
      </c>
      <c r="K633" s="295">
        <v>0.53414600000000001</v>
      </c>
      <c r="L633" s="295">
        <v>0.53807799999999995</v>
      </c>
      <c r="M633" s="295">
        <v>0.54436300000000004</v>
      </c>
      <c r="N633" s="295">
        <v>0.55201299999999998</v>
      </c>
      <c r="O633" s="295">
        <v>0.560002</v>
      </c>
      <c r="P633" s="295">
        <v>0.56933500000000004</v>
      </c>
      <c r="Q633" s="295">
        <v>0.57898000000000005</v>
      </c>
      <c r="R633" s="295">
        <v>0.59024399999999999</v>
      </c>
      <c r="S633" s="295">
        <v>0.60203099999999998</v>
      </c>
      <c r="T633" s="295">
        <v>0.61410299999999995</v>
      </c>
      <c r="U633" s="295">
        <v>0.62519100000000005</v>
      </c>
      <c r="V633" s="295">
        <v>0.63575899999999996</v>
      </c>
      <c r="W633" s="295">
        <v>0.64554999999999996</v>
      </c>
      <c r="X633" s="295">
        <v>0.654478</v>
      </c>
      <c r="Y633" s="295">
        <v>0.66192499999999999</v>
      </c>
      <c r="Z633" s="295">
        <v>0.66880399999999995</v>
      </c>
      <c r="AA633" s="295">
        <v>0.67521399999999998</v>
      </c>
      <c r="AB633" s="295">
        <v>0.681288</v>
      </c>
      <c r="AC633" s="295">
        <v>0.68757000000000001</v>
      </c>
      <c r="AD633" s="295">
        <v>0.69366899999999998</v>
      </c>
      <c r="AE633" s="295">
        <v>0.70011400000000001</v>
      </c>
      <c r="AF633" s="295">
        <v>0.70623400000000003</v>
      </c>
      <c r="AG633" s="295">
        <v>0.71198600000000001</v>
      </c>
      <c r="AH633" s="296">
        <v>5.7800000000000004E-3</v>
      </c>
    </row>
    <row r="634" spans="1:34" ht="15" customHeight="1" x14ac:dyDescent="0.25">
      <c r="A634" s="213" t="s">
        <v>1517</v>
      </c>
      <c r="B634" s="294" t="s">
        <v>1492</v>
      </c>
      <c r="C634" s="295">
        <v>0.2482</v>
      </c>
      <c r="D634" s="295">
        <v>0.23993</v>
      </c>
      <c r="E634" s="295">
        <v>0.233935</v>
      </c>
      <c r="F634" s="295">
        <v>0.22454499999999999</v>
      </c>
      <c r="G634" s="295">
        <v>0.21623400000000001</v>
      </c>
      <c r="H634" s="295">
        <v>0.207486</v>
      </c>
      <c r="I634" s="295">
        <v>0.199404</v>
      </c>
      <c r="J634" s="295">
        <v>0.19383</v>
      </c>
      <c r="K634" s="295">
        <v>0.18940499999999999</v>
      </c>
      <c r="L634" s="295">
        <v>0.18552299999999999</v>
      </c>
      <c r="M634" s="295">
        <v>0.18210100000000001</v>
      </c>
      <c r="N634" s="295">
        <v>0.17876400000000001</v>
      </c>
      <c r="O634" s="295">
        <v>0.175182</v>
      </c>
      <c r="P634" s="295">
        <v>0.171651</v>
      </c>
      <c r="Q634" s="295">
        <v>0.16786400000000001</v>
      </c>
      <c r="R634" s="295">
        <v>0.16418099999999999</v>
      </c>
      <c r="S634" s="295">
        <v>0.160275</v>
      </c>
      <c r="T634" s="295">
        <v>0.156495</v>
      </c>
      <c r="U634" s="295">
        <v>0.152583</v>
      </c>
      <c r="V634" s="295">
        <v>0.148698</v>
      </c>
      <c r="W634" s="295">
        <v>0.14483499999999999</v>
      </c>
      <c r="X634" s="295">
        <v>0.141043</v>
      </c>
      <c r="Y634" s="295">
        <v>0.13716600000000001</v>
      </c>
      <c r="Z634" s="295">
        <v>0.1333</v>
      </c>
      <c r="AA634" s="295">
        <v>0.12931200000000001</v>
      </c>
      <c r="AB634" s="295">
        <v>0.12518000000000001</v>
      </c>
      <c r="AC634" s="295">
        <v>0.120979</v>
      </c>
      <c r="AD634" s="295">
        <v>0.116587</v>
      </c>
      <c r="AE634" s="295">
        <v>0.11208799999999999</v>
      </c>
      <c r="AF634" s="295">
        <v>0.107267</v>
      </c>
      <c r="AG634" s="295">
        <v>0.102107</v>
      </c>
      <c r="AH634" s="296">
        <v>-2.9173000000000001E-2</v>
      </c>
    </row>
    <row r="635" spans="1:34" ht="15" customHeight="1" x14ac:dyDescent="0.25">
      <c r="A635" s="213" t="s">
        <v>1518</v>
      </c>
      <c r="B635" s="294" t="s">
        <v>1494</v>
      </c>
      <c r="C635" s="295">
        <v>0.22392699999999999</v>
      </c>
      <c r="D635" s="295">
        <v>0.241091</v>
      </c>
      <c r="E635" s="295">
        <v>0.24384900000000001</v>
      </c>
      <c r="F635" s="295">
        <v>0.24181800000000001</v>
      </c>
      <c r="G635" s="295">
        <v>0.240172</v>
      </c>
      <c r="H635" s="295">
        <v>0.23697799999999999</v>
      </c>
      <c r="I635" s="295">
        <v>0.23361999999999999</v>
      </c>
      <c r="J635" s="295">
        <v>0.23272999999999999</v>
      </c>
      <c r="K635" s="295">
        <v>0.23261699999999999</v>
      </c>
      <c r="L635" s="295">
        <v>0.232574</v>
      </c>
      <c r="M635" s="295">
        <v>0.23225799999999999</v>
      </c>
      <c r="N635" s="295">
        <v>0.231685</v>
      </c>
      <c r="O635" s="295">
        <v>0.230213</v>
      </c>
      <c r="P635" s="295">
        <v>0.22844900000000001</v>
      </c>
      <c r="Q635" s="295">
        <v>0.225937</v>
      </c>
      <c r="R635" s="295">
        <v>0.22339500000000001</v>
      </c>
      <c r="S635" s="295">
        <v>0.220419</v>
      </c>
      <c r="T635" s="295">
        <v>0.21715000000000001</v>
      </c>
      <c r="U635" s="295">
        <v>0.21328</v>
      </c>
      <c r="V635" s="295">
        <v>0.20938899999999999</v>
      </c>
      <c r="W635" s="295">
        <v>0.20572499999999999</v>
      </c>
      <c r="X635" s="295">
        <v>0.20239399999999999</v>
      </c>
      <c r="Y635" s="295">
        <v>0.199214</v>
      </c>
      <c r="Z635" s="295">
        <v>0.19619300000000001</v>
      </c>
      <c r="AA635" s="295">
        <v>0.193466</v>
      </c>
      <c r="AB635" s="295">
        <v>0.19101099999999999</v>
      </c>
      <c r="AC635" s="295">
        <v>0.18896299999999999</v>
      </c>
      <c r="AD635" s="295">
        <v>0.18722</v>
      </c>
      <c r="AE635" s="295">
        <v>0.18590899999999999</v>
      </c>
      <c r="AF635" s="295">
        <v>0.18473200000000001</v>
      </c>
      <c r="AG635" s="295">
        <v>0.183726</v>
      </c>
      <c r="AH635" s="296">
        <v>-6.574E-3</v>
      </c>
    </row>
    <row r="636" spans="1:34" ht="15" customHeight="1" x14ac:dyDescent="0.25">
      <c r="A636" s="213" t="s">
        <v>1519</v>
      </c>
      <c r="B636" s="294" t="s">
        <v>1496</v>
      </c>
      <c r="C636" s="295">
        <v>5.4173179999999999</v>
      </c>
      <c r="D636" s="295">
        <v>5.517531</v>
      </c>
      <c r="E636" s="295">
        <v>5.2904280000000004</v>
      </c>
      <c r="F636" s="295">
        <v>5.2672829999999999</v>
      </c>
      <c r="G636" s="295">
        <v>5.2377719999999997</v>
      </c>
      <c r="H636" s="295">
        <v>5.1873639999999996</v>
      </c>
      <c r="I636" s="295">
        <v>5.1637300000000002</v>
      </c>
      <c r="J636" s="295">
        <v>5.1872299999999996</v>
      </c>
      <c r="K636" s="295">
        <v>5.230664</v>
      </c>
      <c r="L636" s="295">
        <v>5.2812229999999998</v>
      </c>
      <c r="M636" s="295">
        <v>5.3405129999999996</v>
      </c>
      <c r="N636" s="295">
        <v>5.3995030000000002</v>
      </c>
      <c r="O636" s="295">
        <v>5.4492139999999996</v>
      </c>
      <c r="P636" s="295">
        <v>5.5029890000000004</v>
      </c>
      <c r="Q636" s="295">
        <v>5.5620520000000004</v>
      </c>
      <c r="R636" s="295">
        <v>5.6262169999999996</v>
      </c>
      <c r="S636" s="295">
        <v>5.6897349999999998</v>
      </c>
      <c r="T636" s="295">
        <v>5.7543189999999997</v>
      </c>
      <c r="U636" s="295">
        <v>5.811509</v>
      </c>
      <c r="V636" s="295">
        <v>5.8701059999999998</v>
      </c>
      <c r="W636" s="295">
        <v>5.9295859999999996</v>
      </c>
      <c r="X636" s="295">
        <v>5.9946849999999996</v>
      </c>
      <c r="Y636" s="295">
        <v>6.0616380000000003</v>
      </c>
      <c r="Z636" s="295">
        <v>6.1295609999999998</v>
      </c>
      <c r="AA636" s="295">
        <v>6.1960689999999996</v>
      </c>
      <c r="AB636" s="295">
        <v>6.2625080000000004</v>
      </c>
      <c r="AC636" s="295">
        <v>6.3333490000000001</v>
      </c>
      <c r="AD636" s="295">
        <v>6.4064579999999998</v>
      </c>
      <c r="AE636" s="295">
        <v>6.4866570000000001</v>
      </c>
      <c r="AF636" s="295">
        <v>6.5649730000000002</v>
      </c>
      <c r="AG636" s="295">
        <v>6.6400810000000003</v>
      </c>
      <c r="AH636" s="296">
        <v>6.8069999999999997E-3</v>
      </c>
    </row>
    <row r="637" spans="1:34" ht="15" customHeight="1" x14ac:dyDescent="0.2">
      <c r="A637" s="213" t="s">
        <v>1520</v>
      </c>
      <c r="B637" s="204" t="s">
        <v>1521</v>
      </c>
      <c r="C637" s="205">
        <v>21.005993</v>
      </c>
      <c r="D637" s="205">
        <v>21.035762999999999</v>
      </c>
      <c r="E637" s="205">
        <v>21.244858000000001</v>
      </c>
      <c r="F637" s="205">
        <v>21.087658000000001</v>
      </c>
      <c r="G637" s="205">
        <v>20.952598999999999</v>
      </c>
      <c r="H637" s="205">
        <v>20.738651000000001</v>
      </c>
      <c r="I637" s="205">
        <v>20.547239000000001</v>
      </c>
      <c r="J637" s="205">
        <v>20.500430999999999</v>
      </c>
      <c r="K637" s="205">
        <v>20.519217999999999</v>
      </c>
      <c r="L637" s="205">
        <v>20.560032</v>
      </c>
      <c r="M637" s="205">
        <v>20.613861</v>
      </c>
      <c r="N637" s="205">
        <v>20.678925</v>
      </c>
      <c r="O637" s="205">
        <v>20.726565999999998</v>
      </c>
      <c r="P637" s="205">
        <v>20.788119999999999</v>
      </c>
      <c r="Q637" s="205">
        <v>20.851172999999999</v>
      </c>
      <c r="R637" s="205">
        <v>20.9436</v>
      </c>
      <c r="S637" s="205">
        <v>21.040094</v>
      </c>
      <c r="T637" s="205">
        <v>21.146532000000001</v>
      </c>
      <c r="U637" s="205">
        <v>21.234878999999999</v>
      </c>
      <c r="V637" s="205">
        <v>21.325555999999999</v>
      </c>
      <c r="W637" s="205">
        <v>21.415388</v>
      </c>
      <c r="X637" s="205">
        <v>21.518371999999999</v>
      </c>
      <c r="Y637" s="205">
        <v>21.626104000000002</v>
      </c>
      <c r="Z637" s="205">
        <v>21.738506000000001</v>
      </c>
      <c r="AA637" s="205">
        <v>21.850746000000001</v>
      </c>
      <c r="AB637" s="205">
        <v>21.961483000000001</v>
      </c>
      <c r="AC637" s="205">
        <v>22.086281</v>
      </c>
      <c r="AD637" s="205">
        <v>22.21294</v>
      </c>
      <c r="AE637" s="205">
        <v>22.356724</v>
      </c>
      <c r="AF637" s="205">
        <v>22.495386</v>
      </c>
      <c r="AG637" s="205">
        <v>22.62989</v>
      </c>
      <c r="AH637" s="206">
        <v>2.4849999999999998E-3</v>
      </c>
    </row>
    <row r="638" spans="1:34" ht="15" customHeight="1" x14ac:dyDescent="0.25">
      <c r="A638" s="213" t="s">
        <v>1522</v>
      </c>
      <c r="B638" s="294" t="s">
        <v>1523</v>
      </c>
      <c r="C638" s="295">
        <v>7.8131000000000006E-2</v>
      </c>
      <c r="D638" s="295">
        <v>8.9439000000000005E-2</v>
      </c>
      <c r="E638" s="295">
        <v>9.8996000000000001E-2</v>
      </c>
      <c r="F638" s="295">
        <v>0.10828400000000001</v>
      </c>
      <c r="G638" s="295">
        <v>0.117412</v>
      </c>
      <c r="H638" s="295">
        <v>0.12662599999999999</v>
      </c>
      <c r="I638" s="295">
        <v>0.13608999999999999</v>
      </c>
      <c r="J638" s="295">
        <v>0.145616</v>
      </c>
      <c r="K638" s="295">
        <v>0.15523799999999999</v>
      </c>
      <c r="L638" s="295">
        <v>0.16494300000000001</v>
      </c>
      <c r="M638" s="295">
        <v>0.17486399999999999</v>
      </c>
      <c r="N638" s="295">
        <v>0.185082</v>
      </c>
      <c r="O638" s="295">
        <v>0.19552700000000001</v>
      </c>
      <c r="P638" s="295">
        <v>0.20619000000000001</v>
      </c>
      <c r="Q638" s="295">
        <v>0.217114</v>
      </c>
      <c r="R638" s="295">
        <v>0.22825300000000001</v>
      </c>
      <c r="S638" s="295">
        <v>0.23962600000000001</v>
      </c>
      <c r="T638" s="295">
        <v>0.25120300000000001</v>
      </c>
      <c r="U638" s="295">
        <v>0.26299899999999998</v>
      </c>
      <c r="V638" s="295">
        <v>0.275007</v>
      </c>
      <c r="W638" s="295">
        <v>0.287302</v>
      </c>
      <c r="X638" s="295">
        <v>0.29986499999999999</v>
      </c>
      <c r="Y638" s="295">
        <v>0.31278499999999998</v>
      </c>
      <c r="Z638" s="295">
        <v>0.326067</v>
      </c>
      <c r="AA638" s="295">
        <v>0.33971499999999999</v>
      </c>
      <c r="AB638" s="295">
        <v>0.35381099999999999</v>
      </c>
      <c r="AC638" s="295">
        <v>0.36832900000000002</v>
      </c>
      <c r="AD638" s="295">
        <v>0.38323400000000002</v>
      </c>
      <c r="AE638" s="295">
        <v>0.39861600000000003</v>
      </c>
      <c r="AF638" s="295">
        <v>0.41442000000000001</v>
      </c>
      <c r="AG638" s="295">
        <v>0.43064400000000003</v>
      </c>
      <c r="AH638" s="296">
        <v>5.8546000000000001E-2</v>
      </c>
    </row>
    <row r="639" spans="1:34" ht="15" customHeight="1" x14ac:dyDescent="0.2">
      <c r="A639" s="213" t="s">
        <v>1524</v>
      </c>
      <c r="B639" s="204" t="s">
        <v>1525</v>
      </c>
      <c r="C639" s="205">
        <v>20.927862000000001</v>
      </c>
      <c r="D639" s="205">
        <v>20.946323</v>
      </c>
      <c r="E639" s="205">
        <v>21.145861</v>
      </c>
      <c r="F639" s="205">
        <v>20.979374</v>
      </c>
      <c r="G639" s="205">
        <v>20.835186</v>
      </c>
      <c r="H639" s="205">
        <v>20.612026</v>
      </c>
      <c r="I639" s="205">
        <v>20.411148000000001</v>
      </c>
      <c r="J639" s="205">
        <v>20.354814999999999</v>
      </c>
      <c r="K639" s="205">
        <v>20.363980999999999</v>
      </c>
      <c r="L639" s="205">
        <v>20.395088000000001</v>
      </c>
      <c r="M639" s="205">
        <v>20.438997000000001</v>
      </c>
      <c r="N639" s="205">
        <v>20.493842999999998</v>
      </c>
      <c r="O639" s="205">
        <v>20.531037999999999</v>
      </c>
      <c r="P639" s="205">
        <v>20.58193</v>
      </c>
      <c r="Q639" s="205">
        <v>20.634060000000002</v>
      </c>
      <c r="R639" s="205">
        <v>20.715347000000001</v>
      </c>
      <c r="S639" s="205">
        <v>20.800467999999999</v>
      </c>
      <c r="T639" s="205">
        <v>20.895329</v>
      </c>
      <c r="U639" s="205">
        <v>20.971879999999999</v>
      </c>
      <c r="V639" s="205">
        <v>21.050549</v>
      </c>
      <c r="W639" s="205">
        <v>21.128086</v>
      </c>
      <c r="X639" s="205">
        <v>21.218506000000001</v>
      </c>
      <c r="Y639" s="205">
        <v>21.313320000000001</v>
      </c>
      <c r="Z639" s="205">
        <v>21.412438999999999</v>
      </c>
      <c r="AA639" s="205">
        <v>21.511030000000002</v>
      </c>
      <c r="AB639" s="205">
        <v>21.607672000000001</v>
      </c>
      <c r="AC639" s="205">
        <v>21.717950999999999</v>
      </c>
      <c r="AD639" s="205">
        <v>21.829706000000002</v>
      </c>
      <c r="AE639" s="205">
        <v>21.958109</v>
      </c>
      <c r="AF639" s="205">
        <v>22.080967000000001</v>
      </c>
      <c r="AG639" s="205">
        <v>22.199245000000001</v>
      </c>
      <c r="AH639" s="206">
        <v>1.9680000000000001E-3</v>
      </c>
    </row>
    <row r="641" spans="1:34" ht="15" customHeight="1" x14ac:dyDescent="0.2">
      <c r="B641" s="204" t="s">
        <v>1526</v>
      </c>
    </row>
    <row r="642" spans="1:34" ht="15" customHeight="1" x14ac:dyDescent="0.25">
      <c r="A642" s="213" t="s">
        <v>1527</v>
      </c>
      <c r="B642" s="294" t="s">
        <v>1528</v>
      </c>
      <c r="C642" s="295">
        <v>1.3027E-2</v>
      </c>
      <c r="D642" s="295">
        <v>1.5183E-2</v>
      </c>
      <c r="E642" s="295">
        <v>1.7817E-2</v>
      </c>
      <c r="F642" s="295">
        <v>1.9005000000000001E-2</v>
      </c>
      <c r="G642" s="295">
        <v>2.0483999999999999E-2</v>
      </c>
      <c r="H642" s="295">
        <v>2.1389999999999999E-2</v>
      </c>
      <c r="I642" s="295">
        <v>2.2734999999999998E-2</v>
      </c>
      <c r="J642" s="295">
        <v>2.3963000000000002E-2</v>
      </c>
      <c r="K642" s="295">
        <v>2.5274999999999999E-2</v>
      </c>
      <c r="L642" s="295">
        <v>2.6539E-2</v>
      </c>
      <c r="M642" s="295">
        <v>2.7795E-2</v>
      </c>
      <c r="N642" s="295">
        <v>2.8951000000000001E-2</v>
      </c>
      <c r="O642" s="295">
        <v>3.0151000000000001E-2</v>
      </c>
      <c r="P642" s="295">
        <v>3.1366999999999999E-2</v>
      </c>
      <c r="Q642" s="295">
        <v>3.2542000000000001E-2</v>
      </c>
      <c r="R642" s="295">
        <v>3.3729000000000002E-2</v>
      </c>
      <c r="S642" s="295">
        <v>3.4930999999999997E-2</v>
      </c>
      <c r="T642" s="295">
        <v>3.61E-2</v>
      </c>
      <c r="U642" s="295">
        <v>3.7217E-2</v>
      </c>
      <c r="V642" s="295">
        <v>3.8406000000000003E-2</v>
      </c>
      <c r="W642" s="295">
        <v>3.9655000000000003E-2</v>
      </c>
      <c r="X642" s="295">
        <v>4.0898999999999998E-2</v>
      </c>
      <c r="Y642" s="295">
        <v>4.2190999999999999E-2</v>
      </c>
      <c r="Z642" s="295">
        <v>4.3469000000000001E-2</v>
      </c>
      <c r="AA642" s="295">
        <v>4.4774000000000001E-2</v>
      </c>
      <c r="AB642" s="295">
        <v>4.6102999999999998E-2</v>
      </c>
      <c r="AC642" s="295">
        <v>4.7516000000000003E-2</v>
      </c>
      <c r="AD642" s="295">
        <v>4.8974999999999998E-2</v>
      </c>
      <c r="AE642" s="295">
        <v>5.0460999999999999E-2</v>
      </c>
      <c r="AF642" s="295">
        <v>5.1894000000000003E-2</v>
      </c>
      <c r="AG642" s="295">
        <v>5.3342000000000001E-2</v>
      </c>
      <c r="AH642" s="296">
        <v>4.8111000000000001E-2</v>
      </c>
    </row>
    <row r="643" spans="1:34" ht="15" customHeight="1" x14ac:dyDescent="0.25">
      <c r="A643" s="213" t="s">
        <v>1529</v>
      </c>
      <c r="B643" s="294" t="s">
        <v>1530</v>
      </c>
      <c r="C643" s="295">
        <v>4.1875999999999997E-2</v>
      </c>
      <c r="D643" s="295">
        <v>4.5830999999999997E-2</v>
      </c>
      <c r="E643" s="295">
        <v>4.6117999999999999E-2</v>
      </c>
      <c r="F643" s="295">
        <v>4.5619E-2</v>
      </c>
      <c r="G643" s="295">
        <v>4.5566000000000002E-2</v>
      </c>
      <c r="H643" s="295">
        <v>4.4778999999999999E-2</v>
      </c>
      <c r="I643" s="295">
        <v>4.4589999999999998E-2</v>
      </c>
      <c r="J643" s="295">
        <v>4.4705000000000002E-2</v>
      </c>
      <c r="K643" s="295">
        <v>4.4933000000000001E-2</v>
      </c>
      <c r="L643" s="295">
        <v>4.5137999999999998E-2</v>
      </c>
      <c r="M643" s="295">
        <v>4.5601999999999997E-2</v>
      </c>
      <c r="N643" s="295">
        <v>4.5950999999999999E-2</v>
      </c>
      <c r="O643" s="295">
        <v>4.6161000000000001E-2</v>
      </c>
      <c r="P643" s="295">
        <v>4.6390000000000001E-2</v>
      </c>
      <c r="Q643" s="295">
        <v>4.6642999999999997E-2</v>
      </c>
      <c r="R643" s="295">
        <v>4.6836999999999997E-2</v>
      </c>
      <c r="S643" s="295">
        <v>4.7087999999999998E-2</v>
      </c>
      <c r="T643" s="295">
        <v>4.7438000000000001E-2</v>
      </c>
      <c r="U643" s="295">
        <v>4.7509999999999997E-2</v>
      </c>
      <c r="V643" s="295">
        <v>4.7744000000000002E-2</v>
      </c>
      <c r="W643" s="295">
        <v>4.7961999999999998E-2</v>
      </c>
      <c r="X643" s="295">
        <v>4.8198999999999999E-2</v>
      </c>
      <c r="Y643" s="295">
        <v>4.8433999999999998E-2</v>
      </c>
      <c r="Z643" s="295">
        <v>4.8627999999999998E-2</v>
      </c>
      <c r="AA643" s="295">
        <v>4.8779999999999997E-2</v>
      </c>
      <c r="AB643" s="295">
        <v>4.8828000000000003E-2</v>
      </c>
      <c r="AC643" s="295">
        <v>4.8940999999999998E-2</v>
      </c>
      <c r="AD643" s="295">
        <v>4.9234E-2</v>
      </c>
      <c r="AE643" s="295">
        <v>4.9318000000000001E-2</v>
      </c>
      <c r="AF643" s="295">
        <v>4.9361000000000002E-2</v>
      </c>
      <c r="AG643" s="295">
        <v>4.9486000000000002E-2</v>
      </c>
      <c r="AH643" s="296">
        <v>5.581E-3</v>
      </c>
    </row>
    <row r="644" spans="1:34" ht="15" customHeight="1" x14ac:dyDescent="0.25">
      <c r="A644" s="213" t="s">
        <v>1531</v>
      </c>
      <c r="B644" s="294" t="s">
        <v>1532</v>
      </c>
      <c r="C644" s="295">
        <v>0.224748</v>
      </c>
      <c r="D644" s="295">
        <v>0.25952999999999998</v>
      </c>
      <c r="E644" s="295">
        <v>0.28950999999999999</v>
      </c>
      <c r="F644" s="295">
        <v>0.31522600000000001</v>
      </c>
      <c r="G644" s="295">
        <v>0.34195799999999998</v>
      </c>
      <c r="H644" s="295">
        <v>0.36465500000000001</v>
      </c>
      <c r="I644" s="295">
        <v>0.38978800000000002</v>
      </c>
      <c r="J644" s="295">
        <v>0.41790300000000002</v>
      </c>
      <c r="K644" s="295">
        <v>0.44681700000000002</v>
      </c>
      <c r="L644" s="295">
        <v>0.47486</v>
      </c>
      <c r="M644" s="295">
        <v>0.50702400000000003</v>
      </c>
      <c r="N644" s="295">
        <v>0.53750600000000004</v>
      </c>
      <c r="O644" s="295">
        <v>0.56687399999999999</v>
      </c>
      <c r="P644" s="295">
        <v>0.59701300000000002</v>
      </c>
      <c r="Q644" s="295">
        <v>0.62914899999999996</v>
      </c>
      <c r="R644" s="295">
        <v>0.66230100000000003</v>
      </c>
      <c r="S644" s="295">
        <v>0.69674899999999995</v>
      </c>
      <c r="T644" s="295">
        <v>0.73366699999999996</v>
      </c>
      <c r="U644" s="295">
        <v>0.76523300000000005</v>
      </c>
      <c r="V644" s="295">
        <v>0.80181400000000003</v>
      </c>
      <c r="W644" s="295">
        <v>0.838758</v>
      </c>
      <c r="X644" s="295">
        <v>0.87630799999999998</v>
      </c>
      <c r="Y644" s="295">
        <v>0.91482699999999995</v>
      </c>
      <c r="Z644" s="295">
        <v>0.95336900000000002</v>
      </c>
      <c r="AA644" s="295">
        <v>0.99279799999999996</v>
      </c>
      <c r="AB644" s="295">
        <v>1.0310410000000001</v>
      </c>
      <c r="AC644" s="295">
        <v>1.0708819999999999</v>
      </c>
      <c r="AD644" s="295">
        <v>1.114576</v>
      </c>
      <c r="AE644" s="295">
        <v>1.1559360000000001</v>
      </c>
      <c r="AF644" s="295">
        <v>1.196906</v>
      </c>
      <c r="AG644" s="295">
        <v>1.241698</v>
      </c>
      <c r="AH644" s="296">
        <v>5.8630000000000002E-2</v>
      </c>
    </row>
    <row r="645" spans="1:34" ht="15" customHeight="1" x14ac:dyDescent="0.25">
      <c r="A645" s="213" t="s">
        <v>1533</v>
      </c>
      <c r="B645" s="294" t="s">
        <v>1534</v>
      </c>
      <c r="C645" s="295">
        <v>1.7200000000000001E-4</v>
      </c>
      <c r="D645" s="295">
        <v>1.74E-4</v>
      </c>
      <c r="E645" s="295">
        <v>1.73E-4</v>
      </c>
      <c r="F645" s="295">
        <v>1.7100000000000001E-4</v>
      </c>
      <c r="G645" s="295">
        <v>1.7000000000000001E-4</v>
      </c>
      <c r="H645" s="295">
        <v>1.65E-4</v>
      </c>
      <c r="I645" s="295">
        <v>1.64E-4</v>
      </c>
      <c r="J645" s="295">
        <v>1.63E-4</v>
      </c>
      <c r="K645" s="295">
        <v>1.63E-4</v>
      </c>
      <c r="L645" s="295">
        <v>1.6200000000000001E-4</v>
      </c>
      <c r="M645" s="295">
        <v>1.6200000000000001E-4</v>
      </c>
      <c r="N645" s="295">
        <v>1.6200000000000001E-4</v>
      </c>
      <c r="O645" s="295">
        <v>1.6200000000000001E-4</v>
      </c>
      <c r="P645" s="295">
        <v>1.6100000000000001E-4</v>
      </c>
      <c r="Q645" s="295">
        <v>1.6100000000000001E-4</v>
      </c>
      <c r="R645" s="295">
        <v>1.6100000000000001E-4</v>
      </c>
      <c r="S645" s="295">
        <v>1.6100000000000001E-4</v>
      </c>
      <c r="T645" s="295">
        <v>1.6100000000000001E-4</v>
      </c>
      <c r="U645" s="295">
        <v>1.6000000000000001E-4</v>
      </c>
      <c r="V645" s="295">
        <v>1.6100000000000001E-4</v>
      </c>
      <c r="W645" s="295">
        <v>1.6200000000000001E-4</v>
      </c>
      <c r="X645" s="295">
        <v>1.63E-4</v>
      </c>
      <c r="Y645" s="295">
        <v>1.65E-4</v>
      </c>
      <c r="Z645" s="295">
        <v>1.6699999999999999E-4</v>
      </c>
      <c r="AA645" s="295">
        <v>1.6899999999999999E-4</v>
      </c>
      <c r="AB645" s="295">
        <v>1.7000000000000001E-4</v>
      </c>
      <c r="AC645" s="295">
        <v>1.7200000000000001E-4</v>
      </c>
      <c r="AD645" s="295">
        <v>1.74E-4</v>
      </c>
      <c r="AE645" s="295">
        <v>1.76E-4</v>
      </c>
      <c r="AF645" s="295">
        <v>1.7799999999999999E-4</v>
      </c>
      <c r="AG645" s="295">
        <v>1.8000000000000001E-4</v>
      </c>
      <c r="AH645" s="296">
        <v>1.374E-3</v>
      </c>
    </row>
    <row r="646" spans="1:34" ht="15" customHeight="1" x14ac:dyDescent="0.2">
      <c r="A646" s="213" t="s">
        <v>1535</v>
      </c>
      <c r="B646" s="204" t="s">
        <v>653</v>
      </c>
      <c r="C646" s="205">
        <v>0.27982400000000002</v>
      </c>
      <c r="D646" s="205">
        <v>0.32071699999999997</v>
      </c>
      <c r="E646" s="205">
        <v>0.35361799999999999</v>
      </c>
      <c r="F646" s="205">
        <v>0.38002000000000002</v>
      </c>
      <c r="G646" s="205">
        <v>0.40817700000000001</v>
      </c>
      <c r="H646" s="205">
        <v>0.43098999999999998</v>
      </c>
      <c r="I646" s="205">
        <v>0.45727699999999999</v>
      </c>
      <c r="J646" s="205">
        <v>0.486734</v>
      </c>
      <c r="K646" s="205">
        <v>0.51718900000000001</v>
      </c>
      <c r="L646" s="205">
        <v>0.54669900000000005</v>
      </c>
      <c r="M646" s="205">
        <v>0.58058299999999996</v>
      </c>
      <c r="N646" s="205">
        <v>0.61256999999999995</v>
      </c>
      <c r="O646" s="205">
        <v>0.64334800000000003</v>
      </c>
      <c r="P646" s="205">
        <v>0.67493199999999998</v>
      </c>
      <c r="Q646" s="205">
        <v>0.70849499999999999</v>
      </c>
      <c r="R646" s="205">
        <v>0.74302800000000002</v>
      </c>
      <c r="S646" s="205">
        <v>0.77892899999999998</v>
      </c>
      <c r="T646" s="205">
        <v>0.81736699999999995</v>
      </c>
      <c r="U646" s="205">
        <v>0.85011999999999999</v>
      </c>
      <c r="V646" s="205">
        <v>0.88812500000000005</v>
      </c>
      <c r="W646" s="205">
        <v>0.92653700000000005</v>
      </c>
      <c r="X646" s="205">
        <v>0.96557000000000004</v>
      </c>
      <c r="Y646" s="205">
        <v>1.005617</v>
      </c>
      <c r="Z646" s="205">
        <v>1.045633</v>
      </c>
      <c r="AA646" s="205">
        <v>1.0865199999999999</v>
      </c>
      <c r="AB646" s="205">
        <v>1.126142</v>
      </c>
      <c r="AC646" s="205">
        <v>1.167511</v>
      </c>
      <c r="AD646" s="205">
        <v>1.21296</v>
      </c>
      <c r="AE646" s="205">
        <v>1.2558910000000001</v>
      </c>
      <c r="AF646" s="205">
        <v>1.2983389999999999</v>
      </c>
      <c r="AG646" s="205">
        <v>1.344705</v>
      </c>
      <c r="AH646" s="206">
        <v>5.3719000000000003E-2</v>
      </c>
    </row>
    <row r="648" spans="1:34" ht="15" customHeight="1" x14ac:dyDescent="0.2">
      <c r="B648" s="204" t="s">
        <v>1536</v>
      </c>
    </row>
    <row r="649" spans="1:34" ht="15" customHeight="1" x14ac:dyDescent="0.25">
      <c r="A649" s="213" t="s">
        <v>1537</v>
      </c>
      <c r="B649" s="294" t="s">
        <v>1538</v>
      </c>
      <c r="C649" s="297">
        <v>5958</v>
      </c>
      <c r="D649" s="297">
        <v>6244</v>
      </c>
      <c r="E649" s="297">
        <v>6198</v>
      </c>
      <c r="F649" s="297">
        <v>6187</v>
      </c>
      <c r="G649" s="297">
        <v>6176</v>
      </c>
      <c r="H649" s="297">
        <v>6165</v>
      </c>
      <c r="I649" s="297">
        <v>6153</v>
      </c>
      <c r="J649" s="297">
        <v>6142</v>
      </c>
      <c r="K649" s="297">
        <v>6130</v>
      </c>
      <c r="L649" s="297">
        <v>6118</v>
      </c>
      <c r="M649" s="297">
        <v>6107</v>
      </c>
      <c r="N649" s="297">
        <v>6095</v>
      </c>
      <c r="O649" s="297">
        <v>6083</v>
      </c>
      <c r="P649" s="297">
        <v>6071</v>
      </c>
      <c r="Q649" s="297">
        <v>6059</v>
      </c>
      <c r="R649" s="297">
        <v>6048</v>
      </c>
      <c r="S649" s="297">
        <v>6036</v>
      </c>
      <c r="T649" s="297">
        <v>6024</v>
      </c>
      <c r="U649" s="297">
        <v>6012</v>
      </c>
      <c r="V649" s="297">
        <v>6000</v>
      </c>
      <c r="W649" s="297">
        <v>5988</v>
      </c>
      <c r="X649" s="297">
        <v>5976</v>
      </c>
      <c r="Y649" s="297">
        <v>5964</v>
      </c>
      <c r="Z649" s="297">
        <v>5952</v>
      </c>
      <c r="AA649" s="297">
        <v>5940</v>
      </c>
      <c r="AB649" s="297">
        <v>5929</v>
      </c>
      <c r="AC649" s="297">
        <v>5917</v>
      </c>
      <c r="AD649" s="297">
        <v>5905</v>
      </c>
      <c r="AE649" s="297">
        <v>5893</v>
      </c>
      <c r="AF649" s="297">
        <v>5881</v>
      </c>
      <c r="AG649" s="297">
        <v>5869</v>
      </c>
      <c r="AH649" s="296">
        <v>-5.0199999999999995E-4</v>
      </c>
    </row>
    <row r="650" spans="1:34" ht="15" customHeight="1" x14ac:dyDescent="0.25">
      <c r="A650" s="213" t="s">
        <v>1539</v>
      </c>
      <c r="B650" s="294" t="s">
        <v>1540</v>
      </c>
      <c r="C650" s="297">
        <v>5371</v>
      </c>
      <c r="D650" s="297">
        <v>5595</v>
      </c>
      <c r="E650" s="297">
        <v>5569</v>
      </c>
      <c r="F650" s="297">
        <v>5558</v>
      </c>
      <c r="G650" s="297">
        <v>5548</v>
      </c>
      <c r="H650" s="297">
        <v>5538</v>
      </c>
      <c r="I650" s="297">
        <v>5528</v>
      </c>
      <c r="J650" s="297">
        <v>5517</v>
      </c>
      <c r="K650" s="297">
        <v>5507</v>
      </c>
      <c r="L650" s="297">
        <v>5497</v>
      </c>
      <c r="M650" s="297">
        <v>5487</v>
      </c>
      <c r="N650" s="297">
        <v>5477</v>
      </c>
      <c r="O650" s="297">
        <v>5467</v>
      </c>
      <c r="P650" s="297">
        <v>5457</v>
      </c>
      <c r="Q650" s="297">
        <v>5446</v>
      </c>
      <c r="R650" s="297">
        <v>5436</v>
      </c>
      <c r="S650" s="297">
        <v>5426</v>
      </c>
      <c r="T650" s="297">
        <v>5416</v>
      </c>
      <c r="U650" s="297">
        <v>5406</v>
      </c>
      <c r="V650" s="297">
        <v>5396</v>
      </c>
      <c r="W650" s="297">
        <v>5386</v>
      </c>
      <c r="X650" s="297">
        <v>5376</v>
      </c>
      <c r="Y650" s="297">
        <v>5366</v>
      </c>
      <c r="Z650" s="297">
        <v>5355</v>
      </c>
      <c r="AA650" s="297">
        <v>5345</v>
      </c>
      <c r="AB650" s="297">
        <v>5335</v>
      </c>
      <c r="AC650" s="297">
        <v>5325</v>
      </c>
      <c r="AD650" s="297">
        <v>5315</v>
      </c>
      <c r="AE650" s="297">
        <v>5305</v>
      </c>
      <c r="AF650" s="297">
        <v>5295</v>
      </c>
      <c r="AG650" s="297">
        <v>5285</v>
      </c>
      <c r="AH650" s="296">
        <v>-5.3799999999999996E-4</v>
      </c>
    </row>
    <row r="651" spans="1:34" ht="15" customHeight="1" x14ac:dyDescent="0.25">
      <c r="A651" s="213" t="s">
        <v>1541</v>
      </c>
      <c r="B651" s="294" t="s">
        <v>1542</v>
      </c>
      <c r="C651" s="297">
        <v>6000</v>
      </c>
      <c r="D651" s="297">
        <v>6217</v>
      </c>
      <c r="E651" s="297">
        <v>6172</v>
      </c>
      <c r="F651" s="297">
        <v>6167</v>
      </c>
      <c r="G651" s="297">
        <v>6163</v>
      </c>
      <c r="H651" s="297">
        <v>6159</v>
      </c>
      <c r="I651" s="297">
        <v>6155</v>
      </c>
      <c r="J651" s="297">
        <v>6151</v>
      </c>
      <c r="K651" s="297">
        <v>6147</v>
      </c>
      <c r="L651" s="297">
        <v>6143</v>
      </c>
      <c r="M651" s="297">
        <v>6138</v>
      </c>
      <c r="N651" s="297">
        <v>6134</v>
      </c>
      <c r="O651" s="297">
        <v>6130</v>
      </c>
      <c r="P651" s="297">
        <v>6126</v>
      </c>
      <c r="Q651" s="297">
        <v>6122</v>
      </c>
      <c r="R651" s="297">
        <v>6118</v>
      </c>
      <c r="S651" s="297">
        <v>6114</v>
      </c>
      <c r="T651" s="297">
        <v>6109</v>
      </c>
      <c r="U651" s="297">
        <v>6105</v>
      </c>
      <c r="V651" s="297">
        <v>6101</v>
      </c>
      <c r="W651" s="297">
        <v>6097</v>
      </c>
      <c r="X651" s="297">
        <v>6093</v>
      </c>
      <c r="Y651" s="297">
        <v>6089</v>
      </c>
      <c r="Z651" s="297">
        <v>6084</v>
      </c>
      <c r="AA651" s="297">
        <v>6080</v>
      </c>
      <c r="AB651" s="297">
        <v>6076</v>
      </c>
      <c r="AC651" s="297">
        <v>6072</v>
      </c>
      <c r="AD651" s="297">
        <v>6068</v>
      </c>
      <c r="AE651" s="297">
        <v>6064</v>
      </c>
      <c r="AF651" s="297">
        <v>6059</v>
      </c>
      <c r="AG651" s="297">
        <v>6055</v>
      </c>
      <c r="AH651" s="296">
        <v>3.0400000000000002E-4</v>
      </c>
    </row>
    <row r="652" spans="1:34" ht="15" customHeight="1" x14ac:dyDescent="0.25">
      <c r="A652" s="213" t="s">
        <v>1543</v>
      </c>
      <c r="B652" s="294" t="s">
        <v>1544</v>
      </c>
      <c r="C652" s="297">
        <v>6410</v>
      </c>
      <c r="D652" s="297">
        <v>6529</v>
      </c>
      <c r="E652" s="297">
        <v>6490</v>
      </c>
      <c r="F652" s="297">
        <v>6489</v>
      </c>
      <c r="G652" s="297">
        <v>6487</v>
      </c>
      <c r="H652" s="297">
        <v>6485</v>
      </c>
      <c r="I652" s="297">
        <v>6483</v>
      </c>
      <c r="J652" s="297">
        <v>6481</v>
      </c>
      <c r="K652" s="297">
        <v>6479</v>
      </c>
      <c r="L652" s="297">
        <v>6477</v>
      </c>
      <c r="M652" s="297">
        <v>6474</v>
      </c>
      <c r="N652" s="297">
        <v>6472</v>
      </c>
      <c r="O652" s="297">
        <v>6470</v>
      </c>
      <c r="P652" s="297">
        <v>6467</v>
      </c>
      <c r="Q652" s="297">
        <v>6465</v>
      </c>
      <c r="R652" s="297">
        <v>6462</v>
      </c>
      <c r="S652" s="297">
        <v>6459</v>
      </c>
      <c r="T652" s="297">
        <v>6457</v>
      </c>
      <c r="U652" s="297">
        <v>6454</v>
      </c>
      <c r="V652" s="297">
        <v>6451</v>
      </c>
      <c r="W652" s="297">
        <v>6449</v>
      </c>
      <c r="X652" s="297">
        <v>6446</v>
      </c>
      <c r="Y652" s="297">
        <v>6443</v>
      </c>
      <c r="Z652" s="297">
        <v>6440</v>
      </c>
      <c r="AA652" s="297">
        <v>6437</v>
      </c>
      <c r="AB652" s="297">
        <v>6434</v>
      </c>
      <c r="AC652" s="297">
        <v>6431</v>
      </c>
      <c r="AD652" s="297">
        <v>6428</v>
      </c>
      <c r="AE652" s="297">
        <v>6426</v>
      </c>
      <c r="AF652" s="297">
        <v>6423</v>
      </c>
      <c r="AG652" s="297">
        <v>6420</v>
      </c>
      <c r="AH652" s="296">
        <v>5.1999999999999997E-5</v>
      </c>
    </row>
    <row r="653" spans="1:34" ht="15" customHeight="1" x14ac:dyDescent="0.25">
      <c r="A653" s="213" t="s">
        <v>1545</v>
      </c>
      <c r="B653" s="294" t="s">
        <v>1546</v>
      </c>
      <c r="C653" s="297">
        <v>2335</v>
      </c>
      <c r="D653" s="297">
        <v>2486</v>
      </c>
      <c r="E653" s="297">
        <v>2520</v>
      </c>
      <c r="F653" s="297">
        <v>2511</v>
      </c>
      <c r="G653" s="297">
        <v>2503</v>
      </c>
      <c r="H653" s="297">
        <v>2495</v>
      </c>
      <c r="I653" s="297">
        <v>2487</v>
      </c>
      <c r="J653" s="297">
        <v>2479</v>
      </c>
      <c r="K653" s="297">
        <v>2471</v>
      </c>
      <c r="L653" s="297">
        <v>2463</v>
      </c>
      <c r="M653" s="297">
        <v>2455</v>
      </c>
      <c r="N653" s="297">
        <v>2448</v>
      </c>
      <c r="O653" s="297">
        <v>2440</v>
      </c>
      <c r="P653" s="297">
        <v>2432</v>
      </c>
      <c r="Q653" s="297">
        <v>2424</v>
      </c>
      <c r="R653" s="297">
        <v>2417</v>
      </c>
      <c r="S653" s="297">
        <v>2409</v>
      </c>
      <c r="T653" s="297">
        <v>2401</v>
      </c>
      <c r="U653" s="297">
        <v>2393</v>
      </c>
      <c r="V653" s="297">
        <v>2385</v>
      </c>
      <c r="W653" s="297">
        <v>2378</v>
      </c>
      <c r="X653" s="297">
        <v>2370</v>
      </c>
      <c r="Y653" s="297">
        <v>2362</v>
      </c>
      <c r="Z653" s="297">
        <v>2355</v>
      </c>
      <c r="AA653" s="297">
        <v>2347</v>
      </c>
      <c r="AB653" s="297">
        <v>2339</v>
      </c>
      <c r="AC653" s="297">
        <v>2332</v>
      </c>
      <c r="AD653" s="297">
        <v>2324</v>
      </c>
      <c r="AE653" s="297">
        <v>2316</v>
      </c>
      <c r="AF653" s="297">
        <v>2309</v>
      </c>
      <c r="AG653" s="297">
        <v>2301</v>
      </c>
      <c r="AH653" s="296">
        <v>-4.8899999999999996E-4</v>
      </c>
    </row>
    <row r="654" spans="1:34" ht="15" customHeight="1" x14ac:dyDescent="0.25">
      <c r="A654" s="213" t="s">
        <v>1547</v>
      </c>
      <c r="B654" s="294" t="s">
        <v>1548</v>
      </c>
      <c r="C654" s="297">
        <v>3119</v>
      </c>
      <c r="D654" s="297">
        <v>3304</v>
      </c>
      <c r="E654" s="297">
        <v>3319</v>
      </c>
      <c r="F654" s="297">
        <v>3314</v>
      </c>
      <c r="G654" s="297">
        <v>3310</v>
      </c>
      <c r="H654" s="297">
        <v>3306</v>
      </c>
      <c r="I654" s="297">
        <v>3302</v>
      </c>
      <c r="J654" s="297">
        <v>3297</v>
      </c>
      <c r="K654" s="297">
        <v>3293</v>
      </c>
      <c r="L654" s="297">
        <v>3288</v>
      </c>
      <c r="M654" s="297">
        <v>3284</v>
      </c>
      <c r="N654" s="297">
        <v>3280</v>
      </c>
      <c r="O654" s="297">
        <v>3275</v>
      </c>
      <c r="P654" s="297">
        <v>3271</v>
      </c>
      <c r="Q654" s="297">
        <v>3266</v>
      </c>
      <c r="R654" s="297">
        <v>3262</v>
      </c>
      <c r="S654" s="297">
        <v>3257</v>
      </c>
      <c r="T654" s="297">
        <v>3252</v>
      </c>
      <c r="U654" s="297">
        <v>3248</v>
      </c>
      <c r="V654" s="297">
        <v>3243</v>
      </c>
      <c r="W654" s="297">
        <v>3238</v>
      </c>
      <c r="X654" s="297">
        <v>3234</v>
      </c>
      <c r="Y654" s="297">
        <v>3229</v>
      </c>
      <c r="Z654" s="297">
        <v>3224</v>
      </c>
      <c r="AA654" s="297">
        <v>3220</v>
      </c>
      <c r="AB654" s="297">
        <v>3215</v>
      </c>
      <c r="AC654" s="297">
        <v>3210</v>
      </c>
      <c r="AD654" s="297">
        <v>3206</v>
      </c>
      <c r="AE654" s="297">
        <v>3201</v>
      </c>
      <c r="AF654" s="297">
        <v>3196</v>
      </c>
      <c r="AG654" s="297">
        <v>3191</v>
      </c>
      <c r="AH654" s="296">
        <v>7.6099999999999996E-4</v>
      </c>
    </row>
    <row r="655" spans="1:34" ht="15" customHeight="1" x14ac:dyDescent="0.25">
      <c r="A655" s="213" t="s">
        <v>1549</v>
      </c>
      <c r="B655" s="294" t="s">
        <v>1550</v>
      </c>
      <c r="C655" s="297">
        <v>1829</v>
      </c>
      <c r="D655" s="297">
        <v>1910</v>
      </c>
      <c r="E655" s="297">
        <v>2015</v>
      </c>
      <c r="F655" s="297">
        <v>2009</v>
      </c>
      <c r="G655" s="297">
        <v>2004</v>
      </c>
      <c r="H655" s="297">
        <v>1999</v>
      </c>
      <c r="I655" s="297">
        <v>1994</v>
      </c>
      <c r="J655" s="297">
        <v>1988</v>
      </c>
      <c r="K655" s="297">
        <v>1983</v>
      </c>
      <c r="L655" s="297">
        <v>1978</v>
      </c>
      <c r="M655" s="297">
        <v>1973</v>
      </c>
      <c r="N655" s="297">
        <v>1967</v>
      </c>
      <c r="O655" s="297">
        <v>1962</v>
      </c>
      <c r="P655" s="297">
        <v>1957</v>
      </c>
      <c r="Q655" s="297">
        <v>1952</v>
      </c>
      <c r="R655" s="297">
        <v>1947</v>
      </c>
      <c r="S655" s="297">
        <v>1942</v>
      </c>
      <c r="T655" s="297">
        <v>1937</v>
      </c>
      <c r="U655" s="297">
        <v>1932</v>
      </c>
      <c r="V655" s="297">
        <v>1927</v>
      </c>
      <c r="W655" s="297">
        <v>1922</v>
      </c>
      <c r="X655" s="297">
        <v>1917</v>
      </c>
      <c r="Y655" s="297">
        <v>1912</v>
      </c>
      <c r="Z655" s="297">
        <v>1907</v>
      </c>
      <c r="AA655" s="297">
        <v>1902</v>
      </c>
      <c r="AB655" s="297">
        <v>1897</v>
      </c>
      <c r="AC655" s="297">
        <v>1892</v>
      </c>
      <c r="AD655" s="297">
        <v>1887</v>
      </c>
      <c r="AE655" s="297">
        <v>1882</v>
      </c>
      <c r="AF655" s="297">
        <v>1877</v>
      </c>
      <c r="AG655" s="297">
        <v>1873</v>
      </c>
      <c r="AH655" s="296">
        <v>7.9299999999999998E-4</v>
      </c>
    </row>
    <row r="656" spans="1:34" ht="15" customHeight="1" x14ac:dyDescent="0.25">
      <c r="A656" s="213" t="s">
        <v>1551</v>
      </c>
      <c r="B656" s="294" t="s">
        <v>1552</v>
      </c>
      <c r="C656" s="297">
        <v>4810</v>
      </c>
      <c r="D656" s="297">
        <v>4802</v>
      </c>
      <c r="E656" s="297">
        <v>4793</v>
      </c>
      <c r="F656" s="297">
        <v>4780</v>
      </c>
      <c r="G656" s="297">
        <v>4768</v>
      </c>
      <c r="H656" s="297">
        <v>4755</v>
      </c>
      <c r="I656" s="297">
        <v>4742</v>
      </c>
      <c r="J656" s="297">
        <v>4730</v>
      </c>
      <c r="K656" s="297">
        <v>4717</v>
      </c>
      <c r="L656" s="297">
        <v>4704</v>
      </c>
      <c r="M656" s="297">
        <v>4691</v>
      </c>
      <c r="N656" s="297">
        <v>4678</v>
      </c>
      <c r="O656" s="297">
        <v>4664</v>
      </c>
      <c r="P656" s="297">
        <v>4651</v>
      </c>
      <c r="Q656" s="297">
        <v>4638</v>
      </c>
      <c r="R656" s="297">
        <v>4624</v>
      </c>
      <c r="S656" s="297">
        <v>4611</v>
      </c>
      <c r="T656" s="297">
        <v>4597</v>
      </c>
      <c r="U656" s="297">
        <v>4584</v>
      </c>
      <c r="V656" s="297">
        <v>4570</v>
      </c>
      <c r="W656" s="297">
        <v>4557</v>
      </c>
      <c r="X656" s="297">
        <v>4543</v>
      </c>
      <c r="Y656" s="297">
        <v>4530</v>
      </c>
      <c r="Z656" s="297">
        <v>4517</v>
      </c>
      <c r="AA656" s="297">
        <v>4503</v>
      </c>
      <c r="AB656" s="297">
        <v>4490</v>
      </c>
      <c r="AC656" s="297">
        <v>4476</v>
      </c>
      <c r="AD656" s="297">
        <v>4463</v>
      </c>
      <c r="AE656" s="297">
        <v>4450</v>
      </c>
      <c r="AF656" s="297">
        <v>4436</v>
      </c>
      <c r="AG656" s="297">
        <v>4423</v>
      </c>
      <c r="AH656" s="296">
        <v>-2.7920000000000002E-3</v>
      </c>
    </row>
    <row r="657" spans="1:34" ht="15" customHeight="1" x14ac:dyDescent="0.25">
      <c r="A657" s="213" t="s">
        <v>1553</v>
      </c>
      <c r="B657" s="294" t="s">
        <v>668</v>
      </c>
      <c r="C657" s="297">
        <v>3335</v>
      </c>
      <c r="D657" s="297">
        <v>3363</v>
      </c>
      <c r="E657" s="297">
        <v>3253</v>
      </c>
      <c r="F657" s="297">
        <v>3243</v>
      </c>
      <c r="G657" s="297">
        <v>3232</v>
      </c>
      <c r="H657" s="297">
        <v>3222</v>
      </c>
      <c r="I657" s="297">
        <v>3212</v>
      </c>
      <c r="J657" s="297">
        <v>3201</v>
      </c>
      <c r="K657" s="297">
        <v>3191</v>
      </c>
      <c r="L657" s="297">
        <v>3180</v>
      </c>
      <c r="M657" s="297">
        <v>3169</v>
      </c>
      <c r="N657" s="297">
        <v>3159</v>
      </c>
      <c r="O657" s="297">
        <v>3148</v>
      </c>
      <c r="P657" s="297">
        <v>3137</v>
      </c>
      <c r="Q657" s="297">
        <v>3126</v>
      </c>
      <c r="R657" s="297">
        <v>3116</v>
      </c>
      <c r="S657" s="297">
        <v>3105</v>
      </c>
      <c r="T657" s="297">
        <v>3094</v>
      </c>
      <c r="U657" s="297">
        <v>3083</v>
      </c>
      <c r="V657" s="297">
        <v>3072</v>
      </c>
      <c r="W657" s="297">
        <v>3061</v>
      </c>
      <c r="X657" s="297">
        <v>3050</v>
      </c>
      <c r="Y657" s="297">
        <v>3039</v>
      </c>
      <c r="Z657" s="297">
        <v>3028</v>
      </c>
      <c r="AA657" s="297">
        <v>3017</v>
      </c>
      <c r="AB657" s="297">
        <v>3005</v>
      </c>
      <c r="AC657" s="297">
        <v>2994</v>
      </c>
      <c r="AD657" s="297">
        <v>2983</v>
      </c>
      <c r="AE657" s="297">
        <v>2972</v>
      </c>
      <c r="AF657" s="297">
        <v>2961</v>
      </c>
      <c r="AG657" s="297">
        <v>2950</v>
      </c>
      <c r="AH657" s="296">
        <v>-4.0810000000000004E-3</v>
      </c>
    </row>
    <row r="658" spans="1:34" ht="15" customHeight="1" x14ac:dyDescent="0.2">
      <c r="A658" s="213" t="s">
        <v>1554</v>
      </c>
      <c r="B658" s="204" t="s">
        <v>1555</v>
      </c>
      <c r="C658" s="299">
        <v>3994.5471189999998</v>
      </c>
      <c r="D658" s="299">
        <v>4123.486328</v>
      </c>
      <c r="E658" s="299">
        <v>4106.1538090000004</v>
      </c>
      <c r="F658" s="299">
        <v>4092.9008789999998</v>
      </c>
      <c r="G658" s="299">
        <v>4080.1918949999999</v>
      </c>
      <c r="H658" s="299">
        <v>4067.608154</v>
      </c>
      <c r="I658" s="299">
        <v>4055.0151369999999</v>
      </c>
      <c r="J658" s="299">
        <v>4042.108643</v>
      </c>
      <c r="K658" s="299">
        <v>4029.5825199999999</v>
      </c>
      <c r="L658" s="299">
        <v>4016.8515619999998</v>
      </c>
      <c r="M658" s="299">
        <v>4004.033203</v>
      </c>
      <c r="N658" s="299">
        <v>3991.616211</v>
      </c>
      <c r="O658" s="299">
        <v>3978.8229980000001</v>
      </c>
      <c r="P658" s="299">
        <v>3966.1135250000002</v>
      </c>
      <c r="Q658" s="299">
        <v>3953.3046880000002</v>
      </c>
      <c r="R658" s="299">
        <v>3940.9418949999999</v>
      </c>
      <c r="S658" s="299">
        <v>3928.1752929999998</v>
      </c>
      <c r="T658" s="299">
        <v>3915.2416990000002</v>
      </c>
      <c r="U658" s="299">
        <v>3902.5</v>
      </c>
      <c r="V658" s="299">
        <v>3889.59375</v>
      </c>
      <c r="W658" s="299">
        <v>3877.0180660000001</v>
      </c>
      <c r="X658" s="299">
        <v>3864.1130370000001</v>
      </c>
      <c r="Y658" s="299">
        <v>3851.210693</v>
      </c>
      <c r="Z658" s="299">
        <v>3838.2595209999999</v>
      </c>
      <c r="AA658" s="299">
        <v>3825.2751459999999</v>
      </c>
      <c r="AB658" s="299">
        <v>3812.1760250000002</v>
      </c>
      <c r="AC658" s="299">
        <v>3799.3579100000002</v>
      </c>
      <c r="AD658" s="299">
        <v>3786.5341800000001</v>
      </c>
      <c r="AE658" s="299">
        <v>3773.8266600000002</v>
      </c>
      <c r="AF658" s="299">
        <v>3761.2253420000002</v>
      </c>
      <c r="AG658" s="299">
        <v>3748.8479000000002</v>
      </c>
      <c r="AH658" s="206">
        <v>-2.114E-3</v>
      </c>
    </row>
    <row r="660" spans="1:34" ht="15" customHeight="1" x14ac:dyDescent="0.2">
      <c r="B660" s="204" t="s">
        <v>1556</v>
      </c>
    </row>
    <row r="661" spans="1:34" ht="15" customHeight="1" x14ac:dyDescent="0.25">
      <c r="A661" s="213" t="s">
        <v>1557</v>
      </c>
      <c r="B661" s="294" t="s">
        <v>1538</v>
      </c>
      <c r="C661" s="297">
        <v>652</v>
      </c>
      <c r="D661" s="297">
        <v>505</v>
      </c>
      <c r="E661" s="297">
        <v>579</v>
      </c>
      <c r="F661" s="297">
        <v>584</v>
      </c>
      <c r="G661" s="297">
        <v>590</v>
      </c>
      <c r="H661" s="297">
        <v>596</v>
      </c>
      <c r="I661" s="297">
        <v>602</v>
      </c>
      <c r="J661" s="297">
        <v>608</v>
      </c>
      <c r="K661" s="297">
        <v>614</v>
      </c>
      <c r="L661" s="297">
        <v>620</v>
      </c>
      <c r="M661" s="297">
        <v>626</v>
      </c>
      <c r="N661" s="297">
        <v>632</v>
      </c>
      <c r="O661" s="297">
        <v>638</v>
      </c>
      <c r="P661" s="297">
        <v>644</v>
      </c>
      <c r="Q661" s="297">
        <v>650</v>
      </c>
      <c r="R661" s="297">
        <v>656</v>
      </c>
      <c r="S661" s="297">
        <v>662</v>
      </c>
      <c r="T661" s="297">
        <v>668</v>
      </c>
      <c r="U661" s="297">
        <v>674</v>
      </c>
      <c r="V661" s="297">
        <v>680</v>
      </c>
      <c r="W661" s="297">
        <v>686</v>
      </c>
      <c r="X661" s="297">
        <v>692</v>
      </c>
      <c r="Y661" s="297">
        <v>698</v>
      </c>
      <c r="Z661" s="297">
        <v>704</v>
      </c>
      <c r="AA661" s="297">
        <v>710</v>
      </c>
      <c r="AB661" s="297">
        <v>716</v>
      </c>
      <c r="AC661" s="297">
        <v>723</v>
      </c>
      <c r="AD661" s="297">
        <v>729</v>
      </c>
      <c r="AE661" s="297">
        <v>735</v>
      </c>
      <c r="AF661" s="297">
        <v>741</v>
      </c>
      <c r="AG661" s="297">
        <v>747</v>
      </c>
      <c r="AH661" s="296">
        <v>4.5440000000000003E-3</v>
      </c>
    </row>
    <row r="662" spans="1:34" ht="15" customHeight="1" x14ac:dyDescent="0.25">
      <c r="A662" s="213" t="s">
        <v>1558</v>
      </c>
      <c r="B662" s="294" t="s">
        <v>1540</v>
      </c>
      <c r="C662" s="297">
        <v>840</v>
      </c>
      <c r="D662" s="297">
        <v>706</v>
      </c>
      <c r="E662" s="297">
        <v>826</v>
      </c>
      <c r="F662" s="297">
        <v>834</v>
      </c>
      <c r="G662" s="297">
        <v>842</v>
      </c>
      <c r="H662" s="297">
        <v>850</v>
      </c>
      <c r="I662" s="297">
        <v>858</v>
      </c>
      <c r="J662" s="297">
        <v>867</v>
      </c>
      <c r="K662" s="297">
        <v>875</v>
      </c>
      <c r="L662" s="297">
        <v>883</v>
      </c>
      <c r="M662" s="297">
        <v>891</v>
      </c>
      <c r="N662" s="297">
        <v>899</v>
      </c>
      <c r="O662" s="297">
        <v>907</v>
      </c>
      <c r="P662" s="297">
        <v>916</v>
      </c>
      <c r="Q662" s="297">
        <v>924</v>
      </c>
      <c r="R662" s="297">
        <v>932</v>
      </c>
      <c r="S662" s="297">
        <v>940</v>
      </c>
      <c r="T662" s="297">
        <v>948</v>
      </c>
      <c r="U662" s="297">
        <v>956</v>
      </c>
      <c r="V662" s="297">
        <v>965</v>
      </c>
      <c r="W662" s="297">
        <v>973</v>
      </c>
      <c r="X662" s="297">
        <v>981</v>
      </c>
      <c r="Y662" s="297">
        <v>989</v>
      </c>
      <c r="Z662" s="297">
        <v>997</v>
      </c>
      <c r="AA662" s="297">
        <v>1005</v>
      </c>
      <c r="AB662" s="297">
        <v>1014</v>
      </c>
      <c r="AC662" s="297">
        <v>1022</v>
      </c>
      <c r="AD662" s="297">
        <v>1030</v>
      </c>
      <c r="AE662" s="297">
        <v>1038</v>
      </c>
      <c r="AF662" s="297">
        <v>1046</v>
      </c>
      <c r="AG662" s="297">
        <v>1054</v>
      </c>
      <c r="AH662" s="296">
        <v>7.5940000000000001E-3</v>
      </c>
    </row>
    <row r="663" spans="1:34" ht="15" customHeight="1" x14ac:dyDescent="0.25">
      <c r="A663" s="213" t="s">
        <v>1559</v>
      </c>
      <c r="B663" s="294" t="s">
        <v>1542</v>
      </c>
      <c r="C663" s="297">
        <v>831</v>
      </c>
      <c r="D663" s="297">
        <v>767</v>
      </c>
      <c r="E663" s="297">
        <v>857</v>
      </c>
      <c r="F663" s="297">
        <v>864</v>
      </c>
      <c r="G663" s="297">
        <v>870</v>
      </c>
      <c r="H663" s="297">
        <v>876</v>
      </c>
      <c r="I663" s="297">
        <v>882</v>
      </c>
      <c r="J663" s="297">
        <v>889</v>
      </c>
      <c r="K663" s="297">
        <v>895</v>
      </c>
      <c r="L663" s="297">
        <v>901</v>
      </c>
      <c r="M663" s="297">
        <v>907</v>
      </c>
      <c r="N663" s="297">
        <v>914</v>
      </c>
      <c r="O663" s="297">
        <v>920</v>
      </c>
      <c r="P663" s="297">
        <v>926</v>
      </c>
      <c r="Q663" s="297">
        <v>932</v>
      </c>
      <c r="R663" s="297">
        <v>939</v>
      </c>
      <c r="S663" s="297">
        <v>945</v>
      </c>
      <c r="T663" s="297">
        <v>951</v>
      </c>
      <c r="U663" s="297">
        <v>958</v>
      </c>
      <c r="V663" s="297">
        <v>964</v>
      </c>
      <c r="W663" s="297">
        <v>970</v>
      </c>
      <c r="X663" s="297">
        <v>976</v>
      </c>
      <c r="Y663" s="297">
        <v>983</v>
      </c>
      <c r="Z663" s="297">
        <v>989</v>
      </c>
      <c r="AA663" s="297">
        <v>995</v>
      </c>
      <c r="AB663" s="297">
        <v>1002</v>
      </c>
      <c r="AC663" s="297">
        <v>1008</v>
      </c>
      <c r="AD663" s="297">
        <v>1014</v>
      </c>
      <c r="AE663" s="297">
        <v>1021</v>
      </c>
      <c r="AF663" s="297">
        <v>1027</v>
      </c>
      <c r="AG663" s="297">
        <v>1033</v>
      </c>
      <c r="AH663" s="296">
        <v>7.28E-3</v>
      </c>
    </row>
    <row r="664" spans="1:34" ht="15" customHeight="1" x14ac:dyDescent="0.25">
      <c r="A664" s="213" t="s">
        <v>1560</v>
      </c>
      <c r="B664" s="294" t="s">
        <v>1544</v>
      </c>
      <c r="C664" s="297">
        <v>975</v>
      </c>
      <c r="D664" s="297">
        <v>956</v>
      </c>
      <c r="E664" s="297">
        <v>1035</v>
      </c>
      <c r="F664" s="297">
        <v>1040</v>
      </c>
      <c r="G664" s="297">
        <v>1046</v>
      </c>
      <c r="H664" s="297">
        <v>1051</v>
      </c>
      <c r="I664" s="297">
        <v>1057</v>
      </c>
      <c r="J664" s="297">
        <v>1062</v>
      </c>
      <c r="K664" s="297">
        <v>1068</v>
      </c>
      <c r="L664" s="297">
        <v>1074</v>
      </c>
      <c r="M664" s="297">
        <v>1079</v>
      </c>
      <c r="N664" s="297">
        <v>1085</v>
      </c>
      <c r="O664" s="297">
        <v>1091</v>
      </c>
      <c r="P664" s="297">
        <v>1096</v>
      </c>
      <c r="Q664" s="297">
        <v>1102</v>
      </c>
      <c r="R664" s="297">
        <v>1108</v>
      </c>
      <c r="S664" s="297">
        <v>1114</v>
      </c>
      <c r="T664" s="297">
        <v>1119</v>
      </c>
      <c r="U664" s="297">
        <v>1125</v>
      </c>
      <c r="V664" s="297">
        <v>1131</v>
      </c>
      <c r="W664" s="297">
        <v>1137</v>
      </c>
      <c r="X664" s="297">
        <v>1142</v>
      </c>
      <c r="Y664" s="297">
        <v>1148</v>
      </c>
      <c r="Z664" s="297">
        <v>1154</v>
      </c>
      <c r="AA664" s="297">
        <v>1160</v>
      </c>
      <c r="AB664" s="297">
        <v>1166</v>
      </c>
      <c r="AC664" s="297">
        <v>1171</v>
      </c>
      <c r="AD664" s="297">
        <v>1177</v>
      </c>
      <c r="AE664" s="297">
        <v>1183</v>
      </c>
      <c r="AF664" s="297">
        <v>1189</v>
      </c>
      <c r="AG664" s="297">
        <v>1195</v>
      </c>
      <c r="AH664" s="296">
        <v>6.8050000000000003E-3</v>
      </c>
    </row>
    <row r="665" spans="1:34" ht="15" customHeight="1" x14ac:dyDescent="0.25">
      <c r="A665" s="213" t="s">
        <v>1561</v>
      </c>
      <c r="B665" s="294" t="s">
        <v>1546</v>
      </c>
      <c r="C665" s="297">
        <v>2274</v>
      </c>
      <c r="D665" s="297">
        <v>2219</v>
      </c>
      <c r="E665" s="297">
        <v>2359</v>
      </c>
      <c r="F665" s="297">
        <v>2373</v>
      </c>
      <c r="G665" s="297">
        <v>2388</v>
      </c>
      <c r="H665" s="297">
        <v>2402</v>
      </c>
      <c r="I665" s="297">
        <v>2417</v>
      </c>
      <c r="J665" s="297">
        <v>2431</v>
      </c>
      <c r="K665" s="297">
        <v>2445</v>
      </c>
      <c r="L665" s="297">
        <v>2460</v>
      </c>
      <c r="M665" s="297">
        <v>2474</v>
      </c>
      <c r="N665" s="297">
        <v>2488</v>
      </c>
      <c r="O665" s="297">
        <v>2503</v>
      </c>
      <c r="P665" s="297">
        <v>2517</v>
      </c>
      <c r="Q665" s="297">
        <v>2531</v>
      </c>
      <c r="R665" s="297">
        <v>2546</v>
      </c>
      <c r="S665" s="297">
        <v>2560</v>
      </c>
      <c r="T665" s="297">
        <v>2575</v>
      </c>
      <c r="U665" s="297">
        <v>2589</v>
      </c>
      <c r="V665" s="297">
        <v>2603</v>
      </c>
      <c r="W665" s="297">
        <v>2618</v>
      </c>
      <c r="X665" s="297">
        <v>2632</v>
      </c>
      <c r="Y665" s="297">
        <v>2647</v>
      </c>
      <c r="Z665" s="297">
        <v>2661</v>
      </c>
      <c r="AA665" s="297">
        <v>2676</v>
      </c>
      <c r="AB665" s="297">
        <v>2690</v>
      </c>
      <c r="AC665" s="297">
        <v>2705</v>
      </c>
      <c r="AD665" s="297">
        <v>2719</v>
      </c>
      <c r="AE665" s="297">
        <v>2734</v>
      </c>
      <c r="AF665" s="297">
        <v>2748</v>
      </c>
      <c r="AG665" s="297">
        <v>2763</v>
      </c>
      <c r="AH665" s="296">
        <v>6.5139999999999998E-3</v>
      </c>
    </row>
    <row r="666" spans="1:34" ht="15" customHeight="1" x14ac:dyDescent="0.25">
      <c r="A666" s="213" t="s">
        <v>1562</v>
      </c>
      <c r="B666" s="294" t="s">
        <v>1548</v>
      </c>
      <c r="C666" s="297">
        <v>1623</v>
      </c>
      <c r="D666" s="297">
        <v>1710</v>
      </c>
      <c r="E666" s="297">
        <v>1808</v>
      </c>
      <c r="F666" s="297">
        <v>1818</v>
      </c>
      <c r="G666" s="297">
        <v>1828</v>
      </c>
      <c r="H666" s="297">
        <v>1838</v>
      </c>
      <c r="I666" s="297">
        <v>1848</v>
      </c>
      <c r="J666" s="297">
        <v>1858</v>
      </c>
      <c r="K666" s="297">
        <v>1868</v>
      </c>
      <c r="L666" s="297">
        <v>1878</v>
      </c>
      <c r="M666" s="297">
        <v>1888</v>
      </c>
      <c r="N666" s="297">
        <v>1898</v>
      </c>
      <c r="O666" s="297">
        <v>1909</v>
      </c>
      <c r="P666" s="297">
        <v>1919</v>
      </c>
      <c r="Q666" s="297">
        <v>1929</v>
      </c>
      <c r="R666" s="297">
        <v>1939</v>
      </c>
      <c r="S666" s="297">
        <v>1949</v>
      </c>
      <c r="T666" s="297">
        <v>1959</v>
      </c>
      <c r="U666" s="297">
        <v>1969</v>
      </c>
      <c r="V666" s="297">
        <v>1980</v>
      </c>
      <c r="W666" s="297">
        <v>1990</v>
      </c>
      <c r="X666" s="297">
        <v>2000</v>
      </c>
      <c r="Y666" s="297">
        <v>2010</v>
      </c>
      <c r="Z666" s="297">
        <v>2020</v>
      </c>
      <c r="AA666" s="297">
        <v>2031</v>
      </c>
      <c r="AB666" s="297">
        <v>2041</v>
      </c>
      <c r="AC666" s="297">
        <v>2051</v>
      </c>
      <c r="AD666" s="297">
        <v>2061</v>
      </c>
      <c r="AE666" s="297">
        <v>2071</v>
      </c>
      <c r="AF666" s="297">
        <v>2082</v>
      </c>
      <c r="AG666" s="297">
        <v>2092</v>
      </c>
      <c r="AH666" s="296">
        <v>8.4969999999999993E-3</v>
      </c>
    </row>
    <row r="667" spans="1:34" ht="15" customHeight="1" x14ac:dyDescent="0.25">
      <c r="A667" s="213" t="s">
        <v>1563</v>
      </c>
      <c r="B667" s="294" t="s">
        <v>1550</v>
      </c>
      <c r="C667" s="297">
        <v>2730</v>
      </c>
      <c r="D667" s="297">
        <v>2770</v>
      </c>
      <c r="E667" s="297">
        <v>2861</v>
      </c>
      <c r="F667" s="297">
        <v>2875</v>
      </c>
      <c r="G667" s="297">
        <v>2889</v>
      </c>
      <c r="H667" s="297">
        <v>2904</v>
      </c>
      <c r="I667" s="297">
        <v>2918</v>
      </c>
      <c r="J667" s="297">
        <v>2932</v>
      </c>
      <c r="K667" s="297">
        <v>2947</v>
      </c>
      <c r="L667" s="297">
        <v>2961</v>
      </c>
      <c r="M667" s="297">
        <v>2976</v>
      </c>
      <c r="N667" s="297">
        <v>2990</v>
      </c>
      <c r="O667" s="297">
        <v>3004</v>
      </c>
      <c r="P667" s="297">
        <v>3018</v>
      </c>
      <c r="Q667" s="297">
        <v>3033</v>
      </c>
      <c r="R667" s="297">
        <v>3047</v>
      </c>
      <c r="S667" s="297">
        <v>3061</v>
      </c>
      <c r="T667" s="297">
        <v>3076</v>
      </c>
      <c r="U667" s="297">
        <v>3090</v>
      </c>
      <c r="V667" s="297">
        <v>3104</v>
      </c>
      <c r="W667" s="297">
        <v>3119</v>
      </c>
      <c r="X667" s="297">
        <v>3133</v>
      </c>
      <c r="Y667" s="297">
        <v>3147</v>
      </c>
      <c r="Z667" s="297">
        <v>3161</v>
      </c>
      <c r="AA667" s="297">
        <v>3176</v>
      </c>
      <c r="AB667" s="297">
        <v>3190</v>
      </c>
      <c r="AC667" s="297">
        <v>3204</v>
      </c>
      <c r="AD667" s="297">
        <v>3218</v>
      </c>
      <c r="AE667" s="297">
        <v>3233</v>
      </c>
      <c r="AF667" s="297">
        <v>3247</v>
      </c>
      <c r="AG667" s="297">
        <v>3261</v>
      </c>
      <c r="AH667" s="296">
        <v>5.9420000000000002E-3</v>
      </c>
    </row>
    <row r="668" spans="1:34" ht="15" customHeight="1" x14ac:dyDescent="0.25">
      <c r="A668" s="213" t="s">
        <v>1564</v>
      </c>
      <c r="B668" s="294" t="s">
        <v>1552</v>
      </c>
      <c r="C668" s="297">
        <v>1639</v>
      </c>
      <c r="D668" s="297">
        <v>1471</v>
      </c>
      <c r="E668" s="297">
        <v>1560</v>
      </c>
      <c r="F668" s="297">
        <v>1568</v>
      </c>
      <c r="G668" s="297">
        <v>1577</v>
      </c>
      <c r="H668" s="297">
        <v>1586</v>
      </c>
      <c r="I668" s="297">
        <v>1595</v>
      </c>
      <c r="J668" s="297">
        <v>1604</v>
      </c>
      <c r="K668" s="297">
        <v>1613</v>
      </c>
      <c r="L668" s="297">
        <v>1622</v>
      </c>
      <c r="M668" s="297">
        <v>1631</v>
      </c>
      <c r="N668" s="297">
        <v>1641</v>
      </c>
      <c r="O668" s="297">
        <v>1650</v>
      </c>
      <c r="P668" s="297">
        <v>1659</v>
      </c>
      <c r="Q668" s="297">
        <v>1668</v>
      </c>
      <c r="R668" s="297">
        <v>1678</v>
      </c>
      <c r="S668" s="297">
        <v>1687</v>
      </c>
      <c r="T668" s="297">
        <v>1697</v>
      </c>
      <c r="U668" s="297">
        <v>1706</v>
      </c>
      <c r="V668" s="297">
        <v>1715</v>
      </c>
      <c r="W668" s="297">
        <v>1725</v>
      </c>
      <c r="X668" s="297">
        <v>1734</v>
      </c>
      <c r="Y668" s="297">
        <v>1744</v>
      </c>
      <c r="Z668" s="297">
        <v>1753</v>
      </c>
      <c r="AA668" s="297">
        <v>1763</v>
      </c>
      <c r="AB668" s="297">
        <v>1772</v>
      </c>
      <c r="AC668" s="297">
        <v>1782</v>
      </c>
      <c r="AD668" s="297">
        <v>1791</v>
      </c>
      <c r="AE668" s="297">
        <v>1801</v>
      </c>
      <c r="AF668" s="297">
        <v>1810</v>
      </c>
      <c r="AG668" s="297">
        <v>1820</v>
      </c>
      <c r="AH668" s="296">
        <v>3.4979999999999998E-3</v>
      </c>
    </row>
    <row r="669" spans="1:34" ht="15" customHeight="1" x14ac:dyDescent="0.25">
      <c r="A669" s="213" t="s">
        <v>1565</v>
      </c>
      <c r="B669" s="294" t="s">
        <v>668</v>
      </c>
      <c r="C669" s="297">
        <v>1012</v>
      </c>
      <c r="D669" s="297">
        <v>840</v>
      </c>
      <c r="E669" s="297">
        <v>963</v>
      </c>
      <c r="F669" s="297">
        <v>969</v>
      </c>
      <c r="G669" s="297">
        <v>975</v>
      </c>
      <c r="H669" s="297">
        <v>982</v>
      </c>
      <c r="I669" s="297">
        <v>988</v>
      </c>
      <c r="J669" s="297">
        <v>994</v>
      </c>
      <c r="K669" s="297">
        <v>1001</v>
      </c>
      <c r="L669" s="297">
        <v>1007</v>
      </c>
      <c r="M669" s="297">
        <v>1013</v>
      </c>
      <c r="N669" s="297">
        <v>1020</v>
      </c>
      <c r="O669" s="297">
        <v>1026</v>
      </c>
      <c r="P669" s="297">
        <v>1032</v>
      </c>
      <c r="Q669" s="297">
        <v>1039</v>
      </c>
      <c r="R669" s="297">
        <v>1045</v>
      </c>
      <c r="S669" s="297">
        <v>1052</v>
      </c>
      <c r="T669" s="297">
        <v>1058</v>
      </c>
      <c r="U669" s="297">
        <v>1065</v>
      </c>
      <c r="V669" s="297">
        <v>1071</v>
      </c>
      <c r="W669" s="297">
        <v>1078</v>
      </c>
      <c r="X669" s="297">
        <v>1084</v>
      </c>
      <c r="Y669" s="297">
        <v>1091</v>
      </c>
      <c r="Z669" s="297">
        <v>1097</v>
      </c>
      <c r="AA669" s="297">
        <v>1104</v>
      </c>
      <c r="AB669" s="297">
        <v>1110</v>
      </c>
      <c r="AC669" s="297">
        <v>1117</v>
      </c>
      <c r="AD669" s="297">
        <v>1123</v>
      </c>
      <c r="AE669" s="297">
        <v>1130</v>
      </c>
      <c r="AF669" s="297">
        <v>1136</v>
      </c>
      <c r="AG669" s="297">
        <v>1143</v>
      </c>
      <c r="AH669" s="296">
        <v>4.0660000000000002E-3</v>
      </c>
    </row>
    <row r="670" spans="1:34" ht="15" customHeight="1" x14ac:dyDescent="0.2">
      <c r="A670" s="213" t="s">
        <v>1566</v>
      </c>
      <c r="B670" s="204" t="s">
        <v>1555</v>
      </c>
      <c r="C670" s="299">
        <v>1496.4417719999999</v>
      </c>
      <c r="D670" s="299">
        <v>1423.084351</v>
      </c>
      <c r="E670" s="299">
        <v>1533.780518</v>
      </c>
      <c r="F670" s="299">
        <v>1545.432861</v>
      </c>
      <c r="G670" s="299">
        <v>1557.3450929999999</v>
      </c>
      <c r="H670" s="299">
        <v>1569.296509</v>
      </c>
      <c r="I670" s="299">
        <v>1581.2326660000001</v>
      </c>
      <c r="J670" s="299">
        <v>1593.1649170000001</v>
      </c>
      <c r="K670" s="299">
        <v>1605.2078859999999</v>
      </c>
      <c r="L670" s="299">
        <v>1617.1710210000001</v>
      </c>
      <c r="M670" s="299">
        <v>1629.009888</v>
      </c>
      <c r="N670" s="299">
        <v>1641.1838379999999</v>
      </c>
      <c r="O670" s="299">
        <v>1653.26001</v>
      </c>
      <c r="P670" s="299">
        <v>1665.1435550000001</v>
      </c>
      <c r="Q670" s="299">
        <v>1677.2926030000001</v>
      </c>
      <c r="R670" s="299">
        <v>1689.587524</v>
      </c>
      <c r="S670" s="299">
        <v>1701.6491699999999</v>
      </c>
      <c r="T670" s="299">
        <v>1713.928101</v>
      </c>
      <c r="U670" s="299">
        <v>1726.156616</v>
      </c>
      <c r="V670" s="299">
        <v>1738.2735600000001</v>
      </c>
      <c r="W670" s="299">
        <v>1750.842529</v>
      </c>
      <c r="X670" s="299">
        <v>1762.7661129999999</v>
      </c>
      <c r="Y670" s="299">
        <v>1775.36499</v>
      </c>
      <c r="Z670" s="299">
        <v>1787.387939</v>
      </c>
      <c r="AA670" s="299">
        <v>1800.091797</v>
      </c>
      <c r="AB670" s="299">
        <v>1812.380737</v>
      </c>
      <c r="AC670" s="299">
        <v>1824.8900149999999</v>
      </c>
      <c r="AD670" s="299">
        <v>1836.9436040000001</v>
      </c>
      <c r="AE670" s="299">
        <v>1849.7070309999999</v>
      </c>
      <c r="AF670" s="299">
        <v>1861.689087</v>
      </c>
      <c r="AG670" s="299">
        <v>1874.0201420000001</v>
      </c>
      <c r="AH670" s="206">
        <v>7.528E-3</v>
      </c>
    </row>
    <row r="671" spans="1:34" ht="15" customHeight="1" thickBot="1" x14ac:dyDescent="0.25"/>
    <row r="672" spans="1:34" ht="15" customHeight="1" x14ac:dyDescent="0.2">
      <c r="B672" s="305" t="s">
        <v>1567</v>
      </c>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c r="AD672" s="305"/>
      <c r="AE672" s="305"/>
      <c r="AF672" s="305"/>
      <c r="AG672" s="305"/>
      <c r="AH672" s="305"/>
    </row>
    <row r="673" spans="2:2" ht="15" customHeight="1" x14ac:dyDescent="0.2">
      <c r="B673" s="208" t="s">
        <v>1568</v>
      </c>
    </row>
    <row r="674" spans="2:2" ht="15" customHeight="1" x14ac:dyDescent="0.2">
      <c r="B674" s="208" t="s">
        <v>1569</v>
      </c>
    </row>
    <row r="675" spans="2:2" ht="15" customHeight="1" x14ac:dyDescent="0.2">
      <c r="B675" s="208" t="s">
        <v>1570</v>
      </c>
    </row>
    <row r="676" spans="2:2" ht="15" customHeight="1" x14ac:dyDescent="0.2">
      <c r="B676" s="208" t="s">
        <v>1571</v>
      </c>
    </row>
    <row r="677" spans="2:2" ht="15" customHeight="1" x14ac:dyDescent="0.2">
      <c r="B677" s="208" t="s">
        <v>1572</v>
      </c>
    </row>
    <row r="678" spans="2:2" ht="15" customHeight="1" x14ac:dyDescent="0.2">
      <c r="B678" s="208" t="s">
        <v>1573</v>
      </c>
    </row>
    <row r="679" spans="2:2" ht="15" customHeight="1" x14ac:dyDescent="0.2">
      <c r="B679" s="208" t="s">
        <v>1574</v>
      </c>
    </row>
    <row r="680" spans="2:2" ht="15" customHeight="1" x14ac:dyDescent="0.2">
      <c r="B680" s="208" t="s">
        <v>1575</v>
      </c>
    </row>
    <row r="681" spans="2:2" ht="15" customHeight="1" x14ac:dyDescent="0.2">
      <c r="B681" s="208" t="s">
        <v>1576</v>
      </c>
    </row>
    <row r="682" spans="2:2" ht="15" customHeight="1" x14ac:dyDescent="0.2">
      <c r="B682" s="208" t="s">
        <v>1577</v>
      </c>
    </row>
    <row r="683" spans="2:2" ht="15" customHeight="1" x14ac:dyDescent="0.2">
      <c r="B683" s="208" t="s">
        <v>1578</v>
      </c>
    </row>
    <row r="684" spans="2:2" ht="15" customHeight="1" x14ac:dyDescent="0.2">
      <c r="B684" s="208" t="s">
        <v>1579</v>
      </c>
    </row>
    <row r="685" spans="2:2" ht="15" customHeight="1" x14ac:dyDescent="0.2">
      <c r="B685" s="208" t="s">
        <v>1580</v>
      </c>
    </row>
    <row r="686" spans="2:2" ht="15" customHeight="1" x14ac:dyDescent="0.2">
      <c r="B686" s="208" t="s">
        <v>1581</v>
      </c>
    </row>
    <row r="687" spans="2:2" ht="15" customHeight="1" x14ac:dyDescent="0.2">
      <c r="B687" s="208" t="s">
        <v>1582</v>
      </c>
    </row>
    <row r="688" spans="2:2" ht="15" customHeight="1" x14ac:dyDescent="0.2">
      <c r="B688" s="208" t="s">
        <v>616</v>
      </c>
    </row>
    <row r="689" spans="2:2" ht="15" customHeight="1" x14ac:dyDescent="0.2">
      <c r="B689" s="208" t="s">
        <v>601</v>
      </c>
    </row>
    <row r="690" spans="2:2" ht="15" customHeight="1" x14ac:dyDescent="0.2">
      <c r="B690" s="208" t="s">
        <v>614</v>
      </c>
    </row>
    <row r="691" spans="2:2" ht="15" customHeight="1" x14ac:dyDescent="0.2">
      <c r="B691" s="208" t="s">
        <v>1030</v>
      </c>
    </row>
    <row r="692" spans="2:2" ht="15" customHeight="1" x14ac:dyDescent="0.2">
      <c r="B692" s="208" t="s">
        <v>1031</v>
      </c>
    </row>
    <row r="735" spans="1:34" ht="15" customHeight="1" x14ac:dyDescent="0.25">
      <c r="A735" s="213" t="s">
        <v>1583</v>
      </c>
      <c r="B735" s="202" t="s">
        <v>1013</v>
      </c>
      <c r="AH735" s="292" t="s">
        <v>597</v>
      </c>
    </row>
    <row r="736" spans="1:34" ht="15" customHeight="1" x14ac:dyDescent="0.2">
      <c r="B736" s="199" t="s">
        <v>123</v>
      </c>
      <c r="AH736" s="292" t="s">
        <v>598</v>
      </c>
    </row>
    <row r="737" spans="1:34" ht="15" customHeight="1" x14ac:dyDescent="0.2">
      <c r="B737" s="199" t="s">
        <v>124</v>
      </c>
      <c r="C737" s="222" t="s">
        <v>124</v>
      </c>
      <c r="D737" s="222" t="s">
        <v>124</v>
      </c>
      <c r="E737" s="222" t="s">
        <v>124</v>
      </c>
      <c r="F737" s="222" t="s">
        <v>124</v>
      </c>
      <c r="G737" s="222" t="s">
        <v>124</v>
      </c>
      <c r="H737" s="222" t="s">
        <v>124</v>
      </c>
      <c r="I737" s="222" t="s">
        <v>124</v>
      </c>
      <c r="J737" s="222" t="s">
        <v>124</v>
      </c>
      <c r="K737" s="222" t="s">
        <v>124</v>
      </c>
      <c r="L737" s="222" t="s">
        <v>124</v>
      </c>
      <c r="M737" s="222" t="s">
        <v>124</v>
      </c>
      <c r="N737" s="222" t="s">
        <v>124</v>
      </c>
      <c r="O737" s="222" t="s">
        <v>124</v>
      </c>
      <c r="P737" s="222" t="s">
        <v>124</v>
      </c>
      <c r="Q737" s="222" t="s">
        <v>124</v>
      </c>
      <c r="R737" s="222" t="s">
        <v>124</v>
      </c>
      <c r="S737" s="222" t="s">
        <v>124</v>
      </c>
      <c r="T737" s="222" t="s">
        <v>124</v>
      </c>
      <c r="U737" s="222" t="s">
        <v>124</v>
      </c>
      <c r="V737" s="222" t="s">
        <v>124</v>
      </c>
      <c r="W737" s="222" t="s">
        <v>124</v>
      </c>
      <c r="X737" s="222" t="s">
        <v>124</v>
      </c>
      <c r="Y737" s="222" t="s">
        <v>124</v>
      </c>
      <c r="Z737" s="222" t="s">
        <v>124</v>
      </c>
      <c r="AA737" s="222" t="s">
        <v>124</v>
      </c>
      <c r="AB737" s="222" t="s">
        <v>124</v>
      </c>
      <c r="AC737" s="222" t="s">
        <v>124</v>
      </c>
      <c r="AD737" s="222" t="s">
        <v>124</v>
      </c>
      <c r="AE737" s="222" t="s">
        <v>124</v>
      </c>
      <c r="AF737" s="222" t="s">
        <v>124</v>
      </c>
      <c r="AG737" s="222" t="s">
        <v>124</v>
      </c>
      <c r="AH737" s="292" t="s">
        <v>599</v>
      </c>
    </row>
    <row r="738" spans="1:34" ht="15" customHeight="1" thickBot="1" x14ac:dyDescent="0.25">
      <c r="B738" s="200" t="s">
        <v>1387</v>
      </c>
      <c r="C738" s="200">
        <v>2020</v>
      </c>
      <c r="D738" s="200">
        <v>2021</v>
      </c>
      <c r="E738" s="200">
        <v>2022</v>
      </c>
      <c r="F738" s="200">
        <v>2023</v>
      </c>
      <c r="G738" s="200">
        <v>2024</v>
      </c>
      <c r="H738" s="200">
        <v>2025</v>
      </c>
      <c r="I738" s="200">
        <v>2026</v>
      </c>
      <c r="J738" s="200">
        <v>2027</v>
      </c>
      <c r="K738" s="200">
        <v>2028</v>
      </c>
      <c r="L738" s="200">
        <v>2029</v>
      </c>
      <c r="M738" s="200">
        <v>2030</v>
      </c>
      <c r="N738" s="200">
        <v>2031</v>
      </c>
      <c r="O738" s="200">
        <v>2032</v>
      </c>
      <c r="P738" s="200">
        <v>2033</v>
      </c>
      <c r="Q738" s="200">
        <v>2034</v>
      </c>
      <c r="R738" s="200">
        <v>2035</v>
      </c>
      <c r="S738" s="200">
        <v>2036</v>
      </c>
      <c r="T738" s="200">
        <v>2037</v>
      </c>
      <c r="U738" s="200">
        <v>2038</v>
      </c>
      <c r="V738" s="200">
        <v>2039</v>
      </c>
      <c r="W738" s="200">
        <v>2040</v>
      </c>
      <c r="X738" s="200">
        <v>2041</v>
      </c>
      <c r="Y738" s="200">
        <v>2042</v>
      </c>
      <c r="Z738" s="200">
        <v>2043</v>
      </c>
      <c r="AA738" s="200">
        <v>2044</v>
      </c>
      <c r="AB738" s="200">
        <v>2045</v>
      </c>
      <c r="AC738" s="200">
        <v>2046</v>
      </c>
      <c r="AD738" s="200">
        <v>2047</v>
      </c>
      <c r="AE738" s="200">
        <v>2048</v>
      </c>
      <c r="AF738" s="200">
        <v>2049</v>
      </c>
      <c r="AG738" s="200">
        <v>2050</v>
      </c>
      <c r="AH738" s="293" t="s">
        <v>600</v>
      </c>
    </row>
    <row r="739" spans="1:34" ht="15" customHeight="1" thickTop="1" x14ac:dyDescent="0.2"/>
    <row r="740" spans="1:34" ht="15" customHeight="1" x14ac:dyDescent="0.2">
      <c r="B740" s="204" t="s">
        <v>1388</v>
      </c>
    </row>
    <row r="742" spans="1:34" ht="15" customHeight="1" x14ac:dyDescent="0.2">
      <c r="B742" s="204" t="s">
        <v>1584</v>
      </c>
    </row>
    <row r="743" spans="1:34" ht="15" customHeight="1" x14ac:dyDescent="0.25">
      <c r="A743" s="213" t="s">
        <v>1585</v>
      </c>
      <c r="B743" s="294" t="s">
        <v>1586</v>
      </c>
      <c r="C743" s="298">
        <v>91.743567999999996</v>
      </c>
      <c r="D743" s="298">
        <v>92.493767000000005</v>
      </c>
      <c r="E743" s="298">
        <v>93.412154999999998</v>
      </c>
      <c r="F743" s="298">
        <v>94.222594999999998</v>
      </c>
      <c r="G743" s="298">
        <v>95.141777000000005</v>
      </c>
      <c r="H743" s="298">
        <v>96.109459000000001</v>
      </c>
      <c r="I743" s="298">
        <v>97.087410000000006</v>
      </c>
      <c r="J743" s="298">
        <v>98.062386000000004</v>
      </c>
      <c r="K743" s="298">
        <v>99.035506999999996</v>
      </c>
      <c r="L743" s="298">
        <v>100.00515</v>
      </c>
      <c r="M743" s="298">
        <v>100.969582</v>
      </c>
      <c r="N743" s="298">
        <v>101.94394699999999</v>
      </c>
      <c r="O743" s="298">
        <v>102.94358099999999</v>
      </c>
      <c r="P743" s="298">
        <v>103.966927</v>
      </c>
      <c r="Q743" s="298">
        <v>105.008522</v>
      </c>
      <c r="R743" s="298">
        <v>106.05952499999999</v>
      </c>
      <c r="S743" s="298">
        <v>107.103279</v>
      </c>
      <c r="T743" s="298">
        <v>108.132141</v>
      </c>
      <c r="U743" s="298">
        <v>109.14135</v>
      </c>
      <c r="V743" s="298">
        <v>110.144272</v>
      </c>
      <c r="W743" s="298">
        <v>111.150932</v>
      </c>
      <c r="X743" s="298">
        <v>112.17063899999999</v>
      </c>
      <c r="Y743" s="298">
        <v>113.19899700000001</v>
      </c>
      <c r="Z743" s="298">
        <v>114.240326</v>
      </c>
      <c r="AA743" s="298">
        <v>115.29347199999999</v>
      </c>
      <c r="AB743" s="298">
        <v>116.35852800000001</v>
      </c>
      <c r="AC743" s="298">
        <v>117.43486799999999</v>
      </c>
      <c r="AD743" s="298">
        <v>118.519897</v>
      </c>
      <c r="AE743" s="298">
        <v>119.61084700000001</v>
      </c>
      <c r="AF743" s="298">
        <v>120.711861</v>
      </c>
      <c r="AG743" s="298">
        <v>121.82455400000001</v>
      </c>
      <c r="AH743" s="296">
        <v>9.4979999999999995E-3</v>
      </c>
    </row>
    <row r="744" spans="1:34" ht="15" customHeight="1" x14ac:dyDescent="0.25">
      <c r="A744" s="213" t="s">
        <v>1587</v>
      </c>
      <c r="B744" s="294" t="s">
        <v>1588</v>
      </c>
      <c r="C744" s="298">
        <v>1.838832</v>
      </c>
      <c r="D744" s="298">
        <v>2.0153750000000001</v>
      </c>
      <c r="E744" s="298">
        <v>1.91551</v>
      </c>
      <c r="F744" s="298">
        <v>2.0328469999999998</v>
      </c>
      <c r="G744" s="298">
        <v>2.0904199999999999</v>
      </c>
      <c r="H744" s="298">
        <v>2.1100729999999999</v>
      </c>
      <c r="I744" s="298">
        <v>2.1166529999999999</v>
      </c>
      <c r="J744" s="298">
        <v>2.1244860000000001</v>
      </c>
      <c r="K744" s="298">
        <v>2.130776</v>
      </c>
      <c r="L744" s="298">
        <v>2.1353810000000002</v>
      </c>
      <c r="M744" s="298">
        <v>2.155227</v>
      </c>
      <c r="N744" s="298">
        <v>2.190623</v>
      </c>
      <c r="O744" s="298">
        <v>2.2246510000000002</v>
      </c>
      <c r="P744" s="298">
        <v>2.2534610000000002</v>
      </c>
      <c r="Q744" s="298">
        <v>2.2735979999999998</v>
      </c>
      <c r="R744" s="298">
        <v>2.2771530000000002</v>
      </c>
      <c r="S744" s="298">
        <v>2.2730419999999998</v>
      </c>
      <c r="T744" s="298">
        <v>2.2640889999999998</v>
      </c>
      <c r="U744" s="298">
        <v>2.2684419999999998</v>
      </c>
      <c r="V744" s="298">
        <v>2.2828460000000002</v>
      </c>
      <c r="W744" s="298">
        <v>2.3066110000000002</v>
      </c>
      <c r="X744" s="298">
        <v>2.3260689999999999</v>
      </c>
      <c r="Y744" s="298">
        <v>2.3499490000000001</v>
      </c>
      <c r="Z744" s="298">
        <v>2.3727809999999998</v>
      </c>
      <c r="AA744" s="298">
        <v>2.3958550000000001</v>
      </c>
      <c r="AB744" s="298">
        <v>2.4184019999999999</v>
      </c>
      <c r="AC744" s="298">
        <v>2.4384700000000001</v>
      </c>
      <c r="AD744" s="298">
        <v>2.4558810000000002</v>
      </c>
      <c r="AE744" s="298">
        <v>2.477541</v>
      </c>
      <c r="AF744" s="298">
        <v>2.5009299999999999</v>
      </c>
      <c r="AG744" s="298">
        <v>2.5196499999999999</v>
      </c>
      <c r="AH744" s="296">
        <v>1.0555E-2</v>
      </c>
    </row>
    <row r="745" spans="1:34" ht="15" customHeight="1" x14ac:dyDescent="0.2">
      <c r="A745" s="213" t="s">
        <v>1589</v>
      </c>
      <c r="B745" s="204" t="s">
        <v>179</v>
      </c>
      <c r="C745" s="300">
        <v>93.582397</v>
      </c>
      <c r="D745" s="300">
        <v>94.509140000000002</v>
      </c>
      <c r="E745" s="300">
        <v>95.327667000000005</v>
      </c>
      <c r="F745" s="300">
        <v>96.255439999999993</v>
      </c>
      <c r="G745" s="300">
        <v>97.232201000000003</v>
      </c>
      <c r="H745" s="300">
        <v>98.219536000000005</v>
      </c>
      <c r="I745" s="300">
        <v>99.204063000000005</v>
      </c>
      <c r="J745" s="300">
        <v>100.186874</v>
      </c>
      <c r="K745" s="300">
        <v>101.16628300000001</v>
      </c>
      <c r="L745" s="300">
        <v>102.140533</v>
      </c>
      <c r="M745" s="300">
        <v>103.124809</v>
      </c>
      <c r="N745" s="300">
        <v>104.134567</v>
      </c>
      <c r="O745" s="300">
        <v>105.168228</v>
      </c>
      <c r="P745" s="300">
        <v>106.22038999999999</v>
      </c>
      <c r="Q745" s="300">
        <v>107.28212000000001</v>
      </c>
      <c r="R745" s="300">
        <v>108.33667800000001</v>
      </c>
      <c r="S745" s="300">
        <v>109.37632000000001</v>
      </c>
      <c r="T745" s="300">
        <v>110.396233</v>
      </c>
      <c r="U745" s="300">
        <v>111.40979</v>
      </c>
      <c r="V745" s="300">
        <v>112.427116</v>
      </c>
      <c r="W745" s="300">
        <v>113.457542</v>
      </c>
      <c r="X745" s="300">
        <v>114.496712</v>
      </c>
      <c r="Y745" s="300">
        <v>115.54894299999999</v>
      </c>
      <c r="Z745" s="300">
        <v>116.613106</v>
      </c>
      <c r="AA745" s="300">
        <v>117.689331</v>
      </c>
      <c r="AB745" s="300">
        <v>118.776932</v>
      </c>
      <c r="AC745" s="300">
        <v>119.87333700000001</v>
      </c>
      <c r="AD745" s="300">
        <v>120.97577699999999</v>
      </c>
      <c r="AE745" s="300">
        <v>122.088387</v>
      </c>
      <c r="AF745" s="300">
        <v>123.212791</v>
      </c>
      <c r="AG745" s="300">
        <v>124.34420799999999</v>
      </c>
      <c r="AH745" s="206">
        <v>9.5189999999999997E-3</v>
      </c>
    </row>
    <row r="747" spans="1:34" ht="15" customHeight="1" x14ac:dyDescent="0.2">
      <c r="B747" s="204" t="s">
        <v>1590</v>
      </c>
    </row>
    <row r="748" spans="1:34" ht="15" customHeight="1" x14ac:dyDescent="0.2">
      <c r="B748" s="204" t="s">
        <v>1405</v>
      </c>
    </row>
    <row r="749" spans="1:34" ht="15" customHeight="1" x14ac:dyDescent="0.25">
      <c r="A749" s="213" t="s">
        <v>1591</v>
      </c>
      <c r="B749" s="294" t="s">
        <v>1402</v>
      </c>
      <c r="C749" s="298">
        <v>92.874618999999996</v>
      </c>
      <c r="D749" s="298">
        <v>94.309166000000005</v>
      </c>
      <c r="E749" s="298">
        <v>94.428650000000005</v>
      </c>
      <c r="F749" s="298">
        <v>95.462006000000002</v>
      </c>
      <c r="G749" s="298">
        <v>96.041015999999999</v>
      </c>
      <c r="H749" s="298">
        <v>96.558182000000002</v>
      </c>
      <c r="I749" s="298">
        <v>95.832954000000001</v>
      </c>
      <c r="J749" s="298">
        <v>95.099648000000002</v>
      </c>
      <c r="K749" s="298">
        <v>94.355903999999995</v>
      </c>
      <c r="L749" s="298">
        <v>93.624450999999993</v>
      </c>
      <c r="M749" s="298">
        <v>92.742446999999999</v>
      </c>
      <c r="N749" s="298">
        <v>92.032691999999997</v>
      </c>
      <c r="O749" s="298">
        <v>91.414551000000003</v>
      </c>
      <c r="P749" s="298">
        <v>90.798698000000002</v>
      </c>
      <c r="Q749" s="298">
        <v>90.217185999999998</v>
      </c>
      <c r="R749" s="298">
        <v>89.699554000000006</v>
      </c>
      <c r="S749" s="298">
        <v>89.250702000000004</v>
      </c>
      <c r="T749" s="298">
        <v>88.839523</v>
      </c>
      <c r="U749" s="298">
        <v>88.454802999999998</v>
      </c>
      <c r="V749" s="298">
        <v>88.091994999999997</v>
      </c>
      <c r="W749" s="298">
        <v>87.714484999999996</v>
      </c>
      <c r="X749" s="298">
        <v>87.391800000000003</v>
      </c>
      <c r="Y749" s="298">
        <v>87.088759999999994</v>
      </c>
      <c r="Z749" s="298">
        <v>86.835648000000006</v>
      </c>
      <c r="AA749" s="298">
        <v>86.608681000000004</v>
      </c>
      <c r="AB749" s="298">
        <v>86.392059000000003</v>
      </c>
      <c r="AC749" s="298">
        <v>86.200714000000005</v>
      </c>
      <c r="AD749" s="298">
        <v>86.020827999999995</v>
      </c>
      <c r="AE749" s="298">
        <v>85.858040000000003</v>
      </c>
      <c r="AF749" s="298">
        <v>85.721785999999994</v>
      </c>
      <c r="AG749" s="298">
        <v>85.617546000000004</v>
      </c>
      <c r="AH749" s="296">
        <v>-2.7079999999999999E-3</v>
      </c>
    </row>
    <row r="750" spans="1:34" ht="15" customHeight="1" x14ac:dyDescent="0.25">
      <c r="A750" s="213" t="s">
        <v>1592</v>
      </c>
      <c r="B750" s="294" t="s">
        <v>1404</v>
      </c>
      <c r="C750" s="298">
        <v>91.926215999999997</v>
      </c>
      <c r="D750" s="298">
        <v>93.242805000000004</v>
      </c>
      <c r="E750" s="298">
        <v>93.287086000000002</v>
      </c>
      <c r="F750" s="298">
        <v>94.285110000000003</v>
      </c>
      <c r="G750" s="298">
        <v>94.830466999999999</v>
      </c>
      <c r="H750" s="298">
        <v>95.281700000000001</v>
      </c>
      <c r="I750" s="298">
        <v>94.506423999999996</v>
      </c>
      <c r="J750" s="298">
        <v>93.699173000000002</v>
      </c>
      <c r="K750" s="298">
        <v>92.9161</v>
      </c>
      <c r="L750" s="298">
        <v>92.136757000000003</v>
      </c>
      <c r="M750" s="298">
        <v>91.233147000000002</v>
      </c>
      <c r="N750" s="298">
        <v>90.476546999999997</v>
      </c>
      <c r="O750" s="298">
        <v>89.851578000000003</v>
      </c>
      <c r="P750" s="298">
        <v>89.184607999999997</v>
      </c>
      <c r="Q750" s="298">
        <v>88.586654999999993</v>
      </c>
      <c r="R750" s="298">
        <v>88.013641000000007</v>
      </c>
      <c r="S750" s="298">
        <v>87.507644999999997</v>
      </c>
      <c r="T750" s="298">
        <v>87.064789000000005</v>
      </c>
      <c r="U750" s="298">
        <v>86.646705999999995</v>
      </c>
      <c r="V750" s="298">
        <v>86.251068000000004</v>
      </c>
      <c r="W750" s="298">
        <v>85.832069000000004</v>
      </c>
      <c r="X750" s="298">
        <v>85.466842999999997</v>
      </c>
      <c r="Y750" s="298">
        <v>85.112426999999997</v>
      </c>
      <c r="Z750" s="298">
        <v>84.857169999999996</v>
      </c>
      <c r="AA750" s="298">
        <v>84.592506</v>
      </c>
      <c r="AB750" s="298">
        <v>84.346412999999998</v>
      </c>
      <c r="AC750" s="298">
        <v>84.114593999999997</v>
      </c>
      <c r="AD750" s="298">
        <v>83.893265</v>
      </c>
      <c r="AE750" s="298">
        <v>83.703911000000005</v>
      </c>
      <c r="AF750" s="298">
        <v>83.562798000000001</v>
      </c>
      <c r="AG750" s="298">
        <v>83.452659999999995</v>
      </c>
      <c r="AH750" s="296">
        <v>-3.2179999999999999E-3</v>
      </c>
    </row>
    <row r="752" spans="1:34" ht="15" customHeight="1" x14ac:dyDescent="0.2">
      <c r="B752" s="204" t="s">
        <v>1408</v>
      </c>
    </row>
    <row r="753" spans="1:34" ht="15" customHeight="1" x14ac:dyDescent="0.2">
      <c r="B753" s="204" t="s">
        <v>1409</v>
      </c>
    </row>
    <row r="754" spans="1:34" ht="15" customHeight="1" x14ac:dyDescent="0.25">
      <c r="A754" s="213" t="s">
        <v>1593</v>
      </c>
      <c r="B754" s="294" t="s">
        <v>1594</v>
      </c>
      <c r="C754" s="295">
        <v>0.113109</v>
      </c>
      <c r="D754" s="295">
        <v>0.115897</v>
      </c>
      <c r="E754" s="295">
        <v>0.114664</v>
      </c>
      <c r="F754" s="295">
        <v>0.113856</v>
      </c>
      <c r="G754" s="295">
        <v>0.113175</v>
      </c>
      <c r="H754" s="295">
        <v>0.11238099999999999</v>
      </c>
      <c r="I754" s="295">
        <v>0.111456</v>
      </c>
      <c r="J754" s="295">
        <v>0.110377</v>
      </c>
      <c r="K754" s="295">
        <v>0.109275</v>
      </c>
      <c r="L754" s="295">
        <v>0.108097</v>
      </c>
      <c r="M754" s="295">
        <v>0.106918</v>
      </c>
      <c r="N754" s="295">
        <v>0.10585899999999999</v>
      </c>
      <c r="O754" s="295">
        <v>0.104842</v>
      </c>
      <c r="P754" s="295">
        <v>0.10369100000000001</v>
      </c>
      <c r="Q754" s="295">
        <v>0.102529</v>
      </c>
      <c r="R754" s="295">
        <v>0.10127</v>
      </c>
      <c r="S754" s="295">
        <v>0.10004399999999999</v>
      </c>
      <c r="T754" s="295">
        <v>9.8815E-2</v>
      </c>
      <c r="U754" s="295">
        <v>9.7575999999999996E-2</v>
      </c>
      <c r="V754" s="295">
        <v>9.6311999999999995E-2</v>
      </c>
      <c r="W754" s="295">
        <v>9.5001000000000002E-2</v>
      </c>
      <c r="X754" s="295">
        <v>9.3703999999999996E-2</v>
      </c>
      <c r="Y754" s="295">
        <v>9.2344999999999997E-2</v>
      </c>
      <c r="Z754" s="295">
        <v>9.1087000000000001E-2</v>
      </c>
      <c r="AA754" s="295">
        <v>8.9807999999999999E-2</v>
      </c>
      <c r="AB754" s="295">
        <v>8.8513999999999995E-2</v>
      </c>
      <c r="AC754" s="295">
        <v>8.7248999999999993E-2</v>
      </c>
      <c r="AD754" s="295">
        <v>8.5938000000000001E-2</v>
      </c>
      <c r="AE754" s="295">
        <v>8.4598999999999994E-2</v>
      </c>
      <c r="AF754" s="295">
        <v>8.3238999999999994E-2</v>
      </c>
      <c r="AG754" s="295">
        <v>8.1924999999999998E-2</v>
      </c>
      <c r="AH754" s="296">
        <v>-1.0694E-2</v>
      </c>
    </row>
    <row r="755" spans="1:34" ht="15" customHeight="1" x14ac:dyDescent="0.25">
      <c r="A755" s="213" t="s">
        <v>1595</v>
      </c>
      <c r="B755" s="294" t="s">
        <v>1596</v>
      </c>
      <c r="C755" s="295">
        <v>0.53049299999999999</v>
      </c>
      <c r="D755" s="295">
        <v>0.499419</v>
      </c>
      <c r="E755" s="295">
        <v>0.54069500000000004</v>
      </c>
      <c r="F755" s="295">
        <v>0.54391400000000001</v>
      </c>
      <c r="G755" s="295">
        <v>0.54771000000000003</v>
      </c>
      <c r="H755" s="295">
        <v>0.55143600000000004</v>
      </c>
      <c r="I755" s="295">
        <v>0.55450699999999997</v>
      </c>
      <c r="J755" s="295">
        <v>0.557338</v>
      </c>
      <c r="K755" s="295">
        <v>0.56035699999999999</v>
      </c>
      <c r="L755" s="295">
        <v>0.56342300000000001</v>
      </c>
      <c r="M755" s="295">
        <v>0.56654800000000005</v>
      </c>
      <c r="N755" s="295">
        <v>0.570855</v>
      </c>
      <c r="O755" s="295">
        <v>0.57587200000000005</v>
      </c>
      <c r="P755" s="295">
        <v>0.58036799999999999</v>
      </c>
      <c r="Q755" s="295">
        <v>0.58518800000000004</v>
      </c>
      <c r="R755" s="295">
        <v>0.59017200000000003</v>
      </c>
      <c r="S755" s="295">
        <v>0.59558500000000003</v>
      </c>
      <c r="T755" s="295">
        <v>0.601356</v>
      </c>
      <c r="U755" s="295">
        <v>0.60741500000000004</v>
      </c>
      <c r="V755" s="295">
        <v>0.61355800000000005</v>
      </c>
      <c r="W755" s="295">
        <v>0.61940099999999998</v>
      </c>
      <c r="X755" s="295">
        <v>0.62552099999999999</v>
      </c>
      <c r="Y755" s="295">
        <v>0.63193600000000005</v>
      </c>
      <c r="Z755" s="295">
        <v>0.63921499999999998</v>
      </c>
      <c r="AA755" s="295">
        <v>0.64671999999999996</v>
      </c>
      <c r="AB755" s="295">
        <v>0.65421799999999997</v>
      </c>
      <c r="AC755" s="295">
        <v>0.662188</v>
      </c>
      <c r="AD755" s="295">
        <v>0.66984500000000002</v>
      </c>
      <c r="AE755" s="295">
        <v>0.67799500000000001</v>
      </c>
      <c r="AF755" s="295">
        <v>0.68664899999999995</v>
      </c>
      <c r="AG755" s="295">
        <v>0.69609399999999999</v>
      </c>
      <c r="AH755" s="296">
        <v>9.0969999999999992E-3</v>
      </c>
    </row>
    <row r="756" spans="1:34" ht="15" customHeight="1" x14ac:dyDescent="0.25">
      <c r="A756" s="213" t="s">
        <v>1597</v>
      </c>
      <c r="B756" s="294" t="s">
        <v>1598</v>
      </c>
      <c r="C756" s="295">
        <v>2.5259E-2</v>
      </c>
      <c r="D756" s="295">
        <v>2.4809999999999999E-2</v>
      </c>
      <c r="E756" s="295">
        <v>2.4396000000000001E-2</v>
      </c>
      <c r="F756" s="295">
        <v>2.4081000000000002E-2</v>
      </c>
      <c r="G756" s="295">
        <v>2.3821999999999999E-2</v>
      </c>
      <c r="H756" s="295">
        <v>2.3557999999999999E-2</v>
      </c>
      <c r="I756" s="295">
        <v>2.3269999999999999E-2</v>
      </c>
      <c r="J756" s="295">
        <v>2.2974999999999999E-2</v>
      </c>
      <c r="K756" s="295">
        <v>2.2689000000000001E-2</v>
      </c>
      <c r="L756" s="295">
        <v>2.2402999999999999E-2</v>
      </c>
      <c r="M756" s="295">
        <v>2.2135999999999999E-2</v>
      </c>
      <c r="N756" s="295">
        <v>2.1895000000000001E-2</v>
      </c>
      <c r="O756" s="295">
        <v>2.1679E-2</v>
      </c>
      <c r="P756" s="295">
        <v>2.1444000000000001E-2</v>
      </c>
      <c r="Q756" s="295">
        <v>2.1218000000000001E-2</v>
      </c>
      <c r="R756" s="295">
        <v>2.0996000000000001E-2</v>
      </c>
      <c r="S756" s="295">
        <v>2.0789999999999999E-2</v>
      </c>
      <c r="T756" s="295">
        <v>2.0591999999999999E-2</v>
      </c>
      <c r="U756" s="295">
        <v>2.0400999999999999E-2</v>
      </c>
      <c r="V756" s="295">
        <v>2.0209000000000001E-2</v>
      </c>
      <c r="W756" s="295">
        <v>2.0017E-2</v>
      </c>
      <c r="X756" s="295">
        <v>1.9843E-2</v>
      </c>
      <c r="Y756" s="295">
        <v>1.9665999999999999E-2</v>
      </c>
      <c r="Z756" s="295">
        <v>1.9515999999999999E-2</v>
      </c>
      <c r="AA756" s="295">
        <v>1.9362000000000001E-2</v>
      </c>
      <c r="AB756" s="295">
        <v>1.9207999999999999E-2</v>
      </c>
      <c r="AC756" s="295">
        <v>1.9061999999999999E-2</v>
      </c>
      <c r="AD756" s="295">
        <v>1.8908999999999999E-2</v>
      </c>
      <c r="AE756" s="295">
        <v>1.8762999999999998E-2</v>
      </c>
      <c r="AF756" s="295">
        <v>1.8636E-2</v>
      </c>
      <c r="AG756" s="295">
        <v>1.8518E-2</v>
      </c>
      <c r="AH756" s="296">
        <v>-1.0293999999999999E-2</v>
      </c>
    </row>
    <row r="757" spans="1:34" ht="15" customHeight="1" x14ac:dyDescent="0.25">
      <c r="A757" s="213" t="s">
        <v>1599</v>
      </c>
      <c r="B757" s="294" t="s">
        <v>1600</v>
      </c>
      <c r="C757" s="295">
        <v>0.50583699999999998</v>
      </c>
      <c r="D757" s="295">
        <v>0.50163100000000005</v>
      </c>
      <c r="E757" s="295">
        <v>0.497641</v>
      </c>
      <c r="F757" s="295">
        <v>0.49550899999999998</v>
      </c>
      <c r="G757" s="295">
        <v>0.49448599999999998</v>
      </c>
      <c r="H757" s="295">
        <v>0.49329899999999999</v>
      </c>
      <c r="I757" s="295">
        <v>0.48369600000000001</v>
      </c>
      <c r="J757" s="295">
        <v>0.47448800000000002</v>
      </c>
      <c r="K757" s="295">
        <v>0.46604299999999999</v>
      </c>
      <c r="L757" s="295">
        <v>0.45828600000000003</v>
      </c>
      <c r="M757" s="295">
        <v>0.45086399999999999</v>
      </c>
      <c r="N757" s="295">
        <v>0.44450600000000001</v>
      </c>
      <c r="O757" s="295">
        <v>0.439141</v>
      </c>
      <c r="P757" s="295">
        <v>0.433722</v>
      </c>
      <c r="Q757" s="295">
        <v>0.42897600000000002</v>
      </c>
      <c r="R757" s="295">
        <v>0.42465000000000003</v>
      </c>
      <c r="S757" s="295">
        <v>0.42111700000000002</v>
      </c>
      <c r="T757" s="295">
        <v>0.41806500000000002</v>
      </c>
      <c r="U757" s="295">
        <v>0.415516</v>
      </c>
      <c r="V757" s="295">
        <v>0.41327799999999998</v>
      </c>
      <c r="W757" s="295">
        <v>0.410246</v>
      </c>
      <c r="X757" s="295">
        <v>0.40776800000000002</v>
      </c>
      <c r="Y757" s="295">
        <v>0.40555099999999999</v>
      </c>
      <c r="Z757" s="295">
        <v>0.40423599999999998</v>
      </c>
      <c r="AA757" s="295">
        <v>0.40317599999999998</v>
      </c>
      <c r="AB757" s="295">
        <v>0.40242099999999997</v>
      </c>
      <c r="AC757" s="295">
        <v>0.40212199999999998</v>
      </c>
      <c r="AD757" s="295">
        <v>0.40193200000000001</v>
      </c>
      <c r="AE757" s="295">
        <v>0.40201700000000001</v>
      </c>
      <c r="AF757" s="295">
        <v>0.40259400000000001</v>
      </c>
      <c r="AG757" s="295">
        <v>0.40365600000000001</v>
      </c>
      <c r="AH757" s="296">
        <v>-7.4929999999999997E-3</v>
      </c>
    </row>
    <row r="758" spans="1:34" ht="15" customHeight="1" x14ac:dyDescent="0.25">
      <c r="A758" s="213" t="s">
        <v>1601</v>
      </c>
      <c r="B758" s="294" t="s">
        <v>1419</v>
      </c>
      <c r="C758" s="295">
        <v>8.4765999999999994E-2</v>
      </c>
      <c r="D758" s="295">
        <v>8.4114999999999995E-2</v>
      </c>
      <c r="E758" s="295">
        <v>8.3596000000000004E-2</v>
      </c>
      <c r="F758" s="295">
        <v>8.3351999999999996E-2</v>
      </c>
      <c r="G758" s="295">
        <v>8.3257999999999999E-2</v>
      </c>
      <c r="H758" s="295">
        <v>8.3115999999999995E-2</v>
      </c>
      <c r="I758" s="295">
        <v>8.2877999999999993E-2</v>
      </c>
      <c r="J758" s="295">
        <v>8.2587999999999995E-2</v>
      </c>
      <c r="K758" s="295">
        <v>8.2292000000000004E-2</v>
      </c>
      <c r="L758" s="295">
        <v>8.1965999999999997E-2</v>
      </c>
      <c r="M758" s="295">
        <v>8.165E-2</v>
      </c>
      <c r="N758" s="295">
        <v>8.1401000000000001E-2</v>
      </c>
      <c r="O758" s="295">
        <v>8.1207000000000001E-2</v>
      </c>
      <c r="P758" s="295">
        <v>8.0951999999999996E-2</v>
      </c>
      <c r="Q758" s="295">
        <v>8.0701999999999996E-2</v>
      </c>
      <c r="R758" s="295">
        <v>8.0427999999999999E-2</v>
      </c>
      <c r="S758" s="295">
        <v>8.0173999999999995E-2</v>
      </c>
      <c r="T758" s="295">
        <v>7.9913999999999999E-2</v>
      </c>
      <c r="U758" s="295">
        <v>7.9643000000000005E-2</v>
      </c>
      <c r="V758" s="295">
        <v>7.9356999999999997E-2</v>
      </c>
      <c r="W758" s="295">
        <v>7.9049999999999995E-2</v>
      </c>
      <c r="X758" s="295">
        <v>7.8805E-2</v>
      </c>
      <c r="Y758" s="295">
        <v>7.8542000000000001E-2</v>
      </c>
      <c r="Z758" s="295">
        <v>7.8349000000000002E-2</v>
      </c>
      <c r="AA758" s="295">
        <v>7.8139E-2</v>
      </c>
      <c r="AB758" s="295">
        <v>7.7911999999999995E-2</v>
      </c>
      <c r="AC758" s="295">
        <v>7.7687999999999993E-2</v>
      </c>
      <c r="AD758" s="295">
        <v>7.7437000000000006E-2</v>
      </c>
      <c r="AE758" s="295">
        <v>7.7189999999999995E-2</v>
      </c>
      <c r="AF758" s="295">
        <v>7.6988000000000001E-2</v>
      </c>
      <c r="AG758" s="295">
        <v>7.6801999999999995E-2</v>
      </c>
      <c r="AH758" s="296">
        <v>-3.284E-3</v>
      </c>
    </row>
    <row r="759" spans="1:34" ht="15" customHeight="1" x14ac:dyDescent="0.25">
      <c r="A759" s="213" t="s">
        <v>1602</v>
      </c>
      <c r="B759" s="294" t="s">
        <v>1425</v>
      </c>
      <c r="C759" s="295">
        <v>0.53478400000000004</v>
      </c>
      <c r="D759" s="295">
        <v>0.51841899999999996</v>
      </c>
      <c r="E759" s="295">
        <v>0.50458400000000003</v>
      </c>
      <c r="F759" s="295">
        <v>0.49346400000000001</v>
      </c>
      <c r="G759" s="295">
        <v>0.484294</v>
      </c>
      <c r="H759" s="295">
        <v>0.47629100000000002</v>
      </c>
      <c r="I759" s="295">
        <v>0.46919899999999998</v>
      </c>
      <c r="J759" s="295">
        <v>0.46297899999999997</v>
      </c>
      <c r="K759" s="295">
        <v>0.45521699999999998</v>
      </c>
      <c r="L759" s="295">
        <v>0.44779799999999997</v>
      </c>
      <c r="M759" s="295">
        <v>0.43364000000000003</v>
      </c>
      <c r="N759" s="295">
        <v>0.42173300000000002</v>
      </c>
      <c r="O759" s="295">
        <v>0.411638</v>
      </c>
      <c r="P759" s="295">
        <v>0.40244400000000002</v>
      </c>
      <c r="Q759" s="295">
        <v>0.39458100000000002</v>
      </c>
      <c r="R759" s="295">
        <v>0.38767499999999999</v>
      </c>
      <c r="S759" s="295">
        <v>0.38203799999999999</v>
      </c>
      <c r="T759" s="295">
        <v>0.37721199999999999</v>
      </c>
      <c r="U759" s="295">
        <v>0.373116</v>
      </c>
      <c r="V759" s="295">
        <v>0.36948700000000001</v>
      </c>
      <c r="W759" s="295">
        <v>0.36407800000000001</v>
      </c>
      <c r="X759" s="295">
        <v>0.359796</v>
      </c>
      <c r="Y759" s="295">
        <v>0.35597899999999999</v>
      </c>
      <c r="Z759" s="295">
        <v>0.35292400000000002</v>
      </c>
      <c r="AA759" s="295">
        <v>0.35034599999999999</v>
      </c>
      <c r="AB759" s="295">
        <v>0.34823700000000002</v>
      </c>
      <c r="AC759" s="295">
        <v>0.346692</v>
      </c>
      <c r="AD759" s="295">
        <v>0.34542800000000001</v>
      </c>
      <c r="AE759" s="295">
        <v>0.34456799999999999</v>
      </c>
      <c r="AF759" s="295">
        <v>0.34434100000000001</v>
      </c>
      <c r="AG759" s="295">
        <v>0.34460099999999999</v>
      </c>
      <c r="AH759" s="296">
        <v>-1.4541999999999999E-2</v>
      </c>
    </row>
    <row r="760" spans="1:34" ht="15" customHeight="1" x14ac:dyDescent="0.25">
      <c r="A760" s="213" t="s">
        <v>1603</v>
      </c>
      <c r="B760" s="294" t="s">
        <v>1417</v>
      </c>
      <c r="C760" s="295">
        <v>0.65268000000000004</v>
      </c>
      <c r="D760" s="295">
        <v>0.64821499999999999</v>
      </c>
      <c r="E760" s="295">
        <v>0.64370099999999997</v>
      </c>
      <c r="F760" s="295">
        <v>0.64150600000000002</v>
      </c>
      <c r="G760" s="295">
        <v>0.640791</v>
      </c>
      <c r="H760" s="295">
        <v>0.64064699999999997</v>
      </c>
      <c r="I760" s="295">
        <v>0.64083299999999999</v>
      </c>
      <c r="J760" s="295">
        <v>0.64137999999999995</v>
      </c>
      <c r="K760" s="295">
        <v>0.64226899999999998</v>
      </c>
      <c r="L760" s="295">
        <v>0.64336700000000002</v>
      </c>
      <c r="M760" s="295">
        <v>0.64298</v>
      </c>
      <c r="N760" s="295">
        <v>0.64383500000000005</v>
      </c>
      <c r="O760" s="295">
        <v>0.64543899999999998</v>
      </c>
      <c r="P760" s="295">
        <v>0.64709799999999995</v>
      </c>
      <c r="Q760" s="295">
        <v>0.64912000000000003</v>
      </c>
      <c r="R760" s="295">
        <v>0.65129700000000001</v>
      </c>
      <c r="S760" s="295">
        <v>0.65371599999999996</v>
      </c>
      <c r="T760" s="295">
        <v>0.65622000000000003</v>
      </c>
      <c r="U760" s="295">
        <v>0.65884200000000004</v>
      </c>
      <c r="V760" s="295">
        <v>0.66152900000000003</v>
      </c>
      <c r="W760" s="295">
        <v>0.66385300000000003</v>
      </c>
      <c r="X760" s="295">
        <v>0.66697700000000004</v>
      </c>
      <c r="Y760" s="295">
        <v>0.67018200000000006</v>
      </c>
      <c r="Z760" s="295">
        <v>0.67387900000000001</v>
      </c>
      <c r="AA760" s="295">
        <v>0.67763499999999999</v>
      </c>
      <c r="AB760" s="295">
        <v>0.68148399999999998</v>
      </c>
      <c r="AC760" s="295">
        <v>0.68550199999999994</v>
      </c>
      <c r="AD760" s="295">
        <v>0.689419</v>
      </c>
      <c r="AE760" s="295">
        <v>0.69336299999999995</v>
      </c>
      <c r="AF760" s="295">
        <v>0.69743699999999997</v>
      </c>
      <c r="AG760" s="295">
        <v>0.70159499999999997</v>
      </c>
      <c r="AH760" s="296">
        <v>2.4120000000000001E-3</v>
      </c>
    </row>
    <row r="761" spans="1:34" ht="15" customHeight="1" x14ac:dyDescent="0.25">
      <c r="A761" s="213" t="s">
        <v>1604</v>
      </c>
      <c r="B761" s="294" t="s">
        <v>1605</v>
      </c>
      <c r="C761" s="295">
        <v>0.33016099999999998</v>
      </c>
      <c r="D761" s="295">
        <v>0.32572899999999999</v>
      </c>
      <c r="E761" s="295">
        <v>0.32187700000000002</v>
      </c>
      <c r="F761" s="295">
        <v>0.31915399999999999</v>
      </c>
      <c r="G761" s="295">
        <v>0.31738699999999997</v>
      </c>
      <c r="H761" s="295">
        <v>0.31642300000000001</v>
      </c>
      <c r="I761" s="295">
        <v>0.31579800000000002</v>
      </c>
      <c r="J761" s="295">
        <v>0.31600899999999998</v>
      </c>
      <c r="K761" s="295">
        <v>0.31712299999999999</v>
      </c>
      <c r="L761" s="295">
        <v>0.31867600000000001</v>
      </c>
      <c r="M761" s="295">
        <v>0.32026500000000002</v>
      </c>
      <c r="N761" s="295">
        <v>0.32283899999999999</v>
      </c>
      <c r="O761" s="295">
        <v>0.32599699999999998</v>
      </c>
      <c r="P761" s="295">
        <v>0.32912200000000003</v>
      </c>
      <c r="Q761" s="295">
        <v>0.33230300000000002</v>
      </c>
      <c r="R761" s="295">
        <v>0.33597100000000002</v>
      </c>
      <c r="S761" s="295">
        <v>0.33968199999999998</v>
      </c>
      <c r="T761" s="295">
        <v>0.34337800000000002</v>
      </c>
      <c r="U761" s="295">
        <v>0.34708899999999998</v>
      </c>
      <c r="V761" s="295">
        <v>0.35028500000000001</v>
      </c>
      <c r="W761" s="295">
        <v>0.353493</v>
      </c>
      <c r="X761" s="295">
        <v>0.35670800000000003</v>
      </c>
      <c r="Y761" s="295">
        <v>0.35886000000000001</v>
      </c>
      <c r="Z761" s="295">
        <v>0.36111599999999999</v>
      </c>
      <c r="AA761" s="295">
        <v>0.36227799999999999</v>
      </c>
      <c r="AB761" s="295">
        <v>0.362875</v>
      </c>
      <c r="AC761" s="295">
        <v>0.36291099999999998</v>
      </c>
      <c r="AD761" s="295">
        <v>0.362315</v>
      </c>
      <c r="AE761" s="295">
        <v>0.35999500000000001</v>
      </c>
      <c r="AF761" s="295">
        <v>0.357097</v>
      </c>
      <c r="AG761" s="295">
        <v>0.35240700000000003</v>
      </c>
      <c r="AH761" s="296">
        <v>2.176E-3</v>
      </c>
    </row>
    <row r="762" spans="1:34" ht="15" customHeight="1" x14ac:dyDescent="0.25">
      <c r="A762" s="213" t="s">
        <v>1606</v>
      </c>
      <c r="B762" s="294" t="s">
        <v>1607</v>
      </c>
      <c r="C762" s="295">
        <v>0.435087</v>
      </c>
      <c r="D762" s="295">
        <v>0.45521200000000001</v>
      </c>
      <c r="E762" s="295">
        <v>0.47446700000000003</v>
      </c>
      <c r="F762" s="295">
        <v>0.49315399999999998</v>
      </c>
      <c r="G762" s="295">
        <v>0.51134299999999999</v>
      </c>
      <c r="H762" s="295">
        <v>0.52853000000000006</v>
      </c>
      <c r="I762" s="295">
        <v>0.54478499999999996</v>
      </c>
      <c r="J762" s="295">
        <v>0.559863</v>
      </c>
      <c r="K762" s="295">
        <v>0.57404999999999995</v>
      </c>
      <c r="L762" s="295">
        <v>0.58756399999999998</v>
      </c>
      <c r="M762" s="295">
        <v>0.60053800000000002</v>
      </c>
      <c r="N762" s="295">
        <v>0.61300900000000003</v>
      </c>
      <c r="O762" s="295">
        <v>0.62559500000000001</v>
      </c>
      <c r="P762" s="295">
        <v>0.63748700000000003</v>
      </c>
      <c r="Q762" s="295">
        <v>0.64929300000000001</v>
      </c>
      <c r="R762" s="295">
        <v>0.660856</v>
      </c>
      <c r="S762" s="295">
        <v>0.67249300000000001</v>
      </c>
      <c r="T762" s="295">
        <v>0.68383400000000005</v>
      </c>
      <c r="U762" s="295">
        <v>0.69554000000000005</v>
      </c>
      <c r="V762" s="295">
        <v>0.707372</v>
      </c>
      <c r="W762" s="295">
        <v>0.71996700000000002</v>
      </c>
      <c r="X762" s="295">
        <v>0.73302299999999998</v>
      </c>
      <c r="Y762" s="295">
        <v>0.74683299999999997</v>
      </c>
      <c r="Z762" s="295">
        <v>0.76162200000000002</v>
      </c>
      <c r="AA762" s="295">
        <v>0.77751099999999995</v>
      </c>
      <c r="AB762" s="295">
        <v>0.79453799999999997</v>
      </c>
      <c r="AC762" s="295">
        <v>0.81277200000000005</v>
      </c>
      <c r="AD762" s="295">
        <v>0.83275100000000002</v>
      </c>
      <c r="AE762" s="295">
        <v>0.85433099999999995</v>
      </c>
      <c r="AF762" s="295">
        <v>0.87766100000000002</v>
      </c>
      <c r="AG762" s="295">
        <v>0.90331899999999998</v>
      </c>
      <c r="AH762" s="296">
        <v>2.4649999999999998E-2</v>
      </c>
    </row>
    <row r="763" spans="1:34" ht="15" customHeight="1" x14ac:dyDescent="0.25">
      <c r="A763" s="213" t="s">
        <v>1608</v>
      </c>
      <c r="B763" s="294" t="s">
        <v>1609</v>
      </c>
      <c r="C763" s="295">
        <v>1.212008</v>
      </c>
      <c r="D763" s="295">
        <v>1.322937</v>
      </c>
      <c r="E763" s="295">
        <v>1.393764</v>
      </c>
      <c r="F763" s="295">
        <v>1.4632780000000001</v>
      </c>
      <c r="G763" s="295">
        <v>1.5341670000000001</v>
      </c>
      <c r="H763" s="295">
        <v>1.6051789999999999</v>
      </c>
      <c r="I763" s="295">
        <v>1.6201179999999999</v>
      </c>
      <c r="J763" s="295">
        <v>1.6366909999999999</v>
      </c>
      <c r="K763" s="295">
        <v>1.6538200000000001</v>
      </c>
      <c r="L763" s="295">
        <v>1.6713199999999999</v>
      </c>
      <c r="M763" s="295">
        <v>1.689508</v>
      </c>
      <c r="N763" s="295">
        <v>1.7085330000000001</v>
      </c>
      <c r="O763" s="295">
        <v>1.729015</v>
      </c>
      <c r="P763" s="295">
        <v>1.750059</v>
      </c>
      <c r="Q763" s="295">
        <v>1.772122</v>
      </c>
      <c r="R763" s="295">
        <v>1.7949850000000001</v>
      </c>
      <c r="S763" s="295">
        <v>1.818794</v>
      </c>
      <c r="T763" s="295">
        <v>1.843715</v>
      </c>
      <c r="U763" s="295">
        <v>1.8695809999999999</v>
      </c>
      <c r="V763" s="295">
        <v>1.896798</v>
      </c>
      <c r="W763" s="295">
        <v>1.9254340000000001</v>
      </c>
      <c r="X763" s="295">
        <v>1.95564</v>
      </c>
      <c r="Y763" s="295">
        <v>1.987241</v>
      </c>
      <c r="Z763" s="295">
        <v>2.0214059999999998</v>
      </c>
      <c r="AA763" s="295">
        <v>2.0569890000000002</v>
      </c>
      <c r="AB763" s="295">
        <v>2.0945480000000001</v>
      </c>
      <c r="AC763" s="295">
        <v>2.1341060000000001</v>
      </c>
      <c r="AD763" s="295">
        <v>2.1756009999999999</v>
      </c>
      <c r="AE763" s="295">
        <v>2.219427</v>
      </c>
      <c r="AF763" s="295">
        <v>2.2658849999999999</v>
      </c>
      <c r="AG763" s="295">
        <v>2.3150940000000002</v>
      </c>
      <c r="AH763" s="296">
        <v>2.1807E-2</v>
      </c>
    </row>
    <row r="764" spans="1:34" ht="15" customHeight="1" x14ac:dyDescent="0.2">
      <c r="A764" s="213" t="s">
        <v>1610</v>
      </c>
      <c r="B764" s="204" t="s">
        <v>1439</v>
      </c>
      <c r="C764" s="205">
        <v>4.4241840000000003</v>
      </c>
      <c r="D764" s="205">
        <v>4.4963860000000002</v>
      </c>
      <c r="E764" s="205">
        <v>4.599386</v>
      </c>
      <c r="F764" s="205">
        <v>4.6712680000000004</v>
      </c>
      <c r="G764" s="205">
        <v>4.7504340000000003</v>
      </c>
      <c r="H764" s="205">
        <v>4.8308590000000002</v>
      </c>
      <c r="I764" s="205">
        <v>4.8465389999999999</v>
      </c>
      <c r="J764" s="205">
        <v>4.8646880000000001</v>
      </c>
      <c r="K764" s="205">
        <v>4.8831350000000002</v>
      </c>
      <c r="L764" s="205">
        <v>4.902901</v>
      </c>
      <c r="M764" s="205">
        <v>4.9150460000000002</v>
      </c>
      <c r="N764" s="205">
        <v>4.9344669999999997</v>
      </c>
      <c r="O764" s="205">
        <v>4.960426</v>
      </c>
      <c r="P764" s="205">
        <v>4.9863860000000004</v>
      </c>
      <c r="Q764" s="205">
        <v>5.0160330000000002</v>
      </c>
      <c r="R764" s="205">
        <v>5.048298</v>
      </c>
      <c r="S764" s="205">
        <v>5.0844319999999996</v>
      </c>
      <c r="T764" s="205">
        <v>5.1231</v>
      </c>
      <c r="U764" s="205">
        <v>5.1647179999999997</v>
      </c>
      <c r="V764" s="205">
        <v>5.2081840000000001</v>
      </c>
      <c r="W764" s="205">
        <v>5.25054</v>
      </c>
      <c r="X764" s="205">
        <v>5.2977850000000002</v>
      </c>
      <c r="Y764" s="205">
        <v>5.3471359999999999</v>
      </c>
      <c r="Z764" s="205">
        <v>5.4033490000000004</v>
      </c>
      <c r="AA764" s="205">
        <v>5.461964</v>
      </c>
      <c r="AB764" s="205">
        <v>5.5239549999999999</v>
      </c>
      <c r="AC764" s="205">
        <v>5.5902919999999998</v>
      </c>
      <c r="AD764" s="205">
        <v>5.6595740000000001</v>
      </c>
      <c r="AE764" s="205">
        <v>5.7322480000000002</v>
      </c>
      <c r="AF764" s="205">
        <v>5.8105270000000004</v>
      </c>
      <c r="AG764" s="205">
        <v>5.8940109999999999</v>
      </c>
      <c r="AH764" s="206">
        <v>9.6080000000000002E-3</v>
      </c>
    </row>
    <row r="765" spans="1:34" ht="15" customHeight="1" x14ac:dyDescent="0.25">
      <c r="A765" s="213" t="s">
        <v>1611</v>
      </c>
      <c r="B765" s="294" t="s">
        <v>1441</v>
      </c>
      <c r="C765" s="295">
        <v>8.8754E-2</v>
      </c>
      <c r="D765" s="295">
        <v>0.10077999999999999</v>
      </c>
      <c r="E765" s="295">
        <v>0.108822</v>
      </c>
      <c r="F765" s="295">
        <v>0.113284</v>
      </c>
      <c r="G765" s="295">
        <v>0.117704</v>
      </c>
      <c r="H765" s="295">
        <v>0.12537599999999999</v>
      </c>
      <c r="I765" s="295">
        <v>0.13159799999999999</v>
      </c>
      <c r="J765" s="295">
        <v>0.14030899999999999</v>
      </c>
      <c r="K765" s="295">
        <v>0.14565900000000001</v>
      </c>
      <c r="L765" s="295">
        <v>0.15195400000000001</v>
      </c>
      <c r="M765" s="295">
        <v>0.15564500000000001</v>
      </c>
      <c r="N765" s="295">
        <v>0.162048</v>
      </c>
      <c r="O765" s="295">
        <v>0.16437399999999999</v>
      </c>
      <c r="P765" s="295">
        <v>0.17144899999999999</v>
      </c>
      <c r="Q765" s="295">
        <v>0.174927</v>
      </c>
      <c r="R765" s="295">
        <v>0.182645</v>
      </c>
      <c r="S765" s="295">
        <v>0.19064900000000001</v>
      </c>
      <c r="T765" s="295">
        <v>0.19592399999999999</v>
      </c>
      <c r="U765" s="295">
        <v>0.20144000000000001</v>
      </c>
      <c r="V765" s="295">
        <v>0.20696999999999999</v>
      </c>
      <c r="W765" s="295">
        <v>0.21357400000000001</v>
      </c>
      <c r="X765" s="295">
        <v>0.22040199999999999</v>
      </c>
      <c r="Y765" s="295">
        <v>0.22836400000000001</v>
      </c>
      <c r="Z765" s="295">
        <v>0.230716</v>
      </c>
      <c r="AA765" s="295">
        <v>0.23728299999999999</v>
      </c>
      <c r="AB765" s="295">
        <v>0.242976</v>
      </c>
      <c r="AC765" s="295">
        <v>0.25006899999999999</v>
      </c>
      <c r="AD765" s="295">
        <v>0.257384</v>
      </c>
      <c r="AE765" s="295">
        <v>0.26299400000000001</v>
      </c>
      <c r="AF765" s="295">
        <v>0.266015</v>
      </c>
      <c r="AG765" s="295">
        <v>0.26919199999999999</v>
      </c>
      <c r="AH765" s="296">
        <v>3.7678000000000003E-2</v>
      </c>
    </row>
    <row r="766" spans="1:34" ht="15" customHeight="1" x14ac:dyDescent="0.2">
      <c r="A766" s="213" t="s">
        <v>1612</v>
      </c>
      <c r="B766" s="204" t="s">
        <v>1443</v>
      </c>
      <c r="C766" s="205">
        <v>4.3354299999999997</v>
      </c>
      <c r="D766" s="205">
        <v>4.3956049999999998</v>
      </c>
      <c r="E766" s="205">
        <v>4.490564</v>
      </c>
      <c r="F766" s="205">
        <v>4.5579850000000004</v>
      </c>
      <c r="G766" s="205">
        <v>4.6327299999999996</v>
      </c>
      <c r="H766" s="205">
        <v>4.7054830000000001</v>
      </c>
      <c r="I766" s="205">
        <v>4.7149419999999997</v>
      </c>
      <c r="J766" s="205">
        <v>4.72438</v>
      </c>
      <c r="K766" s="205">
        <v>4.737476</v>
      </c>
      <c r="L766" s="205">
        <v>4.750947</v>
      </c>
      <c r="M766" s="205">
        <v>4.7594010000000004</v>
      </c>
      <c r="N766" s="205">
        <v>4.7724190000000002</v>
      </c>
      <c r="O766" s="205">
        <v>4.7960520000000004</v>
      </c>
      <c r="P766" s="205">
        <v>4.8149379999999997</v>
      </c>
      <c r="Q766" s="205">
        <v>4.8411059999999999</v>
      </c>
      <c r="R766" s="205">
        <v>4.865653</v>
      </c>
      <c r="S766" s="205">
        <v>4.893783</v>
      </c>
      <c r="T766" s="205">
        <v>4.9271760000000002</v>
      </c>
      <c r="U766" s="205">
        <v>4.9632779999999999</v>
      </c>
      <c r="V766" s="205">
        <v>5.0012150000000002</v>
      </c>
      <c r="W766" s="205">
        <v>5.0369650000000004</v>
      </c>
      <c r="X766" s="205">
        <v>5.0773830000000002</v>
      </c>
      <c r="Y766" s="205">
        <v>5.118773</v>
      </c>
      <c r="Z766" s="205">
        <v>5.1726330000000003</v>
      </c>
      <c r="AA766" s="205">
        <v>5.2246810000000004</v>
      </c>
      <c r="AB766" s="205">
        <v>5.2809790000000003</v>
      </c>
      <c r="AC766" s="205">
        <v>5.3402219999999998</v>
      </c>
      <c r="AD766" s="205">
        <v>5.40219</v>
      </c>
      <c r="AE766" s="205">
        <v>5.4692540000000003</v>
      </c>
      <c r="AF766" s="205">
        <v>5.5445120000000001</v>
      </c>
      <c r="AG766" s="205">
        <v>5.6248189999999996</v>
      </c>
      <c r="AH766" s="206">
        <v>8.7170000000000008E-3</v>
      </c>
    </row>
    <row r="768" spans="1:34" ht="15" customHeight="1" x14ac:dyDescent="0.2">
      <c r="B768" s="204" t="s">
        <v>1444</v>
      </c>
    </row>
    <row r="769" spans="1:34" ht="15" customHeight="1" x14ac:dyDescent="0.25">
      <c r="A769" s="213" t="s">
        <v>1613</v>
      </c>
      <c r="B769" s="294" t="s">
        <v>1594</v>
      </c>
      <c r="C769" s="295">
        <v>1.772856</v>
      </c>
      <c r="D769" s="295">
        <v>1.834884</v>
      </c>
      <c r="E769" s="295">
        <v>1.825129</v>
      </c>
      <c r="F769" s="295">
        <v>1.822451</v>
      </c>
      <c r="G769" s="295">
        <v>1.8325720000000001</v>
      </c>
      <c r="H769" s="295">
        <v>1.8389489999999999</v>
      </c>
      <c r="I769" s="295">
        <v>1.83792</v>
      </c>
      <c r="J769" s="295">
        <v>1.833725</v>
      </c>
      <c r="K769" s="295">
        <v>1.8290040000000001</v>
      </c>
      <c r="L769" s="295">
        <v>1.8226070000000001</v>
      </c>
      <c r="M769" s="295">
        <v>1.8134539999999999</v>
      </c>
      <c r="N769" s="295">
        <v>1.809259</v>
      </c>
      <c r="O769" s="295">
        <v>1.8068230000000001</v>
      </c>
      <c r="P769" s="295">
        <v>1.803186</v>
      </c>
      <c r="Q769" s="295">
        <v>1.799318</v>
      </c>
      <c r="R769" s="295">
        <v>1.796489</v>
      </c>
      <c r="S769" s="295">
        <v>1.7943720000000001</v>
      </c>
      <c r="T769" s="295">
        <v>1.7916460000000001</v>
      </c>
      <c r="U769" s="295">
        <v>1.7882769999999999</v>
      </c>
      <c r="V769" s="295">
        <v>1.7843640000000001</v>
      </c>
      <c r="W769" s="295">
        <v>1.7807269999999999</v>
      </c>
      <c r="X769" s="295">
        <v>1.777355</v>
      </c>
      <c r="Y769" s="295">
        <v>1.7738210000000001</v>
      </c>
      <c r="Z769" s="295">
        <v>1.7699849999999999</v>
      </c>
      <c r="AA769" s="295">
        <v>1.766151</v>
      </c>
      <c r="AB769" s="295">
        <v>1.7612140000000001</v>
      </c>
      <c r="AC769" s="295">
        <v>1.756008</v>
      </c>
      <c r="AD769" s="295">
        <v>1.7497149999999999</v>
      </c>
      <c r="AE769" s="295">
        <v>1.7427220000000001</v>
      </c>
      <c r="AF769" s="295">
        <v>1.7347049999999999</v>
      </c>
      <c r="AG769" s="295">
        <v>1.7260869999999999</v>
      </c>
      <c r="AH769" s="296">
        <v>-8.9099999999999997E-4</v>
      </c>
    </row>
    <row r="770" spans="1:34" ht="15" customHeight="1" x14ac:dyDescent="0.25">
      <c r="A770" s="213" t="s">
        <v>1614</v>
      </c>
      <c r="B770" s="294" t="s">
        <v>1596</v>
      </c>
      <c r="C770" s="295">
        <v>2.7616000000000002E-2</v>
      </c>
      <c r="D770" s="295">
        <v>2.3945000000000001E-2</v>
      </c>
      <c r="E770" s="295">
        <v>2.6145000000000002E-2</v>
      </c>
      <c r="F770" s="295">
        <v>2.5883E-2</v>
      </c>
      <c r="G770" s="295">
        <v>2.5779E-2</v>
      </c>
      <c r="H770" s="295">
        <v>2.5635999999999999E-2</v>
      </c>
      <c r="I770" s="295">
        <v>2.5418E-2</v>
      </c>
      <c r="J770" s="295">
        <v>2.5205999999999999E-2</v>
      </c>
      <c r="K770" s="295">
        <v>2.5014000000000002E-2</v>
      </c>
      <c r="L770" s="295">
        <v>2.4797E-2</v>
      </c>
      <c r="M770" s="295">
        <v>2.4559999999999998E-2</v>
      </c>
      <c r="N770" s="295">
        <v>2.4400999999999999E-2</v>
      </c>
      <c r="O770" s="295">
        <v>2.4277E-2</v>
      </c>
      <c r="P770" s="295">
        <v>2.4150999999999999E-2</v>
      </c>
      <c r="Q770" s="295">
        <v>2.4027E-2</v>
      </c>
      <c r="R770" s="295">
        <v>2.3923E-2</v>
      </c>
      <c r="S770" s="295">
        <v>2.384E-2</v>
      </c>
      <c r="T770" s="295">
        <v>2.3765999999999999E-2</v>
      </c>
      <c r="U770" s="295">
        <v>2.3689000000000002E-2</v>
      </c>
      <c r="V770" s="295">
        <v>2.3623000000000002E-2</v>
      </c>
      <c r="W770" s="295">
        <v>2.3567000000000001E-2</v>
      </c>
      <c r="X770" s="295">
        <v>2.3519000000000002E-2</v>
      </c>
      <c r="Y770" s="295">
        <v>2.3487000000000001E-2</v>
      </c>
      <c r="Z770" s="295">
        <v>2.3453999999999999E-2</v>
      </c>
      <c r="AA770" s="295">
        <v>2.3442000000000001E-2</v>
      </c>
      <c r="AB770" s="295">
        <v>2.3428999999999998E-2</v>
      </c>
      <c r="AC770" s="295">
        <v>2.3415999999999999E-2</v>
      </c>
      <c r="AD770" s="295">
        <v>2.3396E-2</v>
      </c>
      <c r="AE770" s="295">
        <v>2.3386000000000001E-2</v>
      </c>
      <c r="AF770" s="295">
        <v>2.3363999999999999E-2</v>
      </c>
      <c r="AG770" s="295">
        <v>2.3345000000000001E-2</v>
      </c>
      <c r="AH770" s="296">
        <v>-5.5849999999999997E-3</v>
      </c>
    </row>
    <row r="771" spans="1:34" ht="15" customHeight="1" x14ac:dyDescent="0.25">
      <c r="A771" s="213" t="s">
        <v>1615</v>
      </c>
      <c r="B771" s="294" t="s">
        <v>1598</v>
      </c>
      <c r="C771" s="295">
        <v>0.61248599999999997</v>
      </c>
      <c r="D771" s="295">
        <v>0.61219199999999996</v>
      </c>
      <c r="E771" s="295">
        <v>0.60983100000000001</v>
      </c>
      <c r="F771" s="295">
        <v>0.61156900000000003</v>
      </c>
      <c r="G771" s="295">
        <v>0.61731400000000003</v>
      </c>
      <c r="H771" s="295">
        <v>0.62202800000000003</v>
      </c>
      <c r="I771" s="295">
        <v>0.62476799999999999</v>
      </c>
      <c r="J771" s="295">
        <v>0.62686399999999998</v>
      </c>
      <c r="K771" s="295">
        <v>0.62895999999999996</v>
      </c>
      <c r="L771" s="295">
        <v>0.63073699999999999</v>
      </c>
      <c r="M771" s="295">
        <v>0.63047299999999995</v>
      </c>
      <c r="N771" s="295">
        <v>0.63224499999999995</v>
      </c>
      <c r="O771" s="295">
        <v>0.63520399999999999</v>
      </c>
      <c r="P771" s="295">
        <v>0.63844599999999996</v>
      </c>
      <c r="Q771" s="295">
        <v>0.64182099999999997</v>
      </c>
      <c r="R771" s="295">
        <v>0.64559599999999995</v>
      </c>
      <c r="S771" s="295">
        <v>0.64972300000000005</v>
      </c>
      <c r="T771" s="295">
        <v>0.65375399999999995</v>
      </c>
      <c r="U771" s="295">
        <v>0.65761599999999998</v>
      </c>
      <c r="V771" s="295">
        <v>0.66146700000000003</v>
      </c>
      <c r="W771" s="295">
        <v>0.66552500000000003</v>
      </c>
      <c r="X771" s="295">
        <v>0.66998000000000002</v>
      </c>
      <c r="Y771" s="295">
        <v>0.67452699999999999</v>
      </c>
      <c r="Z771" s="295">
        <v>0.67916799999999999</v>
      </c>
      <c r="AA771" s="295">
        <v>0.68391400000000002</v>
      </c>
      <c r="AB771" s="295">
        <v>0.68841300000000005</v>
      </c>
      <c r="AC771" s="295">
        <v>0.69291999999999998</v>
      </c>
      <c r="AD771" s="295">
        <v>0.697156</v>
      </c>
      <c r="AE771" s="295">
        <v>0.70124799999999998</v>
      </c>
      <c r="AF771" s="295">
        <v>0.70506500000000005</v>
      </c>
      <c r="AG771" s="295">
        <v>0.70868100000000001</v>
      </c>
      <c r="AH771" s="296">
        <v>4.8739999999999999E-3</v>
      </c>
    </row>
    <row r="772" spans="1:34" ht="15" customHeight="1" x14ac:dyDescent="0.25">
      <c r="A772" s="213" t="s">
        <v>1616</v>
      </c>
      <c r="B772" s="294" t="s">
        <v>1419</v>
      </c>
      <c r="C772" s="295">
        <v>0.34441100000000002</v>
      </c>
      <c r="D772" s="295">
        <v>0.34667999999999999</v>
      </c>
      <c r="E772" s="295">
        <v>0.34850500000000001</v>
      </c>
      <c r="F772" s="295">
        <v>0.35253800000000002</v>
      </c>
      <c r="G772" s="295">
        <v>0.35863800000000001</v>
      </c>
      <c r="H772" s="295">
        <v>0.36424899999999999</v>
      </c>
      <c r="I772" s="295">
        <v>0.36883500000000002</v>
      </c>
      <c r="J772" s="295">
        <v>0.37310300000000002</v>
      </c>
      <c r="K772" s="295">
        <v>0.37725999999999998</v>
      </c>
      <c r="L772" s="295">
        <v>0.38114300000000001</v>
      </c>
      <c r="M772" s="295">
        <v>0.38329600000000003</v>
      </c>
      <c r="N772" s="295">
        <v>0.38675199999999998</v>
      </c>
      <c r="O772" s="295">
        <v>0.39091999999999999</v>
      </c>
      <c r="P772" s="295">
        <v>0.39539200000000002</v>
      </c>
      <c r="Q772" s="295">
        <v>0.39987299999999998</v>
      </c>
      <c r="R772" s="295">
        <v>0.40449499999999999</v>
      </c>
      <c r="S772" s="295">
        <v>0.409167</v>
      </c>
      <c r="T772" s="295">
        <v>0.41368500000000002</v>
      </c>
      <c r="U772" s="295">
        <v>0.41799700000000001</v>
      </c>
      <c r="V772" s="295">
        <v>0.42224400000000001</v>
      </c>
      <c r="W772" s="295">
        <v>0.42657800000000001</v>
      </c>
      <c r="X772" s="295">
        <v>0.43126399999999998</v>
      </c>
      <c r="Y772" s="295">
        <v>0.43599300000000002</v>
      </c>
      <c r="Z772" s="295">
        <v>0.44074400000000002</v>
      </c>
      <c r="AA772" s="295">
        <v>0.445548</v>
      </c>
      <c r="AB772" s="295">
        <v>0.45018799999999998</v>
      </c>
      <c r="AC772" s="295">
        <v>0.45481500000000002</v>
      </c>
      <c r="AD772" s="295">
        <v>0.45925100000000002</v>
      </c>
      <c r="AE772" s="295">
        <v>0.46356000000000003</v>
      </c>
      <c r="AF772" s="295">
        <v>0.467638</v>
      </c>
      <c r="AG772" s="295">
        <v>0.47154099999999999</v>
      </c>
      <c r="AH772" s="296">
        <v>1.0527E-2</v>
      </c>
    </row>
    <row r="773" spans="1:34" ht="15" customHeight="1" x14ac:dyDescent="0.25">
      <c r="A773" s="213" t="s">
        <v>1617</v>
      </c>
      <c r="B773" s="294" t="s">
        <v>1618</v>
      </c>
      <c r="C773" s="295">
        <v>0.55567</v>
      </c>
      <c r="D773" s="295">
        <v>0.60438599999999998</v>
      </c>
      <c r="E773" s="295">
        <v>0.58391000000000004</v>
      </c>
      <c r="F773" s="295">
        <v>0.69120999999999999</v>
      </c>
      <c r="G773" s="295">
        <v>0.734958</v>
      </c>
      <c r="H773" s="295">
        <v>0.777258</v>
      </c>
      <c r="I773" s="295">
        <v>0.77777700000000005</v>
      </c>
      <c r="J773" s="295">
        <v>0.77787499999999998</v>
      </c>
      <c r="K773" s="295">
        <v>0.77773700000000001</v>
      </c>
      <c r="L773" s="295">
        <v>0.77728900000000001</v>
      </c>
      <c r="M773" s="295">
        <v>0.77638600000000002</v>
      </c>
      <c r="N773" s="295">
        <v>0.77659999999999996</v>
      </c>
      <c r="O773" s="295">
        <v>0.77723200000000003</v>
      </c>
      <c r="P773" s="295">
        <v>0.77816399999999997</v>
      </c>
      <c r="Q773" s="295">
        <v>0.77858000000000005</v>
      </c>
      <c r="R773" s="295">
        <v>0.77960700000000005</v>
      </c>
      <c r="S773" s="295">
        <v>0.78086699999999998</v>
      </c>
      <c r="T773" s="295">
        <v>0.78218799999999999</v>
      </c>
      <c r="U773" s="295">
        <v>0.78344800000000003</v>
      </c>
      <c r="V773" s="295">
        <v>0.78470899999999999</v>
      </c>
      <c r="W773" s="295">
        <v>0.78627100000000005</v>
      </c>
      <c r="X773" s="295">
        <v>0.78782600000000003</v>
      </c>
      <c r="Y773" s="295">
        <v>0.78966000000000003</v>
      </c>
      <c r="Z773" s="295">
        <v>0.79110899999999995</v>
      </c>
      <c r="AA773" s="295">
        <v>0.792937</v>
      </c>
      <c r="AB773" s="295">
        <v>0.794346</v>
      </c>
      <c r="AC773" s="295">
        <v>0.79573099999999997</v>
      </c>
      <c r="AD773" s="295">
        <v>0.79705099999999995</v>
      </c>
      <c r="AE773" s="295">
        <v>0.79804399999999998</v>
      </c>
      <c r="AF773" s="295">
        <v>0.79881199999999997</v>
      </c>
      <c r="AG773" s="295">
        <v>0.79951499999999998</v>
      </c>
      <c r="AH773" s="296">
        <v>1.2201999999999999E-2</v>
      </c>
    </row>
    <row r="774" spans="1:34" ht="15" customHeight="1" x14ac:dyDescent="0.2">
      <c r="A774" s="213" t="s">
        <v>1619</v>
      </c>
      <c r="B774" s="204" t="s">
        <v>1047</v>
      </c>
      <c r="C774" s="205">
        <v>3.3130389999999998</v>
      </c>
      <c r="D774" s="205">
        <v>3.4220869999999999</v>
      </c>
      <c r="E774" s="205">
        <v>3.3935200000000001</v>
      </c>
      <c r="F774" s="205">
        <v>3.5036510000000001</v>
      </c>
      <c r="G774" s="205">
        <v>3.569261</v>
      </c>
      <c r="H774" s="205">
        <v>3.6281210000000002</v>
      </c>
      <c r="I774" s="205">
        <v>3.6347179999999999</v>
      </c>
      <c r="J774" s="205">
        <v>3.636774</v>
      </c>
      <c r="K774" s="205">
        <v>3.637975</v>
      </c>
      <c r="L774" s="205">
        <v>3.6365729999999998</v>
      </c>
      <c r="M774" s="205">
        <v>3.6281680000000001</v>
      </c>
      <c r="N774" s="205">
        <v>3.629257</v>
      </c>
      <c r="O774" s="205">
        <v>3.6344560000000001</v>
      </c>
      <c r="P774" s="205">
        <v>3.639338</v>
      </c>
      <c r="Q774" s="205">
        <v>3.6436190000000002</v>
      </c>
      <c r="R774" s="205">
        <v>3.6501100000000002</v>
      </c>
      <c r="S774" s="205">
        <v>3.6579700000000002</v>
      </c>
      <c r="T774" s="205">
        <v>3.6650390000000002</v>
      </c>
      <c r="U774" s="205">
        <v>3.6710280000000002</v>
      </c>
      <c r="V774" s="205">
        <v>3.6764079999999999</v>
      </c>
      <c r="W774" s="205">
        <v>3.6826690000000002</v>
      </c>
      <c r="X774" s="205">
        <v>3.6899419999999998</v>
      </c>
      <c r="Y774" s="205">
        <v>3.6974879999999999</v>
      </c>
      <c r="Z774" s="205">
        <v>3.7044609999999998</v>
      </c>
      <c r="AA774" s="205">
        <v>3.711992</v>
      </c>
      <c r="AB774" s="205">
        <v>3.7175910000000001</v>
      </c>
      <c r="AC774" s="205">
        <v>3.7228889999999999</v>
      </c>
      <c r="AD774" s="205">
        <v>3.726569</v>
      </c>
      <c r="AE774" s="205">
        <v>3.728961</v>
      </c>
      <c r="AF774" s="205">
        <v>3.7295829999999999</v>
      </c>
      <c r="AG774" s="205">
        <v>3.7291690000000002</v>
      </c>
      <c r="AH774" s="206">
        <v>3.9519999999999998E-3</v>
      </c>
    </row>
    <row r="776" spans="1:34" ht="15" customHeight="1" x14ac:dyDescent="0.2">
      <c r="B776" s="204" t="s">
        <v>1620</v>
      </c>
    </row>
    <row r="777" spans="1:34" ht="15" customHeight="1" x14ac:dyDescent="0.25">
      <c r="A777" s="213" t="s">
        <v>1621</v>
      </c>
      <c r="B777" s="294" t="s">
        <v>1594</v>
      </c>
      <c r="C777" s="295">
        <v>0.21654300000000001</v>
      </c>
      <c r="D777" s="295">
        <v>0.229018</v>
      </c>
      <c r="E777" s="295">
        <v>0.227909</v>
      </c>
      <c r="F777" s="295">
        <v>0.224496</v>
      </c>
      <c r="G777" s="295">
        <v>0.22153700000000001</v>
      </c>
      <c r="H777" s="295">
        <v>0.21942999999999999</v>
      </c>
      <c r="I777" s="295">
        <v>0.217971</v>
      </c>
      <c r="J777" s="295">
        <v>0.21610299999999999</v>
      </c>
      <c r="K777" s="295">
        <v>0.21334500000000001</v>
      </c>
      <c r="L777" s="295">
        <v>0.21069099999999999</v>
      </c>
      <c r="M777" s="295">
        <v>0.207902</v>
      </c>
      <c r="N777" s="295">
        <v>0.20555799999999999</v>
      </c>
      <c r="O777" s="295">
        <v>0.20317099999999999</v>
      </c>
      <c r="P777" s="295">
        <v>0.20099800000000001</v>
      </c>
      <c r="Q777" s="295">
        <v>0.19889899999999999</v>
      </c>
      <c r="R777" s="295">
        <v>0.196908</v>
      </c>
      <c r="S777" s="295">
        <v>0.19489200000000001</v>
      </c>
      <c r="T777" s="295">
        <v>0.19267999999999999</v>
      </c>
      <c r="U777" s="295">
        <v>0.19034400000000001</v>
      </c>
      <c r="V777" s="295">
        <v>0.18825</v>
      </c>
      <c r="W777" s="295">
        <v>0.18585299999999999</v>
      </c>
      <c r="X777" s="295">
        <v>0.18351799999999999</v>
      </c>
      <c r="Y777" s="295">
        <v>0.18127499999999999</v>
      </c>
      <c r="Z777" s="295">
        <v>0.17901</v>
      </c>
      <c r="AA777" s="295">
        <v>0.177014</v>
      </c>
      <c r="AB777" s="295">
        <v>0.17504400000000001</v>
      </c>
      <c r="AC777" s="295">
        <v>0.17291799999999999</v>
      </c>
      <c r="AD777" s="295">
        <v>0.17074600000000001</v>
      </c>
      <c r="AE777" s="295">
        <v>0.16878499999999999</v>
      </c>
      <c r="AF777" s="295">
        <v>0.16681699999999999</v>
      </c>
      <c r="AG777" s="295">
        <v>0.16491800000000001</v>
      </c>
      <c r="AH777" s="296">
        <v>-9.0369999999999999E-3</v>
      </c>
    </row>
    <row r="778" spans="1:34" ht="15" customHeight="1" x14ac:dyDescent="0.25">
      <c r="A778" s="213" t="s">
        <v>1622</v>
      </c>
      <c r="B778" s="294" t="s">
        <v>1598</v>
      </c>
      <c r="C778" s="295">
        <v>6.5240000000000003E-3</v>
      </c>
      <c r="D778" s="295">
        <v>6.581E-3</v>
      </c>
      <c r="E778" s="295">
        <v>6.5760000000000002E-3</v>
      </c>
      <c r="F778" s="295">
        <v>6.5040000000000002E-3</v>
      </c>
      <c r="G778" s="295">
        <v>6.4539999999999997E-3</v>
      </c>
      <c r="H778" s="295">
        <v>6.43E-3</v>
      </c>
      <c r="I778" s="295">
        <v>6.4200000000000004E-3</v>
      </c>
      <c r="J778" s="295">
        <v>6.3949999999999996E-3</v>
      </c>
      <c r="K778" s="295">
        <v>6.3400000000000001E-3</v>
      </c>
      <c r="L778" s="295">
        <v>6.2859999999999999E-3</v>
      </c>
      <c r="M778" s="295">
        <v>6.2300000000000003E-3</v>
      </c>
      <c r="N778" s="295">
        <v>6.1859999999999997E-3</v>
      </c>
      <c r="O778" s="295">
        <v>6.1450000000000003E-3</v>
      </c>
      <c r="P778" s="295">
        <v>6.1120000000000002E-3</v>
      </c>
      <c r="Q778" s="295">
        <v>6.0819999999999997E-3</v>
      </c>
      <c r="R778" s="295">
        <v>6.0530000000000002E-3</v>
      </c>
      <c r="S778" s="295">
        <v>6.0219999999999996E-3</v>
      </c>
      <c r="T778" s="295">
        <v>5.9829999999999996E-3</v>
      </c>
      <c r="U778" s="295">
        <v>5.94E-3</v>
      </c>
      <c r="V778" s="295">
        <v>5.9049999999999997E-3</v>
      </c>
      <c r="W778" s="295">
        <v>5.8640000000000003E-3</v>
      </c>
      <c r="X778" s="295">
        <v>5.8259999999999996E-3</v>
      </c>
      <c r="Y778" s="295">
        <v>5.7920000000000003E-3</v>
      </c>
      <c r="Z778" s="295">
        <v>5.7530000000000003E-3</v>
      </c>
      <c r="AA778" s="295">
        <v>5.7229999999999998E-3</v>
      </c>
      <c r="AB778" s="295">
        <v>5.6930000000000001E-3</v>
      </c>
      <c r="AC778" s="295">
        <v>5.659E-3</v>
      </c>
      <c r="AD778" s="295">
        <v>5.6230000000000004E-3</v>
      </c>
      <c r="AE778" s="295">
        <v>5.594E-3</v>
      </c>
      <c r="AF778" s="295">
        <v>5.5649999999999996E-3</v>
      </c>
      <c r="AG778" s="295">
        <v>5.5380000000000004E-3</v>
      </c>
      <c r="AH778" s="296">
        <v>-5.4450000000000002E-3</v>
      </c>
    </row>
    <row r="779" spans="1:34" ht="15" customHeight="1" x14ac:dyDescent="0.25">
      <c r="A779" s="213" t="s">
        <v>1623</v>
      </c>
      <c r="B779" s="294" t="s">
        <v>1437</v>
      </c>
      <c r="C779" s="295">
        <v>8.6303000000000005E-2</v>
      </c>
      <c r="D779" s="295">
        <v>8.5570999999999994E-2</v>
      </c>
      <c r="E779" s="295">
        <v>9.7911999999999999E-2</v>
      </c>
      <c r="F779" s="295">
        <v>9.9707000000000004E-2</v>
      </c>
      <c r="G779" s="295">
        <v>0.10168000000000001</v>
      </c>
      <c r="H779" s="295">
        <v>0.10408100000000001</v>
      </c>
      <c r="I779" s="295">
        <v>0.104908</v>
      </c>
      <c r="J779" s="295">
        <v>0.10539</v>
      </c>
      <c r="K779" s="295">
        <v>0.10527</v>
      </c>
      <c r="L779" s="295">
        <v>0.105174</v>
      </c>
      <c r="M779" s="295">
        <v>0.104559</v>
      </c>
      <c r="N779" s="295">
        <v>0.104231</v>
      </c>
      <c r="O779" s="295">
        <v>0.10403</v>
      </c>
      <c r="P779" s="295">
        <v>0.104133</v>
      </c>
      <c r="Q779" s="295">
        <v>0.10432</v>
      </c>
      <c r="R779" s="295">
        <v>0.104584</v>
      </c>
      <c r="S779" s="295">
        <v>0.104855</v>
      </c>
      <c r="T779" s="295">
        <v>0.10502599999999999</v>
      </c>
      <c r="U779" s="295">
        <v>0.10513699999999999</v>
      </c>
      <c r="V779" s="295">
        <v>0.105388</v>
      </c>
      <c r="W779" s="295">
        <v>0.105488</v>
      </c>
      <c r="X779" s="295">
        <v>0.105563</v>
      </c>
      <c r="Y779" s="295">
        <v>0.105699</v>
      </c>
      <c r="Z779" s="295">
        <v>0.10584</v>
      </c>
      <c r="AA779" s="295">
        <v>0.10613400000000001</v>
      </c>
      <c r="AB779" s="295">
        <v>0.106436</v>
      </c>
      <c r="AC779" s="295">
        <v>0.106653</v>
      </c>
      <c r="AD779" s="295">
        <v>0.10684</v>
      </c>
      <c r="AE779" s="295">
        <v>0.107166</v>
      </c>
      <c r="AF779" s="295">
        <v>0.107497</v>
      </c>
      <c r="AG779" s="295">
        <v>0.10788499999999999</v>
      </c>
      <c r="AH779" s="296">
        <v>7.4679999999999998E-3</v>
      </c>
    </row>
    <row r="780" spans="1:34" ht="15" customHeight="1" x14ac:dyDescent="0.2">
      <c r="A780" s="213" t="s">
        <v>1624</v>
      </c>
      <c r="B780" s="204" t="s">
        <v>1047</v>
      </c>
      <c r="C780" s="205">
        <v>0.30936999999999998</v>
      </c>
      <c r="D780" s="205">
        <v>0.32117000000000001</v>
      </c>
      <c r="E780" s="205">
        <v>0.33239600000000002</v>
      </c>
      <c r="F780" s="205">
        <v>0.33070699999999997</v>
      </c>
      <c r="G780" s="205">
        <v>0.32967099999999999</v>
      </c>
      <c r="H780" s="205">
        <v>0.32994099999999998</v>
      </c>
      <c r="I780" s="205">
        <v>0.32929900000000001</v>
      </c>
      <c r="J780" s="205">
        <v>0.32788800000000001</v>
      </c>
      <c r="K780" s="205">
        <v>0.32495400000000002</v>
      </c>
      <c r="L780" s="205">
        <v>0.32215100000000002</v>
      </c>
      <c r="M780" s="205">
        <v>0.31869199999999998</v>
      </c>
      <c r="N780" s="205">
        <v>0.31597500000000001</v>
      </c>
      <c r="O780" s="205">
        <v>0.31334600000000001</v>
      </c>
      <c r="P780" s="205">
        <v>0.31124299999999999</v>
      </c>
      <c r="Q780" s="205">
        <v>0.30930200000000002</v>
      </c>
      <c r="R780" s="205">
        <v>0.30754599999999999</v>
      </c>
      <c r="S780" s="205">
        <v>0.30576900000000001</v>
      </c>
      <c r="T780" s="205">
        <v>0.30368899999999999</v>
      </c>
      <c r="U780" s="205">
        <v>0.30142000000000002</v>
      </c>
      <c r="V780" s="205">
        <v>0.299543</v>
      </c>
      <c r="W780" s="205">
        <v>0.297205</v>
      </c>
      <c r="X780" s="205">
        <v>0.29490699999999997</v>
      </c>
      <c r="Y780" s="205">
        <v>0.29276600000000003</v>
      </c>
      <c r="Z780" s="205">
        <v>0.290603</v>
      </c>
      <c r="AA780" s="205">
        <v>0.28887099999999999</v>
      </c>
      <c r="AB780" s="205">
        <v>0.28717300000000001</v>
      </c>
      <c r="AC780" s="205">
        <v>0.28522999999999998</v>
      </c>
      <c r="AD780" s="205">
        <v>0.28320800000000002</v>
      </c>
      <c r="AE780" s="205">
        <v>0.28154400000000002</v>
      </c>
      <c r="AF780" s="205">
        <v>0.27987899999999999</v>
      </c>
      <c r="AG780" s="205">
        <v>0.27834199999999998</v>
      </c>
      <c r="AH780" s="206">
        <v>-3.5170000000000002E-3</v>
      </c>
    </row>
    <row r="782" spans="1:34" ht="15" customHeight="1" x14ac:dyDescent="0.25">
      <c r="A782" s="213" t="s">
        <v>1625</v>
      </c>
      <c r="B782" s="294" t="s">
        <v>1626</v>
      </c>
      <c r="C782" s="295">
        <v>0.131216</v>
      </c>
      <c r="D782" s="295">
        <v>0.131216</v>
      </c>
      <c r="E782" s="295">
        <v>0.131216</v>
      </c>
      <c r="F782" s="295">
        <v>0.131216</v>
      </c>
      <c r="G782" s="295">
        <v>0.131216</v>
      </c>
      <c r="H782" s="295">
        <v>0.131216</v>
      </c>
      <c r="I782" s="295">
        <v>0.131216</v>
      </c>
      <c r="J782" s="295">
        <v>0.131216</v>
      </c>
      <c r="K782" s="295">
        <v>0.131216</v>
      </c>
      <c r="L782" s="295">
        <v>0.131216</v>
      </c>
      <c r="M782" s="295">
        <v>0.131216</v>
      </c>
      <c r="N782" s="295">
        <v>0.131216</v>
      </c>
      <c r="O782" s="295">
        <v>0.131216</v>
      </c>
      <c r="P782" s="295">
        <v>0.131216</v>
      </c>
      <c r="Q782" s="295">
        <v>0.131216</v>
      </c>
      <c r="R782" s="295">
        <v>0.131216</v>
      </c>
      <c r="S782" s="295">
        <v>0.131216</v>
      </c>
      <c r="T782" s="295">
        <v>0.131216</v>
      </c>
      <c r="U782" s="295">
        <v>0.131216</v>
      </c>
      <c r="V782" s="295">
        <v>0.131216</v>
      </c>
      <c r="W782" s="295">
        <v>0.131216</v>
      </c>
      <c r="X782" s="295">
        <v>0.131216</v>
      </c>
      <c r="Y782" s="295">
        <v>0.131216</v>
      </c>
      <c r="Z782" s="295">
        <v>0.131216</v>
      </c>
      <c r="AA782" s="295">
        <v>0.131216</v>
      </c>
      <c r="AB782" s="295">
        <v>0.131216</v>
      </c>
      <c r="AC782" s="295">
        <v>0.131216</v>
      </c>
      <c r="AD782" s="295">
        <v>0.131216</v>
      </c>
      <c r="AE782" s="295">
        <v>0.131216</v>
      </c>
      <c r="AF782" s="295">
        <v>0.131216</v>
      </c>
      <c r="AG782" s="295">
        <v>0.131216</v>
      </c>
      <c r="AH782" s="296">
        <v>0</v>
      </c>
    </row>
    <row r="783" spans="1:34" ht="15" customHeight="1" x14ac:dyDescent="0.25">
      <c r="A783" s="213" t="s">
        <v>1627</v>
      </c>
      <c r="B783" s="294" t="s">
        <v>1628</v>
      </c>
      <c r="C783" s="295">
        <v>0.51362099999999999</v>
      </c>
      <c r="D783" s="295">
        <v>0.54222000000000004</v>
      </c>
      <c r="E783" s="295">
        <v>0.54514399999999996</v>
      </c>
      <c r="F783" s="295">
        <v>0.55189699999999997</v>
      </c>
      <c r="G783" s="295">
        <v>0.55769800000000003</v>
      </c>
      <c r="H783" s="295">
        <v>0.56376300000000001</v>
      </c>
      <c r="I783" s="295">
        <v>0.56524600000000003</v>
      </c>
      <c r="J783" s="295">
        <v>0.56716999999999995</v>
      </c>
      <c r="K783" s="295">
        <v>0.56835599999999997</v>
      </c>
      <c r="L783" s="295">
        <v>0.57001000000000002</v>
      </c>
      <c r="M783" s="295">
        <v>0.57092500000000002</v>
      </c>
      <c r="N783" s="295">
        <v>0.57286899999999996</v>
      </c>
      <c r="O783" s="295">
        <v>0.57446200000000003</v>
      </c>
      <c r="P783" s="295">
        <v>0.57648900000000003</v>
      </c>
      <c r="Q783" s="295">
        <v>0.57852000000000003</v>
      </c>
      <c r="R783" s="295">
        <v>0.58058100000000001</v>
      </c>
      <c r="S783" s="295">
        <v>0.58252700000000002</v>
      </c>
      <c r="T783" s="295">
        <v>0.58450400000000002</v>
      </c>
      <c r="U783" s="295">
        <v>0.58634900000000001</v>
      </c>
      <c r="V783" s="295">
        <v>0.58857700000000002</v>
      </c>
      <c r="W783" s="295">
        <v>0.59023999999999999</v>
      </c>
      <c r="X783" s="295">
        <v>0.59222399999999997</v>
      </c>
      <c r="Y783" s="295">
        <v>0.59440899999999997</v>
      </c>
      <c r="Z783" s="295">
        <v>0.59654499999999999</v>
      </c>
      <c r="AA783" s="295">
        <v>0.59887500000000005</v>
      </c>
      <c r="AB783" s="295">
        <v>0.60145000000000004</v>
      </c>
      <c r="AC783" s="295">
        <v>0.60354099999999999</v>
      </c>
      <c r="AD783" s="295">
        <v>0.60586799999999996</v>
      </c>
      <c r="AE783" s="295">
        <v>0.60830099999999998</v>
      </c>
      <c r="AF783" s="295">
        <v>0.61081399999999997</v>
      </c>
      <c r="AG783" s="295">
        <v>0.61330899999999999</v>
      </c>
      <c r="AH783" s="296">
        <v>5.9300000000000004E-3</v>
      </c>
    </row>
    <row r="785" spans="1:34" ht="15" customHeight="1" x14ac:dyDescent="0.2">
      <c r="B785" s="204" t="s">
        <v>1468</v>
      </c>
    </row>
    <row r="786" spans="1:34" ht="15" customHeight="1" x14ac:dyDescent="0.25">
      <c r="A786" s="213" t="s">
        <v>1629</v>
      </c>
      <c r="B786" s="294" t="s">
        <v>1594</v>
      </c>
      <c r="C786" s="295">
        <v>2.1025079999999998</v>
      </c>
      <c r="D786" s="295">
        <v>2.1797979999999999</v>
      </c>
      <c r="E786" s="295">
        <v>2.1677019999999998</v>
      </c>
      <c r="F786" s="295">
        <v>2.160803</v>
      </c>
      <c r="G786" s="295">
        <v>2.1672850000000001</v>
      </c>
      <c r="H786" s="295">
        <v>2.1707589999999999</v>
      </c>
      <c r="I786" s="295">
        <v>2.1673460000000002</v>
      </c>
      <c r="J786" s="295">
        <v>2.1602060000000001</v>
      </c>
      <c r="K786" s="295">
        <v>2.1516229999999998</v>
      </c>
      <c r="L786" s="295">
        <v>2.1413950000000002</v>
      </c>
      <c r="M786" s="295">
        <v>2.1282740000000002</v>
      </c>
      <c r="N786" s="295">
        <v>2.120676</v>
      </c>
      <c r="O786" s="295">
        <v>2.1148359999999999</v>
      </c>
      <c r="P786" s="295">
        <v>2.1078749999999999</v>
      </c>
      <c r="Q786" s="295">
        <v>2.1007470000000001</v>
      </c>
      <c r="R786" s="295">
        <v>2.0946669999999998</v>
      </c>
      <c r="S786" s="295">
        <v>2.0893079999999999</v>
      </c>
      <c r="T786" s="295">
        <v>2.0831409999999999</v>
      </c>
      <c r="U786" s="295">
        <v>2.0761980000000002</v>
      </c>
      <c r="V786" s="295">
        <v>2.0689259999999998</v>
      </c>
      <c r="W786" s="295">
        <v>2.0615809999999999</v>
      </c>
      <c r="X786" s="295">
        <v>2.054576</v>
      </c>
      <c r="Y786" s="295">
        <v>2.0474410000000001</v>
      </c>
      <c r="Z786" s="295">
        <v>2.040082</v>
      </c>
      <c r="AA786" s="295">
        <v>2.0329730000000001</v>
      </c>
      <c r="AB786" s="295">
        <v>2.0247730000000002</v>
      </c>
      <c r="AC786" s="295">
        <v>2.0161750000000001</v>
      </c>
      <c r="AD786" s="295">
        <v>2.0063979999999999</v>
      </c>
      <c r="AE786" s="295">
        <v>1.9961059999999999</v>
      </c>
      <c r="AF786" s="295">
        <v>1.984761</v>
      </c>
      <c r="AG786" s="295">
        <v>1.9729289999999999</v>
      </c>
      <c r="AH786" s="296">
        <v>-2.1180000000000001E-3</v>
      </c>
    </row>
    <row r="787" spans="1:34" ht="15" customHeight="1" x14ac:dyDescent="0.25">
      <c r="A787" s="213" t="s">
        <v>1630</v>
      </c>
      <c r="B787" s="294" t="s">
        <v>1596</v>
      </c>
      <c r="C787" s="295">
        <v>0.55810899999999997</v>
      </c>
      <c r="D787" s="295">
        <v>0.52336400000000005</v>
      </c>
      <c r="E787" s="295">
        <v>0.56684000000000001</v>
      </c>
      <c r="F787" s="295">
        <v>0.569797</v>
      </c>
      <c r="G787" s="295">
        <v>0.57349000000000006</v>
      </c>
      <c r="H787" s="295">
        <v>0.57707200000000003</v>
      </c>
      <c r="I787" s="295">
        <v>0.57992600000000005</v>
      </c>
      <c r="J787" s="295">
        <v>0.58254300000000003</v>
      </c>
      <c r="K787" s="295">
        <v>0.58536999999999995</v>
      </c>
      <c r="L787" s="295">
        <v>0.58821900000000005</v>
      </c>
      <c r="M787" s="295">
        <v>0.59110799999999997</v>
      </c>
      <c r="N787" s="295">
        <v>0.59525600000000001</v>
      </c>
      <c r="O787" s="295">
        <v>0.60014900000000004</v>
      </c>
      <c r="P787" s="295">
        <v>0.60451900000000003</v>
      </c>
      <c r="Q787" s="295">
        <v>0.60921400000000003</v>
      </c>
      <c r="R787" s="295">
        <v>0.61409499999999995</v>
      </c>
      <c r="S787" s="295">
        <v>0.619425</v>
      </c>
      <c r="T787" s="295">
        <v>0.62512100000000004</v>
      </c>
      <c r="U787" s="295">
        <v>0.63110299999999997</v>
      </c>
      <c r="V787" s="295">
        <v>0.637181</v>
      </c>
      <c r="W787" s="295">
        <v>0.64296799999999998</v>
      </c>
      <c r="X787" s="295">
        <v>0.64903999999999995</v>
      </c>
      <c r="Y787" s="295">
        <v>0.65542299999999998</v>
      </c>
      <c r="Z787" s="295">
        <v>0.66266899999999995</v>
      </c>
      <c r="AA787" s="295">
        <v>0.67016200000000004</v>
      </c>
      <c r="AB787" s="295">
        <v>0.677647</v>
      </c>
      <c r="AC787" s="295">
        <v>0.68560299999999996</v>
      </c>
      <c r="AD787" s="295">
        <v>0.693241</v>
      </c>
      <c r="AE787" s="295">
        <v>0.70138100000000003</v>
      </c>
      <c r="AF787" s="295">
        <v>0.71001300000000001</v>
      </c>
      <c r="AG787" s="295">
        <v>0.71943900000000005</v>
      </c>
      <c r="AH787" s="296">
        <v>8.5000000000000006E-3</v>
      </c>
    </row>
    <row r="788" spans="1:34" ht="15" customHeight="1" x14ac:dyDescent="0.25">
      <c r="A788" s="213" t="s">
        <v>1631</v>
      </c>
      <c r="B788" s="294" t="s">
        <v>1598</v>
      </c>
      <c r="C788" s="295">
        <v>0.64426899999999998</v>
      </c>
      <c r="D788" s="295">
        <v>0.64358300000000002</v>
      </c>
      <c r="E788" s="295">
        <v>0.64080300000000001</v>
      </c>
      <c r="F788" s="295">
        <v>0.64215299999999997</v>
      </c>
      <c r="G788" s="295">
        <v>0.64759</v>
      </c>
      <c r="H788" s="295">
        <v>0.65201600000000004</v>
      </c>
      <c r="I788" s="295">
        <v>0.65445900000000001</v>
      </c>
      <c r="J788" s="295">
        <v>0.65623399999999998</v>
      </c>
      <c r="K788" s="295">
        <v>0.65798900000000005</v>
      </c>
      <c r="L788" s="295">
        <v>0.65942599999999996</v>
      </c>
      <c r="M788" s="295">
        <v>0.65883800000000003</v>
      </c>
      <c r="N788" s="295">
        <v>0.660327</v>
      </c>
      <c r="O788" s="295">
        <v>0.66302799999999995</v>
      </c>
      <c r="P788" s="295">
        <v>0.66600199999999998</v>
      </c>
      <c r="Q788" s="295">
        <v>0.66912199999999999</v>
      </c>
      <c r="R788" s="295">
        <v>0.67264500000000005</v>
      </c>
      <c r="S788" s="295">
        <v>0.67653399999999997</v>
      </c>
      <c r="T788" s="295">
        <v>0.68032899999999996</v>
      </c>
      <c r="U788" s="295">
        <v>0.68395700000000004</v>
      </c>
      <c r="V788" s="295">
        <v>0.687581</v>
      </c>
      <c r="W788" s="295">
        <v>0.69140699999999999</v>
      </c>
      <c r="X788" s="295">
        <v>0.69564899999999996</v>
      </c>
      <c r="Y788" s="295">
        <v>0.69998400000000005</v>
      </c>
      <c r="Z788" s="295">
        <v>0.70443699999999998</v>
      </c>
      <c r="AA788" s="295">
        <v>0.70899900000000005</v>
      </c>
      <c r="AB788" s="295">
        <v>0.713314</v>
      </c>
      <c r="AC788" s="295">
        <v>0.71763999999999994</v>
      </c>
      <c r="AD788" s="295">
        <v>0.72168900000000002</v>
      </c>
      <c r="AE788" s="295">
        <v>0.72560500000000006</v>
      </c>
      <c r="AF788" s="295">
        <v>0.72926500000000005</v>
      </c>
      <c r="AG788" s="295">
        <v>0.732738</v>
      </c>
      <c r="AH788" s="296">
        <v>4.2979999999999997E-3</v>
      </c>
    </row>
    <row r="789" spans="1:34" ht="15" customHeight="1" x14ac:dyDescent="0.25">
      <c r="A789" s="213" t="s">
        <v>1632</v>
      </c>
      <c r="B789" s="294" t="s">
        <v>1600</v>
      </c>
      <c r="C789" s="295">
        <v>0.50583699999999998</v>
      </c>
      <c r="D789" s="295">
        <v>0.50163100000000005</v>
      </c>
      <c r="E789" s="295">
        <v>0.497641</v>
      </c>
      <c r="F789" s="295">
        <v>0.49550899999999998</v>
      </c>
      <c r="G789" s="295">
        <v>0.49448599999999998</v>
      </c>
      <c r="H789" s="295">
        <v>0.49329899999999999</v>
      </c>
      <c r="I789" s="295">
        <v>0.48369600000000001</v>
      </c>
      <c r="J789" s="295">
        <v>0.47448800000000002</v>
      </c>
      <c r="K789" s="295">
        <v>0.46604299999999999</v>
      </c>
      <c r="L789" s="295">
        <v>0.45828600000000003</v>
      </c>
      <c r="M789" s="295">
        <v>0.45086399999999999</v>
      </c>
      <c r="N789" s="295">
        <v>0.44450600000000001</v>
      </c>
      <c r="O789" s="295">
        <v>0.439141</v>
      </c>
      <c r="P789" s="295">
        <v>0.433722</v>
      </c>
      <c r="Q789" s="295">
        <v>0.42897600000000002</v>
      </c>
      <c r="R789" s="295">
        <v>0.42465000000000003</v>
      </c>
      <c r="S789" s="295">
        <v>0.42111700000000002</v>
      </c>
      <c r="T789" s="295">
        <v>0.41806500000000002</v>
      </c>
      <c r="U789" s="295">
        <v>0.415516</v>
      </c>
      <c r="V789" s="295">
        <v>0.41327799999999998</v>
      </c>
      <c r="W789" s="295">
        <v>0.410246</v>
      </c>
      <c r="X789" s="295">
        <v>0.40776800000000002</v>
      </c>
      <c r="Y789" s="295">
        <v>0.40555099999999999</v>
      </c>
      <c r="Z789" s="295">
        <v>0.40423599999999998</v>
      </c>
      <c r="AA789" s="295">
        <v>0.40317599999999998</v>
      </c>
      <c r="AB789" s="295">
        <v>0.40242099999999997</v>
      </c>
      <c r="AC789" s="295">
        <v>0.40212199999999998</v>
      </c>
      <c r="AD789" s="295">
        <v>0.40193200000000001</v>
      </c>
      <c r="AE789" s="295">
        <v>0.40201700000000001</v>
      </c>
      <c r="AF789" s="295">
        <v>0.40259400000000001</v>
      </c>
      <c r="AG789" s="295">
        <v>0.40365600000000001</v>
      </c>
      <c r="AH789" s="296">
        <v>-7.4929999999999997E-3</v>
      </c>
    </row>
    <row r="790" spans="1:34" ht="15" customHeight="1" x14ac:dyDescent="0.25">
      <c r="A790" s="213" t="s">
        <v>1633</v>
      </c>
      <c r="B790" s="294" t="s">
        <v>1419</v>
      </c>
      <c r="C790" s="295">
        <v>0.42917699999999998</v>
      </c>
      <c r="D790" s="295">
        <v>0.43079499999999998</v>
      </c>
      <c r="E790" s="295">
        <v>0.43210100000000001</v>
      </c>
      <c r="F790" s="295">
        <v>0.43589099999999997</v>
      </c>
      <c r="G790" s="295">
        <v>0.44189600000000001</v>
      </c>
      <c r="H790" s="295">
        <v>0.44736599999999999</v>
      </c>
      <c r="I790" s="295">
        <v>0.45171299999999998</v>
      </c>
      <c r="J790" s="295">
        <v>0.45569100000000001</v>
      </c>
      <c r="K790" s="295">
        <v>0.45955200000000002</v>
      </c>
      <c r="L790" s="295">
        <v>0.46310899999999999</v>
      </c>
      <c r="M790" s="295">
        <v>0.46494600000000003</v>
      </c>
      <c r="N790" s="295">
        <v>0.46815299999999999</v>
      </c>
      <c r="O790" s="295">
        <v>0.47212700000000002</v>
      </c>
      <c r="P790" s="295">
        <v>0.47634300000000002</v>
      </c>
      <c r="Q790" s="295">
        <v>0.48057499999999997</v>
      </c>
      <c r="R790" s="295">
        <v>0.48492200000000002</v>
      </c>
      <c r="S790" s="295">
        <v>0.48934100000000003</v>
      </c>
      <c r="T790" s="295">
        <v>0.49359900000000001</v>
      </c>
      <c r="U790" s="295">
        <v>0.497641</v>
      </c>
      <c r="V790" s="295">
        <v>0.50160099999999996</v>
      </c>
      <c r="W790" s="295">
        <v>0.50562799999999997</v>
      </c>
      <c r="X790" s="295">
        <v>0.51006899999999999</v>
      </c>
      <c r="Y790" s="295">
        <v>0.51453400000000005</v>
      </c>
      <c r="Z790" s="295">
        <v>0.51909300000000003</v>
      </c>
      <c r="AA790" s="295">
        <v>0.52368700000000001</v>
      </c>
      <c r="AB790" s="295">
        <v>0.52810000000000001</v>
      </c>
      <c r="AC790" s="295">
        <v>0.53250299999999995</v>
      </c>
      <c r="AD790" s="295">
        <v>0.53668800000000005</v>
      </c>
      <c r="AE790" s="295">
        <v>0.54074999999999995</v>
      </c>
      <c r="AF790" s="295">
        <v>0.54462600000000005</v>
      </c>
      <c r="AG790" s="295">
        <v>0.54834300000000002</v>
      </c>
      <c r="AH790" s="296">
        <v>8.201E-3</v>
      </c>
    </row>
    <row r="791" spans="1:34" ht="15" customHeight="1" x14ac:dyDescent="0.25">
      <c r="A791" s="213" t="s">
        <v>1634</v>
      </c>
      <c r="B791" s="294" t="s">
        <v>1425</v>
      </c>
      <c r="C791" s="295">
        <v>0.53478400000000004</v>
      </c>
      <c r="D791" s="295">
        <v>0.51841899999999996</v>
      </c>
      <c r="E791" s="295">
        <v>0.50458400000000003</v>
      </c>
      <c r="F791" s="295">
        <v>0.49346400000000001</v>
      </c>
      <c r="G791" s="295">
        <v>0.484294</v>
      </c>
      <c r="H791" s="295">
        <v>0.47629100000000002</v>
      </c>
      <c r="I791" s="295">
        <v>0.46919899999999998</v>
      </c>
      <c r="J791" s="295">
        <v>0.46297899999999997</v>
      </c>
      <c r="K791" s="295">
        <v>0.45521699999999998</v>
      </c>
      <c r="L791" s="295">
        <v>0.44779799999999997</v>
      </c>
      <c r="M791" s="295">
        <v>0.43364000000000003</v>
      </c>
      <c r="N791" s="295">
        <v>0.42173300000000002</v>
      </c>
      <c r="O791" s="295">
        <v>0.411638</v>
      </c>
      <c r="P791" s="295">
        <v>0.40244400000000002</v>
      </c>
      <c r="Q791" s="295">
        <v>0.39458100000000002</v>
      </c>
      <c r="R791" s="295">
        <v>0.38767499999999999</v>
      </c>
      <c r="S791" s="295">
        <v>0.38203799999999999</v>
      </c>
      <c r="T791" s="295">
        <v>0.37721199999999999</v>
      </c>
      <c r="U791" s="295">
        <v>0.373116</v>
      </c>
      <c r="V791" s="295">
        <v>0.36948700000000001</v>
      </c>
      <c r="W791" s="295">
        <v>0.36407800000000001</v>
      </c>
      <c r="X791" s="295">
        <v>0.359796</v>
      </c>
      <c r="Y791" s="295">
        <v>0.35597899999999999</v>
      </c>
      <c r="Z791" s="295">
        <v>0.35292400000000002</v>
      </c>
      <c r="AA791" s="295">
        <v>0.35034599999999999</v>
      </c>
      <c r="AB791" s="295">
        <v>0.34823700000000002</v>
      </c>
      <c r="AC791" s="295">
        <v>0.346692</v>
      </c>
      <c r="AD791" s="295">
        <v>0.34542800000000001</v>
      </c>
      <c r="AE791" s="295">
        <v>0.34456799999999999</v>
      </c>
      <c r="AF791" s="295">
        <v>0.34434100000000001</v>
      </c>
      <c r="AG791" s="295">
        <v>0.34460099999999999</v>
      </c>
      <c r="AH791" s="296">
        <v>-1.4541999999999999E-2</v>
      </c>
    </row>
    <row r="792" spans="1:34" ht="15" customHeight="1" x14ac:dyDescent="0.25">
      <c r="A792" s="213" t="s">
        <v>1635</v>
      </c>
      <c r="B792" s="294" t="s">
        <v>1417</v>
      </c>
      <c r="C792" s="295">
        <v>0.65268000000000004</v>
      </c>
      <c r="D792" s="295">
        <v>0.64821499999999999</v>
      </c>
      <c r="E792" s="295">
        <v>0.64370099999999997</v>
      </c>
      <c r="F792" s="295">
        <v>0.64150600000000002</v>
      </c>
      <c r="G792" s="295">
        <v>0.640791</v>
      </c>
      <c r="H792" s="295">
        <v>0.64064699999999997</v>
      </c>
      <c r="I792" s="295">
        <v>0.64083299999999999</v>
      </c>
      <c r="J792" s="295">
        <v>0.64137999999999995</v>
      </c>
      <c r="K792" s="295">
        <v>0.64226899999999998</v>
      </c>
      <c r="L792" s="295">
        <v>0.64336700000000002</v>
      </c>
      <c r="M792" s="295">
        <v>0.64298</v>
      </c>
      <c r="N792" s="295">
        <v>0.64383500000000005</v>
      </c>
      <c r="O792" s="295">
        <v>0.64543899999999998</v>
      </c>
      <c r="P792" s="295">
        <v>0.64709799999999995</v>
      </c>
      <c r="Q792" s="295">
        <v>0.64912000000000003</v>
      </c>
      <c r="R792" s="295">
        <v>0.65129700000000001</v>
      </c>
      <c r="S792" s="295">
        <v>0.65371599999999996</v>
      </c>
      <c r="T792" s="295">
        <v>0.65622000000000003</v>
      </c>
      <c r="U792" s="295">
        <v>0.65884200000000004</v>
      </c>
      <c r="V792" s="295">
        <v>0.66152900000000003</v>
      </c>
      <c r="W792" s="295">
        <v>0.66385300000000003</v>
      </c>
      <c r="X792" s="295">
        <v>0.66697700000000004</v>
      </c>
      <c r="Y792" s="295">
        <v>0.67018200000000006</v>
      </c>
      <c r="Z792" s="295">
        <v>0.67387900000000001</v>
      </c>
      <c r="AA792" s="295">
        <v>0.67763499999999999</v>
      </c>
      <c r="AB792" s="295">
        <v>0.68148399999999998</v>
      </c>
      <c r="AC792" s="295">
        <v>0.68550199999999994</v>
      </c>
      <c r="AD792" s="295">
        <v>0.689419</v>
      </c>
      <c r="AE792" s="295">
        <v>0.69336299999999995</v>
      </c>
      <c r="AF792" s="295">
        <v>0.69743699999999997</v>
      </c>
      <c r="AG792" s="295">
        <v>0.70159499999999997</v>
      </c>
      <c r="AH792" s="296">
        <v>2.4120000000000001E-3</v>
      </c>
    </row>
    <row r="793" spans="1:34" ht="15" customHeight="1" x14ac:dyDescent="0.25">
      <c r="A793" s="213" t="s">
        <v>1636</v>
      </c>
      <c r="B793" s="294" t="s">
        <v>1605</v>
      </c>
      <c r="C793" s="295">
        <v>0.33016099999999998</v>
      </c>
      <c r="D793" s="295">
        <v>0.32572899999999999</v>
      </c>
      <c r="E793" s="295">
        <v>0.32187700000000002</v>
      </c>
      <c r="F793" s="295">
        <v>0.31915399999999999</v>
      </c>
      <c r="G793" s="295">
        <v>0.31738699999999997</v>
      </c>
      <c r="H793" s="295">
        <v>0.31642300000000001</v>
      </c>
      <c r="I793" s="295">
        <v>0.31579800000000002</v>
      </c>
      <c r="J793" s="295">
        <v>0.31600899999999998</v>
      </c>
      <c r="K793" s="295">
        <v>0.31712299999999999</v>
      </c>
      <c r="L793" s="295">
        <v>0.31867600000000001</v>
      </c>
      <c r="M793" s="295">
        <v>0.32026500000000002</v>
      </c>
      <c r="N793" s="295">
        <v>0.32283899999999999</v>
      </c>
      <c r="O793" s="295">
        <v>0.32599699999999998</v>
      </c>
      <c r="P793" s="295">
        <v>0.32912200000000003</v>
      </c>
      <c r="Q793" s="295">
        <v>0.33230300000000002</v>
      </c>
      <c r="R793" s="295">
        <v>0.33597100000000002</v>
      </c>
      <c r="S793" s="295">
        <v>0.33968199999999998</v>
      </c>
      <c r="T793" s="295">
        <v>0.34337800000000002</v>
      </c>
      <c r="U793" s="295">
        <v>0.34708899999999998</v>
      </c>
      <c r="V793" s="295">
        <v>0.35028500000000001</v>
      </c>
      <c r="W793" s="295">
        <v>0.353493</v>
      </c>
      <c r="X793" s="295">
        <v>0.35670800000000003</v>
      </c>
      <c r="Y793" s="295">
        <v>0.35886000000000001</v>
      </c>
      <c r="Z793" s="295">
        <v>0.36111599999999999</v>
      </c>
      <c r="AA793" s="295">
        <v>0.36227799999999999</v>
      </c>
      <c r="AB793" s="295">
        <v>0.362875</v>
      </c>
      <c r="AC793" s="295">
        <v>0.36291099999999998</v>
      </c>
      <c r="AD793" s="295">
        <v>0.362315</v>
      </c>
      <c r="AE793" s="295">
        <v>0.35999500000000001</v>
      </c>
      <c r="AF793" s="295">
        <v>0.357097</v>
      </c>
      <c r="AG793" s="295">
        <v>0.35240700000000003</v>
      </c>
      <c r="AH793" s="296">
        <v>2.176E-3</v>
      </c>
    </row>
    <row r="794" spans="1:34" ht="15" customHeight="1" x14ac:dyDescent="0.25">
      <c r="A794" s="213" t="s">
        <v>1637</v>
      </c>
      <c r="B794" s="294" t="s">
        <v>1607</v>
      </c>
      <c r="C794" s="295">
        <v>0.435087</v>
      </c>
      <c r="D794" s="295">
        <v>0.45521200000000001</v>
      </c>
      <c r="E794" s="295">
        <v>0.47446700000000003</v>
      </c>
      <c r="F794" s="295">
        <v>0.49315399999999998</v>
      </c>
      <c r="G794" s="295">
        <v>0.51134299999999999</v>
      </c>
      <c r="H794" s="295">
        <v>0.52853000000000006</v>
      </c>
      <c r="I794" s="295">
        <v>0.54478499999999996</v>
      </c>
      <c r="J794" s="295">
        <v>0.559863</v>
      </c>
      <c r="K794" s="295">
        <v>0.57404999999999995</v>
      </c>
      <c r="L794" s="295">
        <v>0.58756399999999998</v>
      </c>
      <c r="M794" s="295">
        <v>0.60053800000000002</v>
      </c>
      <c r="N794" s="295">
        <v>0.61300900000000003</v>
      </c>
      <c r="O794" s="295">
        <v>0.62559500000000001</v>
      </c>
      <c r="P794" s="295">
        <v>0.63748700000000003</v>
      </c>
      <c r="Q794" s="295">
        <v>0.64929300000000001</v>
      </c>
      <c r="R794" s="295">
        <v>0.660856</v>
      </c>
      <c r="S794" s="295">
        <v>0.67249300000000001</v>
      </c>
      <c r="T794" s="295">
        <v>0.68383400000000005</v>
      </c>
      <c r="U794" s="295">
        <v>0.69554000000000005</v>
      </c>
      <c r="V794" s="295">
        <v>0.707372</v>
      </c>
      <c r="W794" s="295">
        <v>0.71996700000000002</v>
      </c>
      <c r="X794" s="295">
        <v>0.73302299999999998</v>
      </c>
      <c r="Y794" s="295">
        <v>0.74683299999999997</v>
      </c>
      <c r="Z794" s="295">
        <v>0.76162200000000002</v>
      </c>
      <c r="AA794" s="295">
        <v>0.77751099999999995</v>
      </c>
      <c r="AB794" s="295">
        <v>0.79453799999999997</v>
      </c>
      <c r="AC794" s="295">
        <v>0.81277200000000005</v>
      </c>
      <c r="AD794" s="295">
        <v>0.83275100000000002</v>
      </c>
      <c r="AE794" s="295">
        <v>0.85433099999999995</v>
      </c>
      <c r="AF794" s="295">
        <v>0.87766100000000002</v>
      </c>
      <c r="AG794" s="295">
        <v>0.90331899999999998</v>
      </c>
      <c r="AH794" s="296">
        <v>2.4649999999999998E-2</v>
      </c>
    </row>
    <row r="795" spans="1:34" ht="15" customHeight="1" x14ac:dyDescent="0.25">
      <c r="A795" s="213" t="s">
        <v>1638</v>
      </c>
      <c r="B795" s="294" t="s">
        <v>1639</v>
      </c>
      <c r="C795" s="295">
        <v>2.498818</v>
      </c>
      <c r="D795" s="295">
        <v>2.686331</v>
      </c>
      <c r="E795" s="295">
        <v>2.7519459999999998</v>
      </c>
      <c r="F795" s="295">
        <v>2.9373079999999998</v>
      </c>
      <c r="G795" s="295">
        <v>3.0597189999999999</v>
      </c>
      <c r="H795" s="295">
        <v>3.1814969999999998</v>
      </c>
      <c r="I795" s="295">
        <v>3.199265</v>
      </c>
      <c r="J795" s="295">
        <v>3.218343</v>
      </c>
      <c r="K795" s="295">
        <v>3.2363979999999999</v>
      </c>
      <c r="L795" s="295">
        <v>3.25501</v>
      </c>
      <c r="M795" s="295">
        <v>3.2725949999999999</v>
      </c>
      <c r="N795" s="295">
        <v>3.29345</v>
      </c>
      <c r="O795" s="295">
        <v>3.3159559999999999</v>
      </c>
      <c r="P795" s="295">
        <v>3.3400609999999999</v>
      </c>
      <c r="Q795" s="295">
        <v>3.36476</v>
      </c>
      <c r="R795" s="295">
        <v>3.3909720000000001</v>
      </c>
      <c r="S795" s="295">
        <v>3.4182589999999999</v>
      </c>
      <c r="T795" s="295">
        <v>3.4466489999999999</v>
      </c>
      <c r="U795" s="295">
        <v>3.4757310000000001</v>
      </c>
      <c r="V795" s="295">
        <v>3.5066890000000002</v>
      </c>
      <c r="W795" s="295">
        <v>3.5386479999999998</v>
      </c>
      <c r="X795" s="295">
        <v>3.5724680000000002</v>
      </c>
      <c r="Y795" s="295">
        <v>3.6082260000000002</v>
      </c>
      <c r="Z795" s="295">
        <v>3.6461169999999998</v>
      </c>
      <c r="AA795" s="295">
        <v>3.6861510000000002</v>
      </c>
      <c r="AB795" s="295">
        <v>3.7279960000000001</v>
      </c>
      <c r="AC795" s="295">
        <v>3.7712469999999998</v>
      </c>
      <c r="AD795" s="295">
        <v>3.8165749999999998</v>
      </c>
      <c r="AE795" s="295">
        <v>3.8641540000000001</v>
      </c>
      <c r="AF795" s="295">
        <v>3.9142239999999999</v>
      </c>
      <c r="AG795" s="295">
        <v>3.9670190000000001</v>
      </c>
      <c r="AH795" s="296">
        <v>1.5526E-2</v>
      </c>
    </row>
    <row r="796" spans="1:34" ht="15" customHeight="1" x14ac:dyDescent="0.2">
      <c r="A796" s="213" t="s">
        <v>1640</v>
      </c>
      <c r="B796" s="204" t="s">
        <v>1641</v>
      </c>
      <c r="C796" s="205">
        <v>8.6914289999999994</v>
      </c>
      <c r="D796" s="205">
        <v>8.9130780000000005</v>
      </c>
      <c r="E796" s="205">
        <v>9.0016630000000006</v>
      </c>
      <c r="F796" s="205">
        <v>9.1887380000000007</v>
      </c>
      <c r="G796" s="205">
        <v>9.3382799999999992</v>
      </c>
      <c r="H796" s="205">
        <v>9.4839000000000002</v>
      </c>
      <c r="I796" s="205">
        <v>9.5070180000000004</v>
      </c>
      <c r="J796" s="205">
        <v>9.5277370000000001</v>
      </c>
      <c r="K796" s="205">
        <v>9.545636</v>
      </c>
      <c r="L796" s="205">
        <v>9.5628510000000002</v>
      </c>
      <c r="M796" s="205">
        <v>9.5640470000000004</v>
      </c>
      <c r="N796" s="205">
        <v>9.5837850000000007</v>
      </c>
      <c r="O796" s="205">
        <v>9.6139060000000001</v>
      </c>
      <c r="P796" s="205">
        <v>9.6446729999999992</v>
      </c>
      <c r="Q796" s="205">
        <v>9.6786910000000006</v>
      </c>
      <c r="R796" s="205">
        <v>9.7177520000000008</v>
      </c>
      <c r="S796" s="205">
        <v>9.7619129999999998</v>
      </c>
      <c r="T796" s="205">
        <v>9.8075489999999999</v>
      </c>
      <c r="U796" s="205">
        <v>9.8547320000000003</v>
      </c>
      <c r="V796" s="205">
        <v>9.9039289999999998</v>
      </c>
      <c r="W796" s="205">
        <v>9.9518699999999995</v>
      </c>
      <c r="X796" s="205">
        <v>10.006074</v>
      </c>
      <c r="Y796" s="205">
        <v>10.063015</v>
      </c>
      <c r="Z796" s="205">
        <v>10.126174000000001</v>
      </c>
      <c r="AA796" s="205">
        <v>10.192918000000001</v>
      </c>
      <c r="AB796" s="205">
        <v>10.261384</v>
      </c>
      <c r="AC796" s="205">
        <v>10.333167</v>
      </c>
      <c r="AD796" s="205">
        <v>10.406435999999999</v>
      </c>
      <c r="AE796" s="205">
        <v>10.482269000000001</v>
      </c>
      <c r="AF796" s="205">
        <v>10.56202</v>
      </c>
      <c r="AG796" s="205">
        <v>10.646046999999999</v>
      </c>
      <c r="AH796" s="206">
        <v>6.7850000000000002E-3</v>
      </c>
    </row>
    <row r="797" spans="1:34" ht="15" customHeight="1" x14ac:dyDescent="0.25">
      <c r="A797" s="213" t="s">
        <v>1642</v>
      </c>
      <c r="B797" s="294" t="s">
        <v>1500</v>
      </c>
      <c r="C797" s="295">
        <v>8.8754E-2</v>
      </c>
      <c r="D797" s="295">
        <v>0.10077999999999999</v>
      </c>
      <c r="E797" s="295">
        <v>0.108822</v>
      </c>
      <c r="F797" s="295">
        <v>0.113284</v>
      </c>
      <c r="G797" s="295">
        <v>0.117704</v>
      </c>
      <c r="H797" s="295">
        <v>0.12537599999999999</v>
      </c>
      <c r="I797" s="295">
        <v>0.13159799999999999</v>
      </c>
      <c r="J797" s="295">
        <v>0.14030899999999999</v>
      </c>
      <c r="K797" s="295">
        <v>0.14565900000000001</v>
      </c>
      <c r="L797" s="295">
        <v>0.15195400000000001</v>
      </c>
      <c r="M797" s="295">
        <v>0.15564500000000001</v>
      </c>
      <c r="N797" s="295">
        <v>0.162048</v>
      </c>
      <c r="O797" s="295">
        <v>0.16437399999999999</v>
      </c>
      <c r="P797" s="295">
        <v>0.17144899999999999</v>
      </c>
      <c r="Q797" s="295">
        <v>0.174927</v>
      </c>
      <c r="R797" s="295">
        <v>0.182645</v>
      </c>
      <c r="S797" s="295">
        <v>0.19064900000000001</v>
      </c>
      <c r="T797" s="295">
        <v>0.19592399999999999</v>
      </c>
      <c r="U797" s="295">
        <v>0.20144000000000001</v>
      </c>
      <c r="V797" s="295">
        <v>0.20696999999999999</v>
      </c>
      <c r="W797" s="295">
        <v>0.21357400000000001</v>
      </c>
      <c r="X797" s="295">
        <v>0.22040199999999999</v>
      </c>
      <c r="Y797" s="295">
        <v>0.22836400000000001</v>
      </c>
      <c r="Z797" s="295">
        <v>0.230716</v>
      </c>
      <c r="AA797" s="295">
        <v>0.23728299999999999</v>
      </c>
      <c r="AB797" s="295">
        <v>0.242976</v>
      </c>
      <c r="AC797" s="295">
        <v>0.25006899999999999</v>
      </c>
      <c r="AD797" s="295">
        <v>0.257384</v>
      </c>
      <c r="AE797" s="295">
        <v>0.26299400000000001</v>
      </c>
      <c r="AF797" s="295">
        <v>0.266015</v>
      </c>
      <c r="AG797" s="295">
        <v>0.26919199999999999</v>
      </c>
      <c r="AH797" s="296">
        <v>3.7678000000000003E-2</v>
      </c>
    </row>
    <row r="798" spans="1:34" ht="15" customHeight="1" x14ac:dyDescent="0.2">
      <c r="A798" s="213" t="s">
        <v>1643</v>
      </c>
      <c r="B798" s="204" t="s">
        <v>1047</v>
      </c>
      <c r="C798" s="205">
        <v>8.6026749999999996</v>
      </c>
      <c r="D798" s="205">
        <v>8.8122980000000002</v>
      </c>
      <c r="E798" s="205">
        <v>8.8928399999999996</v>
      </c>
      <c r="F798" s="205">
        <v>9.0754549999999998</v>
      </c>
      <c r="G798" s="205">
        <v>9.2205750000000002</v>
      </c>
      <c r="H798" s="205">
        <v>9.3585239999999992</v>
      </c>
      <c r="I798" s="205">
        <v>9.3754209999999993</v>
      </c>
      <c r="J798" s="205">
        <v>9.3874270000000006</v>
      </c>
      <c r="K798" s="205">
        <v>9.3999769999999998</v>
      </c>
      <c r="L798" s="205">
        <v>9.4108970000000003</v>
      </c>
      <c r="M798" s="205">
        <v>9.4084009999999996</v>
      </c>
      <c r="N798" s="205">
        <v>9.4217370000000003</v>
      </c>
      <c r="O798" s="205">
        <v>9.4495319999999996</v>
      </c>
      <c r="P798" s="205">
        <v>9.4732249999999993</v>
      </c>
      <c r="Q798" s="205">
        <v>9.5037640000000003</v>
      </c>
      <c r="R798" s="205">
        <v>9.5351060000000007</v>
      </c>
      <c r="S798" s="205">
        <v>9.5712639999999993</v>
      </c>
      <c r="T798" s="205">
        <v>9.6116250000000001</v>
      </c>
      <c r="U798" s="205">
        <v>9.6532920000000004</v>
      </c>
      <c r="V798" s="205">
        <v>9.6969589999999997</v>
      </c>
      <c r="W798" s="205">
        <v>9.7382960000000001</v>
      </c>
      <c r="X798" s="205">
        <v>9.7856719999999999</v>
      </c>
      <c r="Y798" s="205">
        <v>9.8346509999999991</v>
      </c>
      <c r="Z798" s="205">
        <v>9.8954579999999996</v>
      </c>
      <c r="AA798" s="205">
        <v>9.9556349999999991</v>
      </c>
      <c r="AB798" s="205">
        <v>10.018408000000001</v>
      </c>
      <c r="AC798" s="205">
        <v>10.083097</v>
      </c>
      <c r="AD798" s="205">
        <v>10.149053</v>
      </c>
      <c r="AE798" s="205">
        <v>10.219275</v>
      </c>
      <c r="AF798" s="205">
        <v>10.296004999999999</v>
      </c>
      <c r="AG798" s="205">
        <v>10.376855000000001</v>
      </c>
      <c r="AH798" s="206">
        <v>6.2700000000000004E-3</v>
      </c>
    </row>
    <row r="800" spans="1:34" ht="15" customHeight="1" x14ac:dyDescent="0.2">
      <c r="A800" s="213" t="s">
        <v>1644</v>
      </c>
      <c r="B800" s="204" t="s">
        <v>1504</v>
      </c>
      <c r="C800" s="205">
        <v>8.0809519999999999</v>
      </c>
      <c r="D800" s="205">
        <v>8.1845909999999993</v>
      </c>
      <c r="E800" s="205">
        <v>8.3998279999999994</v>
      </c>
      <c r="F800" s="205">
        <v>8.3566669999999998</v>
      </c>
      <c r="G800" s="205">
        <v>8.3247060000000008</v>
      </c>
      <c r="H800" s="205">
        <v>8.2172800000000006</v>
      </c>
      <c r="I800" s="205">
        <v>8.009226</v>
      </c>
      <c r="J800" s="205">
        <v>7.9336469999999997</v>
      </c>
      <c r="K800" s="205">
        <v>7.911225</v>
      </c>
      <c r="L800" s="205">
        <v>7.9042279999999998</v>
      </c>
      <c r="M800" s="205">
        <v>7.9013109999999998</v>
      </c>
      <c r="N800" s="205">
        <v>7.9039489999999999</v>
      </c>
      <c r="O800" s="205">
        <v>7.8967400000000003</v>
      </c>
      <c r="P800" s="205">
        <v>7.8973040000000001</v>
      </c>
      <c r="Q800" s="205">
        <v>7.8990650000000002</v>
      </c>
      <c r="R800" s="205">
        <v>7.9164570000000003</v>
      </c>
      <c r="S800" s="205">
        <v>7.9342370000000004</v>
      </c>
      <c r="T800" s="205">
        <v>7.9624300000000003</v>
      </c>
      <c r="U800" s="205">
        <v>7.9764920000000004</v>
      </c>
      <c r="V800" s="205">
        <v>7.9954520000000002</v>
      </c>
      <c r="W800" s="205">
        <v>8.0155829999999995</v>
      </c>
      <c r="X800" s="205">
        <v>8.0541889999999992</v>
      </c>
      <c r="Y800" s="205">
        <v>8.0948619999999991</v>
      </c>
      <c r="Z800" s="205">
        <v>8.1479429999999997</v>
      </c>
      <c r="AA800" s="205">
        <v>8.1954750000000001</v>
      </c>
      <c r="AB800" s="205">
        <v>8.2483559999999994</v>
      </c>
      <c r="AC800" s="205">
        <v>8.3115620000000003</v>
      </c>
      <c r="AD800" s="205">
        <v>8.3830039999999997</v>
      </c>
      <c r="AE800" s="205">
        <v>8.472766</v>
      </c>
      <c r="AF800" s="205">
        <v>8.5654170000000001</v>
      </c>
      <c r="AG800" s="205">
        <v>8.6537319999999998</v>
      </c>
      <c r="AH800" s="206">
        <v>2.2850000000000001E-3</v>
      </c>
    </row>
    <row r="802" spans="1:34" ht="15" customHeight="1" x14ac:dyDescent="0.2">
      <c r="B802" s="204" t="s">
        <v>1645</v>
      </c>
    </row>
    <row r="803" spans="1:34" ht="15" customHeight="1" x14ac:dyDescent="0.25">
      <c r="A803" s="213" t="s">
        <v>1646</v>
      </c>
      <c r="B803" s="294" t="s">
        <v>1594</v>
      </c>
      <c r="C803" s="295">
        <v>2.3091059999999999</v>
      </c>
      <c r="D803" s="295">
        <v>2.3907609999999999</v>
      </c>
      <c r="E803" s="295">
        <v>2.3771110000000002</v>
      </c>
      <c r="F803" s="295">
        <v>2.364487</v>
      </c>
      <c r="G803" s="295">
        <v>2.3656139999999999</v>
      </c>
      <c r="H803" s="295">
        <v>2.3619180000000002</v>
      </c>
      <c r="I803" s="295">
        <v>2.3515350000000002</v>
      </c>
      <c r="J803" s="295">
        <v>2.3402159999999999</v>
      </c>
      <c r="K803" s="295">
        <v>2.3286600000000002</v>
      </c>
      <c r="L803" s="295">
        <v>2.3156639999999999</v>
      </c>
      <c r="M803" s="295">
        <v>2.3001529999999999</v>
      </c>
      <c r="N803" s="295">
        <v>2.2902399999999998</v>
      </c>
      <c r="O803" s="295">
        <v>2.281739</v>
      </c>
      <c r="P803" s="295">
        <v>2.2720980000000002</v>
      </c>
      <c r="Q803" s="295">
        <v>2.2622059999999999</v>
      </c>
      <c r="R803" s="295">
        <v>2.2534719999999999</v>
      </c>
      <c r="S803" s="295">
        <v>2.245425</v>
      </c>
      <c r="T803" s="295">
        <v>2.2367219999999999</v>
      </c>
      <c r="U803" s="295">
        <v>2.2268970000000001</v>
      </c>
      <c r="V803" s="295">
        <v>2.2167810000000001</v>
      </c>
      <c r="W803" s="295">
        <v>2.20661</v>
      </c>
      <c r="X803" s="295">
        <v>2.1970339999999999</v>
      </c>
      <c r="Y803" s="295">
        <v>2.1872400000000001</v>
      </c>
      <c r="Z803" s="295">
        <v>2.177435</v>
      </c>
      <c r="AA803" s="295">
        <v>2.1677270000000002</v>
      </c>
      <c r="AB803" s="295">
        <v>2.1569419999999999</v>
      </c>
      <c r="AC803" s="295">
        <v>2.145896</v>
      </c>
      <c r="AD803" s="295">
        <v>2.1336900000000001</v>
      </c>
      <c r="AE803" s="295">
        <v>2.1211509999999998</v>
      </c>
      <c r="AF803" s="295">
        <v>2.1074660000000001</v>
      </c>
      <c r="AG803" s="295">
        <v>2.093213</v>
      </c>
      <c r="AH803" s="296">
        <v>-3.2669999999999999E-3</v>
      </c>
    </row>
    <row r="804" spans="1:34" ht="15" customHeight="1" x14ac:dyDescent="0.25">
      <c r="A804" s="213" t="s">
        <v>1647</v>
      </c>
      <c r="B804" s="294" t="s">
        <v>1596</v>
      </c>
      <c r="C804" s="295">
        <v>1.5270760000000001</v>
      </c>
      <c r="D804" s="295">
        <v>1.432436</v>
      </c>
      <c r="E804" s="295">
        <v>1.554308</v>
      </c>
      <c r="F804" s="295">
        <v>1.542832</v>
      </c>
      <c r="G804" s="295">
        <v>1.5333030000000001</v>
      </c>
      <c r="H804" s="295">
        <v>1.515063</v>
      </c>
      <c r="I804" s="295">
        <v>1.496286</v>
      </c>
      <c r="J804" s="295">
        <v>1.4914860000000001</v>
      </c>
      <c r="K804" s="295">
        <v>1.4932110000000001</v>
      </c>
      <c r="L804" s="295">
        <v>1.496543</v>
      </c>
      <c r="M804" s="295">
        <v>1.501878</v>
      </c>
      <c r="N804" s="295">
        <v>1.5096419999999999</v>
      </c>
      <c r="O804" s="295">
        <v>1.516907</v>
      </c>
      <c r="P804" s="295">
        <v>1.52369</v>
      </c>
      <c r="Q804" s="295">
        <v>1.5307470000000001</v>
      </c>
      <c r="R804" s="295">
        <v>1.539569</v>
      </c>
      <c r="S804" s="295">
        <v>1.548834</v>
      </c>
      <c r="T804" s="295">
        <v>1.559761</v>
      </c>
      <c r="U804" s="295">
        <v>1.569207</v>
      </c>
      <c r="V804" s="295">
        <v>1.579097</v>
      </c>
      <c r="W804" s="295">
        <v>1.5885590000000001</v>
      </c>
      <c r="X804" s="295">
        <v>1.6000160000000001</v>
      </c>
      <c r="Y804" s="295">
        <v>1.61209</v>
      </c>
      <c r="Z804" s="295">
        <v>1.626568</v>
      </c>
      <c r="AA804" s="295">
        <v>1.640541</v>
      </c>
      <c r="AB804" s="295">
        <v>1.654523</v>
      </c>
      <c r="AC804" s="295">
        <v>1.670134</v>
      </c>
      <c r="AD804" s="295">
        <v>1.6854199999999999</v>
      </c>
      <c r="AE804" s="295">
        <v>1.7035169999999999</v>
      </c>
      <c r="AF804" s="295">
        <v>1.722216</v>
      </c>
      <c r="AG804" s="295">
        <v>1.7414620000000001</v>
      </c>
      <c r="AH804" s="296">
        <v>4.3889999999999997E-3</v>
      </c>
    </row>
    <row r="805" spans="1:34" ht="15" customHeight="1" x14ac:dyDescent="0.25">
      <c r="A805" s="213" t="s">
        <v>1648</v>
      </c>
      <c r="B805" s="294" t="s">
        <v>1598</v>
      </c>
      <c r="C805" s="295">
        <v>0.69040500000000005</v>
      </c>
      <c r="D805" s="295">
        <v>0.68874500000000005</v>
      </c>
      <c r="E805" s="295">
        <v>0.68535699999999999</v>
      </c>
      <c r="F805" s="295">
        <v>0.68523199999999995</v>
      </c>
      <c r="G805" s="295">
        <v>0.68933599999999995</v>
      </c>
      <c r="H805" s="295">
        <v>0.69208800000000004</v>
      </c>
      <c r="I805" s="295">
        <v>0.69291400000000003</v>
      </c>
      <c r="J805" s="295">
        <v>0.69370399999999999</v>
      </c>
      <c r="K805" s="295">
        <v>0.694747</v>
      </c>
      <c r="L805" s="295">
        <v>0.69554400000000005</v>
      </c>
      <c r="M805" s="295">
        <v>0.69442300000000001</v>
      </c>
      <c r="N805" s="295">
        <v>0.69539899999999999</v>
      </c>
      <c r="O805" s="295">
        <v>0.69754000000000005</v>
      </c>
      <c r="P805" s="295">
        <v>0.69996499999999995</v>
      </c>
      <c r="Q805" s="295">
        <v>0.70253500000000002</v>
      </c>
      <c r="R805" s="295">
        <v>0.70557000000000003</v>
      </c>
      <c r="S805" s="295">
        <v>0.70897600000000005</v>
      </c>
      <c r="T805" s="295">
        <v>0.71233299999999999</v>
      </c>
      <c r="U805" s="295">
        <v>0.71546500000000002</v>
      </c>
      <c r="V805" s="295">
        <v>0.71860500000000005</v>
      </c>
      <c r="W805" s="295">
        <v>0.721966</v>
      </c>
      <c r="X805" s="295">
        <v>0.72581600000000002</v>
      </c>
      <c r="Y805" s="295">
        <v>0.72975599999999996</v>
      </c>
      <c r="Z805" s="295">
        <v>0.73386600000000002</v>
      </c>
      <c r="AA805" s="295">
        <v>0.73804999999999998</v>
      </c>
      <c r="AB805" s="295">
        <v>0.74199599999999999</v>
      </c>
      <c r="AC805" s="295">
        <v>0.74598100000000001</v>
      </c>
      <c r="AD805" s="295">
        <v>0.74969699999999995</v>
      </c>
      <c r="AE805" s="295">
        <v>0.75333799999999995</v>
      </c>
      <c r="AF805" s="295">
        <v>0.75673599999999996</v>
      </c>
      <c r="AG805" s="295">
        <v>0.75992700000000002</v>
      </c>
      <c r="AH805" s="296">
        <v>3.2030000000000001E-3</v>
      </c>
    </row>
    <row r="806" spans="1:34" ht="15" customHeight="1" x14ac:dyDescent="0.25">
      <c r="A806" s="213" t="s">
        <v>1649</v>
      </c>
      <c r="B806" s="294" t="s">
        <v>1600</v>
      </c>
      <c r="C806" s="295">
        <v>1.42977</v>
      </c>
      <c r="D806" s="295">
        <v>1.4147289999999999</v>
      </c>
      <c r="E806" s="295">
        <v>1.4064810000000001</v>
      </c>
      <c r="F806" s="295">
        <v>1.3819509999999999</v>
      </c>
      <c r="G806" s="295">
        <v>1.361027</v>
      </c>
      <c r="H806" s="295">
        <v>1.3323990000000001</v>
      </c>
      <c r="I806" s="295">
        <v>1.2830349999999999</v>
      </c>
      <c r="J806" s="295">
        <v>1.2483139999999999</v>
      </c>
      <c r="K806" s="295">
        <v>1.221085</v>
      </c>
      <c r="L806" s="295">
        <v>1.1971130000000001</v>
      </c>
      <c r="M806" s="295">
        <v>1.175662</v>
      </c>
      <c r="N806" s="295">
        <v>1.156507</v>
      </c>
      <c r="O806" s="295">
        <v>1.1382300000000001</v>
      </c>
      <c r="P806" s="295">
        <v>1.120638</v>
      </c>
      <c r="Q806" s="295">
        <v>1.1045119999999999</v>
      </c>
      <c r="R806" s="295">
        <v>1.090562</v>
      </c>
      <c r="S806" s="295">
        <v>1.078268</v>
      </c>
      <c r="T806" s="295">
        <v>1.0678289999999999</v>
      </c>
      <c r="U806" s="295">
        <v>1.0572459999999999</v>
      </c>
      <c r="V806" s="295">
        <v>1.0477300000000001</v>
      </c>
      <c r="W806" s="295">
        <v>1.036535</v>
      </c>
      <c r="X806" s="295">
        <v>1.0276959999999999</v>
      </c>
      <c r="Y806" s="295">
        <v>1.019501</v>
      </c>
      <c r="Z806" s="295">
        <v>1.0138</v>
      </c>
      <c r="AA806" s="295">
        <v>1.0081260000000001</v>
      </c>
      <c r="AB806" s="295">
        <v>1.003314</v>
      </c>
      <c r="AC806" s="295">
        <v>0.99999099999999996</v>
      </c>
      <c r="AD806" s="295">
        <v>0.99727699999999997</v>
      </c>
      <c r="AE806" s="295">
        <v>0.99623200000000001</v>
      </c>
      <c r="AF806" s="295">
        <v>0.99606700000000004</v>
      </c>
      <c r="AG806" s="295">
        <v>0.99631499999999995</v>
      </c>
      <c r="AH806" s="296">
        <v>-1.1967999999999999E-2</v>
      </c>
    </row>
    <row r="807" spans="1:34" ht="15" customHeight="1" x14ac:dyDescent="0.25">
      <c r="A807" s="213" t="s">
        <v>1650</v>
      </c>
      <c r="B807" s="294" t="s">
        <v>1419</v>
      </c>
      <c r="C807" s="295">
        <v>0.58400600000000003</v>
      </c>
      <c r="D807" s="295">
        <v>0.58390699999999995</v>
      </c>
      <c r="E807" s="295">
        <v>0.58477299999999999</v>
      </c>
      <c r="F807" s="295">
        <v>0.58500399999999997</v>
      </c>
      <c r="G807" s="295">
        <v>0.58779800000000004</v>
      </c>
      <c r="H807" s="295">
        <v>0.58874599999999999</v>
      </c>
      <c r="I807" s="295">
        <v>0.58867400000000003</v>
      </c>
      <c r="J807" s="295">
        <v>0.59038100000000004</v>
      </c>
      <c r="K807" s="295">
        <v>0.59287500000000004</v>
      </c>
      <c r="L807" s="295">
        <v>0.59525099999999997</v>
      </c>
      <c r="M807" s="295">
        <v>0.59620300000000004</v>
      </c>
      <c r="N807" s="295">
        <v>0.59853999999999996</v>
      </c>
      <c r="O807" s="295">
        <v>0.60140400000000005</v>
      </c>
      <c r="P807" s="295">
        <v>0.60455199999999998</v>
      </c>
      <c r="Q807" s="295">
        <v>0.60766200000000004</v>
      </c>
      <c r="R807" s="295">
        <v>0.61104499999999995</v>
      </c>
      <c r="S807" s="295">
        <v>0.61445300000000003</v>
      </c>
      <c r="T807" s="295">
        <v>0.61780199999999996</v>
      </c>
      <c r="U807" s="295">
        <v>0.62064299999999994</v>
      </c>
      <c r="V807" s="295">
        <v>0.62342799999999998</v>
      </c>
      <c r="W807" s="295">
        <v>0.62630600000000003</v>
      </c>
      <c r="X807" s="295">
        <v>0.62987599999999999</v>
      </c>
      <c r="Y807" s="295">
        <v>0.633436</v>
      </c>
      <c r="Z807" s="295">
        <v>0.637239</v>
      </c>
      <c r="AA807" s="295">
        <v>0.64093100000000003</v>
      </c>
      <c r="AB807" s="295">
        <v>0.64443799999999996</v>
      </c>
      <c r="AC807" s="295">
        <v>0.64800899999999995</v>
      </c>
      <c r="AD807" s="295">
        <v>0.65138799999999997</v>
      </c>
      <c r="AE807" s="295">
        <v>0.65484399999999998</v>
      </c>
      <c r="AF807" s="295">
        <v>0.65811500000000001</v>
      </c>
      <c r="AG807" s="295">
        <v>0.66110500000000005</v>
      </c>
      <c r="AH807" s="296">
        <v>4.1419999999999998E-3</v>
      </c>
    </row>
    <row r="808" spans="1:34" ht="15" customHeight="1" x14ac:dyDescent="0.25">
      <c r="A808" s="213" t="s">
        <v>1651</v>
      </c>
      <c r="B808" s="294" t="s">
        <v>1425</v>
      </c>
      <c r="C808" s="295">
        <v>1.5115879999999999</v>
      </c>
      <c r="D808" s="295">
        <v>1.4620770000000001</v>
      </c>
      <c r="E808" s="295">
        <v>1.426102</v>
      </c>
      <c r="F808" s="295">
        <v>1.376247</v>
      </c>
      <c r="G808" s="295">
        <v>1.3329740000000001</v>
      </c>
      <c r="H808" s="295">
        <v>1.2864610000000001</v>
      </c>
      <c r="I808" s="295">
        <v>1.24458</v>
      </c>
      <c r="J808" s="295">
        <v>1.2180340000000001</v>
      </c>
      <c r="K808" s="295">
        <v>1.19272</v>
      </c>
      <c r="L808" s="295">
        <v>1.1697169999999999</v>
      </c>
      <c r="M808" s="295">
        <v>1.1307499999999999</v>
      </c>
      <c r="N808" s="295">
        <v>1.097259</v>
      </c>
      <c r="O808" s="295">
        <v>1.066945</v>
      </c>
      <c r="P808" s="295">
        <v>1.0398240000000001</v>
      </c>
      <c r="Q808" s="295">
        <v>1.015952</v>
      </c>
      <c r="R808" s="295">
        <v>0.99560499999999996</v>
      </c>
      <c r="S808" s="295">
        <v>0.97820600000000002</v>
      </c>
      <c r="T808" s="295">
        <v>0.96348400000000001</v>
      </c>
      <c r="U808" s="295">
        <v>0.94936299999999996</v>
      </c>
      <c r="V808" s="295">
        <v>0.93671199999999999</v>
      </c>
      <c r="W808" s="295">
        <v>0.91988599999999998</v>
      </c>
      <c r="X808" s="295">
        <v>0.90678999999999998</v>
      </c>
      <c r="Y808" s="295">
        <v>0.89488599999999996</v>
      </c>
      <c r="Z808" s="295">
        <v>0.88511300000000004</v>
      </c>
      <c r="AA808" s="295">
        <v>0.87602599999999997</v>
      </c>
      <c r="AB808" s="295">
        <v>0.868224</v>
      </c>
      <c r="AC808" s="295">
        <v>0.86214800000000003</v>
      </c>
      <c r="AD808" s="295">
        <v>0.85707900000000004</v>
      </c>
      <c r="AE808" s="295">
        <v>0.85387100000000005</v>
      </c>
      <c r="AF808" s="295">
        <v>0.85194099999999995</v>
      </c>
      <c r="AG808" s="295">
        <v>0.850553</v>
      </c>
      <c r="AH808" s="296">
        <v>-1.8984999999999998E-2</v>
      </c>
    </row>
    <row r="809" spans="1:34" ht="15" customHeight="1" x14ac:dyDescent="0.25">
      <c r="A809" s="213" t="s">
        <v>1652</v>
      </c>
      <c r="B809" s="294" t="s">
        <v>1417</v>
      </c>
      <c r="C809" s="295">
        <v>1.8448260000000001</v>
      </c>
      <c r="D809" s="295">
        <v>1.828136</v>
      </c>
      <c r="E809" s="295">
        <v>1.8192889999999999</v>
      </c>
      <c r="F809" s="295">
        <v>1.789129</v>
      </c>
      <c r="G809" s="295">
        <v>1.76372</v>
      </c>
      <c r="H809" s="295">
        <v>1.730386</v>
      </c>
      <c r="I809" s="295">
        <v>1.699851</v>
      </c>
      <c r="J809" s="295">
        <v>1.6873830000000001</v>
      </c>
      <c r="K809" s="295">
        <v>1.6828179999999999</v>
      </c>
      <c r="L809" s="295">
        <v>1.6805730000000001</v>
      </c>
      <c r="M809" s="295">
        <v>1.67662</v>
      </c>
      <c r="N809" s="295">
        <v>1.6751199999999999</v>
      </c>
      <c r="O809" s="295">
        <v>1.6729449999999999</v>
      </c>
      <c r="P809" s="295">
        <v>1.6719539999999999</v>
      </c>
      <c r="Q809" s="295">
        <v>1.67133</v>
      </c>
      <c r="R809" s="295">
        <v>1.672625</v>
      </c>
      <c r="S809" s="295">
        <v>1.6738379999999999</v>
      </c>
      <c r="T809" s="295">
        <v>1.6761299999999999</v>
      </c>
      <c r="U809" s="295">
        <v>1.6763710000000001</v>
      </c>
      <c r="V809" s="295">
        <v>1.67709</v>
      </c>
      <c r="W809" s="295">
        <v>1.677306</v>
      </c>
      <c r="X809" s="295">
        <v>1.6809769999999999</v>
      </c>
      <c r="Y809" s="295">
        <v>1.6847510000000001</v>
      </c>
      <c r="Z809" s="295">
        <v>1.6900489999999999</v>
      </c>
      <c r="AA809" s="295">
        <v>1.694401</v>
      </c>
      <c r="AB809" s="295">
        <v>1.699074</v>
      </c>
      <c r="AC809" s="295">
        <v>1.7046950000000001</v>
      </c>
      <c r="AD809" s="295">
        <v>1.7105919999999999</v>
      </c>
      <c r="AE809" s="295">
        <v>1.7182139999999999</v>
      </c>
      <c r="AF809" s="295">
        <v>1.725543</v>
      </c>
      <c r="AG809" s="295">
        <v>1.7316940000000001</v>
      </c>
      <c r="AH809" s="296">
        <v>-2.1069999999999999E-3</v>
      </c>
    </row>
    <row r="810" spans="1:34" ht="15" customHeight="1" x14ac:dyDescent="0.25">
      <c r="A810" s="213" t="s">
        <v>1653</v>
      </c>
      <c r="B810" s="294" t="s">
        <v>1605</v>
      </c>
      <c r="C810" s="295">
        <v>0.93321299999999996</v>
      </c>
      <c r="D810" s="295">
        <v>0.91864100000000004</v>
      </c>
      <c r="E810" s="295">
        <v>0.90971999999999997</v>
      </c>
      <c r="F810" s="295">
        <v>0.89010500000000004</v>
      </c>
      <c r="G810" s="295">
        <v>0.87357799999999997</v>
      </c>
      <c r="H810" s="295">
        <v>0.854657</v>
      </c>
      <c r="I810" s="295">
        <v>0.83767400000000003</v>
      </c>
      <c r="J810" s="295">
        <v>0.83137700000000003</v>
      </c>
      <c r="K810" s="295">
        <v>0.83089800000000003</v>
      </c>
      <c r="L810" s="295">
        <v>0.83243199999999995</v>
      </c>
      <c r="M810" s="295">
        <v>0.83511400000000002</v>
      </c>
      <c r="N810" s="295">
        <v>0.83995799999999998</v>
      </c>
      <c r="O810" s="295">
        <v>0.84496800000000005</v>
      </c>
      <c r="P810" s="295">
        <v>0.85037799999999997</v>
      </c>
      <c r="Q810" s="295">
        <v>0.855603</v>
      </c>
      <c r="R810" s="295">
        <v>0.86282199999999998</v>
      </c>
      <c r="S810" s="295">
        <v>0.86975499999999994</v>
      </c>
      <c r="T810" s="295">
        <v>0.87706200000000001</v>
      </c>
      <c r="U810" s="295">
        <v>0.88313900000000001</v>
      </c>
      <c r="V810" s="295">
        <v>0.88803299999999996</v>
      </c>
      <c r="W810" s="295">
        <v>0.89314400000000005</v>
      </c>
      <c r="X810" s="295">
        <v>0.89900899999999995</v>
      </c>
      <c r="Y810" s="295">
        <v>0.90212800000000004</v>
      </c>
      <c r="Z810" s="295">
        <v>0.90565799999999996</v>
      </c>
      <c r="AA810" s="295">
        <v>0.905864</v>
      </c>
      <c r="AB810" s="295">
        <v>0.90471900000000005</v>
      </c>
      <c r="AC810" s="295">
        <v>0.90248200000000001</v>
      </c>
      <c r="AD810" s="295">
        <v>0.89897800000000005</v>
      </c>
      <c r="AE810" s="295">
        <v>0.89209799999999995</v>
      </c>
      <c r="AF810" s="295">
        <v>0.88350200000000001</v>
      </c>
      <c r="AG810" s="295">
        <v>0.86982000000000004</v>
      </c>
      <c r="AH810" s="296">
        <v>-2.3419999999999999E-3</v>
      </c>
    </row>
    <row r="811" spans="1:34" ht="15" customHeight="1" x14ac:dyDescent="0.25">
      <c r="A811" s="213" t="s">
        <v>1654</v>
      </c>
      <c r="B811" s="294" t="s">
        <v>1607</v>
      </c>
      <c r="C811" s="295">
        <v>1.2297910000000001</v>
      </c>
      <c r="D811" s="295">
        <v>1.283817</v>
      </c>
      <c r="E811" s="295">
        <v>1.340983</v>
      </c>
      <c r="F811" s="295">
        <v>1.375381</v>
      </c>
      <c r="G811" s="295">
        <v>1.4074260000000001</v>
      </c>
      <c r="H811" s="295">
        <v>1.4275580000000001</v>
      </c>
      <c r="I811" s="295">
        <v>1.4450780000000001</v>
      </c>
      <c r="J811" s="295">
        <v>1.4729239999999999</v>
      </c>
      <c r="K811" s="295">
        <v>1.504076</v>
      </c>
      <c r="L811" s="295">
        <v>1.534808</v>
      </c>
      <c r="M811" s="295">
        <v>1.5659479999999999</v>
      </c>
      <c r="N811" s="295">
        <v>1.5949169999999999</v>
      </c>
      <c r="O811" s="295">
        <v>1.6215109999999999</v>
      </c>
      <c r="P811" s="295">
        <v>1.6471210000000001</v>
      </c>
      <c r="Q811" s="295">
        <v>1.6717759999999999</v>
      </c>
      <c r="R811" s="295">
        <v>1.697173</v>
      </c>
      <c r="S811" s="295">
        <v>1.7219150000000001</v>
      </c>
      <c r="T811" s="295">
        <v>1.7466630000000001</v>
      </c>
      <c r="U811" s="295">
        <v>1.7697449999999999</v>
      </c>
      <c r="V811" s="295">
        <v>1.7933079999999999</v>
      </c>
      <c r="W811" s="295">
        <v>1.8190850000000001</v>
      </c>
      <c r="X811" s="295">
        <v>1.847434</v>
      </c>
      <c r="Y811" s="295">
        <v>1.8774409999999999</v>
      </c>
      <c r="Z811" s="295">
        <v>1.9101049999999999</v>
      </c>
      <c r="AA811" s="295">
        <v>1.9441390000000001</v>
      </c>
      <c r="AB811" s="295">
        <v>1.980939</v>
      </c>
      <c r="AC811" s="295">
        <v>2.0211899999999998</v>
      </c>
      <c r="AD811" s="295">
        <v>2.066227</v>
      </c>
      <c r="AE811" s="295">
        <v>2.117108</v>
      </c>
      <c r="AF811" s="295">
        <v>2.1714389999999999</v>
      </c>
      <c r="AG811" s="295">
        <v>2.2295940000000001</v>
      </c>
      <c r="AH811" s="296">
        <v>2.0029999999999999E-2</v>
      </c>
    </row>
    <row r="812" spans="1:34" ht="15" customHeight="1" x14ac:dyDescent="0.25">
      <c r="A812" s="213" t="s">
        <v>1655</v>
      </c>
      <c r="B812" s="294" t="s">
        <v>1639</v>
      </c>
      <c r="C812" s="295">
        <v>4.712599</v>
      </c>
      <c r="D812" s="295">
        <v>5.0944209999999996</v>
      </c>
      <c r="E812" s="295">
        <v>5.2973679999999996</v>
      </c>
      <c r="F812" s="295">
        <v>5.5550379999999997</v>
      </c>
      <c r="G812" s="295">
        <v>5.7482090000000001</v>
      </c>
      <c r="H812" s="295">
        <v>5.9119020000000004</v>
      </c>
      <c r="I812" s="295">
        <v>5.8766160000000003</v>
      </c>
      <c r="J812" s="295">
        <v>5.8875640000000002</v>
      </c>
      <c r="K812" s="295">
        <v>5.9157710000000003</v>
      </c>
      <c r="L812" s="295">
        <v>5.949433</v>
      </c>
      <c r="M812" s="295">
        <v>5.9886080000000002</v>
      </c>
      <c r="N812" s="295">
        <v>6.030151</v>
      </c>
      <c r="O812" s="295">
        <v>6.0684570000000004</v>
      </c>
      <c r="P812" s="295">
        <v>6.1117569999999999</v>
      </c>
      <c r="Q812" s="295">
        <v>6.1554330000000004</v>
      </c>
      <c r="R812" s="295">
        <v>6.2057659999999997</v>
      </c>
      <c r="S812" s="295">
        <v>6.2564789999999997</v>
      </c>
      <c r="T812" s="295">
        <v>6.312189</v>
      </c>
      <c r="U812" s="295">
        <v>6.3631500000000001</v>
      </c>
      <c r="V812" s="295">
        <v>6.4185970000000001</v>
      </c>
      <c r="W812" s="295">
        <v>6.4780550000000003</v>
      </c>
      <c r="X812" s="295">
        <v>6.5456149999999997</v>
      </c>
      <c r="Y812" s="295">
        <v>6.6166470000000004</v>
      </c>
      <c r="Z812" s="295">
        <v>6.6942830000000004</v>
      </c>
      <c r="AA812" s="295">
        <v>6.7725879999999998</v>
      </c>
      <c r="AB812" s="295">
        <v>6.8555710000000003</v>
      </c>
      <c r="AC812" s="295">
        <v>6.944204</v>
      </c>
      <c r="AD812" s="295">
        <v>7.0390920000000001</v>
      </c>
      <c r="AE812" s="295">
        <v>7.1446620000000003</v>
      </c>
      <c r="AF812" s="295">
        <v>7.2544120000000003</v>
      </c>
      <c r="AG812" s="295">
        <v>7.3660959999999998</v>
      </c>
      <c r="AH812" s="296">
        <v>1.4999999999999999E-2</v>
      </c>
    </row>
    <row r="813" spans="1:34" ht="15" customHeight="1" x14ac:dyDescent="0.2">
      <c r="A813" s="213" t="s">
        <v>1656</v>
      </c>
      <c r="B813" s="204" t="s">
        <v>1657</v>
      </c>
      <c r="C813" s="205">
        <v>16.772380999999999</v>
      </c>
      <c r="D813" s="205">
        <v>17.097670000000001</v>
      </c>
      <c r="E813" s="205">
        <v>17.401491</v>
      </c>
      <c r="F813" s="205">
        <v>17.545404000000001</v>
      </c>
      <c r="G813" s="205">
        <v>17.662987000000001</v>
      </c>
      <c r="H813" s="205">
        <v>17.701180000000001</v>
      </c>
      <c r="I813" s="205">
        <v>17.516242999999999</v>
      </c>
      <c r="J813" s="205">
        <v>17.461383999999999</v>
      </c>
      <c r="K813" s="205">
        <v>17.456861</v>
      </c>
      <c r="L813" s="205">
        <v>17.467078999999998</v>
      </c>
      <c r="M813" s="205">
        <v>17.465358999999999</v>
      </c>
      <c r="N813" s="205">
        <v>17.487734</v>
      </c>
      <c r="O813" s="205">
        <v>17.510646999999999</v>
      </c>
      <c r="P813" s="205">
        <v>17.541976999999999</v>
      </c>
      <c r="Q813" s="205">
        <v>17.577755</v>
      </c>
      <c r="R813" s="205">
        <v>17.634208999999998</v>
      </c>
      <c r="S813" s="205">
        <v>17.696149999999999</v>
      </c>
      <c r="T813" s="205">
        <v>17.769977999999998</v>
      </c>
      <c r="U813" s="205">
        <v>17.831223999999999</v>
      </c>
      <c r="V813" s="205">
        <v>17.899380000000001</v>
      </c>
      <c r="W813" s="205">
        <v>17.967452999999999</v>
      </c>
      <c r="X813" s="205">
        <v>18.060262999999999</v>
      </c>
      <c r="Y813" s="205">
        <v>18.157876999999999</v>
      </c>
      <c r="Z813" s="205">
        <v>18.274117</v>
      </c>
      <c r="AA813" s="205">
        <v>18.388393000000001</v>
      </c>
      <c r="AB813" s="205">
        <v>18.509739</v>
      </c>
      <c r="AC813" s="205">
        <v>18.644729999999999</v>
      </c>
      <c r="AD813" s="205">
        <v>18.789439999999999</v>
      </c>
      <c r="AE813" s="205">
        <v>18.955036</v>
      </c>
      <c r="AF813" s="205">
        <v>19.127438000000001</v>
      </c>
      <c r="AG813" s="205">
        <v>19.299778</v>
      </c>
      <c r="AH813" s="206">
        <v>4.6899999999999997E-3</v>
      </c>
    </row>
    <row r="814" spans="1:34" ht="15" customHeight="1" x14ac:dyDescent="0.25">
      <c r="A814" s="213" t="s">
        <v>1658</v>
      </c>
      <c r="B814" s="294" t="s">
        <v>1500</v>
      </c>
      <c r="C814" s="295">
        <v>8.8754E-2</v>
      </c>
      <c r="D814" s="295">
        <v>0.10077999999999999</v>
      </c>
      <c r="E814" s="295">
        <v>0.108822</v>
      </c>
      <c r="F814" s="295">
        <v>0.113284</v>
      </c>
      <c r="G814" s="295">
        <v>0.117704</v>
      </c>
      <c r="H814" s="295">
        <v>0.12537599999999999</v>
      </c>
      <c r="I814" s="295">
        <v>0.13159799999999999</v>
      </c>
      <c r="J814" s="295">
        <v>0.14030899999999999</v>
      </c>
      <c r="K814" s="295">
        <v>0.14565900000000001</v>
      </c>
      <c r="L814" s="295">
        <v>0.15195400000000001</v>
      </c>
      <c r="M814" s="295">
        <v>0.15564500000000001</v>
      </c>
      <c r="N814" s="295">
        <v>0.162048</v>
      </c>
      <c r="O814" s="295">
        <v>0.16437399999999999</v>
      </c>
      <c r="P814" s="295">
        <v>0.17144899999999999</v>
      </c>
      <c r="Q814" s="295">
        <v>0.174927</v>
      </c>
      <c r="R814" s="295">
        <v>0.182645</v>
      </c>
      <c r="S814" s="295">
        <v>0.19064900000000001</v>
      </c>
      <c r="T814" s="295">
        <v>0.19592399999999999</v>
      </c>
      <c r="U814" s="295">
        <v>0.20144000000000001</v>
      </c>
      <c r="V814" s="295">
        <v>0.20696999999999999</v>
      </c>
      <c r="W814" s="295">
        <v>0.21357400000000001</v>
      </c>
      <c r="X814" s="295">
        <v>0.22040199999999999</v>
      </c>
      <c r="Y814" s="295">
        <v>0.22836400000000001</v>
      </c>
      <c r="Z814" s="295">
        <v>0.230716</v>
      </c>
      <c r="AA814" s="295">
        <v>0.23728299999999999</v>
      </c>
      <c r="AB814" s="295">
        <v>0.242976</v>
      </c>
      <c r="AC814" s="295">
        <v>0.25006899999999999</v>
      </c>
      <c r="AD814" s="295">
        <v>0.257384</v>
      </c>
      <c r="AE814" s="295">
        <v>0.26299400000000001</v>
      </c>
      <c r="AF814" s="295">
        <v>0.266015</v>
      </c>
      <c r="AG814" s="295">
        <v>0.26919199999999999</v>
      </c>
      <c r="AH814" s="296">
        <v>3.7678000000000003E-2</v>
      </c>
    </row>
    <row r="815" spans="1:34" ht="15" customHeight="1" x14ac:dyDescent="0.2">
      <c r="A815" s="213" t="s">
        <v>1659</v>
      </c>
      <c r="B815" s="204" t="s">
        <v>1525</v>
      </c>
      <c r="C815" s="205">
        <v>16.683627999999999</v>
      </c>
      <c r="D815" s="205">
        <v>16.996888999999999</v>
      </c>
      <c r="E815" s="205">
        <v>17.292667000000002</v>
      </c>
      <c r="F815" s="205">
        <v>17.432120999999999</v>
      </c>
      <c r="G815" s="205">
        <v>17.545280000000002</v>
      </c>
      <c r="H815" s="205">
        <v>17.575806</v>
      </c>
      <c r="I815" s="205">
        <v>17.384647000000001</v>
      </c>
      <c r="J815" s="205">
        <v>17.321075</v>
      </c>
      <c r="K815" s="205">
        <v>17.311202999999999</v>
      </c>
      <c r="L815" s="205">
        <v>17.315124999999998</v>
      </c>
      <c r="M815" s="205">
        <v>17.309711</v>
      </c>
      <c r="N815" s="205">
        <v>17.325686000000001</v>
      </c>
      <c r="O815" s="205">
        <v>17.346271999999999</v>
      </c>
      <c r="P815" s="205">
        <v>17.370529000000001</v>
      </c>
      <c r="Q815" s="205">
        <v>17.402828</v>
      </c>
      <c r="R815" s="205">
        <v>17.451563</v>
      </c>
      <c r="S815" s="205">
        <v>17.505500999999999</v>
      </c>
      <c r="T815" s="205">
        <v>17.574055000000001</v>
      </c>
      <c r="U815" s="205">
        <v>17.629784000000001</v>
      </c>
      <c r="V815" s="205">
        <v>17.692409999999999</v>
      </c>
      <c r="W815" s="205">
        <v>17.753879999999999</v>
      </c>
      <c r="X815" s="205">
        <v>17.839860999999999</v>
      </c>
      <c r="Y815" s="205">
        <v>17.929511999999999</v>
      </c>
      <c r="Z815" s="205">
        <v>18.043399999999998</v>
      </c>
      <c r="AA815" s="205">
        <v>18.151109999999999</v>
      </c>
      <c r="AB815" s="205">
        <v>18.266763999999998</v>
      </c>
      <c r="AC815" s="205">
        <v>18.394659000000001</v>
      </c>
      <c r="AD815" s="205">
        <v>18.532056999999998</v>
      </c>
      <c r="AE815" s="205">
        <v>18.692041</v>
      </c>
      <c r="AF815" s="205">
        <v>18.861422999999998</v>
      </c>
      <c r="AG815" s="205">
        <v>19.030586</v>
      </c>
      <c r="AH815" s="206">
        <v>4.3969999999999999E-3</v>
      </c>
    </row>
    <row r="817" spans="1:34" ht="15" customHeight="1" x14ac:dyDescent="0.2">
      <c r="B817" s="204" t="s">
        <v>1660</v>
      </c>
    </row>
    <row r="818" spans="1:34" ht="15" customHeight="1" x14ac:dyDescent="0.25">
      <c r="A818" s="213" t="s">
        <v>1661</v>
      </c>
      <c r="B818" s="294" t="s">
        <v>1662</v>
      </c>
      <c r="C818" s="295">
        <v>7.3691999999999994E-2</v>
      </c>
      <c r="D818" s="295">
        <v>7.4771000000000004E-2</v>
      </c>
      <c r="E818" s="295">
        <v>7.4763999999999997E-2</v>
      </c>
      <c r="F818" s="295">
        <v>7.3534000000000002E-2</v>
      </c>
      <c r="G818" s="295">
        <v>7.3245000000000005E-2</v>
      </c>
      <c r="H818" s="295">
        <v>7.1374999999999994E-2</v>
      </c>
      <c r="I818" s="295">
        <v>7.0848999999999995E-2</v>
      </c>
      <c r="J818" s="295">
        <v>7.0451E-2</v>
      </c>
      <c r="K818" s="295">
        <v>7.0455000000000004E-2</v>
      </c>
      <c r="L818" s="295">
        <v>7.0278999999999994E-2</v>
      </c>
      <c r="M818" s="295">
        <v>7.0495000000000002E-2</v>
      </c>
      <c r="N818" s="295">
        <v>7.0365999999999998E-2</v>
      </c>
      <c r="O818" s="295">
        <v>7.0212999999999998E-2</v>
      </c>
      <c r="P818" s="295">
        <v>7.0060999999999998E-2</v>
      </c>
      <c r="Q818" s="295">
        <v>6.9983000000000004E-2</v>
      </c>
      <c r="R818" s="295">
        <v>6.9874000000000006E-2</v>
      </c>
      <c r="S818" s="295">
        <v>6.9837999999999997E-2</v>
      </c>
      <c r="T818" s="295">
        <v>6.9871000000000003E-2</v>
      </c>
      <c r="U818" s="295">
        <v>6.9458000000000006E-2</v>
      </c>
      <c r="V818" s="295">
        <v>6.9417999999999994E-2</v>
      </c>
      <c r="W818" s="295">
        <v>6.9345000000000004E-2</v>
      </c>
      <c r="X818" s="295">
        <v>6.9290000000000004E-2</v>
      </c>
      <c r="Y818" s="295">
        <v>6.9236000000000006E-2</v>
      </c>
      <c r="Z818" s="295">
        <v>6.9093000000000002E-2</v>
      </c>
      <c r="AA818" s="295">
        <v>6.8950999999999998E-2</v>
      </c>
      <c r="AB818" s="295">
        <v>6.8748000000000004E-2</v>
      </c>
      <c r="AC818" s="295">
        <v>6.8580000000000002E-2</v>
      </c>
      <c r="AD818" s="295">
        <v>6.8497000000000002E-2</v>
      </c>
      <c r="AE818" s="295">
        <v>6.8274000000000001E-2</v>
      </c>
      <c r="AF818" s="295">
        <v>6.7988999999999994E-2</v>
      </c>
      <c r="AG818" s="295">
        <v>6.7805000000000004E-2</v>
      </c>
      <c r="AH818" s="296">
        <v>-2.771E-3</v>
      </c>
    </row>
    <row r="819" spans="1:34" ht="15" customHeight="1" x14ac:dyDescent="0.25">
      <c r="A819" s="213" t="s">
        <v>1663</v>
      </c>
      <c r="B819" s="294" t="s">
        <v>1532</v>
      </c>
      <c r="C819" s="295">
        <v>0.16556000000000001</v>
      </c>
      <c r="D819" s="295">
        <v>0.19445999999999999</v>
      </c>
      <c r="E819" s="295">
        <v>0.213751</v>
      </c>
      <c r="F819" s="295">
        <v>0.22212799999999999</v>
      </c>
      <c r="G819" s="295">
        <v>0.23104</v>
      </c>
      <c r="H819" s="295">
        <v>0.245749</v>
      </c>
      <c r="I819" s="295">
        <v>0.25803100000000001</v>
      </c>
      <c r="J819" s="295">
        <v>0.27777200000000002</v>
      </c>
      <c r="K819" s="295">
        <v>0.28991299999999998</v>
      </c>
      <c r="L819" s="295">
        <v>0.30431799999999998</v>
      </c>
      <c r="M819" s="295">
        <v>0.31456000000000001</v>
      </c>
      <c r="N819" s="295">
        <v>0.32959300000000002</v>
      </c>
      <c r="O819" s="295">
        <v>0.33458599999999999</v>
      </c>
      <c r="P819" s="295">
        <v>0.34983999999999998</v>
      </c>
      <c r="Q819" s="295">
        <v>0.357211</v>
      </c>
      <c r="R819" s="295">
        <v>0.37506</v>
      </c>
      <c r="S819" s="295">
        <v>0.39375300000000002</v>
      </c>
      <c r="T819" s="295">
        <v>0.40736</v>
      </c>
      <c r="U819" s="295">
        <v>0.418628</v>
      </c>
      <c r="V819" s="295">
        <v>0.43176100000000001</v>
      </c>
      <c r="W819" s="295">
        <v>0.44695200000000002</v>
      </c>
      <c r="X819" s="295">
        <v>0.462283</v>
      </c>
      <c r="Y819" s="295">
        <v>0.480161</v>
      </c>
      <c r="Z819" s="295">
        <v>0.48518499999999998</v>
      </c>
      <c r="AA819" s="295">
        <v>0.49939099999999997</v>
      </c>
      <c r="AB819" s="295">
        <v>0.51058000000000003</v>
      </c>
      <c r="AC819" s="295">
        <v>0.52541599999999999</v>
      </c>
      <c r="AD819" s="295">
        <v>0.54133100000000001</v>
      </c>
      <c r="AE819" s="295">
        <v>0.55223299999999997</v>
      </c>
      <c r="AF819" s="295">
        <v>0.55629600000000001</v>
      </c>
      <c r="AG819" s="295">
        <v>0.56219200000000003</v>
      </c>
      <c r="AH819" s="296">
        <v>4.1591999999999997E-2</v>
      </c>
    </row>
    <row r="820" spans="1:34" ht="15" customHeight="1" x14ac:dyDescent="0.25">
      <c r="A820" s="213" t="s">
        <v>1664</v>
      </c>
      <c r="B820" s="294" t="s">
        <v>1534</v>
      </c>
      <c r="C820" s="295">
        <v>6.8910000000000004E-3</v>
      </c>
      <c r="D820" s="295">
        <v>6.9810000000000002E-3</v>
      </c>
      <c r="E820" s="295">
        <v>6.9670000000000001E-3</v>
      </c>
      <c r="F820" s="295">
        <v>6.8739999999999999E-3</v>
      </c>
      <c r="G820" s="295">
        <v>6.868E-3</v>
      </c>
      <c r="H820" s="295">
        <v>6.7089999999999997E-3</v>
      </c>
      <c r="I820" s="295">
        <v>6.6639999999999998E-3</v>
      </c>
      <c r="J820" s="295">
        <v>6.6550000000000003E-3</v>
      </c>
      <c r="K820" s="295">
        <v>6.6519999999999999E-3</v>
      </c>
      <c r="L820" s="295">
        <v>6.6410000000000002E-3</v>
      </c>
      <c r="M820" s="295">
        <v>6.6400000000000001E-3</v>
      </c>
      <c r="N820" s="295">
        <v>6.6299999999999996E-3</v>
      </c>
      <c r="O820" s="295">
        <v>6.6150000000000002E-3</v>
      </c>
      <c r="P820" s="295">
        <v>6.6360000000000004E-3</v>
      </c>
      <c r="Q820" s="295">
        <v>6.6280000000000002E-3</v>
      </c>
      <c r="R820" s="295">
        <v>6.62E-3</v>
      </c>
      <c r="S820" s="295">
        <v>6.613E-3</v>
      </c>
      <c r="T820" s="295">
        <v>6.607E-3</v>
      </c>
      <c r="U820" s="295">
        <v>6.5849999999999997E-3</v>
      </c>
      <c r="V820" s="295">
        <v>6.5789999999999998E-3</v>
      </c>
      <c r="W820" s="295">
        <v>6.5729999999999998E-3</v>
      </c>
      <c r="X820" s="295">
        <v>6.5649999999999997E-3</v>
      </c>
      <c r="Y820" s="295">
        <v>6.574E-3</v>
      </c>
      <c r="Z820" s="295">
        <v>6.5599999999999999E-3</v>
      </c>
      <c r="AA820" s="295">
        <v>6.5570000000000003E-3</v>
      </c>
      <c r="AB820" s="295">
        <v>6.5360000000000001E-3</v>
      </c>
      <c r="AC820" s="295">
        <v>6.522E-3</v>
      </c>
      <c r="AD820" s="295">
        <v>6.515E-3</v>
      </c>
      <c r="AE820" s="295">
        <v>6.5110000000000003E-3</v>
      </c>
      <c r="AF820" s="295">
        <v>6.4989999999999996E-3</v>
      </c>
      <c r="AG820" s="295">
        <v>6.489E-3</v>
      </c>
      <c r="AH820" s="296">
        <v>-1.9980000000000002E-3</v>
      </c>
    </row>
    <row r="821" spans="1:34" ht="15" customHeight="1" x14ac:dyDescent="0.2">
      <c r="A821" s="213" t="s">
        <v>1665</v>
      </c>
      <c r="B821" s="204" t="s">
        <v>653</v>
      </c>
      <c r="C821" s="205">
        <v>0.246143</v>
      </c>
      <c r="D821" s="205">
        <v>0.27621200000000001</v>
      </c>
      <c r="E821" s="205">
        <v>0.29548200000000002</v>
      </c>
      <c r="F821" s="205">
        <v>0.302537</v>
      </c>
      <c r="G821" s="205">
        <v>0.31115300000000001</v>
      </c>
      <c r="H821" s="205">
        <v>0.32383299999999998</v>
      </c>
      <c r="I821" s="205">
        <v>0.33554400000000001</v>
      </c>
      <c r="J821" s="205">
        <v>0.35487800000000003</v>
      </c>
      <c r="K821" s="205">
        <v>0.36702000000000001</v>
      </c>
      <c r="L821" s="205">
        <v>0.38123800000000002</v>
      </c>
      <c r="M821" s="205">
        <v>0.39169500000000002</v>
      </c>
      <c r="N821" s="205">
        <v>0.40658899999999998</v>
      </c>
      <c r="O821" s="205">
        <v>0.411414</v>
      </c>
      <c r="P821" s="205">
        <v>0.426537</v>
      </c>
      <c r="Q821" s="205">
        <v>0.43382199999999999</v>
      </c>
      <c r="R821" s="205">
        <v>0.45155400000000001</v>
      </c>
      <c r="S821" s="205">
        <v>0.47020299999999998</v>
      </c>
      <c r="T821" s="205">
        <v>0.48383900000000002</v>
      </c>
      <c r="U821" s="205">
        <v>0.49467</v>
      </c>
      <c r="V821" s="205">
        <v>0.50775899999999996</v>
      </c>
      <c r="W821" s="205">
        <v>0.52286999999999995</v>
      </c>
      <c r="X821" s="205">
        <v>0.53813800000000001</v>
      </c>
      <c r="Y821" s="205">
        <v>0.55597099999999999</v>
      </c>
      <c r="Z821" s="205">
        <v>0.56083799999999995</v>
      </c>
      <c r="AA821" s="205">
        <v>0.57489800000000002</v>
      </c>
      <c r="AB821" s="205">
        <v>0.58586400000000005</v>
      </c>
      <c r="AC821" s="205">
        <v>0.600518</v>
      </c>
      <c r="AD821" s="205">
        <v>0.61634199999999995</v>
      </c>
      <c r="AE821" s="205">
        <v>0.62701799999999996</v>
      </c>
      <c r="AF821" s="205">
        <v>0.63078400000000001</v>
      </c>
      <c r="AG821" s="205">
        <v>0.63648700000000002</v>
      </c>
      <c r="AH821" s="206">
        <v>3.2175000000000002E-2</v>
      </c>
    </row>
    <row r="823" spans="1:34" ht="15" customHeight="1" x14ac:dyDescent="0.2">
      <c r="B823" s="204" t="s">
        <v>1536</v>
      </c>
    </row>
    <row r="824" spans="1:34" ht="15" customHeight="1" x14ac:dyDescent="0.25">
      <c r="A824" s="213" t="s">
        <v>1666</v>
      </c>
      <c r="B824" s="294" t="s">
        <v>1538</v>
      </c>
      <c r="C824" s="297">
        <v>5958</v>
      </c>
      <c r="D824" s="297">
        <v>6244</v>
      </c>
      <c r="E824" s="297">
        <v>6198</v>
      </c>
      <c r="F824" s="297">
        <v>6187</v>
      </c>
      <c r="G824" s="297">
        <v>6176</v>
      </c>
      <c r="H824" s="297">
        <v>6165</v>
      </c>
      <c r="I824" s="297">
        <v>6153</v>
      </c>
      <c r="J824" s="297">
        <v>6142</v>
      </c>
      <c r="K824" s="297">
        <v>6130</v>
      </c>
      <c r="L824" s="297">
        <v>6118</v>
      </c>
      <c r="M824" s="297">
        <v>6107</v>
      </c>
      <c r="N824" s="297">
        <v>6095</v>
      </c>
      <c r="O824" s="297">
        <v>6083</v>
      </c>
      <c r="P824" s="297">
        <v>6071</v>
      </c>
      <c r="Q824" s="297">
        <v>6059</v>
      </c>
      <c r="R824" s="297">
        <v>6048</v>
      </c>
      <c r="S824" s="297">
        <v>6036</v>
      </c>
      <c r="T824" s="297">
        <v>6024</v>
      </c>
      <c r="U824" s="297">
        <v>6012</v>
      </c>
      <c r="V824" s="297">
        <v>6000</v>
      </c>
      <c r="W824" s="297">
        <v>5988</v>
      </c>
      <c r="X824" s="297">
        <v>5976</v>
      </c>
      <c r="Y824" s="297">
        <v>5964</v>
      </c>
      <c r="Z824" s="297">
        <v>5952</v>
      </c>
      <c r="AA824" s="297">
        <v>5940</v>
      </c>
      <c r="AB824" s="297">
        <v>5929</v>
      </c>
      <c r="AC824" s="297">
        <v>5917</v>
      </c>
      <c r="AD824" s="297">
        <v>5905</v>
      </c>
      <c r="AE824" s="297">
        <v>5893</v>
      </c>
      <c r="AF824" s="297">
        <v>5881</v>
      </c>
      <c r="AG824" s="297">
        <v>5869</v>
      </c>
      <c r="AH824" s="296">
        <v>-5.0199999999999995E-4</v>
      </c>
    </row>
    <row r="825" spans="1:34" ht="15" customHeight="1" x14ac:dyDescent="0.25">
      <c r="A825" s="213" t="s">
        <v>1667</v>
      </c>
      <c r="B825" s="294" t="s">
        <v>1540</v>
      </c>
      <c r="C825" s="297">
        <v>5371</v>
      </c>
      <c r="D825" s="297">
        <v>5595</v>
      </c>
      <c r="E825" s="297">
        <v>5569</v>
      </c>
      <c r="F825" s="297">
        <v>5558</v>
      </c>
      <c r="G825" s="297">
        <v>5548</v>
      </c>
      <c r="H825" s="297">
        <v>5538</v>
      </c>
      <c r="I825" s="297">
        <v>5528</v>
      </c>
      <c r="J825" s="297">
        <v>5517</v>
      </c>
      <c r="K825" s="297">
        <v>5507</v>
      </c>
      <c r="L825" s="297">
        <v>5497</v>
      </c>
      <c r="M825" s="297">
        <v>5487</v>
      </c>
      <c r="N825" s="297">
        <v>5477</v>
      </c>
      <c r="O825" s="297">
        <v>5467</v>
      </c>
      <c r="P825" s="297">
        <v>5457</v>
      </c>
      <c r="Q825" s="297">
        <v>5446</v>
      </c>
      <c r="R825" s="297">
        <v>5436</v>
      </c>
      <c r="S825" s="297">
        <v>5426</v>
      </c>
      <c r="T825" s="297">
        <v>5416</v>
      </c>
      <c r="U825" s="297">
        <v>5406</v>
      </c>
      <c r="V825" s="297">
        <v>5396</v>
      </c>
      <c r="W825" s="297">
        <v>5386</v>
      </c>
      <c r="X825" s="297">
        <v>5376</v>
      </c>
      <c r="Y825" s="297">
        <v>5366</v>
      </c>
      <c r="Z825" s="297">
        <v>5355</v>
      </c>
      <c r="AA825" s="297">
        <v>5345</v>
      </c>
      <c r="AB825" s="297">
        <v>5335</v>
      </c>
      <c r="AC825" s="297">
        <v>5325</v>
      </c>
      <c r="AD825" s="297">
        <v>5315</v>
      </c>
      <c r="AE825" s="297">
        <v>5305</v>
      </c>
      <c r="AF825" s="297">
        <v>5295</v>
      </c>
      <c r="AG825" s="297">
        <v>5285</v>
      </c>
      <c r="AH825" s="296">
        <v>-5.3799999999999996E-4</v>
      </c>
    </row>
    <row r="826" spans="1:34" ht="15" customHeight="1" x14ac:dyDescent="0.25">
      <c r="A826" s="213" t="s">
        <v>1668</v>
      </c>
      <c r="B826" s="294" t="s">
        <v>1542</v>
      </c>
      <c r="C826" s="297">
        <v>6000</v>
      </c>
      <c r="D826" s="297">
        <v>6217</v>
      </c>
      <c r="E826" s="297">
        <v>6172</v>
      </c>
      <c r="F826" s="297">
        <v>6167</v>
      </c>
      <c r="G826" s="297">
        <v>6163</v>
      </c>
      <c r="H826" s="297">
        <v>6159</v>
      </c>
      <c r="I826" s="297">
        <v>6155</v>
      </c>
      <c r="J826" s="297">
        <v>6151</v>
      </c>
      <c r="K826" s="297">
        <v>6147</v>
      </c>
      <c r="L826" s="297">
        <v>6143</v>
      </c>
      <c r="M826" s="297">
        <v>6138</v>
      </c>
      <c r="N826" s="297">
        <v>6134</v>
      </c>
      <c r="O826" s="297">
        <v>6130</v>
      </c>
      <c r="P826" s="297">
        <v>6126</v>
      </c>
      <c r="Q826" s="297">
        <v>6122</v>
      </c>
      <c r="R826" s="297">
        <v>6118</v>
      </c>
      <c r="S826" s="297">
        <v>6114</v>
      </c>
      <c r="T826" s="297">
        <v>6109</v>
      </c>
      <c r="U826" s="297">
        <v>6105</v>
      </c>
      <c r="V826" s="297">
        <v>6101</v>
      </c>
      <c r="W826" s="297">
        <v>6097</v>
      </c>
      <c r="X826" s="297">
        <v>6093</v>
      </c>
      <c r="Y826" s="297">
        <v>6089</v>
      </c>
      <c r="Z826" s="297">
        <v>6084</v>
      </c>
      <c r="AA826" s="297">
        <v>6080</v>
      </c>
      <c r="AB826" s="297">
        <v>6076</v>
      </c>
      <c r="AC826" s="297">
        <v>6072</v>
      </c>
      <c r="AD826" s="297">
        <v>6068</v>
      </c>
      <c r="AE826" s="297">
        <v>6064</v>
      </c>
      <c r="AF826" s="297">
        <v>6059</v>
      </c>
      <c r="AG826" s="297">
        <v>6055</v>
      </c>
      <c r="AH826" s="296">
        <v>3.0400000000000002E-4</v>
      </c>
    </row>
    <row r="827" spans="1:34" ht="15" customHeight="1" x14ac:dyDescent="0.25">
      <c r="A827" s="213" t="s">
        <v>1669</v>
      </c>
      <c r="B827" s="294" t="s">
        <v>1544</v>
      </c>
      <c r="C827" s="297">
        <v>6410</v>
      </c>
      <c r="D827" s="297">
        <v>6529</v>
      </c>
      <c r="E827" s="297">
        <v>6490</v>
      </c>
      <c r="F827" s="297">
        <v>6489</v>
      </c>
      <c r="G827" s="297">
        <v>6487</v>
      </c>
      <c r="H827" s="297">
        <v>6485</v>
      </c>
      <c r="I827" s="297">
        <v>6483</v>
      </c>
      <c r="J827" s="297">
        <v>6481</v>
      </c>
      <c r="K827" s="297">
        <v>6479</v>
      </c>
      <c r="L827" s="297">
        <v>6477</v>
      </c>
      <c r="M827" s="297">
        <v>6474</v>
      </c>
      <c r="N827" s="297">
        <v>6472</v>
      </c>
      <c r="O827" s="297">
        <v>6470</v>
      </c>
      <c r="P827" s="297">
        <v>6467</v>
      </c>
      <c r="Q827" s="297">
        <v>6465</v>
      </c>
      <c r="R827" s="297">
        <v>6462</v>
      </c>
      <c r="S827" s="297">
        <v>6459</v>
      </c>
      <c r="T827" s="297">
        <v>6457</v>
      </c>
      <c r="U827" s="297">
        <v>6454</v>
      </c>
      <c r="V827" s="297">
        <v>6451</v>
      </c>
      <c r="W827" s="297">
        <v>6449</v>
      </c>
      <c r="X827" s="297">
        <v>6446</v>
      </c>
      <c r="Y827" s="297">
        <v>6443</v>
      </c>
      <c r="Z827" s="297">
        <v>6440</v>
      </c>
      <c r="AA827" s="297">
        <v>6437</v>
      </c>
      <c r="AB827" s="297">
        <v>6434</v>
      </c>
      <c r="AC827" s="297">
        <v>6431</v>
      </c>
      <c r="AD827" s="297">
        <v>6428</v>
      </c>
      <c r="AE827" s="297">
        <v>6426</v>
      </c>
      <c r="AF827" s="297">
        <v>6423</v>
      </c>
      <c r="AG827" s="297">
        <v>6420</v>
      </c>
      <c r="AH827" s="296">
        <v>5.1999999999999997E-5</v>
      </c>
    </row>
    <row r="828" spans="1:34" ht="15" customHeight="1" x14ac:dyDescent="0.25">
      <c r="A828" s="213" t="s">
        <v>1670</v>
      </c>
      <c r="B828" s="294" t="s">
        <v>1546</v>
      </c>
      <c r="C828" s="297">
        <v>2335</v>
      </c>
      <c r="D828" s="297">
        <v>2486</v>
      </c>
      <c r="E828" s="297">
        <v>2520</v>
      </c>
      <c r="F828" s="297">
        <v>2511</v>
      </c>
      <c r="G828" s="297">
        <v>2503</v>
      </c>
      <c r="H828" s="297">
        <v>2495</v>
      </c>
      <c r="I828" s="297">
        <v>2487</v>
      </c>
      <c r="J828" s="297">
        <v>2479</v>
      </c>
      <c r="K828" s="297">
        <v>2471</v>
      </c>
      <c r="L828" s="297">
        <v>2463</v>
      </c>
      <c r="M828" s="297">
        <v>2455</v>
      </c>
      <c r="N828" s="297">
        <v>2448</v>
      </c>
      <c r="O828" s="297">
        <v>2440</v>
      </c>
      <c r="P828" s="297">
        <v>2432</v>
      </c>
      <c r="Q828" s="297">
        <v>2424</v>
      </c>
      <c r="R828" s="297">
        <v>2417</v>
      </c>
      <c r="S828" s="297">
        <v>2409</v>
      </c>
      <c r="T828" s="297">
        <v>2401</v>
      </c>
      <c r="U828" s="297">
        <v>2393</v>
      </c>
      <c r="V828" s="297">
        <v>2385</v>
      </c>
      <c r="W828" s="297">
        <v>2378</v>
      </c>
      <c r="X828" s="297">
        <v>2370</v>
      </c>
      <c r="Y828" s="297">
        <v>2362</v>
      </c>
      <c r="Z828" s="297">
        <v>2355</v>
      </c>
      <c r="AA828" s="297">
        <v>2347</v>
      </c>
      <c r="AB828" s="297">
        <v>2339</v>
      </c>
      <c r="AC828" s="297">
        <v>2332</v>
      </c>
      <c r="AD828" s="297">
        <v>2324</v>
      </c>
      <c r="AE828" s="297">
        <v>2316</v>
      </c>
      <c r="AF828" s="297">
        <v>2309</v>
      </c>
      <c r="AG828" s="297">
        <v>2301</v>
      </c>
      <c r="AH828" s="296">
        <v>-4.8899999999999996E-4</v>
      </c>
    </row>
    <row r="829" spans="1:34" ht="15" customHeight="1" x14ac:dyDescent="0.25">
      <c r="A829" s="213" t="s">
        <v>1671</v>
      </c>
      <c r="B829" s="294" t="s">
        <v>1548</v>
      </c>
      <c r="C829" s="297">
        <v>3119</v>
      </c>
      <c r="D829" s="297">
        <v>3304</v>
      </c>
      <c r="E829" s="297">
        <v>3319</v>
      </c>
      <c r="F829" s="297">
        <v>3314</v>
      </c>
      <c r="G829" s="297">
        <v>3310</v>
      </c>
      <c r="H829" s="297">
        <v>3306</v>
      </c>
      <c r="I829" s="297">
        <v>3302</v>
      </c>
      <c r="J829" s="297">
        <v>3297</v>
      </c>
      <c r="K829" s="297">
        <v>3293</v>
      </c>
      <c r="L829" s="297">
        <v>3288</v>
      </c>
      <c r="M829" s="297">
        <v>3284</v>
      </c>
      <c r="N829" s="297">
        <v>3280</v>
      </c>
      <c r="O829" s="297">
        <v>3275</v>
      </c>
      <c r="P829" s="297">
        <v>3271</v>
      </c>
      <c r="Q829" s="297">
        <v>3266</v>
      </c>
      <c r="R829" s="297">
        <v>3262</v>
      </c>
      <c r="S829" s="297">
        <v>3257</v>
      </c>
      <c r="T829" s="297">
        <v>3252</v>
      </c>
      <c r="U829" s="297">
        <v>3248</v>
      </c>
      <c r="V829" s="297">
        <v>3243</v>
      </c>
      <c r="W829" s="297">
        <v>3238</v>
      </c>
      <c r="X829" s="297">
        <v>3234</v>
      </c>
      <c r="Y829" s="297">
        <v>3229</v>
      </c>
      <c r="Z829" s="297">
        <v>3224</v>
      </c>
      <c r="AA829" s="297">
        <v>3220</v>
      </c>
      <c r="AB829" s="297">
        <v>3215</v>
      </c>
      <c r="AC829" s="297">
        <v>3210</v>
      </c>
      <c r="AD829" s="297">
        <v>3206</v>
      </c>
      <c r="AE829" s="297">
        <v>3201</v>
      </c>
      <c r="AF829" s="297">
        <v>3196</v>
      </c>
      <c r="AG829" s="297">
        <v>3191</v>
      </c>
      <c r="AH829" s="296">
        <v>7.6099999999999996E-4</v>
      </c>
    </row>
    <row r="830" spans="1:34" ht="15" customHeight="1" x14ac:dyDescent="0.25">
      <c r="A830" s="213" t="s">
        <v>1672</v>
      </c>
      <c r="B830" s="294" t="s">
        <v>1550</v>
      </c>
      <c r="C830" s="297">
        <v>1829</v>
      </c>
      <c r="D830" s="297">
        <v>1910</v>
      </c>
      <c r="E830" s="297">
        <v>2015</v>
      </c>
      <c r="F830" s="297">
        <v>2009</v>
      </c>
      <c r="G830" s="297">
        <v>2004</v>
      </c>
      <c r="H830" s="297">
        <v>1999</v>
      </c>
      <c r="I830" s="297">
        <v>1994</v>
      </c>
      <c r="J830" s="297">
        <v>1988</v>
      </c>
      <c r="K830" s="297">
        <v>1983</v>
      </c>
      <c r="L830" s="297">
        <v>1978</v>
      </c>
      <c r="M830" s="297">
        <v>1973</v>
      </c>
      <c r="N830" s="297">
        <v>1967</v>
      </c>
      <c r="O830" s="297">
        <v>1962</v>
      </c>
      <c r="P830" s="297">
        <v>1957</v>
      </c>
      <c r="Q830" s="297">
        <v>1952</v>
      </c>
      <c r="R830" s="297">
        <v>1947</v>
      </c>
      <c r="S830" s="297">
        <v>1942</v>
      </c>
      <c r="T830" s="297">
        <v>1937</v>
      </c>
      <c r="U830" s="297">
        <v>1932</v>
      </c>
      <c r="V830" s="297">
        <v>1927</v>
      </c>
      <c r="W830" s="297">
        <v>1922</v>
      </c>
      <c r="X830" s="297">
        <v>1917</v>
      </c>
      <c r="Y830" s="297">
        <v>1912</v>
      </c>
      <c r="Z830" s="297">
        <v>1907</v>
      </c>
      <c r="AA830" s="297">
        <v>1902</v>
      </c>
      <c r="AB830" s="297">
        <v>1897</v>
      </c>
      <c r="AC830" s="297">
        <v>1892</v>
      </c>
      <c r="AD830" s="297">
        <v>1887</v>
      </c>
      <c r="AE830" s="297">
        <v>1882</v>
      </c>
      <c r="AF830" s="297">
        <v>1877</v>
      </c>
      <c r="AG830" s="297">
        <v>1873</v>
      </c>
      <c r="AH830" s="296">
        <v>7.9299999999999998E-4</v>
      </c>
    </row>
    <row r="831" spans="1:34" ht="15" customHeight="1" x14ac:dyDescent="0.25">
      <c r="A831" s="213" t="s">
        <v>1673</v>
      </c>
      <c r="B831" s="294" t="s">
        <v>1552</v>
      </c>
      <c r="C831" s="297">
        <v>4810</v>
      </c>
      <c r="D831" s="297">
        <v>4802</v>
      </c>
      <c r="E831" s="297">
        <v>4793</v>
      </c>
      <c r="F831" s="297">
        <v>4780</v>
      </c>
      <c r="G831" s="297">
        <v>4768</v>
      </c>
      <c r="H831" s="297">
        <v>4755</v>
      </c>
      <c r="I831" s="297">
        <v>4742</v>
      </c>
      <c r="J831" s="297">
        <v>4730</v>
      </c>
      <c r="K831" s="297">
        <v>4717</v>
      </c>
      <c r="L831" s="297">
        <v>4704</v>
      </c>
      <c r="M831" s="297">
        <v>4691</v>
      </c>
      <c r="N831" s="297">
        <v>4678</v>
      </c>
      <c r="O831" s="297">
        <v>4664</v>
      </c>
      <c r="P831" s="297">
        <v>4651</v>
      </c>
      <c r="Q831" s="297">
        <v>4638</v>
      </c>
      <c r="R831" s="297">
        <v>4624</v>
      </c>
      <c r="S831" s="297">
        <v>4611</v>
      </c>
      <c r="T831" s="297">
        <v>4597</v>
      </c>
      <c r="U831" s="297">
        <v>4584</v>
      </c>
      <c r="V831" s="297">
        <v>4570</v>
      </c>
      <c r="W831" s="297">
        <v>4557</v>
      </c>
      <c r="X831" s="297">
        <v>4543</v>
      </c>
      <c r="Y831" s="297">
        <v>4530</v>
      </c>
      <c r="Z831" s="297">
        <v>4517</v>
      </c>
      <c r="AA831" s="297">
        <v>4503</v>
      </c>
      <c r="AB831" s="297">
        <v>4490</v>
      </c>
      <c r="AC831" s="297">
        <v>4476</v>
      </c>
      <c r="AD831" s="297">
        <v>4463</v>
      </c>
      <c r="AE831" s="297">
        <v>4450</v>
      </c>
      <c r="AF831" s="297">
        <v>4436</v>
      </c>
      <c r="AG831" s="297">
        <v>4423</v>
      </c>
      <c r="AH831" s="296">
        <v>-2.7920000000000002E-3</v>
      </c>
    </row>
    <row r="832" spans="1:34" ht="15" customHeight="1" x14ac:dyDescent="0.25">
      <c r="A832" s="213" t="s">
        <v>1674</v>
      </c>
      <c r="B832" s="294" t="s">
        <v>668</v>
      </c>
      <c r="C832" s="297">
        <v>3335</v>
      </c>
      <c r="D832" s="297">
        <v>3363</v>
      </c>
      <c r="E832" s="297">
        <v>3253</v>
      </c>
      <c r="F832" s="297">
        <v>3243</v>
      </c>
      <c r="G832" s="297">
        <v>3232</v>
      </c>
      <c r="H832" s="297">
        <v>3222</v>
      </c>
      <c r="I832" s="297">
        <v>3212</v>
      </c>
      <c r="J832" s="297">
        <v>3201</v>
      </c>
      <c r="K832" s="297">
        <v>3191</v>
      </c>
      <c r="L832" s="297">
        <v>3180</v>
      </c>
      <c r="M832" s="297">
        <v>3169</v>
      </c>
      <c r="N832" s="297">
        <v>3159</v>
      </c>
      <c r="O832" s="297">
        <v>3148</v>
      </c>
      <c r="P832" s="297">
        <v>3137</v>
      </c>
      <c r="Q832" s="297">
        <v>3126</v>
      </c>
      <c r="R832" s="297">
        <v>3116</v>
      </c>
      <c r="S832" s="297">
        <v>3105</v>
      </c>
      <c r="T832" s="297">
        <v>3094</v>
      </c>
      <c r="U832" s="297">
        <v>3083</v>
      </c>
      <c r="V832" s="297">
        <v>3072</v>
      </c>
      <c r="W832" s="297">
        <v>3061</v>
      </c>
      <c r="X832" s="297">
        <v>3050</v>
      </c>
      <c r="Y832" s="297">
        <v>3039</v>
      </c>
      <c r="Z832" s="297">
        <v>3028</v>
      </c>
      <c r="AA832" s="297">
        <v>3017</v>
      </c>
      <c r="AB832" s="297">
        <v>3005</v>
      </c>
      <c r="AC832" s="297">
        <v>2994</v>
      </c>
      <c r="AD832" s="297">
        <v>2983</v>
      </c>
      <c r="AE832" s="297">
        <v>2972</v>
      </c>
      <c r="AF832" s="297">
        <v>2961</v>
      </c>
      <c r="AG832" s="297">
        <v>2950</v>
      </c>
      <c r="AH832" s="296">
        <v>-4.0810000000000004E-3</v>
      </c>
    </row>
    <row r="833" spans="1:34" ht="15" customHeight="1" x14ac:dyDescent="0.2">
      <c r="A833" s="213" t="s">
        <v>1675</v>
      </c>
      <c r="B833" s="204" t="s">
        <v>1555</v>
      </c>
      <c r="C833" s="299">
        <v>3994.5471189999998</v>
      </c>
      <c r="D833" s="299">
        <v>4123.486328</v>
      </c>
      <c r="E833" s="299">
        <v>4106.1538090000004</v>
      </c>
      <c r="F833" s="299">
        <v>4092.9008789999998</v>
      </c>
      <c r="G833" s="299">
        <v>4080.1918949999999</v>
      </c>
      <c r="H833" s="299">
        <v>4067.608154</v>
      </c>
      <c r="I833" s="299">
        <v>4055.0151369999999</v>
      </c>
      <c r="J833" s="299">
        <v>4042.108643</v>
      </c>
      <c r="K833" s="299">
        <v>4029.5825199999999</v>
      </c>
      <c r="L833" s="299">
        <v>4016.8515619999998</v>
      </c>
      <c r="M833" s="299">
        <v>4004.033203</v>
      </c>
      <c r="N833" s="299">
        <v>3991.616211</v>
      </c>
      <c r="O833" s="299">
        <v>3978.8229980000001</v>
      </c>
      <c r="P833" s="299">
        <v>3966.1135250000002</v>
      </c>
      <c r="Q833" s="299">
        <v>3953.3046880000002</v>
      </c>
      <c r="R833" s="299">
        <v>3940.9418949999999</v>
      </c>
      <c r="S833" s="299">
        <v>3928.1752929999998</v>
      </c>
      <c r="T833" s="299">
        <v>3915.2416990000002</v>
      </c>
      <c r="U833" s="299">
        <v>3902.5</v>
      </c>
      <c r="V833" s="299">
        <v>3889.59375</v>
      </c>
      <c r="W833" s="299">
        <v>3877.0180660000001</v>
      </c>
      <c r="X833" s="299">
        <v>3864.1130370000001</v>
      </c>
      <c r="Y833" s="299">
        <v>3851.210693</v>
      </c>
      <c r="Z833" s="299">
        <v>3838.2595209999999</v>
      </c>
      <c r="AA833" s="299">
        <v>3825.2751459999999</v>
      </c>
      <c r="AB833" s="299">
        <v>3812.1760250000002</v>
      </c>
      <c r="AC833" s="299">
        <v>3799.3579100000002</v>
      </c>
      <c r="AD833" s="299">
        <v>3786.5341800000001</v>
      </c>
      <c r="AE833" s="299">
        <v>3773.8266600000002</v>
      </c>
      <c r="AF833" s="299">
        <v>3761.2253420000002</v>
      </c>
      <c r="AG833" s="299">
        <v>3748.8479000000002</v>
      </c>
      <c r="AH833" s="206">
        <v>-2.114E-3</v>
      </c>
    </row>
    <row r="835" spans="1:34" ht="15" customHeight="1" x14ac:dyDescent="0.2">
      <c r="B835" s="204" t="s">
        <v>1556</v>
      </c>
    </row>
    <row r="836" spans="1:34" ht="15" customHeight="1" x14ac:dyDescent="0.25">
      <c r="A836" s="213" t="s">
        <v>1676</v>
      </c>
      <c r="B836" s="294" t="s">
        <v>1538</v>
      </c>
      <c r="C836" s="297">
        <v>652</v>
      </c>
      <c r="D836" s="297">
        <v>505</v>
      </c>
      <c r="E836" s="297">
        <v>579</v>
      </c>
      <c r="F836" s="297">
        <v>584</v>
      </c>
      <c r="G836" s="297">
        <v>590</v>
      </c>
      <c r="H836" s="297">
        <v>596</v>
      </c>
      <c r="I836" s="297">
        <v>602</v>
      </c>
      <c r="J836" s="297">
        <v>608</v>
      </c>
      <c r="K836" s="297">
        <v>614</v>
      </c>
      <c r="L836" s="297">
        <v>620</v>
      </c>
      <c r="M836" s="297">
        <v>626</v>
      </c>
      <c r="N836" s="297">
        <v>632</v>
      </c>
      <c r="O836" s="297">
        <v>638</v>
      </c>
      <c r="P836" s="297">
        <v>644</v>
      </c>
      <c r="Q836" s="297">
        <v>650</v>
      </c>
      <c r="R836" s="297">
        <v>656</v>
      </c>
      <c r="S836" s="297">
        <v>662</v>
      </c>
      <c r="T836" s="297">
        <v>668</v>
      </c>
      <c r="U836" s="297">
        <v>674</v>
      </c>
      <c r="V836" s="297">
        <v>680</v>
      </c>
      <c r="W836" s="297">
        <v>686</v>
      </c>
      <c r="X836" s="297">
        <v>692</v>
      </c>
      <c r="Y836" s="297">
        <v>698</v>
      </c>
      <c r="Z836" s="297">
        <v>704</v>
      </c>
      <c r="AA836" s="297">
        <v>710</v>
      </c>
      <c r="AB836" s="297">
        <v>716</v>
      </c>
      <c r="AC836" s="297">
        <v>723</v>
      </c>
      <c r="AD836" s="297">
        <v>729</v>
      </c>
      <c r="AE836" s="297">
        <v>735</v>
      </c>
      <c r="AF836" s="297">
        <v>741</v>
      </c>
      <c r="AG836" s="297">
        <v>747</v>
      </c>
      <c r="AH836" s="296">
        <v>4.5440000000000003E-3</v>
      </c>
    </row>
    <row r="837" spans="1:34" ht="15" customHeight="1" x14ac:dyDescent="0.25">
      <c r="A837" s="213" t="s">
        <v>1677</v>
      </c>
      <c r="B837" s="294" t="s">
        <v>1540</v>
      </c>
      <c r="C837" s="297">
        <v>840</v>
      </c>
      <c r="D837" s="297">
        <v>706</v>
      </c>
      <c r="E837" s="297">
        <v>826</v>
      </c>
      <c r="F837" s="297">
        <v>834</v>
      </c>
      <c r="G837" s="297">
        <v>842</v>
      </c>
      <c r="H837" s="297">
        <v>850</v>
      </c>
      <c r="I837" s="297">
        <v>858</v>
      </c>
      <c r="J837" s="297">
        <v>867</v>
      </c>
      <c r="K837" s="297">
        <v>875</v>
      </c>
      <c r="L837" s="297">
        <v>883</v>
      </c>
      <c r="M837" s="297">
        <v>891</v>
      </c>
      <c r="N837" s="297">
        <v>899</v>
      </c>
      <c r="O837" s="297">
        <v>907</v>
      </c>
      <c r="P837" s="297">
        <v>916</v>
      </c>
      <c r="Q837" s="297">
        <v>924</v>
      </c>
      <c r="R837" s="297">
        <v>932</v>
      </c>
      <c r="S837" s="297">
        <v>940</v>
      </c>
      <c r="T837" s="297">
        <v>948</v>
      </c>
      <c r="U837" s="297">
        <v>956</v>
      </c>
      <c r="V837" s="297">
        <v>965</v>
      </c>
      <c r="W837" s="297">
        <v>973</v>
      </c>
      <c r="X837" s="297">
        <v>981</v>
      </c>
      <c r="Y837" s="297">
        <v>989</v>
      </c>
      <c r="Z837" s="297">
        <v>997</v>
      </c>
      <c r="AA837" s="297">
        <v>1005</v>
      </c>
      <c r="AB837" s="297">
        <v>1014</v>
      </c>
      <c r="AC837" s="297">
        <v>1022</v>
      </c>
      <c r="AD837" s="297">
        <v>1030</v>
      </c>
      <c r="AE837" s="297">
        <v>1038</v>
      </c>
      <c r="AF837" s="297">
        <v>1046</v>
      </c>
      <c r="AG837" s="297">
        <v>1054</v>
      </c>
      <c r="AH837" s="296">
        <v>7.5940000000000001E-3</v>
      </c>
    </row>
    <row r="838" spans="1:34" ht="15" customHeight="1" x14ac:dyDescent="0.25">
      <c r="A838" s="213" t="s">
        <v>1678</v>
      </c>
      <c r="B838" s="294" t="s">
        <v>1542</v>
      </c>
      <c r="C838" s="297">
        <v>831</v>
      </c>
      <c r="D838" s="297">
        <v>767</v>
      </c>
      <c r="E838" s="297">
        <v>857</v>
      </c>
      <c r="F838" s="297">
        <v>864</v>
      </c>
      <c r="G838" s="297">
        <v>870</v>
      </c>
      <c r="H838" s="297">
        <v>876</v>
      </c>
      <c r="I838" s="297">
        <v>882</v>
      </c>
      <c r="J838" s="297">
        <v>889</v>
      </c>
      <c r="K838" s="297">
        <v>895</v>
      </c>
      <c r="L838" s="297">
        <v>901</v>
      </c>
      <c r="M838" s="297">
        <v>907</v>
      </c>
      <c r="N838" s="297">
        <v>914</v>
      </c>
      <c r="O838" s="297">
        <v>920</v>
      </c>
      <c r="P838" s="297">
        <v>926</v>
      </c>
      <c r="Q838" s="297">
        <v>932</v>
      </c>
      <c r="R838" s="297">
        <v>939</v>
      </c>
      <c r="S838" s="297">
        <v>945</v>
      </c>
      <c r="T838" s="297">
        <v>951</v>
      </c>
      <c r="U838" s="297">
        <v>958</v>
      </c>
      <c r="V838" s="297">
        <v>964</v>
      </c>
      <c r="W838" s="297">
        <v>970</v>
      </c>
      <c r="X838" s="297">
        <v>976</v>
      </c>
      <c r="Y838" s="297">
        <v>983</v>
      </c>
      <c r="Z838" s="297">
        <v>989</v>
      </c>
      <c r="AA838" s="297">
        <v>995</v>
      </c>
      <c r="AB838" s="297">
        <v>1002</v>
      </c>
      <c r="AC838" s="297">
        <v>1008</v>
      </c>
      <c r="AD838" s="297">
        <v>1014</v>
      </c>
      <c r="AE838" s="297">
        <v>1021</v>
      </c>
      <c r="AF838" s="297">
        <v>1027</v>
      </c>
      <c r="AG838" s="297">
        <v>1033</v>
      </c>
      <c r="AH838" s="296">
        <v>7.28E-3</v>
      </c>
    </row>
    <row r="839" spans="1:34" ht="15" customHeight="1" x14ac:dyDescent="0.25">
      <c r="A839" s="213" t="s">
        <v>1679</v>
      </c>
      <c r="B839" s="294" t="s">
        <v>1544</v>
      </c>
      <c r="C839" s="297">
        <v>975</v>
      </c>
      <c r="D839" s="297">
        <v>956</v>
      </c>
      <c r="E839" s="297">
        <v>1035</v>
      </c>
      <c r="F839" s="297">
        <v>1040</v>
      </c>
      <c r="G839" s="297">
        <v>1046</v>
      </c>
      <c r="H839" s="297">
        <v>1051</v>
      </c>
      <c r="I839" s="297">
        <v>1057</v>
      </c>
      <c r="J839" s="297">
        <v>1062</v>
      </c>
      <c r="K839" s="297">
        <v>1068</v>
      </c>
      <c r="L839" s="297">
        <v>1074</v>
      </c>
      <c r="M839" s="297">
        <v>1079</v>
      </c>
      <c r="N839" s="297">
        <v>1085</v>
      </c>
      <c r="O839" s="297">
        <v>1091</v>
      </c>
      <c r="P839" s="297">
        <v>1096</v>
      </c>
      <c r="Q839" s="297">
        <v>1102</v>
      </c>
      <c r="R839" s="297">
        <v>1108</v>
      </c>
      <c r="S839" s="297">
        <v>1114</v>
      </c>
      <c r="T839" s="297">
        <v>1119</v>
      </c>
      <c r="U839" s="297">
        <v>1125</v>
      </c>
      <c r="V839" s="297">
        <v>1131</v>
      </c>
      <c r="W839" s="297">
        <v>1137</v>
      </c>
      <c r="X839" s="297">
        <v>1142</v>
      </c>
      <c r="Y839" s="297">
        <v>1148</v>
      </c>
      <c r="Z839" s="297">
        <v>1154</v>
      </c>
      <c r="AA839" s="297">
        <v>1160</v>
      </c>
      <c r="AB839" s="297">
        <v>1166</v>
      </c>
      <c r="AC839" s="297">
        <v>1171</v>
      </c>
      <c r="AD839" s="297">
        <v>1177</v>
      </c>
      <c r="AE839" s="297">
        <v>1183</v>
      </c>
      <c r="AF839" s="297">
        <v>1189</v>
      </c>
      <c r="AG839" s="297">
        <v>1195</v>
      </c>
      <c r="AH839" s="296">
        <v>6.8050000000000003E-3</v>
      </c>
    </row>
    <row r="840" spans="1:34" ht="15" customHeight="1" x14ac:dyDescent="0.25">
      <c r="A840" s="213" t="s">
        <v>1680</v>
      </c>
      <c r="B840" s="294" t="s">
        <v>1546</v>
      </c>
      <c r="C840" s="297">
        <v>2274</v>
      </c>
      <c r="D840" s="297">
        <v>2219</v>
      </c>
      <c r="E840" s="297">
        <v>2359</v>
      </c>
      <c r="F840" s="297">
        <v>2373</v>
      </c>
      <c r="G840" s="297">
        <v>2388</v>
      </c>
      <c r="H840" s="297">
        <v>2402</v>
      </c>
      <c r="I840" s="297">
        <v>2417</v>
      </c>
      <c r="J840" s="297">
        <v>2431</v>
      </c>
      <c r="K840" s="297">
        <v>2445</v>
      </c>
      <c r="L840" s="297">
        <v>2460</v>
      </c>
      <c r="M840" s="297">
        <v>2474</v>
      </c>
      <c r="N840" s="297">
        <v>2488</v>
      </c>
      <c r="O840" s="297">
        <v>2503</v>
      </c>
      <c r="P840" s="297">
        <v>2517</v>
      </c>
      <c r="Q840" s="297">
        <v>2531</v>
      </c>
      <c r="R840" s="297">
        <v>2546</v>
      </c>
      <c r="S840" s="297">
        <v>2560</v>
      </c>
      <c r="T840" s="297">
        <v>2575</v>
      </c>
      <c r="U840" s="297">
        <v>2589</v>
      </c>
      <c r="V840" s="297">
        <v>2603</v>
      </c>
      <c r="W840" s="297">
        <v>2618</v>
      </c>
      <c r="X840" s="297">
        <v>2632</v>
      </c>
      <c r="Y840" s="297">
        <v>2647</v>
      </c>
      <c r="Z840" s="297">
        <v>2661</v>
      </c>
      <c r="AA840" s="297">
        <v>2676</v>
      </c>
      <c r="AB840" s="297">
        <v>2690</v>
      </c>
      <c r="AC840" s="297">
        <v>2705</v>
      </c>
      <c r="AD840" s="297">
        <v>2719</v>
      </c>
      <c r="AE840" s="297">
        <v>2734</v>
      </c>
      <c r="AF840" s="297">
        <v>2748</v>
      </c>
      <c r="AG840" s="297">
        <v>2763</v>
      </c>
      <c r="AH840" s="296">
        <v>6.5139999999999998E-3</v>
      </c>
    </row>
    <row r="841" spans="1:34" ht="15" customHeight="1" x14ac:dyDescent="0.25">
      <c r="A841" s="213" t="s">
        <v>1681</v>
      </c>
      <c r="B841" s="294" t="s">
        <v>1548</v>
      </c>
      <c r="C841" s="297">
        <v>1623</v>
      </c>
      <c r="D841" s="297">
        <v>1710</v>
      </c>
      <c r="E841" s="297">
        <v>1808</v>
      </c>
      <c r="F841" s="297">
        <v>1818</v>
      </c>
      <c r="G841" s="297">
        <v>1828</v>
      </c>
      <c r="H841" s="297">
        <v>1838</v>
      </c>
      <c r="I841" s="297">
        <v>1848</v>
      </c>
      <c r="J841" s="297">
        <v>1858</v>
      </c>
      <c r="K841" s="297">
        <v>1868</v>
      </c>
      <c r="L841" s="297">
        <v>1878</v>
      </c>
      <c r="M841" s="297">
        <v>1888</v>
      </c>
      <c r="N841" s="297">
        <v>1898</v>
      </c>
      <c r="O841" s="297">
        <v>1909</v>
      </c>
      <c r="P841" s="297">
        <v>1919</v>
      </c>
      <c r="Q841" s="297">
        <v>1929</v>
      </c>
      <c r="R841" s="297">
        <v>1939</v>
      </c>
      <c r="S841" s="297">
        <v>1949</v>
      </c>
      <c r="T841" s="297">
        <v>1959</v>
      </c>
      <c r="U841" s="297">
        <v>1969</v>
      </c>
      <c r="V841" s="297">
        <v>1980</v>
      </c>
      <c r="W841" s="297">
        <v>1990</v>
      </c>
      <c r="X841" s="297">
        <v>2000</v>
      </c>
      <c r="Y841" s="297">
        <v>2010</v>
      </c>
      <c r="Z841" s="297">
        <v>2020</v>
      </c>
      <c r="AA841" s="297">
        <v>2031</v>
      </c>
      <c r="AB841" s="297">
        <v>2041</v>
      </c>
      <c r="AC841" s="297">
        <v>2051</v>
      </c>
      <c r="AD841" s="297">
        <v>2061</v>
      </c>
      <c r="AE841" s="297">
        <v>2071</v>
      </c>
      <c r="AF841" s="297">
        <v>2082</v>
      </c>
      <c r="AG841" s="297">
        <v>2092</v>
      </c>
      <c r="AH841" s="296">
        <v>8.4969999999999993E-3</v>
      </c>
    </row>
    <row r="842" spans="1:34" ht="15" customHeight="1" x14ac:dyDescent="0.25">
      <c r="A842" s="213" t="s">
        <v>1682</v>
      </c>
      <c r="B842" s="294" t="s">
        <v>1550</v>
      </c>
      <c r="C842" s="297">
        <v>2730</v>
      </c>
      <c r="D842" s="297">
        <v>2770</v>
      </c>
      <c r="E842" s="297">
        <v>2861</v>
      </c>
      <c r="F842" s="297">
        <v>2875</v>
      </c>
      <c r="G842" s="297">
        <v>2889</v>
      </c>
      <c r="H842" s="297">
        <v>2904</v>
      </c>
      <c r="I842" s="297">
        <v>2918</v>
      </c>
      <c r="J842" s="297">
        <v>2932</v>
      </c>
      <c r="K842" s="297">
        <v>2947</v>
      </c>
      <c r="L842" s="297">
        <v>2961</v>
      </c>
      <c r="M842" s="297">
        <v>2976</v>
      </c>
      <c r="N842" s="297">
        <v>2990</v>
      </c>
      <c r="O842" s="297">
        <v>3004</v>
      </c>
      <c r="P842" s="297">
        <v>3018</v>
      </c>
      <c r="Q842" s="297">
        <v>3033</v>
      </c>
      <c r="R842" s="297">
        <v>3047</v>
      </c>
      <c r="S842" s="297">
        <v>3061</v>
      </c>
      <c r="T842" s="297">
        <v>3076</v>
      </c>
      <c r="U842" s="297">
        <v>3090</v>
      </c>
      <c r="V842" s="297">
        <v>3104</v>
      </c>
      <c r="W842" s="297">
        <v>3119</v>
      </c>
      <c r="X842" s="297">
        <v>3133</v>
      </c>
      <c r="Y842" s="297">
        <v>3147</v>
      </c>
      <c r="Z842" s="297">
        <v>3161</v>
      </c>
      <c r="AA842" s="297">
        <v>3176</v>
      </c>
      <c r="AB842" s="297">
        <v>3190</v>
      </c>
      <c r="AC842" s="297">
        <v>3204</v>
      </c>
      <c r="AD842" s="297">
        <v>3218</v>
      </c>
      <c r="AE842" s="297">
        <v>3233</v>
      </c>
      <c r="AF842" s="297">
        <v>3247</v>
      </c>
      <c r="AG842" s="297">
        <v>3261</v>
      </c>
      <c r="AH842" s="296">
        <v>5.9420000000000002E-3</v>
      </c>
    </row>
    <row r="843" spans="1:34" ht="15" customHeight="1" x14ac:dyDescent="0.25">
      <c r="A843" s="213" t="s">
        <v>1683</v>
      </c>
      <c r="B843" s="294" t="s">
        <v>1552</v>
      </c>
      <c r="C843" s="297">
        <v>1639</v>
      </c>
      <c r="D843" s="297">
        <v>1471</v>
      </c>
      <c r="E843" s="297">
        <v>1560</v>
      </c>
      <c r="F843" s="297">
        <v>1568</v>
      </c>
      <c r="G843" s="297">
        <v>1577</v>
      </c>
      <c r="H843" s="297">
        <v>1586</v>
      </c>
      <c r="I843" s="297">
        <v>1595</v>
      </c>
      <c r="J843" s="297">
        <v>1604</v>
      </c>
      <c r="K843" s="297">
        <v>1613</v>
      </c>
      <c r="L843" s="297">
        <v>1622</v>
      </c>
      <c r="M843" s="297">
        <v>1631</v>
      </c>
      <c r="N843" s="297">
        <v>1641</v>
      </c>
      <c r="O843" s="297">
        <v>1650</v>
      </c>
      <c r="P843" s="297">
        <v>1659</v>
      </c>
      <c r="Q843" s="297">
        <v>1668</v>
      </c>
      <c r="R843" s="297">
        <v>1678</v>
      </c>
      <c r="S843" s="297">
        <v>1687</v>
      </c>
      <c r="T843" s="297">
        <v>1697</v>
      </c>
      <c r="U843" s="297">
        <v>1706</v>
      </c>
      <c r="V843" s="297">
        <v>1715</v>
      </c>
      <c r="W843" s="297">
        <v>1725</v>
      </c>
      <c r="X843" s="297">
        <v>1734</v>
      </c>
      <c r="Y843" s="297">
        <v>1744</v>
      </c>
      <c r="Z843" s="297">
        <v>1753</v>
      </c>
      <c r="AA843" s="297">
        <v>1763</v>
      </c>
      <c r="AB843" s="297">
        <v>1772</v>
      </c>
      <c r="AC843" s="297">
        <v>1782</v>
      </c>
      <c r="AD843" s="297">
        <v>1791</v>
      </c>
      <c r="AE843" s="297">
        <v>1801</v>
      </c>
      <c r="AF843" s="297">
        <v>1810</v>
      </c>
      <c r="AG843" s="297">
        <v>1820</v>
      </c>
      <c r="AH843" s="296">
        <v>3.4979999999999998E-3</v>
      </c>
    </row>
    <row r="844" spans="1:34" ht="15" customHeight="1" x14ac:dyDescent="0.25">
      <c r="A844" s="213" t="s">
        <v>1684</v>
      </c>
      <c r="B844" s="294" t="s">
        <v>668</v>
      </c>
      <c r="C844" s="297">
        <v>1012</v>
      </c>
      <c r="D844" s="297">
        <v>840</v>
      </c>
      <c r="E844" s="297">
        <v>963</v>
      </c>
      <c r="F844" s="297">
        <v>969</v>
      </c>
      <c r="G844" s="297">
        <v>975</v>
      </c>
      <c r="H844" s="297">
        <v>982</v>
      </c>
      <c r="I844" s="297">
        <v>988</v>
      </c>
      <c r="J844" s="297">
        <v>994</v>
      </c>
      <c r="K844" s="297">
        <v>1001</v>
      </c>
      <c r="L844" s="297">
        <v>1007</v>
      </c>
      <c r="M844" s="297">
        <v>1013</v>
      </c>
      <c r="N844" s="297">
        <v>1020</v>
      </c>
      <c r="O844" s="297">
        <v>1026</v>
      </c>
      <c r="P844" s="297">
        <v>1032</v>
      </c>
      <c r="Q844" s="297">
        <v>1039</v>
      </c>
      <c r="R844" s="297">
        <v>1045</v>
      </c>
      <c r="S844" s="297">
        <v>1052</v>
      </c>
      <c r="T844" s="297">
        <v>1058</v>
      </c>
      <c r="U844" s="297">
        <v>1065</v>
      </c>
      <c r="V844" s="297">
        <v>1071</v>
      </c>
      <c r="W844" s="297">
        <v>1078</v>
      </c>
      <c r="X844" s="297">
        <v>1084</v>
      </c>
      <c r="Y844" s="297">
        <v>1091</v>
      </c>
      <c r="Z844" s="297">
        <v>1097</v>
      </c>
      <c r="AA844" s="297">
        <v>1104</v>
      </c>
      <c r="AB844" s="297">
        <v>1110</v>
      </c>
      <c r="AC844" s="297">
        <v>1117</v>
      </c>
      <c r="AD844" s="297">
        <v>1123</v>
      </c>
      <c r="AE844" s="297">
        <v>1130</v>
      </c>
      <c r="AF844" s="297">
        <v>1136</v>
      </c>
      <c r="AG844" s="297">
        <v>1143</v>
      </c>
      <c r="AH844" s="296">
        <v>4.0660000000000002E-3</v>
      </c>
    </row>
    <row r="845" spans="1:34" ht="15" customHeight="1" x14ac:dyDescent="0.2">
      <c r="A845" s="213" t="s">
        <v>1685</v>
      </c>
      <c r="B845" s="204" t="s">
        <v>1555</v>
      </c>
      <c r="C845" s="299">
        <v>1496.4417719999999</v>
      </c>
      <c r="D845" s="299">
        <v>1423.084351</v>
      </c>
      <c r="E845" s="299">
        <v>1533.780518</v>
      </c>
      <c r="F845" s="299">
        <v>1545.432861</v>
      </c>
      <c r="G845" s="299">
        <v>1557.3450929999999</v>
      </c>
      <c r="H845" s="299">
        <v>1569.296509</v>
      </c>
      <c r="I845" s="299">
        <v>1581.2326660000001</v>
      </c>
      <c r="J845" s="299">
        <v>1593.1649170000001</v>
      </c>
      <c r="K845" s="299">
        <v>1605.2078859999999</v>
      </c>
      <c r="L845" s="299">
        <v>1617.1710210000001</v>
      </c>
      <c r="M845" s="299">
        <v>1629.009888</v>
      </c>
      <c r="N845" s="299">
        <v>1641.1838379999999</v>
      </c>
      <c r="O845" s="299">
        <v>1653.26001</v>
      </c>
      <c r="P845" s="299">
        <v>1665.1435550000001</v>
      </c>
      <c r="Q845" s="299">
        <v>1677.2926030000001</v>
      </c>
      <c r="R845" s="299">
        <v>1689.587524</v>
      </c>
      <c r="S845" s="299">
        <v>1701.6491699999999</v>
      </c>
      <c r="T845" s="299">
        <v>1713.928101</v>
      </c>
      <c r="U845" s="299">
        <v>1726.156616</v>
      </c>
      <c r="V845" s="299">
        <v>1738.2735600000001</v>
      </c>
      <c r="W845" s="299">
        <v>1750.842529</v>
      </c>
      <c r="X845" s="299">
        <v>1762.7661129999999</v>
      </c>
      <c r="Y845" s="299">
        <v>1775.36499</v>
      </c>
      <c r="Z845" s="299">
        <v>1787.387939</v>
      </c>
      <c r="AA845" s="299">
        <v>1800.091797</v>
      </c>
      <c r="AB845" s="299">
        <v>1812.380737</v>
      </c>
      <c r="AC845" s="299">
        <v>1824.8900149999999</v>
      </c>
      <c r="AD845" s="299">
        <v>1836.9436040000001</v>
      </c>
      <c r="AE845" s="299">
        <v>1849.7070309999999</v>
      </c>
      <c r="AF845" s="299">
        <v>1861.689087</v>
      </c>
      <c r="AG845" s="299">
        <v>1874.0201420000001</v>
      </c>
      <c r="AH845" s="206">
        <v>7.528E-3</v>
      </c>
    </row>
    <row r="846" spans="1:34" ht="15" customHeight="1" thickBot="1" x14ac:dyDescent="0.25"/>
    <row r="847" spans="1:34" ht="15" customHeight="1" x14ac:dyDescent="0.2">
      <c r="B847" s="305" t="s">
        <v>1567</v>
      </c>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c r="AD847" s="305"/>
      <c r="AE847" s="305"/>
      <c r="AF847" s="305"/>
      <c r="AG847" s="305"/>
      <c r="AH847" s="305"/>
    </row>
    <row r="848" spans="1:34" ht="15" customHeight="1" x14ac:dyDescent="0.2">
      <c r="B848" s="208" t="s">
        <v>1568</v>
      </c>
    </row>
    <row r="849" spans="2:2" ht="15" customHeight="1" x14ac:dyDescent="0.2">
      <c r="B849" s="208" t="s">
        <v>1686</v>
      </c>
    </row>
    <row r="850" spans="2:2" ht="15" customHeight="1" x14ac:dyDescent="0.2">
      <c r="B850" s="208" t="s">
        <v>1687</v>
      </c>
    </row>
    <row r="851" spans="2:2" ht="15" customHeight="1" x14ac:dyDescent="0.2">
      <c r="B851" s="208" t="s">
        <v>1688</v>
      </c>
    </row>
    <row r="852" spans="2:2" ht="15" customHeight="1" x14ac:dyDescent="0.2">
      <c r="B852" s="208" t="s">
        <v>1689</v>
      </c>
    </row>
    <row r="853" spans="2:2" ht="15" customHeight="1" x14ac:dyDescent="0.2">
      <c r="B853" s="208" t="s">
        <v>1690</v>
      </c>
    </row>
    <row r="854" spans="2:2" ht="15" customHeight="1" x14ac:dyDescent="0.2">
      <c r="B854" s="208" t="s">
        <v>1691</v>
      </c>
    </row>
    <row r="855" spans="2:2" ht="15" customHeight="1" x14ac:dyDescent="0.2">
      <c r="B855" s="208" t="s">
        <v>1692</v>
      </c>
    </row>
    <row r="856" spans="2:2" ht="15" customHeight="1" x14ac:dyDescent="0.2">
      <c r="B856" s="208" t="s">
        <v>1693</v>
      </c>
    </row>
    <row r="857" spans="2:2" ht="15" customHeight="1" x14ac:dyDescent="0.2">
      <c r="B857" s="208" t="s">
        <v>1694</v>
      </c>
    </row>
    <row r="858" spans="2:2" ht="15" customHeight="1" x14ac:dyDescent="0.2">
      <c r="B858" s="208" t="s">
        <v>1695</v>
      </c>
    </row>
    <row r="859" spans="2:2" ht="15" customHeight="1" x14ac:dyDescent="0.2">
      <c r="B859" s="208" t="s">
        <v>1696</v>
      </c>
    </row>
    <row r="860" spans="2:2" ht="15" customHeight="1" x14ac:dyDescent="0.2">
      <c r="B860" s="208" t="s">
        <v>1697</v>
      </c>
    </row>
    <row r="861" spans="2:2" ht="15" customHeight="1" x14ac:dyDescent="0.2">
      <c r="B861" s="208" t="s">
        <v>616</v>
      </c>
    </row>
    <row r="862" spans="2:2" ht="15" customHeight="1" x14ac:dyDescent="0.2">
      <c r="B862" s="208" t="s">
        <v>601</v>
      </c>
    </row>
    <row r="863" spans="2:2" ht="15" customHeight="1" x14ac:dyDescent="0.2">
      <c r="B863" s="208" t="s">
        <v>614</v>
      </c>
    </row>
    <row r="864" spans="2:2" ht="15" customHeight="1" x14ac:dyDescent="0.2">
      <c r="B864" s="208" t="s">
        <v>1030</v>
      </c>
    </row>
    <row r="865" spans="2:2" ht="15" customHeight="1" x14ac:dyDescent="0.2">
      <c r="B865" s="208" t="s">
        <v>1031</v>
      </c>
    </row>
    <row r="910" spans="1:34" ht="15" customHeight="1" x14ac:dyDescent="0.25">
      <c r="A910" s="213" t="s">
        <v>1698</v>
      </c>
      <c r="B910" s="202" t="s">
        <v>1014</v>
      </c>
      <c r="AH910" s="292" t="s">
        <v>597</v>
      </c>
    </row>
    <row r="911" spans="1:34" ht="15" customHeight="1" x14ac:dyDescent="0.2">
      <c r="B911" s="199" t="s">
        <v>124</v>
      </c>
      <c r="AH911" s="292" t="s">
        <v>598</v>
      </c>
    </row>
    <row r="912" spans="1:34" ht="15" customHeight="1" x14ac:dyDescent="0.2">
      <c r="B912" s="199" t="s">
        <v>124</v>
      </c>
      <c r="C912" s="222" t="s">
        <v>124</v>
      </c>
      <c r="D912" s="222" t="s">
        <v>124</v>
      </c>
      <c r="E912" s="222" t="s">
        <v>124</v>
      </c>
      <c r="F912" s="222" t="s">
        <v>124</v>
      </c>
      <c r="G912" s="222" t="s">
        <v>124</v>
      </c>
      <c r="H912" s="222" t="s">
        <v>124</v>
      </c>
      <c r="I912" s="222" t="s">
        <v>124</v>
      </c>
      <c r="J912" s="222" t="s">
        <v>124</v>
      </c>
      <c r="K912" s="222" t="s">
        <v>124</v>
      </c>
      <c r="L912" s="222" t="s">
        <v>124</v>
      </c>
      <c r="M912" s="222" t="s">
        <v>124</v>
      </c>
      <c r="N912" s="222" t="s">
        <v>124</v>
      </c>
      <c r="O912" s="222" t="s">
        <v>124</v>
      </c>
      <c r="P912" s="222" t="s">
        <v>124</v>
      </c>
      <c r="Q912" s="222" t="s">
        <v>124</v>
      </c>
      <c r="R912" s="222" t="s">
        <v>124</v>
      </c>
      <c r="S912" s="222" t="s">
        <v>124</v>
      </c>
      <c r="T912" s="222" t="s">
        <v>124</v>
      </c>
      <c r="U912" s="222" t="s">
        <v>124</v>
      </c>
      <c r="V912" s="222" t="s">
        <v>124</v>
      </c>
      <c r="W912" s="222" t="s">
        <v>124</v>
      </c>
      <c r="X912" s="222" t="s">
        <v>124</v>
      </c>
      <c r="Y912" s="222" t="s">
        <v>124</v>
      </c>
      <c r="Z912" s="222" t="s">
        <v>124</v>
      </c>
      <c r="AA912" s="222" t="s">
        <v>124</v>
      </c>
      <c r="AB912" s="222" t="s">
        <v>124</v>
      </c>
      <c r="AC912" s="222" t="s">
        <v>124</v>
      </c>
      <c r="AD912" s="222" t="s">
        <v>124</v>
      </c>
      <c r="AE912" s="222" t="s">
        <v>124</v>
      </c>
      <c r="AF912" s="222" t="s">
        <v>124</v>
      </c>
      <c r="AG912" s="222" t="s">
        <v>124</v>
      </c>
      <c r="AH912" s="292" t="s">
        <v>599</v>
      </c>
    </row>
    <row r="913" spans="1:34" ht="15" customHeight="1" thickBot="1" x14ac:dyDescent="0.25">
      <c r="B913" s="200" t="s">
        <v>1699</v>
      </c>
      <c r="C913" s="200">
        <v>2020</v>
      </c>
      <c r="D913" s="200">
        <v>2021</v>
      </c>
      <c r="E913" s="200">
        <v>2022</v>
      </c>
      <c r="F913" s="200">
        <v>2023</v>
      </c>
      <c r="G913" s="200">
        <v>2024</v>
      </c>
      <c r="H913" s="200">
        <v>2025</v>
      </c>
      <c r="I913" s="200">
        <v>2026</v>
      </c>
      <c r="J913" s="200">
        <v>2027</v>
      </c>
      <c r="K913" s="200">
        <v>2028</v>
      </c>
      <c r="L913" s="200">
        <v>2029</v>
      </c>
      <c r="M913" s="200">
        <v>2030</v>
      </c>
      <c r="N913" s="200">
        <v>2031</v>
      </c>
      <c r="O913" s="200">
        <v>2032</v>
      </c>
      <c r="P913" s="200">
        <v>2033</v>
      </c>
      <c r="Q913" s="200">
        <v>2034</v>
      </c>
      <c r="R913" s="200">
        <v>2035</v>
      </c>
      <c r="S913" s="200">
        <v>2036</v>
      </c>
      <c r="T913" s="200">
        <v>2037</v>
      </c>
      <c r="U913" s="200">
        <v>2038</v>
      </c>
      <c r="V913" s="200">
        <v>2039</v>
      </c>
      <c r="W913" s="200">
        <v>2040</v>
      </c>
      <c r="X913" s="200">
        <v>2041</v>
      </c>
      <c r="Y913" s="200">
        <v>2042</v>
      </c>
      <c r="Z913" s="200">
        <v>2043</v>
      </c>
      <c r="AA913" s="200">
        <v>2044</v>
      </c>
      <c r="AB913" s="200">
        <v>2045</v>
      </c>
      <c r="AC913" s="200">
        <v>2046</v>
      </c>
      <c r="AD913" s="200">
        <v>2047</v>
      </c>
      <c r="AE913" s="200">
        <v>2048</v>
      </c>
      <c r="AF913" s="200">
        <v>2049</v>
      </c>
      <c r="AG913" s="200">
        <v>2050</v>
      </c>
      <c r="AH913" s="293" t="s">
        <v>600</v>
      </c>
    </row>
    <row r="914" spans="1:34" ht="15" customHeight="1" thickTop="1" x14ac:dyDescent="0.2"/>
    <row r="915" spans="1:34" ht="15" customHeight="1" x14ac:dyDescent="0.2">
      <c r="B915" s="204" t="s">
        <v>1700</v>
      </c>
    </row>
    <row r="916" spans="1:34" ht="15" customHeight="1" x14ac:dyDescent="0.2">
      <c r="B916" s="204" t="s">
        <v>1701</v>
      </c>
    </row>
    <row r="917" spans="1:34" ht="15" customHeight="1" x14ac:dyDescent="0.25">
      <c r="A917" s="213" t="s">
        <v>1702</v>
      </c>
      <c r="B917" s="294" t="s">
        <v>1703</v>
      </c>
      <c r="C917" s="297">
        <v>5632.4243159999996</v>
      </c>
      <c r="D917" s="297">
        <v>5859.4262699999999</v>
      </c>
      <c r="E917" s="297">
        <v>6075.013672</v>
      </c>
      <c r="F917" s="297">
        <v>6144.8349609999996</v>
      </c>
      <c r="G917" s="297">
        <v>6233.0458980000003</v>
      </c>
      <c r="H917" s="297">
        <v>6347.3276370000003</v>
      </c>
      <c r="I917" s="297">
        <v>6433.3715819999998</v>
      </c>
      <c r="J917" s="297">
        <v>6519.5380859999996</v>
      </c>
      <c r="K917" s="297">
        <v>6596.7719729999999</v>
      </c>
      <c r="L917" s="297">
        <v>6669.9731449999999</v>
      </c>
      <c r="M917" s="297">
        <v>6753.1552730000003</v>
      </c>
      <c r="N917" s="297">
        <v>6849.3515619999998</v>
      </c>
      <c r="O917" s="297">
        <v>6940.2329099999997</v>
      </c>
      <c r="P917" s="297">
        <v>7034.5639650000003</v>
      </c>
      <c r="Q917" s="297">
        <v>7144.2402339999999</v>
      </c>
      <c r="R917" s="297">
        <v>7255.2788090000004</v>
      </c>
      <c r="S917" s="297">
        <v>7355.7954099999997</v>
      </c>
      <c r="T917" s="297">
        <v>7455.5224609999996</v>
      </c>
      <c r="U917" s="297">
        <v>7566.0058589999999</v>
      </c>
      <c r="V917" s="297">
        <v>7674.3642579999996</v>
      </c>
      <c r="W917" s="297">
        <v>7772.2055659999996</v>
      </c>
      <c r="X917" s="297">
        <v>7889.404297</v>
      </c>
      <c r="Y917" s="297">
        <v>8025.2822269999997</v>
      </c>
      <c r="Z917" s="297">
        <v>8162.5097660000001</v>
      </c>
      <c r="AA917" s="297">
        <v>8288.2021480000003</v>
      </c>
      <c r="AB917" s="297">
        <v>8411.0429690000001</v>
      </c>
      <c r="AC917" s="297">
        <v>8530.0986329999996</v>
      </c>
      <c r="AD917" s="297">
        <v>8646.8212889999995</v>
      </c>
      <c r="AE917" s="297">
        <v>8773.4619139999995</v>
      </c>
      <c r="AF917" s="297">
        <v>8911.7294920000004</v>
      </c>
      <c r="AG917" s="297">
        <v>9051.3544920000004</v>
      </c>
      <c r="AH917" s="296">
        <v>1.5938000000000001E-2</v>
      </c>
    </row>
    <row r="918" spans="1:34" ht="15" customHeight="1" x14ac:dyDescent="0.25">
      <c r="A918" s="213" t="s">
        <v>1704</v>
      </c>
      <c r="B918" s="294" t="s">
        <v>1705</v>
      </c>
      <c r="C918" s="297">
        <v>2535.2312010000001</v>
      </c>
      <c r="D918" s="297">
        <v>2514.7272950000001</v>
      </c>
      <c r="E918" s="297">
        <v>2568.984375</v>
      </c>
      <c r="F918" s="297">
        <v>2640.0727539999998</v>
      </c>
      <c r="G918" s="297">
        <v>2703.6303710000002</v>
      </c>
      <c r="H918" s="297">
        <v>2773.2055660000001</v>
      </c>
      <c r="I918" s="297">
        <v>2824.5664059999999</v>
      </c>
      <c r="J918" s="297">
        <v>2857.7973630000001</v>
      </c>
      <c r="K918" s="297">
        <v>2888.7934570000002</v>
      </c>
      <c r="L918" s="297">
        <v>2919.4584960000002</v>
      </c>
      <c r="M918" s="297">
        <v>2953.5615229999999</v>
      </c>
      <c r="N918" s="297">
        <v>2990.8901369999999</v>
      </c>
      <c r="O918" s="297">
        <v>3025.6076659999999</v>
      </c>
      <c r="P918" s="297">
        <v>3062.7897950000001</v>
      </c>
      <c r="Q918" s="297">
        <v>3101.2829590000001</v>
      </c>
      <c r="R918" s="297">
        <v>3136.6499020000001</v>
      </c>
      <c r="S918" s="297">
        <v>3164.9951169999999</v>
      </c>
      <c r="T918" s="297">
        <v>3193.390625</v>
      </c>
      <c r="U918" s="297">
        <v>3228.7590329999998</v>
      </c>
      <c r="V918" s="297">
        <v>3264.7329100000002</v>
      </c>
      <c r="W918" s="297">
        <v>3303.8872070000002</v>
      </c>
      <c r="X918" s="297">
        <v>3346.8552249999998</v>
      </c>
      <c r="Y918" s="297">
        <v>3394.2790530000002</v>
      </c>
      <c r="Z918" s="297">
        <v>3449.6367190000001</v>
      </c>
      <c r="AA918" s="297">
        <v>3505.944336</v>
      </c>
      <c r="AB918" s="297">
        <v>3555.8930660000001</v>
      </c>
      <c r="AC918" s="297">
        <v>3608.5346679999998</v>
      </c>
      <c r="AD918" s="297">
        <v>3658.5590820000002</v>
      </c>
      <c r="AE918" s="297">
        <v>3711.4052729999999</v>
      </c>
      <c r="AF918" s="297">
        <v>3767.0834960000002</v>
      </c>
      <c r="AG918" s="297">
        <v>3822.2192380000001</v>
      </c>
      <c r="AH918" s="296">
        <v>1.3779E-2</v>
      </c>
    </row>
    <row r="919" spans="1:34" ht="15" customHeight="1" x14ac:dyDescent="0.2">
      <c r="A919" s="213" t="s">
        <v>1706</v>
      </c>
      <c r="B919" s="204" t="s">
        <v>179</v>
      </c>
      <c r="C919" s="299">
        <v>8167.6552730000003</v>
      </c>
      <c r="D919" s="299">
        <v>8374.1533199999994</v>
      </c>
      <c r="E919" s="299">
        <v>8643.9980469999991</v>
      </c>
      <c r="F919" s="299">
        <v>8784.9082030000009</v>
      </c>
      <c r="G919" s="299">
        <v>8936.6757809999999</v>
      </c>
      <c r="H919" s="299">
        <v>9120.5332030000009</v>
      </c>
      <c r="I919" s="299">
        <v>9257.9375</v>
      </c>
      <c r="J919" s="299">
        <v>9377.3359380000002</v>
      </c>
      <c r="K919" s="299">
        <v>9485.5654300000006</v>
      </c>
      <c r="L919" s="299">
        <v>9589.4316409999992</v>
      </c>
      <c r="M919" s="299">
        <v>9706.7167969999991</v>
      </c>
      <c r="N919" s="299">
        <v>9840.2421880000002</v>
      </c>
      <c r="O919" s="299">
        <v>9965.8408199999994</v>
      </c>
      <c r="P919" s="299">
        <v>10097.353515999999</v>
      </c>
      <c r="Q919" s="299">
        <v>10245.523438</v>
      </c>
      <c r="R919" s="299">
        <v>10391.928711</v>
      </c>
      <c r="S919" s="299">
        <v>10520.791015999999</v>
      </c>
      <c r="T919" s="299">
        <v>10648.913086</v>
      </c>
      <c r="U919" s="299">
        <v>10794.764648</v>
      </c>
      <c r="V919" s="299">
        <v>10939.097656</v>
      </c>
      <c r="W919" s="299">
        <v>11076.092773</v>
      </c>
      <c r="X919" s="299">
        <v>11236.259765999999</v>
      </c>
      <c r="Y919" s="299">
        <v>11419.561523</v>
      </c>
      <c r="Z919" s="299">
        <v>11612.146484000001</v>
      </c>
      <c r="AA919" s="299">
        <v>11794.146484000001</v>
      </c>
      <c r="AB919" s="299">
        <v>11966.935546999999</v>
      </c>
      <c r="AC919" s="299">
        <v>12138.632812</v>
      </c>
      <c r="AD919" s="299">
        <v>12305.380859000001</v>
      </c>
      <c r="AE919" s="299">
        <v>12484.867188</v>
      </c>
      <c r="AF919" s="299">
        <v>12678.8125</v>
      </c>
      <c r="AG919" s="299">
        <v>12873.574219</v>
      </c>
      <c r="AH919" s="206">
        <v>1.5282E-2</v>
      </c>
    </row>
    <row r="921" spans="1:34" ht="15" customHeight="1" x14ac:dyDescent="0.2">
      <c r="B921" s="204" t="s">
        <v>1707</v>
      </c>
    </row>
    <row r="922" spans="1:34" ht="15" customHeight="1" x14ac:dyDescent="0.2">
      <c r="B922" s="204" t="s">
        <v>1708</v>
      </c>
    </row>
    <row r="923" spans="1:34" ht="15" customHeight="1" x14ac:dyDescent="0.25">
      <c r="A923" s="213" t="s">
        <v>1709</v>
      </c>
      <c r="B923" s="294" t="s">
        <v>1036</v>
      </c>
      <c r="C923" s="295">
        <v>7.6224270000000001</v>
      </c>
      <c r="D923" s="295">
        <v>8.5728740000000005</v>
      </c>
      <c r="E923" s="295">
        <v>9.2753320000000006</v>
      </c>
      <c r="F923" s="295">
        <v>9.54481</v>
      </c>
      <c r="G923" s="295">
        <v>9.9572979999999998</v>
      </c>
      <c r="H923" s="295">
        <v>10.382115000000001</v>
      </c>
      <c r="I923" s="295">
        <v>10.717040000000001</v>
      </c>
      <c r="J923" s="295">
        <v>10.928203</v>
      </c>
      <c r="K923" s="295">
        <v>11.351072</v>
      </c>
      <c r="L923" s="295">
        <v>11.568662</v>
      </c>
      <c r="M923" s="295">
        <v>11.846738999999999</v>
      </c>
      <c r="N923" s="295">
        <v>12.065503</v>
      </c>
      <c r="O923" s="295">
        <v>12.359942</v>
      </c>
      <c r="P923" s="295">
        <v>12.563041</v>
      </c>
      <c r="Q923" s="295">
        <v>12.713467</v>
      </c>
      <c r="R923" s="295">
        <v>12.861796</v>
      </c>
      <c r="S923" s="295">
        <v>13.053260999999999</v>
      </c>
      <c r="T923" s="295">
        <v>13.222058000000001</v>
      </c>
      <c r="U923" s="295">
        <v>13.435862999999999</v>
      </c>
      <c r="V923" s="295">
        <v>13.574801000000001</v>
      </c>
      <c r="W923" s="295">
        <v>13.826199000000001</v>
      </c>
      <c r="X923" s="295">
        <v>14.054221</v>
      </c>
      <c r="Y923" s="295">
        <v>14.177619999999999</v>
      </c>
      <c r="Z923" s="295">
        <v>14.382066999999999</v>
      </c>
      <c r="AA923" s="295">
        <v>14.501739000000001</v>
      </c>
      <c r="AB923" s="295">
        <v>14.471138</v>
      </c>
      <c r="AC923" s="295">
        <v>14.718584999999999</v>
      </c>
      <c r="AD923" s="295">
        <v>14.936582</v>
      </c>
      <c r="AE923" s="295">
        <v>15.034656999999999</v>
      </c>
      <c r="AF923" s="295">
        <v>15.134816000000001</v>
      </c>
      <c r="AG923" s="295">
        <v>15.236333999999999</v>
      </c>
      <c r="AH923" s="296">
        <v>2.3355000000000001E-2</v>
      </c>
    </row>
    <row r="924" spans="1:34" ht="15" customHeight="1" x14ac:dyDescent="0.25">
      <c r="A924" s="213" t="s">
        <v>1710</v>
      </c>
      <c r="B924" s="294" t="s">
        <v>1711</v>
      </c>
      <c r="C924" s="295">
        <v>18.424187</v>
      </c>
      <c r="D924" s="295">
        <v>19.304932000000001</v>
      </c>
      <c r="E924" s="295">
        <v>19.721308000000001</v>
      </c>
      <c r="F924" s="295">
        <v>20.284586000000001</v>
      </c>
      <c r="G924" s="295">
        <v>20.388779</v>
      </c>
      <c r="H924" s="295">
        <v>20.790296999999999</v>
      </c>
      <c r="I924" s="295">
        <v>21.017537999999998</v>
      </c>
      <c r="J924" s="295">
        <v>21.261351000000001</v>
      </c>
      <c r="K924" s="295">
        <v>21.800277999999999</v>
      </c>
      <c r="L924" s="295">
        <v>22.166836</v>
      </c>
      <c r="M924" s="295">
        <v>22.855803000000002</v>
      </c>
      <c r="N924" s="295">
        <v>22.961462000000001</v>
      </c>
      <c r="O924" s="295">
        <v>23.388504000000001</v>
      </c>
      <c r="P924" s="295">
        <v>23.574311999999999</v>
      </c>
      <c r="Q924" s="295">
        <v>23.899173999999999</v>
      </c>
      <c r="R924" s="295">
        <v>24.091304999999998</v>
      </c>
      <c r="S924" s="295">
        <v>24.409025</v>
      </c>
      <c r="T924" s="295">
        <v>24.675117</v>
      </c>
      <c r="U924" s="295">
        <v>25.009478000000001</v>
      </c>
      <c r="V924" s="295">
        <v>25.053673</v>
      </c>
      <c r="W924" s="295">
        <v>25.498653000000001</v>
      </c>
      <c r="X924" s="295">
        <v>25.745985000000001</v>
      </c>
      <c r="Y924" s="295">
        <v>25.913754999999998</v>
      </c>
      <c r="Z924" s="295">
        <v>26.08193</v>
      </c>
      <c r="AA924" s="295">
        <v>26.181910999999999</v>
      </c>
      <c r="AB924" s="295">
        <v>26.023540000000001</v>
      </c>
      <c r="AC924" s="295">
        <v>26.388172000000001</v>
      </c>
      <c r="AD924" s="295">
        <v>26.507299</v>
      </c>
      <c r="AE924" s="295">
        <v>26.615283999999999</v>
      </c>
      <c r="AF924" s="295">
        <v>26.574722000000001</v>
      </c>
      <c r="AG924" s="295">
        <v>26.603404999999999</v>
      </c>
      <c r="AH924" s="296">
        <v>1.2321E-2</v>
      </c>
    </row>
    <row r="925" spans="1:34" ht="15" customHeight="1" x14ac:dyDescent="0.25">
      <c r="A925" s="213" t="s">
        <v>1712</v>
      </c>
      <c r="B925" s="294" t="s">
        <v>1058</v>
      </c>
      <c r="C925" s="295">
        <v>17.750848999999999</v>
      </c>
      <c r="D925" s="295">
        <v>17.783930000000002</v>
      </c>
      <c r="E925" s="295">
        <v>17.956678</v>
      </c>
      <c r="F925" s="295">
        <v>18.814810000000001</v>
      </c>
      <c r="G925" s="295">
        <v>18.897867000000002</v>
      </c>
      <c r="H925" s="295">
        <v>18.761683000000001</v>
      </c>
      <c r="I925" s="295">
        <v>18.553094999999999</v>
      </c>
      <c r="J925" s="295">
        <v>18.850301999999999</v>
      </c>
      <c r="K925" s="295">
        <v>19.324498999999999</v>
      </c>
      <c r="L925" s="295">
        <v>19.549272999999999</v>
      </c>
      <c r="M925" s="295">
        <v>19.956367</v>
      </c>
      <c r="N925" s="295">
        <v>20.183392999999999</v>
      </c>
      <c r="O925" s="295">
        <v>20.460177999999999</v>
      </c>
      <c r="P925" s="295">
        <v>20.598799</v>
      </c>
      <c r="Q925" s="295">
        <v>20.723047000000001</v>
      </c>
      <c r="R925" s="295">
        <v>20.838035999999999</v>
      </c>
      <c r="S925" s="295">
        <v>20.919165</v>
      </c>
      <c r="T925" s="295">
        <v>21.182859000000001</v>
      </c>
      <c r="U925" s="295">
        <v>21.403994000000001</v>
      </c>
      <c r="V925" s="295">
        <v>21.402145000000001</v>
      </c>
      <c r="W925" s="295">
        <v>21.807596</v>
      </c>
      <c r="X925" s="295">
        <v>22.042513</v>
      </c>
      <c r="Y925" s="295">
        <v>22.186398000000001</v>
      </c>
      <c r="Z925" s="295">
        <v>22.451678999999999</v>
      </c>
      <c r="AA925" s="295">
        <v>22.459719</v>
      </c>
      <c r="AB925" s="295">
        <v>22.483221</v>
      </c>
      <c r="AC925" s="295">
        <v>22.790527000000001</v>
      </c>
      <c r="AD925" s="295">
        <v>22.923496</v>
      </c>
      <c r="AE925" s="295">
        <v>22.915863000000002</v>
      </c>
      <c r="AF925" s="295">
        <v>23.036384999999999</v>
      </c>
      <c r="AG925" s="295">
        <v>23.011987999999999</v>
      </c>
      <c r="AH925" s="296">
        <v>8.6899999999999998E-3</v>
      </c>
    </row>
    <row r="926" spans="1:34" ht="15" customHeight="1" x14ac:dyDescent="0.25">
      <c r="A926" s="213" t="s">
        <v>1713</v>
      </c>
      <c r="B926" s="294" t="s">
        <v>1060</v>
      </c>
      <c r="C926" s="295">
        <v>5.4227220000000003</v>
      </c>
      <c r="D926" s="295">
        <v>4.4307449999999999</v>
      </c>
      <c r="E926" s="295">
        <v>5.8522499999999997</v>
      </c>
      <c r="F926" s="295">
        <v>7.7520530000000001</v>
      </c>
      <c r="G926" s="295">
        <v>9.2132869999999993</v>
      </c>
      <c r="H926" s="295">
        <v>10.559336999999999</v>
      </c>
      <c r="I926" s="295">
        <v>11.804924</v>
      </c>
      <c r="J926" s="295">
        <v>12.129104</v>
      </c>
      <c r="K926" s="295">
        <v>12.551246000000001</v>
      </c>
      <c r="L926" s="295">
        <v>12.806289</v>
      </c>
      <c r="M926" s="295">
        <v>13.190077</v>
      </c>
      <c r="N926" s="295">
        <v>13.426761000000001</v>
      </c>
      <c r="O926" s="295">
        <v>13.69956</v>
      </c>
      <c r="P926" s="295">
        <v>13.87435</v>
      </c>
      <c r="Q926" s="295">
        <v>13.987534</v>
      </c>
      <c r="R926" s="295">
        <v>14.116496</v>
      </c>
      <c r="S926" s="295">
        <v>14.157347</v>
      </c>
      <c r="T926" s="295">
        <v>14.139758</v>
      </c>
      <c r="U926" s="295">
        <v>14.396801999999999</v>
      </c>
      <c r="V926" s="295">
        <v>14.405290000000001</v>
      </c>
      <c r="W926" s="295">
        <v>15.138901000000001</v>
      </c>
      <c r="X926" s="295">
        <v>15.37872</v>
      </c>
      <c r="Y926" s="295">
        <v>15.529366</v>
      </c>
      <c r="Z926" s="295">
        <v>15.713333</v>
      </c>
      <c r="AA926" s="295">
        <v>15.829058</v>
      </c>
      <c r="AB926" s="295">
        <v>15.835978000000001</v>
      </c>
      <c r="AC926" s="295">
        <v>16.011714999999999</v>
      </c>
      <c r="AD926" s="295">
        <v>16.137794</v>
      </c>
      <c r="AE926" s="295">
        <v>16.218719</v>
      </c>
      <c r="AF926" s="295">
        <v>16.321145999999999</v>
      </c>
      <c r="AG926" s="295">
        <v>16.417200000000001</v>
      </c>
      <c r="AH926" s="296">
        <v>3.7615000000000003E-2</v>
      </c>
    </row>
    <row r="927" spans="1:34" ht="15" customHeight="1" x14ac:dyDescent="0.25">
      <c r="A927" s="213" t="s">
        <v>1714</v>
      </c>
      <c r="B927" s="294" t="s">
        <v>1715</v>
      </c>
      <c r="C927" s="295">
        <v>4.7083649999999997</v>
      </c>
      <c r="D927" s="295">
        <v>5.40137</v>
      </c>
      <c r="E927" s="295">
        <v>5.8722390000000004</v>
      </c>
      <c r="F927" s="295">
        <v>6.6359110000000001</v>
      </c>
      <c r="G927" s="295">
        <v>7.067329</v>
      </c>
      <c r="H927" s="295">
        <v>7.4153310000000001</v>
      </c>
      <c r="I927" s="295">
        <v>7.7291410000000003</v>
      </c>
      <c r="J927" s="295">
        <v>7.9537519999999997</v>
      </c>
      <c r="K927" s="295">
        <v>8.2729900000000001</v>
      </c>
      <c r="L927" s="295">
        <v>8.4330839999999991</v>
      </c>
      <c r="M927" s="295">
        <v>8.6847759999999994</v>
      </c>
      <c r="N927" s="295">
        <v>8.8265919999999998</v>
      </c>
      <c r="O927" s="295">
        <v>9.0081969999999991</v>
      </c>
      <c r="P927" s="295">
        <v>9.1519750000000002</v>
      </c>
      <c r="Q927" s="295">
        <v>9.2522690000000001</v>
      </c>
      <c r="R927" s="295">
        <v>9.3449519999999993</v>
      </c>
      <c r="S927" s="295">
        <v>9.3415060000000008</v>
      </c>
      <c r="T927" s="295">
        <v>9.2501470000000001</v>
      </c>
      <c r="U927" s="295">
        <v>9.4565049999999999</v>
      </c>
      <c r="V927" s="295">
        <v>9.4563659999999992</v>
      </c>
      <c r="W927" s="295">
        <v>9.974577</v>
      </c>
      <c r="X927" s="295">
        <v>10.126473000000001</v>
      </c>
      <c r="Y927" s="295">
        <v>10.301788999999999</v>
      </c>
      <c r="Z927" s="295">
        <v>10.543492000000001</v>
      </c>
      <c r="AA927" s="295">
        <v>10.603932</v>
      </c>
      <c r="AB927" s="295">
        <v>10.590635000000001</v>
      </c>
      <c r="AC927" s="295">
        <v>10.799987</v>
      </c>
      <c r="AD927" s="295">
        <v>10.889998</v>
      </c>
      <c r="AE927" s="295">
        <v>10.909207</v>
      </c>
      <c r="AF927" s="295">
        <v>10.967134</v>
      </c>
      <c r="AG927" s="295">
        <v>10.980169999999999</v>
      </c>
      <c r="AH927" s="296">
        <v>2.8627E-2</v>
      </c>
    </row>
    <row r="928" spans="1:34" ht="15" customHeight="1" x14ac:dyDescent="0.25">
      <c r="A928" s="213" t="s">
        <v>1716</v>
      </c>
      <c r="B928" s="294" t="s">
        <v>1717</v>
      </c>
      <c r="C928" s="295">
        <v>3.0361419999999999</v>
      </c>
      <c r="D928" s="295">
        <v>3.981833</v>
      </c>
      <c r="E928" s="295">
        <v>4.1547539999999996</v>
      </c>
      <c r="F928" s="295">
        <v>3.932677</v>
      </c>
      <c r="G928" s="295">
        <v>3.7220059999999999</v>
      </c>
      <c r="H928" s="295">
        <v>3.7834789999999998</v>
      </c>
      <c r="I928" s="295">
        <v>3.8793099999999998</v>
      </c>
      <c r="J928" s="295">
        <v>3.941424</v>
      </c>
      <c r="K928" s="295">
        <v>4.0643200000000004</v>
      </c>
      <c r="L928" s="295">
        <v>4.1765489999999996</v>
      </c>
      <c r="M928" s="295">
        <v>4.199236</v>
      </c>
      <c r="N928" s="295">
        <v>4.2079890000000004</v>
      </c>
      <c r="O928" s="295">
        <v>4.2620129999999996</v>
      </c>
      <c r="P928" s="295">
        <v>4.3351829999999998</v>
      </c>
      <c r="Q928" s="295">
        <v>4.3704530000000004</v>
      </c>
      <c r="R928" s="295">
        <v>4.3820740000000002</v>
      </c>
      <c r="S928" s="295">
        <v>4.3840560000000002</v>
      </c>
      <c r="T928" s="295">
        <v>4.3728049999999996</v>
      </c>
      <c r="U928" s="295">
        <v>4.3912269999999998</v>
      </c>
      <c r="V928" s="295">
        <v>4.3829099999999999</v>
      </c>
      <c r="W928" s="295">
        <v>4.3729230000000001</v>
      </c>
      <c r="X928" s="295">
        <v>4.3692469999999997</v>
      </c>
      <c r="Y928" s="295">
        <v>4.3503239999999996</v>
      </c>
      <c r="Z928" s="295">
        <v>4.3339030000000003</v>
      </c>
      <c r="AA928" s="295">
        <v>4.3256480000000002</v>
      </c>
      <c r="AB928" s="295">
        <v>4.3330529999999996</v>
      </c>
      <c r="AC928" s="295">
        <v>4.3339920000000003</v>
      </c>
      <c r="AD928" s="295">
        <v>4.35602</v>
      </c>
      <c r="AE928" s="295">
        <v>4.3958560000000002</v>
      </c>
      <c r="AF928" s="295">
        <v>4.4492430000000001</v>
      </c>
      <c r="AG928" s="295">
        <v>4.4870239999999999</v>
      </c>
      <c r="AH928" s="296">
        <v>1.3105E-2</v>
      </c>
    </row>
    <row r="929" spans="1:34" ht="15" customHeight="1" x14ac:dyDescent="0.25">
      <c r="A929" s="213" t="s">
        <v>1718</v>
      </c>
      <c r="B929" s="294" t="s">
        <v>1719</v>
      </c>
      <c r="C929" s="295">
        <v>3.0798169999999998</v>
      </c>
      <c r="D929" s="295">
        <v>4.0247789999999997</v>
      </c>
      <c r="E929" s="295">
        <v>4.151116</v>
      </c>
      <c r="F929" s="295">
        <v>3.9285589999999999</v>
      </c>
      <c r="G929" s="295">
        <v>3.7170860000000001</v>
      </c>
      <c r="H929" s="295">
        <v>3.7775259999999999</v>
      </c>
      <c r="I929" s="295">
        <v>3.8715739999999998</v>
      </c>
      <c r="J929" s="295">
        <v>3.93153</v>
      </c>
      <c r="K929" s="295">
        <v>4.0494339999999998</v>
      </c>
      <c r="L929" s="295">
        <v>4.1590239999999996</v>
      </c>
      <c r="M929" s="295">
        <v>4.1966070000000002</v>
      </c>
      <c r="N929" s="295">
        <v>4.204866</v>
      </c>
      <c r="O929" s="295">
        <v>4.2549419999999998</v>
      </c>
      <c r="P929" s="295">
        <v>4.3256209999999999</v>
      </c>
      <c r="Q929" s="295">
        <v>4.3561300000000003</v>
      </c>
      <c r="R929" s="295">
        <v>4.3661459999999996</v>
      </c>
      <c r="S929" s="295">
        <v>4.3652139999999999</v>
      </c>
      <c r="T929" s="295">
        <v>4.3543560000000001</v>
      </c>
      <c r="U929" s="295">
        <v>4.37188</v>
      </c>
      <c r="V929" s="295">
        <v>4.3659189999999999</v>
      </c>
      <c r="W929" s="295">
        <v>4.3572749999999996</v>
      </c>
      <c r="X929" s="295">
        <v>4.3541429999999997</v>
      </c>
      <c r="Y929" s="295">
        <v>4.3356899999999996</v>
      </c>
      <c r="Z929" s="295">
        <v>4.3182669999999996</v>
      </c>
      <c r="AA929" s="295">
        <v>4.3086710000000004</v>
      </c>
      <c r="AB929" s="295">
        <v>4.315671</v>
      </c>
      <c r="AC929" s="295">
        <v>4.320532</v>
      </c>
      <c r="AD929" s="295">
        <v>4.3426999999999998</v>
      </c>
      <c r="AE929" s="295">
        <v>4.3824240000000003</v>
      </c>
      <c r="AF929" s="295">
        <v>4.4358300000000002</v>
      </c>
      <c r="AG929" s="295">
        <v>4.4743029999999999</v>
      </c>
      <c r="AH929" s="296">
        <v>1.2527E-2</v>
      </c>
    </row>
    <row r="930" spans="1:34" ht="15" customHeight="1" x14ac:dyDescent="0.25">
      <c r="A930" s="213" t="s">
        <v>1720</v>
      </c>
      <c r="B930" s="294" t="s">
        <v>1091</v>
      </c>
      <c r="C930" s="295">
        <v>4.01729</v>
      </c>
      <c r="D930" s="295">
        <v>3.6009570000000002</v>
      </c>
      <c r="E930" s="295">
        <v>3.3575499999999998</v>
      </c>
      <c r="F930" s="295">
        <v>3.2188159999999999</v>
      </c>
      <c r="G930" s="295">
        <v>3.136171</v>
      </c>
      <c r="H930" s="295">
        <v>3.0998329999999998</v>
      </c>
      <c r="I930" s="295">
        <v>3.0590670000000002</v>
      </c>
      <c r="J930" s="295">
        <v>3.0477449999999999</v>
      </c>
      <c r="K930" s="295">
        <v>3.0552410000000001</v>
      </c>
      <c r="L930" s="295">
        <v>3.0795460000000001</v>
      </c>
      <c r="M930" s="295">
        <v>3.1109</v>
      </c>
      <c r="N930" s="295">
        <v>3.1460279999999998</v>
      </c>
      <c r="O930" s="295">
        <v>3.17902</v>
      </c>
      <c r="P930" s="295">
        <v>3.2106629999999998</v>
      </c>
      <c r="Q930" s="295">
        <v>3.2437269999999998</v>
      </c>
      <c r="R930" s="295">
        <v>3.2775050000000001</v>
      </c>
      <c r="S930" s="295">
        <v>3.310343</v>
      </c>
      <c r="T930" s="295">
        <v>3.3446500000000001</v>
      </c>
      <c r="U930" s="295">
        <v>3.380706</v>
      </c>
      <c r="V930" s="295">
        <v>3.4141780000000002</v>
      </c>
      <c r="W930" s="295">
        <v>3.447819</v>
      </c>
      <c r="X930" s="295">
        <v>3.4831310000000002</v>
      </c>
      <c r="Y930" s="295">
        <v>3.5200279999999999</v>
      </c>
      <c r="Z930" s="295">
        <v>3.5590980000000001</v>
      </c>
      <c r="AA930" s="295">
        <v>3.5940370000000001</v>
      </c>
      <c r="AB930" s="295">
        <v>3.6316609999999998</v>
      </c>
      <c r="AC930" s="295">
        <v>3.6709079999999998</v>
      </c>
      <c r="AD930" s="295">
        <v>3.7096420000000001</v>
      </c>
      <c r="AE930" s="295">
        <v>3.7486899999999999</v>
      </c>
      <c r="AF930" s="295">
        <v>3.7900459999999998</v>
      </c>
      <c r="AG930" s="295">
        <v>3.83358</v>
      </c>
      <c r="AH930" s="296">
        <v>-1.5590000000000001E-3</v>
      </c>
    </row>
    <row r="931" spans="1:34" ht="15" customHeight="1" x14ac:dyDescent="0.25">
      <c r="A931" s="213" t="s">
        <v>1721</v>
      </c>
      <c r="B931" s="294" t="s">
        <v>1093</v>
      </c>
      <c r="C931" s="295">
        <v>2.821307</v>
      </c>
      <c r="D931" s="295">
        <v>2.825831</v>
      </c>
      <c r="E931" s="295">
        <v>2.8912049999999998</v>
      </c>
      <c r="F931" s="295">
        <v>2.8795899999999999</v>
      </c>
      <c r="G931" s="295">
        <v>2.883505</v>
      </c>
      <c r="H931" s="295">
        <v>2.8916930000000001</v>
      </c>
      <c r="I931" s="295">
        <v>2.8850739999999999</v>
      </c>
      <c r="J931" s="295">
        <v>2.875848</v>
      </c>
      <c r="K931" s="295">
        <v>2.8701940000000001</v>
      </c>
      <c r="L931" s="295">
        <v>2.8692630000000001</v>
      </c>
      <c r="M931" s="295">
        <v>2.8689499999999999</v>
      </c>
      <c r="N931" s="295">
        <v>2.871991</v>
      </c>
      <c r="O931" s="295">
        <v>2.8604509999999999</v>
      </c>
      <c r="P931" s="295">
        <v>2.8634870000000001</v>
      </c>
      <c r="Q931" s="295">
        <v>2.8656290000000002</v>
      </c>
      <c r="R931" s="295">
        <v>2.872293</v>
      </c>
      <c r="S931" s="295">
        <v>2.8702109999999998</v>
      </c>
      <c r="T931" s="295">
        <v>2.8762400000000001</v>
      </c>
      <c r="U931" s="295">
        <v>2.8852869999999999</v>
      </c>
      <c r="V931" s="295">
        <v>2.8913120000000001</v>
      </c>
      <c r="W931" s="295">
        <v>2.900102</v>
      </c>
      <c r="X931" s="295">
        <v>2.9084370000000002</v>
      </c>
      <c r="Y931" s="295">
        <v>2.90917</v>
      </c>
      <c r="Z931" s="295">
        <v>2.907594</v>
      </c>
      <c r="AA931" s="295">
        <v>2.90707</v>
      </c>
      <c r="AB931" s="295">
        <v>2.911734</v>
      </c>
      <c r="AC931" s="295">
        <v>2.921424</v>
      </c>
      <c r="AD931" s="295">
        <v>2.9305620000000001</v>
      </c>
      <c r="AE931" s="295">
        <v>2.9392070000000001</v>
      </c>
      <c r="AF931" s="295">
        <v>2.9507340000000002</v>
      </c>
      <c r="AG931" s="295">
        <v>2.9633780000000001</v>
      </c>
      <c r="AH931" s="296">
        <v>1.639E-3</v>
      </c>
    </row>
    <row r="932" spans="1:34" ht="15" customHeight="1" x14ac:dyDescent="0.25">
      <c r="A932" s="213" t="s">
        <v>1722</v>
      </c>
      <c r="B932" s="294" t="s">
        <v>1280</v>
      </c>
      <c r="C932" s="296" t="s">
        <v>635</v>
      </c>
      <c r="D932" s="296" t="s">
        <v>635</v>
      </c>
      <c r="E932" s="296" t="s">
        <v>635</v>
      </c>
      <c r="F932" s="296" t="s">
        <v>635</v>
      </c>
      <c r="G932" s="296" t="s">
        <v>635</v>
      </c>
      <c r="H932" s="296" t="s">
        <v>635</v>
      </c>
      <c r="I932" s="296" t="s">
        <v>635</v>
      </c>
      <c r="J932" s="296" t="s">
        <v>635</v>
      </c>
      <c r="K932" s="296" t="s">
        <v>635</v>
      </c>
      <c r="L932" s="296" t="s">
        <v>635</v>
      </c>
      <c r="M932" s="296" t="s">
        <v>635</v>
      </c>
      <c r="N932" s="296" t="s">
        <v>635</v>
      </c>
      <c r="O932" s="296" t="s">
        <v>635</v>
      </c>
      <c r="P932" s="296" t="s">
        <v>635</v>
      </c>
      <c r="Q932" s="296" t="s">
        <v>635</v>
      </c>
      <c r="R932" s="296" t="s">
        <v>635</v>
      </c>
      <c r="S932" s="296" t="s">
        <v>635</v>
      </c>
      <c r="T932" s="296" t="s">
        <v>635</v>
      </c>
      <c r="U932" s="296" t="s">
        <v>635</v>
      </c>
      <c r="V932" s="296" t="s">
        <v>635</v>
      </c>
      <c r="W932" s="296" t="s">
        <v>635</v>
      </c>
      <c r="X932" s="296" t="s">
        <v>635</v>
      </c>
      <c r="Y932" s="296" t="s">
        <v>635</v>
      </c>
      <c r="Z932" s="296" t="s">
        <v>635</v>
      </c>
      <c r="AA932" s="296" t="s">
        <v>635</v>
      </c>
      <c r="AB932" s="296" t="s">
        <v>635</v>
      </c>
      <c r="AC932" s="296" t="s">
        <v>635</v>
      </c>
      <c r="AD932" s="296" t="s">
        <v>635</v>
      </c>
      <c r="AE932" s="296" t="s">
        <v>635</v>
      </c>
      <c r="AF932" s="296" t="s">
        <v>635</v>
      </c>
      <c r="AG932" s="296" t="s">
        <v>635</v>
      </c>
      <c r="AH932" s="296" t="s">
        <v>635</v>
      </c>
    </row>
    <row r="933" spans="1:34" ht="15" customHeight="1" x14ac:dyDescent="0.25">
      <c r="A933" s="213" t="s">
        <v>1723</v>
      </c>
      <c r="B933" s="294" t="s">
        <v>1265</v>
      </c>
      <c r="C933" s="295">
        <v>20.713954999999999</v>
      </c>
      <c r="D933" s="295">
        <v>20.936140000000002</v>
      </c>
      <c r="E933" s="295">
        <v>20.638390000000001</v>
      </c>
      <c r="F933" s="295">
        <v>20.160730000000001</v>
      </c>
      <c r="G933" s="295">
        <v>19.855924999999999</v>
      </c>
      <c r="H933" s="295">
        <v>19.743105</v>
      </c>
      <c r="I933" s="295">
        <v>19.769461</v>
      </c>
      <c r="J933" s="295">
        <v>19.713902000000001</v>
      </c>
      <c r="K933" s="295">
        <v>19.670210000000001</v>
      </c>
      <c r="L933" s="295">
        <v>19.661643999999999</v>
      </c>
      <c r="M933" s="295">
        <v>19.562768999999999</v>
      </c>
      <c r="N933" s="295">
        <v>19.579107</v>
      </c>
      <c r="O933" s="295">
        <v>19.503533999999998</v>
      </c>
      <c r="P933" s="295">
        <v>19.505814000000001</v>
      </c>
      <c r="Q933" s="295">
        <v>19.479683000000001</v>
      </c>
      <c r="R933" s="295">
        <v>19.465959999999999</v>
      </c>
      <c r="S933" s="295">
        <v>19.351633</v>
      </c>
      <c r="T933" s="295">
        <v>19.246034999999999</v>
      </c>
      <c r="U933" s="295">
        <v>19.164674999999999</v>
      </c>
      <c r="V933" s="295">
        <v>19.058592000000001</v>
      </c>
      <c r="W933" s="295">
        <v>18.976123999999999</v>
      </c>
      <c r="X933" s="295">
        <v>18.888048000000001</v>
      </c>
      <c r="Y933" s="295">
        <v>18.822946999999999</v>
      </c>
      <c r="Z933" s="295">
        <v>18.662371</v>
      </c>
      <c r="AA933" s="295">
        <v>18.576585999999999</v>
      </c>
      <c r="AB933" s="295">
        <v>18.496055999999999</v>
      </c>
      <c r="AC933" s="295">
        <v>18.390442</v>
      </c>
      <c r="AD933" s="295">
        <v>18.340174000000001</v>
      </c>
      <c r="AE933" s="295">
        <v>18.280028999999999</v>
      </c>
      <c r="AF933" s="295">
        <v>18.168600000000001</v>
      </c>
      <c r="AG933" s="295">
        <v>18.055204</v>
      </c>
      <c r="AH933" s="296">
        <v>-4.5690000000000001E-3</v>
      </c>
    </row>
    <row r="934" spans="1:34" ht="15" customHeight="1" x14ac:dyDescent="0.2">
      <c r="B934" s="204" t="s">
        <v>1724</v>
      </c>
    </row>
    <row r="935" spans="1:34" ht="15" customHeight="1" x14ac:dyDescent="0.25">
      <c r="A935" s="213" t="s">
        <v>1725</v>
      </c>
      <c r="B935" s="294" t="s">
        <v>1036</v>
      </c>
      <c r="C935" s="295">
        <v>7.6224270000000001</v>
      </c>
      <c r="D935" s="295">
        <v>8.663297</v>
      </c>
      <c r="E935" s="295">
        <v>9.4829349999999994</v>
      </c>
      <c r="F935" s="295">
        <v>9.8909979999999997</v>
      </c>
      <c r="G935" s="295">
        <v>10.491792</v>
      </c>
      <c r="H935" s="295">
        <v>11.167325</v>
      </c>
      <c r="I935" s="295">
        <v>11.802027000000001</v>
      </c>
      <c r="J935" s="295">
        <v>12.340223999999999</v>
      </c>
      <c r="K935" s="295">
        <v>13.15535</v>
      </c>
      <c r="L935" s="295">
        <v>13.760857</v>
      </c>
      <c r="M935" s="295">
        <v>14.456458</v>
      </c>
      <c r="N935" s="295">
        <v>15.092392</v>
      </c>
      <c r="O935" s="295">
        <v>15.835649999999999</v>
      </c>
      <c r="P935" s="295">
        <v>16.471594</v>
      </c>
      <c r="Q935" s="295">
        <v>17.043623</v>
      </c>
      <c r="R935" s="295">
        <v>17.622845000000002</v>
      </c>
      <c r="S935" s="295">
        <v>18.270938999999998</v>
      </c>
      <c r="T935" s="295">
        <v>18.896153999999999</v>
      </c>
      <c r="U935" s="295">
        <v>19.604579999999999</v>
      </c>
      <c r="V935" s="295">
        <v>20.217093999999999</v>
      </c>
      <c r="W935" s="295">
        <v>21.027149000000001</v>
      </c>
      <c r="X935" s="295">
        <v>21.832815</v>
      </c>
      <c r="Y935" s="295">
        <v>22.508666999999999</v>
      </c>
      <c r="Z935" s="295">
        <v>23.356902999999999</v>
      </c>
      <c r="AA935" s="295">
        <v>24.113323000000001</v>
      </c>
      <c r="AB935" s="295">
        <v>24.655225999999999</v>
      </c>
      <c r="AC935" s="295">
        <v>25.728103999999998</v>
      </c>
      <c r="AD935" s="295">
        <v>26.810828999999998</v>
      </c>
      <c r="AE935" s="295">
        <v>27.732137999999999</v>
      </c>
      <c r="AF935" s="295">
        <v>28.711252000000002</v>
      </c>
      <c r="AG935" s="295">
        <v>29.751778000000002</v>
      </c>
      <c r="AH935" s="296">
        <v>4.6439000000000001E-2</v>
      </c>
    </row>
    <row r="936" spans="1:34" ht="15" customHeight="1" x14ac:dyDescent="0.25">
      <c r="A936" s="213" t="s">
        <v>1726</v>
      </c>
      <c r="B936" s="294" t="s">
        <v>1711</v>
      </c>
      <c r="C936" s="295">
        <v>18.424187</v>
      </c>
      <c r="D936" s="295">
        <v>19.508551000000001</v>
      </c>
      <c r="E936" s="295">
        <v>20.162716</v>
      </c>
      <c r="F936" s="295">
        <v>21.020302000000001</v>
      </c>
      <c r="G936" s="295">
        <v>21.483218999999998</v>
      </c>
      <c r="H936" s="295">
        <v>22.362686</v>
      </c>
      <c r="I936" s="295">
        <v>23.145341999999999</v>
      </c>
      <c r="J936" s="295">
        <v>24.008507000000002</v>
      </c>
      <c r="K936" s="295">
        <v>25.26548</v>
      </c>
      <c r="L936" s="295">
        <v>26.367325000000001</v>
      </c>
      <c r="M936" s="295">
        <v>27.890711</v>
      </c>
      <c r="N936" s="295">
        <v>28.721836</v>
      </c>
      <c r="O936" s="295">
        <v>29.965527000000002</v>
      </c>
      <c r="P936" s="295">
        <v>30.908639999999998</v>
      </c>
      <c r="Q936" s="295">
        <v>32.039135000000002</v>
      </c>
      <c r="R936" s="295">
        <v>33.009177999999999</v>
      </c>
      <c r="S936" s="295">
        <v>34.165855000000001</v>
      </c>
      <c r="T936" s="295">
        <v>35.264164000000001</v>
      </c>
      <c r="U936" s="295">
        <v>36.491909</v>
      </c>
      <c r="V936" s="295">
        <v>37.312702000000002</v>
      </c>
      <c r="W936" s="295">
        <v>38.778843000000002</v>
      </c>
      <c r="X936" s="295">
        <v>39.995624999999997</v>
      </c>
      <c r="Y936" s="295">
        <v>41.141185999999998</v>
      </c>
      <c r="Z936" s="295">
        <v>42.357826000000003</v>
      </c>
      <c r="AA936" s="295">
        <v>43.534981000000002</v>
      </c>
      <c r="AB936" s="295">
        <v>44.337654000000001</v>
      </c>
      <c r="AC936" s="295">
        <v>46.126556000000001</v>
      </c>
      <c r="AD936" s="295">
        <v>47.580008999999997</v>
      </c>
      <c r="AE936" s="295">
        <v>49.093155000000003</v>
      </c>
      <c r="AF936" s="295">
        <v>50.413136000000002</v>
      </c>
      <c r="AG936" s="295">
        <v>51.948101000000001</v>
      </c>
      <c r="AH936" s="296">
        <v>3.5157000000000001E-2</v>
      </c>
    </row>
    <row r="937" spans="1:34" ht="15" customHeight="1" x14ac:dyDescent="0.25">
      <c r="A937" s="213" t="s">
        <v>1727</v>
      </c>
      <c r="B937" s="294" t="s">
        <v>1058</v>
      </c>
      <c r="C937" s="295">
        <v>17.750848999999999</v>
      </c>
      <c r="D937" s="295">
        <v>17.971506000000002</v>
      </c>
      <c r="E937" s="295">
        <v>18.358588999999998</v>
      </c>
      <c r="F937" s="295">
        <v>19.497215000000001</v>
      </c>
      <c r="G937" s="295">
        <v>19.912281</v>
      </c>
      <c r="H937" s="295">
        <v>20.180647</v>
      </c>
      <c r="I937" s="295">
        <v>20.4314</v>
      </c>
      <c r="J937" s="295">
        <v>21.285928999999999</v>
      </c>
      <c r="K937" s="295">
        <v>22.396170000000001</v>
      </c>
      <c r="L937" s="295">
        <v>23.253748000000002</v>
      </c>
      <c r="M937" s="295">
        <v>24.352557999999998</v>
      </c>
      <c r="N937" s="295">
        <v>25.246828000000001</v>
      </c>
      <c r="O937" s="295">
        <v>26.213733999999999</v>
      </c>
      <c r="P937" s="295">
        <v>27.007398999999999</v>
      </c>
      <c r="Q937" s="295">
        <v>27.781234999999999</v>
      </c>
      <c r="R937" s="295">
        <v>28.551646999999999</v>
      </c>
      <c r="S937" s="295">
        <v>29.281019000000001</v>
      </c>
      <c r="T937" s="295">
        <v>30.273243000000001</v>
      </c>
      <c r="U937" s="295">
        <v>31.231065999999998</v>
      </c>
      <c r="V937" s="295">
        <v>31.874442999999999</v>
      </c>
      <c r="W937" s="295">
        <v>33.165413000000001</v>
      </c>
      <c r="X937" s="295">
        <v>34.24239</v>
      </c>
      <c r="Y937" s="295">
        <v>35.223557</v>
      </c>
      <c r="Z937" s="295">
        <v>36.462189000000002</v>
      </c>
      <c r="AA937" s="295">
        <v>37.345759999999999</v>
      </c>
      <c r="AB937" s="295">
        <v>38.305827999999998</v>
      </c>
      <c r="AC937" s="295">
        <v>39.837868</v>
      </c>
      <c r="AD937" s="295">
        <v>41.14716</v>
      </c>
      <c r="AE937" s="295">
        <v>42.269398000000002</v>
      </c>
      <c r="AF937" s="295">
        <v>43.700789999999998</v>
      </c>
      <c r="AG937" s="295">
        <v>44.935187999999997</v>
      </c>
      <c r="AH937" s="296">
        <v>3.1444E-2</v>
      </c>
    </row>
    <row r="938" spans="1:34" ht="15" customHeight="1" x14ac:dyDescent="0.25">
      <c r="A938" s="213" t="s">
        <v>1728</v>
      </c>
      <c r="B938" s="294" t="s">
        <v>1060</v>
      </c>
      <c r="C938" s="295">
        <v>5.4227220000000003</v>
      </c>
      <c r="D938" s="295">
        <v>4.4774779999999996</v>
      </c>
      <c r="E938" s="295">
        <v>5.9832359999999998</v>
      </c>
      <c r="F938" s="295">
        <v>8.0332170000000005</v>
      </c>
      <c r="G938" s="295">
        <v>9.7078439999999997</v>
      </c>
      <c r="H938" s="295">
        <v>11.357949</v>
      </c>
      <c r="I938" s="295">
        <v>13.000048</v>
      </c>
      <c r="J938" s="295">
        <v>13.696293000000001</v>
      </c>
      <c r="K938" s="295">
        <v>14.546294</v>
      </c>
      <c r="L938" s="295">
        <v>15.233007000000001</v>
      </c>
      <c r="M938" s="295">
        <v>16.09572</v>
      </c>
      <c r="N938" s="295">
        <v>16.795151000000001</v>
      </c>
      <c r="O938" s="295">
        <v>17.551978999999999</v>
      </c>
      <c r="P938" s="295">
        <v>18.19087</v>
      </c>
      <c r="Q938" s="295">
        <v>18.751631</v>
      </c>
      <c r="R938" s="295">
        <v>19.341996999999999</v>
      </c>
      <c r="S938" s="295">
        <v>19.816352999999999</v>
      </c>
      <c r="T938" s="295">
        <v>20.207674000000001</v>
      </c>
      <c r="U938" s="295">
        <v>21.006710000000002</v>
      </c>
      <c r="V938" s="295">
        <v>21.453951</v>
      </c>
      <c r="W938" s="295">
        <v>23.023533</v>
      </c>
      <c r="X938" s="295">
        <v>23.890387</v>
      </c>
      <c r="Y938" s="295">
        <v>24.654726</v>
      </c>
      <c r="Z938" s="295">
        <v>25.518916999999998</v>
      </c>
      <c r="AA938" s="295">
        <v>26.320374999999999</v>
      </c>
      <c r="AB938" s="295">
        <v>26.980575999999999</v>
      </c>
      <c r="AC938" s="295">
        <v>27.988496999999999</v>
      </c>
      <c r="AD938" s="295">
        <v>28.96698</v>
      </c>
      <c r="AE938" s="295">
        <v>29.916198999999999</v>
      </c>
      <c r="AF938" s="295">
        <v>30.961760000000002</v>
      </c>
      <c r="AG938" s="295">
        <v>32.057636000000002</v>
      </c>
      <c r="AH938" s="296">
        <v>6.1020999999999999E-2</v>
      </c>
    </row>
    <row r="939" spans="1:34" ht="15" customHeight="1" x14ac:dyDescent="0.25">
      <c r="A939" s="213" t="s">
        <v>1729</v>
      </c>
      <c r="B939" s="294" t="s">
        <v>1715</v>
      </c>
      <c r="C939" s="295">
        <v>4.7083649999999997</v>
      </c>
      <c r="D939" s="295">
        <v>5.4583409999999999</v>
      </c>
      <c r="E939" s="295">
        <v>6.003673</v>
      </c>
      <c r="F939" s="295">
        <v>6.8765939999999999</v>
      </c>
      <c r="G939" s="295">
        <v>7.4466939999999999</v>
      </c>
      <c r="H939" s="295">
        <v>7.976159</v>
      </c>
      <c r="I939" s="295">
        <v>8.5116350000000001</v>
      </c>
      <c r="J939" s="295">
        <v>8.9814480000000003</v>
      </c>
      <c r="K939" s="295">
        <v>9.5880010000000002</v>
      </c>
      <c r="L939" s="295">
        <v>10.031105</v>
      </c>
      <c r="M939" s="295">
        <v>10.597946</v>
      </c>
      <c r="N939" s="295">
        <v>11.040932</v>
      </c>
      <c r="O939" s="295">
        <v>11.541368</v>
      </c>
      <c r="P939" s="295">
        <v>11.999292000000001</v>
      </c>
      <c r="Q939" s="295">
        <v>12.403555000000001</v>
      </c>
      <c r="R939" s="295">
        <v>12.804171999999999</v>
      </c>
      <c r="S939" s="295">
        <v>13.075513000000001</v>
      </c>
      <c r="T939" s="295">
        <v>13.219742999999999</v>
      </c>
      <c r="U939" s="295">
        <v>13.798207</v>
      </c>
      <c r="V939" s="295">
        <v>14.083467000000001</v>
      </c>
      <c r="W939" s="295">
        <v>15.169529000000001</v>
      </c>
      <c r="X939" s="295">
        <v>15.731175</v>
      </c>
      <c r="Y939" s="295">
        <v>16.355322000000001</v>
      </c>
      <c r="Z939" s="295">
        <v>17.122944</v>
      </c>
      <c r="AA939" s="295">
        <v>17.632097000000002</v>
      </c>
      <c r="AB939" s="295">
        <v>18.043811999999999</v>
      </c>
      <c r="AC939" s="295">
        <v>18.878388999999999</v>
      </c>
      <c r="AD939" s="295">
        <v>19.547301999999998</v>
      </c>
      <c r="AE939" s="295">
        <v>20.122551000000001</v>
      </c>
      <c r="AF939" s="295">
        <v>20.805021</v>
      </c>
      <c r="AG939" s="295">
        <v>21.440826000000001</v>
      </c>
      <c r="AH939" s="296">
        <v>5.1830000000000001E-2</v>
      </c>
    </row>
    <row r="940" spans="1:34" ht="15" customHeight="1" x14ac:dyDescent="0.25">
      <c r="A940" s="213" t="s">
        <v>1730</v>
      </c>
      <c r="B940" s="294" t="s">
        <v>1717</v>
      </c>
      <c r="C940" s="295">
        <v>3.0361419999999999</v>
      </c>
      <c r="D940" s="295">
        <v>4.0238319999999996</v>
      </c>
      <c r="E940" s="295">
        <v>4.2477460000000002</v>
      </c>
      <c r="F940" s="295">
        <v>4.0753139999999997</v>
      </c>
      <c r="G940" s="295">
        <v>3.9217979999999999</v>
      </c>
      <c r="H940" s="295">
        <v>4.0696279999999998</v>
      </c>
      <c r="I940" s="295">
        <v>4.272049</v>
      </c>
      <c r="J940" s="295">
        <v>4.450691</v>
      </c>
      <c r="K940" s="295">
        <v>4.7103520000000003</v>
      </c>
      <c r="L940" s="295">
        <v>4.9679820000000001</v>
      </c>
      <c r="M940" s="295">
        <v>5.1242869999999998</v>
      </c>
      <c r="N940" s="295">
        <v>5.2636529999999997</v>
      </c>
      <c r="O940" s="295">
        <v>5.4605230000000002</v>
      </c>
      <c r="P940" s="295">
        <v>5.6839240000000002</v>
      </c>
      <c r="Q940" s="295">
        <v>5.859013</v>
      </c>
      <c r="R940" s="295">
        <v>6.0041849999999997</v>
      </c>
      <c r="S940" s="295">
        <v>6.1364599999999996</v>
      </c>
      <c r="T940" s="295">
        <v>6.2493439999999998</v>
      </c>
      <c r="U940" s="295">
        <v>6.4073409999999997</v>
      </c>
      <c r="V940" s="295">
        <v>6.5275150000000002</v>
      </c>
      <c r="W940" s="295">
        <v>6.6504260000000004</v>
      </c>
      <c r="X940" s="295">
        <v>6.787496</v>
      </c>
      <c r="Y940" s="295">
        <v>6.9066590000000003</v>
      </c>
      <c r="Z940" s="295">
        <v>7.0383870000000002</v>
      </c>
      <c r="AA940" s="295">
        <v>7.1926379999999996</v>
      </c>
      <c r="AB940" s="295">
        <v>7.382447</v>
      </c>
      <c r="AC940" s="295">
        <v>7.5758239999999999</v>
      </c>
      <c r="AD940" s="295">
        <v>7.8189580000000003</v>
      </c>
      <c r="AE940" s="295">
        <v>8.1083649999999992</v>
      </c>
      <c r="AF940" s="295">
        <v>8.4403620000000004</v>
      </c>
      <c r="AG940" s="295">
        <v>8.7617499999999993</v>
      </c>
      <c r="AH940" s="296">
        <v>3.5957999999999997E-2</v>
      </c>
    </row>
    <row r="941" spans="1:34" ht="15" customHeight="1" x14ac:dyDescent="0.25">
      <c r="A941" s="213" t="s">
        <v>1731</v>
      </c>
      <c r="B941" s="294" t="s">
        <v>1719</v>
      </c>
      <c r="C941" s="295">
        <v>3.0798169999999998</v>
      </c>
      <c r="D941" s="295">
        <v>4.0672309999999996</v>
      </c>
      <c r="E941" s="295">
        <v>4.244027</v>
      </c>
      <c r="F941" s="295">
        <v>4.0710459999999999</v>
      </c>
      <c r="G941" s="295">
        <v>3.916614</v>
      </c>
      <c r="H941" s="295">
        <v>4.0632239999999999</v>
      </c>
      <c r="I941" s="295">
        <v>4.2635300000000003</v>
      </c>
      <c r="J941" s="295">
        <v>4.4395179999999996</v>
      </c>
      <c r="K941" s="295">
        <v>4.6931000000000003</v>
      </c>
      <c r="L941" s="295">
        <v>4.9471350000000003</v>
      </c>
      <c r="M941" s="295">
        <v>5.1210779999999998</v>
      </c>
      <c r="N941" s="295">
        <v>5.2597459999999998</v>
      </c>
      <c r="O941" s="295">
        <v>5.4514639999999996</v>
      </c>
      <c r="P941" s="295">
        <v>5.6713880000000003</v>
      </c>
      <c r="Q941" s="295">
        <v>5.8398110000000001</v>
      </c>
      <c r="R941" s="295">
        <v>5.982361</v>
      </c>
      <c r="S941" s="295">
        <v>6.110087</v>
      </c>
      <c r="T941" s="295">
        <v>6.2229789999999996</v>
      </c>
      <c r="U941" s="295">
        <v>6.379111</v>
      </c>
      <c r="V941" s="295">
        <v>6.5022089999999997</v>
      </c>
      <c r="W941" s="295">
        <v>6.626627</v>
      </c>
      <c r="X941" s="295">
        <v>6.7640320000000003</v>
      </c>
      <c r="Y941" s="295">
        <v>6.8834270000000002</v>
      </c>
      <c r="Z941" s="295">
        <v>7.0129929999999998</v>
      </c>
      <c r="AA941" s="295">
        <v>7.164409</v>
      </c>
      <c r="AB941" s="295">
        <v>7.3528320000000003</v>
      </c>
      <c r="AC941" s="295">
        <v>7.552295</v>
      </c>
      <c r="AD941" s="295">
        <v>7.7950489999999997</v>
      </c>
      <c r="AE941" s="295">
        <v>8.0835889999999999</v>
      </c>
      <c r="AF941" s="295">
        <v>8.4149159999999998</v>
      </c>
      <c r="AG941" s="295">
        <v>8.73691</v>
      </c>
      <c r="AH941" s="296">
        <v>3.5367000000000003E-2</v>
      </c>
    </row>
    <row r="942" spans="1:34" ht="15" customHeight="1" x14ac:dyDescent="0.25">
      <c r="A942" s="213" t="s">
        <v>1732</v>
      </c>
      <c r="B942" s="294" t="s">
        <v>1091</v>
      </c>
      <c r="C942" s="295">
        <v>4.01729</v>
      </c>
      <c r="D942" s="295">
        <v>3.638938</v>
      </c>
      <c r="E942" s="295">
        <v>3.4326989999999999</v>
      </c>
      <c r="F942" s="295">
        <v>3.3355610000000002</v>
      </c>
      <c r="G942" s="295">
        <v>3.304516</v>
      </c>
      <c r="H942" s="295">
        <v>3.334276</v>
      </c>
      <c r="I942" s="295">
        <v>3.3687659999999999</v>
      </c>
      <c r="J942" s="295">
        <v>3.4415420000000001</v>
      </c>
      <c r="K942" s="295">
        <v>3.5408789999999999</v>
      </c>
      <c r="L942" s="295">
        <v>3.6631019999999999</v>
      </c>
      <c r="M942" s="295">
        <v>3.7962009999999999</v>
      </c>
      <c r="N942" s="295">
        <v>3.935276</v>
      </c>
      <c r="O942" s="295">
        <v>4.0729839999999999</v>
      </c>
      <c r="P942" s="295">
        <v>4.2095479999999998</v>
      </c>
      <c r="Q942" s="295">
        <v>4.3485279999999999</v>
      </c>
      <c r="R942" s="295">
        <v>4.4907389999999996</v>
      </c>
      <c r="S942" s="295">
        <v>4.6335600000000001</v>
      </c>
      <c r="T942" s="295">
        <v>4.7799680000000002</v>
      </c>
      <c r="U942" s="295">
        <v>4.9328669999999999</v>
      </c>
      <c r="V942" s="295">
        <v>5.0847720000000001</v>
      </c>
      <c r="W942" s="295">
        <v>5.2435090000000004</v>
      </c>
      <c r="X942" s="295">
        <v>5.4109410000000002</v>
      </c>
      <c r="Y942" s="295">
        <v>5.5884660000000004</v>
      </c>
      <c r="Z942" s="295">
        <v>5.7800789999999997</v>
      </c>
      <c r="AA942" s="295">
        <v>5.9761230000000003</v>
      </c>
      <c r="AB942" s="295">
        <v>6.1874479999999998</v>
      </c>
      <c r="AC942" s="295">
        <v>6.4167519999999998</v>
      </c>
      <c r="AD942" s="295">
        <v>6.6587230000000002</v>
      </c>
      <c r="AE942" s="295">
        <v>6.9146369999999999</v>
      </c>
      <c r="AF942" s="295">
        <v>7.189845</v>
      </c>
      <c r="AG942" s="295">
        <v>7.485779</v>
      </c>
      <c r="AH942" s="296">
        <v>2.0962999999999999E-2</v>
      </c>
    </row>
    <row r="943" spans="1:34" ht="15" customHeight="1" x14ac:dyDescent="0.25">
      <c r="A943" s="213" t="s">
        <v>1733</v>
      </c>
      <c r="B943" s="294" t="s">
        <v>1093</v>
      </c>
      <c r="C943" s="295">
        <v>2.821307</v>
      </c>
      <c r="D943" s="295">
        <v>2.8556360000000001</v>
      </c>
      <c r="E943" s="295">
        <v>2.9559160000000002</v>
      </c>
      <c r="F943" s="295">
        <v>2.984032</v>
      </c>
      <c r="G943" s="295">
        <v>3.0382880000000001</v>
      </c>
      <c r="H943" s="295">
        <v>3.1103939999999999</v>
      </c>
      <c r="I943" s="295">
        <v>3.1771579999999999</v>
      </c>
      <c r="J943" s="295">
        <v>3.247433</v>
      </c>
      <c r="K943" s="295">
        <v>3.3264179999999999</v>
      </c>
      <c r="L943" s="295">
        <v>3.4129710000000002</v>
      </c>
      <c r="M943" s="295">
        <v>3.5009519999999998</v>
      </c>
      <c r="N943" s="295">
        <v>3.5924909999999999</v>
      </c>
      <c r="O943" s="295">
        <v>3.6648299999999998</v>
      </c>
      <c r="P943" s="295">
        <v>3.7543609999999998</v>
      </c>
      <c r="Q943" s="295">
        <v>3.8416510000000001</v>
      </c>
      <c r="R943" s="295">
        <v>3.93553</v>
      </c>
      <c r="S943" s="295">
        <v>4.0174979999999998</v>
      </c>
      <c r="T943" s="295">
        <v>4.1105460000000003</v>
      </c>
      <c r="U943" s="295">
        <v>4.2099890000000002</v>
      </c>
      <c r="V943" s="295">
        <v>4.3060609999999997</v>
      </c>
      <c r="W943" s="295">
        <v>4.4105309999999998</v>
      </c>
      <c r="X943" s="295">
        <v>4.5181709999999997</v>
      </c>
      <c r="Y943" s="295">
        <v>4.6186550000000004</v>
      </c>
      <c r="Z943" s="295">
        <v>4.7220180000000003</v>
      </c>
      <c r="AA943" s="295">
        <v>4.8338419999999998</v>
      </c>
      <c r="AB943" s="295">
        <v>4.9608720000000002</v>
      </c>
      <c r="AC943" s="295">
        <v>5.1066520000000004</v>
      </c>
      <c r="AD943" s="295">
        <v>5.2602919999999997</v>
      </c>
      <c r="AE943" s="295">
        <v>5.4215070000000001</v>
      </c>
      <c r="AF943" s="295">
        <v>5.5976410000000003</v>
      </c>
      <c r="AG943" s="295">
        <v>5.7865460000000004</v>
      </c>
      <c r="AH943" s="296">
        <v>2.4233000000000001E-2</v>
      </c>
    </row>
    <row r="944" spans="1:34" ht="15" customHeight="1" x14ac:dyDescent="0.25">
      <c r="A944" s="213" t="s">
        <v>1734</v>
      </c>
      <c r="B944" s="294" t="s">
        <v>1280</v>
      </c>
      <c r="C944" s="296" t="s">
        <v>635</v>
      </c>
      <c r="D944" s="296" t="s">
        <v>635</v>
      </c>
      <c r="E944" s="296" t="s">
        <v>635</v>
      </c>
      <c r="F944" s="296" t="s">
        <v>635</v>
      </c>
      <c r="G944" s="296" t="s">
        <v>635</v>
      </c>
      <c r="H944" s="296" t="s">
        <v>635</v>
      </c>
      <c r="I944" s="296" t="s">
        <v>635</v>
      </c>
      <c r="J944" s="296" t="s">
        <v>635</v>
      </c>
      <c r="K944" s="296" t="s">
        <v>635</v>
      </c>
      <c r="L944" s="296" t="s">
        <v>635</v>
      </c>
      <c r="M944" s="296" t="s">
        <v>635</v>
      </c>
      <c r="N944" s="296" t="s">
        <v>635</v>
      </c>
      <c r="O944" s="296" t="s">
        <v>635</v>
      </c>
      <c r="P944" s="296" t="s">
        <v>635</v>
      </c>
      <c r="Q944" s="296" t="s">
        <v>635</v>
      </c>
      <c r="R944" s="296" t="s">
        <v>635</v>
      </c>
      <c r="S944" s="296" t="s">
        <v>635</v>
      </c>
      <c r="T944" s="296" t="s">
        <v>635</v>
      </c>
      <c r="U944" s="296" t="s">
        <v>635</v>
      </c>
      <c r="V944" s="296" t="s">
        <v>635</v>
      </c>
      <c r="W944" s="296" t="s">
        <v>635</v>
      </c>
      <c r="X944" s="296" t="s">
        <v>635</v>
      </c>
      <c r="Y944" s="296" t="s">
        <v>635</v>
      </c>
      <c r="Z944" s="296" t="s">
        <v>635</v>
      </c>
      <c r="AA944" s="296" t="s">
        <v>635</v>
      </c>
      <c r="AB944" s="296" t="s">
        <v>635</v>
      </c>
      <c r="AC944" s="296" t="s">
        <v>635</v>
      </c>
      <c r="AD944" s="296" t="s">
        <v>635</v>
      </c>
      <c r="AE944" s="296" t="s">
        <v>635</v>
      </c>
      <c r="AF944" s="296" t="s">
        <v>635</v>
      </c>
      <c r="AG944" s="296" t="s">
        <v>635</v>
      </c>
      <c r="AH944" s="296" t="s">
        <v>635</v>
      </c>
    </row>
    <row r="945" spans="1:34" ht="15" customHeight="1" x14ac:dyDescent="0.25">
      <c r="A945" s="213" t="s">
        <v>1735</v>
      </c>
      <c r="B945" s="294" t="s">
        <v>1265</v>
      </c>
      <c r="C945" s="295">
        <v>20.713954999999999</v>
      </c>
      <c r="D945" s="295">
        <v>21.156965</v>
      </c>
      <c r="E945" s="295">
        <v>21.100325000000002</v>
      </c>
      <c r="F945" s="295">
        <v>20.891953000000001</v>
      </c>
      <c r="G945" s="295">
        <v>20.921764</v>
      </c>
      <c r="H945" s="295">
        <v>21.236295999999999</v>
      </c>
      <c r="I945" s="295">
        <v>21.770910000000001</v>
      </c>
      <c r="J945" s="295">
        <v>22.261113999999999</v>
      </c>
      <c r="K945" s="295">
        <v>22.796832999999999</v>
      </c>
      <c r="L945" s="295">
        <v>23.387415000000001</v>
      </c>
      <c r="M945" s="295">
        <v>23.872252</v>
      </c>
      <c r="N945" s="295">
        <v>24.490946000000001</v>
      </c>
      <c r="O945" s="295">
        <v>24.988073</v>
      </c>
      <c r="P945" s="295">
        <v>25.574369000000001</v>
      </c>
      <c r="Q945" s="295">
        <v>26.114386</v>
      </c>
      <c r="R945" s="295">
        <v>26.671671</v>
      </c>
      <c r="S945" s="295">
        <v>27.08691</v>
      </c>
      <c r="T945" s="295">
        <v>27.505251000000001</v>
      </c>
      <c r="U945" s="295">
        <v>27.963625</v>
      </c>
      <c r="V945" s="295">
        <v>28.384160999999999</v>
      </c>
      <c r="W945" s="295">
        <v>28.859252999999999</v>
      </c>
      <c r="X945" s="295">
        <v>29.342022</v>
      </c>
      <c r="Y945" s="295">
        <v>29.883678</v>
      </c>
      <c r="Z945" s="295">
        <v>30.308243000000001</v>
      </c>
      <c r="AA945" s="295">
        <v>30.888930999999999</v>
      </c>
      <c r="AB945" s="295">
        <v>31.512688000000001</v>
      </c>
      <c r="AC945" s="295">
        <v>32.146510999999997</v>
      </c>
      <c r="AD945" s="295">
        <v>32.920200000000001</v>
      </c>
      <c r="AE945" s="295">
        <v>33.718380000000003</v>
      </c>
      <c r="AF945" s="295">
        <v>34.466442000000001</v>
      </c>
      <c r="AG945" s="295">
        <v>35.256144999999997</v>
      </c>
      <c r="AH945" s="296">
        <v>1.7885999999999999E-2</v>
      </c>
    </row>
    <row r="948" spans="1:34" ht="15" customHeight="1" x14ac:dyDescent="0.2">
      <c r="B948" s="204" t="s">
        <v>1736</v>
      </c>
    </row>
    <row r="949" spans="1:34" ht="15" customHeight="1" x14ac:dyDescent="0.2">
      <c r="B949" s="204" t="s">
        <v>1737</v>
      </c>
    </row>
    <row r="950" spans="1:34" ht="15" customHeight="1" x14ac:dyDescent="0.25">
      <c r="A950" s="213" t="s">
        <v>1738</v>
      </c>
      <c r="B950" s="294" t="s">
        <v>1739</v>
      </c>
      <c r="C950" s="295">
        <v>0.150896</v>
      </c>
      <c r="D950" s="295">
        <v>0.13044700000000001</v>
      </c>
      <c r="E950" s="295">
        <v>0.13775100000000001</v>
      </c>
      <c r="F950" s="295">
        <v>0.21395900000000001</v>
      </c>
      <c r="G950" s="295">
        <v>0.21249100000000001</v>
      </c>
      <c r="H950" s="295">
        <v>0.213757</v>
      </c>
      <c r="I950" s="295">
        <v>0.21514900000000001</v>
      </c>
      <c r="J950" s="295">
        <v>0.21701000000000001</v>
      </c>
      <c r="K950" s="295">
        <v>0.217946</v>
      </c>
      <c r="L950" s="295">
        <v>0.21939900000000001</v>
      </c>
      <c r="M950" s="295">
        <v>0.220972</v>
      </c>
      <c r="N950" s="295">
        <v>0.22297900000000001</v>
      </c>
      <c r="O950" s="295">
        <v>0.22573299999999999</v>
      </c>
      <c r="P950" s="295">
        <v>0.22789899999999999</v>
      </c>
      <c r="Q950" s="295">
        <v>0.23042199999999999</v>
      </c>
      <c r="R950" s="295">
        <v>0.23305000000000001</v>
      </c>
      <c r="S950" s="295">
        <v>0.23533699999999999</v>
      </c>
      <c r="T950" s="295">
        <v>0.237709</v>
      </c>
      <c r="U950" s="295">
        <v>0.240258</v>
      </c>
      <c r="V950" s="295">
        <v>0.242953</v>
      </c>
      <c r="W950" s="295">
        <v>0.244951</v>
      </c>
      <c r="X950" s="295">
        <v>0.24760699999999999</v>
      </c>
      <c r="Y950" s="295">
        <v>0.25062000000000001</v>
      </c>
      <c r="Z950" s="295">
        <v>0.253882</v>
      </c>
      <c r="AA950" s="295">
        <v>0.25739099999999998</v>
      </c>
      <c r="AB950" s="295">
        <v>0.26105899999999999</v>
      </c>
      <c r="AC950" s="295">
        <v>0.26425500000000002</v>
      </c>
      <c r="AD950" s="295">
        <v>0.26744400000000002</v>
      </c>
      <c r="AE950" s="295">
        <v>0.27101500000000001</v>
      </c>
      <c r="AF950" s="295">
        <v>0.274868</v>
      </c>
      <c r="AG950" s="295">
        <v>0.27881800000000001</v>
      </c>
      <c r="AH950" s="296">
        <v>2.0677000000000001E-2</v>
      </c>
    </row>
    <row r="951" spans="1:34" ht="15" customHeight="1" x14ac:dyDescent="0.25">
      <c r="A951" s="213" t="s">
        <v>1740</v>
      </c>
      <c r="B951" s="294" t="s">
        <v>1741</v>
      </c>
      <c r="C951" s="295">
        <v>2.9719000000000002</v>
      </c>
      <c r="D951" s="295">
        <v>3.2486000000000002</v>
      </c>
      <c r="E951" s="295">
        <v>3.5141</v>
      </c>
      <c r="F951" s="295">
        <v>3.5624030000000002</v>
      </c>
      <c r="G951" s="295">
        <v>3.68045</v>
      </c>
      <c r="H951" s="295">
        <v>3.7808839999999999</v>
      </c>
      <c r="I951" s="295">
        <v>3.8446009999999999</v>
      </c>
      <c r="J951" s="295">
        <v>3.8910640000000001</v>
      </c>
      <c r="K951" s="295">
        <v>3.9474309999999999</v>
      </c>
      <c r="L951" s="295">
        <v>4.007949</v>
      </c>
      <c r="M951" s="295">
        <v>4.0839610000000004</v>
      </c>
      <c r="N951" s="295">
        <v>4.1540080000000001</v>
      </c>
      <c r="O951" s="295">
        <v>4.2024189999999999</v>
      </c>
      <c r="P951" s="295">
        <v>4.2594240000000001</v>
      </c>
      <c r="Q951" s="295">
        <v>4.3254060000000001</v>
      </c>
      <c r="R951" s="295">
        <v>4.3904909999999999</v>
      </c>
      <c r="S951" s="295">
        <v>4.431451</v>
      </c>
      <c r="T951" s="295">
        <v>4.4812190000000003</v>
      </c>
      <c r="U951" s="295">
        <v>4.5287040000000003</v>
      </c>
      <c r="V951" s="295">
        <v>4.5524360000000001</v>
      </c>
      <c r="W951" s="295">
        <v>4.5590960000000003</v>
      </c>
      <c r="X951" s="295">
        <v>4.5804999999999998</v>
      </c>
      <c r="Y951" s="295">
        <v>4.6293230000000003</v>
      </c>
      <c r="Z951" s="295">
        <v>4.6679969999999997</v>
      </c>
      <c r="AA951" s="295">
        <v>4.6871340000000004</v>
      </c>
      <c r="AB951" s="295">
        <v>4.7192749999999997</v>
      </c>
      <c r="AC951" s="295">
        <v>4.7469349999999997</v>
      </c>
      <c r="AD951" s="295">
        <v>4.7764439999999997</v>
      </c>
      <c r="AE951" s="295">
        <v>4.8069559999999996</v>
      </c>
      <c r="AF951" s="295">
        <v>4.8675509999999997</v>
      </c>
      <c r="AG951" s="295">
        <v>4.9183940000000002</v>
      </c>
      <c r="AH951" s="296">
        <v>1.6934999999999999E-2</v>
      </c>
    </row>
    <row r="952" spans="1:34" ht="15" customHeight="1" x14ac:dyDescent="0.25">
      <c r="A952" s="213" t="s">
        <v>1742</v>
      </c>
      <c r="B952" s="294" t="s">
        <v>1743</v>
      </c>
      <c r="C952" s="295">
        <v>0.42499999999999999</v>
      </c>
      <c r="D952" s="295">
        <v>0.4239</v>
      </c>
      <c r="E952" s="295">
        <v>0.4239</v>
      </c>
      <c r="F952" s="295">
        <v>0.422732</v>
      </c>
      <c r="G952" s="295">
        <v>0.422732</v>
      </c>
      <c r="H952" s="295">
        <v>0.422732</v>
      </c>
      <c r="I952" s="295">
        <v>0.422732</v>
      </c>
      <c r="J952" s="295">
        <v>0.422732</v>
      </c>
      <c r="K952" s="295">
        <v>0.422732</v>
      </c>
      <c r="L952" s="295">
        <v>0.422732</v>
      </c>
      <c r="M952" s="295">
        <v>0.422732</v>
      </c>
      <c r="N952" s="295">
        <v>0.422732</v>
      </c>
      <c r="O952" s="295">
        <v>0.422732</v>
      </c>
      <c r="P952" s="295">
        <v>0.422732</v>
      </c>
      <c r="Q952" s="295">
        <v>0.422732</v>
      </c>
      <c r="R952" s="295">
        <v>0.422732</v>
      </c>
      <c r="S952" s="295">
        <v>0.422732</v>
      </c>
      <c r="T952" s="295">
        <v>0.422732</v>
      </c>
      <c r="U952" s="295">
        <v>0.422732</v>
      </c>
      <c r="V952" s="295">
        <v>0.422732</v>
      </c>
      <c r="W952" s="295">
        <v>0.422732</v>
      </c>
      <c r="X952" s="295">
        <v>0.422732</v>
      </c>
      <c r="Y952" s="295">
        <v>0.422732</v>
      </c>
      <c r="Z952" s="295">
        <v>0.422732</v>
      </c>
      <c r="AA952" s="295">
        <v>0.422732</v>
      </c>
      <c r="AB952" s="295">
        <v>0.422732</v>
      </c>
      <c r="AC952" s="295">
        <v>0.422732</v>
      </c>
      <c r="AD952" s="295">
        <v>0.422732</v>
      </c>
      <c r="AE952" s="295">
        <v>0.422732</v>
      </c>
      <c r="AF952" s="295">
        <v>0.422732</v>
      </c>
      <c r="AG952" s="295">
        <v>0.422732</v>
      </c>
      <c r="AH952" s="296">
        <v>-1.7799999999999999E-4</v>
      </c>
    </row>
    <row r="953" spans="1:34" ht="15" customHeight="1" x14ac:dyDescent="0.25">
      <c r="A953" s="213" t="s">
        <v>1744</v>
      </c>
      <c r="B953" s="294" t="s">
        <v>1711</v>
      </c>
      <c r="C953" s="295">
        <v>0.238015</v>
      </c>
      <c r="D953" s="295">
        <v>0.25910300000000003</v>
      </c>
      <c r="E953" s="295">
        <v>0.26631300000000002</v>
      </c>
      <c r="F953" s="295">
        <v>0.27327800000000002</v>
      </c>
      <c r="G953" s="295">
        <v>0.27912900000000002</v>
      </c>
      <c r="H953" s="295">
        <v>0.28532800000000003</v>
      </c>
      <c r="I953" s="295">
        <v>0.29039700000000002</v>
      </c>
      <c r="J953" s="295">
        <v>0.294377</v>
      </c>
      <c r="K953" s="295">
        <v>0.29767700000000002</v>
      </c>
      <c r="L953" s="295">
        <v>0.30102400000000001</v>
      </c>
      <c r="M953" s="295">
        <v>0.30452699999999999</v>
      </c>
      <c r="N953" s="295">
        <v>0.30830000000000002</v>
      </c>
      <c r="O953" s="295">
        <v>0.311921</v>
      </c>
      <c r="P953" s="295">
        <v>0.31528600000000001</v>
      </c>
      <c r="Q953" s="295">
        <v>0.31899899999999998</v>
      </c>
      <c r="R953" s="295">
        <v>0.322577</v>
      </c>
      <c r="S953" s="295">
        <v>0.32566400000000001</v>
      </c>
      <c r="T953" s="295">
        <v>0.32882299999999998</v>
      </c>
      <c r="U953" s="295">
        <v>0.33240199999999998</v>
      </c>
      <c r="V953" s="295">
        <v>0.336007</v>
      </c>
      <c r="W953" s="295">
        <v>0.33976299999999998</v>
      </c>
      <c r="X953" s="295">
        <v>0.34373100000000001</v>
      </c>
      <c r="Y953" s="295">
        <v>0.34798699999999999</v>
      </c>
      <c r="Z953" s="295">
        <v>0.352715</v>
      </c>
      <c r="AA953" s="295">
        <v>0.357547</v>
      </c>
      <c r="AB953" s="295">
        <v>0.36209200000000002</v>
      </c>
      <c r="AC953" s="295">
        <v>0.36675999999999997</v>
      </c>
      <c r="AD953" s="295">
        <v>0.371305</v>
      </c>
      <c r="AE953" s="295">
        <v>0.37608799999999998</v>
      </c>
      <c r="AF953" s="295">
        <v>0.38109399999999999</v>
      </c>
      <c r="AG953" s="295">
        <v>0.38614799999999999</v>
      </c>
      <c r="AH953" s="296">
        <v>1.626E-2</v>
      </c>
    </row>
    <row r="954" spans="1:34" ht="15" customHeight="1" x14ac:dyDescent="0.25">
      <c r="A954" s="213" t="s">
        <v>1745</v>
      </c>
      <c r="B954" s="294" t="s">
        <v>1058</v>
      </c>
      <c r="C954" s="295">
        <v>1.132881</v>
      </c>
      <c r="D954" s="295">
        <v>1.191954</v>
      </c>
      <c r="E954" s="295">
        <v>1.218216</v>
      </c>
      <c r="F954" s="295">
        <v>1.2388760000000001</v>
      </c>
      <c r="G954" s="295">
        <v>1.261172</v>
      </c>
      <c r="H954" s="295">
        <v>1.2878019999999999</v>
      </c>
      <c r="I954" s="295">
        <v>1.3116760000000001</v>
      </c>
      <c r="J954" s="295">
        <v>1.330589</v>
      </c>
      <c r="K954" s="295">
        <v>1.3454930000000001</v>
      </c>
      <c r="L954" s="295">
        <v>1.361019</v>
      </c>
      <c r="M954" s="295">
        <v>1.378233</v>
      </c>
      <c r="N954" s="295">
        <v>1.397494</v>
      </c>
      <c r="O954" s="295">
        <v>1.4152340000000001</v>
      </c>
      <c r="P954" s="295">
        <v>1.4319219999999999</v>
      </c>
      <c r="Q954" s="295">
        <v>1.4502619999999999</v>
      </c>
      <c r="R954" s="295">
        <v>1.469061</v>
      </c>
      <c r="S954" s="295">
        <v>1.4848619999999999</v>
      </c>
      <c r="T954" s="295">
        <v>1.500089</v>
      </c>
      <c r="U954" s="295">
        <v>1.5176810000000001</v>
      </c>
      <c r="V954" s="295">
        <v>1.5353019999999999</v>
      </c>
      <c r="W954" s="295">
        <v>1.552948</v>
      </c>
      <c r="X954" s="295">
        <v>1.5730379999999999</v>
      </c>
      <c r="Y954" s="295">
        <v>1.5948310000000001</v>
      </c>
      <c r="Z954" s="295">
        <v>1.6189</v>
      </c>
      <c r="AA954" s="295">
        <v>1.643961</v>
      </c>
      <c r="AB954" s="295">
        <v>1.6683220000000001</v>
      </c>
      <c r="AC954" s="295">
        <v>1.692229</v>
      </c>
      <c r="AD954" s="295">
        <v>1.715713</v>
      </c>
      <c r="AE954" s="295">
        <v>1.7410429999999999</v>
      </c>
      <c r="AF954" s="295">
        <v>1.768589</v>
      </c>
      <c r="AG954" s="295">
        <v>1.796802</v>
      </c>
      <c r="AH954" s="296">
        <v>1.5494000000000001E-2</v>
      </c>
    </row>
    <row r="955" spans="1:34" ht="15" customHeight="1" x14ac:dyDescent="0.25">
      <c r="A955" s="213" t="s">
        <v>1746</v>
      </c>
      <c r="B955" s="294" t="s">
        <v>1060</v>
      </c>
      <c r="C955" s="295">
        <v>3.0329999999999999E-2</v>
      </c>
      <c r="D955" s="295">
        <v>3.4084000000000003E-2</v>
      </c>
      <c r="E955" s="295">
        <v>3.4750999999999997E-2</v>
      </c>
      <c r="F955" s="295">
        <v>3.4202999999999997E-2</v>
      </c>
      <c r="G955" s="295">
        <v>3.3766999999999998E-2</v>
      </c>
      <c r="H955" s="295">
        <v>3.4161999999999998E-2</v>
      </c>
      <c r="I955" s="295">
        <v>3.4610000000000002E-2</v>
      </c>
      <c r="J955" s="295">
        <v>3.5263999999999997E-2</v>
      </c>
      <c r="K955" s="295">
        <v>3.5737999999999999E-2</v>
      </c>
      <c r="L955" s="295">
        <v>3.6353000000000003E-2</v>
      </c>
      <c r="M955" s="295">
        <v>3.6901999999999997E-2</v>
      </c>
      <c r="N955" s="295">
        <v>3.7472999999999999E-2</v>
      </c>
      <c r="O955" s="295">
        <v>3.7623999999999998E-2</v>
      </c>
      <c r="P955" s="295">
        <v>3.8008E-2</v>
      </c>
      <c r="Q955" s="295">
        <v>3.8370000000000001E-2</v>
      </c>
      <c r="R955" s="295">
        <v>3.8572000000000002E-2</v>
      </c>
      <c r="S955" s="295">
        <v>3.8747999999999998E-2</v>
      </c>
      <c r="T955" s="295">
        <v>3.9002000000000002E-2</v>
      </c>
      <c r="U955" s="295">
        <v>3.9153E-2</v>
      </c>
      <c r="V955" s="295">
        <v>3.9356000000000002E-2</v>
      </c>
      <c r="W955" s="295">
        <v>3.9150999999999998E-2</v>
      </c>
      <c r="X955" s="295">
        <v>3.9204000000000003E-2</v>
      </c>
      <c r="Y955" s="295">
        <v>3.9435999999999999E-2</v>
      </c>
      <c r="Z955" s="295">
        <v>3.9724000000000002E-2</v>
      </c>
      <c r="AA955" s="295">
        <v>3.9949999999999999E-2</v>
      </c>
      <c r="AB955" s="295">
        <v>4.0079999999999998E-2</v>
      </c>
      <c r="AC955" s="295">
        <v>4.0253999999999998E-2</v>
      </c>
      <c r="AD955" s="295">
        <v>4.0475999999999998E-2</v>
      </c>
      <c r="AE955" s="295">
        <v>4.0728E-2</v>
      </c>
      <c r="AF955" s="295">
        <v>4.1022000000000003E-2</v>
      </c>
      <c r="AG955" s="295">
        <v>4.1235000000000001E-2</v>
      </c>
      <c r="AH955" s="296">
        <v>1.0291E-2</v>
      </c>
    </row>
    <row r="956" spans="1:34" ht="15" customHeight="1" x14ac:dyDescent="0.25">
      <c r="A956" s="213" t="s">
        <v>1747</v>
      </c>
      <c r="B956" s="294" t="s">
        <v>1077</v>
      </c>
      <c r="C956" s="295">
        <v>0.58092500000000002</v>
      </c>
      <c r="D956" s="295">
        <v>0.60737300000000005</v>
      </c>
      <c r="E956" s="295">
        <v>0.64119300000000001</v>
      </c>
      <c r="F956" s="295">
        <v>0.64207400000000003</v>
      </c>
      <c r="G956" s="295">
        <v>0.64420200000000005</v>
      </c>
      <c r="H956" s="295">
        <v>0.64595999999999998</v>
      </c>
      <c r="I956" s="295">
        <v>0.64704899999999999</v>
      </c>
      <c r="J956" s="295">
        <v>0.64783100000000005</v>
      </c>
      <c r="K956" s="295">
        <v>0.64876900000000004</v>
      </c>
      <c r="L956" s="295">
        <v>0.64976400000000001</v>
      </c>
      <c r="M956" s="295">
        <v>0.65099600000000002</v>
      </c>
      <c r="N956" s="295">
        <v>0.65211300000000005</v>
      </c>
      <c r="O956" s="295">
        <v>0.65287300000000004</v>
      </c>
      <c r="P956" s="295">
        <v>0.65375799999999995</v>
      </c>
      <c r="Q956" s="295">
        <v>0.65477099999999999</v>
      </c>
      <c r="R956" s="295">
        <v>0.65575600000000001</v>
      </c>
      <c r="S956" s="295">
        <v>0.65636799999999995</v>
      </c>
      <c r="T956" s="295">
        <v>0.65710500000000005</v>
      </c>
      <c r="U956" s="295">
        <v>0.65780099999999997</v>
      </c>
      <c r="V956" s="295">
        <v>0.65814600000000001</v>
      </c>
      <c r="W956" s="295">
        <v>0.65824199999999999</v>
      </c>
      <c r="X956" s="295">
        <v>0.658551</v>
      </c>
      <c r="Y956" s="295">
        <v>0.65925299999999998</v>
      </c>
      <c r="Z956" s="295">
        <v>0.65980399999999995</v>
      </c>
      <c r="AA956" s="295">
        <v>0.66007499999999997</v>
      </c>
      <c r="AB956" s="295">
        <v>0.66052699999999998</v>
      </c>
      <c r="AC956" s="295">
        <v>0.660914</v>
      </c>
      <c r="AD956" s="295">
        <v>0.66132500000000005</v>
      </c>
      <c r="AE956" s="295">
        <v>0.661748</v>
      </c>
      <c r="AF956" s="295">
        <v>0.662582</v>
      </c>
      <c r="AG956" s="295">
        <v>0.66327400000000003</v>
      </c>
      <c r="AH956" s="296">
        <v>4.4289999999999998E-3</v>
      </c>
    </row>
    <row r="957" spans="1:34" ht="15" customHeight="1" x14ac:dyDescent="0.25">
      <c r="A957" s="213" t="s">
        <v>1748</v>
      </c>
      <c r="B957" s="294" t="s">
        <v>1749</v>
      </c>
      <c r="C957" s="295">
        <v>4.3596000000000003E-2</v>
      </c>
      <c r="D957" s="295">
        <v>4.7740999999999999E-2</v>
      </c>
      <c r="E957" s="295">
        <v>6.1483000000000003E-2</v>
      </c>
      <c r="F957" s="295">
        <v>6.7602999999999996E-2</v>
      </c>
      <c r="G957" s="295">
        <v>6.6983000000000001E-2</v>
      </c>
      <c r="H957" s="295">
        <v>6.9497000000000003E-2</v>
      </c>
      <c r="I957" s="295">
        <v>7.2464000000000001E-2</v>
      </c>
      <c r="J957" s="295">
        <v>7.8329999999999997E-2</v>
      </c>
      <c r="K957" s="295">
        <v>8.0948999999999993E-2</v>
      </c>
      <c r="L957" s="295">
        <v>8.4821999999999995E-2</v>
      </c>
      <c r="M957" s="295">
        <v>8.8486999999999996E-2</v>
      </c>
      <c r="N957" s="295">
        <v>9.1504000000000002E-2</v>
      </c>
      <c r="O957" s="295">
        <v>9.1662999999999994E-2</v>
      </c>
      <c r="P957" s="295">
        <v>9.2786999999999994E-2</v>
      </c>
      <c r="Q957" s="295">
        <v>9.3377000000000002E-2</v>
      </c>
      <c r="R957" s="295">
        <v>9.4112000000000001E-2</v>
      </c>
      <c r="S957" s="295">
        <v>9.4785999999999995E-2</v>
      </c>
      <c r="T957" s="295">
        <v>9.5656000000000005E-2</v>
      </c>
      <c r="U957" s="295">
        <v>9.5792000000000002E-2</v>
      </c>
      <c r="V957" s="295">
        <v>9.6472000000000002E-2</v>
      </c>
      <c r="W957" s="295">
        <v>9.3546000000000004E-2</v>
      </c>
      <c r="X957" s="295">
        <v>9.3280000000000002E-2</v>
      </c>
      <c r="Y957" s="295">
        <v>9.3645000000000006E-2</v>
      </c>
      <c r="Z957" s="295">
        <v>9.4105999999999995E-2</v>
      </c>
      <c r="AA957" s="295">
        <v>9.4453999999999996E-2</v>
      </c>
      <c r="AB957" s="295">
        <v>9.5227000000000006E-2</v>
      </c>
      <c r="AC957" s="295">
        <v>9.5274999999999999E-2</v>
      </c>
      <c r="AD957" s="295">
        <v>9.5739000000000005E-2</v>
      </c>
      <c r="AE957" s="295">
        <v>9.6654000000000004E-2</v>
      </c>
      <c r="AF957" s="295">
        <v>9.7919999999999993E-2</v>
      </c>
      <c r="AG957" s="295">
        <v>9.9004999999999996E-2</v>
      </c>
      <c r="AH957" s="296">
        <v>2.7716999999999999E-2</v>
      </c>
    </row>
    <row r="958" spans="1:34" ht="15" customHeight="1" x14ac:dyDescent="0.25">
      <c r="A958" s="213" t="s">
        <v>1750</v>
      </c>
      <c r="B958" s="294" t="s">
        <v>1715</v>
      </c>
      <c r="C958" s="295">
        <v>0.84177000000000002</v>
      </c>
      <c r="D958" s="295">
        <v>0.86848599999999998</v>
      </c>
      <c r="E958" s="295">
        <v>0.85349699999999995</v>
      </c>
      <c r="F958" s="295">
        <v>0.85684400000000005</v>
      </c>
      <c r="G958" s="295">
        <v>0.86403600000000003</v>
      </c>
      <c r="H958" s="295">
        <v>0.87042200000000003</v>
      </c>
      <c r="I958" s="295">
        <v>0.87478100000000003</v>
      </c>
      <c r="J958" s="295">
        <v>0.87902100000000005</v>
      </c>
      <c r="K958" s="295">
        <v>0.88453400000000004</v>
      </c>
      <c r="L958" s="295">
        <v>0.89135900000000001</v>
      </c>
      <c r="M958" s="295">
        <v>0.89999600000000002</v>
      </c>
      <c r="N958" s="295">
        <v>0.909941</v>
      </c>
      <c r="O958" s="295">
        <v>0.92013500000000004</v>
      </c>
      <c r="P958" s="295">
        <v>0.93057100000000004</v>
      </c>
      <c r="Q958" s="295">
        <v>0.94347700000000001</v>
      </c>
      <c r="R958" s="295">
        <v>0.95466499999999999</v>
      </c>
      <c r="S958" s="295">
        <v>0.96540999999999999</v>
      </c>
      <c r="T958" s="295">
        <v>0.976831</v>
      </c>
      <c r="U958" s="295">
        <v>0.98982300000000001</v>
      </c>
      <c r="V958" s="295">
        <v>0.99816899999999997</v>
      </c>
      <c r="W958" s="295">
        <v>1.010343</v>
      </c>
      <c r="X958" s="295">
        <v>1.0230809999999999</v>
      </c>
      <c r="Y958" s="295">
        <v>1.0366709999999999</v>
      </c>
      <c r="Z958" s="295">
        <v>1.0515890000000001</v>
      </c>
      <c r="AA958" s="295">
        <v>1.067855</v>
      </c>
      <c r="AB958" s="295">
        <v>1.0848230000000001</v>
      </c>
      <c r="AC958" s="295">
        <v>1.1026929999999999</v>
      </c>
      <c r="AD958" s="295">
        <v>1.121462</v>
      </c>
      <c r="AE958" s="295">
        <v>1.1407529999999999</v>
      </c>
      <c r="AF958" s="295">
        <v>1.1608099999999999</v>
      </c>
      <c r="AG958" s="295">
        <v>1.1814910000000001</v>
      </c>
      <c r="AH958" s="296">
        <v>1.1365E-2</v>
      </c>
    </row>
    <row r="959" spans="1:34" ht="15" customHeight="1" x14ac:dyDescent="0.25">
      <c r="A959" s="213" t="s">
        <v>1751</v>
      </c>
      <c r="B959" s="294" t="s">
        <v>1752</v>
      </c>
      <c r="C959" s="295">
        <v>0.52381</v>
      </c>
      <c r="D959" s="295">
        <v>0.41291899999999998</v>
      </c>
      <c r="E959" s="295">
        <v>0.43029699999999999</v>
      </c>
      <c r="F959" s="295">
        <v>0.41761300000000001</v>
      </c>
      <c r="G959" s="295">
        <v>0.40156700000000001</v>
      </c>
      <c r="H959" s="295">
        <v>0.39910299999999999</v>
      </c>
      <c r="I959" s="295">
        <v>0.39920499999999998</v>
      </c>
      <c r="J959" s="295">
        <v>0.41187699999999999</v>
      </c>
      <c r="K959" s="295">
        <v>0.41908200000000001</v>
      </c>
      <c r="L959" s="295">
        <v>0.43041400000000002</v>
      </c>
      <c r="M959" s="295">
        <v>0.438307</v>
      </c>
      <c r="N959" s="295">
        <v>0.44634699999999999</v>
      </c>
      <c r="O959" s="295">
        <v>0.44881100000000002</v>
      </c>
      <c r="P959" s="295">
        <v>0.45513500000000001</v>
      </c>
      <c r="Q959" s="295">
        <v>0.46030500000000002</v>
      </c>
      <c r="R959" s="295">
        <v>0.46415800000000002</v>
      </c>
      <c r="S959" s="295">
        <v>0.46723399999999998</v>
      </c>
      <c r="T959" s="295">
        <v>0.47123700000000002</v>
      </c>
      <c r="U959" s="295">
        <v>0.472167</v>
      </c>
      <c r="V959" s="295">
        <v>0.474993</v>
      </c>
      <c r="W959" s="295">
        <v>0.46459899999999998</v>
      </c>
      <c r="X959" s="295">
        <v>0.46420600000000001</v>
      </c>
      <c r="Y959" s="295">
        <v>0.46570800000000001</v>
      </c>
      <c r="Z959" s="295">
        <v>0.46753</v>
      </c>
      <c r="AA959" s="295">
        <v>0.46970400000000001</v>
      </c>
      <c r="AB959" s="295">
        <v>0.47364099999999998</v>
      </c>
      <c r="AC959" s="295">
        <v>0.47513</v>
      </c>
      <c r="AD959" s="295">
        <v>0.478325</v>
      </c>
      <c r="AE959" s="295">
        <v>0.48349799999999998</v>
      </c>
      <c r="AF959" s="295">
        <v>0.4904</v>
      </c>
      <c r="AG959" s="295">
        <v>0.49636000000000002</v>
      </c>
      <c r="AH959" s="296">
        <v>-1.7930000000000001E-3</v>
      </c>
    </row>
    <row r="960" spans="1:34" ht="15" customHeight="1" x14ac:dyDescent="0.25">
      <c r="A960" s="213" t="s">
        <v>1753</v>
      </c>
      <c r="B960" s="294" t="s">
        <v>1040</v>
      </c>
      <c r="C960" s="295">
        <v>6.5141229999999997</v>
      </c>
      <c r="D960" s="295">
        <v>6.8007070000000001</v>
      </c>
      <c r="E960" s="295">
        <v>7.1576009999999997</v>
      </c>
      <c r="F960" s="295">
        <v>7.3068520000000001</v>
      </c>
      <c r="G960" s="295">
        <v>7.443797</v>
      </c>
      <c r="H960" s="295">
        <v>7.5869150000000003</v>
      </c>
      <c r="I960" s="295">
        <v>7.6899319999999998</v>
      </c>
      <c r="J960" s="295">
        <v>7.7853630000000003</v>
      </c>
      <c r="K960" s="295">
        <v>7.8776169999999999</v>
      </c>
      <c r="L960" s="295">
        <v>7.9821030000000004</v>
      </c>
      <c r="M960" s="295">
        <v>8.1023820000000004</v>
      </c>
      <c r="N960" s="295">
        <v>8.2201579999999996</v>
      </c>
      <c r="O960" s="295">
        <v>8.3064129999999992</v>
      </c>
      <c r="P960" s="295">
        <v>8.4047909999999995</v>
      </c>
      <c r="Q960" s="295">
        <v>8.5153890000000008</v>
      </c>
      <c r="R960" s="295">
        <v>8.6224419999999995</v>
      </c>
      <c r="S960" s="295">
        <v>8.6998599999999993</v>
      </c>
      <c r="T960" s="295">
        <v>8.7876720000000006</v>
      </c>
      <c r="U960" s="295">
        <v>8.8737820000000003</v>
      </c>
      <c r="V960" s="295">
        <v>8.9338339999999992</v>
      </c>
      <c r="W960" s="295">
        <v>8.9626400000000004</v>
      </c>
      <c r="X960" s="295">
        <v>9.0231960000000004</v>
      </c>
      <c r="Y960" s="295">
        <v>9.1174739999999996</v>
      </c>
      <c r="Z960" s="295">
        <v>9.2062469999999994</v>
      </c>
      <c r="AA960" s="295">
        <v>9.2780719999999999</v>
      </c>
      <c r="AB960" s="295">
        <v>9.3650459999999995</v>
      </c>
      <c r="AC960" s="295">
        <v>9.444445</v>
      </c>
      <c r="AD960" s="295">
        <v>9.5282330000000002</v>
      </c>
      <c r="AE960" s="295">
        <v>9.6184840000000005</v>
      </c>
      <c r="AF960" s="295">
        <v>9.7448370000000004</v>
      </c>
      <c r="AG960" s="295">
        <v>9.8615270000000006</v>
      </c>
      <c r="AH960" s="296">
        <v>1.3918E-2</v>
      </c>
    </row>
    <row r="961" spans="1:34" ht="15" customHeight="1" x14ac:dyDescent="0.25">
      <c r="A961" s="213" t="s">
        <v>1754</v>
      </c>
      <c r="B961" s="294" t="s">
        <v>1717</v>
      </c>
      <c r="C961" s="295">
        <v>6.4405960000000002</v>
      </c>
      <c r="D961" s="295">
        <v>6.2505030000000001</v>
      </c>
      <c r="E961" s="295">
        <v>6.4795350000000003</v>
      </c>
      <c r="F961" s="295">
        <v>6.6690659999999999</v>
      </c>
      <c r="G961" s="295">
        <v>6.9138440000000001</v>
      </c>
      <c r="H961" s="295">
        <v>7.0762830000000001</v>
      </c>
      <c r="I961" s="295">
        <v>7.1646879999999999</v>
      </c>
      <c r="J961" s="295">
        <v>7.1868689999999997</v>
      </c>
      <c r="K961" s="295">
        <v>7.2228060000000003</v>
      </c>
      <c r="L961" s="295">
        <v>7.249816</v>
      </c>
      <c r="M961" s="295">
        <v>7.2953530000000004</v>
      </c>
      <c r="N961" s="295">
        <v>7.3358400000000001</v>
      </c>
      <c r="O961" s="295">
        <v>7.3679889999999997</v>
      </c>
      <c r="P961" s="295">
        <v>7.3938079999999999</v>
      </c>
      <c r="Q961" s="295">
        <v>7.4468930000000002</v>
      </c>
      <c r="R961" s="295">
        <v>7.5157480000000003</v>
      </c>
      <c r="S961" s="295">
        <v>7.5669420000000001</v>
      </c>
      <c r="T961" s="295">
        <v>7.6263319999999997</v>
      </c>
      <c r="U961" s="295">
        <v>7.7027279999999996</v>
      </c>
      <c r="V961" s="295">
        <v>7.7576159999999996</v>
      </c>
      <c r="W961" s="295">
        <v>7.8438499999999998</v>
      </c>
      <c r="X961" s="295">
        <v>7.9203789999999996</v>
      </c>
      <c r="Y961" s="295">
        <v>8.0255969999999994</v>
      </c>
      <c r="Z961" s="295">
        <v>8.1305080000000007</v>
      </c>
      <c r="AA961" s="295">
        <v>8.2107980000000005</v>
      </c>
      <c r="AB961" s="295">
        <v>8.291067</v>
      </c>
      <c r="AC961" s="295">
        <v>8.3776869999999999</v>
      </c>
      <c r="AD961" s="295">
        <v>8.4581280000000003</v>
      </c>
      <c r="AE961" s="295">
        <v>8.538043</v>
      </c>
      <c r="AF961" s="295">
        <v>8.6421270000000003</v>
      </c>
      <c r="AG961" s="295">
        <v>8.7514099999999999</v>
      </c>
      <c r="AH961" s="296">
        <v>1.0272E-2</v>
      </c>
    </row>
    <row r="962" spans="1:34" ht="15" customHeight="1" x14ac:dyDescent="0.25">
      <c r="A962" s="213" t="s">
        <v>1755</v>
      </c>
      <c r="B962" s="294" t="s">
        <v>1719</v>
      </c>
      <c r="C962" s="295">
        <v>0.57079999999999997</v>
      </c>
      <c r="D962" s="295">
        <v>0.60980000000000001</v>
      </c>
      <c r="E962" s="295">
        <v>0.62839999999999996</v>
      </c>
      <c r="F962" s="295">
        <v>0.63283999999999996</v>
      </c>
      <c r="G962" s="295">
        <v>0.64566500000000004</v>
      </c>
      <c r="H962" s="295">
        <v>0.65588199999999997</v>
      </c>
      <c r="I962" s="295">
        <v>0.66481299999999999</v>
      </c>
      <c r="J962" s="295">
        <v>0.67093400000000003</v>
      </c>
      <c r="K962" s="295">
        <v>0.67708500000000005</v>
      </c>
      <c r="L962" s="295">
        <v>0.68498800000000004</v>
      </c>
      <c r="M962" s="295">
        <v>0.69430499999999995</v>
      </c>
      <c r="N962" s="295">
        <v>0.70342700000000002</v>
      </c>
      <c r="O962" s="295">
        <v>0.71518400000000004</v>
      </c>
      <c r="P962" s="295">
        <v>0.72030300000000003</v>
      </c>
      <c r="Q962" s="295">
        <v>0.727163</v>
      </c>
      <c r="R962" s="295">
        <v>0.73265599999999997</v>
      </c>
      <c r="S962" s="295">
        <v>0.73603799999999997</v>
      </c>
      <c r="T962" s="295">
        <v>0.74158299999999999</v>
      </c>
      <c r="U962" s="295">
        <v>0.74722200000000005</v>
      </c>
      <c r="V962" s="295">
        <v>0.74995699999999998</v>
      </c>
      <c r="W962" s="295">
        <v>0.74965400000000004</v>
      </c>
      <c r="X962" s="295">
        <v>0.75123099999999998</v>
      </c>
      <c r="Y962" s="295">
        <v>0.75631499999999996</v>
      </c>
      <c r="Z962" s="295">
        <v>0.76146899999999995</v>
      </c>
      <c r="AA962" s="295">
        <v>0.76363300000000001</v>
      </c>
      <c r="AB962" s="295">
        <v>0.76646000000000003</v>
      </c>
      <c r="AC962" s="295">
        <v>0.76779799999999998</v>
      </c>
      <c r="AD962" s="295">
        <v>0.76991399999999999</v>
      </c>
      <c r="AE962" s="295">
        <v>0.77229400000000004</v>
      </c>
      <c r="AF962" s="295">
        <v>0.77788100000000004</v>
      </c>
      <c r="AG962" s="295">
        <v>0.78294799999999998</v>
      </c>
      <c r="AH962" s="296">
        <v>1.059E-2</v>
      </c>
    </row>
    <row r="963" spans="1:34" ht="15" customHeight="1" x14ac:dyDescent="0.25">
      <c r="A963" s="213" t="s">
        <v>1756</v>
      </c>
      <c r="B963" s="294" t="s">
        <v>1757</v>
      </c>
      <c r="C963" s="295">
        <v>1.865005</v>
      </c>
      <c r="D963" s="295">
        <v>1.807725</v>
      </c>
      <c r="E963" s="295">
        <v>1.880965</v>
      </c>
      <c r="F963" s="295">
        <v>1.9408570000000001</v>
      </c>
      <c r="G963" s="295">
        <v>1.9565490000000001</v>
      </c>
      <c r="H963" s="295">
        <v>2.009153</v>
      </c>
      <c r="I963" s="295">
        <v>2.0434899999999998</v>
      </c>
      <c r="J963" s="295">
        <v>2.0588169999999999</v>
      </c>
      <c r="K963" s="295">
        <v>2.077655</v>
      </c>
      <c r="L963" s="295">
        <v>2.095453</v>
      </c>
      <c r="M963" s="295">
        <v>2.1270380000000002</v>
      </c>
      <c r="N963" s="295">
        <v>2.1532659999999999</v>
      </c>
      <c r="O963" s="295">
        <v>2.1734019999999998</v>
      </c>
      <c r="P963" s="295">
        <v>2.2095530000000001</v>
      </c>
      <c r="Q963" s="295">
        <v>2.2339820000000001</v>
      </c>
      <c r="R963" s="295">
        <v>2.2352430000000001</v>
      </c>
      <c r="S963" s="295">
        <v>2.2360989999999998</v>
      </c>
      <c r="T963" s="295">
        <v>2.2449379999999999</v>
      </c>
      <c r="U963" s="295">
        <v>2.2523170000000001</v>
      </c>
      <c r="V963" s="295">
        <v>2.2709450000000002</v>
      </c>
      <c r="W963" s="295">
        <v>2.2919559999999999</v>
      </c>
      <c r="X963" s="295">
        <v>2.306597</v>
      </c>
      <c r="Y963" s="295">
        <v>2.3343180000000001</v>
      </c>
      <c r="Z963" s="295">
        <v>2.374781</v>
      </c>
      <c r="AA963" s="295">
        <v>2.3952939999999998</v>
      </c>
      <c r="AB963" s="295">
        <v>2.3954260000000001</v>
      </c>
      <c r="AC963" s="295">
        <v>2.4161999999999999</v>
      </c>
      <c r="AD963" s="295">
        <v>2.424982</v>
      </c>
      <c r="AE963" s="295">
        <v>2.4366409999999998</v>
      </c>
      <c r="AF963" s="295">
        <v>2.4378600000000001</v>
      </c>
      <c r="AG963" s="295">
        <v>2.4408089999999998</v>
      </c>
      <c r="AH963" s="296">
        <v>9.0089999999999996E-3</v>
      </c>
    </row>
    <row r="964" spans="1:34" ht="15" customHeight="1" x14ac:dyDescent="0.25">
      <c r="A964" s="213" t="s">
        <v>1758</v>
      </c>
      <c r="B964" s="294" t="s">
        <v>1759</v>
      </c>
      <c r="C964" s="295">
        <v>0.35997099999999999</v>
      </c>
      <c r="D964" s="295">
        <v>0.495002</v>
      </c>
      <c r="E964" s="295">
        <v>0.48645500000000003</v>
      </c>
      <c r="F964" s="295">
        <v>0.49248599999999998</v>
      </c>
      <c r="G964" s="295">
        <v>0.55064999999999997</v>
      </c>
      <c r="H964" s="295">
        <v>0.63718900000000001</v>
      </c>
      <c r="I964" s="295">
        <v>0.68829200000000001</v>
      </c>
      <c r="J964" s="295">
        <v>0.68829200000000001</v>
      </c>
      <c r="K964" s="295">
        <v>0.70573300000000005</v>
      </c>
      <c r="L964" s="295">
        <v>0.73495699999999997</v>
      </c>
      <c r="M964" s="295">
        <v>0.76606700000000005</v>
      </c>
      <c r="N964" s="295">
        <v>0.78162200000000004</v>
      </c>
      <c r="O964" s="295">
        <v>0.78350799999999998</v>
      </c>
      <c r="P964" s="295">
        <v>0.78162200000000004</v>
      </c>
      <c r="Q964" s="295">
        <v>0.78162200000000004</v>
      </c>
      <c r="R964" s="295">
        <v>0.78162200000000004</v>
      </c>
      <c r="S964" s="295">
        <v>0.78350799999999998</v>
      </c>
      <c r="T964" s="295">
        <v>0.78162200000000004</v>
      </c>
      <c r="U964" s="295">
        <v>0.78162200000000004</v>
      </c>
      <c r="V964" s="295">
        <v>0.78162200000000004</v>
      </c>
      <c r="W964" s="295">
        <v>0.78350799999999998</v>
      </c>
      <c r="X964" s="295">
        <v>0.78162200000000004</v>
      </c>
      <c r="Y964" s="295">
        <v>0.78162200000000004</v>
      </c>
      <c r="Z964" s="295">
        <v>0.78162200000000004</v>
      </c>
      <c r="AA964" s="295">
        <v>0.78350799999999998</v>
      </c>
      <c r="AB964" s="295">
        <v>0.78162200000000004</v>
      </c>
      <c r="AC964" s="295">
        <v>0.78162200000000004</v>
      </c>
      <c r="AD964" s="295">
        <v>0.78162200000000004</v>
      </c>
      <c r="AE964" s="295">
        <v>0.78350799999999998</v>
      </c>
      <c r="AF964" s="295">
        <v>0.78162200000000004</v>
      </c>
      <c r="AG964" s="295">
        <v>0.78162200000000004</v>
      </c>
      <c r="AH964" s="296">
        <v>2.6182E-2</v>
      </c>
    </row>
    <row r="965" spans="1:34" ht="15" customHeight="1" x14ac:dyDescent="0.25">
      <c r="A965" s="213" t="s">
        <v>1760</v>
      </c>
      <c r="B965" s="294" t="s">
        <v>1089</v>
      </c>
      <c r="C965" s="295">
        <v>9.2363719999999994</v>
      </c>
      <c r="D965" s="295">
        <v>9.1630299999999991</v>
      </c>
      <c r="E965" s="295">
        <v>9.4753530000000001</v>
      </c>
      <c r="F965" s="295">
        <v>9.7352500000000006</v>
      </c>
      <c r="G965" s="295">
        <v>10.066708</v>
      </c>
      <c r="H965" s="295">
        <v>10.378508</v>
      </c>
      <c r="I965" s="295">
        <v>10.561284000000001</v>
      </c>
      <c r="J965" s="295">
        <v>10.604913</v>
      </c>
      <c r="K965" s="295">
        <v>10.683279000000001</v>
      </c>
      <c r="L965" s="295">
        <v>10.765215</v>
      </c>
      <c r="M965" s="295">
        <v>10.882763000000001</v>
      </c>
      <c r="N965" s="295">
        <v>10.974155</v>
      </c>
      <c r="O965" s="295">
        <v>11.040082999999999</v>
      </c>
      <c r="P965" s="295">
        <v>11.105288</v>
      </c>
      <c r="Q965" s="295">
        <v>11.18966</v>
      </c>
      <c r="R965" s="295">
        <v>11.265268000000001</v>
      </c>
      <c r="S965" s="295">
        <v>11.322588</v>
      </c>
      <c r="T965" s="295">
        <v>11.394475</v>
      </c>
      <c r="U965" s="295">
        <v>11.483889</v>
      </c>
      <c r="V965" s="295">
        <v>11.560141</v>
      </c>
      <c r="W965" s="295">
        <v>11.668968</v>
      </c>
      <c r="X965" s="295">
        <v>11.759829</v>
      </c>
      <c r="Y965" s="295">
        <v>11.897852</v>
      </c>
      <c r="Z965" s="295">
        <v>12.04838</v>
      </c>
      <c r="AA965" s="295">
        <v>12.153233999999999</v>
      </c>
      <c r="AB965" s="295">
        <v>12.234575</v>
      </c>
      <c r="AC965" s="295">
        <v>12.343306999999999</v>
      </c>
      <c r="AD965" s="295">
        <v>12.434646000000001</v>
      </c>
      <c r="AE965" s="295">
        <v>12.530487000000001</v>
      </c>
      <c r="AF965" s="295">
        <v>12.63949</v>
      </c>
      <c r="AG965" s="295">
        <v>12.756788999999999</v>
      </c>
      <c r="AH965" s="296">
        <v>1.0822E-2</v>
      </c>
    </row>
    <row r="966" spans="1:34" ht="15" customHeight="1" x14ac:dyDescent="0.25">
      <c r="A966" s="213" t="s">
        <v>1761</v>
      </c>
      <c r="B966" s="294" t="s">
        <v>1762</v>
      </c>
      <c r="C966" s="295">
        <v>0.448104</v>
      </c>
      <c r="D966" s="295">
        <v>0.37121799999999999</v>
      </c>
      <c r="E966" s="295">
        <v>0.38380199999999998</v>
      </c>
      <c r="F966" s="295">
        <v>0.466192</v>
      </c>
      <c r="G966" s="295">
        <v>0.46360800000000002</v>
      </c>
      <c r="H966" s="295">
        <v>0.43586200000000003</v>
      </c>
      <c r="I966" s="295">
        <v>0.43281900000000001</v>
      </c>
      <c r="J966" s="295">
        <v>0.421898</v>
      </c>
      <c r="K966" s="295">
        <v>0.403615</v>
      </c>
      <c r="L966" s="295">
        <v>0.38687899999999997</v>
      </c>
      <c r="M966" s="295">
        <v>0.38681300000000002</v>
      </c>
      <c r="N966" s="295">
        <v>0.38655200000000001</v>
      </c>
      <c r="O966" s="295">
        <v>0.38129999999999997</v>
      </c>
      <c r="P966" s="295">
        <v>0.37463600000000002</v>
      </c>
      <c r="Q966" s="295">
        <v>0.37543100000000001</v>
      </c>
      <c r="R966" s="295">
        <v>0.37686999999999998</v>
      </c>
      <c r="S966" s="295">
        <v>0.373556</v>
      </c>
      <c r="T966" s="295">
        <v>0.37396499999999999</v>
      </c>
      <c r="U966" s="295">
        <v>0.37738300000000002</v>
      </c>
      <c r="V966" s="295">
        <v>0.37878400000000001</v>
      </c>
      <c r="W966" s="295">
        <v>0.37268400000000002</v>
      </c>
      <c r="X966" s="295">
        <v>0.37408799999999998</v>
      </c>
      <c r="Y966" s="295">
        <v>0.38336500000000001</v>
      </c>
      <c r="Z966" s="295">
        <v>0.39008999999999999</v>
      </c>
      <c r="AA966" s="295">
        <v>0.38692199999999999</v>
      </c>
      <c r="AB966" s="295">
        <v>0.38632499999999997</v>
      </c>
      <c r="AC966" s="295">
        <v>0.38527</v>
      </c>
      <c r="AD966" s="295">
        <v>0.38343500000000003</v>
      </c>
      <c r="AE966" s="295">
        <v>0.38572000000000001</v>
      </c>
      <c r="AF966" s="295">
        <v>0.38439099999999998</v>
      </c>
      <c r="AG966" s="295">
        <v>0.39051900000000001</v>
      </c>
      <c r="AH966" s="296">
        <v>-4.5739999999999999E-3</v>
      </c>
    </row>
    <row r="967" spans="1:34" ht="15" customHeight="1" x14ac:dyDescent="0.25">
      <c r="A967" s="213" t="s">
        <v>1763</v>
      </c>
      <c r="B967" s="294" t="s">
        <v>1093</v>
      </c>
      <c r="C967" s="295">
        <v>0.46106399999999997</v>
      </c>
      <c r="D967" s="295">
        <v>0.45534200000000002</v>
      </c>
      <c r="E967" s="295">
        <v>0.46726699999999999</v>
      </c>
      <c r="F967" s="295">
        <v>0.46915499999999999</v>
      </c>
      <c r="G967" s="295">
        <v>0.46759099999999998</v>
      </c>
      <c r="H967" s="295">
        <v>0.46502300000000002</v>
      </c>
      <c r="I967" s="295">
        <v>0.46110699999999999</v>
      </c>
      <c r="J967" s="295">
        <v>0.45631300000000002</v>
      </c>
      <c r="K967" s="295">
        <v>0.45037300000000002</v>
      </c>
      <c r="L967" s="295">
        <v>0.44508799999999998</v>
      </c>
      <c r="M967" s="295">
        <v>0.441326</v>
      </c>
      <c r="N967" s="295">
        <v>0.437861</v>
      </c>
      <c r="O967" s="295">
        <v>0.43243199999999998</v>
      </c>
      <c r="P967" s="295">
        <v>0.42744700000000002</v>
      </c>
      <c r="Q967" s="295">
        <v>0.422371</v>
      </c>
      <c r="R967" s="295">
        <v>0.42247400000000002</v>
      </c>
      <c r="S967" s="295">
        <v>0.42204399999999997</v>
      </c>
      <c r="T967" s="295">
        <v>0.42192299999999999</v>
      </c>
      <c r="U967" s="295">
        <v>0.42222999999999999</v>
      </c>
      <c r="V967" s="295">
        <v>0.42219499999999999</v>
      </c>
      <c r="W967" s="295">
        <v>0.421852</v>
      </c>
      <c r="X967" s="295">
        <v>0.422518</v>
      </c>
      <c r="Y967" s="295">
        <v>0.42423499999999997</v>
      </c>
      <c r="Z967" s="295">
        <v>0.426124</v>
      </c>
      <c r="AA967" s="295">
        <v>0.42718499999999998</v>
      </c>
      <c r="AB967" s="295">
        <v>0.428448</v>
      </c>
      <c r="AC967" s="295">
        <v>0.429703</v>
      </c>
      <c r="AD967" s="295">
        <v>0.43103900000000001</v>
      </c>
      <c r="AE967" s="295">
        <v>0.432755</v>
      </c>
      <c r="AF967" s="295">
        <v>0.43495400000000001</v>
      </c>
      <c r="AG967" s="295">
        <v>0.43750800000000001</v>
      </c>
      <c r="AH967" s="296">
        <v>-1.7470000000000001E-3</v>
      </c>
    </row>
    <row r="968" spans="1:34" ht="15" customHeight="1" x14ac:dyDescent="0.25">
      <c r="A968" s="213" t="s">
        <v>1764</v>
      </c>
      <c r="B968" s="294" t="s">
        <v>1099</v>
      </c>
      <c r="C968" s="295">
        <v>0.90916799999999998</v>
      </c>
      <c r="D968" s="295">
        <v>0.82655999999999996</v>
      </c>
      <c r="E968" s="295">
        <v>0.85106999999999999</v>
      </c>
      <c r="F968" s="295">
        <v>0.93534700000000004</v>
      </c>
      <c r="G968" s="295">
        <v>0.931199</v>
      </c>
      <c r="H968" s="295">
        <v>0.90088599999999996</v>
      </c>
      <c r="I968" s="295">
        <v>0.893926</v>
      </c>
      <c r="J968" s="295">
        <v>0.87821099999999996</v>
      </c>
      <c r="K968" s="295">
        <v>0.85398700000000005</v>
      </c>
      <c r="L968" s="295">
        <v>0.83196700000000001</v>
      </c>
      <c r="M968" s="295">
        <v>0.82813999999999999</v>
      </c>
      <c r="N968" s="295">
        <v>0.82441200000000003</v>
      </c>
      <c r="O968" s="295">
        <v>0.81373099999999998</v>
      </c>
      <c r="P968" s="295">
        <v>0.80208299999999999</v>
      </c>
      <c r="Q968" s="295">
        <v>0.79780200000000001</v>
      </c>
      <c r="R968" s="295">
        <v>0.79934300000000003</v>
      </c>
      <c r="S968" s="295">
        <v>0.79559999999999997</v>
      </c>
      <c r="T968" s="295">
        <v>0.79588700000000001</v>
      </c>
      <c r="U968" s="295">
        <v>0.79961300000000002</v>
      </c>
      <c r="V968" s="295">
        <v>0.800979</v>
      </c>
      <c r="W968" s="295">
        <v>0.79453600000000002</v>
      </c>
      <c r="X968" s="295">
        <v>0.79660600000000004</v>
      </c>
      <c r="Y968" s="295">
        <v>0.80759999999999998</v>
      </c>
      <c r="Z968" s="295">
        <v>0.816214</v>
      </c>
      <c r="AA968" s="295">
        <v>0.81410700000000003</v>
      </c>
      <c r="AB968" s="295">
        <v>0.81477299999999997</v>
      </c>
      <c r="AC968" s="295">
        <v>0.81497399999999998</v>
      </c>
      <c r="AD968" s="295">
        <v>0.81447400000000003</v>
      </c>
      <c r="AE968" s="295">
        <v>0.81847499999999995</v>
      </c>
      <c r="AF968" s="295">
        <v>0.81934499999999999</v>
      </c>
      <c r="AG968" s="295">
        <v>0.82802699999999996</v>
      </c>
      <c r="AH968" s="296">
        <v>-3.1110000000000001E-3</v>
      </c>
    </row>
    <row r="969" spans="1:34" ht="15" customHeight="1" x14ac:dyDescent="0.25">
      <c r="A969" s="213" t="s">
        <v>1765</v>
      </c>
      <c r="B969" s="294" t="s">
        <v>1766</v>
      </c>
      <c r="C969" s="295">
        <v>1.530173</v>
      </c>
      <c r="D969" s="295">
        <v>1.529323</v>
      </c>
      <c r="E969" s="295">
        <v>1.5716939999999999</v>
      </c>
      <c r="F969" s="295">
        <v>1.5782290000000001</v>
      </c>
      <c r="G969" s="295">
        <v>1.587089</v>
      </c>
      <c r="H969" s="295">
        <v>1.598157</v>
      </c>
      <c r="I969" s="295">
        <v>1.605324</v>
      </c>
      <c r="J969" s="295">
        <v>1.6105160000000001</v>
      </c>
      <c r="K969" s="295">
        <v>1.6115360000000001</v>
      </c>
      <c r="L969" s="295">
        <v>1.614317</v>
      </c>
      <c r="M969" s="295">
        <v>1.6222510000000001</v>
      </c>
      <c r="N969" s="295">
        <v>1.6316059999999999</v>
      </c>
      <c r="O969" s="295">
        <v>1.6357189999999999</v>
      </c>
      <c r="P969" s="295">
        <v>1.6369370000000001</v>
      </c>
      <c r="Q969" s="295">
        <v>1.6364989999999999</v>
      </c>
      <c r="R969" s="295">
        <v>1.643351</v>
      </c>
      <c r="S969" s="295">
        <v>1.648714</v>
      </c>
      <c r="T969" s="295">
        <v>1.6552629999999999</v>
      </c>
      <c r="U969" s="295">
        <v>1.666488</v>
      </c>
      <c r="V969" s="295">
        <v>1.67628</v>
      </c>
      <c r="W969" s="295">
        <v>1.6850270000000001</v>
      </c>
      <c r="X969" s="295">
        <v>1.6986779999999999</v>
      </c>
      <c r="Y969" s="295">
        <v>1.7146699999999999</v>
      </c>
      <c r="Z969" s="295">
        <v>1.732558</v>
      </c>
      <c r="AA969" s="295">
        <v>1.7497389999999999</v>
      </c>
      <c r="AB969" s="295">
        <v>1.767995</v>
      </c>
      <c r="AC969" s="295">
        <v>1.786321</v>
      </c>
      <c r="AD969" s="295">
        <v>1.8069809999999999</v>
      </c>
      <c r="AE969" s="295">
        <v>1.8267720000000001</v>
      </c>
      <c r="AF969" s="295">
        <v>1.8490880000000001</v>
      </c>
      <c r="AG969" s="295">
        <v>1.871858</v>
      </c>
      <c r="AH969" s="296">
        <v>6.7409999999999996E-3</v>
      </c>
    </row>
    <row r="970" spans="1:34" ht="15" customHeight="1" x14ac:dyDescent="0.25">
      <c r="A970" s="213" t="s">
        <v>1767</v>
      </c>
      <c r="B970" s="294" t="s">
        <v>1045</v>
      </c>
      <c r="C970" s="295">
        <v>2.8831869999999999</v>
      </c>
      <c r="D970" s="295">
        <v>2.8382589999999999</v>
      </c>
      <c r="E970" s="295">
        <v>2.9700470000000001</v>
      </c>
      <c r="F970" s="295">
        <v>3.038179</v>
      </c>
      <c r="G970" s="295">
        <v>3.0993469999999999</v>
      </c>
      <c r="H970" s="295">
        <v>3.1662780000000001</v>
      </c>
      <c r="I970" s="295">
        <v>3.2082169999999999</v>
      </c>
      <c r="J970" s="295">
        <v>3.243395</v>
      </c>
      <c r="K970" s="295">
        <v>3.2650440000000001</v>
      </c>
      <c r="L970" s="295">
        <v>3.2866620000000002</v>
      </c>
      <c r="M970" s="295">
        <v>3.3167819999999999</v>
      </c>
      <c r="N970" s="295">
        <v>3.3475199999999998</v>
      </c>
      <c r="O970" s="295">
        <v>3.3640940000000001</v>
      </c>
      <c r="P970" s="295">
        <v>3.3804910000000001</v>
      </c>
      <c r="Q970" s="295">
        <v>3.402596</v>
      </c>
      <c r="R970" s="295">
        <v>3.4237489999999999</v>
      </c>
      <c r="S970" s="295">
        <v>3.440242</v>
      </c>
      <c r="T970" s="295">
        <v>3.4584860000000002</v>
      </c>
      <c r="U970" s="295">
        <v>3.482132</v>
      </c>
      <c r="V970" s="295">
        <v>3.5023849999999999</v>
      </c>
      <c r="W970" s="295">
        <v>3.5160170000000002</v>
      </c>
      <c r="X970" s="295">
        <v>3.5397609999999999</v>
      </c>
      <c r="Y970" s="295">
        <v>3.57484</v>
      </c>
      <c r="Z970" s="295">
        <v>3.6123259999999999</v>
      </c>
      <c r="AA970" s="295">
        <v>3.6394039999999999</v>
      </c>
      <c r="AB970" s="295">
        <v>3.6650260000000001</v>
      </c>
      <c r="AC970" s="295">
        <v>3.6893419999999999</v>
      </c>
      <c r="AD970" s="295">
        <v>3.7106270000000001</v>
      </c>
      <c r="AE970" s="295">
        <v>3.7343959999999998</v>
      </c>
      <c r="AF970" s="295">
        <v>3.763649</v>
      </c>
      <c r="AG970" s="295">
        <v>3.7926000000000002</v>
      </c>
      <c r="AH970" s="296">
        <v>9.1800000000000007E-3</v>
      </c>
    </row>
    <row r="971" spans="1:34" ht="15" customHeight="1" x14ac:dyDescent="0.2">
      <c r="A971" s="213" t="s">
        <v>1768</v>
      </c>
      <c r="B971" s="204" t="s">
        <v>1047</v>
      </c>
      <c r="C971" s="205">
        <v>21.073022999999999</v>
      </c>
      <c r="D971" s="205">
        <v>21.157879000000001</v>
      </c>
      <c r="E971" s="205">
        <v>22.025763999999999</v>
      </c>
      <c r="F971" s="205">
        <v>22.593858999999998</v>
      </c>
      <c r="G971" s="205">
        <v>23.128139000000001</v>
      </c>
      <c r="H971" s="205">
        <v>23.630742999999999</v>
      </c>
      <c r="I971" s="205">
        <v>23.958684999999999</v>
      </c>
      <c r="J971" s="205">
        <v>24.122398</v>
      </c>
      <c r="K971" s="205">
        <v>24.291461999999999</v>
      </c>
      <c r="L971" s="205">
        <v>24.480264999999999</v>
      </c>
      <c r="M971" s="205">
        <v>24.752319</v>
      </c>
      <c r="N971" s="205">
        <v>24.997852000000002</v>
      </c>
      <c r="O971" s="205">
        <v>25.160039999999999</v>
      </c>
      <c r="P971" s="205">
        <v>25.329588000000001</v>
      </c>
      <c r="Q971" s="205">
        <v>25.541945999999999</v>
      </c>
      <c r="R971" s="205">
        <v>25.754154</v>
      </c>
      <c r="S971" s="205">
        <v>25.907003</v>
      </c>
      <c r="T971" s="205">
        <v>26.091784000000001</v>
      </c>
      <c r="U971" s="205">
        <v>26.305902</v>
      </c>
      <c r="V971" s="205">
        <v>26.473617999999998</v>
      </c>
      <c r="W971" s="205">
        <v>26.627188</v>
      </c>
      <c r="X971" s="205">
        <v>26.818069000000001</v>
      </c>
      <c r="Y971" s="205">
        <v>27.112435999999999</v>
      </c>
      <c r="Z971" s="205">
        <v>27.415725999999999</v>
      </c>
      <c r="AA971" s="205">
        <v>27.634557999999998</v>
      </c>
      <c r="AB971" s="205">
        <v>27.847415999999999</v>
      </c>
      <c r="AC971" s="205">
        <v>28.078385999999998</v>
      </c>
      <c r="AD971" s="205">
        <v>28.29496</v>
      </c>
      <c r="AE971" s="205">
        <v>28.528614000000001</v>
      </c>
      <c r="AF971" s="205">
        <v>28.816410000000001</v>
      </c>
      <c r="AG971" s="205">
        <v>29.110802</v>
      </c>
      <c r="AH971" s="206">
        <v>1.0829E-2</v>
      </c>
    </row>
    <row r="972" spans="1:34" ht="15" customHeight="1" x14ac:dyDescent="0.25">
      <c r="A972" s="213" t="s">
        <v>1769</v>
      </c>
      <c r="B972" s="294" t="s">
        <v>1049</v>
      </c>
      <c r="C972" s="295">
        <v>5.3740670000000001</v>
      </c>
      <c r="D972" s="295">
        <v>5.2848220000000001</v>
      </c>
      <c r="E972" s="295">
        <v>5.5556239999999999</v>
      </c>
      <c r="F972" s="295">
        <v>5.5702369999999997</v>
      </c>
      <c r="G972" s="295">
        <v>5.5693190000000001</v>
      </c>
      <c r="H972" s="295">
        <v>5.5293349999999997</v>
      </c>
      <c r="I972" s="295">
        <v>5.4497679999999997</v>
      </c>
      <c r="J972" s="295">
        <v>5.446631</v>
      </c>
      <c r="K972" s="295">
        <v>5.452375</v>
      </c>
      <c r="L972" s="295">
        <v>5.4680720000000003</v>
      </c>
      <c r="M972" s="295">
        <v>5.5063500000000003</v>
      </c>
      <c r="N972" s="295">
        <v>5.5440709999999997</v>
      </c>
      <c r="O972" s="295">
        <v>5.5390090000000001</v>
      </c>
      <c r="P972" s="295">
        <v>5.5445700000000002</v>
      </c>
      <c r="Q972" s="295">
        <v>5.5518970000000003</v>
      </c>
      <c r="R972" s="295">
        <v>5.5704669999999998</v>
      </c>
      <c r="S972" s="295">
        <v>5.5776269999999997</v>
      </c>
      <c r="T972" s="295">
        <v>5.5889920000000002</v>
      </c>
      <c r="U972" s="295">
        <v>5.5961400000000001</v>
      </c>
      <c r="V972" s="295">
        <v>5.5992699999999997</v>
      </c>
      <c r="W972" s="295">
        <v>5.5952200000000003</v>
      </c>
      <c r="X972" s="295">
        <v>5.6150779999999996</v>
      </c>
      <c r="Y972" s="295">
        <v>5.6532749999999998</v>
      </c>
      <c r="Z972" s="295">
        <v>5.6901450000000002</v>
      </c>
      <c r="AA972" s="295">
        <v>5.7087969999999997</v>
      </c>
      <c r="AB972" s="295">
        <v>5.7244010000000003</v>
      </c>
      <c r="AC972" s="295">
        <v>5.7421179999999996</v>
      </c>
      <c r="AD972" s="295">
        <v>5.7580720000000003</v>
      </c>
      <c r="AE972" s="295">
        <v>5.7851879999999998</v>
      </c>
      <c r="AF972" s="295">
        <v>5.8142589999999998</v>
      </c>
      <c r="AG972" s="295">
        <v>5.8348810000000002</v>
      </c>
      <c r="AH972" s="296">
        <v>2.7460000000000002E-3</v>
      </c>
    </row>
    <row r="973" spans="1:34" ht="15" customHeight="1" x14ac:dyDescent="0.2">
      <c r="A973" s="213" t="s">
        <v>1770</v>
      </c>
      <c r="B973" s="204" t="s">
        <v>179</v>
      </c>
      <c r="C973" s="205">
        <v>26.447089999999999</v>
      </c>
      <c r="D973" s="205">
        <v>26.442699000000001</v>
      </c>
      <c r="E973" s="205">
        <v>27.581388</v>
      </c>
      <c r="F973" s="205">
        <v>28.164095</v>
      </c>
      <c r="G973" s="205">
        <v>28.697458000000001</v>
      </c>
      <c r="H973" s="205">
        <v>29.160077999999999</v>
      </c>
      <c r="I973" s="205">
        <v>29.408453000000002</v>
      </c>
      <c r="J973" s="205">
        <v>29.569029</v>
      </c>
      <c r="K973" s="205">
        <v>29.743836999999999</v>
      </c>
      <c r="L973" s="205">
        <v>29.948338</v>
      </c>
      <c r="M973" s="205">
        <v>30.258669000000001</v>
      </c>
      <c r="N973" s="205">
        <v>30.541924000000002</v>
      </c>
      <c r="O973" s="205">
        <v>30.699048999999999</v>
      </c>
      <c r="P973" s="205">
        <v>30.874158999999999</v>
      </c>
      <c r="Q973" s="205">
        <v>31.093843</v>
      </c>
      <c r="R973" s="205">
        <v>31.324621</v>
      </c>
      <c r="S973" s="205">
        <v>31.484631</v>
      </c>
      <c r="T973" s="205">
        <v>31.680775000000001</v>
      </c>
      <c r="U973" s="205">
        <v>31.902042000000002</v>
      </c>
      <c r="V973" s="205">
        <v>32.072887000000001</v>
      </c>
      <c r="W973" s="205">
        <v>32.222408000000001</v>
      </c>
      <c r="X973" s="205">
        <v>32.433146999999998</v>
      </c>
      <c r="Y973" s="205">
        <v>32.765712999999998</v>
      </c>
      <c r="Z973" s="205">
        <v>33.105868999999998</v>
      </c>
      <c r="AA973" s="205">
        <v>33.343353</v>
      </c>
      <c r="AB973" s="205">
        <v>33.571815000000001</v>
      </c>
      <c r="AC973" s="205">
        <v>33.820503000000002</v>
      </c>
      <c r="AD973" s="205">
        <v>34.053032000000002</v>
      </c>
      <c r="AE973" s="205">
        <v>34.313800999999998</v>
      </c>
      <c r="AF973" s="205">
        <v>34.630668999999997</v>
      </c>
      <c r="AG973" s="205">
        <v>34.945683000000002</v>
      </c>
      <c r="AH973" s="206">
        <v>9.332E-3</v>
      </c>
    </row>
    <row r="976" spans="1:34" ht="15" customHeight="1" x14ac:dyDescent="0.2">
      <c r="B976" s="204" t="s">
        <v>1771</v>
      </c>
    </row>
    <row r="977" spans="1:34" ht="15" customHeight="1" x14ac:dyDescent="0.25">
      <c r="A977" s="213" t="s">
        <v>1772</v>
      </c>
      <c r="B977" s="294" t="s">
        <v>1773</v>
      </c>
      <c r="C977" s="295">
        <v>7.1590000000000004E-3</v>
      </c>
      <c r="D977" s="295">
        <v>7.7340000000000004E-3</v>
      </c>
      <c r="E977" s="295">
        <v>0</v>
      </c>
      <c r="F977" s="295">
        <v>0</v>
      </c>
      <c r="G977" s="295">
        <v>0</v>
      </c>
      <c r="H977" s="295">
        <v>0</v>
      </c>
      <c r="I977" s="295">
        <v>0</v>
      </c>
      <c r="J977" s="295">
        <v>0</v>
      </c>
      <c r="K977" s="295">
        <v>0</v>
      </c>
      <c r="L977" s="295">
        <v>0</v>
      </c>
      <c r="M977" s="295">
        <v>0</v>
      </c>
      <c r="N977" s="295">
        <v>0</v>
      </c>
      <c r="O977" s="295">
        <v>0</v>
      </c>
      <c r="P977" s="295">
        <v>0</v>
      </c>
      <c r="Q977" s="295">
        <v>0</v>
      </c>
      <c r="R977" s="295">
        <v>0</v>
      </c>
      <c r="S977" s="295">
        <v>0</v>
      </c>
      <c r="T977" s="295">
        <v>0</v>
      </c>
      <c r="U977" s="295">
        <v>0</v>
      </c>
      <c r="V977" s="295">
        <v>0</v>
      </c>
      <c r="W977" s="295">
        <v>0</v>
      </c>
      <c r="X977" s="295">
        <v>0</v>
      </c>
      <c r="Y977" s="295">
        <v>0</v>
      </c>
      <c r="Z977" s="295">
        <v>0</v>
      </c>
      <c r="AA977" s="295">
        <v>0</v>
      </c>
      <c r="AB977" s="295">
        <v>0</v>
      </c>
      <c r="AC977" s="295">
        <v>0</v>
      </c>
      <c r="AD977" s="295">
        <v>0</v>
      </c>
      <c r="AE977" s="295">
        <v>0</v>
      </c>
      <c r="AF977" s="295">
        <v>0</v>
      </c>
      <c r="AG977" s="295">
        <v>0</v>
      </c>
      <c r="AH977" s="296" t="s">
        <v>635</v>
      </c>
    </row>
    <row r="978" spans="1:34" ht="15" customHeight="1" x14ac:dyDescent="0.25">
      <c r="A978" s="213" t="s">
        <v>1774</v>
      </c>
      <c r="B978" s="294" t="s">
        <v>1058</v>
      </c>
      <c r="C978" s="295">
        <v>1.9859999999999999E-3</v>
      </c>
      <c r="D978" s="295">
        <v>2.147E-3</v>
      </c>
      <c r="E978" s="295">
        <v>0</v>
      </c>
      <c r="F978" s="295">
        <v>0</v>
      </c>
      <c r="G978" s="295">
        <v>0</v>
      </c>
      <c r="H978" s="295">
        <v>0</v>
      </c>
      <c r="I978" s="295">
        <v>0</v>
      </c>
      <c r="J978" s="295">
        <v>0</v>
      </c>
      <c r="K978" s="295">
        <v>0</v>
      </c>
      <c r="L978" s="295">
        <v>0</v>
      </c>
      <c r="M978" s="295">
        <v>0</v>
      </c>
      <c r="N978" s="295">
        <v>0</v>
      </c>
      <c r="O978" s="295">
        <v>0</v>
      </c>
      <c r="P978" s="295">
        <v>0</v>
      </c>
      <c r="Q978" s="295">
        <v>0</v>
      </c>
      <c r="R978" s="295">
        <v>0</v>
      </c>
      <c r="S978" s="295">
        <v>0</v>
      </c>
      <c r="T978" s="295">
        <v>0</v>
      </c>
      <c r="U978" s="295">
        <v>0</v>
      </c>
      <c r="V978" s="295">
        <v>0</v>
      </c>
      <c r="W978" s="295">
        <v>0</v>
      </c>
      <c r="X978" s="295">
        <v>0</v>
      </c>
      <c r="Y978" s="295">
        <v>0</v>
      </c>
      <c r="Z978" s="295">
        <v>0</v>
      </c>
      <c r="AA978" s="295">
        <v>0</v>
      </c>
      <c r="AB978" s="295">
        <v>0</v>
      </c>
      <c r="AC978" s="295">
        <v>0</v>
      </c>
      <c r="AD978" s="295">
        <v>0</v>
      </c>
      <c r="AE978" s="295">
        <v>0</v>
      </c>
      <c r="AF978" s="295">
        <v>0</v>
      </c>
      <c r="AG978" s="295">
        <v>0</v>
      </c>
      <c r="AH978" s="296" t="s">
        <v>635</v>
      </c>
    </row>
    <row r="979" spans="1:34" ht="15" customHeight="1" x14ac:dyDescent="0.25">
      <c r="A979" s="213" t="s">
        <v>1775</v>
      </c>
      <c r="B979" s="294" t="s">
        <v>1060</v>
      </c>
      <c r="C979" s="295">
        <v>1.4999999999999999E-4</v>
      </c>
      <c r="D979" s="295">
        <v>1.6100000000000001E-4</v>
      </c>
      <c r="E979" s="295">
        <v>0</v>
      </c>
      <c r="F979" s="295">
        <v>0</v>
      </c>
      <c r="G979" s="295">
        <v>0</v>
      </c>
      <c r="H979" s="295">
        <v>0</v>
      </c>
      <c r="I979" s="295">
        <v>0</v>
      </c>
      <c r="J979" s="295">
        <v>0</v>
      </c>
      <c r="K979" s="295">
        <v>0</v>
      </c>
      <c r="L979" s="295">
        <v>0</v>
      </c>
      <c r="M979" s="295">
        <v>0</v>
      </c>
      <c r="N979" s="295">
        <v>0</v>
      </c>
      <c r="O979" s="295">
        <v>0</v>
      </c>
      <c r="P979" s="295">
        <v>0</v>
      </c>
      <c r="Q979" s="295">
        <v>0</v>
      </c>
      <c r="R979" s="295">
        <v>0</v>
      </c>
      <c r="S979" s="295">
        <v>0</v>
      </c>
      <c r="T979" s="295">
        <v>0</v>
      </c>
      <c r="U979" s="295">
        <v>0</v>
      </c>
      <c r="V979" s="295">
        <v>0</v>
      </c>
      <c r="W979" s="295">
        <v>0</v>
      </c>
      <c r="X979" s="295">
        <v>0</v>
      </c>
      <c r="Y979" s="295">
        <v>0</v>
      </c>
      <c r="Z979" s="295">
        <v>0</v>
      </c>
      <c r="AA979" s="295">
        <v>0</v>
      </c>
      <c r="AB979" s="295">
        <v>0</v>
      </c>
      <c r="AC979" s="295">
        <v>0</v>
      </c>
      <c r="AD979" s="295">
        <v>0</v>
      </c>
      <c r="AE979" s="295">
        <v>0</v>
      </c>
      <c r="AF979" s="295">
        <v>0</v>
      </c>
      <c r="AG979" s="295">
        <v>0</v>
      </c>
      <c r="AH979" s="296" t="s">
        <v>635</v>
      </c>
    </row>
    <row r="980" spans="1:34" ht="15" customHeight="1" x14ac:dyDescent="0.25">
      <c r="A980" s="213" t="s">
        <v>1776</v>
      </c>
      <c r="B980" s="294" t="s">
        <v>1749</v>
      </c>
      <c r="C980" s="295">
        <v>0.46514299999999997</v>
      </c>
      <c r="D980" s="295">
        <v>0.50238400000000005</v>
      </c>
      <c r="E980" s="295">
        <v>0.50143599999999999</v>
      </c>
      <c r="F980" s="295">
        <v>0.49872100000000003</v>
      </c>
      <c r="G980" s="295">
        <v>0.49509500000000001</v>
      </c>
      <c r="H980" s="295">
        <v>0.491421</v>
      </c>
      <c r="I980" s="295">
        <v>0.49880400000000003</v>
      </c>
      <c r="J980" s="295">
        <v>0.49276900000000001</v>
      </c>
      <c r="K980" s="295">
        <v>0.49578499999999998</v>
      </c>
      <c r="L980" s="295">
        <v>0.50343400000000005</v>
      </c>
      <c r="M980" s="295">
        <v>0.50748599999999999</v>
      </c>
      <c r="N980" s="295">
        <v>0.50550399999999995</v>
      </c>
      <c r="O980" s="295">
        <v>0.50773199999999996</v>
      </c>
      <c r="P980" s="295">
        <v>0.50873900000000005</v>
      </c>
      <c r="Q980" s="295">
        <v>0.51285400000000003</v>
      </c>
      <c r="R980" s="295">
        <v>0.51180800000000004</v>
      </c>
      <c r="S980" s="295">
        <v>0.51108399999999998</v>
      </c>
      <c r="T980" s="295">
        <v>0.510266</v>
      </c>
      <c r="U980" s="295">
        <v>0.51020399999999999</v>
      </c>
      <c r="V980" s="295">
        <v>0.51002000000000003</v>
      </c>
      <c r="W980" s="295">
        <v>0.51015900000000003</v>
      </c>
      <c r="X980" s="295">
        <v>0.51079200000000002</v>
      </c>
      <c r="Y980" s="295">
        <v>0.51195999999999997</v>
      </c>
      <c r="Z980" s="295">
        <v>0.51388900000000004</v>
      </c>
      <c r="AA980" s="295">
        <v>0.51485300000000001</v>
      </c>
      <c r="AB980" s="295">
        <v>0.51300000000000001</v>
      </c>
      <c r="AC980" s="295">
        <v>0.51521600000000001</v>
      </c>
      <c r="AD980" s="295">
        <v>0.51661999999999997</v>
      </c>
      <c r="AE980" s="295">
        <v>0.51792800000000006</v>
      </c>
      <c r="AF980" s="295">
        <v>0.51672799999999997</v>
      </c>
      <c r="AG980" s="295">
        <v>0.51926300000000003</v>
      </c>
      <c r="AH980" s="296">
        <v>3.676E-3</v>
      </c>
    </row>
    <row r="981" spans="1:34" ht="15" customHeight="1" x14ac:dyDescent="0.25">
      <c r="A981" s="213" t="s">
        <v>1777</v>
      </c>
      <c r="B981" s="294" t="s">
        <v>1778</v>
      </c>
      <c r="C981" s="295">
        <v>1.332498</v>
      </c>
      <c r="D981" s="295">
        <v>1.43919</v>
      </c>
      <c r="E981" s="295">
        <v>1.425109</v>
      </c>
      <c r="F981" s="295">
        <v>1.440142</v>
      </c>
      <c r="G981" s="295">
        <v>1.4279839999999999</v>
      </c>
      <c r="H981" s="295">
        <v>1.4524300000000001</v>
      </c>
      <c r="I981" s="295">
        <v>1.4627540000000001</v>
      </c>
      <c r="J981" s="295">
        <v>1.469938</v>
      </c>
      <c r="K981" s="295">
        <v>1.478909</v>
      </c>
      <c r="L981" s="295">
        <v>1.4899260000000001</v>
      </c>
      <c r="M981" s="295">
        <v>1.484316</v>
      </c>
      <c r="N981" s="295">
        <v>1.489876</v>
      </c>
      <c r="O981" s="295">
        <v>1.496567</v>
      </c>
      <c r="P981" s="295">
        <v>1.493214</v>
      </c>
      <c r="Q981" s="295">
        <v>1.5044949999999999</v>
      </c>
      <c r="R981" s="295">
        <v>1.506901</v>
      </c>
      <c r="S981" s="295">
        <v>1.525166</v>
      </c>
      <c r="T981" s="295">
        <v>1.5425580000000001</v>
      </c>
      <c r="U981" s="295">
        <v>1.541094</v>
      </c>
      <c r="V981" s="295">
        <v>1.5437810000000001</v>
      </c>
      <c r="W981" s="295">
        <v>1.5453159999999999</v>
      </c>
      <c r="X981" s="295">
        <v>1.5444899999999999</v>
      </c>
      <c r="Y981" s="295">
        <v>1.538281</v>
      </c>
      <c r="Z981" s="295">
        <v>1.5180039999999999</v>
      </c>
      <c r="AA981" s="295">
        <v>1.512149</v>
      </c>
      <c r="AB981" s="295">
        <v>1.5203469999999999</v>
      </c>
      <c r="AC981" s="295">
        <v>1.5052650000000001</v>
      </c>
      <c r="AD981" s="295">
        <v>1.5091699999999999</v>
      </c>
      <c r="AE981" s="295">
        <v>1.519401</v>
      </c>
      <c r="AF981" s="295">
        <v>1.5158879999999999</v>
      </c>
      <c r="AG981" s="295">
        <v>1.526618</v>
      </c>
      <c r="AH981" s="296">
        <v>4.5440000000000003E-3</v>
      </c>
    </row>
    <row r="982" spans="1:34" ht="15" customHeight="1" x14ac:dyDescent="0.25">
      <c r="A982" s="213" t="s">
        <v>1779</v>
      </c>
      <c r="B982" s="294" t="s">
        <v>1752</v>
      </c>
      <c r="C982" s="295">
        <v>4.7280000000000004E-3</v>
      </c>
      <c r="D982" s="295">
        <v>5.1050000000000002E-3</v>
      </c>
      <c r="E982" s="295">
        <v>5.2370000000000003E-3</v>
      </c>
      <c r="F982" s="295">
        <v>3.9129999999999998E-3</v>
      </c>
      <c r="G982" s="295">
        <v>9.1310000000000002E-3</v>
      </c>
      <c r="H982" s="295">
        <v>1.1423000000000001E-2</v>
      </c>
      <c r="I982" s="295">
        <v>5.7460000000000002E-3</v>
      </c>
      <c r="J982" s="295">
        <v>8.3750000000000005E-3</v>
      </c>
      <c r="K982" s="295">
        <v>9.6500000000000006E-3</v>
      </c>
      <c r="L982" s="295">
        <v>8.7200000000000005E-4</v>
      </c>
      <c r="M982" s="295">
        <v>6.9999999999999994E-5</v>
      </c>
      <c r="N982" s="295">
        <v>4.3000000000000002E-5</v>
      </c>
      <c r="O982" s="295">
        <v>2.8E-5</v>
      </c>
      <c r="P982" s="295">
        <v>4.6E-5</v>
      </c>
      <c r="Q982" s="295">
        <v>4.6999999999999997E-5</v>
      </c>
      <c r="R982" s="295">
        <v>1.5E-5</v>
      </c>
      <c r="S982" s="295">
        <v>1.07E-4</v>
      </c>
      <c r="T982" s="295">
        <v>7.7999999999999999E-5</v>
      </c>
      <c r="U982" s="295">
        <v>3.4E-5</v>
      </c>
      <c r="V982" s="295">
        <v>3.4E-5</v>
      </c>
      <c r="W982" s="295">
        <v>9.3999999999999994E-5</v>
      </c>
      <c r="X982" s="295">
        <v>1.21E-4</v>
      </c>
      <c r="Y982" s="295">
        <v>8.7999999999999998E-5</v>
      </c>
      <c r="Z982" s="295">
        <v>8.6000000000000003E-5</v>
      </c>
      <c r="AA982" s="295">
        <v>2.1999999999999999E-5</v>
      </c>
      <c r="AB982" s="295">
        <v>3.0000000000000001E-5</v>
      </c>
      <c r="AC982" s="295">
        <v>3.9999999999999998E-6</v>
      </c>
      <c r="AD982" s="295">
        <v>0</v>
      </c>
      <c r="AE982" s="295">
        <v>0</v>
      </c>
      <c r="AF982" s="295">
        <v>0</v>
      </c>
      <c r="AG982" s="295">
        <v>6.0000000000000002E-6</v>
      </c>
      <c r="AH982" s="296">
        <v>-0.19769200000000001</v>
      </c>
    </row>
    <row r="983" spans="1:34" ht="15" customHeight="1" x14ac:dyDescent="0.25">
      <c r="A983" s="213" t="s">
        <v>1780</v>
      </c>
      <c r="B983" s="294" t="s">
        <v>1040</v>
      </c>
      <c r="C983" s="295">
        <v>1.8116639999999999</v>
      </c>
      <c r="D983" s="295">
        <v>1.9567209999999999</v>
      </c>
      <c r="E983" s="295">
        <v>1.9317820000000001</v>
      </c>
      <c r="F983" s="295">
        <v>1.942777</v>
      </c>
      <c r="G983" s="295">
        <v>1.93221</v>
      </c>
      <c r="H983" s="295">
        <v>1.9552750000000001</v>
      </c>
      <c r="I983" s="295">
        <v>1.9673039999999999</v>
      </c>
      <c r="J983" s="295">
        <v>1.971082</v>
      </c>
      <c r="K983" s="295">
        <v>1.984343</v>
      </c>
      <c r="L983" s="295">
        <v>1.994232</v>
      </c>
      <c r="M983" s="295">
        <v>1.9918709999999999</v>
      </c>
      <c r="N983" s="295">
        <v>1.9954240000000001</v>
      </c>
      <c r="O983" s="295">
        <v>2.004327</v>
      </c>
      <c r="P983" s="295">
        <v>2.0019999999999998</v>
      </c>
      <c r="Q983" s="295">
        <v>2.0173960000000002</v>
      </c>
      <c r="R983" s="295">
        <v>2.0187249999999999</v>
      </c>
      <c r="S983" s="295">
        <v>2.0363570000000002</v>
      </c>
      <c r="T983" s="295">
        <v>2.052902</v>
      </c>
      <c r="U983" s="295">
        <v>2.0513319999999999</v>
      </c>
      <c r="V983" s="295">
        <v>2.0538349999999999</v>
      </c>
      <c r="W983" s="295">
        <v>2.0555699999999999</v>
      </c>
      <c r="X983" s="295">
        <v>2.0554030000000001</v>
      </c>
      <c r="Y983" s="295">
        <v>2.0503290000000001</v>
      </c>
      <c r="Z983" s="295">
        <v>2.0319780000000001</v>
      </c>
      <c r="AA983" s="295">
        <v>2.0270239999999999</v>
      </c>
      <c r="AB983" s="295">
        <v>2.0333770000000002</v>
      </c>
      <c r="AC983" s="295">
        <v>2.0204849999999999</v>
      </c>
      <c r="AD983" s="295">
        <v>2.0257900000000002</v>
      </c>
      <c r="AE983" s="295">
        <v>2.0373290000000002</v>
      </c>
      <c r="AF983" s="295">
        <v>2.032616</v>
      </c>
      <c r="AG983" s="295">
        <v>2.045887</v>
      </c>
      <c r="AH983" s="296">
        <v>4.0610000000000004E-3</v>
      </c>
    </row>
    <row r="984" spans="1:34" ht="15" customHeight="1" x14ac:dyDescent="0.25">
      <c r="A984" s="213" t="s">
        <v>1781</v>
      </c>
      <c r="B984" s="294" t="s">
        <v>1717</v>
      </c>
      <c r="C984" s="295">
        <v>1.253803</v>
      </c>
      <c r="D984" s="295">
        <v>1.3247279999999999</v>
      </c>
      <c r="E984" s="295">
        <v>1.1499520000000001</v>
      </c>
      <c r="F984" s="295">
        <v>1.1904330000000001</v>
      </c>
      <c r="G984" s="295">
        <v>1.1905159999999999</v>
      </c>
      <c r="H984" s="295">
        <v>1.191764</v>
      </c>
      <c r="I984" s="295">
        <v>1.204418</v>
      </c>
      <c r="J984" s="295">
        <v>1.1971540000000001</v>
      </c>
      <c r="K984" s="295">
        <v>1.2028270000000001</v>
      </c>
      <c r="L984" s="295">
        <v>1.2167680000000001</v>
      </c>
      <c r="M984" s="295">
        <v>1.199978</v>
      </c>
      <c r="N984" s="295">
        <v>1.2074769999999999</v>
      </c>
      <c r="O984" s="295">
        <v>1.2053959999999999</v>
      </c>
      <c r="P984" s="295">
        <v>1.2114830000000001</v>
      </c>
      <c r="Q984" s="295">
        <v>1.221295</v>
      </c>
      <c r="R984" s="295">
        <v>1.2280549999999999</v>
      </c>
      <c r="S984" s="295">
        <v>1.2434430000000001</v>
      </c>
      <c r="T984" s="295">
        <v>1.2529950000000001</v>
      </c>
      <c r="U984" s="295">
        <v>1.2643150000000001</v>
      </c>
      <c r="V984" s="295">
        <v>1.2914870000000001</v>
      </c>
      <c r="W984" s="295">
        <v>1.2930729999999999</v>
      </c>
      <c r="X984" s="295">
        <v>1.2987519999999999</v>
      </c>
      <c r="Y984" s="295">
        <v>1.3148839999999999</v>
      </c>
      <c r="Z984" s="295">
        <v>1.337548</v>
      </c>
      <c r="AA984" s="295">
        <v>1.3459099999999999</v>
      </c>
      <c r="AB984" s="295">
        <v>1.341278</v>
      </c>
      <c r="AC984" s="295">
        <v>1.3674010000000001</v>
      </c>
      <c r="AD984" s="295">
        <v>1.387815</v>
      </c>
      <c r="AE984" s="295">
        <v>1.3982570000000001</v>
      </c>
      <c r="AF984" s="295">
        <v>1.409062</v>
      </c>
      <c r="AG984" s="295">
        <v>1.422113</v>
      </c>
      <c r="AH984" s="296">
        <v>4.2079999999999999E-3</v>
      </c>
    </row>
    <row r="985" spans="1:34" ht="15" customHeight="1" x14ac:dyDescent="0.25">
      <c r="A985" s="213" t="s">
        <v>1782</v>
      </c>
      <c r="B985" s="294" t="s">
        <v>1719</v>
      </c>
      <c r="C985" s="295">
        <v>0.215</v>
      </c>
      <c r="D985" s="295">
        <v>0.23499999999999999</v>
      </c>
      <c r="E985" s="295">
        <v>0.19995599999999999</v>
      </c>
      <c r="F985" s="295">
        <v>0.197856</v>
      </c>
      <c r="G985" s="295">
        <v>0.19737499999999999</v>
      </c>
      <c r="H985" s="295">
        <v>0.19298399999999999</v>
      </c>
      <c r="I985" s="295">
        <v>0.19883600000000001</v>
      </c>
      <c r="J985" s="295">
        <v>0.19304199999999999</v>
      </c>
      <c r="K985" s="295">
        <v>0.196465</v>
      </c>
      <c r="L985" s="295">
        <v>0.199101</v>
      </c>
      <c r="M985" s="295">
        <v>0.18113699999999999</v>
      </c>
      <c r="N985" s="295">
        <v>0.1827</v>
      </c>
      <c r="O985" s="295">
        <v>0.18224399999999999</v>
      </c>
      <c r="P985" s="295">
        <v>0.18407999999999999</v>
      </c>
      <c r="Q985" s="295">
        <v>0.19509699999999999</v>
      </c>
      <c r="R985" s="295">
        <v>0.19863600000000001</v>
      </c>
      <c r="S985" s="295">
        <v>0.20930299999999999</v>
      </c>
      <c r="T985" s="295">
        <v>0.21981700000000001</v>
      </c>
      <c r="U985" s="295">
        <v>0.22265099999999999</v>
      </c>
      <c r="V985" s="295">
        <v>0.23921799999999999</v>
      </c>
      <c r="W985" s="295">
        <v>0.233926</v>
      </c>
      <c r="X985" s="295">
        <v>0.23424200000000001</v>
      </c>
      <c r="Y985" s="295">
        <v>0.236427</v>
      </c>
      <c r="Z985" s="295">
        <v>0.235239</v>
      </c>
      <c r="AA985" s="295">
        <v>0.23651</v>
      </c>
      <c r="AB985" s="295">
        <v>0.23191000000000001</v>
      </c>
      <c r="AC985" s="295">
        <v>0.23929500000000001</v>
      </c>
      <c r="AD985" s="295">
        <v>0.24312600000000001</v>
      </c>
      <c r="AE985" s="295">
        <v>0.248699</v>
      </c>
      <c r="AF985" s="295">
        <v>0.25212000000000001</v>
      </c>
      <c r="AG985" s="295">
        <v>0.26158599999999999</v>
      </c>
      <c r="AH985" s="296">
        <v>6.5589999999999997E-3</v>
      </c>
    </row>
    <row r="986" spans="1:34" ht="15" customHeight="1" x14ac:dyDescent="0.25">
      <c r="A986" s="213" t="s">
        <v>1783</v>
      </c>
      <c r="B986" s="294" t="s">
        <v>1083</v>
      </c>
      <c r="C986" s="295">
        <v>0</v>
      </c>
      <c r="D986" s="295">
        <v>0</v>
      </c>
      <c r="E986" s="295">
        <v>0</v>
      </c>
      <c r="F986" s="295">
        <v>0</v>
      </c>
      <c r="G986" s="295">
        <v>0</v>
      </c>
      <c r="H986" s="295">
        <v>0</v>
      </c>
      <c r="I986" s="295">
        <v>0</v>
      </c>
      <c r="J986" s="295">
        <v>0</v>
      </c>
      <c r="K986" s="295">
        <v>0</v>
      </c>
      <c r="L986" s="295">
        <v>0</v>
      </c>
      <c r="M986" s="295">
        <v>0</v>
      </c>
      <c r="N986" s="295">
        <v>0</v>
      </c>
      <c r="O986" s="295">
        <v>0</v>
      </c>
      <c r="P986" s="295">
        <v>0</v>
      </c>
      <c r="Q986" s="295">
        <v>0</v>
      </c>
      <c r="R986" s="295">
        <v>0</v>
      </c>
      <c r="S986" s="295">
        <v>0</v>
      </c>
      <c r="T986" s="295">
        <v>0</v>
      </c>
      <c r="U986" s="295">
        <v>0</v>
      </c>
      <c r="V986" s="295">
        <v>0</v>
      </c>
      <c r="W986" s="295">
        <v>0</v>
      </c>
      <c r="X986" s="295">
        <v>0</v>
      </c>
      <c r="Y986" s="295">
        <v>0</v>
      </c>
      <c r="Z986" s="295">
        <v>0</v>
      </c>
      <c r="AA986" s="295">
        <v>0</v>
      </c>
      <c r="AB986" s="295">
        <v>0</v>
      </c>
      <c r="AC986" s="295">
        <v>0</v>
      </c>
      <c r="AD986" s="295">
        <v>0</v>
      </c>
      <c r="AE986" s="295">
        <v>0</v>
      </c>
      <c r="AF986" s="295">
        <v>0</v>
      </c>
      <c r="AG986" s="295">
        <v>0</v>
      </c>
      <c r="AH986" s="296" t="s">
        <v>635</v>
      </c>
    </row>
    <row r="987" spans="1:34" ht="15" customHeight="1" x14ac:dyDescent="0.25">
      <c r="A987" s="213" t="s">
        <v>1784</v>
      </c>
      <c r="B987" s="294" t="s">
        <v>1089</v>
      </c>
      <c r="C987" s="295">
        <v>1.4688030000000001</v>
      </c>
      <c r="D987" s="295">
        <v>1.559728</v>
      </c>
      <c r="E987" s="295">
        <v>1.3499080000000001</v>
      </c>
      <c r="F987" s="295">
        <v>1.3882890000000001</v>
      </c>
      <c r="G987" s="295">
        <v>1.387891</v>
      </c>
      <c r="H987" s="295">
        <v>1.384747</v>
      </c>
      <c r="I987" s="295">
        <v>1.403254</v>
      </c>
      <c r="J987" s="295">
        <v>1.390196</v>
      </c>
      <c r="K987" s="295">
        <v>1.399292</v>
      </c>
      <c r="L987" s="295">
        <v>1.4158679999999999</v>
      </c>
      <c r="M987" s="295">
        <v>1.381116</v>
      </c>
      <c r="N987" s="295">
        <v>1.390177</v>
      </c>
      <c r="O987" s="295">
        <v>1.38764</v>
      </c>
      <c r="P987" s="295">
        <v>1.3955630000000001</v>
      </c>
      <c r="Q987" s="295">
        <v>1.4163920000000001</v>
      </c>
      <c r="R987" s="295">
        <v>1.4266909999999999</v>
      </c>
      <c r="S987" s="295">
        <v>1.4527460000000001</v>
      </c>
      <c r="T987" s="295">
        <v>1.472812</v>
      </c>
      <c r="U987" s="295">
        <v>1.486966</v>
      </c>
      <c r="V987" s="295">
        <v>1.530705</v>
      </c>
      <c r="W987" s="295">
        <v>1.526999</v>
      </c>
      <c r="X987" s="295">
        <v>1.5329930000000001</v>
      </c>
      <c r="Y987" s="295">
        <v>1.5513110000000001</v>
      </c>
      <c r="Z987" s="295">
        <v>1.5727869999999999</v>
      </c>
      <c r="AA987" s="295">
        <v>1.5824199999999999</v>
      </c>
      <c r="AB987" s="295">
        <v>1.573188</v>
      </c>
      <c r="AC987" s="295">
        <v>1.6066959999999999</v>
      </c>
      <c r="AD987" s="295">
        <v>1.630941</v>
      </c>
      <c r="AE987" s="295">
        <v>1.6469560000000001</v>
      </c>
      <c r="AF987" s="295">
        <v>1.6611819999999999</v>
      </c>
      <c r="AG987" s="295">
        <v>1.6836990000000001</v>
      </c>
      <c r="AH987" s="296">
        <v>4.5620000000000001E-3</v>
      </c>
    </row>
    <row r="988" spans="1:34" ht="15" customHeight="1" x14ac:dyDescent="0.25">
      <c r="A988" s="213" t="s">
        <v>1785</v>
      </c>
      <c r="B988" s="294" t="s">
        <v>1093</v>
      </c>
      <c r="C988" s="295">
        <v>2.4E-2</v>
      </c>
      <c r="D988" s="295">
        <v>2.4E-2</v>
      </c>
      <c r="E988" s="295">
        <v>0</v>
      </c>
      <c r="F988" s="295">
        <v>0</v>
      </c>
      <c r="G988" s="295">
        <v>0</v>
      </c>
      <c r="H988" s="295">
        <v>0</v>
      </c>
      <c r="I988" s="295">
        <v>0</v>
      </c>
      <c r="J988" s="295">
        <v>0</v>
      </c>
      <c r="K988" s="295">
        <v>0</v>
      </c>
      <c r="L988" s="295">
        <v>0</v>
      </c>
      <c r="M988" s="295">
        <v>0</v>
      </c>
      <c r="N988" s="295">
        <v>0</v>
      </c>
      <c r="O988" s="295">
        <v>0</v>
      </c>
      <c r="P988" s="295">
        <v>0</v>
      </c>
      <c r="Q988" s="295">
        <v>0</v>
      </c>
      <c r="R988" s="295">
        <v>0</v>
      </c>
      <c r="S988" s="295">
        <v>0</v>
      </c>
      <c r="T988" s="295">
        <v>0</v>
      </c>
      <c r="U988" s="295">
        <v>1.2300000000000001E-4</v>
      </c>
      <c r="V988" s="295">
        <v>1.4999999999999999E-4</v>
      </c>
      <c r="W988" s="295">
        <v>1.7799999999999999E-4</v>
      </c>
      <c r="X988" s="295">
        <v>1.54E-4</v>
      </c>
      <c r="Y988" s="295">
        <v>5.2319999999999997E-3</v>
      </c>
      <c r="Z988" s="295">
        <v>1.1412E-2</v>
      </c>
      <c r="AA988" s="295">
        <v>1.8228999999999999E-2</v>
      </c>
      <c r="AB988" s="295">
        <v>2.8410000000000001E-2</v>
      </c>
      <c r="AC988" s="295">
        <v>3.0051000000000001E-2</v>
      </c>
      <c r="AD988" s="295">
        <v>3.0071000000000001E-2</v>
      </c>
      <c r="AE988" s="295">
        <v>3.0075999999999999E-2</v>
      </c>
      <c r="AF988" s="295">
        <v>3.0291999999999999E-2</v>
      </c>
      <c r="AG988" s="295">
        <v>3.0244E-2</v>
      </c>
      <c r="AH988" s="296">
        <v>7.737E-3</v>
      </c>
    </row>
    <row r="989" spans="1:34" ht="15" customHeight="1" x14ac:dyDescent="0.25">
      <c r="A989" s="213" t="s">
        <v>1786</v>
      </c>
      <c r="B989" s="294" t="s">
        <v>1095</v>
      </c>
      <c r="C989" s="295">
        <v>0</v>
      </c>
      <c r="D989" s="295">
        <v>0</v>
      </c>
      <c r="E989" s="295">
        <v>0</v>
      </c>
      <c r="F989" s="295">
        <v>0</v>
      </c>
      <c r="G989" s="295">
        <v>0</v>
      </c>
      <c r="H989" s="295">
        <v>0</v>
      </c>
      <c r="I989" s="295">
        <v>0</v>
      </c>
      <c r="J989" s="295">
        <v>0</v>
      </c>
      <c r="K989" s="295">
        <v>0</v>
      </c>
      <c r="L989" s="295">
        <v>0</v>
      </c>
      <c r="M989" s="295">
        <v>0</v>
      </c>
      <c r="N989" s="295">
        <v>0</v>
      </c>
      <c r="O989" s="295">
        <v>0</v>
      </c>
      <c r="P989" s="295">
        <v>0</v>
      </c>
      <c r="Q989" s="295">
        <v>0</v>
      </c>
      <c r="R989" s="295">
        <v>0</v>
      </c>
      <c r="S989" s="295">
        <v>0</v>
      </c>
      <c r="T989" s="295">
        <v>0</v>
      </c>
      <c r="U989" s="295">
        <v>0</v>
      </c>
      <c r="V989" s="295">
        <v>0</v>
      </c>
      <c r="W989" s="295">
        <v>0</v>
      </c>
      <c r="X989" s="295">
        <v>0</v>
      </c>
      <c r="Y989" s="295">
        <v>0</v>
      </c>
      <c r="Z989" s="295">
        <v>0</v>
      </c>
      <c r="AA989" s="295">
        <v>0</v>
      </c>
      <c r="AB989" s="295">
        <v>0</v>
      </c>
      <c r="AC989" s="295">
        <v>0</v>
      </c>
      <c r="AD989" s="295">
        <v>0</v>
      </c>
      <c r="AE989" s="295">
        <v>0</v>
      </c>
      <c r="AF989" s="295">
        <v>0</v>
      </c>
      <c r="AG989" s="295">
        <v>0</v>
      </c>
      <c r="AH989" s="296" t="s">
        <v>635</v>
      </c>
    </row>
    <row r="990" spans="1:34" ht="15" customHeight="1" x14ac:dyDescent="0.25">
      <c r="A990" s="213" t="s">
        <v>1787</v>
      </c>
      <c r="B990" s="294" t="s">
        <v>1099</v>
      </c>
      <c r="C990" s="295">
        <v>2.4E-2</v>
      </c>
      <c r="D990" s="295">
        <v>2.4E-2</v>
      </c>
      <c r="E990" s="295">
        <v>0</v>
      </c>
      <c r="F990" s="295">
        <v>0</v>
      </c>
      <c r="G990" s="295">
        <v>0</v>
      </c>
      <c r="H990" s="295">
        <v>0</v>
      </c>
      <c r="I990" s="295">
        <v>0</v>
      </c>
      <c r="J990" s="295">
        <v>0</v>
      </c>
      <c r="K990" s="295">
        <v>0</v>
      </c>
      <c r="L990" s="295">
        <v>0</v>
      </c>
      <c r="M990" s="295">
        <v>0</v>
      </c>
      <c r="N990" s="295">
        <v>0</v>
      </c>
      <c r="O990" s="295">
        <v>0</v>
      </c>
      <c r="P990" s="295">
        <v>0</v>
      </c>
      <c r="Q990" s="295">
        <v>0</v>
      </c>
      <c r="R990" s="295">
        <v>0</v>
      </c>
      <c r="S990" s="295">
        <v>0</v>
      </c>
      <c r="T990" s="295">
        <v>0</v>
      </c>
      <c r="U990" s="295">
        <v>1.2300000000000001E-4</v>
      </c>
      <c r="V990" s="295">
        <v>1.4999999999999999E-4</v>
      </c>
      <c r="W990" s="295">
        <v>1.7799999999999999E-4</v>
      </c>
      <c r="X990" s="295">
        <v>1.54E-4</v>
      </c>
      <c r="Y990" s="295">
        <v>5.2319999999999997E-3</v>
      </c>
      <c r="Z990" s="295">
        <v>1.1412E-2</v>
      </c>
      <c r="AA990" s="295">
        <v>1.8228999999999999E-2</v>
      </c>
      <c r="AB990" s="295">
        <v>2.8410000000000001E-2</v>
      </c>
      <c r="AC990" s="295">
        <v>3.0051000000000001E-2</v>
      </c>
      <c r="AD990" s="295">
        <v>3.0071000000000001E-2</v>
      </c>
      <c r="AE990" s="295">
        <v>3.0075999999999999E-2</v>
      </c>
      <c r="AF990" s="295">
        <v>3.0291999999999999E-2</v>
      </c>
      <c r="AG990" s="295">
        <v>3.0244E-2</v>
      </c>
      <c r="AH990" s="296">
        <v>7.737E-3</v>
      </c>
    </row>
    <row r="991" spans="1:34" ht="15" customHeight="1" x14ac:dyDescent="0.25">
      <c r="A991" s="213" t="s">
        <v>1788</v>
      </c>
      <c r="B991" s="294" t="s">
        <v>1101</v>
      </c>
      <c r="C991" s="295">
        <v>0.90481</v>
      </c>
      <c r="D991" s="295">
        <v>0.88107100000000005</v>
      </c>
      <c r="E991" s="295">
        <v>0.87069200000000002</v>
      </c>
      <c r="F991" s="295">
        <v>0.87605100000000002</v>
      </c>
      <c r="G991" s="295">
        <v>0.879</v>
      </c>
      <c r="H991" s="295">
        <v>0.88542399999999999</v>
      </c>
      <c r="I991" s="295">
        <v>0.88824899999999996</v>
      </c>
      <c r="J991" s="295">
        <v>0.89047699999999996</v>
      </c>
      <c r="K991" s="295">
        <v>0.89277300000000004</v>
      </c>
      <c r="L991" s="295">
        <v>0.89517199999999997</v>
      </c>
      <c r="M991" s="295">
        <v>0.899613</v>
      </c>
      <c r="N991" s="295">
        <v>0.90926399999999996</v>
      </c>
      <c r="O991" s="295">
        <v>0.91255399999999998</v>
      </c>
      <c r="P991" s="295">
        <v>0.91770499999999999</v>
      </c>
      <c r="Q991" s="295">
        <v>0.92390300000000003</v>
      </c>
      <c r="R991" s="295">
        <v>0.92998000000000003</v>
      </c>
      <c r="S991" s="295">
        <v>0.93480099999999999</v>
      </c>
      <c r="T991" s="295">
        <v>0.94000700000000004</v>
      </c>
      <c r="U991" s="295">
        <v>0.94540199999999996</v>
      </c>
      <c r="V991" s="295">
        <v>0.95161099999999998</v>
      </c>
      <c r="W991" s="295">
        <v>0.95842700000000003</v>
      </c>
      <c r="X991" s="295">
        <v>0.96508899999999997</v>
      </c>
      <c r="Y991" s="295">
        <v>0.97315099999999999</v>
      </c>
      <c r="Z991" s="295">
        <v>0.98217600000000005</v>
      </c>
      <c r="AA991" s="295">
        <v>0.99148099999999995</v>
      </c>
      <c r="AB991" s="295">
        <v>1.0054069999999999</v>
      </c>
      <c r="AC991" s="295">
        <v>1.010229</v>
      </c>
      <c r="AD991" s="295">
        <v>1.0276369999999999</v>
      </c>
      <c r="AE991" s="295">
        <v>1.037398</v>
      </c>
      <c r="AF991" s="295">
        <v>1.047914</v>
      </c>
      <c r="AG991" s="295">
        <v>1.058575</v>
      </c>
      <c r="AH991" s="296">
        <v>5.2459999999999998E-3</v>
      </c>
    </row>
    <row r="992" spans="1:34" ht="15" customHeight="1" x14ac:dyDescent="0.25">
      <c r="A992" s="213" t="s">
        <v>1789</v>
      </c>
      <c r="B992" s="294" t="s">
        <v>1045</v>
      </c>
      <c r="C992" s="295">
        <v>0.18373800000000001</v>
      </c>
      <c r="D992" s="295">
        <v>0.195488</v>
      </c>
      <c r="E992" s="295">
        <v>0.18537500000000001</v>
      </c>
      <c r="F992" s="295">
        <v>0.19003400000000001</v>
      </c>
      <c r="G992" s="295">
        <v>0.187782</v>
      </c>
      <c r="H992" s="295">
        <v>0.190026</v>
      </c>
      <c r="I992" s="295">
        <v>0.192106</v>
      </c>
      <c r="J992" s="295">
        <v>0.19069900000000001</v>
      </c>
      <c r="K992" s="295">
        <v>0.19287499999999999</v>
      </c>
      <c r="L992" s="295">
        <v>0.19544600000000001</v>
      </c>
      <c r="M992" s="295">
        <v>0.197796</v>
      </c>
      <c r="N992" s="295">
        <v>0.19835</v>
      </c>
      <c r="O992" s="295">
        <v>0.19933300000000001</v>
      </c>
      <c r="P992" s="295">
        <v>0.199657</v>
      </c>
      <c r="Q992" s="295">
        <v>0.202763</v>
      </c>
      <c r="R992" s="295">
        <v>0.20310600000000001</v>
      </c>
      <c r="S992" s="295">
        <v>0.20603099999999999</v>
      </c>
      <c r="T992" s="295">
        <v>0.206929</v>
      </c>
      <c r="U992" s="295">
        <v>0.20777999999999999</v>
      </c>
      <c r="V992" s="295">
        <v>0.21090200000000001</v>
      </c>
      <c r="W992" s="295">
        <v>0.21163000000000001</v>
      </c>
      <c r="X992" s="295">
        <v>0.21249000000000001</v>
      </c>
      <c r="Y992" s="295">
        <v>0.21419199999999999</v>
      </c>
      <c r="Z992" s="295">
        <v>0.215031</v>
      </c>
      <c r="AA992" s="295">
        <v>0.21573400000000001</v>
      </c>
      <c r="AB992" s="295">
        <v>0.21620500000000001</v>
      </c>
      <c r="AC992" s="295">
        <v>0.21804699999999999</v>
      </c>
      <c r="AD992" s="295">
        <v>0.22064</v>
      </c>
      <c r="AE992" s="295">
        <v>0.22283900000000001</v>
      </c>
      <c r="AF992" s="295">
        <v>0.223632</v>
      </c>
      <c r="AG992" s="295">
        <v>0.226521</v>
      </c>
      <c r="AH992" s="296">
        <v>7.0020000000000004E-3</v>
      </c>
    </row>
    <row r="993" spans="1:34" ht="15" customHeight="1" x14ac:dyDescent="0.2">
      <c r="A993" s="213" t="s">
        <v>1790</v>
      </c>
      <c r="B993" s="204" t="s">
        <v>1047</v>
      </c>
      <c r="C993" s="205">
        <v>4.3930150000000001</v>
      </c>
      <c r="D993" s="205">
        <v>4.6170080000000002</v>
      </c>
      <c r="E993" s="205">
        <v>4.3377569999999999</v>
      </c>
      <c r="F993" s="205">
        <v>4.397151</v>
      </c>
      <c r="G993" s="205">
        <v>4.3868840000000002</v>
      </c>
      <c r="H993" s="205">
        <v>4.4154720000000003</v>
      </c>
      <c r="I993" s="205">
        <v>4.4509119999999998</v>
      </c>
      <c r="J993" s="205">
        <v>4.4424530000000004</v>
      </c>
      <c r="K993" s="205">
        <v>4.469284</v>
      </c>
      <c r="L993" s="205">
        <v>4.500718</v>
      </c>
      <c r="M993" s="205">
        <v>4.470396</v>
      </c>
      <c r="N993" s="205">
        <v>4.4932150000000002</v>
      </c>
      <c r="O993" s="205">
        <v>4.5038539999999996</v>
      </c>
      <c r="P993" s="205">
        <v>4.5149239999999997</v>
      </c>
      <c r="Q993" s="205">
        <v>4.560454</v>
      </c>
      <c r="R993" s="205">
        <v>4.5785020000000003</v>
      </c>
      <c r="S993" s="205">
        <v>4.6299349999999997</v>
      </c>
      <c r="T993" s="205">
        <v>4.67265</v>
      </c>
      <c r="U993" s="205">
        <v>4.6916029999999997</v>
      </c>
      <c r="V993" s="205">
        <v>4.747204</v>
      </c>
      <c r="W993" s="205">
        <v>4.7528040000000003</v>
      </c>
      <c r="X993" s="205">
        <v>4.7661290000000003</v>
      </c>
      <c r="Y993" s="205">
        <v>4.7942140000000002</v>
      </c>
      <c r="Z993" s="205">
        <v>4.8133840000000001</v>
      </c>
      <c r="AA993" s="205">
        <v>4.8348880000000003</v>
      </c>
      <c r="AB993" s="205">
        <v>4.8565870000000002</v>
      </c>
      <c r="AC993" s="205">
        <v>4.8855079999999997</v>
      </c>
      <c r="AD993" s="205">
        <v>4.9350810000000003</v>
      </c>
      <c r="AE993" s="205">
        <v>4.9745990000000004</v>
      </c>
      <c r="AF993" s="205">
        <v>4.9956370000000003</v>
      </c>
      <c r="AG993" s="205">
        <v>5.0449260000000002</v>
      </c>
      <c r="AH993" s="206">
        <v>4.6230000000000004E-3</v>
      </c>
    </row>
    <row r="994" spans="1:34" ht="15" customHeight="1" x14ac:dyDescent="0.25">
      <c r="A994" s="213" t="s">
        <v>1791</v>
      </c>
      <c r="B994" s="294" t="s">
        <v>1049</v>
      </c>
      <c r="C994" s="295">
        <v>0.34247499999999997</v>
      </c>
      <c r="D994" s="295">
        <v>0.36399700000000001</v>
      </c>
      <c r="E994" s="295">
        <v>0.34675299999999998</v>
      </c>
      <c r="F994" s="295">
        <v>0.34841100000000003</v>
      </c>
      <c r="G994" s="295">
        <v>0.33743200000000001</v>
      </c>
      <c r="H994" s="295">
        <v>0.33184599999999997</v>
      </c>
      <c r="I994" s="295">
        <v>0.32632800000000001</v>
      </c>
      <c r="J994" s="295">
        <v>0.32024000000000002</v>
      </c>
      <c r="K994" s="295">
        <v>0.32208700000000001</v>
      </c>
      <c r="L994" s="295">
        <v>0.32516699999999998</v>
      </c>
      <c r="M994" s="295">
        <v>0.32837</v>
      </c>
      <c r="N994" s="295">
        <v>0.32850200000000002</v>
      </c>
      <c r="O994" s="295">
        <v>0.328204</v>
      </c>
      <c r="P994" s="295">
        <v>0.32746999999999998</v>
      </c>
      <c r="Q994" s="295">
        <v>0.330841</v>
      </c>
      <c r="R994" s="295">
        <v>0.33045400000000003</v>
      </c>
      <c r="S994" s="295">
        <v>0.334036</v>
      </c>
      <c r="T994" s="295">
        <v>0.33440300000000001</v>
      </c>
      <c r="U994" s="295">
        <v>0.33392300000000003</v>
      </c>
      <c r="V994" s="295">
        <v>0.33717000000000003</v>
      </c>
      <c r="W994" s="295">
        <v>0.33677699999999999</v>
      </c>
      <c r="X994" s="295">
        <v>0.33706999999999998</v>
      </c>
      <c r="Y994" s="295">
        <v>0.338725</v>
      </c>
      <c r="Z994" s="295">
        <v>0.33871699999999999</v>
      </c>
      <c r="AA994" s="295">
        <v>0.33840199999999998</v>
      </c>
      <c r="AB994" s="295">
        <v>0.33769100000000002</v>
      </c>
      <c r="AC994" s="295">
        <v>0.33937</v>
      </c>
      <c r="AD994" s="295">
        <v>0.34238499999999999</v>
      </c>
      <c r="AE994" s="295">
        <v>0.34521400000000002</v>
      </c>
      <c r="AF994" s="295">
        <v>0.34547699999999998</v>
      </c>
      <c r="AG994" s="295">
        <v>0.34850100000000001</v>
      </c>
      <c r="AH994" s="296">
        <v>5.8200000000000005E-4</v>
      </c>
    </row>
    <row r="995" spans="1:34" ht="15" customHeight="1" x14ac:dyDescent="0.2">
      <c r="A995" s="213" t="s">
        <v>1792</v>
      </c>
      <c r="B995" s="204" t="s">
        <v>179</v>
      </c>
      <c r="C995" s="205">
        <v>4.7354900000000004</v>
      </c>
      <c r="D995" s="205">
        <v>4.9810059999999998</v>
      </c>
      <c r="E995" s="205">
        <v>4.6845100000000004</v>
      </c>
      <c r="F995" s="205">
        <v>4.7455619999999996</v>
      </c>
      <c r="G995" s="205">
        <v>4.7243149999999998</v>
      </c>
      <c r="H995" s="205">
        <v>4.7473179999999999</v>
      </c>
      <c r="I995" s="205">
        <v>4.7772410000000001</v>
      </c>
      <c r="J995" s="205">
        <v>4.7626939999999998</v>
      </c>
      <c r="K995" s="205">
        <v>4.7913709999999998</v>
      </c>
      <c r="L995" s="205">
        <v>4.8258850000000004</v>
      </c>
      <c r="M995" s="205">
        <v>4.7987659999999996</v>
      </c>
      <c r="N995" s="205">
        <v>4.8217169999999996</v>
      </c>
      <c r="O995" s="205">
        <v>4.832058</v>
      </c>
      <c r="P995" s="205">
        <v>4.8423939999999996</v>
      </c>
      <c r="Q995" s="205">
        <v>4.8912950000000004</v>
      </c>
      <c r="R995" s="205">
        <v>4.908957</v>
      </c>
      <c r="S995" s="205">
        <v>4.9639720000000001</v>
      </c>
      <c r="T995" s="205">
        <v>5.007053</v>
      </c>
      <c r="U995" s="205">
        <v>5.0255260000000002</v>
      </c>
      <c r="V995" s="205">
        <v>5.0843740000000004</v>
      </c>
      <c r="W995" s="205">
        <v>5.0895809999999999</v>
      </c>
      <c r="X995" s="205">
        <v>5.103199</v>
      </c>
      <c r="Y995" s="205">
        <v>5.1329390000000004</v>
      </c>
      <c r="Z995" s="205">
        <v>5.152101</v>
      </c>
      <c r="AA995" s="205">
        <v>5.1732899999999997</v>
      </c>
      <c r="AB995" s="205">
        <v>5.1942779999999997</v>
      </c>
      <c r="AC995" s="205">
        <v>5.2248770000000002</v>
      </c>
      <c r="AD995" s="205">
        <v>5.2774660000000004</v>
      </c>
      <c r="AE995" s="205">
        <v>5.3198119999999998</v>
      </c>
      <c r="AF995" s="205">
        <v>5.3411140000000001</v>
      </c>
      <c r="AG995" s="205">
        <v>5.393427</v>
      </c>
      <c r="AH995" s="206">
        <v>4.346E-3</v>
      </c>
    </row>
    <row r="997" spans="1:34" ht="15" customHeight="1" x14ac:dyDescent="0.2">
      <c r="B997" s="204" t="s">
        <v>1793</v>
      </c>
    </row>
    <row r="998" spans="1:34" ht="15" customHeight="1" x14ac:dyDescent="0.25">
      <c r="A998" s="213" t="s">
        <v>1794</v>
      </c>
      <c r="B998" s="294" t="s">
        <v>1773</v>
      </c>
      <c r="C998" s="295">
        <v>0.158055</v>
      </c>
      <c r="D998" s="295">
        <v>0.138181</v>
      </c>
      <c r="E998" s="295">
        <v>0.13775100000000001</v>
      </c>
      <c r="F998" s="295">
        <v>0.21395900000000001</v>
      </c>
      <c r="G998" s="295">
        <v>0.21249100000000001</v>
      </c>
      <c r="H998" s="295">
        <v>0.213757</v>
      </c>
      <c r="I998" s="295">
        <v>0.21514900000000001</v>
      </c>
      <c r="J998" s="295">
        <v>0.21701000000000001</v>
      </c>
      <c r="K998" s="295">
        <v>0.217946</v>
      </c>
      <c r="L998" s="295">
        <v>0.21939900000000001</v>
      </c>
      <c r="M998" s="295">
        <v>0.220972</v>
      </c>
      <c r="N998" s="295">
        <v>0.22297900000000001</v>
      </c>
      <c r="O998" s="295">
        <v>0.22573299999999999</v>
      </c>
      <c r="P998" s="295">
        <v>0.22789899999999999</v>
      </c>
      <c r="Q998" s="295">
        <v>0.23042199999999999</v>
      </c>
      <c r="R998" s="295">
        <v>0.23305000000000001</v>
      </c>
      <c r="S998" s="295">
        <v>0.23533699999999999</v>
      </c>
      <c r="T998" s="295">
        <v>0.237709</v>
      </c>
      <c r="U998" s="295">
        <v>0.240258</v>
      </c>
      <c r="V998" s="295">
        <v>0.242953</v>
      </c>
      <c r="W998" s="295">
        <v>0.244951</v>
      </c>
      <c r="X998" s="295">
        <v>0.24760699999999999</v>
      </c>
      <c r="Y998" s="295">
        <v>0.25062000000000001</v>
      </c>
      <c r="Z998" s="295">
        <v>0.253882</v>
      </c>
      <c r="AA998" s="295">
        <v>0.25739099999999998</v>
      </c>
      <c r="AB998" s="295">
        <v>0.26105899999999999</v>
      </c>
      <c r="AC998" s="295">
        <v>0.26425500000000002</v>
      </c>
      <c r="AD998" s="295">
        <v>0.26744400000000002</v>
      </c>
      <c r="AE998" s="295">
        <v>0.27101500000000001</v>
      </c>
      <c r="AF998" s="295">
        <v>0.274868</v>
      </c>
      <c r="AG998" s="295">
        <v>0.27881800000000001</v>
      </c>
      <c r="AH998" s="296">
        <v>1.9101E-2</v>
      </c>
    </row>
    <row r="999" spans="1:34" ht="15" customHeight="1" x14ac:dyDescent="0.25">
      <c r="A999" s="213" t="s">
        <v>1795</v>
      </c>
      <c r="B999" s="294" t="s">
        <v>1796</v>
      </c>
      <c r="C999" s="295">
        <v>2.9719000000000002</v>
      </c>
      <c r="D999" s="295">
        <v>3.2486000000000002</v>
      </c>
      <c r="E999" s="295">
        <v>3.5141</v>
      </c>
      <c r="F999" s="295">
        <v>3.5624030000000002</v>
      </c>
      <c r="G999" s="295">
        <v>3.68045</v>
      </c>
      <c r="H999" s="295">
        <v>3.7808839999999999</v>
      </c>
      <c r="I999" s="295">
        <v>3.8446009999999999</v>
      </c>
      <c r="J999" s="295">
        <v>3.8910640000000001</v>
      </c>
      <c r="K999" s="295">
        <v>3.9474309999999999</v>
      </c>
      <c r="L999" s="295">
        <v>4.007949</v>
      </c>
      <c r="M999" s="295">
        <v>4.0839610000000004</v>
      </c>
      <c r="N999" s="295">
        <v>4.1540080000000001</v>
      </c>
      <c r="O999" s="295">
        <v>4.2024189999999999</v>
      </c>
      <c r="P999" s="295">
        <v>4.2594240000000001</v>
      </c>
      <c r="Q999" s="295">
        <v>4.3254060000000001</v>
      </c>
      <c r="R999" s="295">
        <v>4.3904909999999999</v>
      </c>
      <c r="S999" s="295">
        <v>4.431451</v>
      </c>
      <c r="T999" s="295">
        <v>4.4812190000000003</v>
      </c>
      <c r="U999" s="295">
        <v>4.5287040000000003</v>
      </c>
      <c r="V999" s="295">
        <v>4.5524360000000001</v>
      </c>
      <c r="W999" s="295">
        <v>4.5590960000000003</v>
      </c>
      <c r="X999" s="295">
        <v>4.5804999999999998</v>
      </c>
      <c r="Y999" s="295">
        <v>4.6293230000000003</v>
      </c>
      <c r="Z999" s="295">
        <v>4.6679969999999997</v>
      </c>
      <c r="AA999" s="295">
        <v>4.6871340000000004</v>
      </c>
      <c r="AB999" s="295">
        <v>4.7192749999999997</v>
      </c>
      <c r="AC999" s="295">
        <v>4.7469349999999997</v>
      </c>
      <c r="AD999" s="295">
        <v>4.7764439999999997</v>
      </c>
      <c r="AE999" s="295">
        <v>4.8069559999999996</v>
      </c>
      <c r="AF999" s="295">
        <v>4.8675509999999997</v>
      </c>
      <c r="AG999" s="295">
        <v>4.9183940000000002</v>
      </c>
      <c r="AH999" s="296">
        <v>1.6934999999999999E-2</v>
      </c>
    </row>
    <row r="1000" spans="1:34" ht="15" customHeight="1" x14ac:dyDescent="0.25">
      <c r="A1000" s="213" t="s">
        <v>1797</v>
      </c>
      <c r="B1000" s="294" t="s">
        <v>1711</v>
      </c>
      <c r="C1000" s="295">
        <v>0.238015</v>
      </c>
      <c r="D1000" s="295">
        <v>0.25910300000000003</v>
      </c>
      <c r="E1000" s="295">
        <v>0.26631300000000002</v>
      </c>
      <c r="F1000" s="295">
        <v>0.27327800000000002</v>
      </c>
      <c r="G1000" s="295">
        <v>0.27912900000000002</v>
      </c>
      <c r="H1000" s="295">
        <v>0.28532800000000003</v>
      </c>
      <c r="I1000" s="295">
        <v>0.29039700000000002</v>
      </c>
      <c r="J1000" s="295">
        <v>0.294377</v>
      </c>
      <c r="K1000" s="295">
        <v>0.29767700000000002</v>
      </c>
      <c r="L1000" s="295">
        <v>0.30102400000000001</v>
      </c>
      <c r="M1000" s="295">
        <v>0.30452699999999999</v>
      </c>
      <c r="N1000" s="295">
        <v>0.30830000000000002</v>
      </c>
      <c r="O1000" s="295">
        <v>0.311921</v>
      </c>
      <c r="P1000" s="295">
        <v>0.31528600000000001</v>
      </c>
      <c r="Q1000" s="295">
        <v>0.31899899999999998</v>
      </c>
      <c r="R1000" s="295">
        <v>0.322577</v>
      </c>
      <c r="S1000" s="295">
        <v>0.32566400000000001</v>
      </c>
      <c r="T1000" s="295">
        <v>0.32882299999999998</v>
      </c>
      <c r="U1000" s="295">
        <v>0.33240199999999998</v>
      </c>
      <c r="V1000" s="295">
        <v>0.336007</v>
      </c>
      <c r="W1000" s="295">
        <v>0.33976299999999998</v>
      </c>
      <c r="X1000" s="295">
        <v>0.34373100000000001</v>
      </c>
      <c r="Y1000" s="295">
        <v>0.34798699999999999</v>
      </c>
      <c r="Z1000" s="295">
        <v>0.352715</v>
      </c>
      <c r="AA1000" s="295">
        <v>0.357547</v>
      </c>
      <c r="AB1000" s="295">
        <v>0.36209200000000002</v>
      </c>
      <c r="AC1000" s="295">
        <v>0.36675999999999997</v>
      </c>
      <c r="AD1000" s="295">
        <v>0.371305</v>
      </c>
      <c r="AE1000" s="295">
        <v>0.37608799999999998</v>
      </c>
      <c r="AF1000" s="295">
        <v>0.38109399999999999</v>
      </c>
      <c r="AG1000" s="295">
        <v>0.38614799999999999</v>
      </c>
      <c r="AH1000" s="296">
        <v>1.626E-2</v>
      </c>
    </row>
    <row r="1001" spans="1:34" ht="15" customHeight="1" x14ac:dyDescent="0.25">
      <c r="A1001" s="213" t="s">
        <v>1798</v>
      </c>
      <c r="B1001" s="294" t="s">
        <v>1058</v>
      </c>
      <c r="C1001" s="295">
        <v>1.1348670000000001</v>
      </c>
      <c r="D1001" s="295">
        <v>1.1941010000000001</v>
      </c>
      <c r="E1001" s="295">
        <v>1.218216</v>
      </c>
      <c r="F1001" s="295">
        <v>1.2388760000000001</v>
      </c>
      <c r="G1001" s="295">
        <v>1.261172</v>
      </c>
      <c r="H1001" s="295">
        <v>1.2878019999999999</v>
      </c>
      <c r="I1001" s="295">
        <v>1.3116760000000001</v>
      </c>
      <c r="J1001" s="295">
        <v>1.330589</v>
      </c>
      <c r="K1001" s="295">
        <v>1.3454930000000001</v>
      </c>
      <c r="L1001" s="295">
        <v>1.361019</v>
      </c>
      <c r="M1001" s="295">
        <v>1.378233</v>
      </c>
      <c r="N1001" s="295">
        <v>1.397494</v>
      </c>
      <c r="O1001" s="295">
        <v>1.4152340000000001</v>
      </c>
      <c r="P1001" s="295">
        <v>1.4319219999999999</v>
      </c>
      <c r="Q1001" s="295">
        <v>1.4502619999999999</v>
      </c>
      <c r="R1001" s="295">
        <v>1.469061</v>
      </c>
      <c r="S1001" s="295">
        <v>1.4848619999999999</v>
      </c>
      <c r="T1001" s="295">
        <v>1.500089</v>
      </c>
      <c r="U1001" s="295">
        <v>1.5176810000000001</v>
      </c>
      <c r="V1001" s="295">
        <v>1.5353019999999999</v>
      </c>
      <c r="W1001" s="295">
        <v>1.552948</v>
      </c>
      <c r="X1001" s="295">
        <v>1.5730379999999999</v>
      </c>
      <c r="Y1001" s="295">
        <v>1.5948310000000001</v>
      </c>
      <c r="Z1001" s="295">
        <v>1.6189</v>
      </c>
      <c r="AA1001" s="295">
        <v>1.643961</v>
      </c>
      <c r="AB1001" s="295">
        <v>1.6683220000000001</v>
      </c>
      <c r="AC1001" s="295">
        <v>1.692229</v>
      </c>
      <c r="AD1001" s="295">
        <v>1.715713</v>
      </c>
      <c r="AE1001" s="295">
        <v>1.7410429999999999</v>
      </c>
      <c r="AF1001" s="295">
        <v>1.768589</v>
      </c>
      <c r="AG1001" s="295">
        <v>1.796802</v>
      </c>
      <c r="AH1001" s="296">
        <v>1.5434E-2</v>
      </c>
    </row>
    <row r="1002" spans="1:34" ht="15" customHeight="1" x14ac:dyDescent="0.25">
      <c r="A1002" s="213" t="s">
        <v>1799</v>
      </c>
      <c r="B1002" s="294" t="s">
        <v>1060</v>
      </c>
      <c r="C1002" s="295">
        <v>3.048E-2</v>
      </c>
      <c r="D1002" s="295">
        <v>3.4244999999999998E-2</v>
      </c>
      <c r="E1002" s="295">
        <v>3.4750999999999997E-2</v>
      </c>
      <c r="F1002" s="295">
        <v>3.4202999999999997E-2</v>
      </c>
      <c r="G1002" s="295">
        <v>3.3766999999999998E-2</v>
      </c>
      <c r="H1002" s="295">
        <v>3.4161999999999998E-2</v>
      </c>
      <c r="I1002" s="295">
        <v>3.4610000000000002E-2</v>
      </c>
      <c r="J1002" s="295">
        <v>3.5263999999999997E-2</v>
      </c>
      <c r="K1002" s="295">
        <v>3.5737999999999999E-2</v>
      </c>
      <c r="L1002" s="295">
        <v>3.6353000000000003E-2</v>
      </c>
      <c r="M1002" s="295">
        <v>3.6901999999999997E-2</v>
      </c>
      <c r="N1002" s="295">
        <v>3.7472999999999999E-2</v>
      </c>
      <c r="O1002" s="295">
        <v>3.7623999999999998E-2</v>
      </c>
      <c r="P1002" s="295">
        <v>3.8008E-2</v>
      </c>
      <c r="Q1002" s="295">
        <v>3.8370000000000001E-2</v>
      </c>
      <c r="R1002" s="295">
        <v>3.8572000000000002E-2</v>
      </c>
      <c r="S1002" s="295">
        <v>3.8747999999999998E-2</v>
      </c>
      <c r="T1002" s="295">
        <v>3.9002000000000002E-2</v>
      </c>
      <c r="U1002" s="295">
        <v>3.9153E-2</v>
      </c>
      <c r="V1002" s="295">
        <v>3.9356000000000002E-2</v>
      </c>
      <c r="W1002" s="295">
        <v>3.9150999999999998E-2</v>
      </c>
      <c r="X1002" s="295">
        <v>3.9204000000000003E-2</v>
      </c>
      <c r="Y1002" s="295">
        <v>3.9435999999999999E-2</v>
      </c>
      <c r="Z1002" s="295">
        <v>3.9724000000000002E-2</v>
      </c>
      <c r="AA1002" s="295">
        <v>3.9949999999999999E-2</v>
      </c>
      <c r="AB1002" s="295">
        <v>4.0079999999999998E-2</v>
      </c>
      <c r="AC1002" s="295">
        <v>4.0253999999999998E-2</v>
      </c>
      <c r="AD1002" s="295">
        <v>4.0475999999999998E-2</v>
      </c>
      <c r="AE1002" s="295">
        <v>4.0728E-2</v>
      </c>
      <c r="AF1002" s="295">
        <v>4.1022000000000003E-2</v>
      </c>
      <c r="AG1002" s="295">
        <v>4.1235000000000001E-2</v>
      </c>
      <c r="AH1002" s="296">
        <v>1.0125E-2</v>
      </c>
    </row>
    <row r="1003" spans="1:34" ht="15" customHeight="1" x14ac:dyDescent="0.25">
      <c r="A1003" s="213" t="s">
        <v>1800</v>
      </c>
      <c r="B1003" s="294" t="s">
        <v>1077</v>
      </c>
      <c r="C1003" s="295">
        <v>0.58092500000000002</v>
      </c>
      <c r="D1003" s="295">
        <v>0.60737300000000005</v>
      </c>
      <c r="E1003" s="295">
        <v>0.64119300000000001</v>
      </c>
      <c r="F1003" s="295">
        <v>0.64207400000000003</v>
      </c>
      <c r="G1003" s="295">
        <v>0.64420200000000005</v>
      </c>
      <c r="H1003" s="295">
        <v>0.64595999999999998</v>
      </c>
      <c r="I1003" s="295">
        <v>0.64704899999999999</v>
      </c>
      <c r="J1003" s="295">
        <v>0.64783100000000005</v>
      </c>
      <c r="K1003" s="295">
        <v>0.64876900000000004</v>
      </c>
      <c r="L1003" s="295">
        <v>0.64976400000000001</v>
      </c>
      <c r="M1003" s="295">
        <v>0.65099600000000002</v>
      </c>
      <c r="N1003" s="295">
        <v>0.65211300000000005</v>
      </c>
      <c r="O1003" s="295">
        <v>0.65287300000000004</v>
      </c>
      <c r="P1003" s="295">
        <v>0.65375799999999995</v>
      </c>
      <c r="Q1003" s="295">
        <v>0.65477099999999999</v>
      </c>
      <c r="R1003" s="295">
        <v>0.65575600000000001</v>
      </c>
      <c r="S1003" s="295">
        <v>0.65636799999999995</v>
      </c>
      <c r="T1003" s="295">
        <v>0.65710500000000005</v>
      </c>
      <c r="U1003" s="295">
        <v>0.65780099999999997</v>
      </c>
      <c r="V1003" s="295">
        <v>0.65814600000000001</v>
      </c>
      <c r="W1003" s="295">
        <v>0.65824199999999999</v>
      </c>
      <c r="X1003" s="295">
        <v>0.658551</v>
      </c>
      <c r="Y1003" s="295">
        <v>0.65925299999999998</v>
      </c>
      <c r="Z1003" s="295">
        <v>0.65980399999999995</v>
      </c>
      <c r="AA1003" s="295">
        <v>0.66007499999999997</v>
      </c>
      <c r="AB1003" s="295">
        <v>0.66052699999999998</v>
      </c>
      <c r="AC1003" s="295">
        <v>0.660914</v>
      </c>
      <c r="AD1003" s="295">
        <v>0.66132500000000005</v>
      </c>
      <c r="AE1003" s="295">
        <v>0.661748</v>
      </c>
      <c r="AF1003" s="295">
        <v>0.662582</v>
      </c>
      <c r="AG1003" s="295">
        <v>0.66327400000000003</v>
      </c>
      <c r="AH1003" s="296">
        <v>4.4289999999999998E-3</v>
      </c>
    </row>
    <row r="1004" spans="1:34" ht="15" customHeight="1" x14ac:dyDescent="0.25">
      <c r="A1004" s="213" t="s">
        <v>1801</v>
      </c>
      <c r="B1004" s="294" t="s">
        <v>1749</v>
      </c>
      <c r="C1004" s="295">
        <v>0.50873900000000005</v>
      </c>
      <c r="D1004" s="295">
        <v>0.55012499999999998</v>
      </c>
      <c r="E1004" s="295">
        <v>0.56291899999999995</v>
      </c>
      <c r="F1004" s="295">
        <v>0.56632499999999997</v>
      </c>
      <c r="G1004" s="295">
        <v>0.562079</v>
      </c>
      <c r="H1004" s="295">
        <v>0.56091899999999995</v>
      </c>
      <c r="I1004" s="295">
        <v>0.571268</v>
      </c>
      <c r="J1004" s="295">
        <v>0.57109900000000002</v>
      </c>
      <c r="K1004" s="295">
        <v>0.57673399999999997</v>
      </c>
      <c r="L1004" s="295">
        <v>0.588256</v>
      </c>
      <c r="M1004" s="295">
        <v>0.59597199999999995</v>
      </c>
      <c r="N1004" s="295">
        <v>0.59700799999999998</v>
      </c>
      <c r="O1004" s="295">
        <v>0.59939500000000001</v>
      </c>
      <c r="P1004" s="295">
        <v>0.60152600000000001</v>
      </c>
      <c r="Q1004" s="295">
        <v>0.60623099999999996</v>
      </c>
      <c r="R1004" s="295">
        <v>0.60592000000000001</v>
      </c>
      <c r="S1004" s="295">
        <v>0.60587000000000002</v>
      </c>
      <c r="T1004" s="295">
        <v>0.60592299999999999</v>
      </c>
      <c r="U1004" s="295">
        <v>0.60599599999999998</v>
      </c>
      <c r="V1004" s="295">
        <v>0.60649200000000003</v>
      </c>
      <c r="W1004" s="295">
        <v>0.60370500000000005</v>
      </c>
      <c r="X1004" s="295">
        <v>0.60407200000000005</v>
      </c>
      <c r="Y1004" s="295">
        <v>0.60560499999999995</v>
      </c>
      <c r="Z1004" s="295">
        <v>0.60799499999999995</v>
      </c>
      <c r="AA1004" s="295">
        <v>0.60930799999999996</v>
      </c>
      <c r="AB1004" s="295">
        <v>0.60822699999999996</v>
      </c>
      <c r="AC1004" s="295">
        <v>0.61049100000000001</v>
      </c>
      <c r="AD1004" s="295">
        <v>0.61236000000000002</v>
      </c>
      <c r="AE1004" s="295">
        <v>0.61458299999999999</v>
      </c>
      <c r="AF1004" s="295">
        <v>0.61464799999999997</v>
      </c>
      <c r="AG1004" s="295">
        <v>0.61826800000000004</v>
      </c>
      <c r="AH1004" s="296">
        <v>6.5209999999999999E-3</v>
      </c>
    </row>
    <row r="1005" spans="1:34" ht="15" customHeight="1" x14ac:dyDescent="0.25">
      <c r="A1005" s="213" t="s">
        <v>1802</v>
      </c>
      <c r="B1005" s="294" t="s">
        <v>1715</v>
      </c>
      <c r="C1005" s="295">
        <v>0.84177000000000002</v>
      </c>
      <c r="D1005" s="295">
        <v>0.86848599999999998</v>
      </c>
      <c r="E1005" s="295">
        <v>0.85349699999999995</v>
      </c>
      <c r="F1005" s="295">
        <v>0.85684400000000005</v>
      </c>
      <c r="G1005" s="295">
        <v>0.86403600000000003</v>
      </c>
      <c r="H1005" s="295">
        <v>0.87042200000000003</v>
      </c>
      <c r="I1005" s="295">
        <v>0.87478100000000003</v>
      </c>
      <c r="J1005" s="295">
        <v>0.87902100000000005</v>
      </c>
      <c r="K1005" s="295">
        <v>0.88453400000000004</v>
      </c>
      <c r="L1005" s="295">
        <v>0.89135900000000001</v>
      </c>
      <c r="M1005" s="295">
        <v>0.89999600000000002</v>
      </c>
      <c r="N1005" s="295">
        <v>0.909941</v>
      </c>
      <c r="O1005" s="295">
        <v>0.92013500000000004</v>
      </c>
      <c r="P1005" s="295">
        <v>0.93057100000000004</v>
      </c>
      <c r="Q1005" s="295">
        <v>0.94347700000000001</v>
      </c>
      <c r="R1005" s="295">
        <v>0.95466499999999999</v>
      </c>
      <c r="S1005" s="295">
        <v>0.96540999999999999</v>
      </c>
      <c r="T1005" s="295">
        <v>0.976831</v>
      </c>
      <c r="U1005" s="295">
        <v>0.98982300000000001</v>
      </c>
      <c r="V1005" s="295">
        <v>0.99816899999999997</v>
      </c>
      <c r="W1005" s="295">
        <v>1.010343</v>
      </c>
      <c r="X1005" s="295">
        <v>1.0230809999999999</v>
      </c>
      <c r="Y1005" s="295">
        <v>1.0366709999999999</v>
      </c>
      <c r="Z1005" s="295">
        <v>1.0515890000000001</v>
      </c>
      <c r="AA1005" s="295">
        <v>1.067855</v>
      </c>
      <c r="AB1005" s="295">
        <v>1.0848230000000001</v>
      </c>
      <c r="AC1005" s="295">
        <v>1.1026929999999999</v>
      </c>
      <c r="AD1005" s="295">
        <v>1.121462</v>
      </c>
      <c r="AE1005" s="295">
        <v>1.1407529999999999</v>
      </c>
      <c r="AF1005" s="295">
        <v>1.1608099999999999</v>
      </c>
      <c r="AG1005" s="295">
        <v>1.1814910000000001</v>
      </c>
      <c r="AH1005" s="296">
        <v>1.1365E-2</v>
      </c>
    </row>
    <row r="1006" spans="1:34" ht="15" customHeight="1" x14ac:dyDescent="0.25">
      <c r="A1006" s="213" t="s">
        <v>1803</v>
      </c>
      <c r="B1006" s="294" t="s">
        <v>1778</v>
      </c>
      <c r="C1006" s="295">
        <v>1.332498</v>
      </c>
      <c r="D1006" s="295">
        <v>1.43919</v>
      </c>
      <c r="E1006" s="295">
        <v>1.425109</v>
      </c>
      <c r="F1006" s="295">
        <v>1.440142</v>
      </c>
      <c r="G1006" s="295">
        <v>1.4279839999999999</v>
      </c>
      <c r="H1006" s="295">
        <v>1.452431</v>
      </c>
      <c r="I1006" s="295">
        <v>1.4627540000000001</v>
      </c>
      <c r="J1006" s="295">
        <v>1.469938</v>
      </c>
      <c r="K1006" s="295">
        <v>1.478909</v>
      </c>
      <c r="L1006" s="295">
        <v>1.489927</v>
      </c>
      <c r="M1006" s="295">
        <v>1.484316</v>
      </c>
      <c r="N1006" s="295">
        <v>1.489876</v>
      </c>
      <c r="O1006" s="295">
        <v>1.496567</v>
      </c>
      <c r="P1006" s="295">
        <v>1.493214</v>
      </c>
      <c r="Q1006" s="295">
        <v>1.5044949999999999</v>
      </c>
      <c r="R1006" s="295">
        <v>1.506901</v>
      </c>
      <c r="S1006" s="295">
        <v>1.525166</v>
      </c>
      <c r="T1006" s="295">
        <v>1.5425580000000001</v>
      </c>
      <c r="U1006" s="295">
        <v>1.541094</v>
      </c>
      <c r="V1006" s="295">
        <v>1.5437810000000001</v>
      </c>
      <c r="W1006" s="295">
        <v>1.5453159999999999</v>
      </c>
      <c r="X1006" s="295">
        <v>1.5444899999999999</v>
      </c>
      <c r="Y1006" s="295">
        <v>1.538281</v>
      </c>
      <c r="Z1006" s="295">
        <v>1.5180039999999999</v>
      </c>
      <c r="AA1006" s="295">
        <v>1.512149</v>
      </c>
      <c r="AB1006" s="295">
        <v>1.5203469999999999</v>
      </c>
      <c r="AC1006" s="295">
        <v>1.5052650000000001</v>
      </c>
      <c r="AD1006" s="295">
        <v>1.5091699999999999</v>
      </c>
      <c r="AE1006" s="295">
        <v>1.519401</v>
      </c>
      <c r="AF1006" s="295">
        <v>1.5158879999999999</v>
      </c>
      <c r="AG1006" s="295">
        <v>1.526618</v>
      </c>
      <c r="AH1006" s="296">
        <v>4.5440000000000003E-3</v>
      </c>
    </row>
    <row r="1007" spans="1:34" ht="15" customHeight="1" x14ac:dyDescent="0.25">
      <c r="A1007" s="213" t="s">
        <v>1804</v>
      </c>
      <c r="B1007" s="294" t="s">
        <v>1752</v>
      </c>
      <c r="C1007" s="295">
        <v>0.52853799999999995</v>
      </c>
      <c r="D1007" s="295">
        <v>0.41802400000000001</v>
      </c>
      <c r="E1007" s="295">
        <v>0.43553399999999998</v>
      </c>
      <c r="F1007" s="295">
        <v>0.42152699999999999</v>
      </c>
      <c r="G1007" s="295">
        <v>0.41069800000000001</v>
      </c>
      <c r="H1007" s="295">
        <v>0.410526</v>
      </c>
      <c r="I1007" s="295">
        <v>0.40495100000000001</v>
      </c>
      <c r="J1007" s="295">
        <v>0.42025200000000001</v>
      </c>
      <c r="K1007" s="295">
        <v>0.428732</v>
      </c>
      <c r="L1007" s="295">
        <v>0.43128499999999997</v>
      </c>
      <c r="M1007" s="295">
        <v>0.43837599999999999</v>
      </c>
      <c r="N1007" s="295">
        <v>0.44639000000000001</v>
      </c>
      <c r="O1007" s="295">
        <v>0.44883899999999999</v>
      </c>
      <c r="P1007" s="295">
        <v>0.455181</v>
      </c>
      <c r="Q1007" s="295">
        <v>0.46035199999999998</v>
      </c>
      <c r="R1007" s="295">
        <v>0.464173</v>
      </c>
      <c r="S1007" s="295">
        <v>0.46734100000000001</v>
      </c>
      <c r="T1007" s="295">
        <v>0.47131600000000001</v>
      </c>
      <c r="U1007" s="295">
        <v>0.47220099999999998</v>
      </c>
      <c r="V1007" s="295">
        <v>0.47502699999999998</v>
      </c>
      <c r="W1007" s="295">
        <v>0.46469300000000002</v>
      </c>
      <c r="X1007" s="295">
        <v>0.46432699999999999</v>
      </c>
      <c r="Y1007" s="295">
        <v>0.46579599999999999</v>
      </c>
      <c r="Z1007" s="295">
        <v>0.46761599999999998</v>
      </c>
      <c r="AA1007" s="295">
        <v>0.469725</v>
      </c>
      <c r="AB1007" s="295">
        <v>0.47367100000000001</v>
      </c>
      <c r="AC1007" s="295">
        <v>0.47513499999999997</v>
      </c>
      <c r="AD1007" s="295">
        <v>0.478325</v>
      </c>
      <c r="AE1007" s="295">
        <v>0.48349799999999998</v>
      </c>
      <c r="AF1007" s="295">
        <v>0.4904</v>
      </c>
      <c r="AG1007" s="295">
        <v>0.49636599999999997</v>
      </c>
      <c r="AH1007" s="296">
        <v>-2.091E-3</v>
      </c>
    </row>
    <row r="1008" spans="1:34" ht="15" customHeight="1" x14ac:dyDescent="0.25">
      <c r="A1008" s="213" t="s">
        <v>1805</v>
      </c>
      <c r="B1008" s="294" t="s">
        <v>1040</v>
      </c>
      <c r="C1008" s="295">
        <v>8.325787</v>
      </c>
      <c r="D1008" s="295">
        <v>8.7574280000000009</v>
      </c>
      <c r="E1008" s="295">
        <v>9.0893829999999998</v>
      </c>
      <c r="F1008" s="295">
        <v>9.2496279999999995</v>
      </c>
      <c r="G1008" s="295">
        <v>9.3760080000000006</v>
      </c>
      <c r="H1008" s="295">
        <v>9.5421910000000008</v>
      </c>
      <c r="I1008" s="295">
        <v>9.6572359999999993</v>
      </c>
      <c r="J1008" s="295">
        <v>9.7564440000000001</v>
      </c>
      <c r="K1008" s="295">
        <v>9.8619610000000009</v>
      </c>
      <c r="L1008" s="295">
        <v>9.9763359999999999</v>
      </c>
      <c r="M1008" s="295">
        <v>10.094253</v>
      </c>
      <c r="N1008" s="295">
        <v>10.215581999999999</v>
      </c>
      <c r="O1008" s="295">
        <v>10.310739999999999</v>
      </c>
      <c r="P1008" s="295">
        <v>10.406790000000001</v>
      </c>
      <c r="Q1008" s="295">
        <v>10.532785000000001</v>
      </c>
      <c r="R1008" s="295">
        <v>10.641168</v>
      </c>
      <c r="S1008" s="295">
        <v>10.736217</v>
      </c>
      <c r="T1008" s="295">
        <v>10.840574</v>
      </c>
      <c r="U1008" s="295">
        <v>10.925114000000001</v>
      </c>
      <c r="V1008" s="295">
        <v>10.987671000000001</v>
      </c>
      <c r="W1008" s="295">
        <v>11.018209000000001</v>
      </c>
      <c r="X1008" s="295">
        <v>11.0786</v>
      </c>
      <c r="Y1008" s="295">
        <v>11.167802999999999</v>
      </c>
      <c r="Z1008" s="295">
        <v>11.238225999999999</v>
      </c>
      <c r="AA1008" s="295">
        <v>11.305096000000001</v>
      </c>
      <c r="AB1008" s="295">
        <v>11.398424</v>
      </c>
      <c r="AC1008" s="295">
        <v>11.464930000000001</v>
      </c>
      <c r="AD1008" s="295">
        <v>11.554024</v>
      </c>
      <c r="AE1008" s="295">
        <v>11.655813</v>
      </c>
      <c r="AF1008" s="295">
        <v>11.777452</v>
      </c>
      <c r="AG1008" s="295">
        <v>11.907413999999999</v>
      </c>
      <c r="AH1008" s="296">
        <v>1.1998E-2</v>
      </c>
    </row>
    <row r="1009" spans="1:34" ht="15" customHeight="1" x14ac:dyDescent="0.25">
      <c r="A1009" s="213" t="s">
        <v>1806</v>
      </c>
      <c r="B1009" s="294" t="s">
        <v>1717</v>
      </c>
      <c r="C1009" s="295">
        <v>7.6943989999999998</v>
      </c>
      <c r="D1009" s="295">
        <v>7.5752309999999996</v>
      </c>
      <c r="E1009" s="295">
        <v>7.6294870000000001</v>
      </c>
      <c r="F1009" s="295">
        <v>7.8594989999999996</v>
      </c>
      <c r="G1009" s="295">
        <v>8.1043599999999998</v>
      </c>
      <c r="H1009" s="295">
        <v>8.268046</v>
      </c>
      <c r="I1009" s="295">
        <v>8.3691060000000004</v>
      </c>
      <c r="J1009" s="295">
        <v>8.3840240000000001</v>
      </c>
      <c r="K1009" s="295">
        <v>8.4256320000000002</v>
      </c>
      <c r="L1009" s="295">
        <v>8.4665839999999992</v>
      </c>
      <c r="M1009" s="295">
        <v>8.4953310000000002</v>
      </c>
      <c r="N1009" s="295">
        <v>8.543317</v>
      </c>
      <c r="O1009" s="295">
        <v>8.5733840000000008</v>
      </c>
      <c r="P1009" s="295">
        <v>8.6052909999999994</v>
      </c>
      <c r="Q1009" s="295">
        <v>8.6681869999999996</v>
      </c>
      <c r="R1009" s="295">
        <v>8.7438029999999998</v>
      </c>
      <c r="S1009" s="295">
        <v>8.8103859999999994</v>
      </c>
      <c r="T1009" s="295">
        <v>8.8793279999999992</v>
      </c>
      <c r="U1009" s="295">
        <v>8.9670419999999993</v>
      </c>
      <c r="V1009" s="295">
        <v>9.0491039999999998</v>
      </c>
      <c r="W1009" s="295">
        <v>9.1369229999999995</v>
      </c>
      <c r="X1009" s="295">
        <v>9.2191310000000009</v>
      </c>
      <c r="Y1009" s="295">
        <v>9.3404799999999994</v>
      </c>
      <c r="Z1009" s="295">
        <v>9.4680569999999999</v>
      </c>
      <c r="AA1009" s="295">
        <v>9.5567080000000004</v>
      </c>
      <c r="AB1009" s="295">
        <v>9.6323450000000008</v>
      </c>
      <c r="AC1009" s="295">
        <v>9.7450880000000009</v>
      </c>
      <c r="AD1009" s="295">
        <v>9.8459430000000001</v>
      </c>
      <c r="AE1009" s="295">
        <v>9.9362999999999992</v>
      </c>
      <c r="AF1009" s="295">
        <v>10.051189000000001</v>
      </c>
      <c r="AG1009" s="295">
        <v>10.173524</v>
      </c>
      <c r="AH1009" s="296">
        <v>9.3530000000000002E-3</v>
      </c>
    </row>
    <row r="1010" spans="1:34" ht="15" customHeight="1" x14ac:dyDescent="0.25">
      <c r="A1010" s="213" t="s">
        <v>1807</v>
      </c>
      <c r="B1010" s="294" t="s">
        <v>1719</v>
      </c>
      <c r="C1010" s="295">
        <v>0.78580000000000005</v>
      </c>
      <c r="D1010" s="295">
        <v>0.8448</v>
      </c>
      <c r="E1010" s="295">
        <v>0.82835599999999998</v>
      </c>
      <c r="F1010" s="295">
        <v>0.83069599999999999</v>
      </c>
      <c r="G1010" s="295">
        <v>0.84304000000000001</v>
      </c>
      <c r="H1010" s="295">
        <v>0.84886499999999998</v>
      </c>
      <c r="I1010" s="295">
        <v>0.863649</v>
      </c>
      <c r="J1010" s="295">
        <v>0.86397599999999997</v>
      </c>
      <c r="K1010" s="295">
        <v>0.87355000000000005</v>
      </c>
      <c r="L1010" s="295">
        <v>0.88408900000000001</v>
      </c>
      <c r="M1010" s="295">
        <v>0.87544200000000005</v>
      </c>
      <c r="N1010" s="295">
        <v>0.886127</v>
      </c>
      <c r="O1010" s="295">
        <v>0.897428</v>
      </c>
      <c r="P1010" s="295">
        <v>0.90438399999999997</v>
      </c>
      <c r="Q1010" s="295">
        <v>0.92225999999999997</v>
      </c>
      <c r="R1010" s="295">
        <v>0.93129200000000001</v>
      </c>
      <c r="S1010" s="295">
        <v>0.94534099999999999</v>
      </c>
      <c r="T1010" s="295">
        <v>0.961399</v>
      </c>
      <c r="U1010" s="295">
        <v>0.96987299999999999</v>
      </c>
      <c r="V1010" s="295">
        <v>0.98917500000000003</v>
      </c>
      <c r="W1010" s="295">
        <v>0.98358000000000001</v>
      </c>
      <c r="X1010" s="295">
        <v>0.98547200000000001</v>
      </c>
      <c r="Y1010" s="295">
        <v>0.99274200000000001</v>
      </c>
      <c r="Z1010" s="295">
        <v>0.99670800000000004</v>
      </c>
      <c r="AA1010" s="295">
        <v>1.0001439999999999</v>
      </c>
      <c r="AB1010" s="295">
        <v>0.99836999999999998</v>
      </c>
      <c r="AC1010" s="295">
        <v>1.007093</v>
      </c>
      <c r="AD1010" s="295">
        <v>1.0130399999999999</v>
      </c>
      <c r="AE1010" s="295">
        <v>1.020993</v>
      </c>
      <c r="AF1010" s="295">
        <v>1.0300009999999999</v>
      </c>
      <c r="AG1010" s="295">
        <v>1.0445340000000001</v>
      </c>
      <c r="AH1010" s="296">
        <v>9.5329999999999998E-3</v>
      </c>
    </row>
    <row r="1011" spans="1:34" ht="15" customHeight="1" x14ac:dyDescent="0.25">
      <c r="A1011" s="213" t="s">
        <v>1808</v>
      </c>
      <c r="B1011" s="294" t="s">
        <v>1083</v>
      </c>
      <c r="C1011" s="295">
        <v>0</v>
      </c>
      <c r="D1011" s="295">
        <v>0</v>
      </c>
      <c r="E1011" s="295">
        <v>0</v>
      </c>
      <c r="F1011" s="295">
        <v>0</v>
      </c>
      <c r="G1011" s="295">
        <v>0</v>
      </c>
      <c r="H1011" s="295">
        <v>0</v>
      </c>
      <c r="I1011" s="295">
        <v>0</v>
      </c>
      <c r="J1011" s="295">
        <v>0</v>
      </c>
      <c r="K1011" s="295">
        <v>0</v>
      </c>
      <c r="L1011" s="295">
        <v>0</v>
      </c>
      <c r="M1011" s="295">
        <v>0</v>
      </c>
      <c r="N1011" s="295">
        <v>0</v>
      </c>
      <c r="O1011" s="295">
        <v>0</v>
      </c>
      <c r="P1011" s="295">
        <v>0</v>
      </c>
      <c r="Q1011" s="295">
        <v>0</v>
      </c>
      <c r="R1011" s="295">
        <v>0</v>
      </c>
      <c r="S1011" s="295">
        <v>0</v>
      </c>
      <c r="T1011" s="295">
        <v>0</v>
      </c>
      <c r="U1011" s="295">
        <v>0</v>
      </c>
      <c r="V1011" s="295">
        <v>0</v>
      </c>
      <c r="W1011" s="295">
        <v>0</v>
      </c>
      <c r="X1011" s="295">
        <v>0</v>
      </c>
      <c r="Y1011" s="295">
        <v>0</v>
      </c>
      <c r="Z1011" s="295">
        <v>0</v>
      </c>
      <c r="AA1011" s="295">
        <v>0</v>
      </c>
      <c r="AB1011" s="295">
        <v>0</v>
      </c>
      <c r="AC1011" s="295">
        <v>0</v>
      </c>
      <c r="AD1011" s="295">
        <v>0</v>
      </c>
      <c r="AE1011" s="295">
        <v>0</v>
      </c>
      <c r="AF1011" s="295">
        <v>0</v>
      </c>
      <c r="AG1011" s="295">
        <v>0</v>
      </c>
      <c r="AH1011" s="296" t="s">
        <v>635</v>
      </c>
    </row>
    <row r="1012" spans="1:34" ht="15" customHeight="1" x14ac:dyDescent="0.25">
      <c r="A1012" s="213" t="s">
        <v>1809</v>
      </c>
      <c r="B1012" s="294" t="s">
        <v>1757</v>
      </c>
      <c r="C1012" s="295">
        <v>1.865005</v>
      </c>
      <c r="D1012" s="295">
        <v>1.807725</v>
      </c>
      <c r="E1012" s="295">
        <v>1.880965</v>
      </c>
      <c r="F1012" s="295">
        <v>1.9408570000000001</v>
      </c>
      <c r="G1012" s="295">
        <v>1.9565490000000001</v>
      </c>
      <c r="H1012" s="295">
        <v>2.009153</v>
      </c>
      <c r="I1012" s="295">
        <v>2.0434899999999998</v>
      </c>
      <c r="J1012" s="295">
        <v>2.0588169999999999</v>
      </c>
      <c r="K1012" s="295">
        <v>2.077655</v>
      </c>
      <c r="L1012" s="295">
        <v>2.095453</v>
      </c>
      <c r="M1012" s="295">
        <v>2.1270380000000002</v>
      </c>
      <c r="N1012" s="295">
        <v>2.1532659999999999</v>
      </c>
      <c r="O1012" s="295">
        <v>2.1734019999999998</v>
      </c>
      <c r="P1012" s="295">
        <v>2.2095530000000001</v>
      </c>
      <c r="Q1012" s="295">
        <v>2.2339820000000001</v>
      </c>
      <c r="R1012" s="295">
        <v>2.2352430000000001</v>
      </c>
      <c r="S1012" s="295">
        <v>2.2360989999999998</v>
      </c>
      <c r="T1012" s="295">
        <v>2.2449379999999999</v>
      </c>
      <c r="U1012" s="295">
        <v>2.2523170000000001</v>
      </c>
      <c r="V1012" s="295">
        <v>2.2709450000000002</v>
      </c>
      <c r="W1012" s="295">
        <v>2.2919559999999999</v>
      </c>
      <c r="X1012" s="295">
        <v>2.306597</v>
      </c>
      <c r="Y1012" s="295">
        <v>2.3343180000000001</v>
      </c>
      <c r="Z1012" s="295">
        <v>2.374781</v>
      </c>
      <c r="AA1012" s="295">
        <v>2.3952939999999998</v>
      </c>
      <c r="AB1012" s="295">
        <v>2.3954260000000001</v>
      </c>
      <c r="AC1012" s="295">
        <v>2.4161999999999999</v>
      </c>
      <c r="AD1012" s="295">
        <v>2.424982</v>
      </c>
      <c r="AE1012" s="295">
        <v>2.4366409999999998</v>
      </c>
      <c r="AF1012" s="295">
        <v>2.4378600000000001</v>
      </c>
      <c r="AG1012" s="295">
        <v>2.4408089999999998</v>
      </c>
      <c r="AH1012" s="296">
        <v>9.0089999999999996E-3</v>
      </c>
    </row>
    <row r="1013" spans="1:34" ht="15" customHeight="1" x14ac:dyDescent="0.25">
      <c r="A1013" s="213" t="s">
        <v>1810</v>
      </c>
      <c r="B1013" s="294" t="s">
        <v>1759</v>
      </c>
      <c r="C1013" s="295">
        <v>0.35997099999999999</v>
      </c>
      <c r="D1013" s="295">
        <v>0.495002</v>
      </c>
      <c r="E1013" s="295">
        <v>0.48645500000000003</v>
      </c>
      <c r="F1013" s="295">
        <v>0.49248599999999998</v>
      </c>
      <c r="G1013" s="295">
        <v>0.55064999999999997</v>
      </c>
      <c r="H1013" s="295">
        <v>0.63718900000000001</v>
      </c>
      <c r="I1013" s="295">
        <v>0.68829200000000001</v>
      </c>
      <c r="J1013" s="295">
        <v>0.68829200000000001</v>
      </c>
      <c r="K1013" s="295">
        <v>0.70573300000000005</v>
      </c>
      <c r="L1013" s="295">
        <v>0.73495699999999997</v>
      </c>
      <c r="M1013" s="295">
        <v>0.76606700000000005</v>
      </c>
      <c r="N1013" s="295">
        <v>0.78162200000000004</v>
      </c>
      <c r="O1013" s="295">
        <v>0.78350799999999998</v>
      </c>
      <c r="P1013" s="295">
        <v>0.78162200000000004</v>
      </c>
      <c r="Q1013" s="295">
        <v>0.78162200000000004</v>
      </c>
      <c r="R1013" s="295">
        <v>0.78162200000000004</v>
      </c>
      <c r="S1013" s="295">
        <v>0.78350799999999998</v>
      </c>
      <c r="T1013" s="295">
        <v>0.78162200000000004</v>
      </c>
      <c r="U1013" s="295">
        <v>0.78162200000000004</v>
      </c>
      <c r="V1013" s="295">
        <v>0.78162200000000004</v>
      </c>
      <c r="W1013" s="295">
        <v>0.78350799999999998</v>
      </c>
      <c r="X1013" s="295">
        <v>0.78162200000000004</v>
      </c>
      <c r="Y1013" s="295">
        <v>0.78162200000000004</v>
      </c>
      <c r="Z1013" s="295">
        <v>0.78162200000000004</v>
      </c>
      <c r="AA1013" s="295">
        <v>0.78350799999999998</v>
      </c>
      <c r="AB1013" s="295">
        <v>0.78162200000000004</v>
      </c>
      <c r="AC1013" s="295">
        <v>0.78162200000000004</v>
      </c>
      <c r="AD1013" s="295">
        <v>0.78162200000000004</v>
      </c>
      <c r="AE1013" s="295">
        <v>0.78350799999999998</v>
      </c>
      <c r="AF1013" s="295">
        <v>0.78162200000000004</v>
      </c>
      <c r="AG1013" s="295">
        <v>0.78162200000000004</v>
      </c>
      <c r="AH1013" s="296">
        <v>2.6182E-2</v>
      </c>
    </row>
    <row r="1014" spans="1:34" ht="15" customHeight="1" x14ac:dyDescent="0.25">
      <c r="A1014" s="213" t="s">
        <v>1811</v>
      </c>
      <c r="B1014" s="294" t="s">
        <v>1089</v>
      </c>
      <c r="C1014" s="295">
        <v>10.705175000000001</v>
      </c>
      <c r="D1014" s="295">
        <v>10.722757</v>
      </c>
      <c r="E1014" s="295">
        <v>10.825263</v>
      </c>
      <c r="F1014" s="295">
        <v>11.123538</v>
      </c>
      <c r="G1014" s="295">
        <v>11.454599</v>
      </c>
      <c r="H1014" s="295">
        <v>11.763254</v>
      </c>
      <c r="I1014" s="295">
        <v>11.964539</v>
      </c>
      <c r="J1014" s="295">
        <v>11.995108999999999</v>
      </c>
      <c r="K1014" s="295">
        <v>12.082572000000001</v>
      </c>
      <c r="L1014" s="295">
        <v>12.181082999999999</v>
      </c>
      <c r="M1014" s="295">
        <v>12.263878999999999</v>
      </c>
      <c r="N1014" s="295">
        <v>12.364331999999999</v>
      </c>
      <c r="O1014" s="295">
        <v>12.427723</v>
      </c>
      <c r="P1014" s="295">
        <v>12.50085</v>
      </c>
      <c r="Q1014" s="295">
        <v>12.60605</v>
      </c>
      <c r="R1014" s="295">
        <v>12.691959000000001</v>
      </c>
      <c r="S1014" s="295">
        <v>12.775334000000001</v>
      </c>
      <c r="T1014" s="295">
        <v>12.867286999999999</v>
      </c>
      <c r="U1014" s="295">
        <v>12.970853</v>
      </c>
      <c r="V1014" s="295">
        <v>13.090846000000001</v>
      </c>
      <c r="W1014" s="295">
        <v>13.195967</v>
      </c>
      <c r="X1014" s="295">
        <v>13.292823</v>
      </c>
      <c r="Y1014" s="295">
        <v>13.449161999999999</v>
      </c>
      <c r="Z1014" s="295">
        <v>13.621167</v>
      </c>
      <c r="AA1014" s="295">
        <v>13.735655</v>
      </c>
      <c r="AB1014" s="295">
        <v>13.807763</v>
      </c>
      <c r="AC1014" s="295">
        <v>13.950003000000001</v>
      </c>
      <c r="AD1014" s="295">
        <v>14.065587000000001</v>
      </c>
      <c r="AE1014" s="295">
        <v>14.177443999999999</v>
      </c>
      <c r="AF1014" s="295">
        <v>14.300673</v>
      </c>
      <c r="AG1014" s="295">
        <v>14.440488999999999</v>
      </c>
      <c r="AH1014" s="296">
        <v>1.0026999999999999E-2</v>
      </c>
    </row>
    <row r="1015" spans="1:34" ht="15" customHeight="1" x14ac:dyDescent="0.25">
      <c r="A1015" s="213" t="s">
        <v>1812</v>
      </c>
      <c r="B1015" s="294" t="s">
        <v>1762</v>
      </c>
      <c r="C1015" s="295">
        <v>0.448104</v>
      </c>
      <c r="D1015" s="295">
        <v>0.37121799999999999</v>
      </c>
      <c r="E1015" s="295">
        <v>0.38380199999999998</v>
      </c>
      <c r="F1015" s="295">
        <v>0.466192</v>
      </c>
      <c r="G1015" s="295">
        <v>0.46360800000000002</v>
      </c>
      <c r="H1015" s="295">
        <v>0.43586200000000003</v>
      </c>
      <c r="I1015" s="295">
        <v>0.43281900000000001</v>
      </c>
      <c r="J1015" s="295">
        <v>0.421898</v>
      </c>
      <c r="K1015" s="295">
        <v>0.403615</v>
      </c>
      <c r="L1015" s="295">
        <v>0.38687899999999997</v>
      </c>
      <c r="M1015" s="295">
        <v>0.38681300000000002</v>
      </c>
      <c r="N1015" s="295">
        <v>0.38655200000000001</v>
      </c>
      <c r="O1015" s="295">
        <v>0.38129999999999997</v>
      </c>
      <c r="P1015" s="295">
        <v>0.37463600000000002</v>
      </c>
      <c r="Q1015" s="295">
        <v>0.37543100000000001</v>
      </c>
      <c r="R1015" s="295">
        <v>0.37686999999999998</v>
      </c>
      <c r="S1015" s="295">
        <v>0.373556</v>
      </c>
      <c r="T1015" s="295">
        <v>0.37396499999999999</v>
      </c>
      <c r="U1015" s="295">
        <v>0.37738300000000002</v>
      </c>
      <c r="V1015" s="295">
        <v>0.37878400000000001</v>
      </c>
      <c r="W1015" s="295">
        <v>0.37268400000000002</v>
      </c>
      <c r="X1015" s="295">
        <v>0.37408799999999998</v>
      </c>
      <c r="Y1015" s="295">
        <v>0.38336500000000001</v>
      </c>
      <c r="Z1015" s="295">
        <v>0.39008999999999999</v>
      </c>
      <c r="AA1015" s="295">
        <v>0.38692199999999999</v>
      </c>
      <c r="AB1015" s="295">
        <v>0.38632499999999997</v>
      </c>
      <c r="AC1015" s="295">
        <v>0.38527</v>
      </c>
      <c r="AD1015" s="295">
        <v>0.38343500000000003</v>
      </c>
      <c r="AE1015" s="295">
        <v>0.38572000000000001</v>
      </c>
      <c r="AF1015" s="295">
        <v>0.38439099999999998</v>
      </c>
      <c r="AG1015" s="295">
        <v>0.39051900000000001</v>
      </c>
      <c r="AH1015" s="296">
        <v>-4.5739999999999999E-3</v>
      </c>
    </row>
    <row r="1016" spans="1:34" ht="15" customHeight="1" x14ac:dyDescent="0.25">
      <c r="A1016" s="213" t="s">
        <v>1813</v>
      </c>
      <c r="B1016" s="294" t="s">
        <v>1093</v>
      </c>
      <c r="C1016" s="295">
        <v>0.485064</v>
      </c>
      <c r="D1016" s="295">
        <v>0.47934199999999999</v>
      </c>
      <c r="E1016" s="295">
        <v>0.46726699999999999</v>
      </c>
      <c r="F1016" s="295">
        <v>0.46915499999999999</v>
      </c>
      <c r="G1016" s="295">
        <v>0.46759099999999998</v>
      </c>
      <c r="H1016" s="295">
        <v>0.46502300000000002</v>
      </c>
      <c r="I1016" s="295">
        <v>0.46110699999999999</v>
      </c>
      <c r="J1016" s="295">
        <v>0.45631300000000002</v>
      </c>
      <c r="K1016" s="295">
        <v>0.45037300000000002</v>
      </c>
      <c r="L1016" s="295">
        <v>0.44508799999999998</v>
      </c>
      <c r="M1016" s="295">
        <v>0.441326</v>
      </c>
      <c r="N1016" s="295">
        <v>0.437861</v>
      </c>
      <c r="O1016" s="295">
        <v>0.43243199999999998</v>
      </c>
      <c r="P1016" s="295">
        <v>0.42744700000000002</v>
      </c>
      <c r="Q1016" s="295">
        <v>0.422371</v>
      </c>
      <c r="R1016" s="295">
        <v>0.42247400000000002</v>
      </c>
      <c r="S1016" s="295">
        <v>0.42204399999999997</v>
      </c>
      <c r="T1016" s="295">
        <v>0.42192299999999999</v>
      </c>
      <c r="U1016" s="295">
        <v>0.42235200000000001</v>
      </c>
      <c r="V1016" s="295">
        <v>0.422344</v>
      </c>
      <c r="W1016" s="295">
        <v>0.42203099999999999</v>
      </c>
      <c r="X1016" s="295">
        <v>0.42267199999999999</v>
      </c>
      <c r="Y1016" s="295">
        <v>0.42946699999999999</v>
      </c>
      <c r="Z1016" s="295">
        <v>0.43753599999999998</v>
      </c>
      <c r="AA1016" s="295">
        <v>0.445413</v>
      </c>
      <c r="AB1016" s="295">
        <v>0.45685799999999999</v>
      </c>
      <c r="AC1016" s="295">
        <v>0.45975500000000002</v>
      </c>
      <c r="AD1016" s="295">
        <v>0.46111000000000002</v>
      </c>
      <c r="AE1016" s="295">
        <v>0.46283200000000002</v>
      </c>
      <c r="AF1016" s="295">
        <v>0.46524599999999999</v>
      </c>
      <c r="AG1016" s="295">
        <v>0.46775099999999997</v>
      </c>
      <c r="AH1016" s="296">
        <v>-1.2110000000000001E-3</v>
      </c>
    </row>
    <row r="1017" spans="1:34" ht="15" customHeight="1" x14ac:dyDescent="0.25">
      <c r="A1017" s="213" t="s">
        <v>1814</v>
      </c>
      <c r="B1017" s="294" t="s">
        <v>1095</v>
      </c>
      <c r="C1017" s="295">
        <v>0</v>
      </c>
      <c r="D1017" s="295">
        <v>0</v>
      </c>
      <c r="E1017" s="295">
        <v>0</v>
      </c>
      <c r="F1017" s="295">
        <v>0</v>
      </c>
      <c r="G1017" s="295">
        <v>0</v>
      </c>
      <c r="H1017" s="295">
        <v>0</v>
      </c>
      <c r="I1017" s="295">
        <v>0</v>
      </c>
      <c r="J1017" s="295">
        <v>0</v>
      </c>
      <c r="K1017" s="295">
        <v>0</v>
      </c>
      <c r="L1017" s="295">
        <v>0</v>
      </c>
      <c r="M1017" s="295">
        <v>0</v>
      </c>
      <c r="N1017" s="295">
        <v>0</v>
      </c>
      <c r="O1017" s="295">
        <v>0</v>
      </c>
      <c r="P1017" s="295">
        <v>0</v>
      </c>
      <c r="Q1017" s="295">
        <v>0</v>
      </c>
      <c r="R1017" s="295">
        <v>0</v>
      </c>
      <c r="S1017" s="295">
        <v>0</v>
      </c>
      <c r="T1017" s="295">
        <v>0</v>
      </c>
      <c r="U1017" s="295">
        <v>0</v>
      </c>
      <c r="V1017" s="295">
        <v>0</v>
      </c>
      <c r="W1017" s="295">
        <v>0</v>
      </c>
      <c r="X1017" s="295">
        <v>0</v>
      </c>
      <c r="Y1017" s="295">
        <v>0</v>
      </c>
      <c r="Z1017" s="295">
        <v>0</v>
      </c>
      <c r="AA1017" s="295">
        <v>0</v>
      </c>
      <c r="AB1017" s="295">
        <v>0</v>
      </c>
      <c r="AC1017" s="295">
        <v>0</v>
      </c>
      <c r="AD1017" s="295">
        <v>0</v>
      </c>
      <c r="AE1017" s="295">
        <v>0</v>
      </c>
      <c r="AF1017" s="295">
        <v>0</v>
      </c>
      <c r="AG1017" s="295">
        <v>0</v>
      </c>
      <c r="AH1017" s="296" t="s">
        <v>635</v>
      </c>
    </row>
    <row r="1018" spans="1:34" ht="15" customHeight="1" x14ac:dyDescent="0.25">
      <c r="A1018" s="213" t="s">
        <v>1815</v>
      </c>
      <c r="B1018" s="294" t="s">
        <v>1099</v>
      </c>
      <c r="C1018" s="295">
        <v>0.933168</v>
      </c>
      <c r="D1018" s="295">
        <v>0.85055999999999998</v>
      </c>
      <c r="E1018" s="295">
        <v>0.85106999999999999</v>
      </c>
      <c r="F1018" s="295">
        <v>0.93534700000000004</v>
      </c>
      <c r="G1018" s="295">
        <v>0.931199</v>
      </c>
      <c r="H1018" s="295">
        <v>0.90088599999999996</v>
      </c>
      <c r="I1018" s="295">
        <v>0.893926</v>
      </c>
      <c r="J1018" s="295">
        <v>0.87821099999999996</v>
      </c>
      <c r="K1018" s="295">
        <v>0.85398700000000005</v>
      </c>
      <c r="L1018" s="295">
        <v>0.83196700000000001</v>
      </c>
      <c r="M1018" s="295">
        <v>0.82813999999999999</v>
      </c>
      <c r="N1018" s="295">
        <v>0.82441200000000003</v>
      </c>
      <c r="O1018" s="295">
        <v>0.81373099999999998</v>
      </c>
      <c r="P1018" s="295">
        <v>0.80208299999999999</v>
      </c>
      <c r="Q1018" s="295">
        <v>0.79780200000000001</v>
      </c>
      <c r="R1018" s="295">
        <v>0.79934300000000003</v>
      </c>
      <c r="S1018" s="295">
        <v>0.79559999999999997</v>
      </c>
      <c r="T1018" s="295">
        <v>0.79588700000000001</v>
      </c>
      <c r="U1018" s="295">
        <v>0.799736</v>
      </c>
      <c r="V1018" s="295">
        <v>0.80112799999999995</v>
      </c>
      <c r="W1018" s="295">
        <v>0.79471499999999995</v>
      </c>
      <c r="X1018" s="295">
        <v>0.79676000000000002</v>
      </c>
      <c r="Y1018" s="295">
        <v>0.812832</v>
      </c>
      <c r="Z1018" s="295">
        <v>0.82762599999999997</v>
      </c>
      <c r="AA1018" s="295">
        <v>0.83233500000000005</v>
      </c>
      <c r="AB1018" s="295">
        <v>0.84318300000000002</v>
      </c>
      <c r="AC1018" s="295">
        <v>0.84502500000000003</v>
      </c>
      <c r="AD1018" s="295">
        <v>0.84454499999999999</v>
      </c>
      <c r="AE1018" s="295">
        <v>0.84855199999999997</v>
      </c>
      <c r="AF1018" s="295">
        <v>0.84963699999999998</v>
      </c>
      <c r="AG1018" s="295">
        <v>0.85827100000000001</v>
      </c>
      <c r="AH1018" s="296">
        <v>-2.7850000000000001E-3</v>
      </c>
    </row>
    <row r="1019" spans="1:34" ht="15" customHeight="1" x14ac:dyDescent="0.25">
      <c r="A1019" s="213" t="s">
        <v>1816</v>
      </c>
      <c r="B1019" s="294" t="s">
        <v>1101</v>
      </c>
      <c r="C1019" s="295">
        <v>0.90481</v>
      </c>
      <c r="D1019" s="295">
        <v>0.88107100000000005</v>
      </c>
      <c r="E1019" s="295">
        <v>0.87069200000000002</v>
      </c>
      <c r="F1019" s="295">
        <v>0.87605100000000002</v>
      </c>
      <c r="G1019" s="295">
        <v>0.879</v>
      </c>
      <c r="H1019" s="295">
        <v>0.88542399999999999</v>
      </c>
      <c r="I1019" s="295">
        <v>0.88824899999999996</v>
      </c>
      <c r="J1019" s="295">
        <v>0.89047699999999996</v>
      </c>
      <c r="K1019" s="295">
        <v>0.89277300000000004</v>
      </c>
      <c r="L1019" s="295">
        <v>0.89517199999999997</v>
      </c>
      <c r="M1019" s="295">
        <v>0.899613</v>
      </c>
      <c r="N1019" s="295">
        <v>0.90926399999999996</v>
      </c>
      <c r="O1019" s="295">
        <v>0.91255399999999998</v>
      </c>
      <c r="P1019" s="295">
        <v>0.91770499999999999</v>
      </c>
      <c r="Q1019" s="295">
        <v>0.92390300000000003</v>
      </c>
      <c r="R1019" s="295">
        <v>0.92998000000000003</v>
      </c>
      <c r="S1019" s="295">
        <v>0.93480099999999999</v>
      </c>
      <c r="T1019" s="295">
        <v>0.94000700000000004</v>
      </c>
      <c r="U1019" s="295">
        <v>0.94540199999999996</v>
      </c>
      <c r="V1019" s="295">
        <v>0.95161099999999998</v>
      </c>
      <c r="W1019" s="295">
        <v>0.95842700000000003</v>
      </c>
      <c r="X1019" s="295">
        <v>0.96508899999999997</v>
      </c>
      <c r="Y1019" s="295">
        <v>0.97315099999999999</v>
      </c>
      <c r="Z1019" s="295">
        <v>0.98217600000000005</v>
      </c>
      <c r="AA1019" s="295">
        <v>0.99148099999999995</v>
      </c>
      <c r="AB1019" s="295">
        <v>1.0054069999999999</v>
      </c>
      <c r="AC1019" s="295">
        <v>1.010229</v>
      </c>
      <c r="AD1019" s="295">
        <v>1.0276369999999999</v>
      </c>
      <c r="AE1019" s="295">
        <v>1.037398</v>
      </c>
      <c r="AF1019" s="295">
        <v>1.047914</v>
      </c>
      <c r="AG1019" s="295">
        <v>1.058575</v>
      </c>
      <c r="AH1019" s="296">
        <v>5.2459999999999998E-3</v>
      </c>
    </row>
    <row r="1020" spans="1:34" ht="15" customHeight="1" x14ac:dyDescent="0.25">
      <c r="A1020" s="213" t="s">
        <v>1817</v>
      </c>
      <c r="B1020" s="294" t="s">
        <v>1766</v>
      </c>
      <c r="C1020" s="295">
        <v>1.530173</v>
      </c>
      <c r="D1020" s="295">
        <v>1.529323</v>
      </c>
      <c r="E1020" s="295">
        <v>1.5716939999999999</v>
      </c>
      <c r="F1020" s="295">
        <v>1.5782290000000001</v>
      </c>
      <c r="G1020" s="295">
        <v>1.587089</v>
      </c>
      <c r="H1020" s="295">
        <v>1.598157</v>
      </c>
      <c r="I1020" s="295">
        <v>1.605324</v>
      </c>
      <c r="J1020" s="295">
        <v>1.6105160000000001</v>
      </c>
      <c r="K1020" s="295">
        <v>1.6115360000000001</v>
      </c>
      <c r="L1020" s="295">
        <v>1.614317</v>
      </c>
      <c r="M1020" s="295">
        <v>1.6222510000000001</v>
      </c>
      <c r="N1020" s="295">
        <v>1.6316059999999999</v>
      </c>
      <c r="O1020" s="295">
        <v>1.6357189999999999</v>
      </c>
      <c r="P1020" s="295">
        <v>1.6369370000000001</v>
      </c>
      <c r="Q1020" s="295">
        <v>1.6364989999999999</v>
      </c>
      <c r="R1020" s="295">
        <v>1.643351</v>
      </c>
      <c r="S1020" s="295">
        <v>1.648714</v>
      </c>
      <c r="T1020" s="295">
        <v>1.6552629999999999</v>
      </c>
      <c r="U1020" s="295">
        <v>1.666488</v>
      </c>
      <c r="V1020" s="295">
        <v>1.67628</v>
      </c>
      <c r="W1020" s="295">
        <v>1.6850270000000001</v>
      </c>
      <c r="X1020" s="295">
        <v>1.6986779999999999</v>
      </c>
      <c r="Y1020" s="295">
        <v>1.7146699999999999</v>
      </c>
      <c r="Z1020" s="295">
        <v>1.732558</v>
      </c>
      <c r="AA1020" s="295">
        <v>1.7497389999999999</v>
      </c>
      <c r="AB1020" s="295">
        <v>1.767995</v>
      </c>
      <c r="AC1020" s="295">
        <v>1.786321</v>
      </c>
      <c r="AD1020" s="295">
        <v>1.8069809999999999</v>
      </c>
      <c r="AE1020" s="295">
        <v>1.8267720000000001</v>
      </c>
      <c r="AF1020" s="295">
        <v>1.8490880000000001</v>
      </c>
      <c r="AG1020" s="295">
        <v>1.871858</v>
      </c>
      <c r="AH1020" s="296">
        <v>6.7409999999999996E-3</v>
      </c>
    </row>
    <row r="1021" spans="1:34" ht="15" customHeight="1" x14ac:dyDescent="0.25">
      <c r="A1021" s="213" t="s">
        <v>1818</v>
      </c>
      <c r="B1021" s="294" t="s">
        <v>1045</v>
      </c>
      <c r="C1021" s="295">
        <v>3.0669249999999999</v>
      </c>
      <c r="D1021" s="295">
        <v>3.033747</v>
      </c>
      <c r="E1021" s="295">
        <v>3.1554220000000002</v>
      </c>
      <c r="F1021" s="295">
        <v>3.2282139999999999</v>
      </c>
      <c r="G1021" s="295">
        <v>3.287128</v>
      </c>
      <c r="H1021" s="295">
        <v>3.3563040000000002</v>
      </c>
      <c r="I1021" s="295">
        <v>3.4003230000000002</v>
      </c>
      <c r="J1021" s="295">
        <v>3.434094</v>
      </c>
      <c r="K1021" s="295">
        <v>3.457919</v>
      </c>
      <c r="L1021" s="295">
        <v>3.4821080000000002</v>
      </c>
      <c r="M1021" s="295">
        <v>3.5145780000000002</v>
      </c>
      <c r="N1021" s="295">
        <v>3.5458699999999999</v>
      </c>
      <c r="O1021" s="295">
        <v>3.5634269999999999</v>
      </c>
      <c r="P1021" s="295">
        <v>3.5801470000000002</v>
      </c>
      <c r="Q1021" s="295">
        <v>3.605359</v>
      </c>
      <c r="R1021" s="295">
        <v>3.6268549999999999</v>
      </c>
      <c r="S1021" s="295">
        <v>3.646274</v>
      </c>
      <c r="T1021" s="295">
        <v>3.6654149999999999</v>
      </c>
      <c r="U1021" s="295">
        <v>3.6899109999999999</v>
      </c>
      <c r="V1021" s="295">
        <v>3.7132869999999998</v>
      </c>
      <c r="W1021" s="295">
        <v>3.7276470000000002</v>
      </c>
      <c r="X1021" s="295">
        <v>3.7522509999999998</v>
      </c>
      <c r="Y1021" s="295">
        <v>3.7890320000000002</v>
      </c>
      <c r="Z1021" s="295">
        <v>3.8273579999999998</v>
      </c>
      <c r="AA1021" s="295">
        <v>3.8551389999999999</v>
      </c>
      <c r="AB1021" s="295">
        <v>3.8812319999999998</v>
      </c>
      <c r="AC1021" s="295">
        <v>3.9073880000000001</v>
      </c>
      <c r="AD1021" s="295">
        <v>3.9312670000000001</v>
      </c>
      <c r="AE1021" s="295">
        <v>3.9572340000000001</v>
      </c>
      <c r="AF1021" s="295">
        <v>3.9872809999999999</v>
      </c>
      <c r="AG1021" s="295">
        <v>4.0191210000000002</v>
      </c>
      <c r="AH1021" s="296">
        <v>9.0539999999999995E-3</v>
      </c>
    </row>
    <row r="1022" spans="1:34" ht="15" customHeight="1" x14ac:dyDescent="0.2">
      <c r="A1022" s="213" t="s">
        <v>1819</v>
      </c>
      <c r="B1022" s="204" t="s">
        <v>1047</v>
      </c>
      <c r="C1022" s="205">
        <v>25.46604</v>
      </c>
      <c r="D1022" s="205">
        <v>25.774887</v>
      </c>
      <c r="E1022" s="205">
        <v>26.363523000000001</v>
      </c>
      <c r="F1022" s="205">
        <v>26.991007</v>
      </c>
      <c r="G1022" s="205">
        <v>27.515024</v>
      </c>
      <c r="H1022" s="205">
        <v>28.046215</v>
      </c>
      <c r="I1022" s="205">
        <v>28.409594999999999</v>
      </c>
      <c r="J1022" s="205">
        <v>28.56485</v>
      </c>
      <c r="K1022" s="205">
        <v>28.760748</v>
      </c>
      <c r="L1022" s="205">
        <v>28.980982000000001</v>
      </c>
      <c r="M1022" s="205">
        <v>29.222712999999999</v>
      </c>
      <c r="N1022" s="205">
        <v>29.491064000000001</v>
      </c>
      <c r="O1022" s="205">
        <v>29.663893000000002</v>
      </c>
      <c r="P1022" s="205">
        <v>29.844511000000001</v>
      </c>
      <c r="Q1022" s="205">
        <v>30.102398000000001</v>
      </c>
      <c r="R1022" s="205">
        <v>30.332654999999999</v>
      </c>
      <c r="S1022" s="205">
        <v>30.536942</v>
      </c>
      <c r="T1022" s="205">
        <v>30.764430999999998</v>
      </c>
      <c r="U1022" s="205">
        <v>30.997502999999998</v>
      </c>
      <c r="V1022" s="205">
        <v>31.220825000000001</v>
      </c>
      <c r="W1022" s="205">
        <v>31.379992999999999</v>
      </c>
      <c r="X1022" s="205">
        <v>31.584199999999999</v>
      </c>
      <c r="Y1022" s="205">
        <v>31.906649000000002</v>
      </c>
      <c r="Z1022" s="205">
        <v>32.229111000000003</v>
      </c>
      <c r="AA1022" s="205">
        <v>32.469444000000003</v>
      </c>
      <c r="AB1022" s="205">
        <v>32.704002000000003</v>
      </c>
      <c r="AC1022" s="205">
        <v>32.963894000000003</v>
      </c>
      <c r="AD1022" s="205">
        <v>33.230041999999997</v>
      </c>
      <c r="AE1022" s="205">
        <v>33.503211999999998</v>
      </c>
      <c r="AF1022" s="205">
        <v>33.812041999999998</v>
      </c>
      <c r="AG1022" s="205">
        <v>34.155726999999999</v>
      </c>
      <c r="AH1022" s="206">
        <v>9.8340000000000007E-3</v>
      </c>
    </row>
    <row r="1023" spans="1:34" ht="15" customHeight="1" x14ac:dyDescent="0.25">
      <c r="A1023" s="213" t="s">
        <v>1820</v>
      </c>
      <c r="B1023" s="294" t="s">
        <v>1049</v>
      </c>
      <c r="C1023" s="295">
        <v>5.7165419999999996</v>
      </c>
      <c r="D1023" s="295">
        <v>5.6488189999999996</v>
      </c>
      <c r="E1023" s="295">
        <v>5.9023770000000004</v>
      </c>
      <c r="F1023" s="295">
        <v>5.918647</v>
      </c>
      <c r="G1023" s="295">
        <v>5.9067509999999999</v>
      </c>
      <c r="H1023" s="295">
        <v>5.8611820000000003</v>
      </c>
      <c r="I1023" s="295">
        <v>5.7760959999999999</v>
      </c>
      <c r="J1023" s="295">
        <v>5.7668710000000001</v>
      </c>
      <c r="K1023" s="295">
        <v>5.7744629999999999</v>
      </c>
      <c r="L1023" s="295">
        <v>5.7932399999999999</v>
      </c>
      <c r="M1023" s="295">
        <v>5.834721</v>
      </c>
      <c r="N1023" s="295">
        <v>5.872573</v>
      </c>
      <c r="O1023" s="295">
        <v>5.8672129999999996</v>
      </c>
      <c r="P1023" s="295">
        <v>5.8720410000000003</v>
      </c>
      <c r="Q1023" s="295">
        <v>5.8827389999999999</v>
      </c>
      <c r="R1023" s="295">
        <v>5.9009219999999996</v>
      </c>
      <c r="S1023" s="295">
        <v>5.911664</v>
      </c>
      <c r="T1023" s="295">
        <v>5.9233950000000002</v>
      </c>
      <c r="U1023" s="295">
        <v>5.9300629999999996</v>
      </c>
      <c r="V1023" s="295">
        <v>5.9364400000000002</v>
      </c>
      <c r="W1023" s="295">
        <v>5.931997</v>
      </c>
      <c r="X1023" s="295">
        <v>5.9521480000000002</v>
      </c>
      <c r="Y1023" s="295">
        <v>5.9920010000000001</v>
      </c>
      <c r="Z1023" s="295">
        <v>6.0288620000000002</v>
      </c>
      <c r="AA1023" s="295">
        <v>6.047199</v>
      </c>
      <c r="AB1023" s="295">
        <v>6.0620919999999998</v>
      </c>
      <c r="AC1023" s="295">
        <v>6.0814880000000002</v>
      </c>
      <c r="AD1023" s="295">
        <v>6.1004569999999996</v>
      </c>
      <c r="AE1023" s="295">
        <v>6.130401</v>
      </c>
      <c r="AF1023" s="295">
        <v>6.1597359999999997</v>
      </c>
      <c r="AG1023" s="295">
        <v>6.1833819999999999</v>
      </c>
      <c r="AH1023" s="296">
        <v>2.6199999999999999E-3</v>
      </c>
    </row>
    <row r="1024" spans="1:34" ht="15" customHeight="1" x14ac:dyDescent="0.2">
      <c r="A1024" s="213" t="s">
        <v>1821</v>
      </c>
      <c r="B1024" s="204" t="s">
        <v>179</v>
      </c>
      <c r="C1024" s="205">
        <v>31.182583000000001</v>
      </c>
      <c r="D1024" s="205">
        <v>31.423705999999999</v>
      </c>
      <c r="E1024" s="205">
        <v>32.265900000000002</v>
      </c>
      <c r="F1024" s="205">
        <v>32.909652999999999</v>
      </c>
      <c r="G1024" s="205">
        <v>33.421776000000001</v>
      </c>
      <c r="H1024" s="205">
        <v>33.907398000000001</v>
      </c>
      <c r="I1024" s="205">
        <v>34.185692000000003</v>
      </c>
      <c r="J1024" s="205">
        <v>34.331721999999999</v>
      </c>
      <c r="K1024" s="205">
        <v>34.535209999999999</v>
      </c>
      <c r="L1024" s="205">
        <v>34.774222999999999</v>
      </c>
      <c r="M1024" s="205">
        <v>35.057434000000001</v>
      </c>
      <c r="N1024" s="205">
        <v>35.363636</v>
      </c>
      <c r="O1024" s="205">
        <v>35.531104999999997</v>
      </c>
      <c r="P1024" s="205">
        <v>35.716552999999998</v>
      </c>
      <c r="Q1024" s="205">
        <v>35.985137999999999</v>
      </c>
      <c r="R1024" s="205">
        <v>36.233578000000001</v>
      </c>
      <c r="S1024" s="205">
        <v>36.448605000000001</v>
      </c>
      <c r="T1024" s="205">
        <v>36.687823999999999</v>
      </c>
      <c r="U1024" s="205">
        <v>36.927567000000003</v>
      </c>
      <c r="V1024" s="205">
        <v>37.157265000000002</v>
      </c>
      <c r="W1024" s="205">
        <v>37.311988999999997</v>
      </c>
      <c r="X1024" s="205">
        <v>37.536346000000002</v>
      </c>
      <c r="Y1024" s="205">
        <v>37.898651000000001</v>
      </c>
      <c r="Z1024" s="205">
        <v>38.257973</v>
      </c>
      <c r="AA1024" s="205">
        <v>38.516643999999999</v>
      </c>
      <c r="AB1024" s="205">
        <v>38.766094000000002</v>
      </c>
      <c r="AC1024" s="205">
        <v>39.045380000000002</v>
      </c>
      <c r="AD1024" s="205">
        <v>39.330497999999999</v>
      </c>
      <c r="AE1024" s="205">
        <v>39.633614000000001</v>
      </c>
      <c r="AF1024" s="205">
        <v>39.971778999999998</v>
      </c>
      <c r="AG1024" s="205">
        <v>40.339108000000003</v>
      </c>
      <c r="AH1024" s="206">
        <v>8.6189999999999999E-3</v>
      </c>
    </row>
    <row r="1026" spans="1:34" ht="15" customHeight="1" x14ac:dyDescent="0.2">
      <c r="B1026" s="204" t="s">
        <v>1822</v>
      </c>
    </row>
    <row r="1027" spans="1:34" ht="15" customHeight="1" x14ac:dyDescent="0.2">
      <c r="B1027" s="204" t="s">
        <v>1823</v>
      </c>
    </row>
    <row r="1028" spans="1:34" ht="15" customHeight="1" x14ac:dyDescent="0.25">
      <c r="A1028" s="213" t="s">
        <v>1824</v>
      </c>
      <c r="B1028" s="294" t="s">
        <v>1773</v>
      </c>
      <c r="C1028" s="295">
        <v>1.9351E-2</v>
      </c>
      <c r="D1028" s="295">
        <v>1.6500999999999998E-2</v>
      </c>
      <c r="E1028" s="295">
        <v>1.5935999999999999E-2</v>
      </c>
      <c r="F1028" s="295">
        <v>2.4355000000000002E-2</v>
      </c>
      <c r="G1028" s="295">
        <v>2.3777E-2</v>
      </c>
      <c r="H1028" s="295">
        <v>2.3436999999999999E-2</v>
      </c>
      <c r="I1028" s="295">
        <v>2.3238999999999999E-2</v>
      </c>
      <c r="J1028" s="295">
        <v>2.3141999999999999E-2</v>
      </c>
      <c r="K1028" s="295">
        <v>2.2977000000000001E-2</v>
      </c>
      <c r="L1028" s="295">
        <v>2.2879E-2</v>
      </c>
      <c r="M1028" s="295">
        <v>2.2765000000000001E-2</v>
      </c>
      <c r="N1028" s="295">
        <v>2.266E-2</v>
      </c>
      <c r="O1028" s="295">
        <v>2.2651000000000001E-2</v>
      </c>
      <c r="P1028" s="295">
        <v>2.257E-2</v>
      </c>
      <c r="Q1028" s="295">
        <v>2.249E-2</v>
      </c>
      <c r="R1028" s="295">
        <v>2.2426000000000001E-2</v>
      </c>
      <c r="S1028" s="295">
        <v>2.2369E-2</v>
      </c>
      <c r="T1028" s="295">
        <v>2.2322000000000002E-2</v>
      </c>
      <c r="U1028" s="295">
        <v>2.2256999999999999E-2</v>
      </c>
      <c r="V1028" s="295">
        <v>2.2210000000000001E-2</v>
      </c>
      <c r="W1028" s="295">
        <v>2.2114999999999999E-2</v>
      </c>
      <c r="X1028" s="295">
        <v>2.2036E-2</v>
      </c>
      <c r="Y1028" s="295">
        <v>2.1947000000000001E-2</v>
      </c>
      <c r="Z1028" s="295">
        <v>2.1863E-2</v>
      </c>
      <c r="AA1028" s="295">
        <v>2.1824E-2</v>
      </c>
      <c r="AB1028" s="295">
        <v>2.1815000000000001E-2</v>
      </c>
      <c r="AC1028" s="295">
        <v>2.1770000000000001E-2</v>
      </c>
      <c r="AD1028" s="295">
        <v>2.1734E-2</v>
      </c>
      <c r="AE1028" s="295">
        <v>2.1708000000000002E-2</v>
      </c>
      <c r="AF1028" s="295">
        <v>2.1679E-2</v>
      </c>
      <c r="AG1028" s="295">
        <v>2.1658E-2</v>
      </c>
      <c r="AH1028" s="296">
        <v>3.761E-3</v>
      </c>
    </row>
    <row r="1029" spans="1:34" ht="15" customHeight="1" x14ac:dyDescent="0.25">
      <c r="A1029" s="213" t="s">
        <v>1825</v>
      </c>
      <c r="B1029" s="294" t="s">
        <v>1796</v>
      </c>
      <c r="C1029" s="295">
        <v>0.36386200000000002</v>
      </c>
      <c r="D1029" s="295">
        <v>0.387932</v>
      </c>
      <c r="E1029" s="295">
        <v>0.40653600000000001</v>
      </c>
      <c r="F1029" s="295">
        <v>0.40551399999999999</v>
      </c>
      <c r="G1029" s="295">
        <v>0.41183700000000001</v>
      </c>
      <c r="H1029" s="295">
        <v>0.41454600000000003</v>
      </c>
      <c r="I1029" s="295">
        <v>0.41527599999999998</v>
      </c>
      <c r="J1029" s="295">
        <v>0.41494300000000001</v>
      </c>
      <c r="K1029" s="295">
        <v>0.41615099999999999</v>
      </c>
      <c r="L1029" s="295">
        <v>0.41795500000000002</v>
      </c>
      <c r="M1029" s="295">
        <v>0.420736</v>
      </c>
      <c r="N1029" s="295">
        <v>0.42214499999999999</v>
      </c>
      <c r="O1029" s="295">
        <v>0.421682</v>
      </c>
      <c r="P1029" s="295">
        <v>0.42183599999999999</v>
      </c>
      <c r="Q1029" s="295">
        <v>0.42217500000000002</v>
      </c>
      <c r="R1029" s="295">
        <v>0.42249100000000001</v>
      </c>
      <c r="S1029" s="295">
        <v>0.421209</v>
      </c>
      <c r="T1029" s="295">
        <v>0.42081499999999999</v>
      </c>
      <c r="U1029" s="295">
        <v>0.41952800000000001</v>
      </c>
      <c r="V1029" s="295">
        <v>0.41616199999999998</v>
      </c>
      <c r="W1029" s="295">
        <v>0.41161599999999998</v>
      </c>
      <c r="X1029" s="295">
        <v>0.40765299999999999</v>
      </c>
      <c r="Y1029" s="295">
        <v>0.405385</v>
      </c>
      <c r="Z1029" s="295">
        <v>0.40199299999999999</v>
      </c>
      <c r="AA1029" s="295">
        <v>0.39741199999999999</v>
      </c>
      <c r="AB1029" s="295">
        <v>0.39435900000000002</v>
      </c>
      <c r="AC1029" s="295">
        <v>0.39106000000000002</v>
      </c>
      <c r="AD1029" s="295">
        <v>0.38815899999999998</v>
      </c>
      <c r="AE1029" s="295">
        <v>0.385023</v>
      </c>
      <c r="AF1029" s="295">
        <v>0.38391199999999998</v>
      </c>
      <c r="AG1029" s="295">
        <v>0.38205299999999998</v>
      </c>
      <c r="AH1029" s="296">
        <v>1.6280000000000001E-3</v>
      </c>
    </row>
    <row r="1030" spans="1:34" ht="15" customHeight="1" x14ac:dyDescent="0.25">
      <c r="A1030" s="213" t="s">
        <v>1826</v>
      </c>
      <c r="B1030" s="294" t="s">
        <v>1711</v>
      </c>
      <c r="C1030" s="295">
        <v>2.9141E-2</v>
      </c>
      <c r="D1030" s="295">
        <v>3.0941E-2</v>
      </c>
      <c r="E1030" s="295">
        <v>3.0809E-2</v>
      </c>
      <c r="F1030" s="295">
        <v>3.1108E-2</v>
      </c>
      <c r="G1030" s="295">
        <v>3.1234000000000001E-2</v>
      </c>
      <c r="H1030" s="295">
        <v>3.1283999999999999E-2</v>
      </c>
      <c r="I1030" s="295">
        <v>3.1366999999999999E-2</v>
      </c>
      <c r="J1030" s="295">
        <v>3.1392000000000003E-2</v>
      </c>
      <c r="K1030" s="295">
        <v>3.1382E-2</v>
      </c>
      <c r="L1030" s="295">
        <v>3.1391000000000002E-2</v>
      </c>
      <c r="M1030" s="295">
        <v>3.1372999999999998E-2</v>
      </c>
      <c r="N1030" s="295">
        <v>3.1329999999999997E-2</v>
      </c>
      <c r="O1030" s="295">
        <v>3.1299E-2</v>
      </c>
      <c r="P1030" s="295">
        <v>3.1224999999999999E-2</v>
      </c>
      <c r="Q1030" s="295">
        <v>3.1134999999999999E-2</v>
      </c>
      <c r="R1030" s="295">
        <v>3.1040999999999999E-2</v>
      </c>
      <c r="S1030" s="295">
        <v>3.0953999999999999E-2</v>
      </c>
      <c r="T1030" s="295">
        <v>3.0879E-2</v>
      </c>
      <c r="U1030" s="295">
        <v>3.0793000000000001E-2</v>
      </c>
      <c r="V1030" s="295">
        <v>3.0716E-2</v>
      </c>
      <c r="W1030" s="295">
        <v>3.0675000000000001E-2</v>
      </c>
      <c r="X1030" s="295">
        <v>3.0591E-2</v>
      </c>
      <c r="Y1030" s="295">
        <v>3.0473E-2</v>
      </c>
      <c r="Z1030" s="295">
        <v>3.0374999999999999E-2</v>
      </c>
      <c r="AA1030" s="295">
        <v>3.0315999999999999E-2</v>
      </c>
      <c r="AB1030" s="295">
        <v>3.0258E-2</v>
      </c>
      <c r="AC1030" s="295">
        <v>3.0214000000000001E-2</v>
      </c>
      <c r="AD1030" s="295">
        <v>3.0173999999999999E-2</v>
      </c>
      <c r="AE1030" s="295">
        <v>3.0124000000000001E-2</v>
      </c>
      <c r="AF1030" s="295">
        <v>3.0058000000000001E-2</v>
      </c>
      <c r="AG1030" s="295">
        <v>2.9995000000000001E-2</v>
      </c>
      <c r="AH1030" s="296">
        <v>9.6400000000000001E-4</v>
      </c>
    </row>
    <row r="1031" spans="1:34" ht="15" customHeight="1" x14ac:dyDescent="0.25">
      <c r="A1031" s="213" t="s">
        <v>1827</v>
      </c>
      <c r="B1031" s="294" t="s">
        <v>1058</v>
      </c>
      <c r="C1031" s="295">
        <v>0.13894599999999999</v>
      </c>
      <c r="D1031" s="295">
        <v>0.142594</v>
      </c>
      <c r="E1031" s="295">
        <v>0.140932</v>
      </c>
      <c r="F1031" s="295">
        <v>0.14102300000000001</v>
      </c>
      <c r="G1031" s="295">
        <v>0.141123</v>
      </c>
      <c r="H1031" s="295">
        <v>0.14119799999999999</v>
      </c>
      <c r="I1031" s="295">
        <v>0.141681</v>
      </c>
      <c r="J1031" s="295">
        <v>0.14189399999999999</v>
      </c>
      <c r="K1031" s="295">
        <v>0.141846</v>
      </c>
      <c r="L1031" s="295">
        <v>0.141929</v>
      </c>
      <c r="M1031" s="295">
        <v>0.141988</v>
      </c>
      <c r="N1031" s="295">
        <v>0.14201800000000001</v>
      </c>
      <c r="O1031" s="295">
        <v>0.142009</v>
      </c>
      <c r="P1031" s="295">
        <v>0.14181199999999999</v>
      </c>
      <c r="Q1031" s="295">
        <v>0.14155100000000001</v>
      </c>
      <c r="R1031" s="295">
        <v>0.14136599999999999</v>
      </c>
      <c r="S1031" s="295">
        <v>0.14113600000000001</v>
      </c>
      <c r="T1031" s="295">
        <v>0.14086799999999999</v>
      </c>
      <c r="U1031" s="295">
        <v>0.140594</v>
      </c>
      <c r="V1031" s="295">
        <v>0.14035</v>
      </c>
      <c r="W1031" s="295">
        <v>0.140207</v>
      </c>
      <c r="X1031" s="295">
        <v>0.13999700000000001</v>
      </c>
      <c r="Y1031" s="295">
        <v>0.139658</v>
      </c>
      <c r="Z1031" s="295">
        <v>0.13941400000000001</v>
      </c>
      <c r="AA1031" s="295">
        <v>0.13938800000000001</v>
      </c>
      <c r="AB1031" s="295">
        <v>0.13941100000000001</v>
      </c>
      <c r="AC1031" s="295">
        <v>0.13940900000000001</v>
      </c>
      <c r="AD1031" s="295">
        <v>0.139428</v>
      </c>
      <c r="AE1031" s="295">
        <v>0.13945199999999999</v>
      </c>
      <c r="AF1031" s="295">
        <v>0.139492</v>
      </c>
      <c r="AG1031" s="295">
        <v>0.139573</v>
      </c>
      <c r="AH1031" s="296">
        <v>1.4999999999999999E-4</v>
      </c>
    </row>
    <row r="1032" spans="1:34" ht="15" customHeight="1" x14ac:dyDescent="0.25">
      <c r="A1032" s="213" t="s">
        <v>1828</v>
      </c>
      <c r="B1032" s="294" t="s">
        <v>1060</v>
      </c>
      <c r="C1032" s="295">
        <v>3.7320000000000001E-3</v>
      </c>
      <c r="D1032" s="295">
        <v>4.0889999999999998E-3</v>
      </c>
      <c r="E1032" s="295">
        <v>4.0200000000000001E-3</v>
      </c>
      <c r="F1032" s="295">
        <v>3.8930000000000002E-3</v>
      </c>
      <c r="G1032" s="295">
        <v>3.7789999999999998E-3</v>
      </c>
      <c r="H1032" s="295">
        <v>3.7460000000000002E-3</v>
      </c>
      <c r="I1032" s="295">
        <v>3.738E-3</v>
      </c>
      <c r="J1032" s="295">
        <v>3.761E-3</v>
      </c>
      <c r="K1032" s="295">
        <v>3.7680000000000001E-3</v>
      </c>
      <c r="L1032" s="295">
        <v>3.7910000000000001E-3</v>
      </c>
      <c r="M1032" s="295">
        <v>3.8019999999999998E-3</v>
      </c>
      <c r="N1032" s="295">
        <v>3.8080000000000002E-3</v>
      </c>
      <c r="O1032" s="295">
        <v>3.7750000000000001E-3</v>
      </c>
      <c r="P1032" s="295">
        <v>3.764E-3</v>
      </c>
      <c r="Q1032" s="295">
        <v>3.7450000000000001E-3</v>
      </c>
      <c r="R1032" s="295">
        <v>3.712E-3</v>
      </c>
      <c r="S1032" s="295">
        <v>3.6830000000000001E-3</v>
      </c>
      <c r="T1032" s="295">
        <v>3.663E-3</v>
      </c>
      <c r="U1032" s="295">
        <v>3.627E-3</v>
      </c>
      <c r="V1032" s="295">
        <v>3.5980000000000001E-3</v>
      </c>
      <c r="W1032" s="295">
        <v>3.5349999999999999E-3</v>
      </c>
      <c r="X1032" s="295">
        <v>3.4889999999999999E-3</v>
      </c>
      <c r="Y1032" s="295">
        <v>3.4529999999999999E-3</v>
      </c>
      <c r="Z1032" s="295">
        <v>3.421E-3</v>
      </c>
      <c r="AA1032" s="295">
        <v>3.3869999999999998E-3</v>
      </c>
      <c r="AB1032" s="295">
        <v>3.349E-3</v>
      </c>
      <c r="AC1032" s="295">
        <v>3.3159999999999999E-3</v>
      </c>
      <c r="AD1032" s="295">
        <v>3.2889999999999998E-3</v>
      </c>
      <c r="AE1032" s="295">
        <v>3.2620000000000001E-3</v>
      </c>
      <c r="AF1032" s="295">
        <v>3.235E-3</v>
      </c>
      <c r="AG1032" s="295">
        <v>3.2030000000000001E-3</v>
      </c>
      <c r="AH1032" s="296">
        <v>-5.0790000000000002E-3</v>
      </c>
    </row>
    <row r="1033" spans="1:34" ht="15" customHeight="1" x14ac:dyDescent="0.25">
      <c r="A1033" s="213" t="s">
        <v>1829</v>
      </c>
      <c r="B1033" s="294" t="s">
        <v>1077</v>
      </c>
      <c r="C1033" s="295">
        <v>7.1124999999999994E-2</v>
      </c>
      <c r="D1033" s="295">
        <v>7.2529999999999997E-2</v>
      </c>
      <c r="E1033" s="295">
        <v>7.4177999999999994E-2</v>
      </c>
      <c r="F1033" s="295">
        <v>7.3088E-2</v>
      </c>
      <c r="G1033" s="295">
        <v>7.2084999999999996E-2</v>
      </c>
      <c r="H1033" s="295">
        <v>7.0824999999999999E-2</v>
      </c>
      <c r="I1033" s="295">
        <v>6.9890999999999995E-2</v>
      </c>
      <c r="J1033" s="295">
        <v>6.9084999999999994E-2</v>
      </c>
      <c r="K1033" s="295">
        <v>6.8394999999999997E-2</v>
      </c>
      <c r="L1033" s="295">
        <v>6.7757999999999999E-2</v>
      </c>
      <c r="M1033" s="295">
        <v>6.7067000000000002E-2</v>
      </c>
      <c r="N1033" s="295">
        <v>6.6269999999999996E-2</v>
      </c>
      <c r="O1033" s="295">
        <v>6.5511E-2</v>
      </c>
      <c r="P1033" s="295">
        <v>6.4745999999999998E-2</v>
      </c>
      <c r="Q1033" s="295">
        <v>6.3908000000000006E-2</v>
      </c>
      <c r="R1033" s="295">
        <v>6.3102000000000005E-2</v>
      </c>
      <c r="S1033" s="295">
        <v>6.2387999999999999E-2</v>
      </c>
      <c r="T1033" s="295">
        <v>6.1705999999999997E-2</v>
      </c>
      <c r="U1033" s="295">
        <v>6.0936999999999998E-2</v>
      </c>
      <c r="V1033" s="295">
        <v>6.0165000000000003E-2</v>
      </c>
      <c r="W1033" s="295">
        <v>5.9429000000000003E-2</v>
      </c>
      <c r="X1033" s="295">
        <v>5.8609000000000001E-2</v>
      </c>
      <c r="Y1033" s="295">
        <v>5.7729999999999997E-2</v>
      </c>
      <c r="Z1033" s="295">
        <v>5.6820000000000002E-2</v>
      </c>
      <c r="AA1033" s="295">
        <v>5.5966000000000002E-2</v>
      </c>
      <c r="AB1033" s="295">
        <v>5.5196000000000002E-2</v>
      </c>
      <c r="AC1033" s="295">
        <v>5.4447000000000002E-2</v>
      </c>
      <c r="AD1033" s="295">
        <v>5.3742999999999999E-2</v>
      </c>
      <c r="AE1033" s="295">
        <v>5.3004000000000003E-2</v>
      </c>
      <c r="AF1033" s="295">
        <v>5.2259E-2</v>
      </c>
      <c r="AG1033" s="295">
        <v>5.1521999999999998E-2</v>
      </c>
      <c r="AH1033" s="296">
        <v>-1.069E-2</v>
      </c>
    </row>
    <row r="1034" spans="1:34" ht="15" customHeight="1" x14ac:dyDescent="0.25">
      <c r="A1034" s="213" t="s">
        <v>1830</v>
      </c>
      <c r="B1034" s="294" t="s">
        <v>1749</v>
      </c>
      <c r="C1034" s="295">
        <v>6.2287000000000002E-2</v>
      </c>
      <c r="D1034" s="295">
        <v>6.5693000000000001E-2</v>
      </c>
      <c r="E1034" s="295">
        <v>6.5123E-2</v>
      </c>
      <c r="F1034" s="295">
        <v>6.4465999999999996E-2</v>
      </c>
      <c r="G1034" s="295">
        <v>6.2895999999999994E-2</v>
      </c>
      <c r="H1034" s="295">
        <v>6.1501E-2</v>
      </c>
      <c r="I1034" s="295">
        <v>6.1705999999999997E-2</v>
      </c>
      <c r="J1034" s="295">
        <v>6.0901999999999998E-2</v>
      </c>
      <c r="K1034" s="295">
        <v>6.0801000000000001E-2</v>
      </c>
      <c r="L1034" s="295">
        <v>6.1344000000000003E-2</v>
      </c>
      <c r="M1034" s="295">
        <v>6.1398000000000001E-2</v>
      </c>
      <c r="N1034" s="295">
        <v>6.0670000000000002E-2</v>
      </c>
      <c r="O1034" s="295">
        <v>6.0144999999999997E-2</v>
      </c>
      <c r="P1034" s="295">
        <v>5.9573000000000001E-2</v>
      </c>
      <c r="Q1034" s="295">
        <v>5.917E-2</v>
      </c>
      <c r="R1034" s="295">
        <v>5.8306999999999998E-2</v>
      </c>
      <c r="S1034" s="295">
        <v>5.7588E-2</v>
      </c>
      <c r="T1034" s="295">
        <v>5.6899999999999999E-2</v>
      </c>
      <c r="U1034" s="295">
        <v>5.6138E-2</v>
      </c>
      <c r="V1034" s="295">
        <v>5.5442999999999999E-2</v>
      </c>
      <c r="W1034" s="295">
        <v>5.4504999999999998E-2</v>
      </c>
      <c r="X1034" s="295">
        <v>5.3761000000000003E-2</v>
      </c>
      <c r="Y1034" s="295">
        <v>5.3032000000000003E-2</v>
      </c>
      <c r="Z1034" s="295">
        <v>5.2359000000000003E-2</v>
      </c>
      <c r="AA1034" s="295">
        <v>5.1662E-2</v>
      </c>
      <c r="AB1034" s="295">
        <v>5.0826000000000003E-2</v>
      </c>
      <c r="AC1034" s="295">
        <v>5.0292999999999997E-2</v>
      </c>
      <c r="AD1034" s="295">
        <v>4.9764000000000003E-2</v>
      </c>
      <c r="AE1034" s="295">
        <v>4.9225999999999999E-2</v>
      </c>
      <c r="AF1034" s="295">
        <v>4.8478E-2</v>
      </c>
      <c r="AG1034" s="295">
        <v>4.8025999999999999E-2</v>
      </c>
      <c r="AH1034" s="296">
        <v>-8.6300000000000005E-3</v>
      </c>
    </row>
    <row r="1035" spans="1:34" ht="15" customHeight="1" x14ac:dyDescent="0.25">
      <c r="A1035" s="213" t="s">
        <v>1831</v>
      </c>
      <c r="B1035" s="294" t="s">
        <v>1715</v>
      </c>
      <c r="C1035" s="295">
        <v>0.103061</v>
      </c>
      <c r="D1035" s="295">
        <v>0.10371</v>
      </c>
      <c r="E1035" s="295">
        <v>9.8738999999999993E-2</v>
      </c>
      <c r="F1035" s="295">
        <v>9.7535999999999998E-2</v>
      </c>
      <c r="G1035" s="295">
        <v>9.6684000000000006E-2</v>
      </c>
      <c r="H1035" s="295">
        <v>9.5435000000000006E-2</v>
      </c>
      <c r="I1035" s="295">
        <v>9.4490000000000005E-2</v>
      </c>
      <c r="J1035" s="295">
        <v>9.3739000000000003E-2</v>
      </c>
      <c r="K1035" s="295">
        <v>9.3251000000000001E-2</v>
      </c>
      <c r="L1035" s="295">
        <v>9.2952000000000007E-2</v>
      </c>
      <c r="M1035" s="295">
        <v>9.2718999999999996E-2</v>
      </c>
      <c r="N1035" s="295">
        <v>9.2470999999999998E-2</v>
      </c>
      <c r="O1035" s="295">
        <v>9.2328999999999994E-2</v>
      </c>
      <c r="P1035" s="295">
        <v>9.2160000000000006E-2</v>
      </c>
      <c r="Q1035" s="295">
        <v>9.2087000000000002E-2</v>
      </c>
      <c r="R1035" s="295">
        <v>9.1866000000000003E-2</v>
      </c>
      <c r="S1035" s="295">
        <v>9.1761999999999996E-2</v>
      </c>
      <c r="T1035" s="295">
        <v>9.1730999999999993E-2</v>
      </c>
      <c r="U1035" s="295">
        <v>9.1694999999999999E-2</v>
      </c>
      <c r="V1035" s="295">
        <v>9.1247999999999996E-2</v>
      </c>
      <c r="W1035" s="295">
        <v>9.1217999999999994E-2</v>
      </c>
      <c r="X1035" s="295">
        <v>9.1051999999999994E-2</v>
      </c>
      <c r="Y1035" s="295">
        <v>9.078E-2</v>
      </c>
      <c r="Z1035" s="295">
        <v>9.0559000000000001E-2</v>
      </c>
      <c r="AA1035" s="295">
        <v>9.0540999999999996E-2</v>
      </c>
      <c r="AB1035" s="295">
        <v>9.0651999999999996E-2</v>
      </c>
      <c r="AC1035" s="295">
        <v>9.0842000000000006E-2</v>
      </c>
      <c r="AD1035" s="295">
        <v>9.1135999999999995E-2</v>
      </c>
      <c r="AE1035" s="295">
        <v>9.1370999999999994E-2</v>
      </c>
      <c r="AF1035" s="295">
        <v>9.1554999999999997E-2</v>
      </c>
      <c r="AG1035" s="295">
        <v>9.1775999999999996E-2</v>
      </c>
      <c r="AH1035" s="296">
        <v>-3.8579999999999999E-3</v>
      </c>
    </row>
    <row r="1036" spans="1:34" ht="15" customHeight="1" x14ac:dyDescent="0.25">
      <c r="A1036" s="213" t="s">
        <v>1832</v>
      </c>
      <c r="B1036" s="294" t="s">
        <v>1778</v>
      </c>
      <c r="C1036" s="295">
        <v>0.16314300000000001</v>
      </c>
      <c r="D1036" s="295">
        <v>0.17186100000000001</v>
      </c>
      <c r="E1036" s="295">
        <v>0.16486700000000001</v>
      </c>
      <c r="F1036" s="295">
        <v>0.163934</v>
      </c>
      <c r="G1036" s="295">
        <v>0.15978899999999999</v>
      </c>
      <c r="H1036" s="295">
        <v>0.159248</v>
      </c>
      <c r="I1036" s="295">
        <v>0.158</v>
      </c>
      <c r="J1036" s="295">
        <v>0.156754</v>
      </c>
      <c r="K1036" s="295">
        <v>0.15591099999999999</v>
      </c>
      <c r="L1036" s="295">
        <v>0.15537200000000001</v>
      </c>
      <c r="M1036" s="295">
        <v>0.152916</v>
      </c>
      <c r="N1036" s="295">
        <v>0.15140600000000001</v>
      </c>
      <c r="O1036" s="295">
        <v>0.15017</v>
      </c>
      <c r="P1036" s="295">
        <v>0.14788200000000001</v>
      </c>
      <c r="Q1036" s="295">
        <v>0.146844</v>
      </c>
      <c r="R1036" s="295">
        <v>0.145007</v>
      </c>
      <c r="S1036" s="295">
        <v>0.14496700000000001</v>
      </c>
      <c r="T1036" s="295">
        <v>0.14485600000000001</v>
      </c>
      <c r="U1036" s="295">
        <v>0.142763</v>
      </c>
      <c r="V1036" s="295">
        <v>0.141125</v>
      </c>
      <c r="W1036" s="295">
        <v>0.139518</v>
      </c>
      <c r="X1036" s="295">
        <v>0.13745599999999999</v>
      </c>
      <c r="Y1036" s="295">
        <v>0.13470599999999999</v>
      </c>
      <c r="Z1036" s="295">
        <v>0.13072600000000001</v>
      </c>
      <c r="AA1036" s="295">
        <v>0.12821199999999999</v>
      </c>
      <c r="AB1036" s="295">
        <v>0.12704599999999999</v>
      </c>
      <c r="AC1036" s="295">
        <v>0.12400600000000001</v>
      </c>
      <c r="AD1036" s="295">
        <v>0.122643</v>
      </c>
      <c r="AE1036" s="295">
        <v>0.121699</v>
      </c>
      <c r="AF1036" s="295">
        <v>0.119561</v>
      </c>
      <c r="AG1036" s="295">
        <v>0.118585</v>
      </c>
      <c r="AH1036" s="296">
        <v>-1.0577E-2</v>
      </c>
    </row>
    <row r="1037" spans="1:34" ht="15" customHeight="1" x14ac:dyDescent="0.25">
      <c r="A1037" s="213" t="s">
        <v>1833</v>
      </c>
      <c r="B1037" s="294" t="s">
        <v>1752</v>
      </c>
      <c r="C1037" s="295">
        <v>6.4711000000000005E-2</v>
      </c>
      <c r="D1037" s="295">
        <v>4.9917999999999997E-2</v>
      </c>
      <c r="E1037" s="295">
        <v>5.0386E-2</v>
      </c>
      <c r="F1037" s="295">
        <v>4.7982999999999998E-2</v>
      </c>
      <c r="G1037" s="295">
        <v>4.5955999999999997E-2</v>
      </c>
      <c r="H1037" s="295">
        <v>4.5011000000000002E-2</v>
      </c>
      <c r="I1037" s="295">
        <v>4.3741000000000002E-2</v>
      </c>
      <c r="J1037" s="295">
        <v>4.4816000000000002E-2</v>
      </c>
      <c r="K1037" s="295">
        <v>4.5198000000000002E-2</v>
      </c>
      <c r="L1037" s="295">
        <v>4.4975000000000001E-2</v>
      </c>
      <c r="M1037" s="295">
        <v>4.5162000000000001E-2</v>
      </c>
      <c r="N1037" s="295">
        <v>4.5364000000000002E-2</v>
      </c>
      <c r="O1037" s="295">
        <v>4.5038000000000002E-2</v>
      </c>
      <c r="P1037" s="295">
        <v>4.5079000000000001E-2</v>
      </c>
      <c r="Q1037" s="295">
        <v>4.4932E-2</v>
      </c>
      <c r="R1037" s="295">
        <v>4.4666999999999998E-2</v>
      </c>
      <c r="S1037" s="295">
        <v>4.4421000000000002E-2</v>
      </c>
      <c r="T1037" s="295">
        <v>4.4260000000000001E-2</v>
      </c>
      <c r="U1037" s="295">
        <v>4.3743999999999998E-2</v>
      </c>
      <c r="V1037" s="295">
        <v>4.3424999999999998E-2</v>
      </c>
      <c r="W1037" s="295">
        <v>4.1954999999999999E-2</v>
      </c>
      <c r="X1037" s="295">
        <v>4.1324E-2</v>
      </c>
      <c r="Y1037" s="295">
        <v>4.0788999999999999E-2</v>
      </c>
      <c r="Z1037" s="295">
        <v>4.027E-2</v>
      </c>
      <c r="AA1037" s="295">
        <v>3.9827000000000001E-2</v>
      </c>
      <c r="AB1037" s="295">
        <v>3.9581999999999999E-2</v>
      </c>
      <c r="AC1037" s="295">
        <v>3.9142000000000003E-2</v>
      </c>
      <c r="AD1037" s="295">
        <v>3.8871000000000003E-2</v>
      </c>
      <c r="AE1037" s="295">
        <v>3.8726999999999998E-2</v>
      </c>
      <c r="AF1037" s="295">
        <v>3.8678999999999998E-2</v>
      </c>
      <c r="AG1037" s="295">
        <v>3.8557000000000001E-2</v>
      </c>
      <c r="AH1037" s="296">
        <v>-1.7111999999999999E-2</v>
      </c>
    </row>
    <row r="1038" spans="1:34" ht="15" customHeight="1" x14ac:dyDescent="0.25">
      <c r="A1038" s="213" t="s">
        <v>1834</v>
      </c>
      <c r="B1038" s="294" t="s">
        <v>1040</v>
      </c>
      <c r="C1038" s="295">
        <v>1.019361</v>
      </c>
      <c r="D1038" s="295">
        <v>1.0457689999999999</v>
      </c>
      <c r="E1038" s="295">
        <v>1.051525</v>
      </c>
      <c r="F1038" s="295">
        <v>1.0528999999999999</v>
      </c>
      <c r="G1038" s="295">
        <v>1.049161</v>
      </c>
      <c r="H1038" s="295">
        <v>1.0462320000000001</v>
      </c>
      <c r="I1038" s="295">
        <v>1.0431299999999999</v>
      </c>
      <c r="J1038" s="295">
        <v>1.0404279999999999</v>
      </c>
      <c r="K1038" s="295">
        <v>1.0396810000000001</v>
      </c>
      <c r="L1038" s="295">
        <v>1.0403469999999999</v>
      </c>
      <c r="M1038" s="295">
        <v>1.039925</v>
      </c>
      <c r="N1038" s="295">
        <v>1.038143</v>
      </c>
      <c r="O1038" s="295">
        <v>1.034608</v>
      </c>
      <c r="P1038" s="295">
        <v>1.030645</v>
      </c>
      <c r="Q1038" s="295">
        <v>1.028038</v>
      </c>
      <c r="R1038" s="295">
        <v>1.023984</v>
      </c>
      <c r="S1038" s="295">
        <v>1.0204759999999999</v>
      </c>
      <c r="T1038" s="295">
        <v>1.017998</v>
      </c>
      <c r="U1038" s="295">
        <v>1.0120750000000001</v>
      </c>
      <c r="V1038" s="295">
        <v>1.00444</v>
      </c>
      <c r="W1038" s="295">
        <v>0.99477400000000005</v>
      </c>
      <c r="X1038" s="295">
        <v>0.98596899999999998</v>
      </c>
      <c r="Y1038" s="295">
        <v>0.97795399999999999</v>
      </c>
      <c r="Z1038" s="295">
        <v>0.96779899999999996</v>
      </c>
      <c r="AA1038" s="295">
        <v>0.958534</v>
      </c>
      <c r="AB1038" s="295">
        <v>0.95249300000000003</v>
      </c>
      <c r="AC1038" s="295">
        <v>0.94449899999999998</v>
      </c>
      <c r="AD1038" s="295">
        <v>0.93894100000000003</v>
      </c>
      <c r="AE1038" s="295">
        <v>0.93359499999999995</v>
      </c>
      <c r="AF1038" s="295">
        <v>0.92890799999999996</v>
      </c>
      <c r="AG1038" s="295">
        <v>0.92495000000000005</v>
      </c>
      <c r="AH1038" s="296">
        <v>-3.2339999999999999E-3</v>
      </c>
    </row>
    <row r="1039" spans="1:34" ht="15" customHeight="1" x14ac:dyDescent="0.25">
      <c r="A1039" s="213" t="s">
        <v>1835</v>
      </c>
      <c r="B1039" s="294" t="s">
        <v>1717</v>
      </c>
      <c r="C1039" s="295">
        <v>0.94205700000000003</v>
      </c>
      <c r="D1039" s="295">
        <v>0.90459699999999998</v>
      </c>
      <c r="E1039" s="295">
        <v>0.88263400000000003</v>
      </c>
      <c r="F1039" s="295">
        <v>0.89465899999999998</v>
      </c>
      <c r="G1039" s="295">
        <v>0.90686500000000003</v>
      </c>
      <c r="H1039" s="295">
        <v>0.90653099999999998</v>
      </c>
      <c r="I1039" s="295">
        <v>0.90399200000000002</v>
      </c>
      <c r="J1039" s="295">
        <v>0.89407300000000001</v>
      </c>
      <c r="K1039" s="295">
        <v>0.88825799999999999</v>
      </c>
      <c r="L1039" s="295">
        <v>0.88290800000000003</v>
      </c>
      <c r="M1039" s="295">
        <v>0.87520100000000001</v>
      </c>
      <c r="N1039" s="295">
        <v>0.86820200000000003</v>
      </c>
      <c r="O1039" s="295">
        <v>0.86027699999999996</v>
      </c>
      <c r="P1039" s="295">
        <v>0.85223199999999999</v>
      </c>
      <c r="Q1039" s="295">
        <v>0.84604599999999996</v>
      </c>
      <c r="R1039" s="295">
        <v>0.84140300000000001</v>
      </c>
      <c r="S1039" s="295">
        <v>0.837426</v>
      </c>
      <c r="T1039" s="295">
        <v>0.83382500000000004</v>
      </c>
      <c r="U1039" s="295">
        <v>0.83068399999999998</v>
      </c>
      <c r="V1039" s="295">
        <v>0.82722600000000002</v>
      </c>
      <c r="W1039" s="295">
        <v>0.82492299999999996</v>
      </c>
      <c r="X1039" s="295">
        <v>0.82047999999999999</v>
      </c>
      <c r="Y1039" s="295">
        <v>0.81793700000000003</v>
      </c>
      <c r="Z1039" s="295">
        <v>0.81535800000000003</v>
      </c>
      <c r="AA1039" s="295">
        <v>0.81029300000000004</v>
      </c>
      <c r="AB1039" s="295">
        <v>0.80491299999999999</v>
      </c>
      <c r="AC1039" s="295">
        <v>0.80281599999999997</v>
      </c>
      <c r="AD1039" s="295">
        <v>0.80013299999999998</v>
      </c>
      <c r="AE1039" s="295">
        <v>0.79586800000000002</v>
      </c>
      <c r="AF1039" s="295">
        <v>0.79275499999999999</v>
      </c>
      <c r="AG1039" s="295">
        <v>0.79026399999999997</v>
      </c>
      <c r="AH1039" s="296">
        <v>-5.8399999999999997E-3</v>
      </c>
    </row>
    <row r="1040" spans="1:34" ht="15" customHeight="1" x14ac:dyDescent="0.25">
      <c r="A1040" s="213" t="s">
        <v>1836</v>
      </c>
      <c r="B1040" s="294" t="s">
        <v>1837</v>
      </c>
      <c r="C1040" s="295">
        <v>9.6209000000000003E-2</v>
      </c>
      <c r="D1040" s="295">
        <v>0.100882</v>
      </c>
      <c r="E1040" s="295">
        <v>9.5829999999999999E-2</v>
      </c>
      <c r="F1040" s="295">
        <v>9.4559000000000004E-2</v>
      </c>
      <c r="G1040" s="295">
        <v>9.4335000000000002E-2</v>
      </c>
      <c r="H1040" s="295">
        <v>9.3072000000000002E-2</v>
      </c>
      <c r="I1040" s="295">
        <v>9.3286999999999995E-2</v>
      </c>
      <c r="J1040" s="295">
        <v>9.2133999999999994E-2</v>
      </c>
      <c r="K1040" s="295">
        <v>9.2092999999999994E-2</v>
      </c>
      <c r="L1040" s="295">
        <v>9.2193999999999998E-2</v>
      </c>
      <c r="M1040" s="295">
        <v>9.0189000000000005E-2</v>
      </c>
      <c r="N1040" s="295">
        <v>9.0051000000000006E-2</v>
      </c>
      <c r="O1040" s="295">
        <v>9.0050000000000005E-2</v>
      </c>
      <c r="P1040" s="295">
        <v>8.9566000000000007E-2</v>
      </c>
      <c r="Q1040" s="295">
        <v>9.0015999999999999E-2</v>
      </c>
      <c r="R1040" s="295">
        <v>8.9617000000000002E-2</v>
      </c>
      <c r="S1040" s="295">
        <v>8.9855000000000004E-2</v>
      </c>
      <c r="T1040" s="295">
        <v>9.0281E-2</v>
      </c>
      <c r="U1040" s="295">
        <v>8.9846999999999996E-2</v>
      </c>
      <c r="V1040" s="295">
        <v>9.0426000000000006E-2</v>
      </c>
      <c r="W1040" s="295">
        <v>8.8802000000000006E-2</v>
      </c>
      <c r="X1040" s="295">
        <v>8.7705000000000005E-2</v>
      </c>
      <c r="Y1040" s="295">
        <v>8.6932999999999996E-2</v>
      </c>
      <c r="Z1040" s="295">
        <v>8.5833000000000007E-2</v>
      </c>
      <c r="AA1040" s="295">
        <v>8.48E-2</v>
      </c>
      <c r="AB1040" s="295">
        <v>8.3427000000000001E-2</v>
      </c>
      <c r="AC1040" s="295">
        <v>8.2965999999999998E-2</v>
      </c>
      <c r="AD1040" s="295">
        <v>8.2324999999999995E-2</v>
      </c>
      <c r="AE1040" s="295">
        <v>8.1778000000000003E-2</v>
      </c>
      <c r="AF1040" s="295">
        <v>8.1238000000000005E-2</v>
      </c>
      <c r="AG1040" s="295">
        <v>8.1138000000000002E-2</v>
      </c>
      <c r="AH1040" s="296">
        <v>-5.6629999999999996E-3</v>
      </c>
    </row>
    <row r="1041" spans="1:34" ht="15" customHeight="1" x14ac:dyDescent="0.25">
      <c r="A1041" s="213" t="s">
        <v>1838</v>
      </c>
      <c r="B1041" s="294" t="s">
        <v>1083</v>
      </c>
      <c r="C1041" s="295">
        <v>0</v>
      </c>
      <c r="D1041" s="295">
        <v>0</v>
      </c>
      <c r="E1041" s="295">
        <v>0</v>
      </c>
      <c r="F1041" s="295">
        <v>0</v>
      </c>
      <c r="G1041" s="295">
        <v>0</v>
      </c>
      <c r="H1041" s="295">
        <v>0</v>
      </c>
      <c r="I1041" s="295">
        <v>0</v>
      </c>
      <c r="J1041" s="295">
        <v>0</v>
      </c>
      <c r="K1041" s="295">
        <v>0</v>
      </c>
      <c r="L1041" s="295">
        <v>0</v>
      </c>
      <c r="M1041" s="295">
        <v>0</v>
      </c>
      <c r="N1041" s="295">
        <v>0</v>
      </c>
      <c r="O1041" s="295">
        <v>0</v>
      </c>
      <c r="P1041" s="295">
        <v>0</v>
      </c>
      <c r="Q1041" s="295">
        <v>0</v>
      </c>
      <c r="R1041" s="295">
        <v>0</v>
      </c>
      <c r="S1041" s="295">
        <v>0</v>
      </c>
      <c r="T1041" s="295">
        <v>0</v>
      </c>
      <c r="U1041" s="295">
        <v>0</v>
      </c>
      <c r="V1041" s="295">
        <v>0</v>
      </c>
      <c r="W1041" s="295">
        <v>0</v>
      </c>
      <c r="X1041" s="295">
        <v>0</v>
      </c>
      <c r="Y1041" s="295">
        <v>0</v>
      </c>
      <c r="Z1041" s="295">
        <v>0</v>
      </c>
      <c r="AA1041" s="295">
        <v>0</v>
      </c>
      <c r="AB1041" s="295">
        <v>0</v>
      </c>
      <c r="AC1041" s="295">
        <v>0</v>
      </c>
      <c r="AD1041" s="295">
        <v>0</v>
      </c>
      <c r="AE1041" s="295">
        <v>0</v>
      </c>
      <c r="AF1041" s="295">
        <v>0</v>
      </c>
      <c r="AG1041" s="295">
        <v>0</v>
      </c>
      <c r="AH1041" s="296" t="s">
        <v>635</v>
      </c>
    </row>
    <row r="1042" spans="1:34" ht="15" customHeight="1" x14ac:dyDescent="0.25">
      <c r="A1042" s="213" t="s">
        <v>1839</v>
      </c>
      <c r="B1042" s="294" t="s">
        <v>1757</v>
      </c>
      <c r="C1042" s="295">
        <v>0.22833999999999999</v>
      </c>
      <c r="D1042" s="295">
        <v>0.21587000000000001</v>
      </c>
      <c r="E1042" s="295">
        <v>0.21760399999999999</v>
      </c>
      <c r="F1042" s="295">
        <v>0.22093099999999999</v>
      </c>
      <c r="G1042" s="295">
        <v>0.21893499999999999</v>
      </c>
      <c r="H1042" s="295">
        <v>0.22028900000000001</v>
      </c>
      <c r="I1042" s="295">
        <v>0.22072800000000001</v>
      </c>
      <c r="J1042" s="295">
        <v>0.219552</v>
      </c>
      <c r="K1042" s="295">
        <v>0.21903300000000001</v>
      </c>
      <c r="L1042" s="295">
        <v>0.21851699999999999</v>
      </c>
      <c r="M1042" s="295">
        <v>0.21913099999999999</v>
      </c>
      <c r="N1042" s="295">
        <v>0.21882199999999999</v>
      </c>
      <c r="O1042" s="295">
        <v>0.218085</v>
      </c>
      <c r="P1042" s="295">
        <v>0.21882499999999999</v>
      </c>
      <c r="Q1042" s="295">
        <v>0.21804499999999999</v>
      </c>
      <c r="R1042" s="295">
        <v>0.21509400000000001</v>
      </c>
      <c r="S1042" s="295">
        <v>0.21254100000000001</v>
      </c>
      <c r="T1042" s="295">
        <v>0.210814</v>
      </c>
      <c r="U1042" s="295">
        <v>0.208649</v>
      </c>
      <c r="V1042" s="295">
        <v>0.20759900000000001</v>
      </c>
      <c r="W1042" s="295">
        <v>0.206928</v>
      </c>
      <c r="X1042" s="295">
        <v>0.20528199999999999</v>
      </c>
      <c r="Y1042" s="295">
        <v>0.20441400000000001</v>
      </c>
      <c r="Z1042" s="295">
        <v>0.204508</v>
      </c>
      <c r="AA1042" s="295">
        <v>0.20309199999999999</v>
      </c>
      <c r="AB1042" s="295">
        <v>0.20016999999999999</v>
      </c>
      <c r="AC1042" s="295">
        <v>0.19905</v>
      </c>
      <c r="AD1042" s="295">
        <v>0.19706699999999999</v>
      </c>
      <c r="AE1042" s="295">
        <v>0.19516800000000001</v>
      </c>
      <c r="AF1042" s="295">
        <v>0.192278</v>
      </c>
      <c r="AG1042" s="295">
        <v>0.18959799999999999</v>
      </c>
      <c r="AH1042" s="296">
        <v>-6.1780000000000003E-3</v>
      </c>
    </row>
    <row r="1043" spans="1:34" ht="15" customHeight="1" x14ac:dyDescent="0.25">
      <c r="A1043" s="213" t="s">
        <v>1840</v>
      </c>
      <c r="B1043" s="294" t="s">
        <v>1759</v>
      </c>
      <c r="C1043" s="295">
        <v>4.4073000000000001E-2</v>
      </c>
      <c r="D1043" s="295">
        <v>5.9110999999999997E-2</v>
      </c>
      <c r="E1043" s="295">
        <v>5.6277000000000001E-2</v>
      </c>
      <c r="F1043" s="295">
        <v>5.6059999999999999E-2</v>
      </c>
      <c r="G1043" s="295">
        <v>6.1616999999999998E-2</v>
      </c>
      <c r="H1043" s="295">
        <v>6.9862999999999995E-2</v>
      </c>
      <c r="I1043" s="295">
        <v>7.4345999999999995E-2</v>
      </c>
      <c r="J1043" s="295">
        <v>7.3400000000000007E-2</v>
      </c>
      <c r="K1043" s="295">
        <v>7.4400999999999995E-2</v>
      </c>
      <c r="L1043" s="295">
        <v>7.6642000000000002E-2</v>
      </c>
      <c r="M1043" s="295">
        <v>7.8921000000000005E-2</v>
      </c>
      <c r="N1043" s="295">
        <v>7.9431000000000002E-2</v>
      </c>
      <c r="O1043" s="295">
        <v>7.8618999999999994E-2</v>
      </c>
      <c r="P1043" s="295">
        <v>7.7409000000000006E-2</v>
      </c>
      <c r="Q1043" s="295">
        <v>7.6288999999999996E-2</v>
      </c>
      <c r="R1043" s="295">
        <v>7.5214000000000003E-2</v>
      </c>
      <c r="S1043" s="295">
        <v>7.4471999999999997E-2</v>
      </c>
      <c r="T1043" s="295">
        <v>7.3399000000000006E-2</v>
      </c>
      <c r="U1043" s="295">
        <v>7.2408E-2</v>
      </c>
      <c r="V1043" s="295">
        <v>7.1452000000000002E-2</v>
      </c>
      <c r="W1043" s="295">
        <v>7.0738999999999996E-2</v>
      </c>
      <c r="X1043" s="295">
        <v>6.9563E-2</v>
      </c>
      <c r="Y1043" s="295">
        <v>6.8446000000000007E-2</v>
      </c>
      <c r="Z1043" s="295">
        <v>6.7310999999999996E-2</v>
      </c>
      <c r="AA1043" s="295">
        <v>6.6432000000000005E-2</v>
      </c>
      <c r="AB1043" s="295">
        <v>6.5314999999999998E-2</v>
      </c>
      <c r="AC1043" s="295">
        <v>6.4391000000000004E-2</v>
      </c>
      <c r="AD1043" s="295">
        <v>6.3519000000000006E-2</v>
      </c>
      <c r="AE1043" s="295">
        <v>6.2756999999999993E-2</v>
      </c>
      <c r="AF1043" s="295">
        <v>6.1648000000000001E-2</v>
      </c>
      <c r="AG1043" s="295">
        <v>6.0714999999999998E-2</v>
      </c>
      <c r="AH1043" s="296">
        <v>1.0736000000000001E-2</v>
      </c>
    </row>
    <row r="1044" spans="1:34" ht="15" customHeight="1" x14ac:dyDescent="0.25">
      <c r="A1044" s="213" t="s">
        <v>1841</v>
      </c>
      <c r="B1044" s="294" t="s">
        <v>1089</v>
      </c>
      <c r="C1044" s="295">
        <v>1.3106789999999999</v>
      </c>
      <c r="D1044" s="295">
        <v>1.280459</v>
      </c>
      <c r="E1044" s="295">
        <v>1.2523439999999999</v>
      </c>
      <c r="F1044" s="295">
        <v>1.2662100000000001</v>
      </c>
      <c r="G1044" s="295">
        <v>1.281752</v>
      </c>
      <c r="H1044" s="295">
        <v>1.289755</v>
      </c>
      <c r="I1044" s="295">
        <v>1.292354</v>
      </c>
      <c r="J1044" s="295">
        <v>1.2791600000000001</v>
      </c>
      <c r="K1044" s="295">
        <v>1.2737849999999999</v>
      </c>
      <c r="L1044" s="295">
        <v>1.2702610000000001</v>
      </c>
      <c r="M1044" s="295">
        <v>1.2634430000000001</v>
      </c>
      <c r="N1044" s="295">
        <v>1.256507</v>
      </c>
      <c r="O1044" s="295">
        <v>1.2470319999999999</v>
      </c>
      <c r="P1044" s="295">
        <v>1.238032</v>
      </c>
      <c r="Q1044" s="295">
        <v>1.230396</v>
      </c>
      <c r="R1044" s="295">
        <v>1.2213290000000001</v>
      </c>
      <c r="S1044" s="295">
        <v>1.214294</v>
      </c>
      <c r="T1044" s="295">
        <v>1.2083189999999999</v>
      </c>
      <c r="U1044" s="295">
        <v>1.201587</v>
      </c>
      <c r="V1044" s="295">
        <v>1.1967019999999999</v>
      </c>
      <c r="W1044" s="295">
        <v>1.191392</v>
      </c>
      <c r="X1044" s="295">
        <v>1.1830290000000001</v>
      </c>
      <c r="Y1044" s="295">
        <v>1.1777299999999999</v>
      </c>
      <c r="Z1044" s="295">
        <v>1.1730100000000001</v>
      </c>
      <c r="AA1044" s="295">
        <v>1.1646160000000001</v>
      </c>
      <c r="AB1044" s="295">
        <v>1.153826</v>
      </c>
      <c r="AC1044" s="295">
        <v>1.1492230000000001</v>
      </c>
      <c r="AD1044" s="295">
        <v>1.1430439999999999</v>
      </c>
      <c r="AE1044" s="295">
        <v>1.13557</v>
      </c>
      <c r="AF1044" s="295">
        <v>1.1279189999999999</v>
      </c>
      <c r="AG1044" s="295">
        <v>1.1217159999999999</v>
      </c>
      <c r="AH1044" s="296">
        <v>-5.176E-3</v>
      </c>
    </row>
    <row r="1045" spans="1:34" ht="15" customHeight="1" x14ac:dyDescent="0.25">
      <c r="A1045" s="213" t="s">
        <v>1842</v>
      </c>
      <c r="B1045" s="294" t="s">
        <v>1762</v>
      </c>
      <c r="C1045" s="295">
        <v>5.4863000000000002E-2</v>
      </c>
      <c r="D1045" s="295">
        <v>4.4329E-2</v>
      </c>
      <c r="E1045" s="295">
        <v>4.4401000000000003E-2</v>
      </c>
      <c r="F1045" s="295">
        <v>5.3067000000000003E-2</v>
      </c>
      <c r="G1045" s="295">
        <v>5.1877E-2</v>
      </c>
      <c r="H1045" s="295">
        <v>4.7788999999999998E-2</v>
      </c>
      <c r="I1045" s="295">
        <v>4.6751000000000001E-2</v>
      </c>
      <c r="J1045" s="295">
        <v>4.4991000000000003E-2</v>
      </c>
      <c r="K1045" s="295">
        <v>4.2549999999999998E-2</v>
      </c>
      <c r="L1045" s="295">
        <v>4.0343999999999998E-2</v>
      </c>
      <c r="M1045" s="295">
        <v>3.9849999999999997E-2</v>
      </c>
      <c r="N1045" s="295">
        <v>3.9282999999999998E-2</v>
      </c>
      <c r="O1045" s="295">
        <v>3.8261000000000003E-2</v>
      </c>
      <c r="P1045" s="295">
        <v>3.7102000000000003E-2</v>
      </c>
      <c r="Q1045" s="295">
        <v>3.6643000000000002E-2</v>
      </c>
      <c r="R1045" s="295">
        <v>3.6266E-2</v>
      </c>
      <c r="S1045" s="295">
        <v>3.5506000000000003E-2</v>
      </c>
      <c r="T1045" s="295">
        <v>3.5118000000000003E-2</v>
      </c>
      <c r="U1045" s="295">
        <v>3.4959999999999998E-2</v>
      </c>
      <c r="V1045" s="295">
        <v>3.4626999999999998E-2</v>
      </c>
      <c r="W1045" s="295">
        <v>3.3647999999999997E-2</v>
      </c>
      <c r="X1045" s="295">
        <v>3.3293000000000003E-2</v>
      </c>
      <c r="Y1045" s="295">
        <v>3.3570999999999997E-2</v>
      </c>
      <c r="Z1045" s="295">
        <v>3.3592999999999998E-2</v>
      </c>
      <c r="AA1045" s="295">
        <v>3.2806000000000002E-2</v>
      </c>
      <c r="AB1045" s="295">
        <v>3.2282999999999999E-2</v>
      </c>
      <c r="AC1045" s="295">
        <v>3.1739000000000003E-2</v>
      </c>
      <c r="AD1045" s="295">
        <v>3.116E-2</v>
      </c>
      <c r="AE1045" s="295">
        <v>3.0894999999999999E-2</v>
      </c>
      <c r="AF1045" s="295">
        <v>3.0318000000000001E-2</v>
      </c>
      <c r="AG1045" s="295">
        <v>3.0335000000000001E-2</v>
      </c>
      <c r="AH1045" s="296">
        <v>-1.9557999999999999E-2</v>
      </c>
    </row>
    <row r="1046" spans="1:34" ht="15" customHeight="1" x14ac:dyDescent="0.25">
      <c r="A1046" s="213" t="s">
        <v>1843</v>
      </c>
      <c r="B1046" s="294" t="s">
        <v>1093</v>
      </c>
      <c r="C1046" s="295">
        <v>5.9388000000000003E-2</v>
      </c>
      <c r="D1046" s="295">
        <v>5.7241E-2</v>
      </c>
      <c r="E1046" s="295">
        <v>5.4057000000000001E-2</v>
      </c>
      <c r="F1046" s="295">
        <v>5.3405000000000001E-2</v>
      </c>
      <c r="G1046" s="295">
        <v>5.2323000000000001E-2</v>
      </c>
      <c r="H1046" s="295">
        <v>5.0985999999999997E-2</v>
      </c>
      <c r="I1046" s="295">
        <v>4.9806999999999997E-2</v>
      </c>
      <c r="J1046" s="295">
        <v>4.8661000000000003E-2</v>
      </c>
      <c r="K1046" s="295">
        <v>4.7480000000000001E-2</v>
      </c>
      <c r="L1046" s="295">
        <v>4.6413999999999997E-2</v>
      </c>
      <c r="M1046" s="295">
        <v>4.5465999999999999E-2</v>
      </c>
      <c r="N1046" s="295">
        <v>4.4497000000000002E-2</v>
      </c>
      <c r="O1046" s="295">
        <v>4.3390999999999999E-2</v>
      </c>
      <c r="P1046" s="295">
        <v>4.2333000000000003E-2</v>
      </c>
      <c r="Q1046" s="295">
        <v>4.1224999999999998E-2</v>
      </c>
      <c r="R1046" s="295">
        <v>4.0654000000000003E-2</v>
      </c>
      <c r="S1046" s="295">
        <v>4.0114999999999998E-2</v>
      </c>
      <c r="T1046" s="295">
        <v>3.9621000000000003E-2</v>
      </c>
      <c r="U1046" s="295">
        <v>3.9126000000000001E-2</v>
      </c>
      <c r="V1046" s="295">
        <v>3.8608999999999997E-2</v>
      </c>
      <c r="W1046" s="295">
        <v>3.8102999999999998E-2</v>
      </c>
      <c r="X1046" s="295">
        <v>3.7616999999999998E-2</v>
      </c>
      <c r="Y1046" s="295">
        <v>3.7608000000000003E-2</v>
      </c>
      <c r="Z1046" s="295">
        <v>3.7678999999999997E-2</v>
      </c>
      <c r="AA1046" s="295">
        <v>3.7766000000000001E-2</v>
      </c>
      <c r="AB1046" s="295">
        <v>3.8177000000000003E-2</v>
      </c>
      <c r="AC1046" s="295">
        <v>3.7874999999999999E-2</v>
      </c>
      <c r="AD1046" s="295">
        <v>3.7471999999999998E-2</v>
      </c>
      <c r="AE1046" s="295">
        <v>3.7071E-2</v>
      </c>
      <c r="AF1046" s="295">
        <v>3.6694999999999998E-2</v>
      </c>
      <c r="AG1046" s="295">
        <v>3.6333999999999998E-2</v>
      </c>
      <c r="AH1046" s="296">
        <v>-1.6244999999999999E-2</v>
      </c>
    </row>
    <row r="1047" spans="1:34" ht="15" customHeight="1" x14ac:dyDescent="0.25">
      <c r="A1047" s="213" t="s">
        <v>1844</v>
      </c>
      <c r="B1047" s="294" t="s">
        <v>1095</v>
      </c>
      <c r="C1047" s="295">
        <v>0</v>
      </c>
      <c r="D1047" s="295">
        <v>0</v>
      </c>
      <c r="E1047" s="295">
        <v>0</v>
      </c>
      <c r="F1047" s="295">
        <v>0</v>
      </c>
      <c r="G1047" s="295">
        <v>0</v>
      </c>
      <c r="H1047" s="295">
        <v>0</v>
      </c>
      <c r="I1047" s="295">
        <v>0</v>
      </c>
      <c r="J1047" s="295">
        <v>0</v>
      </c>
      <c r="K1047" s="295">
        <v>0</v>
      </c>
      <c r="L1047" s="295">
        <v>0</v>
      </c>
      <c r="M1047" s="295">
        <v>0</v>
      </c>
      <c r="N1047" s="295">
        <v>0</v>
      </c>
      <c r="O1047" s="295">
        <v>0</v>
      </c>
      <c r="P1047" s="295">
        <v>0</v>
      </c>
      <c r="Q1047" s="295">
        <v>0</v>
      </c>
      <c r="R1047" s="295">
        <v>0</v>
      </c>
      <c r="S1047" s="295">
        <v>0</v>
      </c>
      <c r="T1047" s="295">
        <v>0</v>
      </c>
      <c r="U1047" s="295">
        <v>0</v>
      </c>
      <c r="V1047" s="295">
        <v>0</v>
      </c>
      <c r="W1047" s="295">
        <v>0</v>
      </c>
      <c r="X1047" s="295">
        <v>0</v>
      </c>
      <c r="Y1047" s="295">
        <v>0</v>
      </c>
      <c r="Z1047" s="295">
        <v>0</v>
      </c>
      <c r="AA1047" s="295">
        <v>0</v>
      </c>
      <c r="AB1047" s="295">
        <v>0</v>
      </c>
      <c r="AC1047" s="295">
        <v>0</v>
      </c>
      <c r="AD1047" s="295">
        <v>0</v>
      </c>
      <c r="AE1047" s="295">
        <v>0</v>
      </c>
      <c r="AF1047" s="295">
        <v>0</v>
      </c>
      <c r="AG1047" s="295">
        <v>0</v>
      </c>
      <c r="AH1047" s="296" t="s">
        <v>635</v>
      </c>
    </row>
    <row r="1048" spans="1:34" ht="15" customHeight="1" x14ac:dyDescent="0.25">
      <c r="A1048" s="213" t="s">
        <v>1845</v>
      </c>
      <c r="B1048" s="294" t="s">
        <v>1099</v>
      </c>
      <c r="C1048" s="295">
        <v>0.11425200000000001</v>
      </c>
      <c r="D1048" s="295">
        <v>0.10156999999999999</v>
      </c>
      <c r="E1048" s="295">
        <v>9.8458000000000004E-2</v>
      </c>
      <c r="F1048" s="295">
        <v>0.106472</v>
      </c>
      <c r="G1048" s="295">
        <v>0.1042</v>
      </c>
      <c r="H1048" s="295">
        <v>9.8776000000000003E-2</v>
      </c>
      <c r="I1048" s="295">
        <v>9.6558000000000005E-2</v>
      </c>
      <c r="J1048" s="295">
        <v>9.3653E-2</v>
      </c>
      <c r="K1048" s="295">
        <v>9.0029999999999999E-2</v>
      </c>
      <c r="L1048" s="295">
        <v>8.6759000000000003E-2</v>
      </c>
      <c r="M1048" s="295">
        <v>8.5316000000000003E-2</v>
      </c>
      <c r="N1048" s="295">
        <v>8.3779999999999993E-2</v>
      </c>
      <c r="O1048" s="295">
        <v>8.1652000000000002E-2</v>
      </c>
      <c r="P1048" s="295">
        <v>7.9435000000000006E-2</v>
      </c>
      <c r="Q1048" s="295">
        <v>7.7868000000000007E-2</v>
      </c>
      <c r="R1048" s="295">
        <v>7.6920000000000002E-2</v>
      </c>
      <c r="S1048" s="295">
        <v>7.5621999999999995E-2</v>
      </c>
      <c r="T1048" s="295">
        <v>7.4739E-2</v>
      </c>
      <c r="U1048" s="295">
        <v>7.4085999999999999E-2</v>
      </c>
      <c r="V1048" s="295">
        <v>7.3234999999999995E-2</v>
      </c>
      <c r="W1048" s="295">
        <v>7.1749999999999994E-2</v>
      </c>
      <c r="X1048" s="295">
        <v>7.0910000000000001E-2</v>
      </c>
      <c r="Y1048" s="295">
        <v>7.1179000000000006E-2</v>
      </c>
      <c r="Z1048" s="295">
        <v>7.1272000000000002E-2</v>
      </c>
      <c r="AA1048" s="295">
        <v>7.0571999999999996E-2</v>
      </c>
      <c r="AB1048" s="295">
        <v>7.0458999999999994E-2</v>
      </c>
      <c r="AC1048" s="295">
        <v>6.9613999999999995E-2</v>
      </c>
      <c r="AD1048" s="295">
        <v>6.8631999999999999E-2</v>
      </c>
      <c r="AE1048" s="295">
        <v>6.7965999999999999E-2</v>
      </c>
      <c r="AF1048" s="295">
        <v>6.7012000000000002E-2</v>
      </c>
      <c r="AG1048" s="295">
        <v>6.6669000000000006E-2</v>
      </c>
      <c r="AH1048" s="296">
        <v>-1.7794999999999998E-2</v>
      </c>
    </row>
    <row r="1049" spans="1:34" ht="15" customHeight="1" x14ac:dyDescent="0.25">
      <c r="A1049" s="213" t="s">
        <v>1846</v>
      </c>
      <c r="B1049" s="294" t="s">
        <v>1101</v>
      </c>
      <c r="C1049" s="295">
        <v>0.11078</v>
      </c>
      <c r="D1049" s="295">
        <v>0.105213</v>
      </c>
      <c r="E1049" s="295">
        <v>0.100728</v>
      </c>
      <c r="F1049" s="295">
        <v>9.9722000000000005E-2</v>
      </c>
      <c r="G1049" s="295">
        <v>9.8359000000000002E-2</v>
      </c>
      <c r="H1049" s="295">
        <v>9.708E-2</v>
      </c>
      <c r="I1049" s="295">
        <v>9.5945000000000003E-2</v>
      </c>
      <c r="J1049" s="295">
        <v>9.4961000000000004E-2</v>
      </c>
      <c r="K1049" s="295">
        <v>9.4118999999999994E-2</v>
      </c>
      <c r="L1049" s="295">
        <v>9.3350000000000002E-2</v>
      </c>
      <c r="M1049" s="295">
        <v>9.2678999999999997E-2</v>
      </c>
      <c r="N1049" s="295">
        <v>9.2402999999999999E-2</v>
      </c>
      <c r="O1049" s="295">
        <v>9.1567999999999997E-2</v>
      </c>
      <c r="P1049" s="295">
        <v>9.0885999999999995E-2</v>
      </c>
      <c r="Q1049" s="295">
        <v>9.0176000000000006E-2</v>
      </c>
      <c r="R1049" s="295">
        <v>8.9491000000000001E-2</v>
      </c>
      <c r="S1049" s="295">
        <v>8.8853000000000001E-2</v>
      </c>
      <c r="T1049" s="295">
        <v>8.8273000000000004E-2</v>
      </c>
      <c r="U1049" s="295">
        <v>8.7580000000000005E-2</v>
      </c>
      <c r="V1049" s="295">
        <v>8.6992E-2</v>
      </c>
      <c r="W1049" s="295">
        <v>8.6530999999999997E-2</v>
      </c>
      <c r="X1049" s="295">
        <v>8.5890999999999995E-2</v>
      </c>
      <c r="Y1049" s="295">
        <v>8.5218000000000002E-2</v>
      </c>
      <c r="Z1049" s="295">
        <v>8.4582000000000004E-2</v>
      </c>
      <c r="AA1049" s="295">
        <v>8.4065000000000001E-2</v>
      </c>
      <c r="AB1049" s="295">
        <v>8.4015000000000006E-2</v>
      </c>
      <c r="AC1049" s="295">
        <v>8.3224000000000006E-2</v>
      </c>
      <c r="AD1049" s="295">
        <v>8.3511000000000002E-2</v>
      </c>
      <c r="AE1049" s="295">
        <v>8.3091999999999999E-2</v>
      </c>
      <c r="AF1049" s="295">
        <v>8.2651000000000002E-2</v>
      </c>
      <c r="AG1049" s="295">
        <v>8.2228999999999997E-2</v>
      </c>
      <c r="AH1049" s="296">
        <v>-9.8849999999999997E-3</v>
      </c>
    </row>
    <row r="1050" spans="1:34" ht="15" customHeight="1" x14ac:dyDescent="0.25">
      <c r="A1050" s="213" t="s">
        <v>1847</v>
      </c>
      <c r="B1050" s="294" t="s">
        <v>1766</v>
      </c>
      <c r="C1050" s="295">
        <v>0.18734500000000001</v>
      </c>
      <c r="D1050" s="295">
        <v>0.18262400000000001</v>
      </c>
      <c r="E1050" s="295">
        <v>0.18182499999999999</v>
      </c>
      <c r="F1050" s="295">
        <v>0.17965200000000001</v>
      </c>
      <c r="G1050" s="295">
        <v>0.177593</v>
      </c>
      <c r="H1050" s="295">
        <v>0.17522599999999999</v>
      </c>
      <c r="I1050" s="295">
        <v>0.1734</v>
      </c>
      <c r="J1050" s="295">
        <v>0.17174600000000001</v>
      </c>
      <c r="K1050" s="295">
        <v>0.16989299999999999</v>
      </c>
      <c r="L1050" s="295">
        <v>0.16834299999999999</v>
      </c>
      <c r="M1050" s="295">
        <v>0.167127</v>
      </c>
      <c r="N1050" s="295">
        <v>0.16580900000000001</v>
      </c>
      <c r="O1050" s="295">
        <v>0.164133</v>
      </c>
      <c r="P1050" s="295">
        <v>0.16211500000000001</v>
      </c>
      <c r="Q1050" s="295">
        <v>0.15972800000000001</v>
      </c>
      <c r="R1050" s="295">
        <v>0.158137</v>
      </c>
      <c r="S1050" s="295">
        <v>0.15670999999999999</v>
      </c>
      <c r="T1050" s="295">
        <v>0.15543999999999999</v>
      </c>
      <c r="U1050" s="295">
        <v>0.15437899999999999</v>
      </c>
      <c r="V1050" s="295">
        <v>0.15323800000000001</v>
      </c>
      <c r="W1050" s="295">
        <v>0.15213199999999999</v>
      </c>
      <c r="X1050" s="295">
        <v>0.15117800000000001</v>
      </c>
      <c r="Y1050" s="295">
        <v>0.15015200000000001</v>
      </c>
      <c r="Z1050" s="295">
        <v>0.149202</v>
      </c>
      <c r="AA1050" s="295">
        <v>0.14835699999999999</v>
      </c>
      <c r="AB1050" s="295">
        <v>0.14774000000000001</v>
      </c>
      <c r="AC1050" s="295">
        <v>0.14716000000000001</v>
      </c>
      <c r="AD1050" s="295">
        <v>0.146845</v>
      </c>
      <c r="AE1050" s="295">
        <v>0.146319</v>
      </c>
      <c r="AF1050" s="295">
        <v>0.145841</v>
      </c>
      <c r="AG1050" s="295">
        <v>0.145403</v>
      </c>
      <c r="AH1050" s="296">
        <v>-8.4130000000000003E-3</v>
      </c>
    </row>
    <row r="1051" spans="1:34" ht="15" customHeight="1" x14ac:dyDescent="0.25">
      <c r="A1051" s="213" t="s">
        <v>1848</v>
      </c>
      <c r="B1051" s="294" t="s">
        <v>1045</v>
      </c>
      <c r="C1051" s="295">
        <v>0.375496</v>
      </c>
      <c r="D1051" s="295">
        <v>0.36227500000000001</v>
      </c>
      <c r="E1051" s="295">
        <v>0.36504199999999998</v>
      </c>
      <c r="F1051" s="295">
        <v>0.36747299999999999</v>
      </c>
      <c r="G1051" s="295">
        <v>0.36782500000000001</v>
      </c>
      <c r="H1051" s="295">
        <v>0.36799399999999999</v>
      </c>
      <c r="I1051" s="295">
        <v>0.36728699999999997</v>
      </c>
      <c r="J1051" s="295">
        <v>0.36621199999999998</v>
      </c>
      <c r="K1051" s="295">
        <v>0.36454500000000001</v>
      </c>
      <c r="L1051" s="295">
        <v>0.36311900000000003</v>
      </c>
      <c r="M1051" s="295">
        <v>0.36207699999999998</v>
      </c>
      <c r="N1051" s="295">
        <v>0.360344</v>
      </c>
      <c r="O1051" s="295">
        <v>0.35756399999999999</v>
      </c>
      <c r="P1051" s="295">
        <v>0.35456300000000002</v>
      </c>
      <c r="Q1051" s="295">
        <v>0.35189599999999999</v>
      </c>
      <c r="R1051" s="295">
        <v>0.34900700000000001</v>
      </c>
      <c r="S1051" s="295">
        <v>0.346578</v>
      </c>
      <c r="T1051" s="295">
        <v>0.34420600000000001</v>
      </c>
      <c r="U1051" s="295">
        <v>0.34182400000000002</v>
      </c>
      <c r="V1051" s="295">
        <v>0.339451</v>
      </c>
      <c r="W1051" s="295">
        <v>0.33654899999999999</v>
      </c>
      <c r="X1051" s="295">
        <v>0.33394099999999999</v>
      </c>
      <c r="Y1051" s="295">
        <v>0.33180199999999999</v>
      </c>
      <c r="Z1051" s="295">
        <v>0.32959899999999998</v>
      </c>
      <c r="AA1051" s="295">
        <v>0.32686900000000002</v>
      </c>
      <c r="AB1051" s="295">
        <v>0.32433000000000001</v>
      </c>
      <c r="AC1051" s="295">
        <v>0.32189699999999999</v>
      </c>
      <c r="AD1051" s="295">
        <v>0.31947500000000001</v>
      </c>
      <c r="AE1051" s="295">
        <v>0.31696200000000002</v>
      </c>
      <c r="AF1051" s="295">
        <v>0.31448399999999999</v>
      </c>
      <c r="AG1051" s="295">
        <v>0.312199</v>
      </c>
      <c r="AH1051" s="296">
        <v>-6.1349999999999998E-3</v>
      </c>
    </row>
    <row r="1052" spans="1:34" ht="15" customHeight="1" x14ac:dyDescent="0.2">
      <c r="A1052" s="213" t="s">
        <v>1849</v>
      </c>
      <c r="B1052" s="204" t="s">
        <v>1047</v>
      </c>
      <c r="C1052" s="205">
        <v>3.1179130000000002</v>
      </c>
      <c r="D1052" s="205">
        <v>3.077909</v>
      </c>
      <c r="E1052" s="205">
        <v>3.049922</v>
      </c>
      <c r="F1052" s="205">
        <v>3.0724290000000001</v>
      </c>
      <c r="G1052" s="205">
        <v>3.0788880000000001</v>
      </c>
      <c r="H1052" s="205">
        <v>3.0750630000000001</v>
      </c>
      <c r="I1052" s="205">
        <v>3.0686740000000001</v>
      </c>
      <c r="J1052" s="205">
        <v>3.0461580000000001</v>
      </c>
      <c r="K1052" s="205">
        <v>3.032054</v>
      </c>
      <c r="L1052" s="205">
        <v>3.0221789999999999</v>
      </c>
      <c r="M1052" s="205">
        <v>3.0105659999999999</v>
      </c>
      <c r="N1052" s="205">
        <v>2.9969860000000001</v>
      </c>
      <c r="O1052" s="205">
        <v>2.9765570000000001</v>
      </c>
      <c r="P1052" s="205">
        <v>2.955676</v>
      </c>
      <c r="Q1052" s="205">
        <v>2.9381029999999999</v>
      </c>
      <c r="R1052" s="205">
        <v>2.9188670000000001</v>
      </c>
      <c r="S1052" s="205">
        <v>2.902533</v>
      </c>
      <c r="T1052" s="205">
        <v>2.8889740000000002</v>
      </c>
      <c r="U1052" s="205">
        <v>2.8715310000000001</v>
      </c>
      <c r="V1052" s="205">
        <v>2.8540589999999999</v>
      </c>
      <c r="W1052" s="205">
        <v>2.8331279999999999</v>
      </c>
      <c r="X1052" s="205">
        <v>2.810918</v>
      </c>
      <c r="Y1052" s="205">
        <v>2.794035</v>
      </c>
      <c r="Z1052" s="205">
        <v>2.7754650000000001</v>
      </c>
      <c r="AA1052" s="205">
        <v>2.7530139999999999</v>
      </c>
      <c r="AB1052" s="205">
        <v>2.7328640000000002</v>
      </c>
      <c r="AC1052" s="205">
        <v>2.7156189999999998</v>
      </c>
      <c r="AD1052" s="205">
        <v>2.7004480000000002</v>
      </c>
      <c r="AE1052" s="205">
        <v>2.6835059999999999</v>
      </c>
      <c r="AF1052" s="205">
        <v>2.6668150000000002</v>
      </c>
      <c r="AG1052" s="205">
        <v>2.6531660000000001</v>
      </c>
      <c r="AH1052" s="206">
        <v>-5.3660000000000001E-3</v>
      </c>
    </row>
    <row r="1053" spans="1:34" ht="15" customHeight="1" x14ac:dyDescent="0.25">
      <c r="A1053" s="213" t="s">
        <v>1850</v>
      </c>
      <c r="B1053" s="294" t="s">
        <v>1049</v>
      </c>
      <c r="C1053" s="295">
        <v>0.69989999999999997</v>
      </c>
      <c r="D1053" s="295">
        <v>0.67455399999999999</v>
      </c>
      <c r="E1053" s="295">
        <v>0.68282900000000002</v>
      </c>
      <c r="F1053" s="295">
        <v>0.67372900000000002</v>
      </c>
      <c r="G1053" s="295">
        <v>0.66095599999999999</v>
      </c>
      <c r="H1053" s="295">
        <v>0.64263599999999999</v>
      </c>
      <c r="I1053" s="295">
        <v>0.62390699999999999</v>
      </c>
      <c r="J1053" s="295">
        <v>0.61497999999999997</v>
      </c>
      <c r="K1053" s="295">
        <v>0.60876300000000005</v>
      </c>
      <c r="L1053" s="295">
        <v>0.604128</v>
      </c>
      <c r="M1053" s="295">
        <v>0.601101</v>
      </c>
      <c r="N1053" s="295">
        <v>0.59679199999999999</v>
      </c>
      <c r="O1053" s="295">
        <v>0.58873200000000003</v>
      </c>
      <c r="P1053" s="295">
        <v>0.58154300000000003</v>
      </c>
      <c r="Q1053" s="295">
        <v>0.57417600000000002</v>
      </c>
      <c r="R1053" s="295">
        <v>0.56783700000000004</v>
      </c>
      <c r="S1053" s="295">
        <v>0.56190300000000004</v>
      </c>
      <c r="T1053" s="295">
        <v>0.55624399999999996</v>
      </c>
      <c r="U1053" s="295">
        <v>0.549346</v>
      </c>
      <c r="V1053" s="295">
        <v>0.54268099999999997</v>
      </c>
      <c r="W1053" s="295">
        <v>0.53556800000000004</v>
      </c>
      <c r="X1053" s="295">
        <v>0.52972699999999995</v>
      </c>
      <c r="Y1053" s="295">
        <v>0.52471400000000001</v>
      </c>
      <c r="Z1053" s="295">
        <v>0.51918600000000004</v>
      </c>
      <c r="AA1053" s="295">
        <v>0.51272899999999999</v>
      </c>
      <c r="AB1053" s="295">
        <v>0.50656999999999996</v>
      </c>
      <c r="AC1053" s="295">
        <v>0.50100299999999998</v>
      </c>
      <c r="AD1053" s="295">
        <v>0.495755</v>
      </c>
      <c r="AE1053" s="295">
        <v>0.49102699999999999</v>
      </c>
      <c r="AF1053" s="295">
        <v>0.48582900000000001</v>
      </c>
      <c r="AG1053" s="295">
        <v>0.48031600000000002</v>
      </c>
      <c r="AH1053" s="296">
        <v>-1.2470999999999999E-2</v>
      </c>
    </row>
    <row r="1054" spans="1:34" ht="15" customHeight="1" x14ac:dyDescent="0.2">
      <c r="A1054" s="213" t="s">
        <v>1851</v>
      </c>
      <c r="B1054" s="204" t="s">
        <v>179</v>
      </c>
      <c r="C1054" s="205">
        <v>3.8178130000000001</v>
      </c>
      <c r="D1054" s="205">
        <v>3.7524639999999998</v>
      </c>
      <c r="E1054" s="205">
        <v>3.7327509999999999</v>
      </c>
      <c r="F1054" s="205">
        <v>3.7461579999999999</v>
      </c>
      <c r="G1054" s="205">
        <v>3.7398440000000002</v>
      </c>
      <c r="H1054" s="205">
        <v>3.7176990000000001</v>
      </c>
      <c r="I1054" s="205">
        <v>3.6925819999999998</v>
      </c>
      <c r="J1054" s="205">
        <v>3.6611379999999998</v>
      </c>
      <c r="K1054" s="205">
        <v>3.6408170000000002</v>
      </c>
      <c r="L1054" s="205">
        <v>3.6263070000000002</v>
      </c>
      <c r="M1054" s="205">
        <v>3.6116679999999999</v>
      </c>
      <c r="N1054" s="205">
        <v>3.5937770000000002</v>
      </c>
      <c r="O1054" s="205">
        <v>3.5652889999999999</v>
      </c>
      <c r="P1054" s="205">
        <v>3.5372189999999999</v>
      </c>
      <c r="Q1054" s="205">
        <v>3.5122789999999999</v>
      </c>
      <c r="R1054" s="205">
        <v>3.486704</v>
      </c>
      <c r="S1054" s="205">
        <v>3.4644360000000001</v>
      </c>
      <c r="T1054" s="205">
        <v>3.4452189999999998</v>
      </c>
      <c r="U1054" s="205">
        <v>3.4208769999999999</v>
      </c>
      <c r="V1054" s="205">
        <v>3.3967390000000002</v>
      </c>
      <c r="W1054" s="205">
        <v>3.3686959999999999</v>
      </c>
      <c r="X1054" s="205">
        <v>3.3406440000000002</v>
      </c>
      <c r="Y1054" s="205">
        <v>3.3187479999999998</v>
      </c>
      <c r="Z1054" s="205">
        <v>3.294651</v>
      </c>
      <c r="AA1054" s="205">
        <v>3.2657430000000001</v>
      </c>
      <c r="AB1054" s="205">
        <v>3.2394340000000001</v>
      </c>
      <c r="AC1054" s="205">
        <v>3.216621</v>
      </c>
      <c r="AD1054" s="205">
        <v>3.1962030000000001</v>
      </c>
      <c r="AE1054" s="205">
        <v>3.1745320000000001</v>
      </c>
      <c r="AF1054" s="205">
        <v>3.152644</v>
      </c>
      <c r="AG1054" s="205">
        <v>3.1334819999999999</v>
      </c>
      <c r="AH1054" s="206">
        <v>-6.5630000000000003E-3</v>
      </c>
    </row>
    <row r="1056" spans="1:34" ht="15" customHeight="1" x14ac:dyDescent="0.2">
      <c r="B1056" s="204" t="s">
        <v>1852</v>
      </c>
    </row>
    <row r="1057" spans="1:34" ht="15" customHeight="1" x14ac:dyDescent="0.25">
      <c r="A1057" s="213" t="s">
        <v>1853</v>
      </c>
      <c r="B1057" s="294" t="s">
        <v>1854</v>
      </c>
      <c r="C1057" s="298">
        <v>27.09798</v>
      </c>
      <c r="D1057" s="298">
        <v>27.696961999999999</v>
      </c>
      <c r="E1057" s="298">
        <v>28.148271999999999</v>
      </c>
      <c r="F1057" s="298">
        <v>28.375133999999999</v>
      </c>
      <c r="G1057" s="298">
        <v>28.691378</v>
      </c>
      <c r="H1057" s="298">
        <v>29.015605999999998</v>
      </c>
      <c r="I1057" s="298">
        <v>29.350501999999999</v>
      </c>
      <c r="J1057" s="298">
        <v>29.667045999999999</v>
      </c>
      <c r="K1057" s="298">
        <v>29.979043999999998</v>
      </c>
      <c r="L1057" s="298">
        <v>30.293831000000001</v>
      </c>
      <c r="M1057" s="298">
        <v>30.618497999999999</v>
      </c>
      <c r="N1057" s="298">
        <v>30.942806000000001</v>
      </c>
      <c r="O1057" s="298">
        <v>31.253969000000001</v>
      </c>
      <c r="P1057" s="298">
        <v>31.566079999999999</v>
      </c>
      <c r="Q1057" s="298">
        <v>31.890276</v>
      </c>
      <c r="R1057" s="298">
        <v>32.220612000000003</v>
      </c>
      <c r="S1057" s="298">
        <v>32.549747000000004</v>
      </c>
      <c r="T1057" s="298">
        <v>32.899487000000001</v>
      </c>
      <c r="U1057" s="298">
        <v>33.270443</v>
      </c>
      <c r="V1057" s="298">
        <v>33.642322999999998</v>
      </c>
      <c r="W1057" s="298">
        <v>34.00808</v>
      </c>
      <c r="X1057" s="298">
        <v>34.407955000000001</v>
      </c>
      <c r="Y1057" s="298">
        <v>34.861420000000003</v>
      </c>
      <c r="Z1057" s="298">
        <v>35.355392000000002</v>
      </c>
      <c r="AA1057" s="298">
        <v>35.868160000000003</v>
      </c>
      <c r="AB1057" s="298">
        <v>36.420937000000002</v>
      </c>
      <c r="AC1057" s="298">
        <v>37.033306000000003</v>
      </c>
      <c r="AD1057" s="298">
        <v>37.715522999999997</v>
      </c>
      <c r="AE1057" s="298">
        <v>38.442734000000002</v>
      </c>
      <c r="AF1057" s="298">
        <v>39.261997000000001</v>
      </c>
      <c r="AG1057" s="298">
        <v>40.176414000000001</v>
      </c>
      <c r="AH1057" s="296">
        <v>1.3214E-2</v>
      </c>
    </row>
    <row r="1058" spans="1:34" ht="15" customHeight="1" x14ac:dyDescent="0.25">
      <c r="A1058" s="213" t="s">
        <v>1855</v>
      </c>
      <c r="B1058" s="294" t="s">
        <v>1856</v>
      </c>
      <c r="C1058" s="297">
        <v>154.519699</v>
      </c>
      <c r="D1058" s="297">
        <v>157.88275100000001</v>
      </c>
      <c r="E1058" s="297">
        <v>160.21112099999999</v>
      </c>
      <c r="F1058" s="297">
        <v>161.52789300000001</v>
      </c>
      <c r="G1058" s="297">
        <v>163.21722399999999</v>
      </c>
      <c r="H1058" s="297">
        <v>164.950287</v>
      </c>
      <c r="I1058" s="297">
        <v>166.73872399999999</v>
      </c>
      <c r="J1058" s="297">
        <v>168.433121</v>
      </c>
      <c r="K1058" s="297">
        <v>170.10781900000001</v>
      </c>
      <c r="L1058" s="297">
        <v>171.800095</v>
      </c>
      <c r="M1058" s="297">
        <v>172.56295800000001</v>
      </c>
      <c r="N1058" s="297">
        <v>174.32730100000001</v>
      </c>
      <c r="O1058" s="297">
        <v>176.02430699999999</v>
      </c>
      <c r="P1058" s="297">
        <v>177.80110199999999</v>
      </c>
      <c r="Q1058" s="297">
        <v>179.685272</v>
      </c>
      <c r="R1058" s="297">
        <v>181.613663</v>
      </c>
      <c r="S1058" s="297">
        <v>183.65486100000001</v>
      </c>
      <c r="T1058" s="297">
        <v>185.99031099999999</v>
      </c>
      <c r="U1058" s="297">
        <v>188.086288</v>
      </c>
      <c r="V1058" s="297">
        <v>190.12399300000001</v>
      </c>
      <c r="W1058" s="297">
        <v>192.12853999999999</v>
      </c>
      <c r="X1058" s="297">
        <v>194.31707800000001</v>
      </c>
      <c r="Y1058" s="297">
        <v>196.79452499999999</v>
      </c>
      <c r="Z1058" s="297">
        <v>199.492538</v>
      </c>
      <c r="AA1058" s="297">
        <v>202.297043</v>
      </c>
      <c r="AB1058" s="297">
        <v>205.320572</v>
      </c>
      <c r="AC1058" s="297">
        <v>208.674316</v>
      </c>
      <c r="AD1058" s="297">
        <v>212.417755</v>
      </c>
      <c r="AE1058" s="297">
        <v>216.41119399999999</v>
      </c>
      <c r="AF1058" s="297">
        <v>220.919678</v>
      </c>
      <c r="AG1058" s="297">
        <v>225.95727500000001</v>
      </c>
      <c r="AH1058" s="296">
        <v>1.2748000000000001E-2</v>
      </c>
    </row>
    <row r="1059" spans="1:34" ht="15" customHeight="1" thickBot="1" x14ac:dyDescent="0.25"/>
    <row r="1060" spans="1:34" ht="15" customHeight="1" x14ac:dyDescent="0.2">
      <c r="B1060" s="305" t="s">
        <v>1857</v>
      </c>
      <c r="C1060" s="305"/>
      <c r="D1060" s="305"/>
      <c r="E1060" s="305"/>
      <c r="F1060" s="305"/>
      <c r="G1060" s="305"/>
      <c r="H1060" s="305"/>
      <c r="I1060" s="305"/>
      <c r="J1060" s="305"/>
      <c r="K1060" s="305"/>
      <c r="L1060" s="305"/>
      <c r="M1060" s="305"/>
      <c r="N1060" s="305"/>
      <c r="O1060" s="305"/>
      <c r="P1060" s="305"/>
      <c r="Q1060" s="305"/>
      <c r="R1060" s="305"/>
      <c r="S1060" s="305"/>
      <c r="T1060" s="305"/>
      <c r="U1060" s="305"/>
      <c r="V1060" s="305"/>
      <c r="W1060" s="305"/>
      <c r="X1060" s="305"/>
      <c r="Y1060" s="305"/>
      <c r="Z1060" s="305"/>
      <c r="AA1060" s="305"/>
      <c r="AB1060" s="305"/>
      <c r="AC1060" s="305"/>
      <c r="AD1060" s="305"/>
      <c r="AE1060" s="305"/>
      <c r="AF1060" s="305"/>
      <c r="AG1060" s="305"/>
      <c r="AH1060" s="305"/>
    </row>
    <row r="1061" spans="1:34" ht="15" customHeight="1" x14ac:dyDescent="0.2">
      <c r="B1061" s="208" t="s">
        <v>1858</v>
      </c>
    </row>
    <row r="1062" spans="1:34" ht="15" customHeight="1" x14ac:dyDescent="0.2">
      <c r="B1062" s="208" t="s">
        <v>1859</v>
      </c>
    </row>
    <row r="1063" spans="1:34" ht="15" customHeight="1" x14ac:dyDescent="0.2">
      <c r="B1063" s="208" t="s">
        <v>1860</v>
      </c>
    </row>
    <row r="1064" spans="1:34" ht="15" customHeight="1" x14ac:dyDescent="0.2">
      <c r="B1064" s="208" t="s">
        <v>1861</v>
      </c>
    </row>
    <row r="1065" spans="1:34" ht="15" customHeight="1" x14ac:dyDescent="0.2">
      <c r="B1065" s="208" t="s">
        <v>1862</v>
      </c>
    </row>
    <row r="1066" spans="1:34" ht="15" customHeight="1" x14ac:dyDescent="0.2">
      <c r="B1066" s="208" t="s">
        <v>1863</v>
      </c>
    </row>
    <row r="1067" spans="1:34" ht="15" customHeight="1" x14ac:dyDescent="0.2">
      <c r="B1067" s="208" t="s">
        <v>616</v>
      </c>
    </row>
    <row r="1068" spans="1:34" ht="15" customHeight="1" x14ac:dyDescent="0.2">
      <c r="B1068" s="208" t="s">
        <v>601</v>
      </c>
    </row>
    <row r="1069" spans="1:34" ht="15" customHeight="1" x14ac:dyDescent="0.2">
      <c r="B1069" s="208" t="s">
        <v>1258</v>
      </c>
    </row>
    <row r="1070" spans="1:34" ht="15" customHeight="1" x14ac:dyDescent="0.2">
      <c r="B1070" s="208" t="s">
        <v>1030</v>
      </c>
    </row>
    <row r="1071" spans="1:34" ht="15" customHeight="1" x14ac:dyDescent="0.2">
      <c r="B1071" s="208" t="s">
        <v>1031</v>
      </c>
    </row>
    <row r="1110" spans="1:34" ht="15" customHeight="1" x14ac:dyDescent="0.25">
      <c r="A1110" s="213" t="s">
        <v>1864</v>
      </c>
      <c r="B1110" s="202" t="s">
        <v>1015</v>
      </c>
      <c r="AH1110" s="292" t="s">
        <v>597</v>
      </c>
    </row>
    <row r="1111" spans="1:34" ht="15" customHeight="1" x14ac:dyDescent="0.2">
      <c r="B1111" s="199" t="s">
        <v>124</v>
      </c>
      <c r="AH1111" s="292" t="s">
        <v>598</v>
      </c>
    </row>
    <row r="1112" spans="1:34" ht="15" customHeight="1" x14ac:dyDescent="0.2">
      <c r="B1112" s="199" t="s">
        <v>124</v>
      </c>
      <c r="C1112" s="222" t="s">
        <v>124</v>
      </c>
      <c r="D1112" s="222" t="s">
        <v>124</v>
      </c>
      <c r="E1112" s="222" t="s">
        <v>124</v>
      </c>
      <c r="F1112" s="222" t="s">
        <v>124</v>
      </c>
      <c r="G1112" s="222" t="s">
        <v>124</v>
      </c>
      <c r="H1112" s="222" t="s">
        <v>124</v>
      </c>
      <c r="I1112" s="222" t="s">
        <v>124</v>
      </c>
      <c r="J1112" s="222" t="s">
        <v>124</v>
      </c>
      <c r="K1112" s="222" t="s">
        <v>124</v>
      </c>
      <c r="L1112" s="222" t="s">
        <v>124</v>
      </c>
      <c r="M1112" s="222" t="s">
        <v>124</v>
      </c>
      <c r="N1112" s="222" t="s">
        <v>124</v>
      </c>
      <c r="O1112" s="222" t="s">
        <v>124</v>
      </c>
      <c r="P1112" s="222" t="s">
        <v>124</v>
      </c>
      <c r="Q1112" s="222" t="s">
        <v>124</v>
      </c>
      <c r="R1112" s="222" t="s">
        <v>124</v>
      </c>
      <c r="S1112" s="222" t="s">
        <v>124</v>
      </c>
      <c r="T1112" s="222" t="s">
        <v>124</v>
      </c>
      <c r="U1112" s="222" t="s">
        <v>124</v>
      </c>
      <c r="V1112" s="222" t="s">
        <v>124</v>
      </c>
      <c r="W1112" s="222" t="s">
        <v>124</v>
      </c>
      <c r="X1112" s="222" t="s">
        <v>124</v>
      </c>
      <c r="Y1112" s="222" t="s">
        <v>124</v>
      </c>
      <c r="Z1112" s="222" t="s">
        <v>124</v>
      </c>
      <c r="AA1112" s="222" t="s">
        <v>124</v>
      </c>
      <c r="AB1112" s="222" t="s">
        <v>124</v>
      </c>
      <c r="AC1112" s="222" t="s">
        <v>124</v>
      </c>
      <c r="AD1112" s="222" t="s">
        <v>124</v>
      </c>
      <c r="AE1112" s="222" t="s">
        <v>124</v>
      </c>
      <c r="AF1112" s="222" t="s">
        <v>124</v>
      </c>
      <c r="AG1112" s="222" t="s">
        <v>124</v>
      </c>
      <c r="AH1112" s="292" t="s">
        <v>599</v>
      </c>
    </row>
    <row r="1113" spans="1:34" ht="15" customHeight="1" thickBot="1" x14ac:dyDescent="0.25">
      <c r="B1113" s="200" t="s">
        <v>1387</v>
      </c>
      <c r="C1113" s="200">
        <v>2020</v>
      </c>
      <c r="D1113" s="200">
        <v>2021</v>
      </c>
      <c r="E1113" s="200">
        <v>2022</v>
      </c>
      <c r="F1113" s="200">
        <v>2023</v>
      </c>
      <c r="G1113" s="200">
        <v>2024</v>
      </c>
      <c r="H1113" s="200">
        <v>2025</v>
      </c>
      <c r="I1113" s="200">
        <v>2026</v>
      </c>
      <c r="J1113" s="200">
        <v>2027</v>
      </c>
      <c r="K1113" s="200">
        <v>2028</v>
      </c>
      <c r="L1113" s="200">
        <v>2029</v>
      </c>
      <c r="M1113" s="200">
        <v>2030</v>
      </c>
      <c r="N1113" s="200">
        <v>2031</v>
      </c>
      <c r="O1113" s="200">
        <v>2032</v>
      </c>
      <c r="P1113" s="200">
        <v>2033</v>
      </c>
      <c r="Q1113" s="200">
        <v>2034</v>
      </c>
      <c r="R1113" s="200">
        <v>2035</v>
      </c>
      <c r="S1113" s="200">
        <v>2036</v>
      </c>
      <c r="T1113" s="200">
        <v>2037</v>
      </c>
      <c r="U1113" s="200">
        <v>2038</v>
      </c>
      <c r="V1113" s="200">
        <v>2039</v>
      </c>
      <c r="W1113" s="200">
        <v>2040</v>
      </c>
      <c r="X1113" s="200">
        <v>2041</v>
      </c>
      <c r="Y1113" s="200">
        <v>2042</v>
      </c>
      <c r="Z1113" s="200">
        <v>2043</v>
      </c>
      <c r="AA1113" s="200">
        <v>2044</v>
      </c>
      <c r="AB1113" s="200">
        <v>2045</v>
      </c>
      <c r="AC1113" s="200">
        <v>2046</v>
      </c>
      <c r="AD1113" s="200">
        <v>2047</v>
      </c>
      <c r="AE1113" s="200">
        <v>2048</v>
      </c>
      <c r="AF1113" s="200">
        <v>2049</v>
      </c>
      <c r="AG1113" s="200">
        <v>2050</v>
      </c>
      <c r="AH1113" s="293" t="s">
        <v>600</v>
      </c>
    </row>
    <row r="1114" spans="1:34" ht="15" customHeight="1" thickTop="1" x14ac:dyDescent="0.2"/>
    <row r="1115" spans="1:34" ht="15" customHeight="1" x14ac:dyDescent="0.2">
      <c r="B1115" s="204" t="s">
        <v>1388</v>
      </c>
    </row>
    <row r="1116" spans="1:34" ht="15" customHeight="1" x14ac:dyDescent="0.2">
      <c r="B1116" s="204" t="s">
        <v>1865</v>
      </c>
    </row>
    <row r="1117" spans="1:34" ht="15" customHeight="1" x14ac:dyDescent="0.2">
      <c r="B1117" s="204" t="s">
        <v>1866</v>
      </c>
    </row>
    <row r="1118" spans="1:34" ht="15" customHeight="1" x14ac:dyDescent="0.25">
      <c r="A1118" s="213" t="s">
        <v>1867</v>
      </c>
      <c r="B1118" s="294" t="s">
        <v>1868</v>
      </c>
      <c r="C1118" s="297">
        <v>2626.6779790000001</v>
      </c>
      <c r="D1118" s="297">
        <v>2804.492432</v>
      </c>
      <c r="E1118" s="297">
        <v>2858.8129880000001</v>
      </c>
      <c r="F1118" s="297">
        <v>2917.110107</v>
      </c>
      <c r="G1118" s="297">
        <v>2963.703857</v>
      </c>
      <c r="H1118" s="297">
        <v>3002.0947270000001</v>
      </c>
      <c r="I1118" s="297">
        <v>3034.3623050000001</v>
      </c>
      <c r="J1118" s="297">
        <v>3061.0493160000001</v>
      </c>
      <c r="K1118" s="297">
        <v>3084.9096679999998</v>
      </c>
      <c r="L1118" s="297">
        <v>3103.0109859999998</v>
      </c>
      <c r="M1118" s="297">
        <v>3120.6926269999999</v>
      </c>
      <c r="N1118" s="297">
        <v>3136.2395019999999</v>
      </c>
      <c r="O1118" s="297">
        <v>3150.9326169999999</v>
      </c>
      <c r="P1118" s="297">
        <v>3168.0808109999998</v>
      </c>
      <c r="Q1118" s="297">
        <v>3186.001953</v>
      </c>
      <c r="R1118" s="297">
        <v>3203.6376949999999</v>
      </c>
      <c r="S1118" s="297">
        <v>3219.326172</v>
      </c>
      <c r="T1118" s="297">
        <v>3233.5512699999999</v>
      </c>
      <c r="U1118" s="297">
        <v>3247.3491210000002</v>
      </c>
      <c r="V1118" s="297">
        <v>3262.475586</v>
      </c>
      <c r="W1118" s="297">
        <v>3278.1274410000001</v>
      </c>
      <c r="X1118" s="297">
        <v>3292.5410160000001</v>
      </c>
      <c r="Y1118" s="297">
        <v>3308.7910160000001</v>
      </c>
      <c r="Z1118" s="297">
        <v>3326.4328609999998</v>
      </c>
      <c r="AA1118" s="297">
        <v>3344.1987300000001</v>
      </c>
      <c r="AB1118" s="297">
        <v>3360.4956050000001</v>
      </c>
      <c r="AC1118" s="297">
        <v>3376.7004390000002</v>
      </c>
      <c r="AD1118" s="297">
        <v>3393.0124510000001</v>
      </c>
      <c r="AE1118" s="297">
        <v>3410.226807</v>
      </c>
      <c r="AF1118" s="297">
        <v>3428.3679200000001</v>
      </c>
      <c r="AG1118" s="297">
        <v>3446.0715329999998</v>
      </c>
      <c r="AH1118" s="296">
        <v>9.0919999999999994E-3</v>
      </c>
    </row>
    <row r="1119" spans="1:34" ht="15" customHeight="1" x14ac:dyDescent="0.25">
      <c r="A1119" s="213" t="s">
        <v>1869</v>
      </c>
      <c r="B1119" s="294" t="s">
        <v>1870</v>
      </c>
      <c r="C1119" s="297">
        <v>89.861816000000005</v>
      </c>
      <c r="D1119" s="297">
        <v>93.654860999999997</v>
      </c>
      <c r="E1119" s="297">
        <v>96.272841999999997</v>
      </c>
      <c r="F1119" s="297">
        <v>97.802764999999994</v>
      </c>
      <c r="G1119" s="297">
        <v>99.407425000000003</v>
      </c>
      <c r="H1119" s="297">
        <v>101.18590500000001</v>
      </c>
      <c r="I1119" s="297">
        <v>102.586533</v>
      </c>
      <c r="J1119" s="297">
        <v>103.84103399999999</v>
      </c>
      <c r="K1119" s="297">
        <v>104.95002700000001</v>
      </c>
      <c r="L1119" s="297">
        <v>105.957863</v>
      </c>
      <c r="M1119" s="297">
        <v>107.063385</v>
      </c>
      <c r="N1119" s="297">
        <v>108.295609</v>
      </c>
      <c r="O1119" s="297">
        <v>109.475731</v>
      </c>
      <c r="P1119" s="297">
        <v>110.69873</v>
      </c>
      <c r="Q1119" s="297">
        <v>112.07637800000001</v>
      </c>
      <c r="R1119" s="297">
        <v>113.473152</v>
      </c>
      <c r="S1119" s="297">
        <v>114.704262</v>
      </c>
      <c r="T1119" s="297">
        <v>115.894623</v>
      </c>
      <c r="U1119" s="297">
        <v>117.21953600000001</v>
      </c>
      <c r="V1119" s="297">
        <v>118.542191</v>
      </c>
      <c r="W1119" s="297">
        <v>119.819588</v>
      </c>
      <c r="X1119" s="297">
        <v>121.274879</v>
      </c>
      <c r="Y1119" s="297">
        <v>122.905472</v>
      </c>
      <c r="Z1119" s="297">
        <v>124.61048099999999</v>
      </c>
      <c r="AA1119" s="297">
        <v>126.242645</v>
      </c>
      <c r="AB1119" s="297">
        <v>127.823654</v>
      </c>
      <c r="AC1119" s="297">
        <v>129.36599699999999</v>
      </c>
      <c r="AD1119" s="297">
        <v>130.875137</v>
      </c>
      <c r="AE1119" s="297">
        <v>132.50619499999999</v>
      </c>
      <c r="AF1119" s="297">
        <v>134.27307099999999</v>
      </c>
      <c r="AG1119" s="297">
        <v>136.06295800000001</v>
      </c>
      <c r="AH1119" s="296">
        <v>1.3924000000000001E-2</v>
      </c>
    </row>
    <row r="1120" spans="1:34" ht="15" customHeight="1" x14ac:dyDescent="0.25">
      <c r="A1120" s="213" t="s">
        <v>1871</v>
      </c>
      <c r="B1120" s="294" t="s">
        <v>1872</v>
      </c>
      <c r="C1120" s="297">
        <v>274.54940800000003</v>
      </c>
      <c r="D1120" s="297">
        <v>282.54144300000002</v>
      </c>
      <c r="E1120" s="297">
        <v>292.69827299999997</v>
      </c>
      <c r="F1120" s="297">
        <v>296.45275900000001</v>
      </c>
      <c r="G1120" s="297">
        <v>300.847443</v>
      </c>
      <c r="H1120" s="297">
        <v>306.24206500000003</v>
      </c>
      <c r="I1120" s="297">
        <v>309.798767</v>
      </c>
      <c r="J1120" s="297">
        <v>313.02496300000001</v>
      </c>
      <c r="K1120" s="297">
        <v>316.33166499999999</v>
      </c>
      <c r="L1120" s="297">
        <v>319.796783</v>
      </c>
      <c r="M1120" s="297">
        <v>323.91030899999998</v>
      </c>
      <c r="N1120" s="297">
        <v>328.24362200000002</v>
      </c>
      <c r="O1120" s="297">
        <v>332.143463</v>
      </c>
      <c r="P1120" s="297">
        <v>336.06887799999998</v>
      </c>
      <c r="Q1120" s="297">
        <v>340.35537699999998</v>
      </c>
      <c r="R1120" s="297">
        <v>344.79953</v>
      </c>
      <c r="S1120" s="297">
        <v>348.69607500000001</v>
      </c>
      <c r="T1120" s="297">
        <v>352.702271</v>
      </c>
      <c r="U1120" s="297">
        <v>357.27691700000003</v>
      </c>
      <c r="V1120" s="297">
        <v>361.65835600000003</v>
      </c>
      <c r="W1120" s="297">
        <v>365.64315800000003</v>
      </c>
      <c r="X1120" s="297">
        <v>370.539062</v>
      </c>
      <c r="Y1120" s="297">
        <v>376.26586900000001</v>
      </c>
      <c r="Z1120" s="297">
        <v>382.11099200000001</v>
      </c>
      <c r="AA1120" s="297">
        <v>387.350708</v>
      </c>
      <c r="AB1120" s="297">
        <v>392.57406600000002</v>
      </c>
      <c r="AC1120" s="297">
        <v>397.848297</v>
      </c>
      <c r="AD1120" s="297">
        <v>403.028839</v>
      </c>
      <c r="AE1120" s="297">
        <v>408.59039300000001</v>
      </c>
      <c r="AF1120" s="297">
        <v>414.45895400000001</v>
      </c>
      <c r="AG1120" s="297">
        <v>420.537598</v>
      </c>
      <c r="AH1120" s="296">
        <v>1.4315E-2</v>
      </c>
    </row>
    <row r="1121" spans="1:34" ht="15" customHeight="1" x14ac:dyDescent="0.2">
      <c r="B1121" s="204" t="s">
        <v>1873</v>
      </c>
    </row>
    <row r="1122" spans="1:34" ht="15" customHeight="1" x14ac:dyDescent="0.25">
      <c r="A1122" s="213" t="s">
        <v>1874</v>
      </c>
      <c r="B1122" s="294" t="s">
        <v>1875</v>
      </c>
      <c r="C1122" s="297">
        <v>108.451859</v>
      </c>
      <c r="D1122" s="297">
        <v>134.906631</v>
      </c>
      <c r="E1122" s="297">
        <v>154.74700899999999</v>
      </c>
      <c r="F1122" s="297">
        <v>169.768936</v>
      </c>
      <c r="G1122" s="297">
        <v>181.054596</v>
      </c>
      <c r="H1122" s="297">
        <v>189.63523900000001</v>
      </c>
      <c r="I1122" s="297">
        <v>196.10214199999999</v>
      </c>
      <c r="J1122" s="297">
        <v>201.02420000000001</v>
      </c>
      <c r="K1122" s="297">
        <v>204.662598</v>
      </c>
      <c r="L1122" s="297">
        <v>207.425308</v>
      </c>
      <c r="M1122" s="297">
        <v>209.68708799999999</v>
      </c>
      <c r="N1122" s="297">
        <v>211.31668099999999</v>
      </c>
      <c r="O1122" s="297">
        <v>212.70942700000001</v>
      </c>
      <c r="P1122" s="297">
        <v>213.73635899999999</v>
      </c>
      <c r="Q1122" s="297">
        <v>214.52165199999999</v>
      </c>
      <c r="R1122" s="297">
        <v>215.13287399999999</v>
      </c>
      <c r="S1122" s="297">
        <v>215.61059599999999</v>
      </c>
      <c r="T1122" s="297">
        <v>215.96757500000001</v>
      </c>
      <c r="U1122" s="297">
        <v>216.24118000000001</v>
      </c>
      <c r="V1122" s="297">
        <v>216.411743</v>
      </c>
      <c r="W1122" s="297">
        <v>216.60230999999999</v>
      </c>
      <c r="X1122" s="297">
        <v>216.689728</v>
      </c>
      <c r="Y1122" s="297">
        <v>216.745667</v>
      </c>
      <c r="Z1122" s="297">
        <v>216.78471400000001</v>
      </c>
      <c r="AA1122" s="297">
        <v>216.798157</v>
      </c>
      <c r="AB1122" s="297">
        <v>216.777512</v>
      </c>
      <c r="AC1122" s="297">
        <v>216.80685399999999</v>
      </c>
      <c r="AD1122" s="297">
        <v>216.801849</v>
      </c>
      <c r="AE1122" s="297">
        <v>216.82325700000001</v>
      </c>
      <c r="AF1122" s="297">
        <v>216.849594</v>
      </c>
      <c r="AG1122" s="297">
        <v>216.91029399999999</v>
      </c>
      <c r="AH1122" s="296">
        <v>2.3375E-2</v>
      </c>
    </row>
    <row r="1123" spans="1:34" ht="15" customHeight="1" x14ac:dyDescent="0.25">
      <c r="A1123" s="213" t="s">
        <v>1876</v>
      </c>
      <c r="B1123" s="294" t="s">
        <v>1877</v>
      </c>
      <c r="C1123" s="297">
        <v>25.165980999999999</v>
      </c>
      <c r="D1123" s="297">
        <v>29.764140999999999</v>
      </c>
      <c r="E1123" s="297">
        <v>33.498145999999998</v>
      </c>
      <c r="F1123" s="297">
        <v>36.387149999999998</v>
      </c>
      <c r="G1123" s="297">
        <v>38.402351000000003</v>
      </c>
      <c r="H1123" s="297">
        <v>39.985401000000003</v>
      </c>
      <c r="I1123" s="297">
        <v>41.108414000000003</v>
      </c>
      <c r="J1123" s="297">
        <v>41.957863000000003</v>
      </c>
      <c r="K1123" s="297">
        <v>42.373077000000002</v>
      </c>
      <c r="L1123" s="297">
        <v>42.626572000000003</v>
      </c>
      <c r="M1123" s="297">
        <v>43.171546999999997</v>
      </c>
      <c r="N1123" s="297">
        <v>43.557751000000003</v>
      </c>
      <c r="O1123" s="297">
        <v>44.181170999999999</v>
      </c>
      <c r="P1123" s="297">
        <v>44.7425</v>
      </c>
      <c r="Q1123" s="297">
        <v>45.359099999999998</v>
      </c>
      <c r="R1123" s="297">
        <v>45.942974</v>
      </c>
      <c r="S1123" s="297">
        <v>46.461497999999999</v>
      </c>
      <c r="T1123" s="297">
        <v>46.940620000000003</v>
      </c>
      <c r="U1123" s="297">
        <v>47.450031000000003</v>
      </c>
      <c r="V1123" s="297">
        <v>47.918919000000002</v>
      </c>
      <c r="W1123" s="297">
        <v>48.558169999999997</v>
      </c>
      <c r="X1123" s="297">
        <v>49.100951999999999</v>
      </c>
      <c r="Y1123" s="297">
        <v>49.688167999999997</v>
      </c>
      <c r="Z1123" s="297">
        <v>50.322009999999999</v>
      </c>
      <c r="AA1123" s="297">
        <v>50.934455999999997</v>
      </c>
      <c r="AB1123" s="297">
        <v>51.475597</v>
      </c>
      <c r="AC1123" s="297">
        <v>52.106262000000001</v>
      </c>
      <c r="AD1123" s="297">
        <v>52.654964</v>
      </c>
      <c r="AE1123" s="297">
        <v>53.258338999999999</v>
      </c>
      <c r="AF1123" s="297">
        <v>53.834007</v>
      </c>
      <c r="AG1123" s="297">
        <v>54.410843</v>
      </c>
      <c r="AH1123" s="296">
        <v>2.6036E-2</v>
      </c>
    </row>
    <row r="1124" spans="1:34" ht="15" customHeight="1" x14ac:dyDescent="0.2">
      <c r="B1124" s="204" t="s">
        <v>1878</v>
      </c>
    </row>
    <row r="1125" spans="1:34" ht="15" customHeight="1" x14ac:dyDescent="0.25">
      <c r="A1125" s="213" t="s">
        <v>1879</v>
      </c>
      <c r="B1125" s="294" t="s">
        <v>1880</v>
      </c>
      <c r="C1125" s="297">
        <v>738.85894800000005</v>
      </c>
      <c r="D1125" s="297">
        <v>1081.6602780000001</v>
      </c>
      <c r="E1125" s="297">
        <v>1215.7373050000001</v>
      </c>
      <c r="F1125" s="297">
        <v>1284.3009030000001</v>
      </c>
      <c r="G1125" s="297">
        <v>1331.709595</v>
      </c>
      <c r="H1125" s="297">
        <v>1382.866943</v>
      </c>
      <c r="I1125" s="297">
        <v>1413.6407469999999</v>
      </c>
      <c r="J1125" s="297">
        <v>1440.1944579999999</v>
      </c>
      <c r="K1125" s="297">
        <v>1464.6527100000001</v>
      </c>
      <c r="L1125" s="297">
        <v>1486.1226810000001</v>
      </c>
      <c r="M1125" s="297">
        <v>1512.480225</v>
      </c>
      <c r="N1125" s="297">
        <v>1542.9261469999999</v>
      </c>
      <c r="O1125" s="297">
        <v>1577.5469969999999</v>
      </c>
      <c r="P1125" s="297">
        <v>1614.4033199999999</v>
      </c>
      <c r="Q1125" s="297">
        <v>1652.7857670000001</v>
      </c>
      <c r="R1125" s="297">
        <v>1690.091553</v>
      </c>
      <c r="S1125" s="297">
        <v>1722.8204350000001</v>
      </c>
      <c r="T1125" s="297">
        <v>1753.0385739999999</v>
      </c>
      <c r="U1125" s="297">
        <v>1785.817139</v>
      </c>
      <c r="V1125" s="297">
        <v>1820.93335</v>
      </c>
      <c r="W1125" s="297">
        <v>1858.7414550000001</v>
      </c>
      <c r="X1125" s="297">
        <v>1897.8637699999999</v>
      </c>
      <c r="Y1125" s="297">
        <v>1939.794189</v>
      </c>
      <c r="Z1125" s="297">
        <v>1983.944092</v>
      </c>
      <c r="AA1125" s="297">
        <v>2027.790039</v>
      </c>
      <c r="AB1125" s="297">
        <v>2069.7546390000002</v>
      </c>
      <c r="AC1125" s="297">
        <v>2110.5791020000001</v>
      </c>
      <c r="AD1125" s="297">
        <v>2152.0017090000001</v>
      </c>
      <c r="AE1125" s="297">
        <v>2194.96875</v>
      </c>
      <c r="AF1125" s="297">
        <v>2238.3408199999999</v>
      </c>
      <c r="AG1125" s="297">
        <v>2282.4025879999999</v>
      </c>
      <c r="AH1125" s="296">
        <v>3.8311999999999999E-2</v>
      </c>
    </row>
    <row r="1126" spans="1:34" ht="15" customHeight="1" x14ac:dyDescent="0.2">
      <c r="B1126" s="204" t="s">
        <v>1881</v>
      </c>
    </row>
    <row r="1127" spans="1:34" ht="15" customHeight="1" x14ac:dyDescent="0.25">
      <c r="A1127" s="213" t="s">
        <v>1882</v>
      </c>
      <c r="B1127" s="294" t="s">
        <v>1883</v>
      </c>
      <c r="C1127" s="297">
        <v>1521.9704589999999</v>
      </c>
      <c r="D1127" s="297">
        <v>1618.2993160000001</v>
      </c>
      <c r="E1127" s="297">
        <v>1653.9343260000001</v>
      </c>
      <c r="F1127" s="297">
        <v>1638.952393</v>
      </c>
      <c r="G1127" s="297">
        <v>1638.3515620000001</v>
      </c>
      <c r="H1127" s="297">
        <v>1611.4123540000001</v>
      </c>
      <c r="I1127" s="297">
        <v>1629.1599120000001</v>
      </c>
      <c r="J1127" s="297">
        <v>1624.662476</v>
      </c>
      <c r="K1127" s="297">
        <v>1642.2048339999999</v>
      </c>
      <c r="L1127" s="297">
        <v>1664.909668</v>
      </c>
      <c r="M1127" s="297">
        <v>1680.0539550000001</v>
      </c>
      <c r="N1127" s="297">
        <v>1687.346436</v>
      </c>
      <c r="O1127" s="297">
        <v>1696.865967</v>
      </c>
      <c r="P1127" s="297">
        <v>1710.897095</v>
      </c>
      <c r="Q1127" s="297">
        <v>1725.098389</v>
      </c>
      <c r="R1127" s="297">
        <v>1731.5200199999999</v>
      </c>
      <c r="S1127" s="297">
        <v>1733.1766359999999</v>
      </c>
      <c r="T1127" s="297">
        <v>1733.2185059999999</v>
      </c>
      <c r="U1127" s="297">
        <v>1727.7104489999999</v>
      </c>
      <c r="V1127" s="297">
        <v>1732.0479740000001</v>
      </c>
      <c r="W1127" s="297">
        <v>1735.4719239999999</v>
      </c>
      <c r="X1127" s="297">
        <v>1747.6795649999999</v>
      </c>
      <c r="Y1127" s="297">
        <v>1765.7388920000001</v>
      </c>
      <c r="Z1127" s="297">
        <v>1780.219116</v>
      </c>
      <c r="AA1127" s="297">
        <v>1793.768433</v>
      </c>
      <c r="AB1127" s="297">
        <v>1797.2144780000001</v>
      </c>
      <c r="AC1127" s="297">
        <v>1807.4219969999999</v>
      </c>
      <c r="AD1127" s="297">
        <v>1820.364746</v>
      </c>
      <c r="AE1127" s="297">
        <v>1837.451172</v>
      </c>
      <c r="AF1127" s="297">
        <v>1853.3664550000001</v>
      </c>
      <c r="AG1127" s="297">
        <v>1873.035034</v>
      </c>
      <c r="AH1127" s="296">
        <v>6.9430000000000004E-3</v>
      </c>
    </row>
    <row r="1128" spans="1:34" ht="15" customHeight="1" x14ac:dyDescent="0.25">
      <c r="A1128" s="213" t="s">
        <v>1884</v>
      </c>
      <c r="B1128" s="294" t="s">
        <v>1885</v>
      </c>
      <c r="C1128" s="297">
        <v>347.68133499999999</v>
      </c>
      <c r="D1128" s="297">
        <v>358.75436400000001</v>
      </c>
      <c r="E1128" s="297">
        <v>356.58099399999998</v>
      </c>
      <c r="F1128" s="297">
        <v>351.44842499999999</v>
      </c>
      <c r="G1128" s="297">
        <v>345.33050500000002</v>
      </c>
      <c r="H1128" s="297">
        <v>339.26663200000002</v>
      </c>
      <c r="I1128" s="297">
        <v>330.77096599999999</v>
      </c>
      <c r="J1128" s="297">
        <v>321.98907500000001</v>
      </c>
      <c r="K1128" s="297">
        <v>313.560699</v>
      </c>
      <c r="L1128" s="297">
        <v>305.13720699999999</v>
      </c>
      <c r="M1128" s="297">
        <v>296.79244999999997</v>
      </c>
      <c r="N1128" s="297">
        <v>293.140198</v>
      </c>
      <c r="O1128" s="297">
        <v>289.27224699999999</v>
      </c>
      <c r="P1128" s="297">
        <v>285.857483</v>
      </c>
      <c r="Q1128" s="297">
        <v>282.64532500000001</v>
      </c>
      <c r="R1128" s="297">
        <v>278.84634399999999</v>
      </c>
      <c r="S1128" s="297">
        <v>274.79904199999999</v>
      </c>
      <c r="T1128" s="297">
        <v>270.87039199999998</v>
      </c>
      <c r="U1128" s="297">
        <v>266.85159299999998</v>
      </c>
      <c r="V1128" s="297">
        <v>262.97421300000002</v>
      </c>
      <c r="W1128" s="297">
        <v>258.63861100000003</v>
      </c>
      <c r="X1128" s="297">
        <v>257.41476399999999</v>
      </c>
      <c r="Y1128" s="297">
        <v>256.757812</v>
      </c>
      <c r="Z1128" s="297">
        <v>256.26825000000002</v>
      </c>
      <c r="AA1128" s="297">
        <v>255.40484599999999</v>
      </c>
      <c r="AB1128" s="297">
        <v>254.38140899999999</v>
      </c>
      <c r="AC1128" s="297">
        <v>253.43038899999999</v>
      </c>
      <c r="AD1128" s="297">
        <v>252.34704600000001</v>
      </c>
      <c r="AE1128" s="297">
        <v>251.26715100000001</v>
      </c>
      <c r="AF1128" s="297">
        <v>250.57226600000001</v>
      </c>
      <c r="AG1128" s="297">
        <v>249.989349</v>
      </c>
      <c r="AH1128" s="296">
        <v>-1.0935E-2</v>
      </c>
    </row>
    <row r="1130" spans="1:34" ht="15" customHeight="1" x14ac:dyDescent="0.2">
      <c r="B1130" s="204" t="s">
        <v>1886</v>
      </c>
    </row>
    <row r="1131" spans="1:34" ht="15" customHeight="1" x14ac:dyDescent="0.2">
      <c r="B1131" s="204" t="s">
        <v>1887</v>
      </c>
    </row>
    <row r="1132" spans="1:34" ht="15" customHeight="1" x14ac:dyDescent="0.25">
      <c r="A1132" s="213" t="s">
        <v>1888</v>
      </c>
      <c r="B1132" s="294" t="s">
        <v>1889</v>
      </c>
      <c r="C1132" s="298">
        <v>34.575938999999998</v>
      </c>
      <c r="D1132" s="298">
        <v>35.476635000000002</v>
      </c>
      <c r="E1132" s="298">
        <v>36.078181999999998</v>
      </c>
      <c r="F1132" s="298">
        <v>36.650905999999999</v>
      </c>
      <c r="G1132" s="298">
        <v>37.159649000000002</v>
      </c>
      <c r="H1132" s="298">
        <v>37.709220999999999</v>
      </c>
      <c r="I1132" s="298">
        <v>38.338470000000001</v>
      </c>
      <c r="J1132" s="298">
        <v>38.338428</v>
      </c>
      <c r="K1132" s="298">
        <v>38.398032999999998</v>
      </c>
      <c r="L1132" s="298">
        <v>38.43882</v>
      </c>
      <c r="M1132" s="298">
        <v>38.538516999999999</v>
      </c>
      <c r="N1132" s="298">
        <v>38.569710000000001</v>
      </c>
      <c r="O1132" s="298">
        <v>38.611609999999999</v>
      </c>
      <c r="P1132" s="298">
        <v>38.636851999999998</v>
      </c>
      <c r="Q1132" s="298">
        <v>38.656502000000003</v>
      </c>
      <c r="R1132" s="298">
        <v>38.666412000000001</v>
      </c>
      <c r="S1132" s="298">
        <v>38.675044999999997</v>
      </c>
      <c r="T1132" s="298">
        <v>38.684604999999998</v>
      </c>
      <c r="U1132" s="298">
        <v>38.698779999999999</v>
      </c>
      <c r="V1132" s="298">
        <v>38.690036999999997</v>
      </c>
      <c r="W1132" s="298">
        <v>38.704577999999998</v>
      </c>
      <c r="X1132" s="298">
        <v>38.713901999999997</v>
      </c>
      <c r="Y1132" s="298">
        <v>38.712833000000003</v>
      </c>
      <c r="Z1132" s="298">
        <v>38.708260000000003</v>
      </c>
      <c r="AA1132" s="298">
        <v>38.695782000000001</v>
      </c>
      <c r="AB1132" s="298">
        <v>38.670200000000001</v>
      </c>
      <c r="AC1132" s="298">
        <v>38.671329</v>
      </c>
      <c r="AD1132" s="298">
        <v>38.659885000000003</v>
      </c>
      <c r="AE1132" s="298">
        <v>38.646473</v>
      </c>
      <c r="AF1132" s="298">
        <v>38.622086000000003</v>
      </c>
      <c r="AG1132" s="298">
        <v>38.599280999999998</v>
      </c>
      <c r="AH1132" s="296">
        <v>3.676E-3</v>
      </c>
    </row>
    <row r="1133" spans="1:34" ht="15" customHeight="1" x14ac:dyDescent="0.25">
      <c r="A1133" s="213" t="s">
        <v>1890</v>
      </c>
      <c r="B1133" s="294" t="s">
        <v>1891</v>
      </c>
      <c r="C1133" s="298">
        <v>42.153393000000001</v>
      </c>
      <c r="D1133" s="298">
        <v>44.247008999999998</v>
      </c>
      <c r="E1133" s="298">
        <v>44.785857999999998</v>
      </c>
      <c r="F1133" s="298">
        <v>45.462093000000003</v>
      </c>
      <c r="G1133" s="298">
        <v>46.176597999999998</v>
      </c>
      <c r="H1133" s="298">
        <v>46.858874999999998</v>
      </c>
      <c r="I1133" s="298">
        <v>47.623610999999997</v>
      </c>
      <c r="J1133" s="298">
        <v>47.631118999999998</v>
      </c>
      <c r="K1133" s="298">
        <v>47.657536</v>
      </c>
      <c r="L1133" s="298">
        <v>47.657536</v>
      </c>
      <c r="M1133" s="298">
        <v>47.683627999999999</v>
      </c>
      <c r="N1133" s="298">
        <v>47.683627999999999</v>
      </c>
      <c r="O1133" s="298">
        <v>47.683627999999999</v>
      </c>
      <c r="P1133" s="298">
        <v>47.683627999999999</v>
      </c>
      <c r="Q1133" s="298">
        <v>47.683627999999999</v>
      </c>
      <c r="R1133" s="298">
        <v>47.683627999999999</v>
      </c>
      <c r="S1133" s="298">
        <v>47.683627999999999</v>
      </c>
      <c r="T1133" s="298">
        <v>47.683627999999999</v>
      </c>
      <c r="U1133" s="298">
        <v>47.683627999999999</v>
      </c>
      <c r="V1133" s="298">
        <v>47.683627999999999</v>
      </c>
      <c r="W1133" s="298">
        <v>47.685558</v>
      </c>
      <c r="X1133" s="298">
        <v>47.685558</v>
      </c>
      <c r="Y1133" s="298">
        <v>47.685558</v>
      </c>
      <c r="Z1133" s="298">
        <v>47.685558</v>
      </c>
      <c r="AA1133" s="298">
        <v>47.685558</v>
      </c>
      <c r="AB1133" s="298">
        <v>47.685558</v>
      </c>
      <c r="AC1133" s="298">
        <v>47.689582999999999</v>
      </c>
      <c r="AD1133" s="298">
        <v>47.689582999999999</v>
      </c>
      <c r="AE1133" s="298">
        <v>47.689582999999999</v>
      </c>
      <c r="AF1133" s="298">
        <v>47.689582999999999</v>
      </c>
      <c r="AG1133" s="298">
        <v>47.689582999999999</v>
      </c>
      <c r="AH1133" s="296">
        <v>4.1219999999999998E-3</v>
      </c>
    </row>
    <row r="1134" spans="1:34" ht="15" customHeight="1" x14ac:dyDescent="0.25">
      <c r="A1134" s="213" t="s">
        <v>1892</v>
      </c>
      <c r="B1134" s="294" t="s">
        <v>1893</v>
      </c>
      <c r="C1134" s="298">
        <v>30.904506999999999</v>
      </c>
      <c r="D1134" s="298">
        <v>31.518650000000001</v>
      </c>
      <c r="E1134" s="298">
        <v>31.945416999999999</v>
      </c>
      <c r="F1134" s="298">
        <v>32.456637999999998</v>
      </c>
      <c r="G1134" s="298">
        <v>32.915405</v>
      </c>
      <c r="H1134" s="298">
        <v>33.392699999999998</v>
      </c>
      <c r="I1134" s="298">
        <v>33.955584999999999</v>
      </c>
      <c r="J1134" s="298">
        <v>33.955584999999999</v>
      </c>
      <c r="K1134" s="298">
        <v>33.955584999999999</v>
      </c>
      <c r="L1134" s="298">
        <v>33.955584999999999</v>
      </c>
      <c r="M1134" s="298">
        <v>33.955584999999999</v>
      </c>
      <c r="N1134" s="298">
        <v>33.955593</v>
      </c>
      <c r="O1134" s="298">
        <v>33.955593</v>
      </c>
      <c r="P1134" s="298">
        <v>33.955593</v>
      </c>
      <c r="Q1134" s="298">
        <v>33.955593</v>
      </c>
      <c r="R1134" s="298">
        <v>33.955593</v>
      </c>
      <c r="S1134" s="298">
        <v>33.955593</v>
      </c>
      <c r="T1134" s="298">
        <v>33.955593</v>
      </c>
      <c r="U1134" s="298">
        <v>33.955593</v>
      </c>
      <c r="V1134" s="298">
        <v>33.955601000000001</v>
      </c>
      <c r="W1134" s="298">
        <v>33.955601000000001</v>
      </c>
      <c r="X1134" s="298">
        <v>33.955601000000001</v>
      </c>
      <c r="Y1134" s="298">
        <v>33.955601000000001</v>
      </c>
      <c r="Z1134" s="298">
        <v>33.955601000000001</v>
      </c>
      <c r="AA1134" s="298">
        <v>33.955601000000001</v>
      </c>
      <c r="AB1134" s="298">
        <v>33.955624</v>
      </c>
      <c r="AC1134" s="298">
        <v>33.955624</v>
      </c>
      <c r="AD1134" s="298">
        <v>33.955624</v>
      </c>
      <c r="AE1134" s="298">
        <v>33.955624</v>
      </c>
      <c r="AF1134" s="298">
        <v>33.955624</v>
      </c>
      <c r="AG1134" s="298">
        <v>33.955624</v>
      </c>
      <c r="AH1134" s="296">
        <v>3.143E-3</v>
      </c>
    </row>
    <row r="1135" spans="1:34" ht="15" customHeight="1" x14ac:dyDescent="0.25">
      <c r="A1135" s="213" t="s">
        <v>1894</v>
      </c>
      <c r="B1135" s="294" t="s">
        <v>1895</v>
      </c>
      <c r="C1135" s="298">
        <v>35.559525000000001</v>
      </c>
      <c r="D1135" s="298">
        <v>36.684010000000001</v>
      </c>
      <c r="E1135" s="298">
        <v>37.333297999999999</v>
      </c>
      <c r="F1135" s="298">
        <v>37.826214</v>
      </c>
      <c r="G1135" s="298">
        <v>38.214438999999999</v>
      </c>
      <c r="H1135" s="298">
        <v>38.623798000000001</v>
      </c>
      <c r="I1135" s="298">
        <v>39.253933000000004</v>
      </c>
      <c r="J1135" s="298">
        <v>39.401836000000003</v>
      </c>
      <c r="K1135" s="298">
        <v>39.528365999999998</v>
      </c>
      <c r="L1135" s="298">
        <v>39.621532000000002</v>
      </c>
      <c r="M1135" s="298">
        <v>39.824795000000002</v>
      </c>
      <c r="N1135" s="298">
        <v>39.94614</v>
      </c>
      <c r="O1135" s="298">
        <v>40.109000999999999</v>
      </c>
      <c r="P1135" s="298">
        <v>40.251700999999997</v>
      </c>
      <c r="Q1135" s="298">
        <v>40.397278</v>
      </c>
      <c r="R1135" s="298">
        <v>40.544291999999999</v>
      </c>
      <c r="S1135" s="298">
        <v>40.698813999999999</v>
      </c>
      <c r="T1135" s="298">
        <v>40.867474000000001</v>
      </c>
      <c r="U1135" s="298">
        <v>41.050446000000001</v>
      </c>
      <c r="V1135" s="298">
        <v>41.190041000000001</v>
      </c>
      <c r="W1135" s="298">
        <v>41.378349</v>
      </c>
      <c r="X1135" s="298">
        <v>41.514732000000002</v>
      </c>
      <c r="Y1135" s="298">
        <v>41.621445000000001</v>
      </c>
      <c r="Z1135" s="298">
        <v>41.733494</v>
      </c>
      <c r="AA1135" s="298">
        <v>41.829974999999997</v>
      </c>
      <c r="AB1135" s="298">
        <v>41.898018</v>
      </c>
      <c r="AC1135" s="298">
        <v>42.038558999999999</v>
      </c>
      <c r="AD1135" s="298">
        <v>42.159100000000002</v>
      </c>
      <c r="AE1135" s="298">
        <v>42.285259000000003</v>
      </c>
      <c r="AF1135" s="298">
        <v>42.388649000000001</v>
      </c>
      <c r="AG1135" s="298">
        <v>42.505687999999999</v>
      </c>
      <c r="AH1135" s="296">
        <v>5.9649999999999998E-3</v>
      </c>
    </row>
    <row r="1136" spans="1:34" ht="15" customHeight="1" x14ac:dyDescent="0.25">
      <c r="A1136" s="213" t="s">
        <v>1896</v>
      </c>
      <c r="B1136" s="294" t="s">
        <v>1897</v>
      </c>
      <c r="C1136" s="298">
        <v>43.332656999999998</v>
      </c>
      <c r="D1136" s="298">
        <v>45.108359999999998</v>
      </c>
      <c r="E1136" s="298">
        <v>45.590721000000002</v>
      </c>
      <c r="F1136" s="298">
        <v>46.344467000000002</v>
      </c>
      <c r="G1136" s="298">
        <v>47.070244000000002</v>
      </c>
      <c r="H1136" s="298">
        <v>47.607925000000002</v>
      </c>
      <c r="I1136" s="298">
        <v>48.35651</v>
      </c>
      <c r="J1136" s="298">
        <v>48.466147999999997</v>
      </c>
      <c r="K1136" s="298">
        <v>48.581116000000002</v>
      </c>
      <c r="L1136" s="298">
        <v>48.690047999999997</v>
      </c>
      <c r="M1136" s="298">
        <v>48.855915000000003</v>
      </c>
      <c r="N1136" s="298">
        <v>49.056713000000002</v>
      </c>
      <c r="O1136" s="298">
        <v>49.261761</v>
      </c>
      <c r="P1136" s="298">
        <v>49.507111000000002</v>
      </c>
      <c r="Q1136" s="298">
        <v>49.749268000000001</v>
      </c>
      <c r="R1136" s="298">
        <v>50.017662000000001</v>
      </c>
      <c r="S1136" s="298">
        <v>50.302115999999998</v>
      </c>
      <c r="T1136" s="298">
        <v>50.606482999999997</v>
      </c>
      <c r="U1136" s="298">
        <v>50.927601000000003</v>
      </c>
      <c r="V1136" s="298">
        <v>51.238052000000003</v>
      </c>
      <c r="W1136" s="298">
        <v>51.556919000000001</v>
      </c>
      <c r="X1136" s="298">
        <v>51.820061000000003</v>
      </c>
      <c r="Y1136" s="298">
        <v>52.052951999999998</v>
      </c>
      <c r="Z1136" s="298">
        <v>52.302273</v>
      </c>
      <c r="AA1136" s="298">
        <v>52.551006000000001</v>
      </c>
      <c r="AB1136" s="298">
        <v>52.786121000000001</v>
      </c>
      <c r="AC1136" s="298">
        <v>53.063194000000003</v>
      </c>
      <c r="AD1136" s="298">
        <v>53.379848000000003</v>
      </c>
      <c r="AE1136" s="298">
        <v>53.689163000000001</v>
      </c>
      <c r="AF1136" s="298">
        <v>54.011349000000003</v>
      </c>
      <c r="AG1136" s="298">
        <v>54.341025999999999</v>
      </c>
      <c r="AH1136" s="296">
        <v>7.574E-3</v>
      </c>
    </row>
    <row r="1137" spans="1:34" ht="15" customHeight="1" x14ac:dyDescent="0.25">
      <c r="A1137" s="213" t="s">
        <v>1898</v>
      </c>
      <c r="B1137" s="294" t="s">
        <v>1899</v>
      </c>
      <c r="C1137" s="298">
        <v>31.790717999999998</v>
      </c>
      <c r="D1137" s="298">
        <v>32.802833999999997</v>
      </c>
      <c r="E1137" s="298">
        <v>33.318001000000002</v>
      </c>
      <c r="F1137" s="298">
        <v>33.696624999999997</v>
      </c>
      <c r="G1137" s="298">
        <v>33.991497000000003</v>
      </c>
      <c r="H1137" s="298">
        <v>34.334408000000003</v>
      </c>
      <c r="I1137" s="298">
        <v>34.904136999999999</v>
      </c>
      <c r="J1137" s="298">
        <v>35.063301000000003</v>
      </c>
      <c r="K1137" s="298">
        <v>35.121398999999997</v>
      </c>
      <c r="L1137" s="298">
        <v>35.152676</v>
      </c>
      <c r="M1137" s="298">
        <v>35.240437</v>
      </c>
      <c r="N1137" s="298">
        <v>35.287022</v>
      </c>
      <c r="O1137" s="298">
        <v>35.372321999999997</v>
      </c>
      <c r="P1137" s="298">
        <v>35.437564999999999</v>
      </c>
      <c r="Q1137" s="298">
        <v>35.515025999999999</v>
      </c>
      <c r="R1137" s="298">
        <v>35.597915999999998</v>
      </c>
      <c r="S1137" s="298">
        <v>35.686568999999999</v>
      </c>
      <c r="T1137" s="298">
        <v>35.785324000000003</v>
      </c>
      <c r="U1137" s="298">
        <v>35.890186</v>
      </c>
      <c r="V1137" s="298">
        <v>35.974753999999997</v>
      </c>
      <c r="W1137" s="298">
        <v>36.087676999999999</v>
      </c>
      <c r="X1137" s="298">
        <v>36.158825</v>
      </c>
      <c r="Y1137" s="298">
        <v>36.217339000000003</v>
      </c>
      <c r="Z1137" s="298">
        <v>36.282581</v>
      </c>
      <c r="AA1137" s="298">
        <v>36.340091999999999</v>
      </c>
      <c r="AB1137" s="298">
        <v>36.386100999999996</v>
      </c>
      <c r="AC1137" s="298">
        <v>36.473334999999999</v>
      </c>
      <c r="AD1137" s="298">
        <v>36.539143000000003</v>
      </c>
      <c r="AE1137" s="298">
        <v>36.618755</v>
      </c>
      <c r="AF1137" s="298">
        <v>36.683075000000002</v>
      </c>
      <c r="AG1137" s="298">
        <v>36.761378999999998</v>
      </c>
      <c r="AH1137" s="296">
        <v>4.8539999999999998E-3</v>
      </c>
    </row>
    <row r="1138" spans="1:34" ht="15" customHeight="1" x14ac:dyDescent="0.25">
      <c r="A1138" s="213" t="s">
        <v>1900</v>
      </c>
      <c r="B1138" s="294" t="s">
        <v>1901</v>
      </c>
      <c r="C1138" s="298">
        <v>35.434722999999998</v>
      </c>
      <c r="D1138" s="298">
        <v>36.559928999999997</v>
      </c>
      <c r="E1138" s="298">
        <v>37.204833999999998</v>
      </c>
      <c r="F1138" s="298">
        <v>37.694220999999999</v>
      </c>
      <c r="G1138" s="298">
        <v>38.078654999999998</v>
      </c>
      <c r="H1138" s="298">
        <v>38.463242000000001</v>
      </c>
      <c r="I1138" s="298">
        <v>38.992435</v>
      </c>
      <c r="J1138" s="298">
        <v>39.107292000000001</v>
      </c>
      <c r="K1138" s="298">
        <v>39.218741999999999</v>
      </c>
      <c r="L1138" s="298">
        <v>39.296047000000002</v>
      </c>
      <c r="M1138" s="298">
        <v>39.471226000000001</v>
      </c>
      <c r="N1138" s="298">
        <v>39.562714</v>
      </c>
      <c r="O1138" s="298">
        <v>39.689312000000001</v>
      </c>
      <c r="P1138" s="298">
        <v>39.793934</v>
      </c>
      <c r="Q1138" s="298">
        <v>39.899666000000003</v>
      </c>
      <c r="R1138" s="298">
        <v>40.004364000000002</v>
      </c>
      <c r="S1138" s="298">
        <v>40.114662000000003</v>
      </c>
      <c r="T1138" s="298">
        <v>40.237231999999999</v>
      </c>
      <c r="U1138" s="298">
        <v>40.371490000000001</v>
      </c>
      <c r="V1138" s="298">
        <v>40.466324</v>
      </c>
      <c r="W1138" s="298">
        <v>40.605407999999997</v>
      </c>
      <c r="X1138" s="298">
        <v>40.705272999999998</v>
      </c>
      <c r="Y1138" s="298">
        <v>40.779609999999998</v>
      </c>
      <c r="Z1138" s="298">
        <v>40.857525000000003</v>
      </c>
      <c r="AA1138" s="298">
        <v>40.921996999999998</v>
      </c>
      <c r="AB1138" s="298">
        <v>40.961604999999999</v>
      </c>
      <c r="AC1138" s="298">
        <v>41.063358000000001</v>
      </c>
      <c r="AD1138" s="298">
        <v>41.145614999999999</v>
      </c>
      <c r="AE1138" s="298">
        <v>41.232857000000003</v>
      </c>
      <c r="AF1138" s="298">
        <v>41.298721</v>
      </c>
      <c r="AG1138" s="298">
        <v>41.376674999999999</v>
      </c>
      <c r="AH1138" s="296">
        <v>5.1809999999999998E-3</v>
      </c>
    </row>
    <row r="1139" spans="1:34" ht="15" customHeight="1" x14ac:dyDescent="0.25">
      <c r="A1139" s="213" t="s">
        <v>1902</v>
      </c>
      <c r="B1139" s="294" t="s">
        <v>1903</v>
      </c>
      <c r="C1139" s="298">
        <v>43.062984</v>
      </c>
      <c r="D1139" s="298">
        <v>44.856361</v>
      </c>
      <c r="E1139" s="298">
        <v>45.339179999999999</v>
      </c>
      <c r="F1139" s="298">
        <v>46.082512000000001</v>
      </c>
      <c r="G1139" s="298">
        <v>46.794147000000002</v>
      </c>
      <c r="H1139" s="298">
        <v>47.324184000000002</v>
      </c>
      <c r="I1139" s="298">
        <v>48.051986999999997</v>
      </c>
      <c r="J1139" s="298">
        <v>48.143889999999999</v>
      </c>
      <c r="K1139" s="298">
        <v>48.233291999999999</v>
      </c>
      <c r="L1139" s="298">
        <v>48.307322999999997</v>
      </c>
      <c r="M1139" s="298">
        <v>48.425857999999998</v>
      </c>
      <c r="N1139" s="298">
        <v>48.566616000000003</v>
      </c>
      <c r="O1139" s="298">
        <v>48.708869999999997</v>
      </c>
      <c r="P1139" s="298">
        <v>48.878948000000001</v>
      </c>
      <c r="Q1139" s="298">
        <v>49.042828</v>
      </c>
      <c r="R1139" s="298">
        <v>49.225208000000002</v>
      </c>
      <c r="S1139" s="298">
        <v>49.419024999999998</v>
      </c>
      <c r="T1139" s="298">
        <v>49.627670000000002</v>
      </c>
      <c r="U1139" s="298">
        <v>49.847687000000001</v>
      </c>
      <c r="V1139" s="298">
        <v>50.056106999999997</v>
      </c>
      <c r="W1139" s="298">
        <v>50.273575000000001</v>
      </c>
      <c r="X1139" s="298">
        <v>50.452057000000003</v>
      </c>
      <c r="Y1139" s="298">
        <v>50.606411000000001</v>
      </c>
      <c r="Z1139" s="298">
        <v>50.772799999999997</v>
      </c>
      <c r="AA1139" s="298">
        <v>50.938583000000001</v>
      </c>
      <c r="AB1139" s="298">
        <v>51.093108999999998</v>
      </c>
      <c r="AC1139" s="298">
        <v>51.280605000000001</v>
      </c>
      <c r="AD1139" s="298">
        <v>51.493599000000003</v>
      </c>
      <c r="AE1139" s="298">
        <v>51.701439000000001</v>
      </c>
      <c r="AF1139" s="298">
        <v>51.915474000000003</v>
      </c>
      <c r="AG1139" s="298">
        <v>52.135528999999998</v>
      </c>
      <c r="AH1139" s="296">
        <v>6.3930000000000002E-3</v>
      </c>
    </row>
    <row r="1140" spans="1:34" ht="15" customHeight="1" x14ac:dyDescent="0.25">
      <c r="A1140" s="213" t="s">
        <v>1904</v>
      </c>
      <c r="B1140" s="294" t="s">
        <v>1905</v>
      </c>
      <c r="C1140" s="298">
        <v>31.721136000000001</v>
      </c>
      <c r="D1140" s="298">
        <v>32.725299999999997</v>
      </c>
      <c r="E1140" s="298">
        <v>33.237099000000001</v>
      </c>
      <c r="F1140" s="298">
        <v>33.614491000000001</v>
      </c>
      <c r="G1140" s="298">
        <v>33.908329000000002</v>
      </c>
      <c r="H1140" s="298">
        <v>34.221316999999999</v>
      </c>
      <c r="I1140" s="298">
        <v>34.665545999999999</v>
      </c>
      <c r="J1140" s="298">
        <v>34.787337999999998</v>
      </c>
      <c r="K1140" s="298">
        <v>34.834797000000002</v>
      </c>
      <c r="L1140" s="298">
        <v>34.857765000000001</v>
      </c>
      <c r="M1140" s="298">
        <v>34.926220000000001</v>
      </c>
      <c r="N1140" s="298">
        <v>34.955395000000003</v>
      </c>
      <c r="O1140" s="298">
        <v>35.016125000000002</v>
      </c>
      <c r="P1140" s="298">
        <v>35.058846000000003</v>
      </c>
      <c r="Q1140" s="298">
        <v>35.112552999999998</v>
      </c>
      <c r="R1140" s="298">
        <v>35.170994</v>
      </c>
      <c r="S1140" s="298">
        <v>35.234310000000001</v>
      </c>
      <c r="T1140" s="298">
        <v>35.307110000000002</v>
      </c>
      <c r="U1140" s="298">
        <v>35.384692999999999</v>
      </c>
      <c r="V1140" s="298">
        <v>35.446201000000002</v>
      </c>
      <c r="W1140" s="298">
        <v>35.531222999999997</v>
      </c>
      <c r="X1140" s="298">
        <v>35.584885</v>
      </c>
      <c r="Y1140" s="298">
        <v>35.628413999999999</v>
      </c>
      <c r="Z1140" s="298">
        <v>35.677470999999997</v>
      </c>
      <c r="AA1140" s="298">
        <v>35.720672999999998</v>
      </c>
      <c r="AB1140" s="298">
        <v>35.754703999999997</v>
      </c>
      <c r="AC1140" s="298">
        <v>35.821762</v>
      </c>
      <c r="AD1140" s="298">
        <v>35.871155000000002</v>
      </c>
      <c r="AE1140" s="298">
        <v>35.932364999999997</v>
      </c>
      <c r="AF1140" s="298">
        <v>35.980418999999998</v>
      </c>
      <c r="AG1140" s="298">
        <v>36.040646000000002</v>
      </c>
      <c r="AH1140" s="296">
        <v>4.2649999999999997E-3</v>
      </c>
    </row>
    <row r="1141" spans="1:34" ht="15" customHeight="1" x14ac:dyDescent="0.25">
      <c r="A1141" s="213" t="s">
        <v>1906</v>
      </c>
      <c r="B1141" s="294" t="s">
        <v>1907</v>
      </c>
      <c r="C1141" s="298">
        <v>28.906548000000001</v>
      </c>
      <c r="D1141" s="298">
        <v>29.823937999999998</v>
      </c>
      <c r="E1141" s="298">
        <v>30.350573000000001</v>
      </c>
      <c r="F1141" s="298">
        <v>30.749773000000001</v>
      </c>
      <c r="G1141" s="298">
        <v>31.063206000000001</v>
      </c>
      <c r="H1141" s="298">
        <v>31.376944000000002</v>
      </c>
      <c r="I1141" s="298">
        <v>31.808617000000002</v>
      </c>
      <c r="J1141" s="298">
        <v>31.902322999999999</v>
      </c>
      <c r="K1141" s="298">
        <v>31.993428999999999</v>
      </c>
      <c r="L1141" s="298">
        <v>32.056624999999997</v>
      </c>
      <c r="M1141" s="298">
        <v>32.199866999999998</v>
      </c>
      <c r="N1141" s="298">
        <v>32.274590000000003</v>
      </c>
      <c r="O1141" s="298">
        <v>32.378010000000003</v>
      </c>
      <c r="P1141" s="298">
        <v>32.463420999999997</v>
      </c>
      <c r="Q1141" s="298">
        <v>32.549728000000002</v>
      </c>
      <c r="R1141" s="298">
        <v>32.635151</v>
      </c>
      <c r="S1141" s="298">
        <v>32.725140000000003</v>
      </c>
      <c r="T1141" s="298">
        <v>32.825138000000003</v>
      </c>
      <c r="U1141" s="298">
        <v>32.934696000000002</v>
      </c>
      <c r="V1141" s="298">
        <v>33.012000999999998</v>
      </c>
      <c r="W1141" s="298">
        <v>33.125492000000001</v>
      </c>
      <c r="X1141" s="298">
        <v>33.206969999999998</v>
      </c>
      <c r="Y1141" s="298">
        <v>33.267592999999998</v>
      </c>
      <c r="Z1141" s="298">
        <v>33.331119999999999</v>
      </c>
      <c r="AA1141" s="298">
        <v>33.383636000000003</v>
      </c>
      <c r="AB1141" s="298">
        <v>33.415832999999999</v>
      </c>
      <c r="AC1141" s="298">
        <v>33.498821</v>
      </c>
      <c r="AD1141" s="298">
        <v>33.565849</v>
      </c>
      <c r="AE1141" s="298">
        <v>33.636940000000003</v>
      </c>
      <c r="AF1141" s="298">
        <v>33.690544000000003</v>
      </c>
      <c r="AG1141" s="298">
        <v>33.754027999999998</v>
      </c>
      <c r="AH1141" s="296">
        <v>5.1809999999999998E-3</v>
      </c>
    </row>
    <row r="1142" spans="1:34" ht="15" customHeight="1" x14ac:dyDescent="0.25">
      <c r="A1142" s="213" t="s">
        <v>1908</v>
      </c>
      <c r="B1142" s="294" t="s">
        <v>1909</v>
      </c>
      <c r="C1142" s="298">
        <v>35.165866999999999</v>
      </c>
      <c r="D1142" s="298">
        <v>36.630367</v>
      </c>
      <c r="E1142" s="298">
        <v>37.024642999999998</v>
      </c>
      <c r="F1142" s="298">
        <v>37.631659999999997</v>
      </c>
      <c r="G1142" s="298">
        <v>38.212791000000003</v>
      </c>
      <c r="H1142" s="298">
        <v>38.645626</v>
      </c>
      <c r="I1142" s="298">
        <v>39.239960000000004</v>
      </c>
      <c r="J1142" s="298">
        <v>39.315010000000001</v>
      </c>
      <c r="K1142" s="298">
        <v>39.388016</v>
      </c>
      <c r="L1142" s="298">
        <v>39.448470999999998</v>
      </c>
      <c r="M1142" s="298">
        <v>39.545268999999998</v>
      </c>
      <c r="N1142" s="298">
        <v>39.660212999999999</v>
      </c>
      <c r="O1142" s="298">
        <v>39.776381999999998</v>
      </c>
      <c r="P1142" s="298">
        <v>39.915272000000002</v>
      </c>
      <c r="Q1142" s="298">
        <v>40.049095000000001</v>
      </c>
      <c r="R1142" s="298">
        <v>40.198031999999998</v>
      </c>
      <c r="S1142" s="298">
        <v>40.356304000000002</v>
      </c>
      <c r="T1142" s="298">
        <v>40.526688</v>
      </c>
      <c r="U1142" s="298">
        <v>40.706356</v>
      </c>
      <c r="V1142" s="298">
        <v>40.876556000000001</v>
      </c>
      <c r="W1142" s="298">
        <v>41.054141999999999</v>
      </c>
      <c r="X1142" s="298">
        <v>41.199894</v>
      </c>
      <c r="Y1142" s="298">
        <v>41.325943000000002</v>
      </c>
      <c r="Z1142" s="298">
        <v>41.461818999999998</v>
      </c>
      <c r="AA1142" s="298">
        <v>41.597197999999999</v>
      </c>
      <c r="AB1142" s="298">
        <v>41.723385</v>
      </c>
      <c r="AC1142" s="298">
        <v>41.876499000000003</v>
      </c>
      <c r="AD1142" s="298">
        <v>42.050434000000003</v>
      </c>
      <c r="AE1142" s="298">
        <v>42.220157999999998</v>
      </c>
      <c r="AF1142" s="298">
        <v>42.394942999999998</v>
      </c>
      <c r="AG1142" s="298">
        <v>42.574641999999997</v>
      </c>
      <c r="AH1142" s="296">
        <v>6.3930000000000002E-3</v>
      </c>
    </row>
    <row r="1143" spans="1:34" ht="15" customHeight="1" x14ac:dyDescent="0.25">
      <c r="A1143" s="213" t="s">
        <v>1910</v>
      </c>
      <c r="B1143" s="294" t="s">
        <v>1911</v>
      </c>
      <c r="C1143" s="298">
        <v>25.864083999999998</v>
      </c>
      <c r="D1143" s="298">
        <v>26.682836999999999</v>
      </c>
      <c r="E1143" s="298">
        <v>27.100135999999999</v>
      </c>
      <c r="F1143" s="298">
        <v>27.407844999999998</v>
      </c>
      <c r="G1143" s="298">
        <v>27.647428999999999</v>
      </c>
      <c r="H1143" s="298">
        <v>27.902626000000001</v>
      </c>
      <c r="I1143" s="298">
        <v>28.264831999999998</v>
      </c>
      <c r="J1143" s="298">
        <v>28.364135999999998</v>
      </c>
      <c r="K1143" s="298">
        <v>28.402832</v>
      </c>
      <c r="L1143" s="298">
        <v>28.421558000000001</v>
      </c>
      <c r="M1143" s="298">
        <v>28.477374999999999</v>
      </c>
      <c r="N1143" s="298">
        <v>28.501162000000001</v>
      </c>
      <c r="O1143" s="298">
        <v>28.550678000000001</v>
      </c>
      <c r="P1143" s="298">
        <v>28.585512000000001</v>
      </c>
      <c r="Q1143" s="298">
        <v>28.629303</v>
      </c>
      <c r="R1143" s="298">
        <v>28.676952</v>
      </c>
      <c r="S1143" s="298">
        <v>28.728579</v>
      </c>
      <c r="T1143" s="298">
        <v>28.787935000000001</v>
      </c>
      <c r="U1143" s="298">
        <v>28.851194</v>
      </c>
      <c r="V1143" s="298">
        <v>28.901346</v>
      </c>
      <c r="W1143" s="298">
        <v>28.970669000000001</v>
      </c>
      <c r="X1143" s="298">
        <v>29.014420999999999</v>
      </c>
      <c r="Y1143" s="298">
        <v>29.049913</v>
      </c>
      <c r="Z1143" s="298">
        <v>29.089912000000002</v>
      </c>
      <c r="AA1143" s="298">
        <v>29.125136999999999</v>
      </c>
      <c r="AB1143" s="298">
        <v>29.152885000000001</v>
      </c>
      <c r="AC1143" s="298">
        <v>29.207560999999998</v>
      </c>
      <c r="AD1143" s="298">
        <v>29.247834999999998</v>
      </c>
      <c r="AE1143" s="298">
        <v>29.297743000000001</v>
      </c>
      <c r="AF1143" s="298">
        <v>29.336924</v>
      </c>
      <c r="AG1143" s="298">
        <v>29.386030000000002</v>
      </c>
      <c r="AH1143" s="296">
        <v>4.2649999999999997E-3</v>
      </c>
    </row>
    <row r="1144" spans="1:34" ht="15" customHeight="1" x14ac:dyDescent="0.25">
      <c r="A1144" s="213" t="s">
        <v>1912</v>
      </c>
      <c r="B1144" s="294" t="s">
        <v>1913</v>
      </c>
      <c r="C1144" s="298">
        <v>24.011631000000001</v>
      </c>
      <c r="D1144" s="298">
        <v>24.49362</v>
      </c>
      <c r="E1144" s="298">
        <v>24.99033</v>
      </c>
      <c r="F1144" s="298">
        <v>25.494662999999999</v>
      </c>
      <c r="G1144" s="298">
        <v>25.999084</v>
      </c>
      <c r="H1144" s="298">
        <v>26.487638</v>
      </c>
      <c r="I1144" s="298">
        <v>26.960497</v>
      </c>
      <c r="J1144" s="298">
        <v>27.396156000000001</v>
      </c>
      <c r="K1144" s="298">
        <v>27.806992999999999</v>
      </c>
      <c r="L1144" s="298">
        <v>28.193567000000002</v>
      </c>
      <c r="M1144" s="298">
        <v>28.559021000000001</v>
      </c>
      <c r="N1144" s="298">
        <v>28.90119</v>
      </c>
      <c r="O1144" s="298">
        <v>29.224095999999999</v>
      </c>
      <c r="P1144" s="298">
        <v>29.524984</v>
      </c>
      <c r="Q1144" s="298">
        <v>29.805897000000002</v>
      </c>
      <c r="R1144" s="298">
        <v>30.068491000000002</v>
      </c>
      <c r="S1144" s="298">
        <v>30.311461999999999</v>
      </c>
      <c r="T1144" s="298">
        <v>30.538170000000001</v>
      </c>
      <c r="U1144" s="298">
        <v>30.749134000000002</v>
      </c>
      <c r="V1144" s="298">
        <v>30.943296</v>
      </c>
      <c r="W1144" s="298">
        <v>31.121948</v>
      </c>
      <c r="X1144" s="298">
        <v>31.288243999999999</v>
      </c>
      <c r="Y1144" s="298">
        <v>31.441230999999998</v>
      </c>
      <c r="Z1144" s="298">
        <v>31.581344999999999</v>
      </c>
      <c r="AA1144" s="298">
        <v>31.709924999999998</v>
      </c>
      <c r="AB1144" s="298">
        <v>31.830399</v>
      </c>
      <c r="AC1144" s="298">
        <v>31.944506000000001</v>
      </c>
      <c r="AD1144" s="298">
        <v>32.051380000000002</v>
      </c>
      <c r="AE1144" s="298">
        <v>32.152484999999999</v>
      </c>
      <c r="AF1144" s="298">
        <v>32.246841000000003</v>
      </c>
      <c r="AG1144" s="298">
        <v>32.335819000000001</v>
      </c>
      <c r="AH1144" s="296">
        <v>9.9710000000000007E-3</v>
      </c>
    </row>
    <row r="1145" spans="1:34" ht="15" customHeight="1" x14ac:dyDescent="0.25">
      <c r="A1145" s="213" t="s">
        <v>1914</v>
      </c>
      <c r="B1145" s="294" t="s">
        <v>1915</v>
      </c>
      <c r="C1145" s="298">
        <v>15.201252999999999</v>
      </c>
      <c r="D1145" s="298">
        <v>15.355183</v>
      </c>
      <c r="E1145" s="298">
        <v>15.453816</v>
      </c>
      <c r="F1145" s="298">
        <v>15.629035</v>
      </c>
      <c r="G1145" s="298">
        <v>15.824693999999999</v>
      </c>
      <c r="H1145" s="298">
        <v>16.066853999999999</v>
      </c>
      <c r="I1145" s="298">
        <v>16.315256000000002</v>
      </c>
      <c r="J1145" s="298">
        <v>16.549543</v>
      </c>
      <c r="K1145" s="298">
        <v>16.588885999999999</v>
      </c>
      <c r="L1145" s="298">
        <v>16.705376000000001</v>
      </c>
      <c r="M1145" s="298">
        <v>16.787448999999999</v>
      </c>
      <c r="N1145" s="298">
        <v>16.767828000000002</v>
      </c>
      <c r="O1145" s="298">
        <v>16.786064</v>
      </c>
      <c r="P1145" s="298">
        <v>16.785177000000001</v>
      </c>
      <c r="Q1145" s="298">
        <v>16.784832000000002</v>
      </c>
      <c r="R1145" s="298">
        <v>16.784492</v>
      </c>
      <c r="S1145" s="298">
        <v>16.782982000000001</v>
      </c>
      <c r="T1145" s="298">
        <v>16.772402</v>
      </c>
      <c r="U1145" s="298">
        <v>16.759968000000001</v>
      </c>
      <c r="V1145" s="298">
        <v>16.753847</v>
      </c>
      <c r="W1145" s="298">
        <v>16.739564999999999</v>
      </c>
      <c r="X1145" s="298">
        <v>16.732258000000002</v>
      </c>
      <c r="Y1145" s="298">
        <v>16.723436</v>
      </c>
      <c r="Z1145" s="298">
        <v>16.713588999999999</v>
      </c>
      <c r="AA1145" s="298">
        <v>16.703699</v>
      </c>
      <c r="AB1145" s="298">
        <v>16.694199000000001</v>
      </c>
      <c r="AC1145" s="298">
        <v>16.683150999999999</v>
      </c>
      <c r="AD1145" s="298">
        <v>16.688274</v>
      </c>
      <c r="AE1145" s="298">
        <v>16.693066000000002</v>
      </c>
      <c r="AF1145" s="298">
        <v>16.705228999999999</v>
      </c>
      <c r="AG1145" s="298">
        <v>16.724495000000001</v>
      </c>
      <c r="AH1145" s="296">
        <v>3.1879999999999999E-3</v>
      </c>
    </row>
    <row r="1146" spans="1:34" ht="15" customHeight="1" x14ac:dyDescent="0.25">
      <c r="A1146" s="213" t="s">
        <v>1916</v>
      </c>
      <c r="B1146" s="294" t="s">
        <v>1917</v>
      </c>
      <c r="C1146" s="298">
        <v>14.04214</v>
      </c>
      <c r="D1146" s="298">
        <v>14.213316000000001</v>
      </c>
      <c r="E1146" s="298">
        <v>14.400014000000001</v>
      </c>
      <c r="F1146" s="298">
        <v>14.593836</v>
      </c>
      <c r="G1146" s="298">
        <v>14.781700000000001</v>
      </c>
      <c r="H1146" s="298">
        <v>14.922821000000001</v>
      </c>
      <c r="I1146" s="298">
        <v>15.073496</v>
      </c>
      <c r="J1146" s="298">
        <v>15.232269000000001</v>
      </c>
      <c r="K1146" s="298">
        <v>15.382192999999999</v>
      </c>
      <c r="L1146" s="298">
        <v>15.533585</v>
      </c>
      <c r="M1146" s="298">
        <v>15.676189000000001</v>
      </c>
      <c r="N1146" s="298">
        <v>15.805425</v>
      </c>
      <c r="O1146" s="298">
        <v>15.920070000000001</v>
      </c>
      <c r="P1146" s="298">
        <v>16.021121999999998</v>
      </c>
      <c r="Q1146" s="298">
        <v>16.107089999999999</v>
      </c>
      <c r="R1146" s="298">
        <v>16.185827</v>
      </c>
      <c r="S1146" s="298">
        <v>16.253571000000001</v>
      </c>
      <c r="T1146" s="298">
        <v>16.306384999999999</v>
      </c>
      <c r="U1146" s="298">
        <v>16.3566</v>
      </c>
      <c r="V1146" s="298">
        <v>16.401613000000001</v>
      </c>
      <c r="W1146" s="298">
        <v>16.439768000000001</v>
      </c>
      <c r="X1146" s="298">
        <v>16.471526999999998</v>
      </c>
      <c r="Y1146" s="298">
        <v>16.505562000000001</v>
      </c>
      <c r="Z1146" s="298">
        <v>16.527270999999999</v>
      </c>
      <c r="AA1146" s="298">
        <v>16.542200000000001</v>
      </c>
      <c r="AB1146" s="298">
        <v>16.555029000000001</v>
      </c>
      <c r="AC1146" s="298">
        <v>16.547198999999999</v>
      </c>
      <c r="AD1146" s="298">
        <v>16.562515000000001</v>
      </c>
      <c r="AE1146" s="298">
        <v>16.582225999999999</v>
      </c>
      <c r="AF1146" s="298">
        <v>16.604101</v>
      </c>
      <c r="AG1146" s="298">
        <v>16.627987000000001</v>
      </c>
      <c r="AH1146" s="296">
        <v>5.6499999999999996E-3</v>
      </c>
    </row>
    <row r="1147" spans="1:34" ht="15" customHeight="1" x14ac:dyDescent="0.25">
      <c r="A1147" s="213" t="s">
        <v>1918</v>
      </c>
      <c r="B1147" s="294" t="s">
        <v>1919</v>
      </c>
      <c r="C1147" s="298">
        <v>7.2381840000000004</v>
      </c>
      <c r="D1147" s="298">
        <v>7.3106289999999996</v>
      </c>
      <c r="E1147" s="298">
        <v>7.3899419999999996</v>
      </c>
      <c r="F1147" s="298">
        <v>7.4766199999999996</v>
      </c>
      <c r="G1147" s="298">
        <v>7.5748949999999997</v>
      </c>
      <c r="H1147" s="298">
        <v>7.6872590000000001</v>
      </c>
      <c r="I1147" s="298">
        <v>7.811744</v>
      </c>
      <c r="J1147" s="298">
        <v>7.9480810000000002</v>
      </c>
      <c r="K1147" s="298">
        <v>8.0881100000000004</v>
      </c>
      <c r="L1147" s="298">
        <v>8.2363879999999998</v>
      </c>
      <c r="M1147" s="298">
        <v>8.3898849999999996</v>
      </c>
      <c r="N1147" s="298">
        <v>8.5456950000000003</v>
      </c>
      <c r="O1147" s="298">
        <v>8.6975180000000005</v>
      </c>
      <c r="P1147" s="298">
        <v>8.8389310000000005</v>
      </c>
      <c r="Q1147" s="298">
        <v>8.9690670000000008</v>
      </c>
      <c r="R1147" s="298">
        <v>9.0871860000000009</v>
      </c>
      <c r="S1147" s="298">
        <v>9.1944230000000005</v>
      </c>
      <c r="T1147" s="298">
        <v>9.2917489999999994</v>
      </c>
      <c r="U1147" s="298">
        <v>9.3801190000000005</v>
      </c>
      <c r="V1147" s="298">
        <v>9.4605910000000009</v>
      </c>
      <c r="W1147" s="298">
        <v>9.5333299999999994</v>
      </c>
      <c r="X1147" s="298">
        <v>9.6002939999999999</v>
      </c>
      <c r="Y1147" s="298">
        <v>9.6593630000000008</v>
      </c>
      <c r="Z1147" s="298">
        <v>9.7107510000000001</v>
      </c>
      <c r="AA1147" s="298">
        <v>9.7559269999999998</v>
      </c>
      <c r="AB1147" s="298">
        <v>9.7982410000000009</v>
      </c>
      <c r="AC1147" s="298">
        <v>9.8399789999999996</v>
      </c>
      <c r="AD1147" s="298">
        <v>9.8814709999999994</v>
      </c>
      <c r="AE1147" s="298">
        <v>9.9219279999999994</v>
      </c>
      <c r="AF1147" s="298">
        <v>9.9610409999999998</v>
      </c>
      <c r="AG1147" s="298">
        <v>9.9996329999999993</v>
      </c>
      <c r="AH1147" s="296">
        <v>1.0831E-2</v>
      </c>
    </row>
    <row r="1148" spans="1:34" ht="15" customHeight="1" x14ac:dyDescent="0.2">
      <c r="B1148" s="204" t="s">
        <v>1920</v>
      </c>
    </row>
    <row r="1149" spans="1:34" ht="15" customHeight="1" x14ac:dyDescent="0.25">
      <c r="A1149" s="213" t="s">
        <v>1921</v>
      </c>
      <c r="B1149" s="294" t="s">
        <v>1922</v>
      </c>
      <c r="C1149" s="298">
        <v>71.028343000000007</v>
      </c>
      <c r="D1149" s="298">
        <v>72.220389999999995</v>
      </c>
      <c r="E1149" s="298">
        <v>72.564667</v>
      </c>
      <c r="F1149" s="298">
        <v>73.077133000000003</v>
      </c>
      <c r="G1149" s="298">
        <v>73.849853999999993</v>
      </c>
      <c r="H1149" s="298">
        <v>74.425162999999998</v>
      </c>
      <c r="I1149" s="298">
        <v>74.927543999999997</v>
      </c>
      <c r="J1149" s="298">
        <v>75.429169000000002</v>
      </c>
      <c r="K1149" s="298">
        <v>75.919990999999996</v>
      </c>
      <c r="L1149" s="298">
        <v>76.401756000000006</v>
      </c>
      <c r="M1149" s="298">
        <v>76.913512999999995</v>
      </c>
      <c r="N1149" s="298">
        <v>77.444984000000005</v>
      </c>
      <c r="O1149" s="298">
        <v>78.005836000000002</v>
      </c>
      <c r="P1149" s="298">
        <v>78.598488000000003</v>
      </c>
      <c r="Q1149" s="298">
        <v>79.204361000000006</v>
      </c>
      <c r="R1149" s="298">
        <v>79.826790000000003</v>
      </c>
      <c r="S1149" s="298">
        <v>80.448372000000006</v>
      </c>
      <c r="T1149" s="298">
        <v>81.070091000000005</v>
      </c>
      <c r="U1149" s="298">
        <v>81.685203999999999</v>
      </c>
      <c r="V1149" s="298">
        <v>82.280083000000005</v>
      </c>
      <c r="W1149" s="298">
        <v>82.864433000000005</v>
      </c>
      <c r="X1149" s="298">
        <v>83.445746999999997</v>
      </c>
      <c r="Y1149" s="298">
        <v>84.029929999999993</v>
      </c>
      <c r="Z1149" s="298">
        <v>84.622078000000002</v>
      </c>
      <c r="AA1149" s="298">
        <v>85.195296999999997</v>
      </c>
      <c r="AB1149" s="298">
        <v>85.747985999999997</v>
      </c>
      <c r="AC1149" s="298">
        <v>86.293166999999997</v>
      </c>
      <c r="AD1149" s="298">
        <v>86.829903000000002</v>
      </c>
      <c r="AE1149" s="298">
        <v>87.385756999999998</v>
      </c>
      <c r="AF1149" s="298">
        <v>87.936958000000004</v>
      </c>
      <c r="AG1149" s="298">
        <v>88.485016000000002</v>
      </c>
      <c r="AH1149" s="296">
        <v>7.352E-3</v>
      </c>
    </row>
    <row r="1150" spans="1:34" ht="15" customHeight="1" x14ac:dyDescent="0.2">
      <c r="B1150" s="204" t="s">
        <v>1923</v>
      </c>
    </row>
    <row r="1151" spans="1:34" ht="15" customHeight="1" x14ac:dyDescent="0.25">
      <c r="A1151" s="213" t="s">
        <v>1924</v>
      </c>
      <c r="B1151" s="294" t="s">
        <v>1883</v>
      </c>
      <c r="C1151" s="298">
        <v>3.4893709999999998</v>
      </c>
      <c r="D1151" s="298">
        <v>3.512003</v>
      </c>
      <c r="E1151" s="298">
        <v>3.5347819999999999</v>
      </c>
      <c r="F1151" s="298">
        <v>3.5577100000000002</v>
      </c>
      <c r="G1151" s="298">
        <v>3.5807850000000001</v>
      </c>
      <c r="H1151" s="298">
        <v>3.6040100000000002</v>
      </c>
      <c r="I1151" s="298">
        <v>3.627386</v>
      </c>
      <c r="J1151" s="298">
        <v>3.6509140000000002</v>
      </c>
      <c r="K1151" s="298">
        <v>3.6745939999999999</v>
      </c>
      <c r="L1151" s="298">
        <v>3.6984279999999998</v>
      </c>
      <c r="M1151" s="298">
        <v>3.7224159999999999</v>
      </c>
      <c r="N1151" s="298">
        <v>3.7465600000000001</v>
      </c>
      <c r="O1151" s="298">
        <v>3.7708599999999999</v>
      </c>
      <c r="P1151" s="298">
        <v>3.795318</v>
      </c>
      <c r="Q1151" s="298">
        <v>3.8199350000000001</v>
      </c>
      <c r="R1151" s="298">
        <v>3.8447119999999999</v>
      </c>
      <c r="S1151" s="298">
        <v>3.8696489999999999</v>
      </c>
      <c r="T1151" s="298">
        <v>3.8947479999999999</v>
      </c>
      <c r="U1151" s="298">
        <v>3.9200089999999999</v>
      </c>
      <c r="V1151" s="298">
        <v>3.9454349999999998</v>
      </c>
      <c r="W1151" s="298">
        <v>3.971025</v>
      </c>
      <c r="X1151" s="298">
        <v>3.9967820000000001</v>
      </c>
      <c r="Y1151" s="298">
        <v>4.0227050000000002</v>
      </c>
      <c r="Z1151" s="298">
        <v>4.0487970000000004</v>
      </c>
      <c r="AA1151" s="298">
        <v>4.0750580000000003</v>
      </c>
      <c r="AB1151" s="298">
        <v>4.1014889999999999</v>
      </c>
      <c r="AC1151" s="298">
        <v>4.1280910000000004</v>
      </c>
      <c r="AD1151" s="298">
        <v>4.1548660000000002</v>
      </c>
      <c r="AE1151" s="298">
        <v>4.1818150000000003</v>
      </c>
      <c r="AF1151" s="298">
        <v>4.208939</v>
      </c>
      <c r="AG1151" s="298">
        <v>4.2362380000000002</v>
      </c>
      <c r="AH1151" s="296">
        <v>6.4859999999999996E-3</v>
      </c>
    </row>
    <row r="1152" spans="1:34" ht="15" customHeight="1" x14ac:dyDescent="0.25">
      <c r="A1152" s="213" t="s">
        <v>1925</v>
      </c>
      <c r="B1152" s="294" t="s">
        <v>1885</v>
      </c>
      <c r="C1152" s="298">
        <v>4.8419600000000003</v>
      </c>
      <c r="D1152" s="298">
        <v>4.8707260000000003</v>
      </c>
      <c r="E1152" s="298">
        <v>4.8996630000000003</v>
      </c>
      <c r="F1152" s="298">
        <v>4.9287720000000004</v>
      </c>
      <c r="G1152" s="298">
        <v>4.9580539999999997</v>
      </c>
      <c r="H1152" s="298">
        <v>4.9875090000000002</v>
      </c>
      <c r="I1152" s="298">
        <v>5.0171400000000004</v>
      </c>
      <c r="J1152" s="298">
        <v>5.0469470000000003</v>
      </c>
      <c r="K1152" s="298">
        <v>5.0769310000000001</v>
      </c>
      <c r="L1152" s="298">
        <v>5.1070919999999997</v>
      </c>
      <c r="M1152" s="298">
        <v>5.1374339999999998</v>
      </c>
      <c r="N1152" s="298">
        <v>5.1679550000000001</v>
      </c>
      <c r="O1152" s="298">
        <v>5.198658</v>
      </c>
      <c r="P1152" s="298">
        <v>5.2295429999999996</v>
      </c>
      <c r="Q1152" s="298">
        <v>5.2606109999999999</v>
      </c>
      <c r="R1152" s="298">
        <v>5.2918640000000003</v>
      </c>
      <c r="S1152" s="298">
        <v>5.3233030000000001</v>
      </c>
      <c r="T1152" s="298">
        <v>5.3549290000000003</v>
      </c>
      <c r="U1152" s="298">
        <v>5.3867419999999999</v>
      </c>
      <c r="V1152" s="298">
        <v>5.4187450000000004</v>
      </c>
      <c r="W1152" s="298">
        <v>5.4509379999999998</v>
      </c>
      <c r="X1152" s="298">
        <v>5.4833220000000003</v>
      </c>
      <c r="Y1152" s="298">
        <v>5.515898</v>
      </c>
      <c r="Z1152" s="298">
        <v>5.548667</v>
      </c>
      <c r="AA1152" s="298">
        <v>5.5816319999999999</v>
      </c>
      <c r="AB1152" s="298">
        <v>5.6147919999999996</v>
      </c>
      <c r="AC1152" s="298">
        <v>5.6481500000000002</v>
      </c>
      <c r="AD1152" s="298">
        <v>5.681705</v>
      </c>
      <c r="AE1152" s="298">
        <v>5.7154600000000002</v>
      </c>
      <c r="AF1152" s="298">
        <v>5.7494160000000001</v>
      </c>
      <c r="AG1152" s="298">
        <v>5.7835729999999996</v>
      </c>
      <c r="AH1152" s="296">
        <v>5.9410000000000001E-3</v>
      </c>
    </row>
    <row r="1154" spans="1:34" ht="15" customHeight="1" x14ac:dyDescent="0.2">
      <c r="B1154" s="204" t="s">
        <v>1926</v>
      </c>
    </row>
    <row r="1155" spans="1:34" ht="15" customHeight="1" x14ac:dyDescent="0.2">
      <c r="B1155" s="204" t="s">
        <v>1927</v>
      </c>
    </row>
    <row r="1156" spans="1:34" ht="15" customHeight="1" x14ac:dyDescent="0.25">
      <c r="A1156" s="213" t="s">
        <v>1928</v>
      </c>
      <c r="B1156" s="294" t="s">
        <v>1929</v>
      </c>
      <c r="C1156" s="295">
        <v>13.671303</v>
      </c>
      <c r="D1156" s="295">
        <v>14.31452</v>
      </c>
      <c r="E1156" s="295">
        <v>14.303330000000001</v>
      </c>
      <c r="F1156" s="295">
        <v>14.308396999999999</v>
      </c>
      <c r="G1156" s="295">
        <v>14.256598</v>
      </c>
      <c r="H1156" s="295">
        <v>14.176140999999999</v>
      </c>
      <c r="I1156" s="295">
        <v>14.078118999999999</v>
      </c>
      <c r="J1156" s="295">
        <v>13.976815</v>
      </c>
      <c r="K1156" s="295">
        <v>13.878121999999999</v>
      </c>
      <c r="L1156" s="295">
        <v>13.768432000000001</v>
      </c>
      <c r="M1156" s="295">
        <v>13.669912999999999</v>
      </c>
      <c r="N1156" s="295">
        <v>13.575455</v>
      </c>
      <c r="O1156" s="295">
        <v>13.488398</v>
      </c>
      <c r="P1156" s="295">
        <v>13.423621000000001</v>
      </c>
      <c r="Q1156" s="295">
        <v>13.372301</v>
      </c>
      <c r="R1156" s="295">
        <v>13.328881000000001</v>
      </c>
      <c r="S1156" s="295">
        <v>13.286728999999999</v>
      </c>
      <c r="T1156" s="295">
        <v>13.246257</v>
      </c>
      <c r="U1156" s="295">
        <v>13.21139</v>
      </c>
      <c r="V1156" s="295">
        <v>13.189525</v>
      </c>
      <c r="W1156" s="295">
        <v>13.176627999999999</v>
      </c>
      <c r="X1156" s="295">
        <v>13.16408</v>
      </c>
      <c r="Y1156" s="295">
        <v>13.164543</v>
      </c>
      <c r="Z1156" s="295">
        <v>13.175846999999999</v>
      </c>
      <c r="AA1156" s="295">
        <v>13.192310000000001</v>
      </c>
      <c r="AB1156" s="295">
        <v>13.206203</v>
      </c>
      <c r="AC1156" s="295">
        <v>13.222257000000001</v>
      </c>
      <c r="AD1156" s="295">
        <v>13.241574</v>
      </c>
      <c r="AE1156" s="295">
        <v>13.266640000000001</v>
      </c>
      <c r="AF1156" s="295">
        <v>13.297891</v>
      </c>
      <c r="AG1156" s="295">
        <v>13.329485</v>
      </c>
      <c r="AH1156" s="296">
        <v>-8.4400000000000002E-4</v>
      </c>
    </row>
    <row r="1157" spans="1:34" ht="15" customHeight="1" x14ac:dyDescent="0.25">
      <c r="A1157" s="213" t="s">
        <v>1930</v>
      </c>
      <c r="B1157" s="294" t="s">
        <v>1931</v>
      </c>
      <c r="C1157" s="295">
        <v>0.80038699999999996</v>
      </c>
      <c r="D1157" s="295">
        <v>0.824125</v>
      </c>
      <c r="E1157" s="295">
        <v>0.83617799999999998</v>
      </c>
      <c r="F1157" s="295">
        <v>0.83818499999999996</v>
      </c>
      <c r="G1157" s="295">
        <v>0.841109</v>
      </c>
      <c r="H1157" s="295">
        <v>0.84806099999999995</v>
      </c>
      <c r="I1157" s="295">
        <v>0.85120600000000002</v>
      </c>
      <c r="J1157" s="295">
        <v>0.852634</v>
      </c>
      <c r="K1157" s="295">
        <v>0.85334100000000002</v>
      </c>
      <c r="L1157" s="295">
        <v>0.85313899999999998</v>
      </c>
      <c r="M1157" s="295">
        <v>0.85419800000000001</v>
      </c>
      <c r="N1157" s="295">
        <v>0.85696499999999998</v>
      </c>
      <c r="O1157" s="295">
        <v>0.86006400000000005</v>
      </c>
      <c r="P1157" s="295">
        <v>0.86418700000000004</v>
      </c>
      <c r="Q1157" s="295">
        <v>0.87027200000000005</v>
      </c>
      <c r="R1157" s="295">
        <v>0.87683199999999994</v>
      </c>
      <c r="S1157" s="295">
        <v>0.88265099999999996</v>
      </c>
      <c r="T1157" s="295">
        <v>0.88892199999999999</v>
      </c>
      <c r="U1157" s="295">
        <v>0.89632400000000001</v>
      </c>
      <c r="V1157" s="295">
        <v>0.90395000000000003</v>
      </c>
      <c r="W1157" s="295">
        <v>0.91157100000000002</v>
      </c>
      <c r="X1157" s="295">
        <v>0.92086299999999999</v>
      </c>
      <c r="Y1157" s="295">
        <v>0.93132000000000004</v>
      </c>
      <c r="Z1157" s="295">
        <v>0.94299999999999995</v>
      </c>
      <c r="AA1157" s="295">
        <v>0.95448900000000003</v>
      </c>
      <c r="AB1157" s="295">
        <v>0.96569400000000005</v>
      </c>
      <c r="AC1157" s="295">
        <v>0.97780900000000004</v>
      </c>
      <c r="AD1157" s="295">
        <v>0.98829999999999996</v>
      </c>
      <c r="AE1157" s="295">
        <v>0.99942799999999998</v>
      </c>
      <c r="AF1157" s="295">
        <v>1.01142</v>
      </c>
      <c r="AG1157" s="295">
        <v>1.023431</v>
      </c>
      <c r="AH1157" s="296">
        <v>8.2279999999999992E-3</v>
      </c>
    </row>
    <row r="1158" spans="1:34" ht="15" customHeight="1" x14ac:dyDescent="0.25">
      <c r="A1158" s="213" t="s">
        <v>1932</v>
      </c>
      <c r="B1158" s="294" t="s">
        <v>1933</v>
      </c>
      <c r="C1158" s="295">
        <v>0.124219</v>
      </c>
      <c r="D1158" s="295">
        <v>0.15560299999999999</v>
      </c>
      <c r="E1158" s="295">
        <v>0.17824799999999999</v>
      </c>
      <c r="F1158" s="295">
        <v>0.19545999999999999</v>
      </c>
      <c r="G1158" s="295">
        <v>0.20796899999999999</v>
      </c>
      <c r="H1158" s="295">
        <v>0.217173</v>
      </c>
      <c r="I1158" s="295">
        <v>0.22372700000000001</v>
      </c>
      <c r="J1158" s="295">
        <v>0.22850599999999999</v>
      </c>
      <c r="K1158" s="295">
        <v>0.23133200000000001</v>
      </c>
      <c r="L1158" s="295">
        <v>0.23314199999999999</v>
      </c>
      <c r="M1158" s="295">
        <v>0.23496500000000001</v>
      </c>
      <c r="N1158" s="295">
        <v>0.235624</v>
      </c>
      <c r="O1158" s="295">
        <v>0.23652599999999999</v>
      </c>
      <c r="P1158" s="295">
        <v>0.23686699999999999</v>
      </c>
      <c r="Q1158" s="295">
        <v>0.23699400000000001</v>
      </c>
      <c r="R1158" s="295">
        <v>0.23697099999999999</v>
      </c>
      <c r="S1158" s="295">
        <v>0.236901</v>
      </c>
      <c r="T1158" s="295">
        <v>0.236676</v>
      </c>
      <c r="U1158" s="295">
        <v>0.23635400000000001</v>
      </c>
      <c r="V1158" s="295">
        <v>0.23574899999999999</v>
      </c>
      <c r="W1158" s="295">
        <v>0.23542099999999999</v>
      </c>
      <c r="X1158" s="295">
        <v>0.23472100000000001</v>
      </c>
      <c r="Y1158" s="295">
        <v>0.23394400000000001</v>
      </c>
      <c r="Z1158" s="295">
        <v>0.23314099999999999</v>
      </c>
      <c r="AA1158" s="295">
        <v>0.232267</v>
      </c>
      <c r="AB1158" s="295">
        <v>0.231266</v>
      </c>
      <c r="AC1158" s="295">
        <v>0.23055400000000001</v>
      </c>
      <c r="AD1158" s="295">
        <v>0.22966200000000001</v>
      </c>
      <c r="AE1158" s="295">
        <v>0.22886600000000001</v>
      </c>
      <c r="AF1158" s="295">
        <v>0.22806100000000001</v>
      </c>
      <c r="AG1158" s="295">
        <v>0.22742000000000001</v>
      </c>
      <c r="AH1158" s="296">
        <v>2.0362999999999999E-2</v>
      </c>
    </row>
    <row r="1159" spans="1:34" ht="15" customHeight="1" x14ac:dyDescent="0.25">
      <c r="A1159" s="213" t="s">
        <v>1934</v>
      </c>
      <c r="B1159" s="294" t="s">
        <v>1935</v>
      </c>
      <c r="C1159" s="295">
        <v>5.2159199999999997</v>
      </c>
      <c r="D1159" s="295">
        <v>5.3152980000000003</v>
      </c>
      <c r="E1159" s="295">
        <v>5.4481669999999998</v>
      </c>
      <c r="F1159" s="295">
        <v>5.454726</v>
      </c>
      <c r="G1159" s="295">
        <v>5.4643699999999997</v>
      </c>
      <c r="H1159" s="295">
        <v>5.481522</v>
      </c>
      <c r="I1159" s="295">
        <v>5.4570720000000001</v>
      </c>
      <c r="J1159" s="295">
        <v>5.4193680000000004</v>
      </c>
      <c r="K1159" s="295">
        <v>5.381697</v>
      </c>
      <c r="L1159" s="295">
        <v>5.342422</v>
      </c>
      <c r="M1159" s="295">
        <v>5.3117549999999998</v>
      </c>
      <c r="N1159" s="295">
        <v>5.2842169999999999</v>
      </c>
      <c r="O1159" s="295">
        <v>5.2531059999999998</v>
      </c>
      <c r="P1159" s="295">
        <v>5.2295129999999999</v>
      </c>
      <c r="Q1159" s="295">
        <v>5.2186190000000003</v>
      </c>
      <c r="R1159" s="295">
        <v>5.2171539999999998</v>
      </c>
      <c r="S1159" s="295">
        <v>5.2134900000000002</v>
      </c>
      <c r="T1159" s="295">
        <v>5.2167539999999999</v>
      </c>
      <c r="U1159" s="295">
        <v>5.2329160000000003</v>
      </c>
      <c r="V1159" s="295">
        <v>5.249949</v>
      </c>
      <c r="W1159" s="295">
        <v>5.2650880000000004</v>
      </c>
      <c r="X1159" s="295">
        <v>5.2961619999999998</v>
      </c>
      <c r="Y1159" s="295">
        <v>5.3431240000000004</v>
      </c>
      <c r="Z1159" s="295">
        <v>5.3956419999999996</v>
      </c>
      <c r="AA1159" s="295">
        <v>5.4427680000000001</v>
      </c>
      <c r="AB1159" s="295">
        <v>5.4910430000000003</v>
      </c>
      <c r="AC1159" s="295">
        <v>5.5400879999999999</v>
      </c>
      <c r="AD1159" s="295">
        <v>5.5875690000000002</v>
      </c>
      <c r="AE1159" s="295">
        <v>5.6404889999999996</v>
      </c>
      <c r="AF1159" s="295">
        <v>5.6978999999999997</v>
      </c>
      <c r="AG1159" s="295">
        <v>5.7578870000000002</v>
      </c>
      <c r="AH1159" s="296">
        <v>3.3010000000000001E-3</v>
      </c>
    </row>
    <row r="1160" spans="1:34" ht="15" customHeight="1" x14ac:dyDescent="0.25">
      <c r="A1160" s="213" t="s">
        <v>1936</v>
      </c>
      <c r="B1160" s="294" t="s">
        <v>1937</v>
      </c>
      <c r="C1160" s="295">
        <v>2.9648000000000001E-2</v>
      </c>
      <c r="D1160" s="295">
        <v>3.5372000000000001E-2</v>
      </c>
      <c r="E1160" s="295">
        <v>3.9948999999999998E-2</v>
      </c>
      <c r="F1160" s="295">
        <v>4.3489E-2</v>
      </c>
      <c r="G1160" s="295">
        <v>4.5983999999999997E-2</v>
      </c>
      <c r="H1160" s="295">
        <v>4.7932000000000002E-2</v>
      </c>
      <c r="I1160" s="295">
        <v>4.9327000000000003E-2</v>
      </c>
      <c r="J1160" s="295">
        <v>5.0383999999999998E-2</v>
      </c>
      <c r="K1160" s="295">
        <v>5.0867000000000002E-2</v>
      </c>
      <c r="L1160" s="295">
        <v>5.1175999999999999E-2</v>
      </c>
      <c r="M1160" s="295">
        <v>5.1805999999999998E-2</v>
      </c>
      <c r="N1160" s="295">
        <v>5.2263999999999998E-2</v>
      </c>
      <c r="O1160" s="295">
        <v>5.2979999999999999E-2</v>
      </c>
      <c r="P1160" s="295">
        <v>5.3629000000000003E-2</v>
      </c>
      <c r="Q1160" s="295">
        <v>5.4341E-2</v>
      </c>
      <c r="R1160" s="295">
        <v>5.5025999999999999E-2</v>
      </c>
      <c r="S1160" s="295">
        <v>5.5648000000000003E-2</v>
      </c>
      <c r="T1160" s="295">
        <v>5.6226999999999999E-2</v>
      </c>
      <c r="U1160" s="295">
        <v>5.6842999999999998E-2</v>
      </c>
      <c r="V1160" s="295">
        <v>5.7418999999999998E-2</v>
      </c>
      <c r="W1160" s="295">
        <v>5.8186000000000002E-2</v>
      </c>
      <c r="X1160" s="295">
        <v>5.8848999999999999E-2</v>
      </c>
      <c r="Y1160" s="295">
        <v>5.9567000000000002E-2</v>
      </c>
      <c r="Z1160" s="295">
        <v>6.0338999999999997E-2</v>
      </c>
      <c r="AA1160" s="295">
        <v>6.1092E-2</v>
      </c>
      <c r="AB1160" s="295">
        <v>6.1766000000000001E-2</v>
      </c>
      <c r="AC1160" s="295">
        <v>6.2538999999999997E-2</v>
      </c>
      <c r="AD1160" s="295">
        <v>6.3215999999999994E-2</v>
      </c>
      <c r="AE1160" s="295">
        <v>6.3948000000000005E-2</v>
      </c>
      <c r="AF1160" s="295">
        <v>6.4641000000000004E-2</v>
      </c>
      <c r="AG1160" s="295">
        <v>6.5327999999999997E-2</v>
      </c>
      <c r="AH1160" s="296">
        <v>2.6683999999999999E-2</v>
      </c>
    </row>
    <row r="1161" spans="1:34" ht="15" customHeight="1" x14ac:dyDescent="0.25">
      <c r="A1161" s="213" t="s">
        <v>1938</v>
      </c>
      <c r="B1161" s="294" t="s">
        <v>1939</v>
      </c>
      <c r="C1161" s="295">
        <v>0.43617299999999998</v>
      </c>
      <c r="D1161" s="295">
        <v>0.46079100000000001</v>
      </c>
      <c r="E1161" s="295">
        <v>0.46790300000000001</v>
      </c>
      <c r="F1161" s="295">
        <v>0.46067599999999997</v>
      </c>
      <c r="G1161" s="295">
        <v>0.45754</v>
      </c>
      <c r="H1161" s="295">
        <v>0.44711600000000001</v>
      </c>
      <c r="I1161" s="295">
        <v>0.44912800000000003</v>
      </c>
      <c r="J1161" s="295">
        <v>0.44500200000000001</v>
      </c>
      <c r="K1161" s="295">
        <v>0.44690800000000003</v>
      </c>
      <c r="L1161" s="295">
        <v>0.45016699999999998</v>
      </c>
      <c r="M1161" s="295">
        <v>0.45133400000000001</v>
      </c>
      <c r="N1161" s="295">
        <v>0.45037199999999999</v>
      </c>
      <c r="O1161" s="295">
        <v>0.44999400000000001</v>
      </c>
      <c r="P1161" s="295">
        <v>0.45079200000000003</v>
      </c>
      <c r="Q1161" s="295">
        <v>0.45160400000000001</v>
      </c>
      <c r="R1161" s="295">
        <v>0.45036399999999999</v>
      </c>
      <c r="S1161" s="295">
        <v>0.44789000000000001</v>
      </c>
      <c r="T1161" s="295">
        <v>0.44501400000000002</v>
      </c>
      <c r="U1161" s="295">
        <v>0.44074099999999999</v>
      </c>
      <c r="V1161" s="295">
        <v>0.43900099999999997</v>
      </c>
      <c r="W1161" s="295">
        <v>0.43703399999999998</v>
      </c>
      <c r="X1161" s="295">
        <v>0.43727199999999999</v>
      </c>
      <c r="Y1161" s="295">
        <v>0.43894300000000003</v>
      </c>
      <c r="Z1161" s="295">
        <v>0.439691</v>
      </c>
      <c r="AA1161" s="295">
        <v>0.44018200000000002</v>
      </c>
      <c r="AB1161" s="295">
        <v>0.43818600000000002</v>
      </c>
      <c r="AC1161" s="295">
        <v>0.43783499999999997</v>
      </c>
      <c r="AD1161" s="295">
        <v>0.43812800000000002</v>
      </c>
      <c r="AE1161" s="295">
        <v>0.43939099999999998</v>
      </c>
      <c r="AF1161" s="295">
        <v>0.44034099999999998</v>
      </c>
      <c r="AG1161" s="295">
        <v>0.44214599999999998</v>
      </c>
      <c r="AH1161" s="296">
        <v>4.5300000000000001E-4</v>
      </c>
    </row>
    <row r="1162" spans="1:34" ht="15" customHeight="1" x14ac:dyDescent="0.25">
      <c r="A1162" s="213" t="s">
        <v>1940</v>
      </c>
      <c r="B1162" s="294" t="s">
        <v>1941</v>
      </c>
      <c r="C1162" s="295">
        <v>7.7342999999999995E-2</v>
      </c>
      <c r="D1162" s="295">
        <v>7.9008999999999996E-2</v>
      </c>
      <c r="E1162" s="295">
        <v>7.8090000000000007E-2</v>
      </c>
      <c r="F1162" s="295">
        <v>7.6536000000000007E-2</v>
      </c>
      <c r="G1162" s="295">
        <v>7.4773999999999993E-2</v>
      </c>
      <c r="H1162" s="295">
        <v>7.3055999999999996E-2</v>
      </c>
      <c r="I1162" s="295">
        <v>7.0842000000000002E-2</v>
      </c>
      <c r="J1162" s="295">
        <v>6.8567000000000003E-2</v>
      </c>
      <c r="K1162" s="295">
        <v>6.6392999999999994E-2</v>
      </c>
      <c r="L1162" s="295">
        <v>6.4238000000000003E-2</v>
      </c>
      <c r="M1162" s="295">
        <v>6.2135999999999997E-2</v>
      </c>
      <c r="N1162" s="295">
        <v>6.1026999999999998E-2</v>
      </c>
      <c r="O1162" s="295">
        <v>5.9879000000000002E-2</v>
      </c>
      <c r="P1162" s="295">
        <v>5.883E-2</v>
      </c>
      <c r="Q1162" s="295">
        <v>5.7829999999999999E-2</v>
      </c>
      <c r="R1162" s="295">
        <v>5.6736000000000002E-2</v>
      </c>
      <c r="S1162" s="295">
        <v>5.5594999999999999E-2</v>
      </c>
      <c r="T1162" s="295">
        <v>5.4487000000000001E-2</v>
      </c>
      <c r="U1162" s="295">
        <v>5.3377000000000001E-2</v>
      </c>
      <c r="V1162" s="295">
        <v>5.2299999999999999E-2</v>
      </c>
      <c r="W1162" s="295">
        <v>5.1144000000000002E-2</v>
      </c>
      <c r="X1162" s="295">
        <v>5.0613999999999999E-2</v>
      </c>
      <c r="Y1162" s="295">
        <v>5.0202999999999998E-2</v>
      </c>
      <c r="Z1162" s="295">
        <v>4.9824E-2</v>
      </c>
      <c r="AA1162" s="295">
        <v>4.9375000000000002E-2</v>
      </c>
      <c r="AB1162" s="295">
        <v>4.8897000000000003E-2</v>
      </c>
      <c r="AC1162" s="295">
        <v>4.8439000000000003E-2</v>
      </c>
      <c r="AD1162" s="295">
        <v>4.7957E-2</v>
      </c>
      <c r="AE1162" s="295">
        <v>4.7481000000000002E-2</v>
      </c>
      <c r="AF1162" s="295">
        <v>4.7081999999999999E-2</v>
      </c>
      <c r="AG1162" s="295">
        <v>4.6699999999999998E-2</v>
      </c>
      <c r="AH1162" s="296">
        <v>-1.6677000000000001E-2</v>
      </c>
    </row>
    <row r="1163" spans="1:34" ht="15" customHeight="1" x14ac:dyDescent="0.25">
      <c r="A1163" s="213" t="s">
        <v>1942</v>
      </c>
      <c r="B1163" s="294" t="s">
        <v>1943</v>
      </c>
      <c r="C1163" s="295">
        <v>0.85588699999999995</v>
      </c>
      <c r="D1163" s="295">
        <v>0.88170099999999996</v>
      </c>
      <c r="E1163" s="295">
        <v>0.97264300000000004</v>
      </c>
      <c r="F1163" s="295">
        <v>0.97087999999999997</v>
      </c>
      <c r="G1163" s="295">
        <v>0.96519200000000005</v>
      </c>
      <c r="H1163" s="295">
        <v>0.93135599999999996</v>
      </c>
      <c r="I1163" s="295">
        <v>0.93199399999999999</v>
      </c>
      <c r="J1163" s="295">
        <v>0.91992700000000005</v>
      </c>
      <c r="K1163" s="295">
        <v>0.918072</v>
      </c>
      <c r="L1163" s="295">
        <v>0.91630299999999998</v>
      </c>
      <c r="M1163" s="295">
        <v>0.93429499999999999</v>
      </c>
      <c r="N1163" s="295">
        <v>0.91906500000000002</v>
      </c>
      <c r="O1163" s="295">
        <v>0.91856099999999996</v>
      </c>
      <c r="P1163" s="295">
        <v>0.91766099999999995</v>
      </c>
      <c r="Q1163" s="295">
        <v>0.91696699999999998</v>
      </c>
      <c r="R1163" s="295">
        <v>0.916103</v>
      </c>
      <c r="S1163" s="295">
        <v>0.91549499999999995</v>
      </c>
      <c r="T1163" s="295">
        <v>0.91719700000000004</v>
      </c>
      <c r="U1163" s="295">
        <v>0.91479299999999997</v>
      </c>
      <c r="V1163" s="295">
        <v>0.91517700000000002</v>
      </c>
      <c r="W1163" s="295">
        <v>0.90615800000000002</v>
      </c>
      <c r="X1163" s="295">
        <v>0.91317899999999996</v>
      </c>
      <c r="Y1163" s="295">
        <v>0.90260600000000002</v>
      </c>
      <c r="Z1163" s="295">
        <v>0.90266900000000005</v>
      </c>
      <c r="AA1163" s="295">
        <v>0.89637100000000003</v>
      </c>
      <c r="AB1163" s="295">
        <v>0.90110100000000004</v>
      </c>
      <c r="AC1163" s="295">
        <v>0.89584200000000003</v>
      </c>
      <c r="AD1163" s="295">
        <v>0.89296699999999996</v>
      </c>
      <c r="AE1163" s="295">
        <v>0.89244500000000004</v>
      </c>
      <c r="AF1163" s="295">
        <v>0.89249800000000001</v>
      </c>
      <c r="AG1163" s="295">
        <v>0.89156299999999999</v>
      </c>
      <c r="AH1163" s="296">
        <v>1.3619999999999999E-3</v>
      </c>
    </row>
    <row r="1164" spans="1:34" ht="15" customHeight="1" x14ac:dyDescent="0.25">
      <c r="A1164" s="213" t="s">
        <v>1944</v>
      </c>
      <c r="B1164" s="294" t="s">
        <v>1945</v>
      </c>
      <c r="C1164" s="295">
        <v>0.195878</v>
      </c>
      <c r="D1164" s="295">
        <v>0.19662299999999999</v>
      </c>
      <c r="E1164" s="295">
        <v>0.199516</v>
      </c>
      <c r="F1164" s="295">
        <v>0.20052300000000001</v>
      </c>
      <c r="G1164" s="295">
        <v>0.200213</v>
      </c>
      <c r="H1164" s="295">
        <v>0.19985800000000001</v>
      </c>
      <c r="I1164" s="295">
        <v>0.19897000000000001</v>
      </c>
      <c r="J1164" s="295">
        <v>0.19770599999999999</v>
      </c>
      <c r="K1164" s="295">
        <v>0.196211</v>
      </c>
      <c r="L1164" s="295">
        <v>0.194547</v>
      </c>
      <c r="M1164" s="295">
        <v>0.19328500000000001</v>
      </c>
      <c r="N1164" s="295">
        <v>0.19231599999999999</v>
      </c>
      <c r="O1164" s="295">
        <v>0.19153100000000001</v>
      </c>
      <c r="P1164" s="295">
        <v>0.19079499999999999</v>
      </c>
      <c r="Q1164" s="295">
        <v>0.19019900000000001</v>
      </c>
      <c r="R1164" s="295">
        <v>0.18947900000000001</v>
      </c>
      <c r="S1164" s="295">
        <v>0.188411</v>
      </c>
      <c r="T1164" s="295">
        <v>0.18722800000000001</v>
      </c>
      <c r="U1164" s="295">
        <v>0.186166</v>
      </c>
      <c r="V1164" s="295">
        <v>0.18521399999999999</v>
      </c>
      <c r="W1164" s="295">
        <v>0.18439800000000001</v>
      </c>
      <c r="X1164" s="295">
        <v>0.183612</v>
      </c>
      <c r="Y1164" s="295">
        <v>0.182973</v>
      </c>
      <c r="Z1164" s="295">
        <v>0.18243000000000001</v>
      </c>
      <c r="AA1164" s="295">
        <v>0.181837</v>
      </c>
      <c r="AB1164" s="295">
        <v>0.18113000000000001</v>
      </c>
      <c r="AC1164" s="295">
        <v>0.180364</v>
      </c>
      <c r="AD1164" s="295">
        <v>0.179565</v>
      </c>
      <c r="AE1164" s="295">
        <v>0.178864</v>
      </c>
      <c r="AF1164" s="295">
        <v>0.17815400000000001</v>
      </c>
      <c r="AG1164" s="295">
        <v>0.17736499999999999</v>
      </c>
      <c r="AH1164" s="296">
        <v>-3.3040000000000001E-3</v>
      </c>
    </row>
    <row r="1165" spans="1:34" ht="15" customHeight="1" x14ac:dyDescent="0.25">
      <c r="A1165" s="213" t="s">
        <v>1946</v>
      </c>
      <c r="B1165" s="294" t="s">
        <v>1947</v>
      </c>
      <c r="C1165" s="295">
        <v>1.8604849999999999</v>
      </c>
      <c r="D1165" s="295">
        <v>2.5308619999999999</v>
      </c>
      <c r="E1165" s="295">
        <v>2.8256230000000002</v>
      </c>
      <c r="F1165" s="295">
        <v>2.9600010000000001</v>
      </c>
      <c r="G1165" s="295">
        <v>3.0300150000000001</v>
      </c>
      <c r="H1165" s="295">
        <v>3.089048</v>
      </c>
      <c r="I1165" s="295">
        <v>3.108447</v>
      </c>
      <c r="J1165" s="295">
        <v>3.1248559999999999</v>
      </c>
      <c r="K1165" s="295">
        <v>3.1524580000000002</v>
      </c>
      <c r="L1165" s="295">
        <v>3.1749770000000002</v>
      </c>
      <c r="M1165" s="295">
        <v>3.2061929999999998</v>
      </c>
      <c r="N1165" s="295">
        <v>3.2444259999999998</v>
      </c>
      <c r="O1165" s="295">
        <v>3.2910370000000002</v>
      </c>
      <c r="P1165" s="295">
        <v>3.3397559999999999</v>
      </c>
      <c r="Q1165" s="295">
        <v>3.3888029999999998</v>
      </c>
      <c r="R1165" s="295">
        <v>3.437039</v>
      </c>
      <c r="S1165" s="295">
        <v>3.4744820000000001</v>
      </c>
      <c r="T1165" s="295">
        <v>3.5073379999999998</v>
      </c>
      <c r="U1165" s="295">
        <v>3.544565</v>
      </c>
      <c r="V1165" s="295">
        <v>3.5833170000000001</v>
      </c>
      <c r="W1165" s="295">
        <v>3.6291679999999999</v>
      </c>
      <c r="X1165" s="295">
        <v>3.6740949999999999</v>
      </c>
      <c r="Y1165" s="295">
        <v>3.7249180000000002</v>
      </c>
      <c r="Z1165" s="295">
        <v>3.7775609999999999</v>
      </c>
      <c r="AA1165" s="295">
        <v>3.83318</v>
      </c>
      <c r="AB1165" s="295">
        <v>3.8850660000000001</v>
      </c>
      <c r="AC1165" s="295">
        <v>3.934466</v>
      </c>
      <c r="AD1165" s="295">
        <v>3.9789859999999999</v>
      </c>
      <c r="AE1165" s="295">
        <v>4.020079</v>
      </c>
      <c r="AF1165" s="295">
        <v>4.0577300000000003</v>
      </c>
      <c r="AG1165" s="295">
        <v>4.0956619999999999</v>
      </c>
      <c r="AH1165" s="296">
        <v>2.6651999999999999E-2</v>
      </c>
    </row>
    <row r="1166" spans="1:34" ht="15" customHeight="1" x14ac:dyDescent="0.25">
      <c r="A1166" s="213" t="s">
        <v>1948</v>
      </c>
      <c r="B1166" s="294" t="s">
        <v>1949</v>
      </c>
      <c r="C1166" s="295">
        <v>0.53596600000000005</v>
      </c>
      <c r="D1166" s="295">
        <v>0.54501100000000002</v>
      </c>
      <c r="E1166" s="295">
        <v>0.54574800000000001</v>
      </c>
      <c r="F1166" s="295">
        <v>0.53256199999999998</v>
      </c>
      <c r="G1166" s="295">
        <v>0.52387499999999998</v>
      </c>
      <c r="H1166" s="295">
        <v>0.52334400000000003</v>
      </c>
      <c r="I1166" s="295">
        <v>0.52208500000000002</v>
      </c>
      <c r="J1166" s="295">
        <v>0.52191699999999996</v>
      </c>
      <c r="K1166" s="295">
        <v>0.52479100000000001</v>
      </c>
      <c r="L1166" s="295">
        <v>0.52363999999999999</v>
      </c>
      <c r="M1166" s="295">
        <v>0.52166900000000005</v>
      </c>
      <c r="N1166" s="295">
        <v>0.52158800000000005</v>
      </c>
      <c r="O1166" s="295">
        <v>0.522428</v>
      </c>
      <c r="P1166" s="295">
        <v>0.52329800000000004</v>
      </c>
      <c r="Q1166" s="295">
        <v>0.52417999999999998</v>
      </c>
      <c r="R1166" s="295">
        <v>0.525061</v>
      </c>
      <c r="S1166" s="295">
        <v>0.52598500000000004</v>
      </c>
      <c r="T1166" s="295">
        <v>0.52694099999999999</v>
      </c>
      <c r="U1166" s="295">
        <v>0.52790700000000002</v>
      </c>
      <c r="V1166" s="295">
        <v>0.52888299999999999</v>
      </c>
      <c r="W1166" s="295">
        <v>0.52986500000000003</v>
      </c>
      <c r="X1166" s="295">
        <v>0.53085800000000005</v>
      </c>
      <c r="Y1166" s="295">
        <v>0.53185099999999996</v>
      </c>
      <c r="Z1166" s="295">
        <v>0.53285099999999996</v>
      </c>
      <c r="AA1166" s="295">
        <v>0.53385199999999999</v>
      </c>
      <c r="AB1166" s="295">
        <v>0.53485899999999997</v>
      </c>
      <c r="AC1166" s="295">
        <v>0.53586400000000001</v>
      </c>
      <c r="AD1166" s="295">
        <v>0.53686900000000004</v>
      </c>
      <c r="AE1166" s="295">
        <v>0.53787399999999996</v>
      </c>
      <c r="AF1166" s="295">
        <v>0.53887799999999997</v>
      </c>
      <c r="AG1166" s="295">
        <v>0.53988000000000003</v>
      </c>
      <c r="AH1166" s="296">
        <v>2.43E-4</v>
      </c>
    </row>
    <row r="1167" spans="1:34" ht="15" customHeight="1" x14ac:dyDescent="0.25">
      <c r="A1167" s="213" t="s">
        <v>1950</v>
      </c>
      <c r="B1167" s="294" t="s">
        <v>1951</v>
      </c>
      <c r="C1167" s="295">
        <v>0.12123</v>
      </c>
      <c r="D1167" s="295">
        <v>0.12341299999999999</v>
      </c>
      <c r="E1167" s="295">
        <v>0.124809</v>
      </c>
      <c r="F1167" s="295">
        <v>0.125809</v>
      </c>
      <c r="G1167" s="295">
        <v>0.126418</v>
      </c>
      <c r="H1167" s="295">
        <v>0.126723</v>
      </c>
      <c r="I1167" s="295">
        <v>0.12686900000000001</v>
      </c>
      <c r="J1167" s="295">
        <v>0.126531</v>
      </c>
      <c r="K1167" s="295">
        <v>0.126274</v>
      </c>
      <c r="L1167" s="295">
        <v>0.12606899999999999</v>
      </c>
      <c r="M1167" s="295">
        <v>0.125861</v>
      </c>
      <c r="N1167" s="295">
        <v>0.12568799999999999</v>
      </c>
      <c r="O1167" s="295">
        <v>0.12550900000000001</v>
      </c>
      <c r="P1167" s="295">
        <v>0.12536900000000001</v>
      </c>
      <c r="Q1167" s="295">
        <v>0.12531200000000001</v>
      </c>
      <c r="R1167" s="295">
        <v>0.12520500000000001</v>
      </c>
      <c r="S1167" s="295">
        <v>0.12504899999999999</v>
      </c>
      <c r="T1167" s="295">
        <v>0.12490800000000001</v>
      </c>
      <c r="U1167" s="295">
        <v>0.12479899999999999</v>
      </c>
      <c r="V1167" s="295">
        <v>0.12468</v>
      </c>
      <c r="W1167" s="295">
        <v>0.124553</v>
      </c>
      <c r="X1167" s="295">
        <v>0.124475</v>
      </c>
      <c r="Y1167" s="295">
        <v>0.12445000000000001</v>
      </c>
      <c r="Z1167" s="295">
        <v>0.124379</v>
      </c>
      <c r="AA1167" s="295">
        <v>0.124374</v>
      </c>
      <c r="AB1167" s="295">
        <v>0.12445000000000001</v>
      </c>
      <c r="AC1167" s="295">
        <v>0.12452199999999999</v>
      </c>
      <c r="AD1167" s="295">
        <v>0.124566</v>
      </c>
      <c r="AE1167" s="295">
        <v>0.124595</v>
      </c>
      <c r="AF1167" s="295">
        <v>0.12457</v>
      </c>
      <c r="AG1167" s="295">
        <v>0.124503</v>
      </c>
      <c r="AH1167" s="296">
        <v>8.8800000000000001E-4</v>
      </c>
    </row>
    <row r="1168" spans="1:34" ht="15" customHeight="1" x14ac:dyDescent="0.25">
      <c r="A1168" s="213" t="s">
        <v>1952</v>
      </c>
      <c r="B1168" s="294" t="s">
        <v>1953</v>
      </c>
      <c r="C1168" s="295">
        <v>0.70627899999999999</v>
      </c>
      <c r="D1168" s="295">
        <v>0.76189300000000004</v>
      </c>
      <c r="E1168" s="295">
        <v>0.75658300000000001</v>
      </c>
      <c r="F1168" s="295">
        <v>0.71793899999999999</v>
      </c>
      <c r="G1168" s="295">
        <v>0.68035800000000002</v>
      </c>
      <c r="H1168" s="295">
        <v>0.66490400000000005</v>
      </c>
      <c r="I1168" s="295">
        <v>0.62340399999999996</v>
      </c>
      <c r="J1168" s="295">
        <v>0.61793200000000004</v>
      </c>
      <c r="K1168" s="295">
        <v>0.61683600000000005</v>
      </c>
      <c r="L1168" s="295">
        <v>0.61629</v>
      </c>
      <c r="M1168" s="295">
        <v>0.61148100000000005</v>
      </c>
      <c r="N1168" s="295">
        <v>0.612707</v>
      </c>
      <c r="O1168" s="295">
        <v>0.61787099999999995</v>
      </c>
      <c r="P1168" s="295">
        <v>0.62041199999999996</v>
      </c>
      <c r="Q1168" s="295">
        <v>0.62257700000000005</v>
      </c>
      <c r="R1168" s="295">
        <v>0.62744299999999997</v>
      </c>
      <c r="S1168" s="295">
        <v>0.63063599999999997</v>
      </c>
      <c r="T1168" s="295">
        <v>0.63487499999999997</v>
      </c>
      <c r="U1168" s="295">
        <v>0.63971</v>
      </c>
      <c r="V1168" s="295">
        <v>0.64397499999999996</v>
      </c>
      <c r="W1168" s="295">
        <v>0.65073599999999998</v>
      </c>
      <c r="X1168" s="295">
        <v>0.654636</v>
      </c>
      <c r="Y1168" s="295">
        <v>0.66025900000000004</v>
      </c>
      <c r="Z1168" s="295">
        <v>0.66815400000000003</v>
      </c>
      <c r="AA1168" s="295">
        <v>0.67605199999999999</v>
      </c>
      <c r="AB1168" s="295">
        <v>0.68138500000000002</v>
      </c>
      <c r="AC1168" s="295">
        <v>0.68932599999999999</v>
      </c>
      <c r="AD1168" s="295">
        <v>0.69373600000000002</v>
      </c>
      <c r="AE1168" s="295">
        <v>0.69961600000000002</v>
      </c>
      <c r="AF1168" s="295">
        <v>0.70664700000000003</v>
      </c>
      <c r="AG1168" s="295">
        <v>0.71458900000000003</v>
      </c>
      <c r="AH1168" s="296">
        <v>3.8999999999999999E-4</v>
      </c>
    </row>
    <row r="1169" spans="1:34" ht="15" customHeight="1" x14ac:dyDescent="0.2">
      <c r="A1169" s="213" t="s">
        <v>1954</v>
      </c>
      <c r="B1169" s="204" t="s">
        <v>1955</v>
      </c>
      <c r="C1169" s="205">
        <v>24.63072</v>
      </c>
      <c r="D1169" s="205">
        <v>26.224222000000001</v>
      </c>
      <c r="E1169" s="205">
        <v>26.776789000000001</v>
      </c>
      <c r="F1169" s="205">
        <v>26.885183000000001</v>
      </c>
      <c r="G1169" s="205">
        <v>26.874416</v>
      </c>
      <c r="H1169" s="205">
        <v>26.826232999999998</v>
      </c>
      <c r="I1169" s="205">
        <v>26.691186999999999</v>
      </c>
      <c r="J1169" s="205">
        <v>26.550142000000001</v>
      </c>
      <c r="K1169" s="205">
        <v>26.443301999999999</v>
      </c>
      <c r="L1169" s="205">
        <v>26.314539</v>
      </c>
      <c r="M1169" s="205">
        <v>26.228892999999999</v>
      </c>
      <c r="N1169" s="205">
        <v>26.131712</v>
      </c>
      <c r="O1169" s="205">
        <v>26.067882999999998</v>
      </c>
      <c r="P1169" s="205">
        <v>26.034731000000001</v>
      </c>
      <c r="Q1169" s="205">
        <v>26.030000999999999</v>
      </c>
      <c r="R1169" s="205">
        <v>26.042293999999998</v>
      </c>
      <c r="S1169" s="205">
        <v>26.038961</v>
      </c>
      <c r="T1169" s="205">
        <v>26.042826000000002</v>
      </c>
      <c r="U1169" s="205">
        <v>26.065887</v>
      </c>
      <c r="V1169" s="205">
        <v>26.109138000000002</v>
      </c>
      <c r="W1169" s="205">
        <v>26.159949999999998</v>
      </c>
      <c r="X1169" s="205">
        <v>26.243416</v>
      </c>
      <c r="Y1169" s="205">
        <v>26.348700999999998</v>
      </c>
      <c r="Z1169" s="205">
        <v>26.485527000000001</v>
      </c>
      <c r="AA1169" s="205">
        <v>26.618151000000001</v>
      </c>
      <c r="AB1169" s="205">
        <v>26.751047</v>
      </c>
      <c r="AC1169" s="205">
        <v>26.879904</v>
      </c>
      <c r="AD1169" s="205">
        <v>27.003098000000001</v>
      </c>
      <c r="AE1169" s="205">
        <v>27.139713</v>
      </c>
      <c r="AF1169" s="205">
        <v>27.285810000000001</v>
      </c>
      <c r="AG1169" s="205">
        <v>27.435959</v>
      </c>
      <c r="AH1169" s="206">
        <v>3.6020000000000002E-3</v>
      </c>
    </row>
    <row r="1171" spans="1:34" ht="15" customHeight="1" x14ac:dyDescent="0.2">
      <c r="B1171" s="204" t="s">
        <v>1956</v>
      </c>
    </row>
    <row r="1172" spans="1:34" ht="15" customHeight="1" x14ac:dyDescent="0.25">
      <c r="A1172" s="213" t="s">
        <v>1957</v>
      </c>
      <c r="B1172" s="294" t="s">
        <v>1929</v>
      </c>
      <c r="C1172" s="295">
        <v>7.41486</v>
      </c>
      <c r="D1172" s="295">
        <v>7.7634550000000004</v>
      </c>
      <c r="E1172" s="295">
        <v>7.7568060000000001</v>
      </c>
      <c r="F1172" s="295">
        <v>7.7594810000000001</v>
      </c>
      <c r="G1172" s="295">
        <v>7.7310930000000004</v>
      </c>
      <c r="H1172" s="295">
        <v>7.6885079999999997</v>
      </c>
      <c r="I1172" s="295">
        <v>7.6363200000000004</v>
      </c>
      <c r="J1172" s="295">
        <v>7.5823039999999997</v>
      </c>
      <c r="K1172" s="295">
        <v>7.52963</v>
      </c>
      <c r="L1172" s="295">
        <v>7.4709649999999996</v>
      </c>
      <c r="M1172" s="295">
        <v>7.4182860000000002</v>
      </c>
      <c r="N1172" s="295">
        <v>7.3677419999999998</v>
      </c>
      <c r="O1172" s="295">
        <v>7.321161</v>
      </c>
      <c r="P1172" s="295">
        <v>7.2866249999999999</v>
      </c>
      <c r="Q1172" s="295">
        <v>7.2593420000000002</v>
      </c>
      <c r="R1172" s="295">
        <v>7.2363309999999998</v>
      </c>
      <c r="S1172" s="295">
        <v>7.2135749999999996</v>
      </c>
      <c r="T1172" s="295">
        <v>7.1916900000000004</v>
      </c>
      <c r="U1172" s="295">
        <v>7.1727829999999999</v>
      </c>
      <c r="V1172" s="295">
        <v>7.1609230000000004</v>
      </c>
      <c r="W1172" s="295">
        <v>7.1538339999999998</v>
      </c>
      <c r="X1172" s="295">
        <v>7.1467980000000004</v>
      </c>
      <c r="Y1172" s="295">
        <v>7.1468230000000004</v>
      </c>
      <c r="Z1172" s="295">
        <v>7.1527260000000004</v>
      </c>
      <c r="AA1172" s="295">
        <v>7.1614250000000004</v>
      </c>
      <c r="AB1172" s="295">
        <v>7.1687839999999996</v>
      </c>
      <c r="AC1172" s="295">
        <v>7.1772609999999997</v>
      </c>
      <c r="AD1172" s="295">
        <v>7.187538</v>
      </c>
      <c r="AE1172" s="295">
        <v>7.2009160000000003</v>
      </c>
      <c r="AF1172" s="295">
        <v>7.2176770000000001</v>
      </c>
      <c r="AG1172" s="295">
        <v>7.234629</v>
      </c>
      <c r="AH1172" s="296">
        <v>-8.1999999999999998E-4</v>
      </c>
    </row>
    <row r="1173" spans="1:34" ht="15" customHeight="1" x14ac:dyDescent="0.25">
      <c r="A1173" s="213" t="s">
        <v>1958</v>
      </c>
      <c r="B1173" s="294" t="s">
        <v>1931</v>
      </c>
      <c r="C1173" s="295">
        <v>0.41731099999999999</v>
      </c>
      <c r="D1173" s="295">
        <v>0.42949900000000002</v>
      </c>
      <c r="E1173" s="295">
        <v>0.43555700000000003</v>
      </c>
      <c r="F1173" s="295">
        <v>0.436413</v>
      </c>
      <c r="G1173" s="295">
        <v>0.43771900000000002</v>
      </c>
      <c r="H1173" s="295">
        <v>0.441272</v>
      </c>
      <c r="I1173" s="295">
        <v>0.44286500000000001</v>
      </c>
      <c r="J1173" s="295">
        <v>0.44359599999999999</v>
      </c>
      <c r="K1173" s="295">
        <v>0.44402799999999998</v>
      </c>
      <c r="L1173" s="295">
        <v>0.44399899999999998</v>
      </c>
      <c r="M1173" s="295">
        <v>0.44468099999999999</v>
      </c>
      <c r="N1173" s="295">
        <v>0.44627800000000001</v>
      </c>
      <c r="O1173" s="295">
        <v>0.44806000000000001</v>
      </c>
      <c r="P1173" s="295">
        <v>0.45040200000000002</v>
      </c>
      <c r="Q1173" s="295">
        <v>0.453787</v>
      </c>
      <c r="R1173" s="295">
        <v>0.457424</v>
      </c>
      <c r="S1173" s="295">
        <v>0.46066600000000002</v>
      </c>
      <c r="T1173" s="295">
        <v>0.46419500000000002</v>
      </c>
      <c r="U1173" s="295">
        <v>0.46831699999999998</v>
      </c>
      <c r="V1173" s="295">
        <v>0.47256900000000002</v>
      </c>
      <c r="W1173" s="295">
        <v>0.47679899999999997</v>
      </c>
      <c r="X1173" s="295">
        <v>0.48189599999999999</v>
      </c>
      <c r="Y1173" s="295">
        <v>0.48762100000000003</v>
      </c>
      <c r="Z1173" s="295">
        <v>0.493973</v>
      </c>
      <c r="AA1173" s="295">
        <v>0.50021300000000002</v>
      </c>
      <c r="AB1173" s="295">
        <v>0.50631099999999996</v>
      </c>
      <c r="AC1173" s="295">
        <v>0.51283999999999996</v>
      </c>
      <c r="AD1173" s="295">
        <v>0.51861599999999997</v>
      </c>
      <c r="AE1173" s="295">
        <v>0.52472700000000005</v>
      </c>
      <c r="AF1173" s="295">
        <v>0.53132599999999996</v>
      </c>
      <c r="AG1173" s="295">
        <v>0.53798599999999996</v>
      </c>
      <c r="AH1173" s="296">
        <v>8.5030000000000001E-3</v>
      </c>
    </row>
    <row r="1174" spans="1:34" ht="15" customHeight="1" x14ac:dyDescent="0.25">
      <c r="A1174" s="213" t="s">
        <v>1959</v>
      </c>
      <c r="B1174" s="294" t="s">
        <v>1933</v>
      </c>
      <c r="C1174" s="295">
        <v>6.0067000000000002E-2</v>
      </c>
      <c r="D1174" s="295">
        <v>7.5261999999999996E-2</v>
      </c>
      <c r="E1174" s="295">
        <v>8.6234000000000005E-2</v>
      </c>
      <c r="F1174" s="295">
        <v>9.4556000000000001E-2</v>
      </c>
      <c r="G1174" s="295">
        <v>0.100601</v>
      </c>
      <c r="H1174" s="295">
        <v>0.10506</v>
      </c>
      <c r="I1174" s="295">
        <v>0.108228</v>
      </c>
      <c r="J1174" s="295">
        <v>0.110531</v>
      </c>
      <c r="K1174" s="295">
        <v>0.11190799999999999</v>
      </c>
      <c r="L1174" s="295">
        <v>0.112777</v>
      </c>
      <c r="M1174" s="295">
        <v>0.11366900000000001</v>
      </c>
      <c r="N1174" s="295">
        <v>0.113986</v>
      </c>
      <c r="O1174" s="295">
        <v>0.11443</v>
      </c>
      <c r="P1174" s="295">
        <v>0.114595</v>
      </c>
      <c r="Q1174" s="295">
        <v>0.114661</v>
      </c>
      <c r="R1174" s="295">
        <v>0.114647</v>
      </c>
      <c r="S1174" s="295">
        <v>0.114605</v>
      </c>
      <c r="T1174" s="295">
        <v>0.114498</v>
      </c>
      <c r="U1174" s="295">
        <v>0.114339</v>
      </c>
      <c r="V1174" s="295">
        <v>0.114051</v>
      </c>
      <c r="W1174" s="295">
        <v>0.11389000000000001</v>
      </c>
      <c r="X1174" s="295">
        <v>0.113548</v>
      </c>
      <c r="Y1174" s="295">
        <v>0.113168</v>
      </c>
      <c r="Z1174" s="295">
        <v>0.112785</v>
      </c>
      <c r="AA1174" s="295">
        <v>0.112369</v>
      </c>
      <c r="AB1174" s="295">
        <v>0.111886</v>
      </c>
      <c r="AC1174" s="295">
        <v>0.111528</v>
      </c>
      <c r="AD1174" s="295">
        <v>0.111106</v>
      </c>
      <c r="AE1174" s="295">
        <v>0.110722</v>
      </c>
      <c r="AF1174" s="295">
        <v>0.11033</v>
      </c>
      <c r="AG1174" s="295">
        <v>0.110025</v>
      </c>
      <c r="AH1174" s="296">
        <v>2.0379999999999999E-2</v>
      </c>
    </row>
    <row r="1175" spans="1:34" ht="15" customHeight="1" x14ac:dyDescent="0.25">
      <c r="A1175" s="213" t="s">
        <v>1960</v>
      </c>
      <c r="B1175" s="294" t="s">
        <v>1935</v>
      </c>
      <c r="C1175" s="295">
        <v>2.5112580000000002</v>
      </c>
      <c r="D1175" s="295">
        <v>2.5597889999999999</v>
      </c>
      <c r="E1175" s="295">
        <v>2.6240510000000001</v>
      </c>
      <c r="F1175" s="295">
        <v>2.6269870000000002</v>
      </c>
      <c r="G1175" s="295">
        <v>2.6313469999999999</v>
      </c>
      <c r="H1175" s="295">
        <v>2.6397469999999998</v>
      </c>
      <c r="I1175" s="295">
        <v>2.6280220000000001</v>
      </c>
      <c r="J1175" s="295">
        <v>2.6099429999999999</v>
      </c>
      <c r="K1175" s="295">
        <v>2.5926040000000001</v>
      </c>
      <c r="L1175" s="295">
        <v>2.574198</v>
      </c>
      <c r="M1175" s="295">
        <v>2.5603400000000001</v>
      </c>
      <c r="N1175" s="295">
        <v>2.547774</v>
      </c>
      <c r="O1175" s="295">
        <v>2.533687</v>
      </c>
      <c r="P1175" s="295">
        <v>2.523072</v>
      </c>
      <c r="Q1175" s="295">
        <v>2.5186860000000002</v>
      </c>
      <c r="R1175" s="295">
        <v>2.518694</v>
      </c>
      <c r="S1175" s="295">
        <v>2.5175010000000002</v>
      </c>
      <c r="T1175" s="295">
        <v>2.5199500000000001</v>
      </c>
      <c r="U1175" s="295">
        <v>2.5285030000000002</v>
      </c>
      <c r="V1175" s="295">
        <v>2.5376780000000001</v>
      </c>
      <c r="W1175" s="295">
        <v>2.545722</v>
      </c>
      <c r="X1175" s="295">
        <v>2.5615579999999998</v>
      </c>
      <c r="Y1175" s="295">
        <v>2.5850629999999999</v>
      </c>
      <c r="Z1175" s="295">
        <v>2.6115210000000002</v>
      </c>
      <c r="AA1175" s="295">
        <v>2.635405</v>
      </c>
      <c r="AB1175" s="295">
        <v>2.659789</v>
      </c>
      <c r="AC1175" s="295">
        <v>2.6842009999999998</v>
      </c>
      <c r="AD1175" s="295">
        <v>2.7086160000000001</v>
      </c>
      <c r="AE1175" s="295">
        <v>2.7354129999999999</v>
      </c>
      <c r="AF1175" s="295">
        <v>2.7643849999999999</v>
      </c>
      <c r="AG1175" s="295">
        <v>2.7948050000000002</v>
      </c>
      <c r="AH1175" s="296">
        <v>3.5720000000000001E-3</v>
      </c>
    </row>
    <row r="1176" spans="1:34" ht="15" customHeight="1" x14ac:dyDescent="0.25">
      <c r="A1176" s="213" t="s">
        <v>1961</v>
      </c>
      <c r="B1176" s="294" t="s">
        <v>1937</v>
      </c>
      <c r="C1176" s="295">
        <v>1.4036E-2</v>
      </c>
      <c r="D1176" s="295">
        <v>1.6749E-2</v>
      </c>
      <c r="E1176" s="295">
        <v>1.8918000000000001E-2</v>
      </c>
      <c r="F1176" s="295">
        <v>2.0594000000000001E-2</v>
      </c>
      <c r="G1176" s="295">
        <v>2.1774999999999999E-2</v>
      </c>
      <c r="H1176" s="295">
        <v>2.2697999999999999E-2</v>
      </c>
      <c r="I1176" s="295">
        <v>2.3358E-2</v>
      </c>
      <c r="J1176" s="295">
        <v>2.3858000000000001E-2</v>
      </c>
      <c r="K1176" s="295">
        <v>2.4087999999999998E-2</v>
      </c>
      <c r="L1176" s="295">
        <v>2.4233999999999999E-2</v>
      </c>
      <c r="M1176" s="295">
        <v>2.4532999999999999E-2</v>
      </c>
      <c r="N1176" s="295">
        <v>2.4749E-2</v>
      </c>
      <c r="O1176" s="295">
        <v>2.5089E-2</v>
      </c>
      <c r="P1176" s="295">
        <v>2.5395999999999998E-2</v>
      </c>
      <c r="Q1176" s="295">
        <v>2.5734E-2</v>
      </c>
      <c r="R1176" s="295">
        <v>2.6058000000000001E-2</v>
      </c>
      <c r="S1176" s="295">
        <v>2.6350999999999999E-2</v>
      </c>
      <c r="T1176" s="295">
        <v>2.6626E-2</v>
      </c>
      <c r="U1176" s="295">
        <v>2.6917E-2</v>
      </c>
      <c r="V1176" s="295">
        <v>2.7189999999999999E-2</v>
      </c>
      <c r="W1176" s="295">
        <v>2.7553000000000001E-2</v>
      </c>
      <c r="X1176" s="295">
        <v>2.7865999999999998E-2</v>
      </c>
      <c r="Y1176" s="295">
        <v>2.8205999999999998E-2</v>
      </c>
      <c r="Z1176" s="295">
        <v>2.8573000000000001E-2</v>
      </c>
      <c r="AA1176" s="295">
        <v>2.8930000000000001E-2</v>
      </c>
      <c r="AB1176" s="295">
        <v>2.9250000000000002E-2</v>
      </c>
      <c r="AC1176" s="295">
        <v>2.9614000000000001E-2</v>
      </c>
      <c r="AD1176" s="295">
        <v>2.9936999999999998E-2</v>
      </c>
      <c r="AE1176" s="295">
        <v>3.0283999999999998E-2</v>
      </c>
      <c r="AF1176" s="295">
        <v>3.0613000000000001E-2</v>
      </c>
      <c r="AG1176" s="295">
        <v>3.0939999999999999E-2</v>
      </c>
      <c r="AH1176" s="296">
        <v>2.6696999999999999E-2</v>
      </c>
    </row>
    <row r="1177" spans="1:34" ht="15" customHeight="1" x14ac:dyDescent="0.25">
      <c r="A1177" s="213" t="s">
        <v>1962</v>
      </c>
      <c r="B1177" s="294" t="s">
        <v>1939</v>
      </c>
      <c r="C1177" s="295">
        <v>0.20702400000000001</v>
      </c>
      <c r="D1177" s="295">
        <v>0.218776</v>
      </c>
      <c r="E1177" s="295">
        <v>0.222188</v>
      </c>
      <c r="F1177" s="295">
        <v>0.218747</v>
      </c>
      <c r="G1177" s="295">
        <v>0.21723500000000001</v>
      </c>
      <c r="H1177" s="295">
        <v>0.21229300000000001</v>
      </c>
      <c r="I1177" s="295">
        <v>0.213229</v>
      </c>
      <c r="J1177" s="295">
        <v>0.21123500000000001</v>
      </c>
      <c r="K1177" s="295">
        <v>0.21215000000000001</v>
      </c>
      <c r="L1177" s="295">
        <v>0.21366499999999999</v>
      </c>
      <c r="M1177" s="295">
        <v>0.21421200000000001</v>
      </c>
      <c r="N1177" s="295">
        <v>0.213729</v>
      </c>
      <c r="O1177" s="295">
        <v>0.21353800000000001</v>
      </c>
      <c r="P1177" s="295">
        <v>0.21389</v>
      </c>
      <c r="Q1177" s="295">
        <v>0.21425900000000001</v>
      </c>
      <c r="R1177" s="295">
        <v>0.213644</v>
      </c>
      <c r="S1177" s="295">
        <v>0.21243500000000001</v>
      </c>
      <c r="T1177" s="295">
        <v>0.21105499999999999</v>
      </c>
      <c r="U1177" s="295">
        <v>0.209005</v>
      </c>
      <c r="V1177" s="295">
        <v>0.20816799999999999</v>
      </c>
      <c r="W1177" s="295">
        <v>0.20721000000000001</v>
      </c>
      <c r="X1177" s="295">
        <v>0.20730100000000001</v>
      </c>
      <c r="Y1177" s="295">
        <v>0.20807100000000001</v>
      </c>
      <c r="Z1177" s="295">
        <v>0.20841999999999999</v>
      </c>
      <c r="AA1177" s="295">
        <v>0.208648</v>
      </c>
      <c r="AB1177" s="295">
        <v>0.20769199999999999</v>
      </c>
      <c r="AC1177" s="295">
        <v>0.20749200000000001</v>
      </c>
      <c r="AD1177" s="295">
        <v>0.20763799999999999</v>
      </c>
      <c r="AE1177" s="295">
        <v>0.20822599999999999</v>
      </c>
      <c r="AF1177" s="295">
        <v>0.20866399999999999</v>
      </c>
      <c r="AG1177" s="295">
        <v>0.20951700000000001</v>
      </c>
      <c r="AH1177" s="296">
        <v>3.9899999999999999E-4</v>
      </c>
    </row>
    <row r="1178" spans="1:34" ht="15" customHeight="1" x14ac:dyDescent="0.25">
      <c r="A1178" s="213" t="s">
        <v>1963</v>
      </c>
      <c r="B1178" s="294" t="s">
        <v>1941</v>
      </c>
      <c r="C1178" s="295">
        <v>3.6641E-2</v>
      </c>
      <c r="D1178" s="295">
        <v>3.7444999999999999E-2</v>
      </c>
      <c r="E1178" s="295">
        <v>3.7018000000000002E-2</v>
      </c>
      <c r="F1178" s="295">
        <v>3.6283000000000003E-2</v>
      </c>
      <c r="G1178" s="295">
        <v>3.5446999999999999E-2</v>
      </c>
      <c r="H1178" s="295">
        <v>3.4637000000000001E-2</v>
      </c>
      <c r="I1178" s="295">
        <v>3.3588E-2</v>
      </c>
      <c r="J1178" s="295">
        <v>3.2508000000000002E-2</v>
      </c>
      <c r="K1178" s="295">
        <v>3.1483999999999998E-2</v>
      </c>
      <c r="L1178" s="295">
        <v>3.0461999999999999E-2</v>
      </c>
      <c r="M1178" s="295">
        <v>2.9468999999999999E-2</v>
      </c>
      <c r="N1178" s="295">
        <v>2.8944999999999999E-2</v>
      </c>
      <c r="O1178" s="295">
        <v>2.8403999999999999E-2</v>
      </c>
      <c r="P1178" s="295">
        <v>2.7907999999999999E-2</v>
      </c>
      <c r="Q1178" s="295">
        <v>2.7435999999999999E-2</v>
      </c>
      <c r="R1178" s="295">
        <v>2.6918000000000001E-2</v>
      </c>
      <c r="S1178" s="295">
        <v>2.6376E-2</v>
      </c>
      <c r="T1178" s="295">
        <v>2.5853000000000001E-2</v>
      </c>
      <c r="U1178" s="295">
        <v>2.5326999999999999E-2</v>
      </c>
      <c r="V1178" s="295">
        <v>2.4819000000000001E-2</v>
      </c>
      <c r="W1178" s="295">
        <v>2.4271000000000001E-2</v>
      </c>
      <c r="X1178" s="295">
        <v>2.4018000000000001E-2</v>
      </c>
      <c r="Y1178" s="295">
        <v>2.3821999999999999E-2</v>
      </c>
      <c r="Z1178" s="295">
        <v>2.3644999999999999E-2</v>
      </c>
      <c r="AA1178" s="295">
        <v>2.3432999999999999E-2</v>
      </c>
      <c r="AB1178" s="295">
        <v>2.3206999999999998E-2</v>
      </c>
      <c r="AC1178" s="295">
        <v>2.2987E-2</v>
      </c>
      <c r="AD1178" s="295">
        <v>2.2762000000000001E-2</v>
      </c>
      <c r="AE1178" s="295">
        <v>2.2536E-2</v>
      </c>
      <c r="AF1178" s="295">
        <v>2.2348E-2</v>
      </c>
      <c r="AG1178" s="295">
        <v>2.2168E-2</v>
      </c>
      <c r="AH1178" s="296">
        <v>-1.6611000000000001E-2</v>
      </c>
    </row>
    <row r="1179" spans="1:34" ht="15" customHeight="1" x14ac:dyDescent="0.25">
      <c r="A1179" s="213" t="s">
        <v>1964</v>
      </c>
      <c r="B1179" s="294" t="s">
        <v>1943</v>
      </c>
      <c r="C1179" s="295">
        <v>0.390127</v>
      </c>
      <c r="D1179" s="295">
        <v>0.39999499999999999</v>
      </c>
      <c r="E1179" s="295">
        <v>0.43443500000000002</v>
      </c>
      <c r="F1179" s="295">
        <v>0.43384299999999998</v>
      </c>
      <c r="G1179" s="295">
        <v>0.431753</v>
      </c>
      <c r="H1179" s="295">
        <v>0.41907299999999997</v>
      </c>
      <c r="I1179" s="295">
        <v>0.41936800000000002</v>
      </c>
      <c r="J1179" s="295">
        <v>0.41485699999999998</v>
      </c>
      <c r="K1179" s="295">
        <v>0.41422599999999998</v>
      </c>
      <c r="L1179" s="295">
        <v>0.41360400000000003</v>
      </c>
      <c r="M1179" s="295">
        <v>0.42046499999999998</v>
      </c>
      <c r="N1179" s="295">
        <v>0.414773</v>
      </c>
      <c r="O1179" s="295">
        <v>0.41464099999999998</v>
      </c>
      <c r="P1179" s="295">
        <v>0.41435100000000002</v>
      </c>
      <c r="Q1179" s="295">
        <v>0.41415099999999999</v>
      </c>
      <c r="R1179" s="295">
        <v>0.41387600000000002</v>
      </c>
      <c r="S1179" s="295">
        <v>0.413684</v>
      </c>
      <c r="T1179" s="295">
        <v>0.41437400000000002</v>
      </c>
      <c r="U1179" s="295">
        <v>0.41350500000000001</v>
      </c>
      <c r="V1179" s="295">
        <v>0.41370699999999999</v>
      </c>
      <c r="W1179" s="295">
        <v>0.41032400000000002</v>
      </c>
      <c r="X1179" s="295">
        <v>0.41301100000000002</v>
      </c>
      <c r="Y1179" s="295">
        <v>0.40906100000000001</v>
      </c>
      <c r="Z1179" s="295">
        <v>0.40914200000000001</v>
      </c>
      <c r="AA1179" s="295">
        <v>0.40682699999999999</v>
      </c>
      <c r="AB1179" s="295">
        <v>0.40866999999999998</v>
      </c>
      <c r="AC1179" s="295">
        <v>0.40670600000000001</v>
      </c>
      <c r="AD1179" s="295">
        <v>0.40569300000000003</v>
      </c>
      <c r="AE1179" s="295">
        <v>0.40555600000000003</v>
      </c>
      <c r="AF1179" s="295">
        <v>0.40563399999999999</v>
      </c>
      <c r="AG1179" s="295">
        <v>0.40534700000000001</v>
      </c>
      <c r="AH1179" s="296">
        <v>1.276E-3</v>
      </c>
    </row>
    <row r="1180" spans="1:34" ht="15" customHeight="1" x14ac:dyDescent="0.25">
      <c r="A1180" s="213" t="s">
        <v>1965</v>
      </c>
      <c r="B1180" s="294" t="s">
        <v>1945</v>
      </c>
      <c r="C1180" s="295">
        <v>0.10620300000000001</v>
      </c>
      <c r="D1180" s="295">
        <v>0.10661</v>
      </c>
      <c r="E1180" s="295">
        <v>0.108182</v>
      </c>
      <c r="F1180" s="295">
        <v>0.108732</v>
      </c>
      <c r="G1180" s="295">
        <v>0.108568</v>
      </c>
      <c r="H1180" s="295">
        <v>0.108399</v>
      </c>
      <c r="I1180" s="295">
        <v>0.10793999999999999</v>
      </c>
      <c r="J1180" s="295">
        <v>0.107278</v>
      </c>
      <c r="K1180" s="295">
        <v>0.10649</v>
      </c>
      <c r="L1180" s="295">
        <v>0.10561</v>
      </c>
      <c r="M1180" s="295">
        <v>0.104948</v>
      </c>
      <c r="N1180" s="295">
        <v>0.104445</v>
      </c>
      <c r="O1180" s="295">
        <v>0.10404099999999999</v>
      </c>
      <c r="P1180" s="295">
        <v>0.10366300000000001</v>
      </c>
      <c r="Q1180" s="295">
        <v>0.103362</v>
      </c>
      <c r="R1180" s="295">
        <v>0.102993</v>
      </c>
      <c r="S1180" s="295">
        <v>0.10242999999999999</v>
      </c>
      <c r="T1180" s="295">
        <v>0.10180400000000001</v>
      </c>
      <c r="U1180" s="295">
        <v>0.101244</v>
      </c>
      <c r="V1180" s="295">
        <v>0.100744</v>
      </c>
      <c r="W1180" s="295">
        <v>0.100316</v>
      </c>
      <c r="X1180" s="295">
        <v>9.9903000000000006E-2</v>
      </c>
      <c r="Y1180" s="295">
        <v>9.9570000000000006E-2</v>
      </c>
      <c r="Z1180" s="295">
        <v>9.9289000000000002E-2</v>
      </c>
      <c r="AA1180" s="295">
        <v>9.8981E-2</v>
      </c>
      <c r="AB1180" s="295">
        <v>9.8610000000000003E-2</v>
      </c>
      <c r="AC1180" s="295">
        <v>9.8207000000000003E-2</v>
      </c>
      <c r="AD1180" s="295">
        <v>9.7785999999999998E-2</v>
      </c>
      <c r="AE1180" s="295">
        <v>9.7418000000000005E-2</v>
      </c>
      <c r="AF1180" s="295">
        <v>9.7045999999999993E-2</v>
      </c>
      <c r="AG1180" s="295">
        <v>9.6629999999999994E-2</v>
      </c>
      <c r="AH1180" s="296">
        <v>-3.1440000000000001E-3</v>
      </c>
    </row>
    <row r="1181" spans="1:34" ht="15" customHeight="1" x14ac:dyDescent="0.25">
      <c r="A1181" s="213" t="s">
        <v>1966</v>
      </c>
      <c r="B1181" s="294" t="s">
        <v>1947</v>
      </c>
      <c r="C1181" s="295">
        <v>0.90030500000000002</v>
      </c>
      <c r="D1181" s="295">
        <v>1.2242280000000001</v>
      </c>
      <c r="E1181" s="295">
        <v>1.3666560000000001</v>
      </c>
      <c r="F1181" s="295">
        <v>1.431586</v>
      </c>
      <c r="G1181" s="295">
        <v>1.465417</v>
      </c>
      <c r="H1181" s="295">
        <v>1.493943</v>
      </c>
      <c r="I1181" s="295">
        <v>1.5033190000000001</v>
      </c>
      <c r="J1181" s="295">
        <v>1.51125</v>
      </c>
      <c r="K1181" s="295">
        <v>1.5245899999999999</v>
      </c>
      <c r="L1181" s="295">
        <v>1.5354730000000001</v>
      </c>
      <c r="M1181" s="295">
        <v>1.550559</v>
      </c>
      <c r="N1181" s="295">
        <v>1.5690360000000001</v>
      </c>
      <c r="O1181" s="295">
        <v>1.591561</v>
      </c>
      <c r="P1181" s="295">
        <v>1.6151040000000001</v>
      </c>
      <c r="Q1181" s="295">
        <v>1.638806</v>
      </c>
      <c r="R1181" s="295">
        <v>1.6621159999999999</v>
      </c>
      <c r="S1181" s="295">
        <v>1.68021</v>
      </c>
      <c r="T1181" s="295">
        <v>1.696088</v>
      </c>
      <c r="U1181" s="295">
        <v>1.714078</v>
      </c>
      <c r="V1181" s="295">
        <v>1.7328049999999999</v>
      </c>
      <c r="W1181" s="295">
        <v>1.7549630000000001</v>
      </c>
      <c r="X1181" s="295">
        <v>1.7766729999999999</v>
      </c>
      <c r="Y1181" s="295">
        <v>1.8012319999999999</v>
      </c>
      <c r="Z1181" s="295">
        <v>1.8266709999999999</v>
      </c>
      <c r="AA1181" s="295">
        <v>1.853548</v>
      </c>
      <c r="AB1181" s="295">
        <v>1.87862</v>
      </c>
      <c r="AC1181" s="295">
        <v>1.9024920000000001</v>
      </c>
      <c r="AD1181" s="295">
        <v>1.9240060000000001</v>
      </c>
      <c r="AE1181" s="295">
        <v>1.9438629999999999</v>
      </c>
      <c r="AF1181" s="295">
        <v>1.9620580000000001</v>
      </c>
      <c r="AG1181" s="295">
        <v>1.980388</v>
      </c>
      <c r="AH1181" s="296">
        <v>2.6624999999999999E-2</v>
      </c>
    </row>
    <row r="1182" spans="1:34" ht="15" customHeight="1" x14ac:dyDescent="0.25">
      <c r="A1182" s="213" t="s">
        <v>1967</v>
      </c>
      <c r="B1182" s="294" t="s">
        <v>1949</v>
      </c>
      <c r="C1182" s="295">
        <v>0.257081</v>
      </c>
      <c r="D1182" s="295">
        <v>0.26143699999999997</v>
      </c>
      <c r="E1182" s="295">
        <v>0.261799</v>
      </c>
      <c r="F1182" s="295">
        <v>0.25547199999999998</v>
      </c>
      <c r="G1182" s="295">
        <v>0.25130000000000002</v>
      </c>
      <c r="H1182" s="295">
        <v>0.25104900000000002</v>
      </c>
      <c r="I1182" s="295">
        <v>0.25044300000000003</v>
      </c>
      <c r="J1182" s="295">
        <v>0.25035600000000002</v>
      </c>
      <c r="K1182" s="295">
        <v>0.25174200000000002</v>
      </c>
      <c r="L1182" s="295">
        <v>0.25118699999999999</v>
      </c>
      <c r="M1182" s="295">
        <v>0.25024600000000002</v>
      </c>
      <c r="N1182" s="295">
        <v>0.25020599999999998</v>
      </c>
      <c r="O1182" s="295">
        <v>0.250612</v>
      </c>
      <c r="P1182" s="295">
        <v>0.25102799999999997</v>
      </c>
      <c r="Q1182" s="295">
        <v>0.25145299999999998</v>
      </c>
      <c r="R1182" s="295">
        <v>0.25187399999999999</v>
      </c>
      <c r="S1182" s="295">
        <v>0.25231300000000001</v>
      </c>
      <c r="T1182" s="295">
        <v>0.25277300000000003</v>
      </c>
      <c r="U1182" s="295">
        <v>0.25323400000000001</v>
      </c>
      <c r="V1182" s="295">
        <v>0.25370500000000001</v>
      </c>
      <c r="W1182" s="295">
        <v>0.25417400000000001</v>
      </c>
      <c r="X1182" s="295">
        <v>0.25464799999999999</v>
      </c>
      <c r="Y1182" s="295">
        <v>0.25512299999999999</v>
      </c>
      <c r="Z1182" s="295">
        <v>0.25560699999999997</v>
      </c>
      <c r="AA1182" s="295">
        <v>0.25609199999999999</v>
      </c>
      <c r="AB1182" s="295">
        <v>0.256577</v>
      </c>
      <c r="AC1182" s="295">
        <v>0.257052</v>
      </c>
      <c r="AD1182" s="295">
        <v>0.257544</v>
      </c>
      <c r="AE1182" s="295">
        <v>0.25802799999999998</v>
      </c>
      <c r="AF1182" s="295">
        <v>0.25851200000000002</v>
      </c>
      <c r="AG1182" s="295">
        <v>0.25899800000000001</v>
      </c>
      <c r="AH1182" s="296">
        <v>2.4800000000000001E-4</v>
      </c>
    </row>
    <row r="1183" spans="1:34" ht="15" customHeight="1" x14ac:dyDescent="0.25">
      <c r="A1183" s="213" t="s">
        <v>1968</v>
      </c>
      <c r="B1183" s="294" t="s">
        <v>1951</v>
      </c>
      <c r="C1183" s="295">
        <v>5.7265000000000003E-2</v>
      </c>
      <c r="D1183" s="295">
        <v>5.8296000000000001E-2</v>
      </c>
      <c r="E1183" s="295">
        <v>5.8956000000000001E-2</v>
      </c>
      <c r="F1183" s="295">
        <v>5.9428000000000002E-2</v>
      </c>
      <c r="G1183" s="295">
        <v>5.9715999999999998E-2</v>
      </c>
      <c r="H1183" s="295">
        <v>5.9859999999999997E-2</v>
      </c>
      <c r="I1183" s="295">
        <v>5.9929000000000003E-2</v>
      </c>
      <c r="J1183" s="295">
        <v>5.9769000000000003E-2</v>
      </c>
      <c r="K1183" s="295">
        <v>5.9648E-2</v>
      </c>
      <c r="L1183" s="295">
        <v>5.9551E-2</v>
      </c>
      <c r="M1183" s="295">
        <v>5.9452999999999999E-2</v>
      </c>
      <c r="N1183" s="295">
        <v>5.9371E-2</v>
      </c>
      <c r="O1183" s="295">
        <v>5.9285999999999998E-2</v>
      </c>
      <c r="P1183" s="295">
        <v>5.9220000000000002E-2</v>
      </c>
      <c r="Q1183" s="295">
        <v>5.9193000000000003E-2</v>
      </c>
      <c r="R1183" s="295">
        <v>5.9143000000000001E-2</v>
      </c>
      <c r="S1183" s="295">
        <v>5.9069000000000003E-2</v>
      </c>
      <c r="T1183" s="295">
        <v>5.9001999999999999E-2</v>
      </c>
      <c r="U1183" s="295">
        <v>5.8951000000000003E-2</v>
      </c>
      <c r="V1183" s="295">
        <v>5.8895000000000003E-2</v>
      </c>
      <c r="W1183" s="295">
        <v>5.8834999999999998E-2</v>
      </c>
      <c r="X1183" s="295">
        <v>5.8798000000000003E-2</v>
      </c>
      <c r="Y1183" s="295">
        <v>5.8785999999999998E-2</v>
      </c>
      <c r="Z1183" s="295">
        <v>5.8751999999999999E-2</v>
      </c>
      <c r="AA1183" s="295">
        <v>5.8749999999999997E-2</v>
      </c>
      <c r="AB1183" s="295">
        <v>5.8785999999999998E-2</v>
      </c>
      <c r="AC1183" s="295">
        <v>5.8819999999999997E-2</v>
      </c>
      <c r="AD1183" s="295">
        <v>5.8840999999999997E-2</v>
      </c>
      <c r="AE1183" s="295">
        <v>5.8853999999999997E-2</v>
      </c>
      <c r="AF1183" s="295">
        <v>5.8841999999999998E-2</v>
      </c>
      <c r="AG1183" s="295">
        <v>5.8811000000000002E-2</v>
      </c>
      <c r="AH1183" s="296">
        <v>8.8800000000000001E-4</v>
      </c>
    </row>
    <row r="1184" spans="1:34" ht="15" customHeight="1" x14ac:dyDescent="0.25">
      <c r="A1184" s="213" t="s">
        <v>1969</v>
      </c>
      <c r="B1184" s="294" t="s">
        <v>1953</v>
      </c>
      <c r="C1184" s="295">
        <v>0.33362199999999997</v>
      </c>
      <c r="D1184" s="295">
        <v>0.35989300000000002</v>
      </c>
      <c r="E1184" s="295">
        <v>0.35738500000000001</v>
      </c>
      <c r="F1184" s="295">
        <v>0.33912999999999999</v>
      </c>
      <c r="G1184" s="295">
        <v>0.321378</v>
      </c>
      <c r="H1184" s="295">
        <v>0.31407800000000002</v>
      </c>
      <c r="I1184" s="295">
        <v>0.29447499999999999</v>
      </c>
      <c r="J1184" s="295">
        <v>0.29188999999999998</v>
      </c>
      <c r="K1184" s="295">
        <v>0.29137299999999999</v>
      </c>
      <c r="L1184" s="295">
        <v>0.29111500000000001</v>
      </c>
      <c r="M1184" s="295">
        <v>0.28884300000000002</v>
      </c>
      <c r="N1184" s="295">
        <v>0.28942200000000001</v>
      </c>
      <c r="O1184" s="295">
        <v>0.29186200000000001</v>
      </c>
      <c r="P1184" s="295">
        <v>0.29306199999999999</v>
      </c>
      <c r="Q1184" s="295">
        <v>0.29408400000000001</v>
      </c>
      <c r="R1184" s="295">
        <v>0.29638300000000001</v>
      </c>
      <c r="S1184" s="295">
        <v>0.29789100000000002</v>
      </c>
      <c r="T1184" s="295">
        <v>0.29989399999999999</v>
      </c>
      <c r="U1184" s="295">
        <v>0.30217699999999997</v>
      </c>
      <c r="V1184" s="295">
        <v>0.30419200000000002</v>
      </c>
      <c r="W1184" s="295">
        <v>0.30738599999999999</v>
      </c>
      <c r="X1184" s="295">
        <v>0.309228</v>
      </c>
      <c r="Y1184" s="295">
        <v>0.31188399999999999</v>
      </c>
      <c r="Z1184" s="295">
        <v>0.31561400000000001</v>
      </c>
      <c r="AA1184" s="295">
        <v>0.31934400000000002</v>
      </c>
      <c r="AB1184" s="295">
        <v>0.32186399999999998</v>
      </c>
      <c r="AC1184" s="295">
        <v>0.32561499999999999</v>
      </c>
      <c r="AD1184" s="295">
        <v>0.32769799999999999</v>
      </c>
      <c r="AE1184" s="295">
        <v>0.33047500000000002</v>
      </c>
      <c r="AF1184" s="295">
        <v>0.33379700000000001</v>
      </c>
      <c r="AG1184" s="295">
        <v>0.33754800000000001</v>
      </c>
      <c r="AH1184" s="296">
        <v>3.8999999999999999E-4</v>
      </c>
    </row>
    <row r="1185" spans="1:34" ht="15" customHeight="1" x14ac:dyDescent="0.2">
      <c r="A1185" s="213" t="s">
        <v>1970</v>
      </c>
      <c r="B1185" s="204" t="s">
        <v>1955</v>
      </c>
      <c r="C1185" s="205">
        <v>12.7058</v>
      </c>
      <c r="D1185" s="205">
        <v>13.511435000000001</v>
      </c>
      <c r="E1185" s="205">
        <v>13.768183000000001</v>
      </c>
      <c r="F1185" s="205">
        <v>13.821254</v>
      </c>
      <c r="G1185" s="205">
        <v>13.813351000000001</v>
      </c>
      <c r="H1185" s="205">
        <v>13.790618</v>
      </c>
      <c r="I1185" s="205">
        <v>13.721086</v>
      </c>
      <c r="J1185" s="205">
        <v>13.649374999999999</v>
      </c>
      <c r="K1185" s="205">
        <v>13.593961999999999</v>
      </c>
      <c r="L1185" s="205">
        <v>13.526839000000001</v>
      </c>
      <c r="M1185" s="205">
        <v>13.479706</v>
      </c>
      <c r="N1185" s="205">
        <v>13.430456</v>
      </c>
      <c r="O1185" s="205">
        <v>13.396371</v>
      </c>
      <c r="P1185" s="205">
        <v>13.378316999999999</v>
      </c>
      <c r="Q1185" s="205">
        <v>13.374954000000001</v>
      </c>
      <c r="R1185" s="205">
        <v>13.380100000000001</v>
      </c>
      <c r="S1185" s="205">
        <v>13.377107000000001</v>
      </c>
      <c r="T1185" s="205">
        <v>13.377803999999999</v>
      </c>
      <c r="U1185" s="205">
        <v>13.388377999999999</v>
      </c>
      <c r="V1185" s="205">
        <v>13.409447</v>
      </c>
      <c r="W1185" s="205">
        <v>13.435276</v>
      </c>
      <c r="X1185" s="205">
        <v>13.475247</v>
      </c>
      <c r="Y1185" s="205">
        <v>13.528428999999999</v>
      </c>
      <c r="Z1185" s="205">
        <v>13.596717</v>
      </c>
      <c r="AA1185" s="205">
        <v>13.663966</v>
      </c>
      <c r="AB1185" s="205">
        <v>13.730045</v>
      </c>
      <c r="AC1185" s="205">
        <v>13.794814000000001</v>
      </c>
      <c r="AD1185" s="205">
        <v>13.85778</v>
      </c>
      <c r="AE1185" s="205">
        <v>13.927019</v>
      </c>
      <c r="AF1185" s="205">
        <v>14.00123</v>
      </c>
      <c r="AG1185" s="205">
        <v>14.077793</v>
      </c>
      <c r="AH1185" s="206">
        <v>3.424E-3</v>
      </c>
    </row>
    <row r="1186" spans="1:34" ht="15" customHeight="1" thickBot="1" x14ac:dyDescent="0.25"/>
    <row r="1187" spans="1:34" ht="15" customHeight="1" x14ac:dyDescent="0.2">
      <c r="B1187" s="305" t="s">
        <v>1971</v>
      </c>
      <c r="C1187" s="305"/>
      <c r="D1187" s="305"/>
      <c r="E1187" s="305"/>
      <c r="F1187" s="305"/>
      <c r="G1187" s="305"/>
      <c r="H1187" s="305"/>
      <c r="I1187" s="305"/>
      <c r="J1187" s="305"/>
      <c r="K1187" s="305"/>
      <c r="L1187" s="305"/>
      <c r="M1187" s="305"/>
      <c r="N1187" s="305"/>
      <c r="O1187" s="305"/>
      <c r="P1187" s="305"/>
      <c r="Q1187" s="305"/>
      <c r="R1187" s="305"/>
      <c r="S1187" s="305"/>
      <c r="T1187" s="305"/>
      <c r="U1187" s="305"/>
      <c r="V1187" s="305"/>
      <c r="W1187" s="305"/>
      <c r="X1187" s="305"/>
      <c r="Y1187" s="305"/>
      <c r="Z1187" s="305"/>
      <c r="AA1187" s="305"/>
      <c r="AB1187" s="305"/>
      <c r="AC1187" s="305"/>
      <c r="AD1187" s="305"/>
      <c r="AE1187" s="305"/>
      <c r="AF1187" s="305"/>
      <c r="AG1187" s="305"/>
      <c r="AH1187" s="305"/>
    </row>
    <row r="1188" spans="1:34" ht="15" customHeight="1" x14ac:dyDescent="0.2">
      <c r="B1188" s="208" t="s">
        <v>1972</v>
      </c>
    </row>
    <row r="1189" spans="1:34" ht="15" customHeight="1" x14ac:dyDescent="0.2">
      <c r="B1189" s="208" t="s">
        <v>1973</v>
      </c>
    </row>
    <row r="1190" spans="1:34" ht="15" customHeight="1" x14ac:dyDescent="0.2">
      <c r="B1190" s="208" t="s">
        <v>1974</v>
      </c>
    </row>
    <row r="1191" spans="1:34" ht="15" customHeight="1" x14ac:dyDescent="0.2">
      <c r="B1191" s="208" t="s">
        <v>1975</v>
      </c>
    </row>
    <row r="1192" spans="1:34" ht="15" customHeight="1" x14ac:dyDescent="0.2">
      <c r="B1192" s="208" t="s">
        <v>1976</v>
      </c>
    </row>
    <row r="1193" spans="1:34" ht="15" customHeight="1" x14ac:dyDescent="0.2">
      <c r="B1193" s="208" t="s">
        <v>1977</v>
      </c>
    </row>
    <row r="1194" spans="1:34" ht="15" customHeight="1" x14ac:dyDescent="0.2">
      <c r="B1194" s="208" t="s">
        <v>616</v>
      </c>
    </row>
    <row r="1195" spans="1:34" ht="15" customHeight="1" x14ac:dyDescent="0.2">
      <c r="B1195" s="208" t="s">
        <v>614</v>
      </c>
    </row>
    <row r="1196" spans="1:34" ht="15" customHeight="1" x14ac:dyDescent="0.2">
      <c r="B1196" s="208" t="s">
        <v>1978</v>
      </c>
    </row>
    <row r="1197" spans="1:34" ht="15" customHeight="1" x14ac:dyDescent="0.2">
      <c r="B1197" s="208" t="s">
        <v>1979</v>
      </c>
    </row>
    <row r="1260" spans="1:34" ht="15" customHeight="1" x14ac:dyDescent="0.25">
      <c r="A1260" s="213" t="s">
        <v>1980</v>
      </c>
      <c r="B1260" s="202" t="s">
        <v>1016</v>
      </c>
      <c r="AH1260" s="292" t="s">
        <v>597</v>
      </c>
    </row>
    <row r="1261" spans="1:34" ht="15" customHeight="1" x14ac:dyDescent="0.2">
      <c r="B1261" s="199" t="s">
        <v>1981</v>
      </c>
      <c r="AH1261" s="292" t="s">
        <v>598</v>
      </c>
    </row>
    <row r="1262" spans="1:34" ht="15" customHeight="1" x14ac:dyDescent="0.2">
      <c r="B1262" s="199" t="s">
        <v>124</v>
      </c>
      <c r="C1262" s="222" t="s">
        <v>124</v>
      </c>
      <c r="D1262" s="222" t="s">
        <v>124</v>
      </c>
      <c r="E1262" s="222" t="s">
        <v>124</v>
      </c>
      <c r="F1262" s="222" t="s">
        <v>124</v>
      </c>
      <c r="G1262" s="222" t="s">
        <v>124</v>
      </c>
      <c r="H1262" s="222" t="s">
        <v>124</v>
      </c>
      <c r="I1262" s="222" t="s">
        <v>124</v>
      </c>
      <c r="J1262" s="222" t="s">
        <v>124</v>
      </c>
      <c r="K1262" s="222" t="s">
        <v>124</v>
      </c>
      <c r="L1262" s="222" t="s">
        <v>124</v>
      </c>
      <c r="M1262" s="222" t="s">
        <v>124</v>
      </c>
      <c r="N1262" s="222" t="s">
        <v>124</v>
      </c>
      <c r="O1262" s="222" t="s">
        <v>124</v>
      </c>
      <c r="P1262" s="222" t="s">
        <v>124</v>
      </c>
      <c r="Q1262" s="222" t="s">
        <v>124</v>
      </c>
      <c r="R1262" s="222" t="s">
        <v>124</v>
      </c>
      <c r="S1262" s="222" t="s">
        <v>124</v>
      </c>
      <c r="T1262" s="222" t="s">
        <v>124</v>
      </c>
      <c r="U1262" s="222" t="s">
        <v>124</v>
      </c>
      <c r="V1262" s="222" t="s">
        <v>124</v>
      </c>
      <c r="W1262" s="222" t="s">
        <v>124</v>
      </c>
      <c r="X1262" s="222" t="s">
        <v>124</v>
      </c>
      <c r="Y1262" s="222" t="s">
        <v>124</v>
      </c>
      <c r="Z1262" s="222" t="s">
        <v>124</v>
      </c>
      <c r="AA1262" s="222" t="s">
        <v>124</v>
      </c>
      <c r="AB1262" s="222" t="s">
        <v>124</v>
      </c>
      <c r="AC1262" s="222" t="s">
        <v>124</v>
      </c>
      <c r="AD1262" s="222" t="s">
        <v>124</v>
      </c>
      <c r="AE1262" s="222" t="s">
        <v>124</v>
      </c>
      <c r="AF1262" s="222" t="s">
        <v>124</v>
      </c>
      <c r="AG1262" s="222" t="s">
        <v>124</v>
      </c>
      <c r="AH1262" s="292" t="s">
        <v>599</v>
      </c>
    </row>
    <row r="1263" spans="1:34" ht="15" customHeight="1" thickBot="1" x14ac:dyDescent="0.25">
      <c r="B1263" s="200" t="s">
        <v>1982</v>
      </c>
      <c r="C1263" s="200">
        <v>2020</v>
      </c>
      <c r="D1263" s="200">
        <v>2021</v>
      </c>
      <c r="E1263" s="200">
        <v>2022</v>
      </c>
      <c r="F1263" s="200">
        <v>2023</v>
      </c>
      <c r="G1263" s="200">
        <v>2024</v>
      </c>
      <c r="H1263" s="200">
        <v>2025</v>
      </c>
      <c r="I1263" s="200">
        <v>2026</v>
      </c>
      <c r="J1263" s="200">
        <v>2027</v>
      </c>
      <c r="K1263" s="200">
        <v>2028</v>
      </c>
      <c r="L1263" s="200">
        <v>2029</v>
      </c>
      <c r="M1263" s="200">
        <v>2030</v>
      </c>
      <c r="N1263" s="200">
        <v>2031</v>
      </c>
      <c r="O1263" s="200">
        <v>2032</v>
      </c>
      <c r="P1263" s="200">
        <v>2033</v>
      </c>
      <c r="Q1263" s="200">
        <v>2034</v>
      </c>
      <c r="R1263" s="200">
        <v>2035</v>
      </c>
      <c r="S1263" s="200">
        <v>2036</v>
      </c>
      <c r="T1263" s="200">
        <v>2037</v>
      </c>
      <c r="U1263" s="200">
        <v>2038</v>
      </c>
      <c r="V1263" s="200">
        <v>2039</v>
      </c>
      <c r="W1263" s="200">
        <v>2040</v>
      </c>
      <c r="X1263" s="200">
        <v>2041</v>
      </c>
      <c r="Y1263" s="200">
        <v>2042</v>
      </c>
      <c r="Z1263" s="200">
        <v>2043</v>
      </c>
      <c r="AA1263" s="200">
        <v>2044</v>
      </c>
      <c r="AB1263" s="200">
        <v>2045</v>
      </c>
      <c r="AC1263" s="200">
        <v>2046</v>
      </c>
      <c r="AD1263" s="200">
        <v>2047</v>
      </c>
      <c r="AE1263" s="200">
        <v>2048</v>
      </c>
      <c r="AF1263" s="200">
        <v>2049</v>
      </c>
      <c r="AG1263" s="200">
        <v>2050</v>
      </c>
      <c r="AH1263" s="293" t="s">
        <v>600</v>
      </c>
    </row>
    <row r="1264" spans="1:34" ht="15" customHeight="1" thickTop="1" x14ac:dyDescent="0.2"/>
    <row r="1265" spans="1:34" ht="15" customHeight="1" x14ac:dyDescent="0.2">
      <c r="B1265" s="204" t="s">
        <v>1983</v>
      </c>
    </row>
    <row r="1267" spans="1:34" ht="15" customHeight="1" x14ac:dyDescent="0.2">
      <c r="B1267" s="204" t="s">
        <v>1984</v>
      </c>
    </row>
    <row r="1268" spans="1:34" ht="15" customHeight="1" x14ac:dyDescent="0.2">
      <c r="B1268" s="204" t="s">
        <v>1985</v>
      </c>
    </row>
    <row r="1269" spans="1:34" ht="15" customHeight="1" x14ac:dyDescent="0.25">
      <c r="A1269" s="213" t="s">
        <v>1986</v>
      </c>
      <c r="B1269" s="294" t="s">
        <v>1987</v>
      </c>
      <c r="C1269" s="297">
        <v>756.46227999999996</v>
      </c>
      <c r="D1269" s="297">
        <v>924.89794900000004</v>
      </c>
      <c r="E1269" s="297">
        <v>975.99078399999996</v>
      </c>
      <c r="F1269" s="297">
        <v>854.814392</v>
      </c>
      <c r="G1269" s="297">
        <v>763.65637200000003</v>
      </c>
      <c r="H1269" s="297">
        <v>689.63220200000001</v>
      </c>
      <c r="I1269" s="297">
        <v>706.44500700000003</v>
      </c>
      <c r="J1269" s="297">
        <v>681.60815400000001</v>
      </c>
      <c r="K1269" s="297">
        <v>686.54010000000005</v>
      </c>
      <c r="L1269" s="297">
        <v>688.38281199999994</v>
      </c>
      <c r="M1269" s="297">
        <v>678.93347200000005</v>
      </c>
      <c r="N1269" s="297">
        <v>666.79650900000001</v>
      </c>
      <c r="O1269" s="297">
        <v>654.50854500000003</v>
      </c>
      <c r="P1269" s="297">
        <v>653.332581</v>
      </c>
      <c r="Q1269" s="297">
        <v>651.82647699999995</v>
      </c>
      <c r="R1269" s="297">
        <v>637.10620100000006</v>
      </c>
      <c r="S1269" s="297">
        <v>635.99194299999999</v>
      </c>
      <c r="T1269" s="297">
        <v>626.87780799999996</v>
      </c>
      <c r="U1269" s="297">
        <v>610.06921399999999</v>
      </c>
      <c r="V1269" s="297">
        <v>604.99352999999996</v>
      </c>
      <c r="W1269" s="297">
        <v>603.25805700000001</v>
      </c>
      <c r="X1269" s="297">
        <v>599.66485599999999</v>
      </c>
      <c r="Y1269" s="297">
        <v>600.05957000000001</v>
      </c>
      <c r="Z1269" s="297">
        <v>593.42864999999995</v>
      </c>
      <c r="AA1269" s="297">
        <v>588.69769299999996</v>
      </c>
      <c r="AB1269" s="297">
        <v>576.35870399999999</v>
      </c>
      <c r="AC1269" s="297">
        <v>574.04870600000004</v>
      </c>
      <c r="AD1269" s="297">
        <v>573.21478300000001</v>
      </c>
      <c r="AE1269" s="297">
        <v>576.01513699999998</v>
      </c>
      <c r="AF1269" s="297">
        <v>578.29107699999997</v>
      </c>
      <c r="AG1269" s="297">
        <v>576.69146699999999</v>
      </c>
      <c r="AH1269" s="296">
        <v>-9.0039999999999999E-3</v>
      </c>
    </row>
    <row r="1270" spans="1:34" ht="15" customHeight="1" x14ac:dyDescent="0.25">
      <c r="A1270" s="213" t="s">
        <v>1988</v>
      </c>
      <c r="B1270" s="294" t="s">
        <v>1989</v>
      </c>
      <c r="C1270" s="297">
        <v>14.015229</v>
      </c>
      <c r="D1270" s="297">
        <v>10.496217</v>
      </c>
      <c r="E1270" s="297">
        <v>10.648979000000001</v>
      </c>
      <c r="F1270" s="297">
        <v>9.9705320000000004</v>
      </c>
      <c r="G1270" s="297">
        <v>9.4912620000000008</v>
      </c>
      <c r="H1270" s="297">
        <v>9.1153270000000006</v>
      </c>
      <c r="I1270" s="297">
        <v>8.8068299999999997</v>
      </c>
      <c r="J1270" s="297">
        <v>8.3402790000000007</v>
      </c>
      <c r="K1270" s="297">
        <v>8.0584120000000006</v>
      </c>
      <c r="L1270" s="297">
        <v>7.8996310000000003</v>
      </c>
      <c r="M1270" s="297">
        <v>7.7061120000000001</v>
      </c>
      <c r="N1270" s="297">
        <v>7.4088969999999996</v>
      </c>
      <c r="O1270" s="297">
        <v>7.3204289999999999</v>
      </c>
      <c r="P1270" s="297">
        <v>7.264265</v>
      </c>
      <c r="Q1270" s="297">
        <v>7.2358969999999996</v>
      </c>
      <c r="R1270" s="297">
        <v>7.1353559999999998</v>
      </c>
      <c r="S1270" s="297">
        <v>7.0363030000000002</v>
      </c>
      <c r="T1270" s="297">
        <v>6.859775</v>
      </c>
      <c r="U1270" s="297">
        <v>6.5609400000000004</v>
      </c>
      <c r="V1270" s="297">
        <v>6.4520179999999998</v>
      </c>
      <c r="W1270" s="297">
        <v>6.3560549999999996</v>
      </c>
      <c r="X1270" s="297">
        <v>6.0550319999999997</v>
      </c>
      <c r="Y1270" s="297">
        <v>5.7491209999999997</v>
      </c>
      <c r="Z1270" s="297">
        <v>5.4047470000000004</v>
      </c>
      <c r="AA1270" s="297">
        <v>5.0861980000000004</v>
      </c>
      <c r="AB1270" s="297">
        <v>4.7262630000000003</v>
      </c>
      <c r="AC1270" s="297">
        <v>4.7336479999999996</v>
      </c>
      <c r="AD1270" s="297">
        <v>4.7652910000000004</v>
      </c>
      <c r="AE1270" s="297">
        <v>4.8023579999999999</v>
      </c>
      <c r="AF1270" s="297">
        <v>4.8360289999999999</v>
      </c>
      <c r="AG1270" s="297">
        <v>4.8567830000000001</v>
      </c>
      <c r="AH1270" s="296">
        <v>-3.4708999999999997E-2</v>
      </c>
    </row>
    <row r="1271" spans="1:34" ht="15" customHeight="1" x14ac:dyDescent="0.25">
      <c r="A1271" s="213" t="s">
        <v>1990</v>
      </c>
      <c r="B1271" s="294" t="s">
        <v>1991</v>
      </c>
      <c r="C1271" s="297">
        <v>1389.575439</v>
      </c>
      <c r="D1271" s="297">
        <v>1182.2464600000001</v>
      </c>
      <c r="E1271" s="297">
        <v>1183.584595</v>
      </c>
      <c r="F1271" s="297">
        <v>1245.6295170000001</v>
      </c>
      <c r="G1271" s="297">
        <v>1235.853149</v>
      </c>
      <c r="H1271" s="297">
        <v>1300.342529</v>
      </c>
      <c r="I1271" s="297">
        <v>1336.7932129999999</v>
      </c>
      <c r="J1271" s="297">
        <v>1347.1707759999999</v>
      </c>
      <c r="K1271" s="297">
        <v>1328.1103519999999</v>
      </c>
      <c r="L1271" s="297">
        <v>1326.047241</v>
      </c>
      <c r="M1271" s="297">
        <v>1304.0787350000001</v>
      </c>
      <c r="N1271" s="297">
        <v>1314.3625489999999</v>
      </c>
      <c r="O1271" s="297">
        <v>1317.970337</v>
      </c>
      <c r="P1271" s="297">
        <v>1320.5546879999999</v>
      </c>
      <c r="Q1271" s="297">
        <v>1326.365356</v>
      </c>
      <c r="R1271" s="297">
        <v>1315.970947</v>
      </c>
      <c r="S1271" s="297">
        <v>1323.8376459999999</v>
      </c>
      <c r="T1271" s="297">
        <v>1343.292725</v>
      </c>
      <c r="U1271" s="297">
        <v>1372.7945560000001</v>
      </c>
      <c r="V1271" s="297">
        <v>1398.1976320000001</v>
      </c>
      <c r="W1271" s="297">
        <v>1424.008423</v>
      </c>
      <c r="X1271" s="297">
        <v>1437.944336</v>
      </c>
      <c r="Y1271" s="297">
        <v>1462.17749</v>
      </c>
      <c r="Z1271" s="297">
        <v>1493.880615</v>
      </c>
      <c r="AA1271" s="297">
        <v>1517.9224850000001</v>
      </c>
      <c r="AB1271" s="297">
        <v>1540.7028809999999</v>
      </c>
      <c r="AC1271" s="297">
        <v>1549.6705320000001</v>
      </c>
      <c r="AD1271" s="297">
        <v>1562.0600589999999</v>
      </c>
      <c r="AE1271" s="297">
        <v>1581.77478</v>
      </c>
      <c r="AF1271" s="297">
        <v>1604.1514890000001</v>
      </c>
      <c r="AG1271" s="297">
        <v>1629.4182129999999</v>
      </c>
      <c r="AH1271" s="296">
        <v>5.3220000000000003E-3</v>
      </c>
    </row>
    <row r="1272" spans="1:34" ht="15" customHeight="1" x14ac:dyDescent="0.25">
      <c r="A1272" s="213" t="s">
        <v>1992</v>
      </c>
      <c r="B1272" s="294" t="s">
        <v>1993</v>
      </c>
      <c r="C1272" s="297">
        <v>784.792236</v>
      </c>
      <c r="D1272" s="297">
        <v>760.58019999999999</v>
      </c>
      <c r="E1272" s="297">
        <v>736.682861</v>
      </c>
      <c r="F1272" s="297">
        <v>749.79760699999997</v>
      </c>
      <c r="G1272" s="297">
        <v>752.92675799999995</v>
      </c>
      <c r="H1272" s="297">
        <v>744.93896500000005</v>
      </c>
      <c r="I1272" s="297">
        <v>658.94946300000004</v>
      </c>
      <c r="J1272" s="297">
        <v>644.83618200000001</v>
      </c>
      <c r="K1272" s="297">
        <v>645.18322799999999</v>
      </c>
      <c r="L1272" s="297">
        <v>629.51879899999994</v>
      </c>
      <c r="M1272" s="297">
        <v>630.26769999999999</v>
      </c>
      <c r="N1272" s="297">
        <v>631.43005400000004</v>
      </c>
      <c r="O1272" s="297">
        <v>632.27673300000004</v>
      </c>
      <c r="P1272" s="297">
        <v>624.55664100000001</v>
      </c>
      <c r="Q1272" s="297">
        <v>607.81957999999997</v>
      </c>
      <c r="R1272" s="297">
        <v>609.22460899999999</v>
      </c>
      <c r="S1272" s="297">
        <v>602.73718299999996</v>
      </c>
      <c r="T1272" s="297">
        <v>602.94830300000001</v>
      </c>
      <c r="U1272" s="297">
        <v>603.15893600000004</v>
      </c>
      <c r="V1272" s="297">
        <v>603.15893600000004</v>
      </c>
      <c r="W1272" s="297">
        <v>594.80969200000004</v>
      </c>
      <c r="X1272" s="297">
        <v>596.06176800000003</v>
      </c>
      <c r="Y1272" s="297">
        <v>596.96734600000002</v>
      </c>
      <c r="Z1272" s="297">
        <v>597.84088099999997</v>
      </c>
      <c r="AA1272" s="297">
        <v>598.59619099999998</v>
      </c>
      <c r="AB1272" s="297">
        <v>599.41479500000003</v>
      </c>
      <c r="AC1272" s="297">
        <v>599.84082000000001</v>
      </c>
      <c r="AD1272" s="297">
        <v>592.53234899999995</v>
      </c>
      <c r="AE1272" s="297">
        <v>592.797729</v>
      </c>
      <c r="AF1272" s="297">
        <v>593.11828600000001</v>
      </c>
      <c r="AG1272" s="297">
        <v>593.581726</v>
      </c>
      <c r="AH1272" s="296">
        <v>-9.2650000000000007E-3</v>
      </c>
    </row>
    <row r="1273" spans="1:34" ht="15" customHeight="1" x14ac:dyDescent="0.25">
      <c r="A1273" s="213" t="s">
        <v>1994</v>
      </c>
      <c r="B1273" s="294" t="s">
        <v>1995</v>
      </c>
      <c r="C1273" s="297">
        <v>1.125505</v>
      </c>
      <c r="D1273" s="297">
        <v>0.54739199999999999</v>
      </c>
      <c r="E1273" s="297">
        <v>0.54951899999999998</v>
      </c>
      <c r="F1273" s="297">
        <v>0.48147699999999999</v>
      </c>
      <c r="G1273" s="297">
        <v>0.31603100000000001</v>
      </c>
      <c r="H1273" s="297">
        <v>0.41066999999999998</v>
      </c>
      <c r="I1273" s="297">
        <v>0.18505099999999999</v>
      </c>
      <c r="J1273" s="297">
        <v>9.9765000000000006E-2</v>
      </c>
      <c r="K1273" s="297">
        <v>2.4740000000000001E-3</v>
      </c>
      <c r="L1273" s="297">
        <v>-0.39686500000000002</v>
      </c>
      <c r="M1273" s="297">
        <v>-0.26218599999999997</v>
      </c>
      <c r="N1273" s="297">
        <v>-0.44353700000000001</v>
      </c>
      <c r="O1273" s="297">
        <v>-0.46117799999999998</v>
      </c>
      <c r="P1273" s="297">
        <v>-0.52999600000000002</v>
      </c>
      <c r="Q1273" s="297">
        <v>-0.56696500000000005</v>
      </c>
      <c r="R1273" s="297">
        <v>-0.80330100000000004</v>
      </c>
      <c r="S1273" s="297">
        <v>-0.88905100000000004</v>
      </c>
      <c r="T1273" s="297">
        <v>-0.90476299999999998</v>
      </c>
      <c r="U1273" s="297">
        <v>-0.93142899999999995</v>
      </c>
      <c r="V1273" s="297">
        <v>-0.95522300000000004</v>
      </c>
      <c r="W1273" s="297">
        <v>-1.0241169999999999</v>
      </c>
      <c r="X1273" s="297">
        <v>-1.0446359999999999</v>
      </c>
      <c r="Y1273" s="297">
        <v>-1.086794</v>
      </c>
      <c r="Z1273" s="297">
        <v>-1.1929909999999999</v>
      </c>
      <c r="AA1273" s="297">
        <v>-1.3374820000000001</v>
      </c>
      <c r="AB1273" s="297">
        <v>-1.5121960000000001</v>
      </c>
      <c r="AC1273" s="297">
        <v>-1.9399439999999999</v>
      </c>
      <c r="AD1273" s="297">
        <v>-2.05721</v>
      </c>
      <c r="AE1273" s="297">
        <v>-2.1265540000000001</v>
      </c>
      <c r="AF1273" s="297">
        <v>-2.309021</v>
      </c>
      <c r="AG1273" s="297">
        <v>-2.661117</v>
      </c>
      <c r="AH1273" s="296" t="s">
        <v>635</v>
      </c>
    </row>
    <row r="1274" spans="1:34" ht="15" customHeight="1" x14ac:dyDescent="0.25">
      <c r="A1274" s="213" t="s">
        <v>1996</v>
      </c>
      <c r="B1274" s="294" t="s">
        <v>1997</v>
      </c>
      <c r="C1274" s="297">
        <v>751.05548099999999</v>
      </c>
      <c r="D1274" s="297">
        <v>837.64679000000001</v>
      </c>
      <c r="E1274" s="297">
        <v>887.96215800000004</v>
      </c>
      <c r="F1274" s="297">
        <v>982.97955300000001</v>
      </c>
      <c r="G1274" s="297">
        <v>1125.818237</v>
      </c>
      <c r="H1274" s="297">
        <v>1194.234009</v>
      </c>
      <c r="I1274" s="297">
        <v>1250.9772949999999</v>
      </c>
      <c r="J1274" s="297">
        <v>1298.181763</v>
      </c>
      <c r="K1274" s="297">
        <v>1331.1987300000001</v>
      </c>
      <c r="L1274" s="297">
        <v>1369.768188</v>
      </c>
      <c r="M1274" s="297">
        <v>1421.446289</v>
      </c>
      <c r="N1274" s="297">
        <v>1451.5</v>
      </c>
      <c r="O1274" s="297">
        <v>1481.9532469999999</v>
      </c>
      <c r="P1274" s="297">
        <v>1513.71875</v>
      </c>
      <c r="Q1274" s="297">
        <v>1554.142456</v>
      </c>
      <c r="R1274" s="297">
        <v>1609.4451899999999</v>
      </c>
      <c r="S1274" s="297">
        <v>1642.6070560000001</v>
      </c>
      <c r="T1274" s="297">
        <v>1667.0444339999999</v>
      </c>
      <c r="U1274" s="297">
        <v>1691.849121</v>
      </c>
      <c r="V1274" s="297">
        <v>1709.0280760000001</v>
      </c>
      <c r="W1274" s="297">
        <v>1725.4038089999999</v>
      </c>
      <c r="X1274" s="297">
        <v>1752.649414</v>
      </c>
      <c r="Y1274" s="297">
        <v>1770.5179439999999</v>
      </c>
      <c r="Z1274" s="297">
        <v>1792.809692</v>
      </c>
      <c r="AA1274" s="297">
        <v>1818.2432859999999</v>
      </c>
      <c r="AB1274" s="297">
        <v>1852.384033</v>
      </c>
      <c r="AC1274" s="297">
        <v>1892.0695800000001</v>
      </c>
      <c r="AD1274" s="297">
        <v>1934.4494629999999</v>
      </c>
      <c r="AE1274" s="297">
        <v>1960.864746</v>
      </c>
      <c r="AF1274" s="297">
        <v>1991.025635</v>
      </c>
      <c r="AG1274" s="297">
        <v>2023.1243899999999</v>
      </c>
      <c r="AH1274" s="296">
        <v>3.3582000000000001E-2</v>
      </c>
    </row>
    <row r="1275" spans="1:34" ht="15" customHeight="1" x14ac:dyDescent="0.25">
      <c r="A1275" s="213" t="s">
        <v>1998</v>
      </c>
      <c r="B1275" s="294" t="s">
        <v>1999</v>
      </c>
      <c r="C1275" s="297">
        <v>0</v>
      </c>
      <c r="D1275" s="297">
        <v>0</v>
      </c>
      <c r="E1275" s="297">
        <v>0.50269399999999997</v>
      </c>
      <c r="F1275" s="297">
        <v>0.66507799999999995</v>
      </c>
      <c r="G1275" s="297">
        <v>0.86206700000000003</v>
      </c>
      <c r="H1275" s="297">
        <v>1.242127</v>
      </c>
      <c r="I1275" s="297">
        <v>1.4369069999999999</v>
      </c>
      <c r="J1275" s="297">
        <v>1.6574439999999999</v>
      </c>
      <c r="K1275" s="297">
        <v>1.9485239999999999</v>
      </c>
      <c r="L1275" s="297">
        <v>2.2456689999999999</v>
      </c>
      <c r="M1275" s="297">
        <v>2.5447959999999998</v>
      </c>
      <c r="N1275" s="297">
        <v>2.8581379999999998</v>
      </c>
      <c r="O1275" s="297">
        <v>3.1936800000000001</v>
      </c>
      <c r="P1275" s="297">
        <v>3.5360580000000001</v>
      </c>
      <c r="Q1275" s="297">
        <v>3.9087550000000002</v>
      </c>
      <c r="R1275" s="297">
        <v>4.2972970000000004</v>
      </c>
      <c r="S1275" s="297">
        <v>4.7897049999999997</v>
      </c>
      <c r="T1275" s="297">
        <v>5.3291649999999997</v>
      </c>
      <c r="U1275" s="297">
        <v>5.8729560000000003</v>
      </c>
      <c r="V1275" s="297">
        <v>6.4513780000000001</v>
      </c>
      <c r="W1275" s="297">
        <v>7.0360050000000003</v>
      </c>
      <c r="X1275" s="297">
        <v>7.6327090000000002</v>
      </c>
      <c r="Y1275" s="297">
        <v>8.2579609999999999</v>
      </c>
      <c r="Z1275" s="297">
        <v>8.9409010000000002</v>
      </c>
      <c r="AA1275" s="297">
        <v>9.6292840000000002</v>
      </c>
      <c r="AB1275" s="297">
        <v>10.333481000000001</v>
      </c>
      <c r="AC1275" s="297">
        <v>11.079271</v>
      </c>
      <c r="AD1275" s="297">
        <v>11.854127999999999</v>
      </c>
      <c r="AE1275" s="297">
        <v>12.674968</v>
      </c>
      <c r="AF1275" s="297">
        <v>13.539712</v>
      </c>
      <c r="AG1275" s="297">
        <v>14.451034</v>
      </c>
      <c r="AH1275" s="296" t="s">
        <v>635</v>
      </c>
    </row>
    <row r="1276" spans="1:34" ht="15" customHeight="1" x14ac:dyDescent="0.2">
      <c r="A1276" s="213" t="s">
        <v>2000</v>
      </c>
      <c r="B1276" s="204" t="s">
        <v>1955</v>
      </c>
      <c r="C1276" s="299">
        <v>3697.0261230000001</v>
      </c>
      <c r="D1276" s="299">
        <v>3716.4147950000001</v>
      </c>
      <c r="E1276" s="299">
        <v>3795.9216310000002</v>
      </c>
      <c r="F1276" s="299">
        <v>3844.338135</v>
      </c>
      <c r="G1276" s="299">
        <v>3888.9235840000001</v>
      </c>
      <c r="H1276" s="299">
        <v>3939.9160160000001</v>
      </c>
      <c r="I1276" s="299">
        <v>3963.59375</v>
      </c>
      <c r="J1276" s="299">
        <v>3981.8942870000001</v>
      </c>
      <c r="K1276" s="299">
        <v>4001.0417480000001</v>
      </c>
      <c r="L1276" s="299">
        <v>4023.4653320000002</v>
      </c>
      <c r="M1276" s="299">
        <v>4044.7145999999998</v>
      </c>
      <c r="N1276" s="299">
        <v>4073.9125979999999</v>
      </c>
      <c r="O1276" s="299">
        <v>4096.7622069999998</v>
      </c>
      <c r="P1276" s="299">
        <v>4122.4331050000001</v>
      </c>
      <c r="Q1276" s="299">
        <v>4150.7314450000003</v>
      </c>
      <c r="R1276" s="299">
        <v>4182.3764650000003</v>
      </c>
      <c r="S1276" s="299">
        <v>4216.1103519999997</v>
      </c>
      <c r="T1276" s="299">
        <v>4251.4472660000001</v>
      </c>
      <c r="U1276" s="299">
        <v>4289.3740230000003</v>
      </c>
      <c r="V1276" s="299">
        <v>4327.326172</v>
      </c>
      <c r="W1276" s="299">
        <v>4359.8476559999999</v>
      </c>
      <c r="X1276" s="299">
        <v>4398.9638670000004</v>
      </c>
      <c r="Y1276" s="299">
        <v>4442.642578</v>
      </c>
      <c r="Z1276" s="299">
        <v>4491.1123049999997</v>
      </c>
      <c r="AA1276" s="299">
        <v>4536.8378910000001</v>
      </c>
      <c r="AB1276" s="299">
        <v>4582.4077150000003</v>
      </c>
      <c r="AC1276" s="299">
        <v>4629.5024409999996</v>
      </c>
      <c r="AD1276" s="299">
        <v>4676.8188479999999</v>
      </c>
      <c r="AE1276" s="299">
        <v>4726.8032229999999</v>
      </c>
      <c r="AF1276" s="299">
        <v>4782.6528319999998</v>
      </c>
      <c r="AG1276" s="299">
        <v>4839.4628910000001</v>
      </c>
      <c r="AH1276" s="206">
        <v>9.0159999999999997E-3</v>
      </c>
    </row>
    <row r="1277" spans="1:34" ht="15" customHeight="1" x14ac:dyDescent="0.2">
      <c r="B1277" s="204" t="s">
        <v>2001</v>
      </c>
    </row>
    <row r="1278" spans="1:34" ht="15" customHeight="1" x14ac:dyDescent="0.25">
      <c r="A1278" s="213" t="s">
        <v>2002</v>
      </c>
      <c r="B1278" s="294" t="s">
        <v>1987</v>
      </c>
      <c r="C1278" s="297">
        <v>10.447756</v>
      </c>
      <c r="D1278" s="297">
        <v>9.9749459999999992</v>
      </c>
      <c r="E1278" s="297">
        <v>9.9128279999999993</v>
      </c>
      <c r="F1278" s="297">
        <v>10.07502</v>
      </c>
      <c r="G1278" s="297">
        <v>9.9173570000000009</v>
      </c>
      <c r="H1278" s="297">
        <v>9.9329630000000009</v>
      </c>
      <c r="I1278" s="297">
        <v>9.9487039999999993</v>
      </c>
      <c r="J1278" s="297">
        <v>9.9616229999999995</v>
      </c>
      <c r="K1278" s="297">
        <v>9.9771199999999993</v>
      </c>
      <c r="L1278" s="297">
        <v>9.9927860000000006</v>
      </c>
      <c r="M1278" s="297">
        <v>10.005985000000001</v>
      </c>
      <c r="N1278" s="297">
        <v>10.005746</v>
      </c>
      <c r="O1278" s="297">
        <v>10.005428999999999</v>
      </c>
      <c r="P1278" s="297">
        <v>10.005148999999999</v>
      </c>
      <c r="Q1278" s="297">
        <v>10.004720000000001</v>
      </c>
      <c r="R1278" s="297">
        <v>10.004284999999999</v>
      </c>
      <c r="S1278" s="297">
        <v>10.003829</v>
      </c>
      <c r="T1278" s="297">
        <v>10.003394999999999</v>
      </c>
      <c r="U1278" s="297">
        <v>10.002978000000001</v>
      </c>
      <c r="V1278" s="297">
        <v>10.002582</v>
      </c>
      <c r="W1278" s="297">
        <v>9.9971080000000008</v>
      </c>
      <c r="X1278" s="297">
        <v>9.996658</v>
      </c>
      <c r="Y1278" s="297">
        <v>9.9963069999999998</v>
      </c>
      <c r="Z1278" s="297">
        <v>9.9959240000000005</v>
      </c>
      <c r="AA1278" s="297">
        <v>9.9954859999999996</v>
      </c>
      <c r="AB1278" s="297">
        <v>9.9949919999999999</v>
      </c>
      <c r="AC1278" s="297">
        <v>9.9945149999999998</v>
      </c>
      <c r="AD1278" s="297">
        <v>9.9939990000000005</v>
      </c>
      <c r="AE1278" s="297">
        <v>9.9934589999999996</v>
      </c>
      <c r="AF1278" s="297">
        <v>9.9929690000000004</v>
      </c>
      <c r="AG1278" s="297">
        <v>9.9923819999999992</v>
      </c>
      <c r="AH1278" s="296">
        <v>-1.4840000000000001E-3</v>
      </c>
    </row>
    <row r="1279" spans="1:34" ht="15" customHeight="1" x14ac:dyDescent="0.25">
      <c r="A1279" s="213" t="s">
        <v>2003</v>
      </c>
      <c r="B1279" s="294" t="s">
        <v>1989</v>
      </c>
      <c r="C1279" s="297">
        <v>0.547149</v>
      </c>
      <c r="D1279" s="297">
        <v>0.54536099999999998</v>
      </c>
      <c r="E1279" s="297">
        <v>0.54510899999999995</v>
      </c>
      <c r="F1279" s="297">
        <v>0.54579299999999997</v>
      </c>
      <c r="G1279" s="297">
        <v>0.54516900000000001</v>
      </c>
      <c r="H1279" s="297">
        <v>0.54522800000000005</v>
      </c>
      <c r="I1279" s="297">
        <v>0.54419600000000001</v>
      </c>
      <c r="J1279" s="297">
        <v>0.54424899999999998</v>
      </c>
      <c r="K1279" s="297">
        <v>0.54430500000000004</v>
      </c>
      <c r="L1279" s="297">
        <v>0.54434499999999997</v>
      </c>
      <c r="M1279" s="297">
        <v>0.544431</v>
      </c>
      <c r="N1279" s="297">
        <v>0.54439700000000002</v>
      </c>
      <c r="O1279" s="297">
        <v>0.54442400000000002</v>
      </c>
      <c r="P1279" s="297">
        <v>0.54442299999999999</v>
      </c>
      <c r="Q1279" s="297">
        <v>0.54442699999999999</v>
      </c>
      <c r="R1279" s="297">
        <v>0.54442000000000002</v>
      </c>
      <c r="S1279" s="297">
        <v>0.54441799999999996</v>
      </c>
      <c r="T1279" s="297">
        <v>0.54441200000000001</v>
      </c>
      <c r="U1279" s="297">
        <v>0.54440999999999995</v>
      </c>
      <c r="V1279" s="297">
        <v>0.54440900000000003</v>
      </c>
      <c r="W1279" s="297">
        <v>0.54438699999999995</v>
      </c>
      <c r="X1279" s="297">
        <v>0.54438500000000001</v>
      </c>
      <c r="Y1279" s="297">
        <v>0.54438399999999998</v>
      </c>
      <c r="Z1279" s="297">
        <v>0.54434800000000005</v>
      </c>
      <c r="AA1279" s="297">
        <v>0.544346</v>
      </c>
      <c r="AB1279" s="297">
        <v>0.54434400000000005</v>
      </c>
      <c r="AC1279" s="297">
        <v>0.54434199999999999</v>
      </c>
      <c r="AD1279" s="297">
        <v>0.54434000000000005</v>
      </c>
      <c r="AE1279" s="297">
        <v>0.54430400000000001</v>
      </c>
      <c r="AF1279" s="297">
        <v>0.544265</v>
      </c>
      <c r="AG1279" s="297">
        <v>0.54426200000000002</v>
      </c>
      <c r="AH1279" s="296">
        <v>-1.76E-4</v>
      </c>
    </row>
    <row r="1280" spans="1:34" ht="15" customHeight="1" x14ac:dyDescent="0.25">
      <c r="A1280" s="213" t="s">
        <v>2004</v>
      </c>
      <c r="B1280" s="294" t="s">
        <v>2005</v>
      </c>
      <c r="C1280" s="297">
        <v>131.557388</v>
      </c>
      <c r="D1280" s="297">
        <v>127.53151699999999</v>
      </c>
      <c r="E1280" s="297">
        <v>128.74470500000001</v>
      </c>
      <c r="F1280" s="297">
        <v>127.146912</v>
      </c>
      <c r="G1280" s="297">
        <v>125.039536</v>
      </c>
      <c r="H1280" s="297">
        <v>124.50060999999999</v>
      </c>
      <c r="I1280" s="297">
        <v>124.03801</v>
      </c>
      <c r="J1280" s="297">
        <v>123.687752</v>
      </c>
      <c r="K1280" s="297">
        <v>123.5485</v>
      </c>
      <c r="L1280" s="297">
        <v>123.565918</v>
      </c>
      <c r="M1280" s="297">
        <v>122.97657</v>
      </c>
      <c r="N1280" s="297">
        <v>122.99704</v>
      </c>
      <c r="O1280" s="297">
        <v>122.970474</v>
      </c>
      <c r="P1280" s="297">
        <v>122.96734600000001</v>
      </c>
      <c r="Q1280" s="297">
        <v>122.96423299999999</v>
      </c>
      <c r="R1280" s="297">
        <v>122.22547900000001</v>
      </c>
      <c r="S1280" s="297">
        <v>121.69620500000001</v>
      </c>
      <c r="T1280" s="297">
        <v>121.640648</v>
      </c>
      <c r="U1280" s="297">
        <v>121.637772</v>
      </c>
      <c r="V1280" s="297">
        <v>121.63485</v>
      </c>
      <c r="W1280" s="297">
        <v>122.947418</v>
      </c>
      <c r="X1280" s="297">
        <v>122.78698</v>
      </c>
      <c r="Y1280" s="297">
        <v>122.218262</v>
      </c>
      <c r="Z1280" s="297">
        <v>122.938103</v>
      </c>
      <c r="AA1280" s="297">
        <v>122.93862900000001</v>
      </c>
      <c r="AB1280" s="297">
        <v>122.940613</v>
      </c>
      <c r="AC1280" s="297">
        <v>122.85993999999999</v>
      </c>
      <c r="AD1280" s="297">
        <v>123.19517500000001</v>
      </c>
      <c r="AE1280" s="297">
        <v>123.45397199999999</v>
      </c>
      <c r="AF1280" s="297">
        <v>122.921257</v>
      </c>
      <c r="AG1280" s="297">
        <v>122.919006</v>
      </c>
      <c r="AH1280" s="296">
        <v>-2.261E-3</v>
      </c>
    </row>
    <row r="1281" spans="1:34" ht="15" customHeight="1" x14ac:dyDescent="0.25">
      <c r="A1281" s="213" t="s">
        <v>2006</v>
      </c>
      <c r="B1281" s="294" t="s">
        <v>2007</v>
      </c>
      <c r="C1281" s="297">
        <v>4.3113070000000002</v>
      </c>
      <c r="D1281" s="297">
        <v>4.3215240000000001</v>
      </c>
      <c r="E1281" s="297">
        <v>4.3450069999999998</v>
      </c>
      <c r="F1281" s="297">
        <v>4.359394</v>
      </c>
      <c r="G1281" s="297">
        <v>4.3619940000000001</v>
      </c>
      <c r="H1281" s="297">
        <v>4.3609489999999997</v>
      </c>
      <c r="I1281" s="297">
        <v>4.3710769999999997</v>
      </c>
      <c r="J1281" s="297">
        <v>4.3740269999999999</v>
      </c>
      <c r="K1281" s="297">
        <v>4.373208</v>
      </c>
      <c r="L1281" s="297">
        <v>4.3758080000000001</v>
      </c>
      <c r="M1281" s="297">
        <v>4.3800330000000001</v>
      </c>
      <c r="N1281" s="297">
        <v>4.3776900000000003</v>
      </c>
      <c r="O1281" s="297">
        <v>4.3784929999999997</v>
      </c>
      <c r="P1281" s="297">
        <v>4.3801769999999998</v>
      </c>
      <c r="Q1281" s="297">
        <v>4.3851639999999996</v>
      </c>
      <c r="R1281" s="297">
        <v>4.3915129999999998</v>
      </c>
      <c r="S1281" s="297">
        <v>4.3935149999999998</v>
      </c>
      <c r="T1281" s="297">
        <v>4.3956010000000001</v>
      </c>
      <c r="U1281" s="297">
        <v>4.393675</v>
      </c>
      <c r="V1281" s="297">
        <v>4.3955010000000003</v>
      </c>
      <c r="W1281" s="297">
        <v>4.3976179999999996</v>
      </c>
      <c r="X1281" s="297">
        <v>4.4029319999999998</v>
      </c>
      <c r="Y1281" s="297">
        <v>4.4013210000000003</v>
      </c>
      <c r="Z1281" s="297">
        <v>4.3997310000000001</v>
      </c>
      <c r="AA1281" s="297">
        <v>4.4023960000000004</v>
      </c>
      <c r="AB1281" s="297">
        <v>4.4024320000000001</v>
      </c>
      <c r="AC1281" s="297">
        <v>4.4059350000000004</v>
      </c>
      <c r="AD1281" s="297">
        <v>4.478688</v>
      </c>
      <c r="AE1281" s="297">
        <v>4.5254279999999998</v>
      </c>
      <c r="AF1281" s="297">
        <v>4.526624</v>
      </c>
      <c r="AG1281" s="297">
        <v>4.5267210000000002</v>
      </c>
      <c r="AH1281" s="296">
        <v>1.6260000000000001E-3</v>
      </c>
    </row>
    <row r="1282" spans="1:34" ht="15" customHeight="1" x14ac:dyDescent="0.25">
      <c r="A1282" s="213" t="s">
        <v>2008</v>
      </c>
      <c r="B1282" s="294" t="s">
        <v>2009</v>
      </c>
      <c r="C1282" s="297">
        <v>0.25894800000000001</v>
      </c>
      <c r="D1282" s="297">
        <v>0.26716800000000002</v>
      </c>
      <c r="E1282" s="297">
        <v>0.26822800000000002</v>
      </c>
      <c r="F1282" s="297">
        <v>0.26570199999999999</v>
      </c>
      <c r="G1282" s="297">
        <v>0.26242599999999999</v>
      </c>
      <c r="H1282" s="297">
        <v>0.26117400000000002</v>
      </c>
      <c r="I1282" s="297">
        <v>0.25741900000000001</v>
      </c>
      <c r="J1282" s="297">
        <v>0.25497599999999998</v>
      </c>
      <c r="K1282" s="297">
        <v>0.25603300000000001</v>
      </c>
      <c r="L1282" s="297">
        <v>0.253249</v>
      </c>
      <c r="M1282" s="297">
        <v>0.25168000000000001</v>
      </c>
      <c r="N1282" s="297">
        <v>0.24943000000000001</v>
      </c>
      <c r="O1282" s="297">
        <v>0.24757999999999999</v>
      </c>
      <c r="P1282" s="297">
        <v>0.24557999999999999</v>
      </c>
      <c r="Q1282" s="297">
        <v>0.24357599999999999</v>
      </c>
      <c r="R1282" s="297">
        <v>0.241706</v>
      </c>
      <c r="S1282" s="297">
        <v>0.23976900000000001</v>
      </c>
      <c r="T1282" s="297">
        <v>0.23741399999999999</v>
      </c>
      <c r="U1282" s="297">
        <v>0.23635100000000001</v>
      </c>
      <c r="V1282" s="297">
        <v>0.234955</v>
      </c>
      <c r="W1282" s="297">
        <v>0.23353199999999999</v>
      </c>
      <c r="X1282" s="297">
        <v>0.23225100000000001</v>
      </c>
      <c r="Y1282" s="297">
        <v>0.23066600000000001</v>
      </c>
      <c r="Z1282" s="297">
        <v>0.22926199999999999</v>
      </c>
      <c r="AA1282" s="297">
        <v>0.22835800000000001</v>
      </c>
      <c r="AB1282" s="297">
        <v>0.227182</v>
      </c>
      <c r="AC1282" s="297">
        <v>0.22597</v>
      </c>
      <c r="AD1282" s="297">
        <v>0.24245</v>
      </c>
      <c r="AE1282" s="297">
        <v>0.243862</v>
      </c>
      <c r="AF1282" s="297">
        <v>0.24231900000000001</v>
      </c>
      <c r="AG1282" s="297">
        <v>0.24240900000000001</v>
      </c>
      <c r="AH1282" s="296">
        <v>-2.1979999999999999E-3</v>
      </c>
    </row>
    <row r="1283" spans="1:34" ht="15" customHeight="1" x14ac:dyDescent="0.2">
      <c r="A1283" s="213" t="s">
        <v>2010</v>
      </c>
      <c r="B1283" s="204" t="s">
        <v>1955</v>
      </c>
      <c r="C1283" s="299">
        <v>147.12254300000001</v>
      </c>
      <c r="D1283" s="299">
        <v>142.640503</v>
      </c>
      <c r="E1283" s="299">
        <v>143.81587200000001</v>
      </c>
      <c r="F1283" s="299">
        <v>142.392822</v>
      </c>
      <c r="G1283" s="299">
        <v>140.12647999999999</v>
      </c>
      <c r="H1283" s="299">
        <v>139.600922</v>
      </c>
      <c r="I1283" s="299">
        <v>139.15940900000001</v>
      </c>
      <c r="J1283" s="299">
        <v>138.82261700000001</v>
      </c>
      <c r="K1283" s="299">
        <v>138.699173</v>
      </c>
      <c r="L1283" s="299">
        <v>138.732101</v>
      </c>
      <c r="M1283" s="299">
        <v>138.15870699999999</v>
      </c>
      <c r="N1283" s="299">
        <v>138.17430100000001</v>
      </c>
      <c r="O1283" s="299">
        <v>138.14639299999999</v>
      </c>
      <c r="P1283" s="299">
        <v>138.14267000000001</v>
      </c>
      <c r="Q1283" s="299">
        <v>138.14212000000001</v>
      </c>
      <c r="R1283" s="299">
        <v>137.40739400000001</v>
      </c>
      <c r="S1283" s="299">
        <v>136.87773100000001</v>
      </c>
      <c r="T1283" s="299">
        <v>136.821472</v>
      </c>
      <c r="U1283" s="299">
        <v>136.815201</v>
      </c>
      <c r="V1283" s="299">
        <v>136.81230199999999</v>
      </c>
      <c r="W1283" s="299">
        <v>138.12005600000001</v>
      </c>
      <c r="X1283" s="299">
        <v>137.963211</v>
      </c>
      <c r="Y1283" s="299">
        <v>137.39094499999999</v>
      </c>
      <c r="Z1283" s="299">
        <v>138.10737599999999</v>
      </c>
      <c r="AA1283" s="299">
        <v>138.109207</v>
      </c>
      <c r="AB1283" s="299">
        <v>138.10957300000001</v>
      </c>
      <c r="AC1283" s="299">
        <v>138.03070099999999</v>
      </c>
      <c r="AD1283" s="299">
        <v>138.45465100000001</v>
      </c>
      <c r="AE1283" s="299">
        <v>138.76101700000001</v>
      </c>
      <c r="AF1283" s="299">
        <v>138.22744800000001</v>
      </c>
      <c r="AG1283" s="299">
        <v>138.22479200000001</v>
      </c>
      <c r="AH1283" s="206">
        <v>-2.0769999999999999E-3</v>
      </c>
    </row>
    <row r="1284" spans="1:34" ht="15" customHeight="1" x14ac:dyDescent="0.2">
      <c r="A1284" s="213" t="s">
        <v>2011</v>
      </c>
      <c r="B1284" s="204" t="s">
        <v>2012</v>
      </c>
      <c r="C1284" s="299">
        <v>3844.148682</v>
      </c>
      <c r="D1284" s="299">
        <v>3859.0551759999998</v>
      </c>
      <c r="E1284" s="299">
        <v>3939.7375489999999</v>
      </c>
      <c r="F1284" s="299">
        <v>3986.7309570000002</v>
      </c>
      <c r="G1284" s="299">
        <v>4029.0500489999999</v>
      </c>
      <c r="H1284" s="299">
        <v>4079.516846</v>
      </c>
      <c r="I1284" s="299">
        <v>4102.7529299999997</v>
      </c>
      <c r="J1284" s="299">
        <v>4120.716797</v>
      </c>
      <c r="K1284" s="299">
        <v>4139.7407229999999</v>
      </c>
      <c r="L1284" s="299">
        <v>4162.1972660000001</v>
      </c>
      <c r="M1284" s="299">
        <v>4182.8735349999997</v>
      </c>
      <c r="N1284" s="299">
        <v>4212.0869140000004</v>
      </c>
      <c r="O1284" s="299">
        <v>4234.9086909999996</v>
      </c>
      <c r="P1284" s="299">
        <v>4260.5756840000004</v>
      </c>
      <c r="Q1284" s="299">
        <v>4288.8735349999997</v>
      </c>
      <c r="R1284" s="299">
        <v>4319.7836909999996</v>
      </c>
      <c r="S1284" s="299">
        <v>4352.9882809999999</v>
      </c>
      <c r="T1284" s="299">
        <v>4388.2685549999997</v>
      </c>
      <c r="U1284" s="299">
        <v>4426.189453</v>
      </c>
      <c r="V1284" s="299">
        <v>4464.138672</v>
      </c>
      <c r="W1284" s="299">
        <v>4497.9677730000003</v>
      </c>
      <c r="X1284" s="299">
        <v>4536.9272460000002</v>
      </c>
      <c r="Y1284" s="299">
        <v>4580.0336909999996</v>
      </c>
      <c r="Z1284" s="299">
        <v>4629.2197269999997</v>
      </c>
      <c r="AA1284" s="299">
        <v>4674.9472660000001</v>
      </c>
      <c r="AB1284" s="299">
        <v>4720.5170900000003</v>
      </c>
      <c r="AC1284" s="299">
        <v>4767.533203</v>
      </c>
      <c r="AD1284" s="299">
        <v>4815.2734380000002</v>
      </c>
      <c r="AE1284" s="299">
        <v>4865.564453</v>
      </c>
      <c r="AF1284" s="299">
        <v>4920.8803710000002</v>
      </c>
      <c r="AG1284" s="299">
        <v>4977.6875</v>
      </c>
      <c r="AH1284" s="206">
        <v>8.6510000000000007E-3</v>
      </c>
    </row>
    <row r="1285" spans="1:34" ht="15" customHeight="1" x14ac:dyDescent="0.25">
      <c r="A1285" s="213" t="s">
        <v>2013</v>
      </c>
      <c r="B1285" s="294" t="s">
        <v>2014</v>
      </c>
      <c r="C1285" s="297">
        <v>14.722818</v>
      </c>
      <c r="D1285" s="297">
        <v>14.545529999999999</v>
      </c>
      <c r="E1285" s="297">
        <v>14.472785</v>
      </c>
      <c r="F1285" s="297">
        <v>14.435326</v>
      </c>
      <c r="G1285" s="297">
        <v>14.402183000000001</v>
      </c>
      <c r="H1285" s="297">
        <v>14.022976</v>
      </c>
      <c r="I1285" s="297">
        <v>14.022976</v>
      </c>
      <c r="J1285" s="297">
        <v>14.022976</v>
      </c>
      <c r="K1285" s="297">
        <v>14.022976</v>
      </c>
      <c r="L1285" s="297">
        <v>14.022976</v>
      </c>
      <c r="M1285" s="297">
        <v>14.003571000000001</v>
      </c>
      <c r="N1285" s="297">
        <v>13.900193</v>
      </c>
      <c r="O1285" s="297">
        <v>13.900193</v>
      </c>
      <c r="P1285" s="297">
        <v>13.900193</v>
      </c>
      <c r="Q1285" s="297">
        <v>13.900193</v>
      </c>
      <c r="R1285" s="297">
        <v>13.900193</v>
      </c>
      <c r="S1285" s="297">
        <v>13.900193</v>
      </c>
      <c r="T1285" s="297">
        <v>13.900193</v>
      </c>
      <c r="U1285" s="297">
        <v>13.900193</v>
      </c>
      <c r="V1285" s="297">
        <v>13.900193</v>
      </c>
      <c r="W1285" s="297">
        <v>13.900193</v>
      </c>
      <c r="X1285" s="297">
        <v>13.900193</v>
      </c>
      <c r="Y1285" s="297">
        <v>13.900193</v>
      </c>
      <c r="Z1285" s="297">
        <v>13.900193</v>
      </c>
      <c r="AA1285" s="297">
        <v>13.900193</v>
      </c>
      <c r="AB1285" s="297">
        <v>13.676349999999999</v>
      </c>
      <c r="AC1285" s="297">
        <v>13.55667</v>
      </c>
      <c r="AD1285" s="297">
        <v>13.55667</v>
      </c>
      <c r="AE1285" s="297">
        <v>13.55667</v>
      </c>
      <c r="AF1285" s="297">
        <v>13.55667</v>
      </c>
      <c r="AG1285" s="297">
        <v>13.55667</v>
      </c>
      <c r="AH1285" s="296">
        <v>-2.7469999999999999E-3</v>
      </c>
    </row>
    <row r="1287" spans="1:34" ht="15" customHeight="1" x14ac:dyDescent="0.2">
      <c r="A1287" s="213" t="s">
        <v>2015</v>
      </c>
      <c r="B1287" s="204" t="s">
        <v>2016</v>
      </c>
      <c r="C1287" s="299">
        <v>3829.4257809999999</v>
      </c>
      <c r="D1287" s="299">
        <v>3844.5097660000001</v>
      </c>
      <c r="E1287" s="299">
        <v>3925.2646479999999</v>
      </c>
      <c r="F1287" s="299">
        <v>3972.295654</v>
      </c>
      <c r="G1287" s="299">
        <v>4014.6479490000002</v>
      </c>
      <c r="H1287" s="299">
        <v>4065.4938959999999</v>
      </c>
      <c r="I1287" s="299">
        <v>4088.7299800000001</v>
      </c>
      <c r="J1287" s="299">
        <v>4106.6938479999999</v>
      </c>
      <c r="K1287" s="299">
        <v>4125.7177730000003</v>
      </c>
      <c r="L1287" s="299">
        <v>4148.1743159999996</v>
      </c>
      <c r="M1287" s="299">
        <v>4168.8701170000004</v>
      </c>
      <c r="N1287" s="299">
        <v>4198.1865230000003</v>
      </c>
      <c r="O1287" s="299">
        <v>4221.0083009999998</v>
      </c>
      <c r="P1287" s="299">
        <v>4246.6752930000002</v>
      </c>
      <c r="Q1287" s="299">
        <v>4274.9731449999999</v>
      </c>
      <c r="R1287" s="299">
        <v>4305.8833009999998</v>
      </c>
      <c r="S1287" s="299">
        <v>4339.0878910000001</v>
      </c>
      <c r="T1287" s="299">
        <v>4374.3681640000004</v>
      </c>
      <c r="U1287" s="299">
        <v>4412.2890619999998</v>
      </c>
      <c r="V1287" s="299">
        <v>4450.2382809999999</v>
      </c>
      <c r="W1287" s="299">
        <v>4484.0673829999996</v>
      </c>
      <c r="X1287" s="299">
        <v>4523.0268550000001</v>
      </c>
      <c r="Y1287" s="299">
        <v>4566.1333009999998</v>
      </c>
      <c r="Z1287" s="299">
        <v>4615.3193359999996</v>
      </c>
      <c r="AA1287" s="299">
        <v>4661.046875</v>
      </c>
      <c r="AB1287" s="299">
        <v>4706.8408200000003</v>
      </c>
      <c r="AC1287" s="299">
        <v>4753.9765619999998</v>
      </c>
      <c r="AD1287" s="299">
        <v>4801.716797</v>
      </c>
      <c r="AE1287" s="299">
        <v>4852.0078119999998</v>
      </c>
      <c r="AF1287" s="299">
        <v>4907.3237300000001</v>
      </c>
      <c r="AG1287" s="299">
        <v>4964.1308589999999</v>
      </c>
      <c r="AH1287" s="206">
        <v>8.6879999999999995E-3</v>
      </c>
    </row>
    <row r="1289" spans="1:34" ht="15" customHeight="1" x14ac:dyDescent="0.2">
      <c r="B1289" s="204" t="s">
        <v>2017</v>
      </c>
    </row>
    <row r="1290" spans="1:34" ht="15" customHeight="1" x14ac:dyDescent="0.25">
      <c r="A1290" s="213" t="s">
        <v>2018</v>
      </c>
      <c r="B1290" s="294" t="s">
        <v>1987</v>
      </c>
      <c r="C1290" s="297">
        <v>6.9719829999999998</v>
      </c>
      <c r="D1290" s="297">
        <v>6.8608469999999997</v>
      </c>
      <c r="E1290" s="297">
        <v>6.8875840000000004</v>
      </c>
      <c r="F1290" s="297">
        <v>6.8614240000000004</v>
      </c>
      <c r="G1290" s="297">
        <v>6.8641740000000002</v>
      </c>
      <c r="H1290" s="297">
        <v>6.8545210000000001</v>
      </c>
      <c r="I1290" s="297">
        <v>6.8571479999999996</v>
      </c>
      <c r="J1290" s="297">
        <v>6.8450199999999999</v>
      </c>
      <c r="K1290" s="297">
        <v>6.8243200000000002</v>
      </c>
      <c r="L1290" s="297">
        <v>6.8077040000000002</v>
      </c>
      <c r="M1290" s="297">
        <v>6.8026359999999997</v>
      </c>
      <c r="N1290" s="297">
        <v>6.7920509999999998</v>
      </c>
      <c r="O1290" s="297">
        <v>6.7746089999999999</v>
      </c>
      <c r="P1290" s="297">
        <v>6.7569080000000001</v>
      </c>
      <c r="Q1290" s="297">
        <v>6.7416179999999999</v>
      </c>
      <c r="R1290" s="297">
        <v>6.728396</v>
      </c>
      <c r="S1290" s="297">
        <v>6.7118130000000003</v>
      </c>
      <c r="T1290" s="297">
        <v>6.7004020000000004</v>
      </c>
      <c r="U1290" s="297">
        <v>6.6929879999999997</v>
      </c>
      <c r="V1290" s="297">
        <v>6.6827810000000003</v>
      </c>
      <c r="W1290" s="297">
        <v>6.6645729999999999</v>
      </c>
      <c r="X1290" s="297">
        <v>6.6546830000000003</v>
      </c>
      <c r="Y1290" s="297">
        <v>6.6531409999999997</v>
      </c>
      <c r="Z1290" s="297">
        <v>6.6500459999999997</v>
      </c>
      <c r="AA1290" s="297">
        <v>6.6361990000000004</v>
      </c>
      <c r="AB1290" s="297">
        <v>6.6255040000000003</v>
      </c>
      <c r="AC1290" s="297">
        <v>6.6147900000000002</v>
      </c>
      <c r="AD1290" s="297">
        <v>6.6037030000000003</v>
      </c>
      <c r="AE1290" s="297">
        <v>6.5955959999999996</v>
      </c>
      <c r="AF1290" s="297">
        <v>6.58561</v>
      </c>
      <c r="AG1290" s="297">
        <v>6.5817119999999996</v>
      </c>
      <c r="AH1290" s="296">
        <v>-1.918E-3</v>
      </c>
    </row>
    <row r="1291" spans="1:34" ht="15" customHeight="1" x14ac:dyDescent="0.25">
      <c r="A1291" s="213" t="s">
        <v>2019</v>
      </c>
      <c r="B1291" s="294" t="s">
        <v>1989</v>
      </c>
      <c r="C1291" s="297">
        <v>1.1314280000000001</v>
      </c>
      <c r="D1291" s="297">
        <v>1.129939</v>
      </c>
      <c r="E1291" s="297">
        <v>0.73217500000000002</v>
      </c>
      <c r="F1291" s="297">
        <v>0.73193699999999995</v>
      </c>
      <c r="G1291" s="297">
        <v>0.73214000000000001</v>
      </c>
      <c r="H1291" s="297">
        <v>0.73215399999999997</v>
      </c>
      <c r="I1291" s="297">
        <v>0.73236400000000001</v>
      </c>
      <c r="J1291" s="297">
        <v>0.73234100000000002</v>
      </c>
      <c r="K1291" s="297">
        <v>0.732178</v>
      </c>
      <c r="L1291" s="297">
        <v>0.73207800000000001</v>
      </c>
      <c r="M1291" s="297">
        <v>0.73216899999999996</v>
      </c>
      <c r="N1291" s="297">
        <v>0.73216800000000004</v>
      </c>
      <c r="O1291" s="297">
        <v>0.73204999999999998</v>
      </c>
      <c r="P1291" s="297">
        <v>0.73192299999999999</v>
      </c>
      <c r="Q1291" s="297">
        <v>0.73183500000000001</v>
      </c>
      <c r="R1291" s="297">
        <v>0.73178200000000004</v>
      </c>
      <c r="S1291" s="297">
        <v>0.73166600000000004</v>
      </c>
      <c r="T1291" s="297">
        <v>0.73164200000000001</v>
      </c>
      <c r="U1291" s="297">
        <v>0.73169300000000004</v>
      </c>
      <c r="V1291" s="297">
        <v>0.73169200000000001</v>
      </c>
      <c r="W1291" s="297">
        <v>0.73153500000000005</v>
      </c>
      <c r="X1291" s="297">
        <v>0.73153800000000002</v>
      </c>
      <c r="Y1291" s="297">
        <v>0.73170999999999997</v>
      </c>
      <c r="Z1291" s="297">
        <v>0.73185500000000003</v>
      </c>
      <c r="AA1291" s="297">
        <v>0.73178100000000001</v>
      </c>
      <c r="AB1291" s="297">
        <v>0.73177199999999998</v>
      </c>
      <c r="AC1291" s="297">
        <v>0.73176099999999999</v>
      </c>
      <c r="AD1291" s="297">
        <v>0.731742</v>
      </c>
      <c r="AE1291" s="297">
        <v>0.73178900000000002</v>
      </c>
      <c r="AF1291" s="297">
        <v>0.73179499999999997</v>
      </c>
      <c r="AG1291" s="297">
        <v>0.73194400000000004</v>
      </c>
      <c r="AH1291" s="296">
        <v>-1.4413E-2</v>
      </c>
    </row>
    <row r="1292" spans="1:34" ht="15" customHeight="1" x14ac:dyDescent="0.25">
      <c r="A1292" s="213" t="s">
        <v>2020</v>
      </c>
      <c r="B1292" s="294" t="s">
        <v>2005</v>
      </c>
      <c r="C1292" s="297">
        <v>115.281631</v>
      </c>
      <c r="D1292" s="297">
        <v>118.376839</v>
      </c>
      <c r="E1292" s="297">
        <v>119.67497299999999</v>
      </c>
      <c r="F1292" s="297">
        <v>121.167603</v>
      </c>
      <c r="G1292" s="297">
        <v>122.828011</v>
      </c>
      <c r="H1292" s="297">
        <v>124.535194</v>
      </c>
      <c r="I1292" s="297">
        <v>126.29370900000001</v>
      </c>
      <c r="J1292" s="297">
        <v>128.044815</v>
      </c>
      <c r="K1292" s="297">
        <v>129.77014199999999</v>
      </c>
      <c r="L1292" s="297">
        <v>131.495667</v>
      </c>
      <c r="M1292" s="297">
        <v>132.423676</v>
      </c>
      <c r="N1292" s="297">
        <v>134.185486</v>
      </c>
      <c r="O1292" s="297">
        <v>135.92622399999999</v>
      </c>
      <c r="P1292" s="297">
        <v>137.80645799999999</v>
      </c>
      <c r="Q1292" s="297">
        <v>139.727509</v>
      </c>
      <c r="R1292" s="297">
        <v>141.72642500000001</v>
      </c>
      <c r="S1292" s="297">
        <v>143.82772800000001</v>
      </c>
      <c r="T1292" s="297">
        <v>146.146942</v>
      </c>
      <c r="U1292" s="297">
        <v>148.26280199999999</v>
      </c>
      <c r="V1292" s="297">
        <v>150.361557</v>
      </c>
      <c r="W1292" s="297">
        <v>152.49653599999999</v>
      </c>
      <c r="X1292" s="297">
        <v>154.778763</v>
      </c>
      <c r="Y1292" s="297">
        <v>157.27065999999999</v>
      </c>
      <c r="Z1292" s="297">
        <v>159.94155900000001</v>
      </c>
      <c r="AA1292" s="297">
        <v>162.807007</v>
      </c>
      <c r="AB1292" s="297">
        <v>165.87167400000001</v>
      </c>
      <c r="AC1292" s="297">
        <v>169.23443599999999</v>
      </c>
      <c r="AD1292" s="297">
        <v>172.92880199999999</v>
      </c>
      <c r="AE1292" s="297">
        <v>176.89862099999999</v>
      </c>
      <c r="AF1292" s="297">
        <v>181.33970600000001</v>
      </c>
      <c r="AG1292" s="297">
        <v>186.325638</v>
      </c>
      <c r="AH1292" s="296">
        <v>1.6133000000000002E-2</v>
      </c>
    </row>
    <row r="1293" spans="1:34" ht="15" customHeight="1" x14ac:dyDescent="0.25">
      <c r="A1293" s="213" t="s">
        <v>2021</v>
      </c>
      <c r="B1293" s="294" t="s">
        <v>2022</v>
      </c>
      <c r="C1293" s="297">
        <v>11.828587000000001</v>
      </c>
      <c r="D1293" s="297">
        <v>11.963876000000001</v>
      </c>
      <c r="E1293" s="297">
        <v>12.756105</v>
      </c>
      <c r="F1293" s="297">
        <v>12.777716</v>
      </c>
      <c r="G1293" s="297">
        <v>12.777716</v>
      </c>
      <c r="H1293" s="297">
        <v>12.777716</v>
      </c>
      <c r="I1293" s="297">
        <v>12.777716</v>
      </c>
      <c r="J1293" s="297">
        <v>12.777716</v>
      </c>
      <c r="K1293" s="297">
        <v>12.777716</v>
      </c>
      <c r="L1293" s="297">
        <v>12.777716</v>
      </c>
      <c r="M1293" s="297">
        <v>12.576568999999999</v>
      </c>
      <c r="N1293" s="297">
        <v>12.575399000000001</v>
      </c>
      <c r="O1293" s="297">
        <v>12.574322</v>
      </c>
      <c r="P1293" s="297">
        <v>12.587921</v>
      </c>
      <c r="Q1293" s="297">
        <v>12.609674</v>
      </c>
      <c r="R1293" s="297">
        <v>12.633590999999999</v>
      </c>
      <c r="S1293" s="297">
        <v>12.681084999999999</v>
      </c>
      <c r="T1293" s="297">
        <v>12.764893000000001</v>
      </c>
      <c r="U1293" s="297">
        <v>12.777716</v>
      </c>
      <c r="V1293" s="297">
        <v>12.777716</v>
      </c>
      <c r="W1293" s="297">
        <v>12.777716</v>
      </c>
      <c r="X1293" s="297">
        <v>12.777716</v>
      </c>
      <c r="Y1293" s="297">
        <v>12.777716</v>
      </c>
      <c r="Z1293" s="297">
        <v>12.777716</v>
      </c>
      <c r="AA1293" s="297">
        <v>12.777716</v>
      </c>
      <c r="AB1293" s="297">
        <v>12.777716</v>
      </c>
      <c r="AC1293" s="297">
        <v>12.777716</v>
      </c>
      <c r="AD1293" s="297">
        <v>12.777716</v>
      </c>
      <c r="AE1293" s="297">
        <v>12.777716</v>
      </c>
      <c r="AF1293" s="297">
        <v>12.777716</v>
      </c>
      <c r="AG1293" s="297">
        <v>12.777716</v>
      </c>
      <c r="AH1293" s="296">
        <v>2.5760000000000002E-3</v>
      </c>
    </row>
    <row r="1294" spans="1:34" ht="15" customHeight="1" x14ac:dyDescent="0.25">
      <c r="A1294" s="213" t="s">
        <v>2023</v>
      </c>
      <c r="B1294" s="294" t="s">
        <v>2024</v>
      </c>
      <c r="C1294" s="297">
        <v>78.754997000000003</v>
      </c>
      <c r="D1294" s="297">
        <v>86.754088999999993</v>
      </c>
      <c r="E1294" s="297">
        <v>93.096558000000002</v>
      </c>
      <c r="F1294" s="297">
        <v>97.820121999999998</v>
      </c>
      <c r="G1294" s="297">
        <v>102.66944100000001</v>
      </c>
      <c r="H1294" s="297">
        <v>108.528137</v>
      </c>
      <c r="I1294" s="297">
        <v>114.066925</v>
      </c>
      <c r="J1294" s="297">
        <v>120.28952</v>
      </c>
      <c r="K1294" s="297">
        <v>125.59166</v>
      </c>
      <c r="L1294" s="297">
        <v>131.21301299999999</v>
      </c>
      <c r="M1294" s="297">
        <v>136.22869900000001</v>
      </c>
      <c r="N1294" s="297">
        <v>142.132904</v>
      </c>
      <c r="O1294" s="297">
        <v>146.91085799999999</v>
      </c>
      <c r="P1294" s="297">
        <v>153.09277299999999</v>
      </c>
      <c r="Q1294" s="297">
        <v>158.39329499999999</v>
      </c>
      <c r="R1294" s="297">
        <v>164.97790499999999</v>
      </c>
      <c r="S1294" s="297">
        <v>171.73803699999999</v>
      </c>
      <c r="T1294" s="297">
        <v>177.80297899999999</v>
      </c>
      <c r="U1294" s="297">
        <v>184.06570400000001</v>
      </c>
      <c r="V1294" s="297">
        <v>190.38121000000001</v>
      </c>
      <c r="W1294" s="297">
        <v>197.07867400000001</v>
      </c>
      <c r="X1294" s="297">
        <v>203.96935999999999</v>
      </c>
      <c r="Y1294" s="297">
        <v>211.39868200000001</v>
      </c>
      <c r="Z1294" s="297">
        <v>217.38291899999999</v>
      </c>
      <c r="AA1294" s="297">
        <v>224.660965</v>
      </c>
      <c r="AB1294" s="297">
        <v>231.89236500000001</v>
      </c>
      <c r="AC1294" s="297">
        <v>239.722565</v>
      </c>
      <c r="AD1294" s="297">
        <v>247.81634500000001</v>
      </c>
      <c r="AE1294" s="297">
        <v>255.58313000000001</v>
      </c>
      <c r="AF1294" s="297">
        <v>262.78875699999998</v>
      </c>
      <c r="AG1294" s="297">
        <v>270.16531400000002</v>
      </c>
      <c r="AH1294" s="296">
        <v>4.1945999999999997E-2</v>
      </c>
    </row>
    <row r="1295" spans="1:34" ht="15" customHeight="1" x14ac:dyDescent="0.25">
      <c r="A1295" s="213" t="s">
        <v>2025</v>
      </c>
      <c r="B1295" s="294" t="s">
        <v>2026</v>
      </c>
      <c r="C1295" s="297">
        <v>3.0856460000000001</v>
      </c>
      <c r="D1295" s="297">
        <v>3.0856460000000001</v>
      </c>
      <c r="E1295" s="297">
        <v>3.3747259999999999</v>
      </c>
      <c r="F1295" s="297">
        <v>3.3747259999999999</v>
      </c>
      <c r="G1295" s="297">
        <v>3.3747259999999999</v>
      </c>
      <c r="H1295" s="297">
        <v>3.3747259999999999</v>
      </c>
      <c r="I1295" s="297">
        <v>3.3747259999999999</v>
      </c>
      <c r="J1295" s="297">
        <v>3.3747259999999999</v>
      </c>
      <c r="K1295" s="297">
        <v>3.3747259999999999</v>
      </c>
      <c r="L1295" s="297">
        <v>3.3747259999999999</v>
      </c>
      <c r="M1295" s="297">
        <v>3.3747259999999999</v>
      </c>
      <c r="N1295" s="297">
        <v>3.3747259999999999</v>
      </c>
      <c r="O1295" s="297">
        <v>3.3747259999999999</v>
      </c>
      <c r="P1295" s="297">
        <v>3.3747259999999999</v>
      </c>
      <c r="Q1295" s="297">
        <v>3.3747259999999999</v>
      </c>
      <c r="R1295" s="297">
        <v>3.3747259999999999</v>
      </c>
      <c r="S1295" s="297">
        <v>3.3747259999999999</v>
      </c>
      <c r="T1295" s="297">
        <v>3.3747259999999999</v>
      </c>
      <c r="U1295" s="297">
        <v>3.3747259999999999</v>
      </c>
      <c r="V1295" s="297">
        <v>3.3747259999999999</v>
      </c>
      <c r="W1295" s="297">
        <v>3.3747259999999999</v>
      </c>
      <c r="X1295" s="297">
        <v>3.3747259999999999</v>
      </c>
      <c r="Y1295" s="297">
        <v>3.3747259999999999</v>
      </c>
      <c r="Z1295" s="297">
        <v>3.3747259999999999</v>
      </c>
      <c r="AA1295" s="297">
        <v>3.3747259999999999</v>
      </c>
      <c r="AB1295" s="297">
        <v>3.3747259999999999</v>
      </c>
      <c r="AC1295" s="297">
        <v>3.3747259999999999</v>
      </c>
      <c r="AD1295" s="297">
        <v>3.3747259999999999</v>
      </c>
      <c r="AE1295" s="297">
        <v>3.3747259999999999</v>
      </c>
      <c r="AF1295" s="297">
        <v>3.3747259999999999</v>
      </c>
      <c r="AG1295" s="297">
        <v>3.3747259999999999</v>
      </c>
      <c r="AH1295" s="296">
        <v>2.99E-3</v>
      </c>
    </row>
    <row r="1296" spans="1:34" ht="15" customHeight="1" x14ac:dyDescent="0.2">
      <c r="A1296" s="213" t="s">
        <v>2027</v>
      </c>
      <c r="B1296" s="204" t="s">
        <v>2028</v>
      </c>
      <c r="C1296" s="299">
        <v>217.05426</v>
      </c>
      <c r="D1296" s="299">
        <v>228.171234</v>
      </c>
      <c r="E1296" s="299">
        <v>236.52212499999999</v>
      </c>
      <c r="F1296" s="299">
        <v>242.733521</v>
      </c>
      <c r="G1296" s="299">
        <v>249.246216</v>
      </c>
      <c r="H1296" s="299">
        <v>256.80242900000002</v>
      </c>
      <c r="I1296" s="299">
        <v>264.10257000000001</v>
      </c>
      <c r="J1296" s="299">
        <v>272.06411700000001</v>
      </c>
      <c r="K1296" s="299">
        <v>279.07074</v>
      </c>
      <c r="L1296" s="299">
        <v>286.40087899999997</v>
      </c>
      <c r="M1296" s="299">
        <v>292.13845800000001</v>
      </c>
      <c r="N1296" s="299">
        <v>299.79272500000002</v>
      </c>
      <c r="O1296" s="299">
        <v>306.29278599999998</v>
      </c>
      <c r="P1296" s="299">
        <v>314.350708</v>
      </c>
      <c r="Q1296" s="299">
        <v>321.57867399999998</v>
      </c>
      <c r="R1296" s="299">
        <v>330.172821</v>
      </c>
      <c r="S1296" s="299">
        <v>339.06506300000001</v>
      </c>
      <c r="T1296" s="299">
        <v>347.52157599999998</v>
      </c>
      <c r="U1296" s="299">
        <v>355.90560900000003</v>
      </c>
      <c r="V1296" s="299">
        <v>364.30969199999998</v>
      </c>
      <c r="W1296" s="299">
        <v>373.12374899999998</v>
      </c>
      <c r="X1296" s="299">
        <v>382.28677399999998</v>
      </c>
      <c r="Y1296" s="299">
        <v>392.20663500000001</v>
      </c>
      <c r="Z1296" s="299">
        <v>400.85882600000002</v>
      </c>
      <c r="AA1296" s="299">
        <v>410.98840300000001</v>
      </c>
      <c r="AB1296" s="299">
        <v>421.27374300000002</v>
      </c>
      <c r="AC1296" s="299">
        <v>432.45599399999998</v>
      </c>
      <c r="AD1296" s="299">
        <v>444.23303199999998</v>
      </c>
      <c r="AE1296" s="299">
        <v>455.96157799999997</v>
      </c>
      <c r="AF1296" s="299">
        <v>467.598297</v>
      </c>
      <c r="AG1296" s="299">
        <v>479.95703099999997</v>
      </c>
      <c r="AH1296" s="206">
        <v>2.6804999999999999E-2</v>
      </c>
    </row>
    <row r="1297" spans="1:34" ht="15" customHeight="1" x14ac:dyDescent="0.25">
      <c r="A1297" s="213" t="s">
        <v>2029</v>
      </c>
      <c r="B1297" s="294" t="s">
        <v>2030</v>
      </c>
      <c r="C1297" s="297">
        <v>162.46623199999999</v>
      </c>
      <c r="D1297" s="297">
        <v>172.03697199999999</v>
      </c>
      <c r="E1297" s="297">
        <v>188.68487500000001</v>
      </c>
      <c r="F1297" s="297">
        <v>193.731979</v>
      </c>
      <c r="G1297" s="297">
        <v>199.010818</v>
      </c>
      <c r="H1297" s="297">
        <v>205.30308500000001</v>
      </c>
      <c r="I1297" s="297">
        <v>211.27754200000001</v>
      </c>
      <c r="J1297" s="297">
        <v>217.924835</v>
      </c>
      <c r="K1297" s="297">
        <v>223.603409</v>
      </c>
      <c r="L1297" s="297">
        <v>229.595474</v>
      </c>
      <c r="M1297" s="297">
        <v>233.94392400000001</v>
      </c>
      <c r="N1297" s="297">
        <v>240.17617799999999</v>
      </c>
      <c r="O1297" s="297">
        <v>245.22137499999999</v>
      </c>
      <c r="P1297" s="297">
        <v>251.79567</v>
      </c>
      <c r="Q1297" s="297">
        <v>257.48406999999997</v>
      </c>
      <c r="R1297" s="297">
        <v>264.50869799999998</v>
      </c>
      <c r="S1297" s="297">
        <v>271.79470800000001</v>
      </c>
      <c r="T1297" s="297">
        <v>278.61261000000002</v>
      </c>
      <c r="U1297" s="297">
        <v>285.302368</v>
      </c>
      <c r="V1297" s="297">
        <v>291.99563599999999</v>
      </c>
      <c r="W1297" s="297">
        <v>299.05654900000002</v>
      </c>
      <c r="X1297" s="297">
        <v>306.403839</v>
      </c>
      <c r="Y1297" s="297">
        <v>314.42047100000002</v>
      </c>
      <c r="Z1297" s="297">
        <v>321.06967200000003</v>
      </c>
      <c r="AA1297" s="297">
        <v>329.13299599999999</v>
      </c>
      <c r="AB1297" s="297">
        <v>337.23516799999999</v>
      </c>
      <c r="AC1297" s="297">
        <v>346.125946</v>
      </c>
      <c r="AD1297" s="297">
        <v>355.50466899999998</v>
      </c>
      <c r="AE1297" s="297">
        <v>364.69986</v>
      </c>
      <c r="AF1297" s="297">
        <v>373.65655500000003</v>
      </c>
      <c r="AG1297" s="297">
        <v>383.17019699999997</v>
      </c>
      <c r="AH1297" s="296">
        <v>2.9013000000000001E-2</v>
      </c>
    </row>
    <row r="1298" spans="1:34" ht="15" customHeight="1" x14ac:dyDescent="0.2">
      <c r="A1298" s="213" t="s">
        <v>2031</v>
      </c>
      <c r="B1298" s="204" t="s">
        <v>2032</v>
      </c>
      <c r="C1298" s="299">
        <v>54.588051</v>
      </c>
      <c r="D1298" s="299">
        <v>56.134273999999998</v>
      </c>
      <c r="E1298" s="299">
        <v>47.837273000000003</v>
      </c>
      <c r="F1298" s="299">
        <v>49.001545</v>
      </c>
      <c r="G1298" s="299">
        <v>50.235393999999999</v>
      </c>
      <c r="H1298" s="299">
        <v>51.499392999999998</v>
      </c>
      <c r="I1298" s="299">
        <v>52.825046999999998</v>
      </c>
      <c r="J1298" s="299">
        <v>54.139313000000001</v>
      </c>
      <c r="K1298" s="299">
        <v>55.467350000000003</v>
      </c>
      <c r="L1298" s="299">
        <v>56.805442999999997</v>
      </c>
      <c r="M1298" s="299">
        <v>58.194569000000001</v>
      </c>
      <c r="N1298" s="299">
        <v>59.616543</v>
      </c>
      <c r="O1298" s="299">
        <v>61.071407000000001</v>
      </c>
      <c r="P1298" s="299">
        <v>62.555058000000002</v>
      </c>
      <c r="Q1298" s="299">
        <v>64.094596999999993</v>
      </c>
      <c r="R1298" s="299">
        <v>65.664176999999995</v>
      </c>
      <c r="S1298" s="299">
        <v>67.270347999999998</v>
      </c>
      <c r="T1298" s="299">
        <v>68.908989000000005</v>
      </c>
      <c r="U1298" s="299">
        <v>70.603279000000001</v>
      </c>
      <c r="V1298" s="299">
        <v>72.314071999999996</v>
      </c>
      <c r="W1298" s="299">
        <v>74.067229999999995</v>
      </c>
      <c r="X1298" s="299">
        <v>75.882973000000007</v>
      </c>
      <c r="Y1298" s="299">
        <v>77.786186000000001</v>
      </c>
      <c r="Z1298" s="299">
        <v>79.789139000000006</v>
      </c>
      <c r="AA1298" s="299">
        <v>81.855446000000001</v>
      </c>
      <c r="AB1298" s="299">
        <v>84.038680999999997</v>
      </c>
      <c r="AC1298" s="299">
        <v>86.330108999999993</v>
      </c>
      <c r="AD1298" s="299">
        <v>88.728447000000003</v>
      </c>
      <c r="AE1298" s="299">
        <v>91.261764999999997</v>
      </c>
      <c r="AF1298" s="299">
        <v>93.941794999999999</v>
      </c>
      <c r="AG1298" s="299">
        <v>96.786873</v>
      </c>
      <c r="AH1298" s="206">
        <v>1.9272999999999998E-2</v>
      </c>
    </row>
    <row r="1300" spans="1:34" ht="15" customHeight="1" x14ac:dyDescent="0.2">
      <c r="B1300" s="204" t="s">
        <v>2033</v>
      </c>
    </row>
    <row r="1301" spans="1:34" ht="15" customHeight="1" x14ac:dyDescent="0.25">
      <c r="A1301" s="213" t="s">
        <v>2034</v>
      </c>
      <c r="B1301" s="294" t="s">
        <v>1987</v>
      </c>
      <c r="C1301" s="297">
        <v>773.88201900000001</v>
      </c>
      <c r="D1301" s="297">
        <v>941.73376499999995</v>
      </c>
      <c r="E1301" s="297">
        <v>992.79119900000001</v>
      </c>
      <c r="F1301" s="297">
        <v>871.750854</v>
      </c>
      <c r="G1301" s="297">
        <v>780.43792699999995</v>
      </c>
      <c r="H1301" s="297">
        <v>706.41967799999998</v>
      </c>
      <c r="I1301" s="297">
        <v>723.25091599999996</v>
      </c>
      <c r="J1301" s="297">
        <v>698.41479500000003</v>
      </c>
      <c r="K1301" s="297">
        <v>703.34155299999998</v>
      </c>
      <c r="L1301" s="297">
        <v>705.18328899999995</v>
      </c>
      <c r="M1301" s="297">
        <v>695.74206500000003</v>
      </c>
      <c r="N1301" s="297">
        <v>683.59429899999998</v>
      </c>
      <c r="O1301" s="297">
        <v>671.28857400000004</v>
      </c>
      <c r="P1301" s="297">
        <v>670.094604</v>
      </c>
      <c r="Q1301" s="297">
        <v>668.57281499999999</v>
      </c>
      <c r="R1301" s="297">
        <v>653.83886700000005</v>
      </c>
      <c r="S1301" s="297">
        <v>652.707581</v>
      </c>
      <c r="T1301" s="297">
        <v>643.58160399999997</v>
      </c>
      <c r="U1301" s="297">
        <v>626.76519800000005</v>
      </c>
      <c r="V1301" s="297">
        <v>621.67889400000001</v>
      </c>
      <c r="W1301" s="297">
        <v>619.91973900000005</v>
      </c>
      <c r="X1301" s="297">
        <v>616.31616199999996</v>
      </c>
      <c r="Y1301" s="297">
        <v>616.70904499999995</v>
      </c>
      <c r="Z1301" s="297">
        <v>610.07458499999996</v>
      </c>
      <c r="AA1301" s="297">
        <v>605.32934599999999</v>
      </c>
      <c r="AB1301" s="297">
        <v>592.97918700000002</v>
      </c>
      <c r="AC1301" s="297">
        <v>590.65801999999996</v>
      </c>
      <c r="AD1301" s="297">
        <v>589.8125</v>
      </c>
      <c r="AE1301" s="297">
        <v>592.60418700000002</v>
      </c>
      <c r="AF1301" s="297">
        <v>594.86968999999999</v>
      </c>
      <c r="AG1301" s="297">
        <v>593.26556400000004</v>
      </c>
      <c r="AH1301" s="296">
        <v>-8.8199999999999997E-3</v>
      </c>
    </row>
    <row r="1302" spans="1:34" ht="15" customHeight="1" x14ac:dyDescent="0.25">
      <c r="A1302" s="213" t="s">
        <v>2035</v>
      </c>
      <c r="B1302" s="294" t="s">
        <v>1989</v>
      </c>
      <c r="C1302" s="297">
        <v>15.693806</v>
      </c>
      <c r="D1302" s="297">
        <v>12.171516</v>
      </c>
      <c r="E1302" s="297">
        <v>11.926264</v>
      </c>
      <c r="F1302" s="297">
        <v>11.248262</v>
      </c>
      <c r="G1302" s="297">
        <v>10.768572000000001</v>
      </c>
      <c r="H1302" s="297">
        <v>10.392709</v>
      </c>
      <c r="I1302" s="297">
        <v>10.08339</v>
      </c>
      <c r="J1302" s="297">
        <v>9.6168680000000002</v>
      </c>
      <c r="K1302" s="297">
        <v>9.3348940000000002</v>
      </c>
      <c r="L1302" s="297">
        <v>9.1760540000000006</v>
      </c>
      <c r="M1302" s="297">
        <v>8.9827119999999994</v>
      </c>
      <c r="N1302" s="297">
        <v>8.6854630000000004</v>
      </c>
      <c r="O1302" s="297">
        <v>8.5969029999999993</v>
      </c>
      <c r="P1302" s="297">
        <v>8.5406089999999999</v>
      </c>
      <c r="Q1302" s="297">
        <v>8.5121579999999994</v>
      </c>
      <c r="R1302" s="297">
        <v>8.4115570000000002</v>
      </c>
      <c r="S1302" s="297">
        <v>8.3123860000000001</v>
      </c>
      <c r="T1302" s="297">
        <v>8.1358289999999993</v>
      </c>
      <c r="U1302" s="297">
        <v>7.8370439999999997</v>
      </c>
      <c r="V1302" s="297">
        <v>7.7281190000000004</v>
      </c>
      <c r="W1302" s="297">
        <v>7.6319780000000002</v>
      </c>
      <c r="X1302" s="297">
        <v>7.3309550000000003</v>
      </c>
      <c r="Y1302" s="297">
        <v>7.0252150000000002</v>
      </c>
      <c r="Z1302" s="297">
        <v>6.6809510000000003</v>
      </c>
      <c r="AA1302" s="297">
        <v>6.3623250000000002</v>
      </c>
      <c r="AB1302" s="297">
        <v>6.0023780000000002</v>
      </c>
      <c r="AC1302" s="297">
        <v>6.0097509999999996</v>
      </c>
      <c r="AD1302" s="297">
        <v>6.0413730000000001</v>
      </c>
      <c r="AE1302" s="297">
        <v>6.0784510000000003</v>
      </c>
      <c r="AF1302" s="297">
        <v>6.1120890000000001</v>
      </c>
      <c r="AG1302" s="297">
        <v>6.1329890000000002</v>
      </c>
      <c r="AH1302" s="296">
        <v>-3.0834E-2</v>
      </c>
    </row>
    <row r="1303" spans="1:34" ht="15" customHeight="1" x14ac:dyDescent="0.25">
      <c r="A1303" s="213" t="s">
        <v>2036</v>
      </c>
      <c r="B1303" s="294" t="s">
        <v>2005</v>
      </c>
      <c r="C1303" s="297">
        <v>1636.4144289999999</v>
      </c>
      <c r="D1303" s="297">
        <v>1428.1547849999999</v>
      </c>
      <c r="E1303" s="297">
        <v>1432.5069579999999</v>
      </c>
      <c r="F1303" s="297">
        <v>1494.609009</v>
      </c>
      <c r="G1303" s="297">
        <v>1484.582764</v>
      </c>
      <c r="H1303" s="297">
        <v>1550.6204829999999</v>
      </c>
      <c r="I1303" s="297">
        <v>1588.561768</v>
      </c>
      <c r="J1303" s="297">
        <v>1600.5607910000001</v>
      </c>
      <c r="K1303" s="297">
        <v>1583.3774410000001</v>
      </c>
      <c r="L1303" s="297">
        <v>1583.3544919999999</v>
      </c>
      <c r="M1303" s="297">
        <v>1562.0238039999999</v>
      </c>
      <c r="N1303" s="297">
        <v>1574.4033199999999</v>
      </c>
      <c r="O1303" s="297">
        <v>1580.0607910000001</v>
      </c>
      <c r="P1303" s="297">
        <v>1584.8645019999999</v>
      </c>
      <c r="Q1303" s="297">
        <v>1592.965942</v>
      </c>
      <c r="R1303" s="297">
        <v>1584.2200929999999</v>
      </c>
      <c r="S1303" s="297">
        <v>1594.151245</v>
      </c>
      <c r="T1303" s="297">
        <v>1616.4095460000001</v>
      </c>
      <c r="U1303" s="297">
        <v>1648.568115</v>
      </c>
      <c r="V1303" s="297">
        <v>1676.6455080000001</v>
      </c>
      <c r="W1303" s="297">
        <v>1706.4884030000001</v>
      </c>
      <c r="X1303" s="297">
        <v>1723.142822</v>
      </c>
      <c r="Y1303" s="297">
        <v>1749.9243160000001</v>
      </c>
      <c r="Z1303" s="297">
        <v>1785.701172</v>
      </c>
      <c r="AA1303" s="297">
        <v>1813.2973629999999</v>
      </c>
      <c r="AB1303" s="297">
        <v>1839.848755</v>
      </c>
      <c r="AC1303" s="297">
        <v>1852.8442379999999</v>
      </c>
      <c r="AD1303" s="297">
        <v>1870.0382079999999</v>
      </c>
      <c r="AE1303" s="297">
        <v>1894.802246</v>
      </c>
      <c r="AF1303" s="297">
        <v>1921.9521480000001</v>
      </c>
      <c r="AG1303" s="297">
        <v>1953.114014</v>
      </c>
      <c r="AH1303" s="296">
        <v>5.9150000000000001E-3</v>
      </c>
    </row>
    <row r="1304" spans="1:34" ht="15" customHeight="1" x14ac:dyDescent="0.25">
      <c r="A1304" s="213" t="s">
        <v>2037</v>
      </c>
      <c r="B1304" s="294" t="s">
        <v>1993</v>
      </c>
      <c r="C1304" s="297">
        <v>784.792236</v>
      </c>
      <c r="D1304" s="297">
        <v>760.58019999999999</v>
      </c>
      <c r="E1304" s="297">
        <v>736.682861</v>
      </c>
      <c r="F1304" s="297">
        <v>749.79760699999997</v>
      </c>
      <c r="G1304" s="297">
        <v>752.92675799999995</v>
      </c>
      <c r="H1304" s="297">
        <v>744.93896500000005</v>
      </c>
      <c r="I1304" s="297">
        <v>658.94946300000004</v>
      </c>
      <c r="J1304" s="297">
        <v>644.83618200000001</v>
      </c>
      <c r="K1304" s="297">
        <v>645.18322799999999</v>
      </c>
      <c r="L1304" s="297">
        <v>629.51879899999994</v>
      </c>
      <c r="M1304" s="297">
        <v>630.26769999999999</v>
      </c>
      <c r="N1304" s="297">
        <v>631.43005400000004</v>
      </c>
      <c r="O1304" s="297">
        <v>632.27673300000004</v>
      </c>
      <c r="P1304" s="297">
        <v>624.55664100000001</v>
      </c>
      <c r="Q1304" s="297">
        <v>607.81957999999997</v>
      </c>
      <c r="R1304" s="297">
        <v>609.22460899999999</v>
      </c>
      <c r="S1304" s="297">
        <v>602.73718299999996</v>
      </c>
      <c r="T1304" s="297">
        <v>602.94830300000001</v>
      </c>
      <c r="U1304" s="297">
        <v>603.15893600000004</v>
      </c>
      <c r="V1304" s="297">
        <v>603.15893600000004</v>
      </c>
      <c r="W1304" s="297">
        <v>594.80969200000004</v>
      </c>
      <c r="X1304" s="297">
        <v>596.06176800000003</v>
      </c>
      <c r="Y1304" s="297">
        <v>596.96734600000002</v>
      </c>
      <c r="Z1304" s="297">
        <v>597.84088099999997</v>
      </c>
      <c r="AA1304" s="297">
        <v>598.59619099999998</v>
      </c>
      <c r="AB1304" s="297">
        <v>599.41479500000003</v>
      </c>
      <c r="AC1304" s="297">
        <v>599.84082000000001</v>
      </c>
      <c r="AD1304" s="297">
        <v>592.53234899999995</v>
      </c>
      <c r="AE1304" s="297">
        <v>592.797729</v>
      </c>
      <c r="AF1304" s="297">
        <v>593.11828600000001</v>
      </c>
      <c r="AG1304" s="297">
        <v>593.581726</v>
      </c>
      <c r="AH1304" s="296">
        <v>-9.2650000000000007E-3</v>
      </c>
    </row>
    <row r="1305" spans="1:34" ht="15" customHeight="1" x14ac:dyDescent="0.25">
      <c r="A1305" s="213" t="s">
        <v>2038</v>
      </c>
      <c r="B1305" s="294" t="s">
        <v>2039</v>
      </c>
      <c r="C1305" s="297">
        <v>834.12176499999998</v>
      </c>
      <c r="D1305" s="297">
        <v>928.72241199999996</v>
      </c>
      <c r="E1305" s="297">
        <v>985.40374799999995</v>
      </c>
      <c r="F1305" s="297">
        <v>1085.159058</v>
      </c>
      <c r="G1305" s="297">
        <v>1232.8496090000001</v>
      </c>
      <c r="H1305" s="297">
        <v>1307.123047</v>
      </c>
      <c r="I1305" s="297">
        <v>1369.415283</v>
      </c>
      <c r="J1305" s="297">
        <v>1422.845337</v>
      </c>
      <c r="K1305" s="297">
        <v>1461.1635739999999</v>
      </c>
      <c r="L1305" s="297">
        <v>1505.3570560000001</v>
      </c>
      <c r="M1305" s="297">
        <v>1562.054932</v>
      </c>
      <c r="N1305" s="297">
        <v>1598.01062</v>
      </c>
      <c r="O1305" s="297">
        <v>1633.2426760000001</v>
      </c>
      <c r="P1305" s="297">
        <v>1671.19165</v>
      </c>
      <c r="Q1305" s="297">
        <v>1716.9208980000001</v>
      </c>
      <c r="R1305" s="297">
        <v>1778.8145750000001</v>
      </c>
      <c r="S1305" s="297">
        <v>1818.7386469999999</v>
      </c>
      <c r="T1305" s="297">
        <v>1849.2430420000001</v>
      </c>
      <c r="U1305" s="297">
        <v>1880.3084719999999</v>
      </c>
      <c r="V1305" s="297">
        <v>1903.8048100000001</v>
      </c>
      <c r="W1305" s="297">
        <v>1926.8801269999999</v>
      </c>
      <c r="X1305" s="297">
        <v>1961.0217290000001</v>
      </c>
      <c r="Y1305" s="297">
        <v>1986.3179929999999</v>
      </c>
      <c r="Z1305" s="297">
        <v>2014.5924070000001</v>
      </c>
      <c r="AA1305" s="297">
        <v>2047.3066409999999</v>
      </c>
      <c r="AB1305" s="297">
        <v>2088.6789549999999</v>
      </c>
      <c r="AC1305" s="297">
        <v>2136.1979980000001</v>
      </c>
      <c r="AD1305" s="297">
        <v>2186.744385</v>
      </c>
      <c r="AE1305" s="297">
        <v>2220.9731449999999</v>
      </c>
      <c r="AF1305" s="297">
        <v>2258.3410640000002</v>
      </c>
      <c r="AG1305" s="297">
        <v>2297.8164059999999</v>
      </c>
      <c r="AH1305" s="296">
        <v>3.4354999999999997E-2</v>
      </c>
    </row>
    <row r="1306" spans="1:34" ht="15" customHeight="1" x14ac:dyDescent="0.25">
      <c r="A1306" s="213" t="s">
        <v>2040</v>
      </c>
      <c r="B1306" s="294" t="s">
        <v>2041</v>
      </c>
      <c r="C1306" s="297">
        <v>16.298684999999999</v>
      </c>
      <c r="D1306" s="297">
        <v>15.864081000000001</v>
      </c>
      <c r="E1306" s="297">
        <v>16.948578000000001</v>
      </c>
      <c r="F1306" s="297">
        <v>16.899619999999999</v>
      </c>
      <c r="G1306" s="297">
        <v>16.730898</v>
      </c>
      <c r="H1306" s="297">
        <v>16.824286000000001</v>
      </c>
      <c r="I1306" s="297">
        <v>16.594912000000001</v>
      </c>
      <c r="J1306" s="297">
        <v>16.507183000000001</v>
      </c>
      <c r="K1306" s="297">
        <v>16.410948000000001</v>
      </c>
      <c r="L1306" s="297">
        <v>16.008825000000002</v>
      </c>
      <c r="M1306" s="297">
        <v>15.940788</v>
      </c>
      <c r="N1306" s="297">
        <v>15.756017999999999</v>
      </c>
      <c r="O1306" s="297">
        <v>15.735448999999999</v>
      </c>
      <c r="P1306" s="297">
        <v>15.678229999999999</v>
      </c>
      <c r="Q1306" s="297">
        <v>15.661011</v>
      </c>
      <c r="R1306" s="297">
        <v>15.446721999999999</v>
      </c>
      <c r="S1306" s="297">
        <v>15.406528</v>
      </c>
      <c r="T1306" s="297">
        <v>15.472270999999999</v>
      </c>
      <c r="U1306" s="297">
        <v>15.457363000000001</v>
      </c>
      <c r="V1306" s="297">
        <v>15.432173000000001</v>
      </c>
      <c r="W1306" s="297">
        <v>15.361856</v>
      </c>
      <c r="X1306" s="297">
        <v>15.340055</v>
      </c>
      <c r="Y1306" s="297">
        <v>15.296314000000001</v>
      </c>
      <c r="Z1306" s="297">
        <v>15.188713</v>
      </c>
      <c r="AA1306" s="297">
        <v>15.043317999999999</v>
      </c>
      <c r="AB1306" s="297">
        <v>14.867428</v>
      </c>
      <c r="AC1306" s="297">
        <v>14.438466999999999</v>
      </c>
      <c r="AD1306" s="297">
        <v>14.337681</v>
      </c>
      <c r="AE1306" s="297">
        <v>14.269748999999999</v>
      </c>
      <c r="AF1306" s="297">
        <v>14.085739</v>
      </c>
      <c r="AG1306" s="297">
        <v>13.733734</v>
      </c>
      <c r="AH1306" s="296">
        <v>-5.6909999999999999E-3</v>
      </c>
    </row>
    <row r="1307" spans="1:34" ht="15" customHeight="1" x14ac:dyDescent="0.2">
      <c r="A1307" s="213" t="s">
        <v>2042</v>
      </c>
      <c r="B1307" s="204" t="s">
        <v>2043</v>
      </c>
      <c r="C1307" s="299">
        <v>4061.2028810000002</v>
      </c>
      <c r="D1307" s="299">
        <v>4087.226318</v>
      </c>
      <c r="E1307" s="299">
        <v>4176.2597660000001</v>
      </c>
      <c r="F1307" s="299">
        <v>4229.4643550000001</v>
      </c>
      <c r="G1307" s="299">
        <v>4278.2963870000003</v>
      </c>
      <c r="H1307" s="299">
        <v>4336.3193359999996</v>
      </c>
      <c r="I1307" s="299">
        <v>4366.8554690000001</v>
      </c>
      <c r="J1307" s="299">
        <v>4392.7807620000003</v>
      </c>
      <c r="K1307" s="299">
        <v>4418.8115230000003</v>
      </c>
      <c r="L1307" s="299">
        <v>4448.5981449999999</v>
      </c>
      <c r="M1307" s="299">
        <v>4475.0122069999998</v>
      </c>
      <c r="N1307" s="299">
        <v>4511.8798829999996</v>
      </c>
      <c r="O1307" s="299">
        <v>4541.2016599999997</v>
      </c>
      <c r="P1307" s="299">
        <v>4574.9262699999999</v>
      </c>
      <c r="Q1307" s="299">
        <v>4610.4521480000003</v>
      </c>
      <c r="R1307" s="299">
        <v>4649.9565430000002</v>
      </c>
      <c r="S1307" s="299">
        <v>4692.0532229999999</v>
      </c>
      <c r="T1307" s="299">
        <v>4735.7900390000004</v>
      </c>
      <c r="U1307" s="299">
        <v>4782.0952150000003</v>
      </c>
      <c r="V1307" s="299">
        <v>4828.4482420000004</v>
      </c>
      <c r="W1307" s="299">
        <v>4871.0913090000004</v>
      </c>
      <c r="X1307" s="299">
        <v>4919.2138670000004</v>
      </c>
      <c r="Y1307" s="299">
        <v>4972.2402339999999</v>
      </c>
      <c r="Z1307" s="299">
        <v>5030.0786129999997</v>
      </c>
      <c r="AA1307" s="299">
        <v>5085.935547</v>
      </c>
      <c r="AB1307" s="299">
        <v>5141.7910160000001</v>
      </c>
      <c r="AC1307" s="299">
        <v>5199.9892579999996</v>
      </c>
      <c r="AD1307" s="299">
        <v>5259.5063479999999</v>
      </c>
      <c r="AE1307" s="299">
        <v>5321.5258789999998</v>
      </c>
      <c r="AF1307" s="299">
        <v>5388.4785160000001</v>
      </c>
      <c r="AG1307" s="299">
        <v>5457.6445309999999</v>
      </c>
      <c r="AH1307" s="206">
        <v>9.9000000000000008E-3</v>
      </c>
    </row>
    <row r="1308" spans="1:34" ht="15" customHeight="1" x14ac:dyDescent="0.2">
      <c r="A1308" s="213" t="s">
        <v>2044</v>
      </c>
      <c r="B1308" s="204" t="s">
        <v>2045</v>
      </c>
      <c r="C1308" s="299">
        <v>3884.0139159999999</v>
      </c>
      <c r="D1308" s="299">
        <v>3900.6440429999998</v>
      </c>
      <c r="E1308" s="299">
        <v>3973.101807</v>
      </c>
      <c r="F1308" s="299">
        <v>4021.2971189999998</v>
      </c>
      <c r="G1308" s="299">
        <v>4064.8833009999998</v>
      </c>
      <c r="H1308" s="299">
        <v>4116.9931640000004</v>
      </c>
      <c r="I1308" s="299">
        <v>4141.5551759999998</v>
      </c>
      <c r="J1308" s="299">
        <v>4160.8330079999996</v>
      </c>
      <c r="K1308" s="299">
        <v>4181.1850590000004</v>
      </c>
      <c r="L1308" s="299">
        <v>4204.9799800000001</v>
      </c>
      <c r="M1308" s="299">
        <v>4227.064453</v>
      </c>
      <c r="N1308" s="299">
        <v>4257.8032229999999</v>
      </c>
      <c r="O1308" s="299">
        <v>4282.0795900000003</v>
      </c>
      <c r="P1308" s="299">
        <v>4309.2304690000001</v>
      </c>
      <c r="Q1308" s="299">
        <v>4339.0678710000002</v>
      </c>
      <c r="R1308" s="299">
        <v>4371.5473629999997</v>
      </c>
      <c r="S1308" s="299">
        <v>4406.3583980000003</v>
      </c>
      <c r="T1308" s="299">
        <v>4443.2773440000001</v>
      </c>
      <c r="U1308" s="299">
        <v>4482.892578</v>
      </c>
      <c r="V1308" s="299">
        <v>4522.5522460000002</v>
      </c>
      <c r="W1308" s="299">
        <v>4558.1347660000001</v>
      </c>
      <c r="X1308" s="299">
        <v>4598.9096680000002</v>
      </c>
      <c r="Y1308" s="299">
        <v>4643.9194340000004</v>
      </c>
      <c r="Z1308" s="299">
        <v>4695.1083980000003</v>
      </c>
      <c r="AA1308" s="299">
        <v>4742.9023440000001</v>
      </c>
      <c r="AB1308" s="299">
        <v>4790.8793949999999</v>
      </c>
      <c r="AC1308" s="299">
        <v>4840.3066410000001</v>
      </c>
      <c r="AD1308" s="299">
        <v>4890.4453119999998</v>
      </c>
      <c r="AE1308" s="299">
        <v>4943.2695309999999</v>
      </c>
      <c r="AF1308" s="299">
        <v>5001.265625</v>
      </c>
      <c r="AG1308" s="299">
        <v>5060.9179690000001</v>
      </c>
      <c r="AH1308" s="206">
        <v>8.8620000000000001E-3</v>
      </c>
    </row>
    <row r="1310" spans="1:34" ht="15" customHeight="1" x14ac:dyDescent="0.2">
      <c r="A1310" s="213" t="s">
        <v>2046</v>
      </c>
      <c r="B1310" s="204" t="s">
        <v>2047</v>
      </c>
      <c r="C1310" s="299">
        <v>45.686568999999999</v>
      </c>
      <c r="D1310" s="299">
        <v>47.767184999999998</v>
      </c>
      <c r="E1310" s="299">
        <v>44.566498000000003</v>
      </c>
      <c r="F1310" s="299">
        <v>43.032825000000003</v>
      </c>
      <c r="G1310" s="299">
        <v>45.014083999999997</v>
      </c>
      <c r="H1310" s="299">
        <v>42.265098999999999</v>
      </c>
      <c r="I1310" s="299">
        <v>43.537506</v>
      </c>
      <c r="J1310" s="299">
        <v>47.493693999999998</v>
      </c>
      <c r="K1310" s="299">
        <v>49.676440999999997</v>
      </c>
      <c r="L1310" s="299">
        <v>48.932133</v>
      </c>
      <c r="M1310" s="299">
        <v>51.541865999999999</v>
      </c>
      <c r="N1310" s="299">
        <v>48.538249999999998</v>
      </c>
      <c r="O1310" s="299">
        <v>51.182876999999998</v>
      </c>
      <c r="P1310" s="299">
        <v>50.631222000000001</v>
      </c>
      <c r="Q1310" s="299">
        <v>52.945503000000002</v>
      </c>
      <c r="R1310" s="299">
        <v>52.398338000000003</v>
      </c>
      <c r="S1310" s="299">
        <v>51.004424999999998</v>
      </c>
      <c r="T1310" s="299">
        <v>50.278728000000001</v>
      </c>
      <c r="U1310" s="299">
        <v>49.860619</v>
      </c>
      <c r="V1310" s="299">
        <v>50.089652999999998</v>
      </c>
      <c r="W1310" s="299">
        <v>49.465584</v>
      </c>
      <c r="X1310" s="299">
        <v>48.502602000000003</v>
      </c>
      <c r="Y1310" s="299">
        <v>47.560504999999999</v>
      </c>
      <c r="Z1310" s="299">
        <v>47.165568999999998</v>
      </c>
      <c r="AA1310" s="299">
        <v>46.783161</v>
      </c>
      <c r="AB1310" s="299">
        <v>46.171756999999999</v>
      </c>
      <c r="AC1310" s="299">
        <v>45.779983999999999</v>
      </c>
      <c r="AD1310" s="299">
        <v>45.385998000000001</v>
      </c>
      <c r="AE1310" s="299">
        <v>45.264381</v>
      </c>
      <c r="AF1310" s="299">
        <v>44.001358000000003</v>
      </c>
      <c r="AG1310" s="299">
        <v>43.657966999999999</v>
      </c>
      <c r="AH1310" s="206">
        <v>-1.513E-3</v>
      </c>
    </row>
    <row r="1312" spans="1:34" ht="15" customHeight="1" x14ac:dyDescent="0.2">
      <c r="B1312" s="204" t="s">
        <v>2048</v>
      </c>
    </row>
    <row r="1313" spans="1:34" ht="15" customHeight="1" x14ac:dyDescent="0.25">
      <c r="A1313" s="213" t="s">
        <v>2049</v>
      </c>
      <c r="B1313" s="294" t="s">
        <v>2050</v>
      </c>
      <c r="C1313" s="297">
        <v>1480.8714600000001</v>
      </c>
      <c r="D1313" s="297">
        <v>1490.4886469999999</v>
      </c>
      <c r="E1313" s="297">
        <v>1492.1827390000001</v>
      </c>
      <c r="F1313" s="297">
        <v>1495.228638</v>
      </c>
      <c r="G1313" s="297">
        <v>1499.3360600000001</v>
      </c>
      <c r="H1313" s="297">
        <v>1503.940308</v>
      </c>
      <c r="I1313" s="297">
        <v>1510.4738769999999</v>
      </c>
      <c r="J1313" s="297">
        <v>1516.9364009999999</v>
      </c>
      <c r="K1313" s="297">
        <v>1524.457764</v>
      </c>
      <c r="L1313" s="297">
        <v>1532.5322269999999</v>
      </c>
      <c r="M1313" s="297">
        <v>1541.0131839999999</v>
      </c>
      <c r="N1313" s="297">
        <v>1550.4514160000001</v>
      </c>
      <c r="O1313" s="297">
        <v>1561.049683</v>
      </c>
      <c r="P1313" s="297">
        <v>1571.166504</v>
      </c>
      <c r="Q1313" s="297">
        <v>1582.7932129999999</v>
      </c>
      <c r="R1313" s="297">
        <v>1594.9880370000001</v>
      </c>
      <c r="S1313" s="297">
        <v>1608.155029</v>
      </c>
      <c r="T1313" s="297">
        <v>1622.0297849999999</v>
      </c>
      <c r="U1313" s="297">
        <v>1636.138428</v>
      </c>
      <c r="V1313" s="297">
        <v>1650.2010499999999</v>
      </c>
      <c r="W1313" s="297">
        <v>1663.151611</v>
      </c>
      <c r="X1313" s="297">
        <v>1676.0017089999999</v>
      </c>
      <c r="Y1313" s="297">
        <v>1689.1488039999999</v>
      </c>
      <c r="Z1313" s="297">
        <v>1703.6206050000001</v>
      </c>
      <c r="AA1313" s="297">
        <v>1718.22522</v>
      </c>
      <c r="AB1313" s="297">
        <v>1732.7188719999999</v>
      </c>
      <c r="AC1313" s="297">
        <v>1747.7647710000001</v>
      </c>
      <c r="AD1313" s="297">
        <v>1762.4727780000001</v>
      </c>
      <c r="AE1313" s="297">
        <v>1777.6949460000001</v>
      </c>
      <c r="AF1313" s="297">
        <v>1793.6511230000001</v>
      </c>
      <c r="AG1313" s="297">
        <v>1810.6446530000001</v>
      </c>
      <c r="AH1313" s="296">
        <v>6.7239999999999999E-3</v>
      </c>
    </row>
    <row r="1314" spans="1:34" ht="15" customHeight="1" x14ac:dyDescent="0.25">
      <c r="A1314" s="213" t="s">
        <v>2051</v>
      </c>
      <c r="B1314" s="294" t="s">
        <v>2052</v>
      </c>
      <c r="C1314" s="297">
        <v>1270.6419679999999</v>
      </c>
      <c r="D1314" s="297">
        <v>1288.278198</v>
      </c>
      <c r="E1314" s="297">
        <v>1316.109009</v>
      </c>
      <c r="F1314" s="297">
        <v>1335.869019</v>
      </c>
      <c r="G1314" s="297">
        <v>1357.7753909999999</v>
      </c>
      <c r="H1314" s="297">
        <v>1379.098389</v>
      </c>
      <c r="I1314" s="297">
        <v>1381.870361</v>
      </c>
      <c r="J1314" s="297">
        <v>1384.636475</v>
      </c>
      <c r="K1314" s="297">
        <v>1388.4748540000001</v>
      </c>
      <c r="L1314" s="297">
        <v>1392.4229740000001</v>
      </c>
      <c r="M1314" s="297">
        <v>1394.900635</v>
      </c>
      <c r="N1314" s="297">
        <v>1398.716064</v>
      </c>
      <c r="O1314" s="297">
        <v>1405.6423339999999</v>
      </c>
      <c r="P1314" s="297">
        <v>1411.17749</v>
      </c>
      <c r="Q1314" s="297">
        <v>1418.847168</v>
      </c>
      <c r="R1314" s="297">
        <v>1426.0413820000001</v>
      </c>
      <c r="S1314" s="297">
        <v>1434.2857670000001</v>
      </c>
      <c r="T1314" s="297">
        <v>1444.072876</v>
      </c>
      <c r="U1314" s="297">
        <v>1454.653687</v>
      </c>
      <c r="V1314" s="297">
        <v>1465.772217</v>
      </c>
      <c r="W1314" s="297">
        <v>1476.2501219999999</v>
      </c>
      <c r="X1314" s="297">
        <v>1488.095947</v>
      </c>
      <c r="Y1314" s="297">
        <v>1500.2264399999999</v>
      </c>
      <c r="Z1314" s="297">
        <v>1516.0120850000001</v>
      </c>
      <c r="AA1314" s="297">
        <v>1531.2666019999999</v>
      </c>
      <c r="AB1314" s="297">
        <v>1547.766357</v>
      </c>
      <c r="AC1314" s="297">
        <v>1565.129639</v>
      </c>
      <c r="AD1314" s="297">
        <v>1583.2913820000001</v>
      </c>
      <c r="AE1314" s="297">
        <v>1602.946655</v>
      </c>
      <c r="AF1314" s="297">
        <v>1625.0035399999999</v>
      </c>
      <c r="AG1314" s="297">
        <v>1648.5401609999999</v>
      </c>
      <c r="AH1314" s="296">
        <v>8.7170000000000008E-3</v>
      </c>
    </row>
    <row r="1315" spans="1:34" ht="15" customHeight="1" x14ac:dyDescent="0.25">
      <c r="A1315" s="213" t="s">
        <v>2053</v>
      </c>
      <c r="B1315" s="294" t="s">
        <v>2054</v>
      </c>
      <c r="C1315" s="297">
        <v>898.86425799999995</v>
      </c>
      <c r="D1315" s="297">
        <v>889.14038100000005</v>
      </c>
      <c r="E1315" s="297">
        <v>924.801331</v>
      </c>
      <c r="F1315" s="297">
        <v>946.13531499999999</v>
      </c>
      <c r="G1315" s="297">
        <v>963.40228300000001</v>
      </c>
      <c r="H1315" s="297">
        <v>983.67645300000004</v>
      </c>
      <c r="I1315" s="297">
        <v>996.57775900000001</v>
      </c>
      <c r="J1315" s="297">
        <v>1006.475403</v>
      </c>
      <c r="K1315" s="297">
        <v>1013.45813</v>
      </c>
      <c r="L1315" s="297">
        <v>1020.547546</v>
      </c>
      <c r="M1315" s="297">
        <v>1030.0638429999999</v>
      </c>
      <c r="N1315" s="297">
        <v>1039.2352289999999</v>
      </c>
      <c r="O1315" s="297">
        <v>1044.380737</v>
      </c>
      <c r="P1315" s="297">
        <v>1049.2811280000001</v>
      </c>
      <c r="Q1315" s="297">
        <v>1056.6701660000001</v>
      </c>
      <c r="R1315" s="297">
        <v>1062.970337</v>
      </c>
      <c r="S1315" s="297">
        <v>1068.6617429999999</v>
      </c>
      <c r="T1315" s="297">
        <v>1074.271851</v>
      </c>
      <c r="U1315" s="297">
        <v>1081.451172</v>
      </c>
      <c r="V1315" s="297">
        <v>1088.302246</v>
      </c>
      <c r="W1315" s="297">
        <v>1092.5108640000001</v>
      </c>
      <c r="X1315" s="297">
        <v>1099.7219239999999</v>
      </c>
      <c r="Y1315" s="297">
        <v>1110.501831</v>
      </c>
      <c r="Z1315" s="297">
        <v>1121.734375</v>
      </c>
      <c r="AA1315" s="297">
        <v>1129.8764650000001</v>
      </c>
      <c r="AB1315" s="297">
        <v>1137.5239260000001</v>
      </c>
      <c r="AC1315" s="297">
        <v>1145.190063</v>
      </c>
      <c r="AD1315" s="297">
        <v>1152.1885990000001</v>
      </c>
      <c r="AE1315" s="297">
        <v>1159.799072</v>
      </c>
      <c r="AF1315" s="297">
        <v>1168.6053469999999</v>
      </c>
      <c r="AG1315" s="297">
        <v>1177.9370120000001</v>
      </c>
      <c r="AH1315" s="296">
        <v>9.0539999999999995E-3</v>
      </c>
    </row>
    <row r="1316" spans="1:34" ht="15" customHeight="1" x14ac:dyDescent="0.25">
      <c r="A1316" s="213" t="s">
        <v>2055</v>
      </c>
      <c r="B1316" s="294" t="s">
        <v>2056</v>
      </c>
      <c r="C1316" s="297">
        <v>10.396267</v>
      </c>
      <c r="D1316" s="297">
        <v>12.507391</v>
      </c>
      <c r="E1316" s="297">
        <v>14.262776000000001</v>
      </c>
      <c r="F1316" s="297">
        <v>15.89644</v>
      </c>
      <c r="G1316" s="297">
        <v>17.405010000000001</v>
      </c>
      <c r="H1316" s="297">
        <v>18.926043</v>
      </c>
      <c r="I1316" s="297">
        <v>20.755571</v>
      </c>
      <c r="J1316" s="297">
        <v>22.650198</v>
      </c>
      <c r="K1316" s="297">
        <v>24.593163000000001</v>
      </c>
      <c r="L1316" s="297">
        <v>26.621165999999999</v>
      </c>
      <c r="M1316" s="297">
        <v>28.928604</v>
      </c>
      <c r="N1316" s="297">
        <v>31.422851999999999</v>
      </c>
      <c r="O1316" s="297">
        <v>34.224173999999998</v>
      </c>
      <c r="P1316" s="297">
        <v>37.303116000000003</v>
      </c>
      <c r="Q1316" s="297">
        <v>40.678576999999997</v>
      </c>
      <c r="R1316" s="297">
        <v>44.321762</v>
      </c>
      <c r="S1316" s="297">
        <v>48.198779999999999</v>
      </c>
      <c r="T1316" s="297">
        <v>52.320816000000001</v>
      </c>
      <c r="U1316" s="297">
        <v>56.725155000000001</v>
      </c>
      <c r="V1316" s="297">
        <v>61.356689000000003</v>
      </c>
      <c r="W1316" s="297">
        <v>66.283576999999994</v>
      </c>
      <c r="X1316" s="297">
        <v>71.280022000000002</v>
      </c>
      <c r="Y1316" s="297">
        <v>76.446678000000006</v>
      </c>
      <c r="Z1316" s="297">
        <v>81.731071</v>
      </c>
      <c r="AA1316" s="297">
        <v>87.236716999999999</v>
      </c>
      <c r="AB1316" s="297">
        <v>92.594832999999994</v>
      </c>
      <c r="AC1316" s="297">
        <v>98.090652000000006</v>
      </c>
      <c r="AD1316" s="297">
        <v>103.69244399999999</v>
      </c>
      <c r="AE1316" s="297">
        <v>109.445488</v>
      </c>
      <c r="AF1316" s="297">
        <v>115.362534</v>
      </c>
      <c r="AG1316" s="297">
        <v>121.303253</v>
      </c>
      <c r="AH1316" s="296">
        <v>8.5342000000000001E-2</v>
      </c>
    </row>
    <row r="1317" spans="1:34" ht="15" customHeight="1" x14ac:dyDescent="0.2">
      <c r="A1317" s="213" t="s">
        <v>2057</v>
      </c>
      <c r="B1317" s="204" t="s">
        <v>653</v>
      </c>
      <c r="C1317" s="299">
        <v>3660.7741700000001</v>
      </c>
      <c r="D1317" s="299">
        <v>3680.4152829999998</v>
      </c>
      <c r="E1317" s="299">
        <v>3747.3559570000002</v>
      </c>
      <c r="F1317" s="299">
        <v>3793.1293949999999</v>
      </c>
      <c r="G1317" s="299">
        <v>3837.9187010000001</v>
      </c>
      <c r="H1317" s="299">
        <v>3885.641357</v>
      </c>
      <c r="I1317" s="299">
        <v>3909.67749</v>
      </c>
      <c r="J1317" s="299">
        <v>3930.6984859999998</v>
      </c>
      <c r="K1317" s="299">
        <v>3950.983643</v>
      </c>
      <c r="L1317" s="299">
        <v>3972.123779</v>
      </c>
      <c r="M1317" s="299">
        <v>3994.9060060000002</v>
      </c>
      <c r="N1317" s="299">
        <v>4019.8254390000002</v>
      </c>
      <c r="O1317" s="299">
        <v>4045.2971189999998</v>
      </c>
      <c r="P1317" s="299">
        <v>4068.9282229999999</v>
      </c>
      <c r="Q1317" s="299">
        <v>4098.9892579999996</v>
      </c>
      <c r="R1317" s="299">
        <v>4128.3212890000004</v>
      </c>
      <c r="S1317" s="299">
        <v>4159.3012699999999</v>
      </c>
      <c r="T1317" s="299">
        <v>4192.6958009999998</v>
      </c>
      <c r="U1317" s="299">
        <v>4228.9682620000003</v>
      </c>
      <c r="V1317" s="299">
        <v>4265.6323240000002</v>
      </c>
      <c r="W1317" s="299">
        <v>4298.1967770000001</v>
      </c>
      <c r="X1317" s="299">
        <v>4335.0996089999999</v>
      </c>
      <c r="Y1317" s="299">
        <v>4376.3242190000001</v>
      </c>
      <c r="Z1317" s="299">
        <v>4423.0976559999999</v>
      </c>
      <c r="AA1317" s="299">
        <v>4466.6049800000001</v>
      </c>
      <c r="AB1317" s="299">
        <v>4510.6044920000004</v>
      </c>
      <c r="AC1317" s="299">
        <v>4556.1748049999997</v>
      </c>
      <c r="AD1317" s="299">
        <v>4601.6455079999996</v>
      </c>
      <c r="AE1317" s="299">
        <v>4649.8862300000001</v>
      </c>
      <c r="AF1317" s="299">
        <v>4702.6225590000004</v>
      </c>
      <c r="AG1317" s="299">
        <v>4758.4252930000002</v>
      </c>
      <c r="AH1317" s="206">
        <v>8.7799999999999996E-3</v>
      </c>
    </row>
    <row r="1318" spans="1:34" ht="15" customHeight="1" x14ac:dyDescent="0.25">
      <c r="A1318" s="213" t="s">
        <v>2058</v>
      </c>
      <c r="B1318" s="294" t="s">
        <v>2059</v>
      </c>
      <c r="C1318" s="297">
        <v>177.18905599999999</v>
      </c>
      <c r="D1318" s="297">
        <v>186.582504</v>
      </c>
      <c r="E1318" s="297">
        <v>203.15765400000001</v>
      </c>
      <c r="F1318" s="297">
        <v>208.16729699999999</v>
      </c>
      <c r="G1318" s="297">
        <v>213.412994</v>
      </c>
      <c r="H1318" s="297">
        <v>219.326065</v>
      </c>
      <c r="I1318" s="297">
        <v>225.300522</v>
      </c>
      <c r="J1318" s="297">
        <v>231.94781499999999</v>
      </c>
      <c r="K1318" s="297">
        <v>237.62638899999999</v>
      </c>
      <c r="L1318" s="297">
        <v>243.61845400000001</v>
      </c>
      <c r="M1318" s="297">
        <v>247.947495</v>
      </c>
      <c r="N1318" s="297">
        <v>254.07637</v>
      </c>
      <c r="O1318" s="297">
        <v>259.12158199999999</v>
      </c>
      <c r="P1318" s="297">
        <v>265.69586199999998</v>
      </c>
      <c r="Q1318" s="297">
        <v>271.384277</v>
      </c>
      <c r="R1318" s="297">
        <v>278.408905</v>
      </c>
      <c r="S1318" s="297">
        <v>285.69491599999998</v>
      </c>
      <c r="T1318" s="297">
        <v>292.51281699999998</v>
      </c>
      <c r="U1318" s="297">
        <v>299.20257600000002</v>
      </c>
      <c r="V1318" s="297">
        <v>305.89584400000001</v>
      </c>
      <c r="W1318" s="297">
        <v>312.95675699999998</v>
      </c>
      <c r="X1318" s="297">
        <v>320.30404700000003</v>
      </c>
      <c r="Y1318" s="297">
        <v>328.32067899999998</v>
      </c>
      <c r="Z1318" s="297">
        <v>334.96987899999999</v>
      </c>
      <c r="AA1318" s="297">
        <v>343.03320300000001</v>
      </c>
      <c r="AB1318" s="297">
        <v>350.91153000000003</v>
      </c>
      <c r="AC1318" s="297">
        <v>359.68261699999999</v>
      </c>
      <c r="AD1318" s="297">
        <v>369.06133999999997</v>
      </c>
      <c r="AE1318" s="297">
        <v>378.256531</v>
      </c>
      <c r="AF1318" s="297">
        <v>387.21322600000002</v>
      </c>
      <c r="AG1318" s="297">
        <v>396.72686800000002</v>
      </c>
      <c r="AH1318" s="296">
        <v>2.7231999999999999E-2</v>
      </c>
    </row>
    <row r="1319" spans="1:34" ht="15" customHeight="1" x14ac:dyDescent="0.2">
      <c r="A1319" s="213" t="s">
        <v>2060</v>
      </c>
      <c r="B1319" s="204" t="s">
        <v>2061</v>
      </c>
      <c r="C1319" s="299">
        <v>3837.963135</v>
      </c>
      <c r="D1319" s="299">
        <v>3866.9978030000002</v>
      </c>
      <c r="E1319" s="299">
        <v>3950.513672</v>
      </c>
      <c r="F1319" s="299">
        <v>4001.2966310000002</v>
      </c>
      <c r="G1319" s="299">
        <v>4051.3317870000001</v>
      </c>
      <c r="H1319" s="299">
        <v>4104.9672849999997</v>
      </c>
      <c r="I1319" s="299">
        <v>4134.9780270000001</v>
      </c>
      <c r="J1319" s="299">
        <v>4162.6464839999999</v>
      </c>
      <c r="K1319" s="299">
        <v>4188.6098629999997</v>
      </c>
      <c r="L1319" s="299">
        <v>4215.7421880000002</v>
      </c>
      <c r="M1319" s="299">
        <v>4242.8535160000001</v>
      </c>
      <c r="N1319" s="299">
        <v>4273.9018550000001</v>
      </c>
      <c r="O1319" s="299">
        <v>4304.4189450000003</v>
      </c>
      <c r="P1319" s="299">
        <v>4334.6240230000003</v>
      </c>
      <c r="Q1319" s="299">
        <v>4370.3735349999997</v>
      </c>
      <c r="R1319" s="299">
        <v>4406.7299800000001</v>
      </c>
      <c r="S1319" s="299">
        <v>4444.9960940000001</v>
      </c>
      <c r="T1319" s="299">
        <v>4485.2084960000002</v>
      </c>
      <c r="U1319" s="299">
        <v>4528.1708980000003</v>
      </c>
      <c r="V1319" s="299">
        <v>4571.5283200000003</v>
      </c>
      <c r="W1319" s="299">
        <v>4611.1533200000003</v>
      </c>
      <c r="X1319" s="299">
        <v>4655.4038090000004</v>
      </c>
      <c r="Y1319" s="299">
        <v>4704.6450199999999</v>
      </c>
      <c r="Z1319" s="299">
        <v>4758.0673829999996</v>
      </c>
      <c r="AA1319" s="299">
        <v>4809.6381840000004</v>
      </c>
      <c r="AB1319" s="299">
        <v>4861.5161129999997</v>
      </c>
      <c r="AC1319" s="299">
        <v>4915.857422</v>
      </c>
      <c r="AD1319" s="299">
        <v>4970.7070309999999</v>
      </c>
      <c r="AE1319" s="299">
        <v>5028.142578</v>
      </c>
      <c r="AF1319" s="299">
        <v>5089.8359380000002</v>
      </c>
      <c r="AG1319" s="299">
        <v>5155.1523440000001</v>
      </c>
      <c r="AH1319" s="206">
        <v>9.8840000000000004E-3</v>
      </c>
    </row>
    <row r="1321" spans="1:34" ht="15" customHeight="1" x14ac:dyDescent="0.2">
      <c r="B1321" s="204" t="s">
        <v>2062</v>
      </c>
    </row>
    <row r="1322" spans="1:34" ht="15" customHeight="1" x14ac:dyDescent="0.2">
      <c r="B1322" s="204" t="s">
        <v>2063</v>
      </c>
    </row>
    <row r="1323" spans="1:34" ht="15" customHeight="1" x14ac:dyDescent="0.25">
      <c r="A1323" s="213" t="s">
        <v>2064</v>
      </c>
      <c r="B1323" s="294" t="s">
        <v>2050</v>
      </c>
      <c r="C1323" s="298">
        <v>12.205985999999999</v>
      </c>
      <c r="D1323" s="298">
        <v>12.461187000000001</v>
      </c>
      <c r="E1323" s="298">
        <v>12.43744</v>
      </c>
      <c r="F1323" s="298">
        <v>12.395898000000001</v>
      </c>
      <c r="G1323" s="298">
        <v>12.34876</v>
      </c>
      <c r="H1323" s="298">
        <v>12.365907</v>
      </c>
      <c r="I1323" s="298">
        <v>12.410997</v>
      </c>
      <c r="J1323" s="298">
        <v>12.442007</v>
      </c>
      <c r="K1323" s="298">
        <v>12.451254</v>
      </c>
      <c r="L1323" s="298">
        <v>12.48054</v>
      </c>
      <c r="M1323" s="298">
        <v>12.466348999999999</v>
      </c>
      <c r="N1323" s="298">
        <v>12.471897999999999</v>
      </c>
      <c r="O1323" s="298">
        <v>12.444262999999999</v>
      </c>
      <c r="P1323" s="298">
        <v>12.498111</v>
      </c>
      <c r="Q1323" s="298">
        <v>12.501787</v>
      </c>
      <c r="R1323" s="298">
        <v>12.499413000000001</v>
      </c>
      <c r="S1323" s="298">
        <v>12.455545000000001</v>
      </c>
      <c r="T1323" s="298">
        <v>12.420609000000001</v>
      </c>
      <c r="U1323" s="298">
        <v>12.382406</v>
      </c>
      <c r="V1323" s="298">
        <v>12.347830999999999</v>
      </c>
      <c r="W1323" s="298">
        <v>12.330373</v>
      </c>
      <c r="X1323" s="298">
        <v>12.311923999999999</v>
      </c>
      <c r="Y1323" s="298">
        <v>12.310627</v>
      </c>
      <c r="Z1323" s="298">
        <v>12.224258000000001</v>
      </c>
      <c r="AA1323" s="298">
        <v>12.21482</v>
      </c>
      <c r="AB1323" s="298">
        <v>12.189885</v>
      </c>
      <c r="AC1323" s="298">
        <v>12.132692</v>
      </c>
      <c r="AD1323" s="298">
        <v>12.12567</v>
      </c>
      <c r="AE1323" s="298">
        <v>12.091168</v>
      </c>
      <c r="AF1323" s="298">
        <v>12.012136999999999</v>
      </c>
      <c r="AG1323" s="298">
        <v>11.927716999999999</v>
      </c>
      <c r="AH1323" s="296">
        <v>-7.6800000000000002E-4</v>
      </c>
    </row>
    <row r="1324" spans="1:34" ht="15" customHeight="1" x14ac:dyDescent="0.25">
      <c r="A1324" s="213" t="s">
        <v>2065</v>
      </c>
      <c r="B1324" s="294" t="s">
        <v>2052</v>
      </c>
      <c r="C1324" s="298">
        <v>10.688195</v>
      </c>
      <c r="D1324" s="298">
        <v>10.826158</v>
      </c>
      <c r="E1324" s="298">
        <v>10.782219</v>
      </c>
      <c r="F1324" s="298">
        <v>10.655505</v>
      </c>
      <c r="G1324" s="298">
        <v>10.565187</v>
      </c>
      <c r="H1324" s="298">
        <v>10.555292</v>
      </c>
      <c r="I1324" s="298">
        <v>10.559165</v>
      </c>
      <c r="J1324" s="298">
        <v>10.569839999999999</v>
      </c>
      <c r="K1324" s="298">
        <v>10.547832</v>
      </c>
      <c r="L1324" s="298">
        <v>10.540528</v>
      </c>
      <c r="M1324" s="298">
        <v>10.492057000000001</v>
      </c>
      <c r="N1324" s="298">
        <v>10.491273</v>
      </c>
      <c r="O1324" s="298">
        <v>10.412023</v>
      </c>
      <c r="P1324" s="298">
        <v>10.466638</v>
      </c>
      <c r="Q1324" s="298">
        <v>10.426723000000001</v>
      </c>
      <c r="R1324" s="298">
        <v>10.415341</v>
      </c>
      <c r="S1324" s="298">
        <v>10.342363000000001</v>
      </c>
      <c r="T1324" s="298">
        <v>10.278186</v>
      </c>
      <c r="U1324" s="298">
        <v>10.207287000000001</v>
      </c>
      <c r="V1324" s="298">
        <v>10.148577</v>
      </c>
      <c r="W1324" s="298">
        <v>10.111060999999999</v>
      </c>
      <c r="X1324" s="298">
        <v>10.075654999999999</v>
      </c>
      <c r="Y1324" s="298">
        <v>10.058273</v>
      </c>
      <c r="Z1324" s="298">
        <v>9.9382239999999999</v>
      </c>
      <c r="AA1324" s="298">
        <v>9.9040510000000008</v>
      </c>
      <c r="AB1324" s="298">
        <v>9.8530239999999996</v>
      </c>
      <c r="AC1324" s="298">
        <v>9.7728179999999991</v>
      </c>
      <c r="AD1324" s="298">
        <v>9.7505159999999993</v>
      </c>
      <c r="AE1324" s="298">
        <v>9.6894650000000002</v>
      </c>
      <c r="AF1324" s="298">
        <v>9.5818919999999999</v>
      </c>
      <c r="AG1324" s="298">
        <v>9.4849720000000008</v>
      </c>
      <c r="AH1324" s="296">
        <v>-3.973E-3</v>
      </c>
    </row>
    <row r="1325" spans="1:34" ht="15" customHeight="1" x14ac:dyDescent="0.25">
      <c r="A1325" s="213" t="s">
        <v>2066</v>
      </c>
      <c r="B1325" s="294" t="s">
        <v>2054</v>
      </c>
      <c r="C1325" s="298">
        <v>7.0676009999999998</v>
      </c>
      <c r="D1325" s="298">
        <v>7.1434110000000004</v>
      </c>
      <c r="E1325" s="298">
        <v>7.0418190000000003</v>
      </c>
      <c r="F1325" s="298">
        <v>6.8788410000000004</v>
      </c>
      <c r="G1325" s="298">
        <v>6.7748410000000003</v>
      </c>
      <c r="H1325" s="298">
        <v>6.7363470000000003</v>
      </c>
      <c r="I1325" s="298">
        <v>6.7453399999999997</v>
      </c>
      <c r="J1325" s="298">
        <v>6.7263830000000002</v>
      </c>
      <c r="K1325" s="298">
        <v>6.7114750000000001</v>
      </c>
      <c r="L1325" s="298">
        <v>6.7085530000000002</v>
      </c>
      <c r="M1325" s="298">
        <v>6.674817</v>
      </c>
      <c r="N1325" s="298">
        <v>6.6803910000000002</v>
      </c>
      <c r="O1325" s="298">
        <v>6.6546060000000002</v>
      </c>
      <c r="P1325" s="298">
        <v>6.6553839999999997</v>
      </c>
      <c r="Q1325" s="298">
        <v>6.6464679999999996</v>
      </c>
      <c r="R1325" s="298">
        <v>6.6417849999999996</v>
      </c>
      <c r="S1325" s="298">
        <v>6.6027769999999997</v>
      </c>
      <c r="T1325" s="298">
        <v>6.5667470000000003</v>
      </c>
      <c r="U1325" s="298">
        <v>6.5389869999999997</v>
      </c>
      <c r="V1325" s="298">
        <v>6.5027910000000002</v>
      </c>
      <c r="W1325" s="298">
        <v>6.474653</v>
      </c>
      <c r="X1325" s="298">
        <v>6.4446019999999997</v>
      </c>
      <c r="Y1325" s="298">
        <v>6.4223889999999999</v>
      </c>
      <c r="Z1325" s="298">
        <v>6.3676009999999996</v>
      </c>
      <c r="AA1325" s="298">
        <v>6.3383310000000002</v>
      </c>
      <c r="AB1325" s="298">
        <v>6.310854</v>
      </c>
      <c r="AC1325" s="298">
        <v>6.2748189999999999</v>
      </c>
      <c r="AD1325" s="298">
        <v>6.2576669999999996</v>
      </c>
      <c r="AE1325" s="298">
        <v>6.2371460000000001</v>
      </c>
      <c r="AF1325" s="298">
        <v>6.1991259999999997</v>
      </c>
      <c r="AG1325" s="298">
        <v>6.1604359999999998</v>
      </c>
      <c r="AH1325" s="296">
        <v>-4.5690000000000001E-3</v>
      </c>
    </row>
    <row r="1326" spans="1:34" ht="15" customHeight="1" x14ac:dyDescent="0.25">
      <c r="A1326" s="213" t="s">
        <v>2067</v>
      </c>
      <c r="B1326" s="294" t="s">
        <v>2056</v>
      </c>
      <c r="C1326" s="298">
        <v>11.887866000000001</v>
      </c>
      <c r="D1326" s="298">
        <v>12.416195</v>
      </c>
      <c r="E1326" s="298">
        <v>12.152699999999999</v>
      </c>
      <c r="F1326" s="298">
        <v>11.922929</v>
      </c>
      <c r="G1326" s="298">
        <v>11.747019</v>
      </c>
      <c r="H1326" s="298">
        <v>11.741975</v>
      </c>
      <c r="I1326" s="298">
        <v>11.818116</v>
      </c>
      <c r="J1326" s="298">
        <v>11.849133</v>
      </c>
      <c r="K1326" s="298">
        <v>11.875289</v>
      </c>
      <c r="L1326" s="298">
        <v>11.916558</v>
      </c>
      <c r="M1326" s="298">
        <v>11.888576</v>
      </c>
      <c r="N1326" s="298">
        <v>11.934137</v>
      </c>
      <c r="O1326" s="298">
        <v>11.925138</v>
      </c>
      <c r="P1326" s="298">
        <v>11.996483</v>
      </c>
      <c r="Q1326" s="298">
        <v>12.015618</v>
      </c>
      <c r="R1326" s="298">
        <v>11.982355999999999</v>
      </c>
      <c r="S1326" s="298">
        <v>11.94806</v>
      </c>
      <c r="T1326" s="298">
        <v>11.919338</v>
      </c>
      <c r="U1326" s="298">
        <v>11.873284</v>
      </c>
      <c r="V1326" s="298">
        <v>11.818989</v>
      </c>
      <c r="W1326" s="298">
        <v>11.780053000000001</v>
      </c>
      <c r="X1326" s="298">
        <v>11.734873</v>
      </c>
      <c r="Y1326" s="298">
        <v>11.688082</v>
      </c>
      <c r="Z1326" s="298">
        <v>11.583748</v>
      </c>
      <c r="AA1326" s="298">
        <v>11.523326000000001</v>
      </c>
      <c r="AB1326" s="298">
        <v>11.469624</v>
      </c>
      <c r="AC1326" s="298">
        <v>11.40141</v>
      </c>
      <c r="AD1326" s="298">
        <v>11.346142</v>
      </c>
      <c r="AE1326" s="298">
        <v>11.303171000000001</v>
      </c>
      <c r="AF1326" s="298">
        <v>11.250595000000001</v>
      </c>
      <c r="AG1326" s="298">
        <v>11.163133</v>
      </c>
      <c r="AH1326" s="296">
        <v>-2.0950000000000001E-3</v>
      </c>
    </row>
    <row r="1327" spans="1:34" ht="15" customHeight="1" x14ac:dyDescent="0.2">
      <c r="A1327" s="213" t="s">
        <v>2068</v>
      </c>
      <c r="B1327" s="204" t="s">
        <v>2069</v>
      </c>
      <c r="C1327" s="300">
        <v>10.416587</v>
      </c>
      <c r="D1327" s="300">
        <v>10.604009</v>
      </c>
      <c r="E1327" s="300">
        <v>10.523453</v>
      </c>
      <c r="F1327" s="300">
        <v>10.404840999999999</v>
      </c>
      <c r="G1327" s="300">
        <v>10.315863999999999</v>
      </c>
      <c r="H1327" s="300">
        <v>10.29508</v>
      </c>
      <c r="I1327" s="300">
        <v>10.309146</v>
      </c>
      <c r="J1327" s="300">
        <v>10.315581999999999</v>
      </c>
      <c r="K1327" s="300">
        <v>10.306461000000001</v>
      </c>
      <c r="L1327" s="300">
        <v>10.313711</v>
      </c>
      <c r="M1327" s="300">
        <v>10.279489</v>
      </c>
      <c r="N1327" s="300">
        <v>10.281264</v>
      </c>
      <c r="O1327" s="300">
        <v>10.238991</v>
      </c>
      <c r="P1327" s="300">
        <v>10.282258000000001</v>
      </c>
      <c r="Q1327" s="300">
        <v>10.269257</v>
      </c>
      <c r="R1327" s="300">
        <v>10.265727999999999</v>
      </c>
      <c r="S1327" s="300">
        <v>10.21719</v>
      </c>
      <c r="T1327" s="300">
        <v>10.176542</v>
      </c>
      <c r="U1327" s="300">
        <v>10.133089</v>
      </c>
      <c r="V1327" s="300">
        <v>10.093248000000001</v>
      </c>
      <c r="W1327" s="300">
        <v>10.071244</v>
      </c>
      <c r="X1327" s="300">
        <v>10.046385000000001</v>
      </c>
      <c r="Y1327" s="300">
        <v>10.033480000000001</v>
      </c>
      <c r="Z1327" s="300">
        <v>9.9435900000000004</v>
      </c>
      <c r="AA1327" s="300">
        <v>9.9226019999999995</v>
      </c>
      <c r="AB1327" s="300">
        <v>9.8906019999999994</v>
      </c>
      <c r="AC1327" s="300">
        <v>9.8339180000000006</v>
      </c>
      <c r="AD1327" s="300">
        <v>9.8216149999999995</v>
      </c>
      <c r="AE1327" s="300">
        <v>9.7845440000000004</v>
      </c>
      <c r="AF1327" s="300">
        <v>9.7091410000000007</v>
      </c>
      <c r="AG1327" s="300">
        <v>9.6342680000000005</v>
      </c>
      <c r="AH1327" s="206">
        <v>-2.5990000000000002E-3</v>
      </c>
    </row>
    <row r="1328" spans="1:34" ht="15" customHeight="1" x14ac:dyDescent="0.2">
      <c r="B1328" s="204" t="s">
        <v>2070</v>
      </c>
    </row>
    <row r="1329" spans="1:34" ht="15" customHeight="1" x14ac:dyDescent="0.25">
      <c r="A1329" s="213" t="s">
        <v>2071</v>
      </c>
      <c r="B1329" s="294" t="s">
        <v>2050</v>
      </c>
      <c r="C1329" s="298">
        <v>12.205985999999999</v>
      </c>
      <c r="D1329" s="298">
        <v>12.592622</v>
      </c>
      <c r="E1329" s="298">
        <v>12.715816999999999</v>
      </c>
      <c r="F1329" s="298">
        <v>12.845492999999999</v>
      </c>
      <c r="G1329" s="298">
        <v>13.011623999999999</v>
      </c>
      <c r="H1329" s="298">
        <v>13.301152</v>
      </c>
      <c r="I1329" s="298">
        <v>13.667479999999999</v>
      </c>
      <c r="J1329" s="298">
        <v>14.049626</v>
      </c>
      <c r="K1329" s="298">
        <v>14.430408</v>
      </c>
      <c r="L1329" s="298">
        <v>14.845530999999999</v>
      </c>
      <c r="M1329" s="298">
        <v>15.212562999999999</v>
      </c>
      <c r="N1329" s="298">
        <v>15.60074</v>
      </c>
      <c r="O1329" s="298">
        <v>15.943683</v>
      </c>
      <c r="P1329" s="298">
        <v>16.386462999999999</v>
      </c>
      <c r="Q1329" s="298">
        <v>16.759846</v>
      </c>
      <c r="R1329" s="298">
        <v>17.12632</v>
      </c>
      <c r="S1329" s="298">
        <v>17.434303</v>
      </c>
      <c r="T1329" s="298">
        <v>17.750772000000001</v>
      </c>
      <c r="U1329" s="298">
        <v>18.067457000000001</v>
      </c>
      <c r="V1329" s="298">
        <v>18.389755000000001</v>
      </c>
      <c r="W1329" s="298">
        <v>18.752268000000001</v>
      </c>
      <c r="X1329" s="298">
        <v>19.126207000000001</v>
      </c>
      <c r="Y1329" s="298">
        <v>19.544592000000002</v>
      </c>
      <c r="Z1329" s="298">
        <v>19.852556</v>
      </c>
      <c r="AA1329" s="298">
        <v>20.310663000000002</v>
      </c>
      <c r="AB1329" s="298">
        <v>20.768537999999999</v>
      </c>
      <c r="AC1329" s="298">
        <v>21.20796</v>
      </c>
      <c r="AD1329" s="298">
        <v>21.765305999999999</v>
      </c>
      <c r="AE1329" s="298">
        <v>22.302734000000001</v>
      </c>
      <c r="AF1329" s="298">
        <v>22.787426</v>
      </c>
      <c r="AG1329" s="298">
        <v>23.291087999999998</v>
      </c>
      <c r="AH1329" s="296">
        <v>2.1772E-2</v>
      </c>
    </row>
    <row r="1330" spans="1:34" ht="15" customHeight="1" x14ac:dyDescent="0.25">
      <c r="A1330" s="213" t="s">
        <v>2072</v>
      </c>
      <c r="B1330" s="294" t="s">
        <v>2052</v>
      </c>
      <c r="C1330" s="298">
        <v>10.688195</v>
      </c>
      <c r="D1330" s="298">
        <v>10.940346999999999</v>
      </c>
      <c r="E1330" s="298">
        <v>11.023548999999999</v>
      </c>
      <c r="F1330" s="298">
        <v>11.041976999999999</v>
      </c>
      <c r="G1330" s="298">
        <v>11.132313</v>
      </c>
      <c r="H1330" s="298">
        <v>11.353599000000001</v>
      </c>
      <c r="I1330" s="298">
        <v>11.628168000000001</v>
      </c>
      <c r="J1330" s="298">
        <v>11.935559</v>
      </c>
      <c r="K1330" s="298">
        <v>12.224432999999999</v>
      </c>
      <c r="L1330" s="298">
        <v>12.537898</v>
      </c>
      <c r="M1330" s="298">
        <v>12.803353</v>
      </c>
      <c r="N1330" s="298">
        <v>13.123233000000001</v>
      </c>
      <c r="O1330" s="298">
        <v>13.339961000000001</v>
      </c>
      <c r="P1330" s="298">
        <v>13.722967000000001</v>
      </c>
      <c r="Q1330" s="298">
        <v>13.978023</v>
      </c>
      <c r="R1330" s="298">
        <v>14.270785999999999</v>
      </c>
      <c r="S1330" s="298">
        <v>14.476436</v>
      </c>
      <c r="T1330" s="298">
        <v>14.688952</v>
      </c>
      <c r="U1330" s="298">
        <v>14.893689999999999</v>
      </c>
      <c r="V1330" s="298">
        <v>15.114383</v>
      </c>
      <c r="W1330" s="298">
        <v>15.377096</v>
      </c>
      <c r="X1330" s="298">
        <v>15.652229999999999</v>
      </c>
      <c r="Y1330" s="298">
        <v>15.968712</v>
      </c>
      <c r="Z1330" s="298">
        <v>16.139969000000001</v>
      </c>
      <c r="AA1330" s="298">
        <v>16.468342</v>
      </c>
      <c r="AB1330" s="298">
        <v>16.787106000000001</v>
      </c>
      <c r="AC1330" s="298">
        <v>17.082896999999999</v>
      </c>
      <c r="AD1330" s="298">
        <v>17.501957000000001</v>
      </c>
      <c r="AE1330" s="298">
        <v>17.872676999999999</v>
      </c>
      <c r="AF1330" s="298">
        <v>18.17717</v>
      </c>
      <c r="AG1330" s="298">
        <v>18.521173000000001</v>
      </c>
      <c r="AH1330" s="296">
        <v>1.8495000000000001E-2</v>
      </c>
    </row>
    <row r="1331" spans="1:34" ht="15" customHeight="1" x14ac:dyDescent="0.25">
      <c r="A1331" s="213" t="s">
        <v>2073</v>
      </c>
      <c r="B1331" s="294" t="s">
        <v>2054</v>
      </c>
      <c r="C1331" s="298">
        <v>7.0676009999999998</v>
      </c>
      <c r="D1331" s="298">
        <v>7.218756</v>
      </c>
      <c r="E1331" s="298">
        <v>7.1994300000000004</v>
      </c>
      <c r="F1331" s="298">
        <v>7.1283339999999997</v>
      </c>
      <c r="G1331" s="298">
        <v>7.1385059999999996</v>
      </c>
      <c r="H1331" s="298">
        <v>7.2458229999999997</v>
      </c>
      <c r="I1331" s="298">
        <v>7.4282349999999999</v>
      </c>
      <c r="J1331" s="298">
        <v>7.5954920000000001</v>
      </c>
      <c r="K1331" s="298">
        <v>7.7782790000000004</v>
      </c>
      <c r="L1331" s="298">
        <v>7.9797849999999997</v>
      </c>
      <c r="M1331" s="298">
        <v>8.1452120000000008</v>
      </c>
      <c r="N1331" s="298">
        <v>8.3563100000000006</v>
      </c>
      <c r="O1331" s="298">
        <v>8.5259309999999999</v>
      </c>
      <c r="P1331" s="298">
        <v>8.7259740000000008</v>
      </c>
      <c r="Q1331" s="298">
        <v>8.910228</v>
      </c>
      <c r="R1331" s="298">
        <v>9.1003729999999994</v>
      </c>
      <c r="S1331" s="298">
        <v>9.2420530000000003</v>
      </c>
      <c r="T1331" s="298">
        <v>9.3847909999999999</v>
      </c>
      <c r="U1331" s="298">
        <v>9.541188</v>
      </c>
      <c r="V1331" s="298">
        <v>9.6846759999999996</v>
      </c>
      <c r="W1331" s="298">
        <v>9.8467769999999994</v>
      </c>
      <c r="X1331" s="298">
        <v>10.011497</v>
      </c>
      <c r="Y1331" s="298">
        <v>10.19631</v>
      </c>
      <c r="Z1331" s="298">
        <v>10.341172</v>
      </c>
      <c r="AA1331" s="298">
        <v>10.539304</v>
      </c>
      <c r="AB1331" s="298">
        <v>10.752129</v>
      </c>
      <c r="AC1331" s="298">
        <v>10.968391</v>
      </c>
      <c r="AD1331" s="298">
        <v>11.232372</v>
      </c>
      <c r="AE1331" s="298">
        <v>11.504711</v>
      </c>
      <c r="AF1331" s="298">
        <v>11.75995</v>
      </c>
      <c r="AG1331" s="298">
        <v>12.029398</v>
      </c>
      <c r="AH1331" s="296">
        <v>1.7885999999999999E-2</v>
      </c>
    </row>
    <row r="1332" spans="1:34" ht="15" customHeight="1" x14ac:dyDescent="0.25">
      <c r="A1332" s="213" t="s">
        <v>2074</v>
      </c>
      <c r="B1332" s="294" t="s">
        <v>2056</v>
      </c>
      <c r="C1332" s="298">
        <v>11.887866000000001</v>
      </c>
      <c r="D1332" s="298">
        <v>12.547154000000001</v>
      </c>
      <c r="E1332" s="298">
        <v>12.424706</v>
      </c>
      <c r="F1332" s="298">
        <v>12.355370000000001</v>
      </c>
      <c r="G1332" s="298">
        <v>12.377583</v>
      </c>
      <c r="H1332" s="298">
        <v>12.630032</v>
      </c>
      <c r="I1332" s="298">
        <v>13.014575000000001</v>
      </c>
      <c r="J1332" s="298">
        <v>13.380146</v>
      </c>
      <c r="K1332" s="298">
        <v>13.762893</v>
      </c>
      <c r="L1332" s="298">
        <v>14.174678</v>
      </c>
      <c r="M1332" s="298">
        <v>14.507510999999999</v>
      </c>
      <c r="N1332" s="298">
        <v>14.92807</v>
      </c>
      <c r="O1332" s="298">
        <v>15.278575</v>
      </c>
      <c r="P1332" s="298">
        <v>15.728770000000001</v>
      </c>
      <c r="Q1332" s="298">
        <v>16.108091000000002</v>
      </c>
      <c r="R1332" s="298">
        <v>16.417862</v>
      </c>
      <c r="S1332" s="298">
        <v>16.723965</v>
      </c>
      <c r="T1332" s="298">
        <v>17.034386000000001</v>
      </c>
      <c r="U1332" s="298">
        <v>17.324584999999999</v>
      </c>
      <c r="V1332" s="298">
        <v>17.602143999999999</v>
      </c>
      <c r="W1332" s="298">
        <v>17.915330999999998</v>
      </c>
      <c r="X1332" s="298">
        <v>18.229776000000001</v>
      </c>
      <c r="Y1332" s="298">
        <v>18.556227</v>
      </c>
      <c r="Z1332" s="298">
        <v>18.812349000000001</v>
      </c>
      <c r="AA1332" s="298">
        <v>19.160854</v>
      </c>
      <c r="AB1332" s="298">
        <v>19.541391000000001</v>
      </c>
      <c r="AC1332" s="298">
        <v>19.929677999999999</v>
      </c>
      <c r="AD1332" s="298">
        <v>20.366070000000001</v>
      </c>
      <c r="AE1332" s="298">
        <v>20.849236000000001</v>
      </c>
      <c r="AF1332" s="298">
        <v>21.342753999999999</v>
      </c>
      <c r="AG1332" s="298">
        <v>21.798096000000001</v>
      </c>
      <c r="AH1332" s="296">
        <v>2.0416E-2</v>
      </c>
    </row>
    <row r="1333" spans="1:34" ht="15" customHeight="1" x14ac:dyDescent="0.2">
      <c r="A1333" s="213" t="s">
        <v>2075</v>
      </c>
      <c r="B1333" s="204" t="s">
        <v>2069</v>
      </c>
      <c r="C1333" s="300">
        <v>10.416587</v>
      </c>
      <c r="D1333" s="300">
        <v>10.715854999999999</v>
      </c>
      <c r="E1333" s="300">
        <v>10.758991</v>
      </c>
      <c r="F1333" s="300">
        <v>10.782222000000001</v>
      </c>
      <c r="G1333" s="300">
        <v>10.869605999999999</v>
      </c>
      <c r="H1333" s="300">
        <v>11.073707000000001</v>
      </c>
      <c r="I1333" s="300">
        <v>11.352838999999999</v>
      </c>
      <c r="J1333" s="300">
        <v>11.648448</v>
      </c>
      <c r="K1333" s="300">
        <v>11.944696</v>
      </c>
      <c r="L1333" s="300">
        <v>12.268101</v>
      </c>
      <c r="M1333" s="300">
        <v>12.543958999999999</v>
      </c>
      <c r="N1333" s="300">
        <v>12.860538</v>
      </c>
      <c r="O1333" s="300">
        <v>13.118271999999999</v>
      </c>
      <c r="P1333" s="300">
        <v>13.481225</v>
      </c>
      <c r="Q1333" s="300">
        <v>13.766925000000001</v>
      </c>
      <c r="R1333" s="300">
        <v>14.06579</v>
      </c>
      <c r="S1333" s="300">
        <v>14.301227000000001</v>
      </c>
      <c r="T1333" s="300">
        <v>14.54369</v>
      </c>
      <c r="U1333" s="300">
        <v>14.785427</v>
      </c>
      <c r="V1333" s="300">
        <v>15.031981</v>
      </c>
      <c r="W1333" s="300">
        <v>15.316542999999999</v>
      </c>
      <c r="X1333" s="300">
        <v>15.60676</v>
      </c>
      <c r="Y1333" s="300">
        <v>15.929349999999999</v>
      </c>
      <c r="Z1333" s="300">
        <v>16.148683999999999</v>
      </c>
      <c r="AA1333" s="300">
        <v>16.499186999999999</v>
      </c>
      <c r="AB1333" s="300">
        <v>16.851130000000001</v>
      </c>
      <c r="AC1333" s="300">
        <v>17.189699000000001</v>
      </c>
      <c r="AD1333" s="300">
        <v>17.629580000000001</v>
      </c>
      <c r="AE1333" s="300">
        <v>18.048055999999999</v>
      </c>
      <c r="AF1333" s="300">
        <v>18.418564</v>
      </c>
      <c r="AG1333" s="300">
        <v>18.8127</v>
      </c>
      <c r="AH1333" s="206">
        <v>1.9900000000000001E-2</v>
      </c>
    </row>
    <row r="1335" spans="1:34" ht="15" customHeight="1" x14ac:dyDescent="0.2">
      <c r="B1335" s="204" t="s">
        <v>2076</v>
      </c>
    </row>
    <row r="1336" spans="1:34" ht="15" customHeight="1" x14ac:dyDescent="0.2">
      <c r="B1336" s="204" t="s">
        <v>2063</v>
      </c>
    </row>
    <row r="1337" spans="1:34" ht="15" customHeight="1" x14ac:dyDescent="0.25">
      <c r="A1337" s="213" t="s">
        <v>2077</v>
      </c>
      <c r="B1337" s="294" t="s">
        <v>2078</v>
      </c>
      <c r="C1337" s="298">
        <v>5.8290280000000001</v>
      </c>
      <c r="D1337" s="298">
        <v>6.1711130000000001</v>
      </c>
      <c r="E1337" s="298">
        <v>6.1420649999999997</v>
      </c>
      <c r="F1337" s="298">
        <v>5.9170870000000004</v>
      </c>
      <c r="G1337" s="298">
        <v>5.7705529999999996</v>
      </c>
      <c r="H1337" s="298">
        <v>5.663646</v>
      </c>
      <c r="I1337" s="298">
        <v>5.6016349999999999</v>
      </c>
      <c r="J1337" s="298">
        <v>5.5631810000000002</v>
      </c>
      <c r="K1337" s="298">
        <v>5.5149049999999997</v>
      </c>
      <c r="L1337" s="298">
        <v>5.4995510000000003</v>
      </c>
      <c r="M1337" s="298">
        <v>5.4238809999999997</v>
      </c>
      <c r="N1337" s="298">
        <v>5.3898539999999997</v>
      </c>
      <c r="O1337" s="298">
        <v>5.3184800000000001</v>
      </c>
      <c r="P1337" s="298">
        <v>5.3299050000000001</v>
      </c>
      <c r="Q1337" s="298">
        <v>5.2854289999999997</v>
      </c>
      <c r="R1337" s="298">
        <v>5.2579149999999997</v>
      </c>
      <c r="S1337" s="298">
        <v>5.1928879999999999</v>
      </c>
      <c r="T1337" s="298">
        <v>5.1370449999999996</v>
      </c>
      <c r="U1337" s="298">
        <v>5.080152</v>
      </c>
      <c r="V1337" s="298">
        <v>5.0334029999999998</v>
      </c>
      <c r="W1337" s="298">
        <v>4.9942320000000002</v>
      </c>
      <c r="X1337" s="298">
        <v>4.9510170000000002</v>
      </c>
      <c r="Y1337" s="298">
        <v>4.9334179999999996</v>
      </c>
      <c r="Z1337" s="298">
        <v>4.8487220000000004</v>
      </c>
      <c r="AA1337" s="298">
        <v>4.8331530000000003</v>
      </c>
      <c r="AB1337" s="298">
        <v>4.8052799999999998</v>
      </c>
      <c r="AC1337" s="298">
        <v>4.757307</v>
      </c>
      <c r="AD1337" s="298">
        <v>4.7596230000000004</v>
      </c>
      <c r="AE1337" s="298">
        <v>4.7427919999999997</v>
      </c>
      <c r="AF1337" s="298">
        <v>4.704383</v>
      </c>
      <c r="AG1337" s="298">
        <v>4.6767940000000001</v>
      </c>
      <c r="AH1337" s="296">
        <v>-7.3140000000000002E-3</v>
      </c>
    </row>
    <row r="1338" spans="1:34" ht="15" customHeight="1" x14ac:dyDescent="0.25">
      <c r="A1338" s="213" t="s">
        <v>2079</v>
      </c>
      <c r="B1338" s="294" t="s">
        <v>2080</v>
      </c>
      <c r="C1338" s="298">
        <v>1.3505640000000001</v>
      </c>
      <c r="D1338" s="298">
        <v>1.370503</v>
      </c>
      <c r="E1338" s="298">
        <v>1.392244</v>
      </c>
      <c r="F1338" s="298">
        <v>1.4142980000000001</v>
      </c>
      <c r="G1338" s="298">
        <v>1.4336100000000001</v>
      </c>
      <c r="H1338" s="298">
        <v>1.449975</v>
      </c>
      <c r="I1338" s="298">
        <v>1.4667209999999999</v>
      </c>
      <c r="J1338" s="298">
        <v>1.48278</v>
      </c>
      <c r="K1338" s="298">
        <v>1.494364</v>
      </c>
      <c r="L1338" s="298">
        <v>1.501506</v>
      </c>
      <c r="M1338" s="298">
        <v>1.50681</v>
      </c>
      <c r="N1338" s="298">
        <v>1.5105740000000001</v>
      </c>
      <c r="O1338" s="298">
        <v>1.513898</v>
      </c>
      <c r="P1338" s="298">
        <v>1.520918</v>
      </c>
      <c r="Q1338" s="298">
        <v>1.5302830000000001</v>
      </c>
      <c r="R1338" s="298">
        <v>1.5420469999999999</v>
      </c>
      <c r="S1338" s="298">
        <v>1.550945</v>
      </c>
      <c r="T1338" s="298">
        <v>1.5592349999999999</v>
      </c>
      <c r="U1338" s="298">
        <v>1.567059</v>
      </c>
      <c r="V1338" s="298">
        <v>1.573323</v>
      </c>
      <c r="W1338" s="298">
        <v>1.582052</v>
      </c>
      <c r="X1338" s="298">
        <v>1.5924480000000001</v>
      </c>
      <c r="Y1338" s="298">
        <v>1.5925990000000001</v>
      </c>
      <c r="Z1338" s="298">
        <v>1.586903</v>
      </c>
      <c r="AA1338" s="298">
        <v>1.5823149999999999</v>
      </c>
      <c r="AB1338" s="298">
        <v>1.578379</v>
      </c>
      <c r="AC1338" s="298">
        <v>1.574184</v>
      </c>
      <c r="AD1338" s="298">
        <v>1.5689630000000001</v>
      </c>
      <c r="AE1338" s="298">
        <v>1.5625599999999999</v>
      </c>
      <c r="AF1338" s="298">
        <v>1.554597</v>
      </c>
      <c r="AG1338" s="298">
        <v>1.5443629999999999</v>
      </c>
      <c r="AH1338" s="296">
        <v>4.4799999999999996E-3</v>
      </c>
    </row>
    <row r="1339" spans="1:34" ht="15" customHeight="1" x14ac:dyDescent="0.25">
      <c r="A1339" s="213" t="s">
        <v>2081</v>
      </c>
      <c r="B1339" s="294" t="s">
        <v>2082</v>
      </c>
      <c r="C1339" s="298">
        <v>3.2538339999999999</v>
      </c>
      <c r="D1339" s="298">
        <v>3.0493890000000001</v>
      </c>
      <c r="E1339" s="298">
        <v>2.9794209999999999</v>
      </c>
      <c r="F1339" s="298">
        <v>3.0629599999999999</v>
      </c>
      <c r="G1339" s="298">
        <v>3.1009359999999999</v>
      </c>
      <c r="H1339" s="298">
        <v>3.1697069999999998</v>
      </c>
      <c r="I1339" s="298">
        <v>3.2282489999999999</v>
      </c>
      <c r="J1339" s="298">
        <v>3.2568139999999999</v>
      </c>
      <c r="K1339" s="298">
        <v>3.2843749999999998</v>
      </c>
      <c r="L1339" s="298">
        <v>3.2999390000000002</v>
      </c>
      <c r="M1339" s="298">
        <v>3.3353830000000002</v>
      </c>
      <c r="N1339" s="298">
        <v>3.3657170000000001</v>
      </c>
      <c r="O1339" s="298">
        <v>3.3913660000000001</v>
      </c>
      <c r="P1339" s="298">
        <v>3.4172229999999999</v>
      </c>
      <c r="Q1339" s="298">
        <v>3.4386839999999999</v>
      </c>
      <c r="R1339" s="298">
        <v>3.4512700000000001</v>
      </c>
      <c r="S1339" s="298">
        <v>3.4584079999999999</v>
      </c>
      <c r="T1339" s="298">
        <v>3.4648720000000002</v>
      </c>
      <c r="U1339" s="298">
        <v>3.4703189999999999</v>
      </c>
      <c r="V1339" s="298">
        <v>3.4728690000000002</v>
      </c>
      <c r="W1339" s="298">
        <v>3.4804010000000001</v>
      </c>
      <c r="X1339" s="298">
        <v>3.4887290000000002</v>
      </c>
      <c r="Y1339" s="298">
        <v>3.4930460000000001</v>
      </c>
      <c r="Z1339" s="298">
        <v>3.4934270000000001</v>
      </c>
      <c r="AA1339" s="298">
        <v>3.492721</v>
      </c>
      <c r="AB1339" s="298">
        <v>3.4929709999999998</v>
      </c>
      <c r="AC1339" s="298">
        <v>3.4880640000000001</v>
      </c>
      <c r="AD1339" s="298">
        <v>3.4784039999999998</v>
      </c>
      <c r="AE1339" s="298">
        <v>3.4641060000000001</v>
      </c>
      <c r="AF1339" s="298">
        <v>3.4344220000000001</v>
      </c>
      <c r="AG1339" s="298">
        <v>3.3972169999999999</v>
      </c>
      <c r="AH1339" s="296">
        <v>1.438E-3</v>
      </c>
    </row>
    <row r="1340" spans="1:34" ht="15" customHeight="1" x14ac:dyDescent="0.2">
      <c r="B1340" s="204" t="s">
        <v>2070</v>
      </c>
    </row>
    <row r="1341" spans="1:34" ht="15" customHeight="1" x14ac:dyDescent="0.25">
      <c r="A1341" s="213" t="s">
        <v>2083</v>
      </c>
      <c r="B1341" s="294" t="s">
        <v>2078</v>
      </c>
      <c r="C1341" s="298">
        <v>5.8290280000000001</v>
      </c>
      <c r="D1341" s="298">
        <v>6.2362029999999997</v>
      </c>
      <c r="E1341" s="298">
        <v>6.2795379999999996</v>
      </c>
      <c r="F1341" s="298">
        <v>6.1316980000000001</v>
      </c>
      <c r="G1341" s="298">
        <v>6.0803079999999996</v>
      </c>
      <c r="H1341" s="298">
        <v>6.0919930000000004</v>
      </c>
      <c r="I1341" s="298">
        <v>6.1687409999999998</v>
      </c>
      <c r="J1341" s="298">
        <v>6.2819940000000001</v>
      </c>
      <c r="K1341" s="298">
        <v>6.3915119999999996</v>
      </c>
      <c r="L1341" s="298">
        <v>6.5416850000000002</v>
      </c>
      <c r="M1341" s="298">
        <v>6.6187079999999998</v>
      </c>
      <c r="N1341" s="298">
        <v>6.7420140000000002</v>
      </c>
      <c r="O1341" s="298">
        <v>6.8140770000000002</v>
      </c>
      <c r="P1341" s="298">
        <v>6.9881190000000002</v>
      </c>
      <c r="Q1341" s="298">
        <v>7.0856250000000003</v>
      </c>
      <c r="R1341" s="298">
        <v>7.204237</v>
      </c>
      <c r="S1341" s="298">
        <v>7.2686000000000002</v>
      </c>
      <c r="T1341" s="298">
        <v>7.3415499999999998</v>
      </c>
      <c r="U1341" s="298">
        <v>7.4125680000000003</v>
      </c>
      <c r="V1341" s="298">
        <v>7.4963009999999999</v>
      </c>
      <c r="W1341" s="298">
        <v>7.5953239999999997</v>
      </c>
      <c r="X1341" s="298">
        <v>7.6912580000000004</v>
      </c>
      <c r="Y1341" s="298">
        <v>7.8323900000000002</v>
      </c>
      <c r="Z1341" s="298">
        <v>7.8744670000000001</v>
      </c>
      <c r="AA1341" s="298">
        <v>8.0365110000000008</v>
      </c>
      <c r="AB1341" s="298">
        <v>8.1870030000000007</v>
      </c>
      <c r="AC1341" s="298">
        <v>8.3157789999999991</v>
      </c>
      <c r="AD1341" s="298">
        <v>8.5434160000000006</v>
      </c>
      <c r="AE1341" s="298">
        <v>8.7483039999999992</v>
      </c>
      <c r="AF1341" s="298">
        <v>8.9243729999999992</v>
      </c>
      <c r="AG1341" s="298">
        <v>9.1323100000000004</v>
      </c>
      <c r="AH1341" s="296">
        <v>1.5077999999999999E-2</v>
      </c>
    </row>
    <row r="1342" spans="1:34" ht="15" customHeight="1" x14ac:dyDescent="0.25">
      <c r="A1342" s="213" t="s">
        <v>2084</v>
      </c>
      <c r="B1342" s="294" t="s">
        <v>2080</v>
      </c>
      <c r="C1342" s="298">
        <v>1.3505640000000001</v>
      </c>
      <c r="D1342" s="298">
        <v>1.3849579999999999</v>
      </c>
      <c r="E1342" s="298">
        <v>1.423405</v>
      </c>
      <c r="F1342" s="298">
        <v>1.4655940000000001</v>
      </c>
      <c r="G1342" s="298">
        <v>1.510564</v>
      </c>
      <c r="H1342" s="298">
        <v>1.5596380000000001</v>
      </c>
      <c r="I1342" s="298">
        <v>1.615211</v>
      </c>
      <c r="J1342" s="298">
        <v>1.6743680000000001</v>
      </c>
      <c r="K1342" s="298">
        <v>1.731897</v>
      </c>
      <c r="L1342" s="298">
        <v>1.786033</v>
      </c>
      <c r="M1342" s="298">
        <v>1.8387450000000001</v>
      </c>
      <c r="N1342" s="298">
        <v>1.889534</v>
      </c>
      <c r="O1342" s="298">
        <v>1.9396169999999999</v>
      </c>
      <c r="P1342" s="298">
        <v>1.9940979999999999</v>
      </c>
      <c r="Q1342" s="298">
        <v>2.051491</v>
      </c>
      <c r="R1342" s="298">
        <v>2.1128670000000001</v>
      </c>
      <c r="S1342" s="298">
        <v>2.1708919999999998</v>
      </c>
      <c r="T1342" s="298">
        <v>2.2283620000000002</v>
      </c>
      <c r="U1342" s="298">
        <v>2.2865319999999998</v>
      </c>
      <c r="V1342" s="298">
        <v>2.3431670000000002</v>
      </c>
      <c r="W1342" s="298">
        <v>2.406015</v>
      </c>
      <c r="X1342" s="298">
        <v>2.473821</v>
      </c>
      <c r="Y1342" s="298">
        <v>2.5284409999999999</v>
      </c>
      <c r="Z1342" s="298">
        <v>2.577178</v>
      </c>
      <c r="AA1342" s="298">
        <v>2.6310549999999999</v>
      </c>
      <c r="AB1342" s="298">
        <v>2.6891660000000002</v>
      </c>
      <c r="AC1342" s="298">
        <v>2.7516750000000001</v>
      </c>
      <c r="AD1342" s="298">
        <v>2.8162539999999998</v>
      </c>
      <c r="AE1342" s="298">
        <v>2.8822160000000001</v>
      </c>
      <c r="AF1342" s="298">
        <v>2.949122</v>
      </c>
      <c r="AG1342" s="298">
        <v>3.015657</v>
      </c>
      <c r="AH1342" s="296">
        <v>2.7137999999999999E-2</v>
      </c>
    </row>
    <row r="1343" spans="1:34" ht="15" customHeight="1" x14ac:dyDescent="0.25">
      <c r="A1343" s="213" t="s">
        <v>2085</v>
      </c>
      <c r="B1343" s="294" t="s">
        <v>2082</v>
      </c>
      <c r="C1343" s="298">
        <v>3.2538339999999999</v>
      </c>
      <c r="D1343" s="298">
        <v>3.0815519999999998</v>
      </c>
      <c r="E1343" s="298">
        <v>3.0461070000000001</v>
      </c>
      <c r="F1343" s="298">
        <v>3.1740520000000001</v>
      </c>
      <c r="G1343" s="298">
        <v>3.2673899999999998</v>
      </c>
      <c r="H1343" s="298">
        <v>3.4094350000000002</v>
      </c>
      <c r="I1343" s="298">
        <v>3.555075</v>
      </c>
      <c r="J1343" s="298">
        <v>3.6776230000000001</v>
      </c>
      <c r="K1343" s="298">
        <v>3.8064330000000002</v>
      </c>
      <c r="L1343" s="298">
        <v>3.9252590000000001</v>
      </c>
      <c r="M1343" s="298">
        <v>4.0701349999999996</v>
      </c>
      <c r="N1343" s="298">
        <v>4.2100799999999996</v>
      </c>
      <c r="O1343" s="298">
        <v>4.3450430000000004</v>
      </c>
      <c r="P1343" s="298">
        <v>4.4803730000000002</v>
      </c>
      <c r="Q1343" s="298">
        <v>4.6098860000000004</v>
      </c>
      <c r="R1343" s="298">
        <v>4.7288259999999998</v>
      </c>
      <c r="S1343" s="298">
        <v>4.8408110000000004</v>
      </c>
      <c r="T1343" s="298">
        <v>4.9517819999999997</v>
      </c>
      <c r="U1343" s="298">
        <v>5.0636229999999998</v>
      </c>
      <c r="V1343" s="298">
        <v>5.1721810000000001</v>
      </c>
      <c r="W1343" s="298">
        <v>5.2930609999999998</v>
      </c>
      <c r="X1343" s="298">
        <v>5.419638</v>
      </c>
      <c r="Y1343" s="298">
        <v>5.5456279999999998</v>
      </c>
      <c r="Z1343" s="298">
        <v>5.6734289999999996</v>
      </c>
      <c r="AA1343" s="298">
        <v>5.8076559999999997</v>
      </c>
      <c r="AB1343" s="298">
        <v>5.9511560000000001</v>
      </c>
      <c r="AC1343" s="298">
        <v>6.0971390000000003</v>
      </c>
      <c r="AD1343" s="298">
        <v>6.2436579999999999</v>
      </c>
      <c r="AE1343" s="298">
        <v>6.3897069999999996</v>
      </c>
      <c r="AF1343" s="298">
        <v>6.5152130000000001</v>
      </c>
      <c r="AG1343" s="298">
        <v>6.6336979999999999</v>
      </c>
      <c r="AH1343" s="296">
        <v>2.4028000000000001E-2</v>
      </c>
    </row>
    <row r="1345" spans="1:34" ht="15" customHeight="1" x14ac:dyDescent="0.2">
      <c r="B1345" s="204" t="s">
        <v>2086</v>
      </c>
    </row>
    <row r="1346" spans="1:34" ht="15" customHeight="1" x14ac:dyDescent="0.25">
      <c r="A1346" s="213" t="s">
        <v>2087</v>
      </c>
      <c r="B1346" s="294" t="s">
        <v>2088</v>
      </c>
      <c r="C1346" s="295">
        <v>0.61013799999999996</v>
      </c>
      <c r="D1346" s="295">
        <v>0.683643</v>
      </c>
      <c r="E1346" s="295">
        <v>0.79739199999999999</v>
      </c>
      <c r="F1346" s="295">
        <v>0.66070399999999996</v>
      </c>
      <c r="G1346" s="295">
        <v>0.58032499999999998</v>
      </c>
      <c r="H1346" s="295">
        <v>0.49803999999999998</v>
      </c>
      <c r="I1346" s="295">
        <v>0.54654599999999998</v>
      </c>
      <c r="J1346" s="295">
        <v>0.54325900000000005</v>
      </c>
      <c r="K1346" s="295">
        <v>0.52304300000000004</v>
      </c>
      <c r="L1346" s="295">
        <v>0.52040500000000001</v>
      </c>
      <c r="M1346" s="295">
        <v>0.48493900000000001</v>
      </c>
      <c r="N1346" s="295">
        <v>0.46815000000000001</v>
      </c>
      <c r="O1346" s="295">
        <v>0.45122099999999998</v>
      </c>
      <c r="P1346" s="295">
        <v>0.460586</v>
      </c>
      <c r="Q1346" s="295">
        <v>0.45697199999999999</v>
      </c>
      <c r="R1346" s="295">
        <v>0.45327200000000001</v>
      </c>
      <c r="S1346" s="295">
        <v>0.454708</v>
      </c>
      <c r="T1346" s="295">
        <v>0.46160099999999998</v>
      </c>
      <c r="U1346" s="295">
        <v>0.46756300000000001</v>
      </c>
      <c r="V1346" s="295">
        <v>0.46824199999999999</v>
      </c>
      <c r="W1346" s="295">
        <v>0.47981400000000002</v>
      </c>
      <c r="X1346" s="295">
        <v>0.47923100000000002</v>
      </c>
      <c r="Y1346" s="295">
        <v>0.478383</v>
      </c>
      <c r="Z1346" s="295">
        <v>0.47974699999999998</v>
      </c>
      <c r="AA1346" s="295">
        <v>0.47366599999999998</v>
      </c>
      <c r="AB1346" s="295">
        <v>0.47502</v>
      </c>
      <c r="AC1346" s="295">
        <v>0.47954400000000003</v>
      </c>
      <c r="AD1346" s="295">
        <v>0.48057800000000001</v>
      </c>
      <c r="AE1346" s="295">
        <v>0.48511599999999999</v>
      </c>
      <c r="AF1346" s="295">
        <v>0.485545</v>
      </c>
      <c r="AG1346" s="295">
        <v>0.484323</v>
      </c>
      <c r="AH1346" s="296">
        <v>-7.6680000000000003E-3</v>
      </c>
    </row>
    <row r="1347" spans="1:34" ht="15" customHeight="1" x14ac:dyDescent="0.25">
      <c r="A1347" s="213" t="s">
        <v>2089</v>
      </c>
      <c r="B1347" s="294" t="s">
        <v>2090</v>
      </c>
      <c r="C1347" s="295">
        <v>0.77271400000000001</v>
      </c>
      <c r="D1347" s="295">
        <v>0.77537999999999996</v>
      </c>
      <c r="E1347" s="295">
        <v>0.78144400000000003</v>
      </c>
      <c r="F1347" s="295">
        <v>0.68548600000000004</v>
      </c>
      <c r="G1347" s="295">
        <v>0.62627299999999997</v>
      </c>
      <c r="H1347" s="295">
        <v>0.558674</v>
      </c>
      <c r="I1347" s="295">
        <v>0.56079400000000001</v>
      </c>
      <c r="J1347" s="295">
        <v>0.550454</v>
      </c>
      <c r="K1347" s="295">
        <v>0.55296000000000001</v>
      </c>
      <c r="L1347" s="295">
        <v>0.54841799999999996</v>
      </c>
      <c r="M1347" s="295">
        <v>0.53114799999999995</v>
      </c>
      <c r="N1347" s="295">
        <v>0.51765399999999995</v>
      </c>
      <c r="O1347" s="295">
        <v>0.50836800000000004</v>
      </c>
      <c r="P1347" s="295">
        <v>0.50697800000000004</v>
      </c>
      <c r="Q1347" s="295">
        <v>0.50127200000000005</v>
      </c>
      <c r="R1347" s="295">
        <v>0.48657699999999998</v>
      </c>
      <c r="S1347" s="295">
        <v>0.48594199999999999</v>
      </c>
      <c r="T1347" s="295">
        <v>0.48527300000000001</v>
      </c>
      <c r="U1347" s="295">
        <v>0.47714600000000001</v>
      </c>
      <c r="V1347" s="295">
        <v>0.47190599999999999</v>
      </c>
      <c r="W1347" s="295">
        <v>0.47066999999999998</v>
      </c>
      <c r="X1347" s="295">
        <v>0.46988999999999997</v>
      </c>
      <c r="Y1347" s="295">
        <v>0.47106900000000002</v>
      </c>
      <c r="Z1347" s="295">
        <v>0.46874700000000002</v>
      </c>
      <c r="AA1347" s="295">
        <v>0.46714</v>
      </c>
      <c r="AB1347" s="295">
        <v>0.46145900000000001</v>
      </c>
      <c r="AC1347" s="295">
        <v>0.46080300000000002</v>
      </c>
      <c r="AD1347" s="295">
        <v>0.46340799999999999</v>
      </c>
      <c r="AE1347" s="295">
        <v>0.46604000000000001</v>
      </c>
      <c r="AF1347" s="295">
        <v>0.46848000000000001</v>
      </c>
      <c r="AG1347" s="295">
        <v>0.46785900000000002</v>
      </c>
      <c r="AH1347" s="296">
        <v>-1.6586E-2</v>
      </c>
    </row>
    <row r="1348" spans="1:34" ht="15" customHeight="1" x14ac:dyDescent="0.25">
      <c r="A1348" s="213" t="s">
        <v>2091</v>
      </c>
      <c r="B1348" s="294" t="s">
        <v>2092</v>
      </c>
      <c r="C1348" s="295">
        <v>3.3783409999999998</v>
      </c>
      <c r="D1348" s="295">
        <v>4.1624499999999998</v>
      </c>
      <c r="E1348" s="295">
        <v>4.4004500000000002</v>
      </c>
      <c r="F1348" s="295">
        <v>3.8478409999999998</v>
      </c>
      <c r="G1348" s="295">
        <v>3.3072149999999998</v>
      </c>
      <c r="H1348" s="295">
        <v>3.0225050000000002</v>
      </c>
      <c r="I1348" s="295">
        <v>3.1104099999999999</v>
      </c>
      <c r="J1348" s="295">
        <v>2.9888189999999999</v>
      </c>
      <c r="K1348" s="295">
        <v>3.088622</v>
      </c>
      <c r="L1348" s="295">
        <v>3.0921850000000002</v>
      </c>
      <c r="M1348" s="295">
        <v>3.0706889999999998</v>
      </c>
      <c r="N1348" s="295">
        <v>3.03085</v>
      </c>
      <c r="O1348" s="295">
        <v>2.9410159999999999</v>
      </c>
      <c r="P1348" s="295">
        <v>2.9372210000000001</v>
      </c>
      <c r="Q1348" s="295">
        <v>2.935546</v>
      </c>
      <c r="R1348" s="295">
        <v>2.8794230000000001</v>
      </c>
      <c r="S1348" s="295">
        <v>2.8974959999999998</v>
      </c>
      <c r="T1348" s="295">
        <v>2.882959</v>
      </c>
      <c r="U1348" s="295">
        <v>2.8379279999999998</v>
      </c>
      <c r="V1348" s="295">
        <v>2.8490229999999999</v>
      </c>
      <c r="W1348" s="295">
        <v>2.8740860000000001</v>
      </c>
      <c r="X1348" s="295">
        <v>2.8832789999999999</v>
      </c>
      <c r="Y1348" s="295">
        <v>2.9132980000000002</v>
      </c>
      <c r="Z1348" s="295">
        <v>2.9070649999999998</v>
      </c>
      <c r="AA1348" s="295">
        <v>2.8891460000000002</v>
      </c>
      <c r="AB1348" s="295">
        <v>2.857062</v>
      </c>
      <c r="AC1348" s="295">
        <v>2.845437</v>
      </c>
      <c r="AD1348" s="295">
        <v>2.847791</v>
      </c>
      <c r="AE1348" s="295">
        <v>2.8630279999999999</v>
      </c>
      <c r="AF1348" s="295">
        <v>2.8643260000000001</v>
      </c>
      <c r="AG1348" s="295">
        <v>2.8536380000000001</v>
      </c>
      <c r="AH1348" s="296">
        <v>-5.6109999999999997E-3</v>
      </c>
    </row>
    <row r="1349" spans="1:34" ht="15" customHeight="1" thickBot="1" x14ac:dyDescent="0.25"/>
    <row r="1350" spans="1:34" ht="15" customHeight="1" x14ac:dyDescent="0.2">
      <c r="B1350" s="305" t="s">
        <v>2093</v>
      </c>
      <c r="C1350" s="305"/>
      <c r="D1350" s="305"/>
      <c r="E1350" s="305"/>
      <c r="F1350" s="305"/>
      <c r="G1350" s="305"/>
      <c r="H1350" s="305"/>
      <c r="I1350" s="305"/>
      <c r="J1350" s="305"/>
      <c r="K1350" s="305"/>
      <c r="L1350" s="305"/>
      <c r="M1350" s="305"/>
      <c r="N1350" s="305"/>
      <c r="O1350" s="305"/>
      <c r="P1350" s="305"/>
      <c r="Q1350" s="305"/>
      <c r="R1350" s="305"/>
      <c r="S1350" s="305"/>
      <c r="T1350" s="305"/>
      <c r="U1350" s="305"/>
      <c r="V1350" s="305"/>
      <c r="W1350" s="305"/>
      <c r="X1350" s="305"/>
      <c r="Y1350" s="305"/>
      <c r="Z1350" s="305"/>
      <c r="AA1350" s="305"/>
      <c r="AB1350" s="305"/>
      <c r="AC1350" s="305"/>
      <c r="AD1350" s="305"/>
      <c r="AE1350" s="305"/>
      <c r="AF1350" s="305"/>
      <c r="AG1350" s="305"/>
      <c r="AH1350" s="305"/>
    </row>
    <row r="1351" spans="1:34" ht="15" customHeight="1" x14ac:dyDescent="0.2">
      <c r="B1351" s="208" t="s">
        <v>2094</v>
      </c>
    </row>
    <row r="1352" spans="1:34" ht="15" customHeight="1" x14ac:dyDescent="0.2">
      <c r="B1352" s="208" t="s">
        <v>2095</v>
      </c>
    </row>
    <row r="1353" spans="1:34" ht="15" customHeight="1" x14ac:dyDescent="0.2">
      <c r="B1353" s="208" t="s">
        <v>2096</v>
      </c>
    </row>
    <row r="1354" spans="1:34" ht="15" customHeight="1" x14ac:dyDescent="0.2">
      <c r="B1354" s="208" t="s">
        <v>2097</v>
      </c>
    </row>
    <row r="1355" spans="1:34" ht="15" customHeight="1" x14ac:dyDescent="0.2">
      <c r="B1355" s="208" t="s">
        <v>2098</v>
      </c>
    </row>
    <row r="1356" spans="1:34" ht="15" customHeight="1" x14ac:dyDescent="0.2">
      <c r="B1356" s="208" t="s">
        <v>2099</v>
      </c>
    </row>
    <row r="1357" spans="1:34" ht="15" customHeight="1" x14ac:dyDescent="0.2">
      <c r="B1357" s="208" t="s">
        <v>2100</v>
      </c>
    </row>
    <row r="1358" spans="1:34" ht="15" customHeight="1" x14ac:dyDescent="0.2">
      <c r="B1358" s="208" t="s">
        <v>2101</v>
      </c>
    </row>
    <row r="1359" spans="1:34" ht="15" customHeight="1" x14ac:dyDescent="0.2">
      <c r="B1359" s="208" t="s">
        <v>2102</v>
      </c>
    </row>
    <row r="1360" spans="1:34" ht="15" customHeight="1" x14ac:dyDescent="0.2">
      <c r="B1360" s="208" t="s">
        <v>2103</v>
      </c>
    </row>
    <row r="1361" spans="2:2" ht="15" customHeight="1" x14ac:dyDescent="0.2">
      <c r="B1361" s="208" t="s">
        <v>2104</v>
      </c>
    </row>
    <row r="1362" spans="2:2" ht="15" customHeight="1" x14ac:dyDescent="0.2">
      <c r="B1362" s="208" t="s">
        <v>2105</v>
      </c>
    </row>
    <row r="1363" spans="2:2" ht="15" customHeight="1" x14ac:dyDescent="0.2">
      <c r="B1363" s="208" t="s">
        <v>2106</v>
      </c>
    </row>
    <row r="1364" spans="2:2" ht="15" customHeight="1" x14ac:dyDescent="0.2">
      <c r="B1364" s="208" t="s">
        <v>2107</v>
      </c>
    </row>
    <row r="1365" spans="2:2" ht="15" customHeight="1" x14ac:dyDescent="0.2">
      <c r="B1365" s="208" t="s">
        <v>2108</v>
      </c>
    </row>
    <row r="1366" spans="2:2" ht="15" customHeight="1" x14ac:dyDescent="0.2">
      <c r="B1366" s="208" t="s">
        <v>2109</v>
      </c>
    </row>
    <row r="1367" spans="2:2" ht="15" customHeight="1" x14ac:dyDescent="0.2">
      <c r="B1367" s="208" t="s">
        <v>601</v>
      </c>
    </row>
    <row r="1368" spans="2:2" ht="15" customHeight="1" x14ac:dyDescent="0.2">
      <c r="B1368" s="208" t="s">
        <v>614</v>
      </c>
    </row>
    <row r="1369" spans="2:2" ht="15" customHeight="1" x14ac:dyDescent="0.2">
      <c r="B1369" s="208" t="s">
        <v>1978</v>
      </c>
    </row>
    <row r="1370" spans="2:2" ht="15" customHeight="1" x14ac:dyDescent="0.2">
      <c r="B1370" s="208" t="s">
        <v>2110</v>
      </c>
    </row>
    <row r="1385" spans="1:34" ht="15" customHeight="1" x14ac:dyDescent="0.25">
      <c r="A1385" s="213" t="s">
        <v>2111</v>
      </c>
      <c r="B1385" s="202" t="s">
        <v>1017</v>
      </c>
      <c r="AH1385" s="292" t="s">
        <v>597</v>
      </c>
    </row>
    <row r="1386" spans="1:34" ht="15" customHeight="1" x14ac:dyDescent="0.2">
      <c r="B1386" s="199" t="s">
        <v>2112</v>
      </c>
      <c r="AH1386" s="292" t="s">
        <v>598</v>
      </c>
    </row>
    <row r="1387" spans="1:34" ht="15" customHeight="1" x14ac:dyDescent="0.2">
      <c r="B1387" s="199" t="s">
        <v>124</v>
      </c>
      <c r="C1387" s="222" t="s">
        <v>124</v>
      </c>
      <c r="D1387" s="222" t="s">
        <v>124</v>
      </c>
      <c r="E1387" s="222" t="s">
        <v>124</v>
      </c>
      <c r="F1387" s="222" t="s">
        <v>124</v>
      </c>
      <c r="G1387" s="222" t="s">
        <v>124</v>
      </c>
      <c r="H1387" s="222" t="s">
        <v>124</v>
      </c>
      <c r="I1387" s="222" t="s">
        <v>124</v>
      </c>
      <c r="J1387" s="222" t="s">
        <v>124</v>
      </c>
      <c r="K1387" s="222" t="s">
        <v>124</v>
      </c>
      <c r="L1387" s="222" t="s">
        <v>124</v>
      </c>
      <c r="M1387" s="222" t="s">
        <v>124</v>
      </c>
      <c r="N1387" s="222" t="s">
        <v>124</v>
      </c>
      <c r="O1387" s="222" t="s">
        <v>124</v>
      </c>
      <c r="P1387" s="222" t="s">
        <v>124</v>
      </c>
      <c r="Q1387" s="222" t="s">
        <v>124</v>
      </c>
      <c r="R1387" s="222" t="s">
        <v>124</v>
      </c>
      <c r="S1387" s="222" t="s">
        <v>124</v>
      </c>
      <c r="T1387" s="222" t="s">
        <v>124</v>
      </c>
      <c r="U1387" s="222" t="s">
        <v>124</v>
      </c>
      <c r="V1387" s="222" t="s">
        <v>124</v>
      </c>
      <c r="W1387" s="222" t="s">
        <v>124</v>
      </c>
      <c r="X1387" s="222" t="s">
        <v>124</v>
      </c>
      <c r="Y1387" s="222" t="s">
        <v>124</v>
      </c>
      <c r="Z1387" s="222" t="s">
        <v>124</v>
      </c>
      <c r="AA1387" s="222" t="s">
        <v>124</v>
      </c>
      <c r="AB1387" s="222" t="s">
        <v>124</v>
      </c>
      <c r="AC1387" s="222" t="s">
        <v>124</v>
      </c>
      <c r="AD1387" s="222" t="s">
        <v>124</v>
      </c>
      <c r="AE1387" s="222" t="s">
        <v>124</v>
      </c>
      <c r="AF1387" s="222" t="s">
        <v>124</v>
      </c>
      <c r="AG1387" s="222" t="s">
        <v>124</v>
      </c>
      <c r="AH1387" s="292" t="s">
        <v>599</v>
      </c>
    </row>
    <row r="1388" spans="1:34" ht="15" customHeight="1" thickBot="1" x14ac:dyDescent="0.25">
      <c r="B1388" s="200" t="s">
        <v>2113</v>
      </c>
      <c r="C1388" s="200">
        <v>2020</v>
      </c>
      <c r="D1388" s="200">
        <v>2021</v>
      </c>
      <c r="E1388" s="200">
        <v>2022</v>
      </c>
      <c r="F1388" s="200">
        <v>2023</v>
      </c>
      <c r="G1388" s="200">
        <v>2024</v>
      </c>
      <c r="H1388" s="200">
        <v>2025</v>
      </c>
      <c r="I1388" s="200">
        <v>2026</v>
      </c>
      <c r="J1388" s="200">
        <v>2027</v>
      </c>
      <c r="K1388" s="200">
        <v>2028</v>
      </c>
      <c r="L1388" s="200">
        <v>2029</v>
      </c>
      <c r="M1388" s="200">
        <v>2030</v>
      </c>
      <c r="N1388" s="200">
        <v>2031</v>
      </c>
      <c r="O1388" s="200">
        <v>2032</v>
      </c>
      <c r="P1388" s="200">
        <v>2033</v>
      </c>
      <c r="Q1388" s="200">
        <v>2034</v>
      </c>
      <c r="R1388" s="200">
        <v>2035</v>
      </c>
      <c r="S1388" s="200">
        <v>2036</v>
      </c>
      <c r="T1388" s="200">
        <v>2037</v>
      </c>
      <c r="U1388" s="200">
        <v>2038</v>
      </c>
      <c r="V1388" s="200">
        <v>2039</v>
      </c>
      <c r="W1388" s="200">
        <v>2040</v>
      </c>
      <c r="X1388" s="200">
        <v>2041</v>
      </c>
      <c r="Y1388" s="200">
        <v>2042</v>
      </c>
      <c r="Z1388" s="200">
        <v>2043</v>
      </c>
      <c r="AA1388" s="200">
        <v>2044</v>
      </c>
      <c r="AB1388" s="200">
        <v>2045</v>
      </c>
      <c r="AC1388" s="200">
        <v>2046</v>
      </c>
      <c r="AD1388" s="200">
        <v>2047</v>
      </c>
      <c r="AE1388" s="200">
        <v>2048</v>
      </c>
      <c r="AF1388" s="200">
        <v>2049</v>
      </c>
      <c r="AG1388" s="200">
        <v>2050</v>
      </c>
      <c r="AH1388" s="293" t="s">
        <v>600</v>
      </c>
    </row>
    <row r="1389" spans="1:34" ht="15" customHeight="1" thickTop="1" x14ac:dyDescent="0.2"/>
    <row r="1390" spans="1:34" ht="15" customHeight="1" x14ac:dyDescent="0.2">
      <c r="B1390" s="204" t="s">
        <v>2114</v>
      </c>
    </row>
    <row r="1391" spans="1:34" ht="15" customHeight="1" x14ac:dyDescent="0.2">
      <c r="B1391" s="204" t="s">
        <v>2115</v>
      </c>
    </row>
    <row r="1392" spans="1:34" ht="15" customHeight="1" x14ac:dyDescent="0.25">
      <c r="A1392" s="213" t="s">
        <v>2116</v>
      </c>
      <c r="B1392" s="294" t="s">
        <v>2117</v>
      </c>
      <c r="C1392" s="298">
        <v>217.319931</v>
      </c>
      <c r="D1392" s="298">
        <v>212.916504</v>
      </c>
      <c r="E1392" s="298">
        <v>208.204193</v>
      </c>
      <c r="F1392" s="298">
        <v>188.344604</v>
      </c>
      <c r="G1392" s="298">
        <v>176.849411</v>
      </c>
      <c r="H1392" s="298">
        <v>135.96672100000001</v>
      </c>
      <c r="I1392" s="298">
        <v>131.59382600000001</v>
      </c>
      <c r="J1392" s="298">
        <v>125.52722900000001</v>
      </c>
      <c r="K1392" s="298">
        <v>122.936211</v>
      </c>
      <c r="L1392" s="298">
        <v>120.46221199999999</v>
      </c>
      <c r="M1392" s="298">
        <v>117.930206</v>
      </c>
      <c r="N1392" s="298">
        <v>116.512215</v>
      </c>
      <c r="O1392" s="298">
        <v>114.45122499999999</v>
      </c>
      <c r="P1392" s="298">
        <v>113.27222399999999</v>
      </c>
      <c r="Q1392" s="298">
        <v>112.685738</v>
      </c>
      <c r="R1392" s="298">
        <v>110.483223</v>
      </c>
      <c r="S1392" s="298">
        <v>110.483223</v>
      </c>
      <c r="T1392" s="298">
        <v>109.302238</v>
      </c>
      <c r="U1392" s="298">
        <v>106.219437</v>
      </c>
      <c r="V1392" s="298">
        <v>105.44043000000001</v>
      </c>
      <c r="W1392" s="298">
        <v>105.44043000000001</v>
      </c>
      <c r="X1392" s="298">
        <v>105.100433</v>
      </c>
      <c r="Y1392" s="298">
        <v>105.100433</v>
      </c>
      <c r="Z1392" s="298">
        <v>105.100433</v>
      </c>
      <c r="AA1392" s="298">
        <v>105.100433</v>
      </c>
      <c r="AB1392" s="298">
        <v>102.586433</v>
      </c>
      <c r="AC1392" s="298">
        <v>102.586433</v>
      </c>
      <c r="AD1392" s="298">
        <v>102.099434</v>
      </c>
      <c r="AE1392" s="298">
        <v>102.099434</v>
      </c>
      <c r="AF1392" s="298">
        <v>102.099434</v>
      </c>
      <c r="AG1392" s="298">
        <v>102.099434</v>
      </c>
      <c r="AH1392" s="296">
        <v>-2.4865999999999999E-2</v>
      </c>
    </row>
    <row r="1393" spans="1:34" ht="15" customHeight="1" x14ac:dyDescent="0.25">
      <c r="A1393" s="213" t="s">
        <v>2118</v>
      </c>
      <c r="B1393" s="294" t="s">
        <v>2119</v>
      </c>
      <c r="C1393" s="298">
        <v>72.645202999999995</v>
      </c>
      <c r="D1393" s="298">
        <v>71.450103999999996</v>
      </c>
      <c r="E1393" s="298">
        <v>66.598999000000006</v>
      </c>
      <c r="F1393" s="298">
        <v>61.921207000000003</v>
      </c>
      <c r="G1393" s="298">
        <v>56.472496</v>
      </c>
      <c r="H1393" s="298">
        <v>56.265597999999997</v>
      </c>
      <c r="I1393" s="298">
        <v>52.010399</v>
      </c>
      <c r="J1393" s="298">
        <v>51.495398999999999</v>
      </c>
      <c r="K1393" s="298">
        <v>49.498401999999999</v>
      </c>
      <c r="L1393" s="298">
        <v>47.516002999999998</v>
      </c>
      <c r="M1393" s="298">
        <v>47.023601999999997</v>
      </c>
      <c r="N1393" s="298">
        <v>45.305098999999998</v>
      </c>
      <c r="O1393" s="298">
        <v>45.062103</v>
      </c>
      <c r="P1393" s="298">
        <v>44.219298999999999</v>
      </c>
      <c r="Q1393" s="298">
        <v>43.716301000000001</v>
      </c>
      <c r="R1393" s="298">
        <v>42.745804</v>
      </c>
      <c r="S1393" s="298">
        <v>42.665801999999999</v>
      </c>
      <c r="T1393" s="298">
        <v>43.437801</v>
      </c>
      <c r="U1393" s="298">
        <v>43.437801</v>
      </c>
      <c r="V1393" s="298">
        <v>43.437801</v>
      </c>
      <c r="W1393" s="298">
        <v>43.437801</v>
      </c>
      <c r="X1393" s="298">
        <v>43.437801</v>
      </c>
      <c r="Y1393" s="298">
        <v>43.437801</v>
      </c>
      <c r="Z1393" s="298">
        <v>43.437801</v>
      </c>
      <c r="AA1393" s="298">
        <v>43.331802000000003</v>
      </c>
      <c r="AB1393" s="298">
        <v>43.331802000000003</v>
      </c>
      <c r="AC1393" s="298">
        <v>43.331802000000003</v>
      </c>
      <c r="AD1393" s="298">
        <v>43.331802000000003</v>
      </c>
      <c r="AE1393" s="298">
        <v>43.331802000000003</v>
      </c>
      <c r="AF1393" s="298">
        <v>43.331802000000003</v>
      </c>
      <c r="AG1393" s="298">
        <v>43.331802000000003</v>
      </c>
      <c r="AH1393" s="296">
        <v>-1.7076000000000001E-2</v>
      </c>
    </row>
    <row r="1394" spans="1:34" ht="15" customHeight="1" x14ac:dyDescent="0.25">
      <c r="A1394" s="213" t="s">
        <v>2120</v>
      </c>
      <c r="B1394" s="294" t="s">
        <v>2121</v>
      </c>
      <c r="C1394" s="298">
        <v>245.41911300000001</v>
      </c>
      <c r="D1394" s="298">
        <v>248.74231</v>
      </c>
      <c r="E1394" s="298">
        <v>261.34234600000002</v>
      </c>
      <c r="F1394" s="298">
        <v>264.71408100000002</v>
      </c>
      <c r="G1394" s="298">
        <v>268.74212599999998</v>
      </c>
      <c r="H1394" s="298">
        <v>282.74993899999998</v>
      </c>
      <c r="I1394" s="298">
        <v>295.24371300000001</v>
      </c>
      <c r="J1394" s="298">
        <v>300.97357199999999</v>
      </c>
      <c r="K1394" s="298">
        <v>304.33660900000001</v>
      </c>
      <c r="L1394" s="298">
        <v>307.298157</v>
      </c>
      <c r="M1394" s="298">
        <v>308.356628</v>
      </c>
      <c r="N1394" s="298">
        <v>312.99981700000001</v>
      </c>
      <c r="O1394" s="298">
        <v>317.56133999999997</v>
      </c>
      <c r="P1394" s="298">
        <v>321.01898199999999</v>
      </c>
      <c r="Q1394" s="298">
        <v>324.87957799999998</v>
      </c>
      <c r="R1394" s="298">
        <v>329.12432899999999</v>
      </c>
      <c r="S1394" s="298">
        <v>332.338165</v>
      </c>
      <c r="T1394" s="298">
        <v>336.47546399999999</v>
      </c>
      <c r="U1394" s="298">
        <v>340.37085000000002</v>
      </c>
      <c r="V1394" s="298">
        <v>342.83724999999998</v>
      </c>
      <c r="W1394" s="298">
        <v>347.988159</v>
      </c>
      <c r="X1394" s="298">
        <v>351.31603999999999</v>
      </c>
      <c r="Y1394" s="298">
        <v>353.62524400000001</v>
      </c>
      <c r="Z1394" s="298">
        <v>359.43084700000003</v>
      </c>
      <c r="AA1394" s="298">
        <v>363.57757600000002</v>
      </c>
      <c r="AB1394" s="298">
        <v>367.837738</v>
      </c>
      <c r="AC1394" s="298">
        <v>370.81170700000001</v>
      </c>
      <c r="AD1394" s="298">
        <v>375.398865</v>
      </c>
      <c r="AE1394" s="298">
        <v>380.82534800000002</v>
      </c>
      <c r="AF1394" s="298">
        <v>388.56957999999997</v>
      </c>
      <c r="AG1394" s="298">
        <v>394.74050899999997</v>
      </c>
      <c r="AH1394" s="296">
        <v>1.5968E-2</v>
      </c>
    </row>
    <row r="1395" spans="1:34" ht="15" customHeight="1" x14ac:dyDescent="0.25">
      <c r="A1395" s="213" t="s">
        <v>2122</v>
      </c>
      <c r="B1395" s="294" t="s">
        <v>2123</v>
      </c>
      <c r="C1395" s="298">
        <v>139.99884</v>
      </c>
      <c r="D1395" s="298">
        <v>151.39418000000001</v>
      </c>
      <c r="E1395" s="298">
        <v>157.452606</v>
      </c>
      <c r="F1395" s="298">
        <v>163.377655</v>
      </c>
      <c r="G1395" s="298">
        <v>167.662567</v>
      </c>
      <c r="H1395" s="298">
        <v>179.72648599999999</v>
      </c>
      <c r="I1395" s="298">
        <v>184.18956</v>
      </c>
      <c r="J1395" s="298">
        <v>188.856964</v>
      </c>
      <c r="K1395" s="298">
        <v>191.95858799999999</v>
      </c>
      <c r="L1395" s="298">
        <v>194.965881</v>
      </c>
      <c r="M1395" s="298">
        <v>197.19152800000001</v>
      </c>
      <c r="N1395" s="298">
        <v>200.86578399999999</v>
      </c>
      <c r="O1395" s="298">
        <v>203.08973700000001</v>
      </c>
      <c r="P1395" s="298">
        <v>206.027344</v>
      </c>
      <c r="Q1395" s="298">
        <v>210.78027299999999</v>
      </c>
      <c r="R1395" s="298">
        <v>215.333832</v>
      </c>
      <c r="S1395" s="298">
        <v>219.66625999999999</v>
      </c>
      <c r="T1395" s="298">
        <v>225.09381099999999</v>
      </c>
      <c r="U1395" s="298">
        <v>229.133545</v>
      </c>
      <c r="V1395" s="298">
        <v>235.578766</v>
      </c>
      <c r="W1395" s="298">
        <v>239.142426</v>
      </c>
      <c r="X1395" s="298">
        <v>243.51156599999999</v>
      </c>
      <c r="Y1395" s="298">
        <v>250.730423</v>
      </c>
      <c r="Z1395" s="298">
        <v>259.79357900000002</v>
      </c>
      <c r="AA1395" s="298">
        <v>265.27606200000002</v>
      </c>
      <c r="AB1395" s="298">
        <v>271.40213</v>
      </c>
      <c r="AC1395" s="298">
        <v>276.55578600000001</v>
      </c>
      <c r="AD1395" s="298">
        <v>282.862976</v>
      </c>
      <c r="AE1395" s="298">
        <v>291.936646</v>
      </c>
      <c r="AF1395" s="298">
        <v>297.85668900000002</v>
      </c>
      <c r="AG1395" s="298">
        <v>304.25543199999998</v>
      </c>
      <c r="AH1395" s="296">
        <v>2.6211999999999999E-2</v>
      </c>
    </row>
    <row r="1396" spans="1:34" ht="15" customHeight="1" x14ac:dyDescent="0.25">
      <c r="A1396" s="213" t="s">
        <v>2124</v>
      </c>
      <c r="B1396" s="294" t="s">
        <v>2125</v>
      </c>
      <c r="C1396" s="298">
        <v>97.120911000000007</v>
      </c>
      <c r="D1396" s="298">
        <v>92.484604000000004</v>
      </c>
      <c r="E1396" s="298">
        <v>92.860007999999993</v>
      </c>
      <c r="F1396" s="298">
        <v>92.904007000000007</v>
      </c>
      <c r="G1396" s="298">
        <v>92.954802999999998</v>
      </c>
      <c r="H1396" s="298">
        <v>91.863929999999996</v>
      </c>
      <c r="I1396" s="298">
        <v>80.659355000000005</v>
      </c>
      <c r="J1396" s="298">
        <v>78.783530999999996</v>
      </c>
      <c r="K1396" s="298">
        <v>78.818695000000005</v>
      </c>
      <c r="L1396" s="298">
        <v>76.788666000000006</v>
      </c>
      <c r="M1396" s="298">
        <v>76.874741</v>
      </c>
      <c r="N1396" s="298">
        <v>77.013442999999995</v>
      </c>
      <c r="O1396" s="298">
        <v>77.109756000000004</v>
      </c>
      <c r="P1396" s="298">
        <v>76.137282999999996</v>
      </c>
      <c r="Q1396" s="298">
        <v>74.091353999999995</v>
      </c>
      <c r="R1396" s="298">
        <v>74.269699000000003</v>
      </c>
      <c r="S1396" s="298">
        <v>73.501282000000003</v>
      </c>
      <c r="T1396" s="298">
        <v>73.528037999999995</v>
      </c>
      <c r="U1396" s="298">
        <v>73.554787000000005</v>
      </c>
      <c r="V1396" s="298">
        <v>73.554787000000005</v>
      </c>
      <c r="W1396" s="298">
        <v>72.445510999999996</v>
      </c>
      <c r="X1396" s="298">
        <v>72.604445999999996</v>
      </c>
      <c r="Y1396" s="298">
        <v>72.719436999999999</v>
      </c>
      <c r="Z1396" s="298">
        <v>72.830353000000002</v>
      </c>
      <c r="AA1396" s="298">
        <v>72.926261999999994</v>
      </c>
      <c r="AB1396" s="298">
        <v>73.030144000000007</v>
      </c>
      <c r="AC1396" s="298">
        <v>73.084243999999998</v>
      </c>
      <c r="AD1396" s="298">
        <v>72.167343000000002</v>
      </c>
      <c r="AE1396" s="298">
        <v>72.201035000000005</v>
      </c>
      <c r="AF1396" s="298">
        <v>72.241744999999995</v>
      </c>
      <c r="AG1396" s="298">
        <v>72.304069999999996</v>
      </c>
      <c r="AH1396" s="296">
        <v>-9.7879999999999998E-3</v>
      </c>
    </row>
    <row r="1397" spans="1:34" ht="15" customHeight="1" x14ac:dyDescent="0.25">
      <c r="A1397" s="213" t="s">
        <v>2126</v>
      </c>
      <c r="B1397" s="294" t="s">
        <v>2127</v>
      </c>
      <c r="C1397" s="298">
        <v>22.778303000000001</v>
      </c>
      <c r="D1397" s="298">
        <v>22.778303000000001</v>
      </c>
      <c r="E1397" s="298">
        <v>22.778303000000001</v>
      </c>
      <c r="F1397" s="298">
        <v>22.778303000000001</v>
      </c>
      <c r="G1397" s="298">
        <v>22.778303000000001</v>
      </c>
      <c r="H1397" s="298">
        <v>22.778303000000001</v>
      </c>
      <c r="I1397" s="298">
        <v>22.778303000000001</v>
      </c>
      <c r="J1397" s="298">
        <v>22.778303000000001</v>
      </c>
      <c r="K1397" s="298">
        <v>22.778303000000001</v>
      </c>
      <c r="L1397" s="298">
        <v>22.778303000000001</v>
      </c>
      <c r="M1397" s="298">
        <v>22.778303000000001</v>
      </c>
      <c r="N1397" s="298">
        <v>22.778303000000001</v>
      </c>
      <c r="O1397" s="298">
        <v>22.778303000000001</v>
      </c>
      <c r="P1397" s="298">
        <v>22.778303000000001</v>
      </c>
      <c r="Q1397" s="298">
        <v>22.778303000000001</v>
      </c>
      <c r="R1397" s="298">
        <v>22.778303000000001</v>
      </c>
      <c r="S1397" s="298">
        <v>22.778303000000001</v>
      </c>
      <c r="T1397" s="298">
        <v>22.778303000000001</v>
      </c>
      <c r="U1397" s="298">
        <v>22.778303000000001</v>
      </c>
      <c r="V1397" s="298">
        <v>22.778303000000001</v>
      </c>
      <c r="W1397" s="298">
        <v>22.778303000000001</v>
      </c>
      <c r="X1397" s="298">
        <v>22.778303000000001</v>
      </c>
      <c r="Y1397" s="298">
        <v>22.778303000000001</v>
      </c>
      <c r="Z1397" s="298">
        <v>22.778303000000001</v>
      </c>
      <c r="AA1397" s="298">
        <v>22.778303000000001</v>
      </c>
      <c r="AB1397" s="298">
        <v>22.778303000000001</v>
      </c>
      <c r="AC1397" s="298">
        <v>22.778303000000001</v>
      </c>
      <c r="AD1397" s="298">
        <v>22.778303000000001</v>
      </c>
      <c r="AE1397" s="298">
        <v>22.778303000000001</v>
      </c>
      <c r="AF1397" s="298">
        <v>22.778303000000001</v>
      </c>
      <c r="AG1397" s="298">
        <v>22.778303000000001</v>
      </c>
      <c r="AH1397" s="296">
        <v>0</v>
      </c>
    </row>
    <row r="1398" spans="1:34" ht="15" customHeight="1" x14ac:dyDescent="0.25">
      <c r="A1398" s="213" t="s">
        <v>2128</v>
      </c>
      <c r="B1398" s="294" t="s">
        <v>2129</v>
      </c>
      <c r="C1398" s="298">
        <v>3.1509999999999998</v>
      </c>
      <c r="D1398" s="298">
        <v>6.9255000000000004</v>
      </c>
      <c r="E1398" s="298">
        <v>8.623799</v>
      </c>
      <c r="F1398" s="298">
        <v>9.5348000000000006</v>
      </c>
      <c r="G1398" s="298">
        <v>10.1648</v>
      </c>
      <c r="H1398" s="298">
        <v>10.607799999999999</v>
      </c>
      <c r="I1398" s="298">
        <v>11.048738</v>
      </c>
      <c r="J1398" s="298">
        <v>11.55354</v>
      </c>
      <c r="K1398" s="298">
        <v>11.96454</v>
      </c>
      <c r="L1398" s="298">
        <v>12.375540000000001</v>
      </c>
      <c r="M1398" s="298">
        <v>12.786541</v>
      </c>
      <c r="N1398" s="298">
        <v>12.786541</v>
      </c>
      <c r="O1398" s="298">
        <v>12.85284</v>
      </c>
      <c r="P1398" s="298">
        <v>12.866369000000001</v>
      </c>
      <c r="Q1398" s="298">
        <v>12.959417999999999</v>
      </c>
      <c r="R1398" s="298">
        <v>16.018660000000001</v>
      </c>
      <c r="S1398" s="298">
        <v>16.104762999999998</v>
      </c>
      <c r="T1398" s="298">
        <v>16.102764000000001</v>
      </c>
      <c r="U1398" s="298">
        <v>16.102764000000001</v>
      </c>
      <c r="V1398" s="298">
        <v>16.102764000000001</v>
      </c>
      <c r="W1398" s="298">
        <v>16.411545</v>
      </c>
      <c r="X1398" s="298">
        <v>16.553111999999999</v>
      </c>
      <c r="Y1398" s="298">
        <v>16.553111999999999</v>
      </c>
      <c r="Z1398" s="298">
        <v>17.113835999999999</v>
      </c>
      <c r="AA1398" s="298">
        <v>17.441472999999998</v>
      </c>
      <c r="AB1398" s="298">
        <v>17.74662</v>
      </c>
      <c r="AC1398" s="298">
        <v>19.441296000000001</v>
      </c>
      <c r="AD1398" s="298">
        <v>19.593993999999999</v>
      </c>
      <c r="AE1398" s="298">
        <v>19.909217999999999</v>
      </c>
      <c r="AF1398" s="298">
        <v>20.367298000000002</v>
      </c>
      <c r="AG1398" s="298">
        <v>20.575191</v>
      </c>
      <c r="AH1398" s="296">
        <v>6.4543000000000003E-2</v>
      </c>
    </row>
    <row r="1399" spans="1:34" ht="15" customHeight="1" x14ac:dyDescent="0.25">
      <c r="A1399" s="213" t="s">
        <v>2130</v>
      </c>
      <c r="B1399" s="294" t="s">
        <v>2131</v>
      </c>
      <c r="C1399" s="298">
        <v>0.20419999999999999</v>
      </c>
      <c r="D1399" s="298">
        <v>0.2303</v>
      </c>
      <c r="E1399" s="298">
        <v>0.2303</v>
      </c>
      <c r="F1399" s="298">
        <v>0.23136999999999999</v>
      </c>
      <c r="G1399" s="298">
        <v>0.232485</v>
      </c>
      <c r="H1399" s="298">
        <v>0.232485</v>
      </c>
      <c r="I1399" s="298">
        <v>0.232485</v>
      </c>
      <c r="J1399" s="298">
        <v>0.232485</v>
      </c>
      <c r="K1399" s="298">
        <v>0.232485</v>
      </c>
      <c r="L1399" s="298">
        <v>0.232485</v>
      </c>
      <c r="M1399" s="298">
        <v>0.232485</v>
      </c>
      <c r="N1399" s="298">
        <v>0.23138500000000001</v>
      </c>
      <c r="O1399" s="298">
        <v>0.23138500000000001</v>
      </c>
      <c r="P1399" s="298">
        <v>0.23138500000000001</v>
      </c>
      <c r="Q1399" s="298">
        <v>0.23138500000000001</v>
      </c>
      <c r="R1399" s="298">
        <v>0.23245299999999999</v>
      </c>
      <c r="S1399" s="298">
        <v>0.23245299999999999</v>
      </c>
      <c r="T1399" s="298">
        <v>0.23245299999999999</v>
      </c>
      <c r="U1399" s="298">
        <v>0.23245299999999999</v>
      </c>
      <c r="V1399" s="298">
        <v>0.23245299999999999</v>
      </c>
      <c r="W1399" s="298">
        <v>0.23245299999999999</v>
      </c>
      <c r="X1399" s="298">
        <v>0.23245299999999999</v>
      </c>
      <c r="Y1399" s="298">
        <v>0.23245299999999999</v>
      </c>
      <c r="Z1399" s="298">
        <v>0.23245299999999999</v>
      </c>
      <c r="AA1399" s="298">
        <v>0.23245299999999999</v>
      </c>
      <c r="AB1399" s="298">
        <v>0.23245299999999999</v>
      </c>
      <c r="AC1399" s="298">
        <v>0.23245299999999999</v>
      </c>
      <c r="AD1399" s="298">
        <v>0.23245299999999999</v>
      </c>
      <c r="AE1399" s="298">
        <v>0.23245299999999999</v>
      </c>
      <c r="AF1399" s="298">
        <v>0.23245299999999999</v>
      </c>
      <c r="AG1399" s="298">
        <v>0.23347699999999999</v>
      </c>
      <c r="AH1399" s="296">
        <v>4.4759999999999999E-3</v>
      </c>
    </row>
    <row r="1400" spans="1:34" ht="15" customHeight="1" x14ac:dyDescent="0.25">
      <c r="A1400" s="213" t="s">
        <v>2132</v>
      </c>
      <c r="B1400" s="294" t="s">
        <v>2133</v>
      </c>
      <c r="C1400" s="298">
        <v>263.93090799999999</v>
      </c>
      <c r="D1400" s="298">
        <v>283.68081699999999</v>
      </c>
      <c r="E1400" s="298">
        <v>302.70617700000003</v>
      </c>
      <c r="F1400" s="298">
        <v>335.44113199999998</v>
      </c>
      <c r="G1400" s="298">
        <v>379.09042399999998</v>
      </c>
      <c r="H1400" s="298">
        <v>397.71389799999997</v>
      </c>
      <c r="I1400" s="298">
        <v>418.71618699999999</v>
      </c>
      <c r="J1400" s="298">
        <v>435.48056000000003</v>
      </c>
      <c r="K1400" s="298">
        <v>445.500427</v>
      </c>
      <c r="L1400" s="298">
        <v>460.45788599999997</v>
      </c>
      <c r="M1400" s="298">
        <v>476.17263800000001</v>
      </c>
      <c r="N1400" s="298">
        <v>484.95187399999998</v>
      </c>
      <c r="O1400" s="298">
        <v>496.50662199999999</v>
      </c>
      <c r="P1400" s="298">
        <v>507.36407500000001</v>
      </c>
      <c r="Q1400" s="298">
        <v>520.39642300000003</v>
      </c>
      <c r="R1400" s="298">
        <v>539.44482400000004</v>
      </c>
      <c r="S1400" s="298">
        <v>547.09368900000004</v>
      </c>
      <c r="T1400" s="298">
        <v>555.21667500000001</v>
      </c>
      <c r="U1400" s="298">
        <v>564.71758999999997</v>
      </c>
      <c r="V1400" s="298">
        <v>569.95275900000001</v>
      </c>
      <c r="W1400" s="298">
        <v>576.04663100000005</v>
      </c>
      <c r="X1400" s="298">
        <v>587.17993200000001</v>
      </c>
      <c r="Y1400" s="298">
        <v>593.31964100000005</v>
      </c>
      <c r="Z1400" s="298">
        <v>600.97497599999997</v>
      </c>
      <c r="AA1400" s="298">
        <v>610.66430700000001</v>
      </c>
      <c r="AB1400" s="298">
        <v>624.65368699999999</v>
      </c>
      <c r="AC1400" s="298">
        <v>639.65789800000005</v>
      </c>
      <c r="AD1400" s="298">
        <v>655.81188999999995</v>
      </c>
      <c r="AE1400" s="298">
        <v>664.12390100000005</v>
      </c>
      <c r="AF1400" s="298">
        <v>676.42401099999995</v>
      </c>
      <c r="AG1400" s="298">
        <v>688.22192399999994</v>
      </c>
      <c r="AH1400" s="296">
        <v>3.2462999999999999E-2</v>
      </c>
    </row>
    <row r="1401" spans="1:34" ht="15" customHeight="1" x14ac:dyDescent="0.25">
      <c r="A1401" s="213" t="s">
        <v>2134</v>
      </c>
      <c r="B1401" s="294" t="s">
        <v>2135</v>
      </c>
      <c r="C1401" s="298">
        <v>0</v>
      </c>
      <c r="D1401" s="298">
        <v>0</v>
      </c>
      <c r="E1401" s="298">
        <v>1.1477040000000001</v>
      </c>
      <c r="F1401" s="298">
        <v>1.518443</v>
      </c>
      <c r="G1401" s="298">
        <v>1.9681900000000001</v>
      </c>
      <c r="H1401" s="298">
        <v>2.835906</v>
      </c>
      <c r="I1401" s="298">
        <v>3.2806090000000001</v>
      </c>
      <c r="J1401" s="298">
        <v>3.7841170000000002</v>
      </c>
      <c r="K1401" s="298">
        <v>4.4486850000000002</v>
      </c>
      <c r="L1401" s="298">
        <v>5.1270980000000002</v>
      </c>
      <c r="M1401" s="298">
        <v>5.8100370000000003</v>
      </c>
      <c r="N1401" s="298">
        <v>6.5254279999999998</v>
      </c>
      <c r="O1401" s="298">
        <v>7.2915080000000003</v>
      </c>
      <c r="P1401" s="298">
        <v>8.0731929999999998</v>
      </c>
      <c r="Q1401" s="298">
        <v>8.9240980000000008</v>
      </c>
      <c r="R1401" s="298">
        <v>9.8111809999999995</v>
      </c>
      <c r="S1401" s="298">
        <v>10.935399</v>
      </c>
      <c r="T1401" s="298">
        <v>12.167045</v>
      </c>
      <c r="U1401" s="298">
        <v>13.408576999999999</v>
      </c>
      <c r="V1401" s="298">
        <v>14.729175</v>
      </c>
      <c r="W1401" s="298">
        <v>16.063938</v>
      </c>
      <c r="X1401" s="298">
        <v>17.426279000000001</v>
      </c>
      <c r="Y1401" s="298">
        <v>18.853794000000001</v>
      </c>
      <c r="Z1401" s="298">
        <v>20.413018999999998</v>
      </c>
      <c r="AA1401" s="298">
        <v>21.984665</v>
      </c>
      <c r="AB1401" s="298">
        <v>23.592424000000001</v>
      </c>
      <c r="AC1401" s="298">
        <v>25.295141000000001</v>
      </c>
      <c r="AD1401" s="298">
        <v>27.064219999999999</v>
      </c>
      <c r="AE1401" s="298">
        <v>28.938288</v>
      </c>
      <c r="AF1401" s="298">
        <v>30.912583999999999</v>
      </c>
      <c r="AG1401" s="298">
        <v>32.993228999999999</v>
      </c>
      <c r="AH1401" s="296" t="s">
        <v>635</v>
      </c>
    </row>
    <row r="1402" spans="1:34" ht="15" customHeight="1" x14ac:dyDescent="0.2">
      <c r="A1402" s="213" t="s">
        <v>2136</v>
      </c>
      <c r="B1402" s="204" t="s">
        <v>1955</v>
      </c>
      <c r="C1402" s="300">
        <v>1062.568481</v>
      </c>
      <c r="D1402" s="300">
        <v>1090.6026609999999</v>
      </c>
      <c r="E1402" s="300">
        <v>1121.944336</v>
      </c>
      <c r="F1402" s="300">
        <v>1140.765625</v>
      </c>
      <c r="G1402" s="300">
        <v>1176.9155270000001</v>
      </c>
      <c r="H1402" s="300">
        <v>1180.7410890000001</v>
      </c>
      <c r="I1402" s="300">
        <v>1199.7531739999999</v>
      </c>
      <c r="J1402" s="300">
        <v>1219.465698</v>
      </c>
      <c r="K1402" s="300">
        <v>1232.4731449999999</v>
      </c>
      <c r="L1402" s="300">
        <v>1248.0020750000001</v>
      </c>
      <c r="M1402" s="300">
        <v>1265.1567379999999</v>
      </c>
      <c r="N1402" s="300">
        <v>1279.9698490000001</v>
      </c>
      <c r="O1402" s="300">
        <v>1296.934814</v>
      </c>
      <c r="P1402" s="300">
        <v>1311.9884030000001</v>
      </c>
      <c r="Q1402" s="300">
        <v>1331.442871</v>
      </c>
      <c r="R1402" s="300">
        <v>1360.242432</v>
      </c>
      <c r="S1402" s="300">
        <v>1375.799438</v>
      </c>
      <c r="T1402" s="300">
        <v>1394.334595</v>
      </c>
      <c r="U1402" s="300">
        <v>1409.956177</v>
      </c>
      <c r="V1402" s="300">
        <v>1424.6445309999999</v>
      </c>
      <c r="W1402" s="300">
        <v>1439.987183</v>
      </c>
      <c r="X1402" s="300">
        <v>1460.1403809999999</v>
      </c>
      <c r="Y1402" s="300">
        <v>1477.3507079999999</v>
      </c>
      <c r="Z1402" s="300">
        <v>1502.1057129999999</v>
      </c>
      <c r="AA1402" s="300">
        <v>1523.3133539999999</v>
      </c>
      <c r="AB1402" s="300">
        <v>1547.1917719999999</v>
      </c>
      <c r="AC1402" s="300">
        <v>1573.7751459999999</v>
      </c>
      <c r="AD1402" s="300">
        <v>1601.3413089999999</v>
      </c>
      <c r="AE1402" s="300">
        <v>1626.3764650000001</v>
      </c>
      <c r="AF1402" s="300">
        <v>1654.814087</v>
      </c>
      <c r="AG1402" s="300">
        <v>1681.533447</v>
      </c>
      <c r="AH1402" s="206">
        <v>1.5417999999999999E-2</v>
      </c>
    </row>
    <row r="1403" spans="1:34" ht="15" customHeight="1" x14ac:dyDescent="0.2">
      <c r="B1403" s="204" t="s">
        <v>2137</v>
      </c>
    </row>
    <row r="1404" spans="1:34" ht="15" customHeight="1" x14ac:dyDescent="0.25">
      <c r="A1404" s="213" t="s">
        <v>2138</v>
      </c>
      <c r="B1404" s="294" t="s">
        <v>1987</v>
      </c>
      <c r="C1404" s="298">
        <v>1.8878999999999999</v>
      </c>
      <c r="D1404" s="298">
        <v>1.7828999999999999</v>
      </c>
      <c r="E1404" s="298">
        <v>1.7828999999999999</v>
      </c>
      <c r="F1404" s="298">
        <v>1.7828999999999999</v>
      </c>
      <c r="G1404" s="298">
        <v>1.7828999999999999</v>
      </c>
      <c r="H1404" s="298">
        <v>1.7828999999999999</v>
      </c>
      <c r="I1404" s="298">
        <v>1.7828999999999999</v>
      </c>
      <c r="J1404" s="298">
        <v>1.7828999999999999</v>
      </c>
      <c r="K1404" s="298">
        <v>1.7828999999999999</v>
      </c>
      <c r="L1404" s="298">
        <v>1.7828999999999999</v>
      </c>
      <c r="M1404" s="298">
        <v>1.7828999999999999</v>
      </c>
      <c r="N1404" s="298">
        <v>1.7828999999999999</v>
      </c>
      <c r="O1404" s="298">
        <v>1.7828999999999999</v>
      </c>
      <c r="P1404" s="298">
        <v>1.7828999999999999</v>
      </c>
      <c r="Q1404" s="298">
        <v>1.7828999999999999</v>
      </c>
      <c r="R1404" s="298">
        <v>1.7828999999999999</v>
      </c>
      <c r="S1404" s="298">
        <v>1.7828999999999999</v>
      </c>
      <c r="T1404" s="298">
        <v>1.7828999999999999</v>
      </c>
      <c r="U1404" s="298">
        <v>1.7828999999999999</v>
      </c>
      <c r="V1404" s="298">
        <v>1.7828999999999999</v>
      </c>
      <c r="W1404" s="298">
        <v>1.7828999999999999</v>
      </c>
      <c r="X1404" s="298">
        <v>1.7828999999999999</v>
      </c>
      <c r="Y1404" s="298">
        <v>1.7828999999999999</v>
      </c>
      <c r="Z1404" s="298">
        <v>1.7828999999999999</v>
      </c>
      <c r="AA1404" s="298">
        <v>1.7828999999999999</v>
      </c>
      <c r="AB1404" s="298">
        <v>1.7828999999999999</v>
      </c>
      <c r="AC1404" s="298">
        <v>1.7828999999999999</v>
      </c>
      <c r="AD1404" s="298">
        <v>1.7828999999999999</v>
      </c>
      <c r="AE1404" s="298">
        <v>1.7828999999999999</v>
      </c>
      <c r="AF1404" s="298">
        <v>1.7828999999999999</v>
      </c>
      <c r="AG1404" s="298">
        <v>1.7828999999999999</v>
      </c>
      <c r="AH1404" s="296">
        <v>-1.9059999999999999E-3</v>
      </c>
    </row>
    <row r="1405" spans="1:34" ht="15" customHeight="1" x14ac:dyDescent="0.25">
      <c r="A1405" s="213" t="s">
        <v>2139</v>
      </c>
      <c r="B1405" s="294" t="s">
        <v>2140</v>
      </c>
      <c r="C1405" s="298">
        <v>0.62180000000000002</v>
      </c>
      <c r="D1405" s="298">
        <v>0.62180000000000002</v>
      </c>
      <c r="E1405" s="298">
        <v>0.62180000000000002</v>
      </c>
      <c r="F1405" s="298">
        <v>0.62180000000000002</v>
      </c>
      <c r="G1405" s="298">
        <v>0.62180000000000002</v>
      </c>
      <c r="H1405" s="298">
        <v>0.62180000000000002</v>
      </c>
      <c r="I1405" s="298">
        <v>0.62180000000000002</v>
      </c>
      <c r="J1405" s="298">
        <v>0.62180000000000002</v>
      </c>
      <c r="K1405" s="298">
        <v>0.62180000000000002</v>
      </c>
      <c r="L1405" s="298">
        <v>0.62180000000000002</v>
      </c>
      <c r="M1405" s="298">
        <v>0.62180000000000002</v>
      </c>
      <c r="N1405" s="298">
        <v>0.62180000000000002</v>
      </c>
      <c r="O1405" s="298">
        <v>0.62180000000000002</v>
      </c>
      <c r="P1405" s="298">
        <v>0.62180000000000002</v>
      </c>
      <c r="Q1405" s="298">
        <v>0.62180000000000002</v>
      </c>
      <c r="R1405" s="298">
        <v>0.62180000000000002</v>
      </c>
      <c r="S1405" s="298">
        <v>0.62180000000000002</v>
      </c>
      <c r="T1405" s="298">
        <v>0.62180000000000002</v>
      </c>
      <c r="U1405" s="298">
        <v>0.62180000000000002</v>
      </c>
      <c r="V1405" s="298">
        <v>0.62180000000000002</v>
      </c>
      <c r="W1405" s="298">
        <v>0.62180000000000002</v>
      </c>
      <c r="X1405" s="298">
        <v>0.62180000000000002</v>
      </c>
      <c r="Y1405" s="298">
        <v>0.62180000000000002</v>
      </c>
      <c r="Z1405" s="298">
        <v>0.62180000000000002</v>
      </c>
      <c r="AA1405" s="298">
        <v>0.62180000000000002</v>
      </c>
      <c r="AB1405" s="298">
        <v>0.62180000000000002</v>
      </c>
      <c r="AC1405" s="298">
        <v>0.62180000000000002</v>
      </c>
      <c r="AD1405" s="298">
        <v>0.62180000000000002</v>
      </c>
      <c r="AE1405" s="298">
        <v>0.62180000000000002</v>
      </c>
      <c r="AF1405" s="298">
        <v>0.62180000000000002</v>
      </c>
      <c r="AG1405" s="298">
        <v>0.62180000000000002</v>
      </c>
      <c r="AH1405" s="296">
        <v>0</v>
      </c>
    </row>
    <row r="1406" spans="1:34" ht="15" customHeight="1" x14ac:dyDescent="0.25">
      <c r="A1406" s="213" t="s">
        <v>2141</v>
      </c>
      <c r="B1406" s="294" t="s">
        <v>2121</v>
      </c>
      <c r="C1406" s="298">
        <v>21.979706</v>
      </c>
      <c r="D1406" s="298">
        <v>21.979706</v>
      </c>
      <c r="E1406" s="298">
        <v>21.979706</v>
      </c>
      <c r="F1406" s="298">
        <v>21.801105</v>
      </c>
      <c r="G1406" s="298">
        <v>21.801105</v>
      </c>
      <c r="H1406" s="298">
        <v>21.801105</v>
      </c>
      <c r="I1406" s="298">
        <v>21.801105</v>
      </c>
      <c r="J1406" s="298">
        <v>21.801105</v>
      </c>
      <c r="K1406" s="298">
        <v>21.801105</v>
      </c>
      <c r="L1406" s="298">
        <v>21.801105</v>
      </c>
      <c r="M1406" s="298">
        <v>21.801105</v>
      </c>
      <c r="N1406" s="298">
        <v>21.801105</v>
      </c>
      <c r="O1406" s="298">
        <v>21.801105</v>
      </c>
      <c r="P1406" s="298">
        <v>21.801105</v>
      </c>
      <c r="Q1406" s="298">
        <v>21.801105</v>
      </c>
      <c r="R1406" s="298">
        <v>21.801105</v>
      </c>
      <c r="S1406" s="298">
        <v>21.801105</v>
      </c>
      <c r="T1406" s="298">
        <v>21.801105</v>
      </c>
      <c r="U1406" s="298">
        <v>21.801105</v>
      </c>
      <c r="V1406" s="298">
        <v>21.801105</v>
      </c>
      <c r="W1406" s="298">
        <v>21.801105</v>
      </c>
      <c r="X1406" s="298">
        <v>21.801105</v>
      </c>
      <c r="Y1406" s="298">
        <v>21.801105</v>
      </c>
      <c r="Z1406" s="298">
        <v>21.801105</v>
      </c>
      <c r="AA1406" s="298">
        <v>21.801105</v>
      </c>
      <c r="AB1406" s="298">
        <v>21.801105</v>
      </c>
      <c r="AC1406" s="298">
        <v>21.801105</v>
      </c>
      <c r="AD1406" s="298">
        <v>21.801105</v>
      </c>
      <c r="AE1406" s="298">
        <v>21.801105</v>
      </c>
      <c r="AF1406" s="298">
        <v>21.801105</v>
      </c>
      <c r="AG1406" s="298">
        <v>21.801105</v>
      </c>
      <c r="AH1406" s="296">
        <v>-2.72E-4</v>
      </c>
    </row>
    <row r="1407" spans="1:34" ht="15" customHeight="1" x14ac:dyDescent="0.25">
      <c r="A1407" s="213" t="s">
        <v>2142</v>
      </c>
      <c r="B1407" s="294" t="s">
        <v>2123</v>
      </c>
      <c r="C1407" s="298">
        <v>3.1476000000000002</v>
      </c>
      <c r="D1407" s="298">
        <v>3.1476000000000002</v>
      </c>
      <c r="E1407" s="298">
        <v>3.1476000000000002</v>
      </c>
      <c r="F1407" s="298">
        <v>3.1476000000000002</v>
      </c>
      <c r="G1407" s="298">
        <v>3.1476000000000002</v>
      </c>
      <c r="H1407" s="298">
        <v>3.1476000000000002</v>
      </c>
      <c r="I1407" s="298">
        <v>3.1476000000000002</v>
      </c>
      <c r="J1407" s="298">
        <v>3.1476000000000002</v>
      </c>
      <c r="K1407" s="298">
        <v>3.1476000000000002</v>
      </c>
      <c r="L1407" s="298">
        <v>3.1476000000000002</v>
      </c>
      <c r="M1407" s="298">
        <v>3.1476000000000002</v>
      </c>
      <c r="N1407" s="298">
        <v>3.1476000000000002</v>
      </c>
      <c r="O1407" s="298">
        <v>3.1476000000000002</v>
      </c>
      <c r="P1407" s="298">
        <v>3.1476000000000002</v>
      </c>
      <c r="Q1407" s="298">
        <v>3.1476000000000002</v>
      </c>
      <c r="R1407" s="298">
        <v>3.1476000000000002</v>
      </c>
      <c r="S1407" s="298">
        <v>3.1476000000000002</v>
      </c>
      <c r="T1407" s="298">
        <v>3.1476000000000002</v>
      </c>
      <c r="U1407" s="298">
        <v>3.1476000000000002</v>
      </c>
      <c r="V1407" s="298">
        <v>3.1476000000000002</v>
      </c>
      <c r="W1407" s="298">
        <v>3.1476000000000002</v>
      </c>
      <c r="X1407" s="298">
        <v>3.1476000000000002</v>
      </c>
      <c r="Y1407" s="298">
        <v>3.1476000000000002</v>
      </c>
      <c r="Z1407" s="298">
        <v>3.1476000000000002</v>
      </c>
      <c r="AA1407" s="298">
        <v>3.1476000000000002</v>
      </c>
      <c r="AB1407" s="298">
        <v>3.1476000000000002</v>
      </c>
      <c r="AC1407" s="298">
        <v>3.1476000000000002</v>
      </c>
      <c r="AD1407" s="298">
        <v>3.1476000000000002</v>
      </c>
      <c r="AE1407" s="298">
        <v>3.1476000000000002</v>
      </c>
      <c r="AF1407" s="298">
        <v>3.1476000000000002</v>
      </c>
      <c r="AG1407" s="298">
        <v>3.1476000000000002</v>
      </c>
      <c r="AH1407" s="296">
        <v>0</v>
      </c>
    </row>
    <row r="1408" spans="1:34" ht="15" customHeight="1" x14ac:dyDescent="0.25">
      <c r="A1408" s="213" t="s">
        <v>2143</v>
      </c>
      <c r="B1408" s="294" t="s">
        <v>2133</v>
      </c>
      <c r="C1408" s="298">
        <v>0.97719999999999996</v>
      </c>
      <c r="D1408" s="298">
        <v>0.97919999999999996</v>
      </c>
      <c r="E1408" s="298">
        <v>0.97919999999999996</v>
      </c>
      <c r="F1408" s="298">
        <v>0.97919999999999996</v>
      </c>
      <c r="G1408" s="298">
        <v>0.97919999999999996</v>
      </c>
      <c r="H1408" s="298">
        <v>0.97919999999999996</v>
      </c>
      <c r="I1408" s="298">
        <v>0.97919999999999996</v>
      </c>
      <c r="J1408" s="298">
        <v>0.97919999999999996</v>
      </c>
      <c r="K1408" s="298">
        <v>0.97919999999999996</v>
      </c>
      <c r="L1408" s="298">
        <v>0.97919999999999996</v>
      </c>
      <c r="M1408" s="298">
        <v>0.97919999999999996</v>
      </c>
      <c r="N1408" s="298">
        <v>0.97919999999999996</v>
      </c>
      <c r="O1408" s="298">
        <v>0.97919999999999996</v>
      </c>
      <c r="P1408" s="298">
        <v>0.97919999999999996</v>
      </c>
      <c r="Q1408" s="298">
        <v>0.97919999999999996</v>
      </c>
      <c r="R1408" s="298">
        <v>0.97919999999999996</v>
      </c>
      <c r="S1408" s="298">
        <v>0.97919999999999996</v>
      </c>
      <c r="T1408" s="298">
        <v>0.97919999999999996</v>
      </c>
      <c r="U1408" s="298">
        <v>0.97919999999999996</v>
      </c>
      <c r="V1408" s="298">
        <v>0.97919999999999996</v>
      </c>
      <c r="W1408" s="298">
        <v>0.97919999999999996</v>
      </c>
      <c r="X1408" s="298">
        <v>0.97919999999999996</v>
      </c>
      <c r="Y1408" s="298">
        <v>0.97919999999999996</v>
      </c>
      <c r="Z1408" s="298">
        <v>0.97919999999999996</v>
      </c>
      <c r="AA1408" s="298">
        <v>0.97919999999999996</v>
      </c>
      <c r="AB1408" s="298">
        <v>0.97919999999999996</v>
      </c>
      <c r="AC1408" s="298">
        <v>0.97919999999999996</v>
      </c>
      <c r="AD1408" s="298">
        <v>0.97919999999999996</v>
      </c>
      <c r="AE1408" s="298">
        <v>0.97919999999999996</v>
      </c>
      <c r="AF1408" s="298">
        <v>0.97919999999999996</v>
      </c>
      <c r="AG1408" s="298">
        <v>0.97919999999999996</v>
      </c>
      <c r="AH1408" s="296">
        <v>6.7999999999999999E-5</v>
      </c>
    </row>
    <row r="1409" spans="1:34" ht="15" customHeight="1" x14ac:dyDescent="0.2">
      <c r="A1409" s="213" t="s">
        <v>2144</v>
      </c>
      <c r="B1409" s="204" t="s">
        <v>1955</v>
      </c>
      <c r="C1409" s="300">
        <v>28.614205999999999</v>
      </c>
      <c r="D1409" s="300">
        <v>28.511206000000001</v>
      </c>
      <c r="E1409" s="300">
        <v>28.511206000000001</v>
      </c>
      <c r="F1409" s="300">
        <v>28.332605000000001</v>
      </c>
      <c r="G1409" s="300">
        <v>28.332605000000001</v>
      </c>
      <c r="H1409" s="300">
        <v>28.332605000000001</v>
      </c>
      <c r="I1409" s="300">
        <v>28.332605000000001</v>
      </c>
      <c r="J1409" s="300">
        <v>28.332605000000001</v>
      </c>
      <c r="K1409" s="300">
        <v>28.332605000000001</v>
      </c>
      <c r="L1409" s="300">
        <v>28.332605000000001</v>
      </c>
      <c r="M1409" s="300">
        <v>28.332605000000001</v>
      </c>
      <c r="N1409" s="300">
        <v>28.332605000000001</v>
      </c>
      <c r="O1409" s="300">
        <v>28.332605000000001</v>
      </c>
      <c r="P1409" s="300">
        <v>28.332605000000001</v>
      </c>
      <c r="Q1409" s="300">
        <v>28.332605000000001</v>
      </c>
      <c r="R1409" s="300">
        <v>28.332605000000001</v>
      </c>
      <c r="S1409" s="300">
        <v>28.332605000000001</v>
      </c>
      <c r="T1409" s="300">
        <v>28.332605000000001</v>
      </c>
      <c r="U1409" s="300">
        <v>28.332605000000001</v>
      </c>
      <c r="V1409" s="300">
        <v>28.332605000000001</v>
      </c>
      <c r="W1409" s="300">
        <v>28.332605000000001</v>
      </c>
      <c r="X1409" s="300">
        <v>28.332605000000001</v>
      </c>
      <c r="Y1409" s="300">
        <v>28.332605000000001</v>
      </c>
      <c r="Z1409" s="300">
        <v>28.332605000000001</v>
      </c>
      <c r="AA1409" s="300">
        <v>28.332605000000001</v>
      </c>
      <c r="AB1409" s="300">
        <v>28.332605000000001</v>
      </c>
      <c r="AC1409" s="300">
        <v>28.332605000000001</v>
      </c>
      <c r="AD1409" s="300">
        <v>28.332605000000001</v>
      </c>
      <c r="AE1409" s="300">
        <v>28.332605000000001</v>
      </c>
      <c r="AF1409" s="300">
        <v>28.332605000000001</v>
      </c>
      <c r="AG1409" s="300">
        <v>28.332605000000001</v>
      </c>
      <c r="AH1409" s="206">
        <v>-3.3E-4</v>
      </c>
    </row>
    <row r="1411" spans="1:34" ht="15" customHeight="1" x14ac:dyDescent="0.2">
      <c r="B1411" s="204" t="s">
        <v>2145</v>
      </c>
    </row>
    <row r="1412" spans="1:34" ht="15" customHeight="1" x14ac:dyDescent="0.25">
      <c r="A1412" s="213" t="s">
        <v>2146</v>
      </c>
      <c r="B1412" s="294" t="s">
        <v>1987</v>
      </c>
      <c r="C1412" s="298" t="s">
        <v>635</v>
      </c>
      <c r="D1412" s="298">
        <v>0</v>
      </c>
      <c r="E1412" s="298">
        <v>0</v>
      </c>
      <c r="F1412" s="298">
        <v>0</v>
      </c>
      <c r="G1412" s="298">
        <v>0</v>
      </c>
      <c r="H1412" s="298">
        <v>0</v>
      </c>
      <c r="I1412" s="298">
        <v>0</v>
      </c>
      <c r="J1412" s="298">
        <v>0</v>
      </c>
      <c r="K1412" s="298">
        <v>0</v>
      </c>
      <c r="L1412" s="298">
        <v>0</v>
      </c>
      <c r="M1412" s="298">
        <v>0</v>
      </c>
      <c r="N1412" s="298">
        <v>0</v>
      </c>
      <c r="O1412" s="298">
        <v>0</v>
      </c>
      <c r="P1412" s="298">
        <v>0</v>
      </c>
      <c r="Q1412" s="298">
        <v>0</v>
      </c>
      <c r="R1412" s="298">
        <v>0</v>
      </c>
      <c r="S1412" s="298">
        <v>0</v>
      </c>
      <c r="T1412" s="298">
        <v>0</v>
      </c>
      <c r="U1412" s="298">
        <v>0</v>
      </c>
      <c r="V1412" s="298">
        <v>0</v>
      </c>
      <c r="W1412" s="298">
        <v>0</v>
      </c>
      <c r="X1412" s="298">
        <v>0</v>
      </c>
      <c r="Y1412" s="298">
        <v>0</v>
      </c>
      <c r="Z1412" s="298">
        <v>0</v>
      </c>
      <c r="AA1412" s="298">
        <v>0</v>
      </c>
      <c r="AB1412" s="298">
        <v>0</v>
      </c>
      <c r="AC1412" s="298">
        <v>0</v>
      </c>
      <c r="AD1412" s="298">
        <v>0</v>
      </c>
      <c r="AE1412" s="298">
        <v>0</v>
      </c>
      <c r="AF1412" s="298">
        <v>0</v>
      </c>
      <c r="AG1412" s="298">
        <v>0</v>
      </c>
      <c r="AH1412" s="296" t="s">
        <v>635</v>
      </c>
    </row>
    <row r="1413" spans="1:34" ht="15" customHeight="1" x14ac:dyDescent="0.25">
      <c r="A1413" s="213" t="s">
        <v>2147</v>
      </c>
      <c r="B1413" s="294" t="s">
        <v>2140</v>
      </c>
      <c r="C1413" s="298" t="s">
        <v>635</v>
      </c>
      <c r="D1413" s="298">
        <v>0</v>
      </c>
      <c r="E1413" s="298">
        <v>0</v>
      </c>
      <c r="F1413" s="298">
        <v>0</v>
      </c>
      <c r="G1413" s="298">
        <v>0</v>
      </c>
      <c r="H1413" s="298">
        <v>0</v>
      </c>
      <c r="I1413" s="298">
        <v>0</v>
      </c>
      <c r="J1413" s="298">
        <v>0</v>
      </c>
      <c r="K1413" s="298">
        <v>0</v>
      </c>
      <c r="L1413" s="298">
        <v>0</v>
      </c>
      <c r="M1413" s="298">
        <v>0</v>
      </c>
      <c r="N1413" s="298">
        <v>0</v>
      </c>
      <c r="O1413" s="298">
        <v>0</v>
      </c>
      <c r="P1413" s="298">
        <v>0</v>
      </c>
      <c r="Q1413" s="298">
        <v>0</v>
      </c>
      <c r="R1413" s="298">
        <v>0</v>
      </c>
      <c r="S1413" s="298">
        <v>0</v>
      </c>
      <c r="T1413" s="298">
        <v>0</v>
      </c>
      <c r="U1413" s="298">
        <v>0</v>
      </c>
      <c r="V1413" s="298">
        <v>0</v>
      </c>
      <c r="W1413" s="298">
        <v>0</v>
      </c>
      <c r="X1413" s="298">
        <v>0</v>
      </c>
      <c r="Y1413" s="298">
        <v>0</v>
      </c>
      <c r="Z1413" s="298">
        <v>0</v>
      </c>
      <c r="AA1413" s="298">
        <v>0</v>
      </c>
      <c r="AB1413" s="298">
        <v>0</v>
      </c>
      <c r="AC1413" s="298">
        <v>0</v>
      </c>
      <c r="AD1413" s="298">
        <v>0</v>
      </c>
      <c r="AE1413" s="298">
        <v>0</v>
      </c>
      <c r="AF1413" s="298">
        <v>0</v>
      </c>
      <c r="AG1413" s="298">
        <v>0</v>
      </c>
      <c r="AH1413" s="296" t="s">
        <v>635</v>
      </c>
    </row>
    <row r="1414" spans="1:34" ht="15" customHeight="1" x14ac:dyDescent="0.25">
      <c r="A1414" s="213" t="s">
        <v>2148</v>
      </c>
      <c r="B1414" s="294" t="s">
        <v>2121</v>
      </c>
      <c r="C1414" s="298" t="s">
        <v>635</v>
      </c>
      <c r="D1414" s="298">
        <v>3.3792</v>
      </c>
      <c r="E1414" s="298">
        <v>17.000202000000002</v>
      </c>
      <c r="F1414" s="298">
        <v>17.000202000000002</v>
      </c>
      <c r="G1414" s="298">
        <v>17.000202000000002</v>
      </c>
      <c r="H1414" s="298">
        <v>17.000202000000002</v>
      </c>
      <c r="I1414" s="298">
        <v>17.000202000000002</v>
      </c>
      <c r="J1414" s="298">
        <v>17.000202000000002</v>
      </c>
      <c r="K1414" s="298">
        <v>17.000202000000002</v>
      </c>
      <c r="L1414" s="298">
        <v>17.000202000000002</v>
      </c>
      <c r="M1414" s="298">
        <v>17.000202000000002</v>
      </c>
      <c r="N1414" s="298">
        <v>17.000202000000002</v>
      </c>
      <c r="O1414" s="298">
        <v>17.000202000000002</v>
      </c>
      <c r="P1414" s="298">
        <v>17.000202000000002</v>
      </c>
      <c r="Q1414" s="298">
        <v>17.000202000000002</v>
      </c>
      <c r="R1414" s="298">
        <v>17.000202000000002</v>
      </c>
      <c r="S1414" s="298">
        <v>17.000202000000002</v>
      </c>
      <c r="T1414" s="298">
        <v>17.000202000000002</v>
      </c>
      <c r="U1414" s="298">
        <v>17.000202000000002</v>
      </c>
      <c r="V1414" s="298">
        <v>17.000202000000002</v>
      </c>
      <c r="W1414" s="298">
        <v>17.000202000000002</v>
      </c>
      <c r="X1414" s="298">
        <v>17.000202000000002</v>
      </c>
      <c r="Y1414" s="298">
        <v>17.000202000000002</v>
      </c>
      <c r="Z1414" s="298">
        <v>17.000202000000002</v>
      </c>
      <c r="AA1414" s="298">
        <v>17.000202000000002</v>
      </c>
      <c r="AB1414" s="298">
        <v>17.000202000000002</v>
      </c>
      <c r="AC1414" s="298">
        <v>17.000202000000002</v>
      </c>
      <c r="AD1414" s="298">
        <v>17.000202000000002</v>
      </c>
      <c r="AE1414" s="298">
        <v>17.000202000000002</v>
      </c>
      <c r="AF1414" s="298">
        <v>17.000202000000002</v>
      </c>
      <c r="AG1414" s="298">
        <v>17.000202000000002</v>
      </c>
      <c r="AH1414" s="296" t="s">
        <v>635</v>
      </c>
    </row>
    <row r="1415" spans="1:34" ht="15" customHeight="1" x14ac:dyDescent="0.25">
      <c r="A1415" s="213" t="s">
        <v>2149</v>
      </c>
      <c r="B1415" s="294" t="s">
        <v>2123</v>
      </c>
      <c r="C1415" s="298" t="s">
        <v>635</v>
      </c>
      <c r="D1415" s="298">
        <v>3.2778</v>
      </c>
      <c r="E1415" s="298">
        <v>4.028899</v>
      </c>
      <c r="F1415" s="298">
        <v>4.028899</v>
      </c>
      <c r="G1415" s="298">
        <v>4.5458990000000004</v>
      </c>
      <c r="H1415" s="298">
        <v>4.5458990000000004</v>
      </c>
      <c r="I1415" s="298">
        <v>4.5458990000000004</v>
      </c>
      <c r="J1415" s="298">
        <v>4.5458990000000004</v>
      </c>
      <c r="K1415" s="298">
        <v>4.5458990000000004</v>
      </c>
      <c r="L1415" s="298">
        <v>4.5458990000000004</v>
      </c>
      <c r="M1415" s="298">
        <v>4.5458990000000004</v>
      </c>
      <c r="N1415" s="298">
        <v>4.5458990000000004</v>
      </c>
      <c r="O1415" s="298">
        <v>4.5458990000000004</v>
      </c>
      <c r="P1415" s="298">
        <v>4.5458990000000004</v>
      </c>
      <c r="Q1415" s="298">
        <v>4.5458990000000004</v>
      </c>
      <c r="R1415" s="298">
        <v>4.5458990000000004</v>
      </c>
      <c r="S1415" s="298">
        <v>4.5458990000000004</v>
      </c>
      <c r="T1415" s="298">
        <v>4.5458990000000004</v>
      </c>
      <c r="U1415" s="298">
        <v>4.5458990000000004</v>
      </c>
      <c r="V1415" s="298">
        <v>4.5458990000000004</v>
      </c>
      <c r="W1415" s="298">
        <v>4.5458990000000004</v>
      </c>
      <c r="X1415" s="298">
        <v>4.5458990000000004</v>
      </c>
      <c r="Y1415" s="298">
        <v>4.5458990000000004</v>
      </c>
      <c r="Z1415" s="298">
        <v>4.5458990000000004</v>
      </c>
      <c r="AA1415" s="298">
        <v>4.5458990000000004</v>
      </c>
      <c r="AB1415" s="298">
        <v>4.5458990000000004</v>
      </c>
      <c r="AC1415" s="298">
        <v>4.5458990000000004</v>
      </c>
      <c r="AD1415" s="298">
        <v>4.5458990000000004</v>
      </c>
      <c r="AE1415" s="298">
        <v>4.5458990000000004</v>
      </c>
      <c r="AF1415" s="298">
        <v>4.5458990000000004</v>
      </c>
      <c r="AG1415" s="298">
        <v>4.5458990000000004</v>
      </c>
      <c r="AH1415" s="296" t="s">
        <v>635</v>
      </c>
    </row>
    <row r="1416" spans="1:34" ht="15" customHeight="1" x14ac:dyDescent="0.25">
      <c r="A1416" s="213" t="s">
        <v>2150</v>
      </c>
      <c r="B1416" s="294" t="s">
        <v>1993</v>
      </c>
      <c r="C1416" s="298" t="s">
        <v>635</v>
      </c>
      <c r="D1416" s="298">
        <v>1.1000000000000001</v>
      </c>
      <c r="E1416" s="298">
        <v>2.2000000000000002</v>
      </c>
      <c r="F1416" s="298">
        <v>2.2000000000000002</v>
      </c>
      <c r="G1416" s="298">
        <v>2.2000000000000002</v>
      </c>
      <c r="H1416" s="298">
        <v>2.2000000000000002</v>
      </c>
      <c r="I1416" s="298">
        <v>2.2000000000000002</v>
      </c>
      <c r="J1416" s="298">
        <v>2.2000000000000002</v>
      </c>
      <c r="K1416" s="298">
        <v>2.2000000000000002</v>
      </c>
      <c r="L1416" s="298">
        <v>2.2000000000000002</v>
      </c>
      <c r="M1416" s="298">
        <v>2.2000000000000002</v>
      </c>
      <c r="N1416" s="298">
        <v>2.2000000000000002</v>
      </c>
      <c r="O1416" s="298">
        <v>2.2000000000000002</v>
      </c>
      <c r="P1416" s="298">
        <v>2.2000000000000002</v>
      </c>
      <c r="Q1416" s="298">
        <v>2.2000000000000002</v>
      </c>
      <c r="R1416" s="298">
        <v>2.2000000000000002</v>
      </c>
      <c r="S1416" s="298">
        <v>2.2000000000000002</v>
      </c>
      <c r="T1416" s="298">
        <v>2.2000000000000002</v>
      </c>
      <c r="U1416" s="298">
        <v>2.2000000000000002</v>
      </c>
      <c r="V1416" s="298">
        <v>2.2000000000000002</v>
      </c>
      <c r="W1416" s="298">
        <v>2.2000000000000002</v>
      </c>
      <c r="X1416" s="298">
        <v>2.2000000000000002</v>
      </c>
      <c r="Y1416" s="298">
        <v>2.2000000000000002</v>
      </c>
      <c r="Z1416" s="298">
        <v>2.2000000000000002</v>
      </c>
      <c r="AA1416" s="298">
        <v>2.2000000000000002</v>
      </c>
      <c r="AB1416" s="298">
        <v>2.2000000000000002</v>
      </c>
      <c r="AC1416" s="298">
        <v>2.2000000000000002</v>
      </c>
      <c r="AD1416" s="298">
        <v>2.2000000000000002</v>
      </c>
      <c r="AE1416" s="298">
        <v>2.2000000000000002</v>
      </c>
      <c r="AF1416" s="298">
        <v>2.2000000000000002</v>
      </c>
      <c r="AG1416" s="298">
        <v>2.2000000000000002</v>
      </c>
      <c r="AH1416" s="296" t="s">
        <v>635</v>
      </c>
    </row>
    <row r="1417" spans="1:34" ht="15" customHeight="1" x14ac:dyDescent="0.25">
      <c r="A1417" s="213" t="s">
        <v>2151</v>
      </c>
      <c r="B1417" s="294" t="s">
        <v>2127</v>
      </c>
      <c r="C1417" s="298" t="s">
        <v>635</v>
      </c>
      <c r="D1417" s="298">
        <v>0</v>
      </c>
      <c r="E1417" s="298">
        <v>0</v>
      </c>
      <c r="F1417" s="298">
        <v>0</v>
      </c>
      <c r="G1417" s="298">
        <v>0</v>
      </c>
      <c r="H1417" s="298">
        <v>0</v>
      </c>
      <c r="I1417" s="298">
        <v>0</v>
      </c>
      <c r="J1417" s="298">
        <v>0</v>
      </c>
      <c r="K1417" s="298">
        <v>0</v>
      </c>
      <c r="L1417" s="298">
        <v>0</v>
      </c>
      <c r="M1417" s="298">
        <v>0</v>
      </c>
      <c r="N1417" s="298">
        <v>0</v>
      </c>
      <c r="O1417" s="298">
        <v>0</v>
      </c>
      <c r="P1417" s="298">
        <v>0</v>
      </c>
      <c r="Q1417" s="298">
        <v>0</v>
      </c>
      <c r="R1417" s="298">
        <v>0</v>
      </c>
      <c r="S1417" s="298">
        <v>0</v>
      </c>
      <c r="T1417" s="298">
        <v>0</v>
      </c>
      <c r="U1417" s="298">
        <v>0</v>
      </c>
      <c r="V1417" s="298">
        <v>0</v>
      </c>
      <c r="W1417" s="298">
        <v>0</v>
      </c>
      <c r="X1417" s="298">
        <v>0</v>
      </c>
      <c r="Y1417" s="298">
        <v>0</v>
      </c>
      <c r="Z1417" s="298">
        <v>0</v>
      </c>
      <c r="AA1417" s="298">
        <v>0</v>
      </c>
      <c r="AB1417" s="298">
        <v>0</v>
      </c>
      <c r="AC1417" s="298">
        <v>0</v>
      </c>
      <c r="AD1417" s="298">
        <v>0</v>
      </c>
      <c r="AE1417" s="298">
        <v>0</v>
      </c>
      <c r="AF1417" s="298">
        <v>0</v>
      </c>
      <c r="AG1417" s="298">
        <v>0</v>
      </c>
      <c r="AH1417" s="296" t="s">
        <v>635</v>
      </c>
    </row>
    <row r="1418" spans="1:34" ht="15" customHeight="1" x14ac:dyDescent="0.25">
      <c r="A1418" s="213" t="s">
        <v>2152</v>
      </c>
      <c r="B1418" s="294" t="s">
        <v>2129</v>
      </c>
      <c r="C1418" s="298" t="s">
        <v>635</v>
      </c>
      <c r="D1418" s="298">
        <v>3.7745000000000002</v>
      </c>
      <c r="E1418" s="298">
        <v>5.4727990000000002</v>
      </c>
      <c r="F1418" s="298">
        <v>6.3837999999999999</v>
      </c>
      <c r="G1418" s="298">
        <v>7.0148000000000001</v>
      </c>
      <c r="H1418" s="298">
        <v>7.4577999999999998</v>
      </c>
      <c r="I1418" s="298">
        <v>7.8688000000000002</v>
      </c>
      <c r="J1418" s="298">
        <v>8.2797999999999998</v>
      </c>
      <c r="K1418" s="298">
        <v>8.6907999999999994</v>
      </c>
      <c r="L1418" s="298">
        <v>9.1017989999999998</v>
      </c>
      <c r="M1418" s="298">
        <v>9.5128000000000004</v>
      </c>
      <c r="N1418" s="298">
        <v>9.5128000000000004</v>
      </c>
      <c r="O1418" s="298">
        <v>9.5128000000000004</v>
      </c>
      <c r="P1418" s="298">
        <v>9.5128000000000004</v>
      </c>
      <c r="Q1418" s="298">
        <v>9.5128000000000004</v>
      </c>
      <c r="R1418" s="298">
        <v>12.462799</v>
      </c>
      <c r="S1418" s="298">
        <v>12.462799</v>
      </c>
      <c r="T1418" s="298">
        <v>12.462799</v>
      </c>
      <c r="U1418" s="298">
        <v>12.462799</v>
      </c>
      <c r="V1418" s="298">
        <v>12.462799</v>
      </c>
      <c r="W1418" s="298">
        <v>12.7128</v>
      </c>
      <c r="X1418" s="298">
        <v>12.7128</v>
      </c>
      <c r="Y1418" s="298">
        <v>12.7128</v>
      </c>
      <c r="Z1418" s="298">
        <v>12.7128</v>
      </c>
      <c r="AA1418" s="298">
        <v>12.7128</v>
      </c>
      <c r="AB1418" s="298">
        <v>12.9628</v>
      </c>
      <c r="AC1418" s="298">
        <v>12.9628</v>
      </c>
      <c r="AD1418" s="298">
        <v>12.9628</v>
      </c>
      <c r="AE1418" s="298">
        <v>12.9628</v>
      </c>
      <c r="AF1418" s="298">
        <v>12.9628</v>
      </c>
      <c r="AG1418" s="298">
        <v>12.9628</v>
      </c>
      <c r="AH1418" s="296" t="s">
        <v>635</v>
      </c>
    </row>
    <row r="1419" spans="1:34" ht="15" customHeight="1" x14ac:dyDescent="0.25">
      <c r="A1419" s="213" t="s">
        <v>2153</v>
      </c>
      <c r="B1419" s="294" t="s">
        <v>2131</v>
      </c>
      <c r="C1419" s="298" t="s">
        <v>635</v>
      </c>
      <c r="D1419" s="298">
        <v>2.6100000000000002E-2</v>
      </c>
      <c r="E1419" s="298">
        <v>2.6100000000000002E-2</v>
      </c>
      <c r="F1419" s="298">
        <v>2.6100000000000002E-2</v>
      </c>
      <c r="G1419" s="298">
        <v>2.6100000000000002E-2</v>
      </c>
      <c r="H1419" s="298">
        <v>2.6100000000000002E-2</v>
      </c>
      <c r="I1419" s="298">
        <v>2.6100000000000002E-2</v>
      </c>
      <c r="J1419" s="298">
        <v>2.6100000000000002E-2</v>
      </c>
      <c r="K1419" s="298">
        <v>2.6100000000000002E-2</v>
      </c>
      <c r="L1419" s="298">
        <v>2.6100000000000002E-2</v>
      </c>
      <c r="M1419" s="298">
        <v>2.6100000000000002E-2</v>
      </c>
      <c r="N1419" s="298">
        <v>2.6100000000000002E-2</v>
      </c>
      <c r="O1419" s="298">
        <v>2.6100000000000002E-2</v>
      </c>
      <c r="P1419" s="298">
        <v>2.6100000000000002E-2</v>
      </c>
      <c r="Q1419" s="298">
        <v>2.6100000000000002E-2</v>
      </c>
      <c r="R1419" s="298">
        <v>2.6100000000000002E-2</v>
      </c>
      <c r="S1419" s="298">
        <v>2.6100000000000002E-2</v>
      </c>
      <c r="T1419" s="298">
        <v>2.6100000000000002E-2</v>
      </c>
      <c r="U1419" s="298">
        <v>2.6100000000000002E-2</v>
      </c>
      <c r="V1419" s="298">
        <v>2.6100000000000002E-2</v>
      </c>
      <c r="W1419" s="298">
        <v>2.6100000000000002E-2</v>
      </c>
      <c r="X1419" s="298">
        <v>2.6100000000000002E-2</v>
      </c>
      <c r="Y1419" s="298">
        <v>2.6100000000000002E-2</v>
      </c>
      <c r="Z1419" s="298">
        <v>2.6100000000000002E-2</v>
      </c>
      <c r="AA1419" s="298">
        <v>2.6100000000000002E-2</v>
      </c>
      <c r="AB1419" s="298">
        <v>2.6100000000000002E-2</v>
      </c>
      <c r="AC1419" s="298">
        <v>2.6100000000000002E-2</v>
      </c>
      <c r="AD1419" s="298">
        <v>2.6100000000000002E-2</v>
      </c>
      <c r="AE1419" s="298">
        <v>2.6100000000000002E-2</v>
      </c>
      <c r="AF1419" s="298">
        <v>2.6100000000000002E-2</v>
      </c>
      <c r="AG1419" s="298">
        <v>2.6100000000000002E-2</v>
      </c>
      <c r="AH1419" s="296" t="s">
        <v>635</v>
      </c>
    </row>
    <row r="1420" spans="1:34" ht="15" customHeight="1" x14ac:dyDescent="0.25">
      <c r="A1420" s="213" t="s">
        <v>2154</v>
      </c>
      <c r="B1420" s="294" t="s">
        <v>2133</v>
      </c>
      <c r="C1420" s="298" t="s">
        <v>635</v>
      </c>
      <c r="D1420" s="298">
        <v>19.650895999999999</v>
      </c>
      <c r="E1420" s="298">
        <v>29.922706999999999</v>
      </c>
      <c r="F1420" s="298">
        <v>32.861702000000001</v>
      </c>
      <c r="G1420" s="298">
        <v>33.421703000000001</v>
      </c>
      <c r="H1420" s="298">
        <v>33.421703000000001</v>
      </c>
      <c r="I1420" s="298">
        <v>33.421703000000001</v>
      </c>
      <c r="J1420" s="298">
        <v>33.421703000000001</v>
      </c>
      <c r="K1420" s="298">
        <v>35.421706999999998</v>
      </c>
      <c r="L1420" s="298">
        <v>35.421706999999998</v>
      </c>
      <c r="M1420" s="298">
        <v>42.521709000000001</v>
      </c>
      <c r="N1420" s="298">
        <v>42.521709000000001</v>
      </c>
      <c r="O1420" s="298">
        <v>42.521709000000001</v>
      </c>
      <c r="P1420" s="298">
        <v>42.521709000000001</v>
      </c>
      <c r="Q1420" s="298">
        <v>47.721705999999998</v>
      </c>
      <c r="R1420" s="298">
        <v>55.921703000000001</v>
      </c>
      <c r="S1420" s="298">
        <v>55.921703000000001</v>
      </c>
      <c r="T1420" s="298">
        <v>55.921703000000001</v>
      </c>
      <c r="U1420" s="298">
        <v>55.921703000000001</v>
      </c>
      <c r="V1420" s="298">
        <v>55.921703000000001</v>
      </c>
      <c r="W1420" s="298">
        <v>55.921703000000001</v>
      </c>
      <c r="X1420" s="298">
        <v>55.921703000000001</v>
      </c>
      <c r="Y1420" s="298">
        <v>55.921703000000001</v>
      </c>
      <c r="Z1420" s="298">
        <v>55.921703000000001</v>
      </c>
      <c r="AA1420" s="298">
        <v>55.921703000000001</v>
      </c>
      <c r="AB1420" s="298">
        <v>55.921703000000001</v>
      </c>
      <c r="AC1420" s="298">
        <v>55.921703000000001</v>
      </c>
      <c r="AD1420" s="298">
        <v>55.921703000000001</v>
      </c>
      <c r="AE1420" s="298">
        <v>55.921703000000001</v>
      </c>
      <c r="AF1420" s="298">
        <v>55.921703000000001</v>
      </c>
      <c r="AG1420" s="298">
        <v>55.921703000000001</v>
      </c>
      <c r="AH1420" s="296" t="s">
        <v>635</v>
      </c>
    </row>
    <row r="1421" spans="1:34" ht="15" customHeight="1" x14ac:dyDescent="0.25">
      <c r="A1421" s="213" t="s">
        <v>2155</v>
      </c>
      <c r="B1421" s="294" t="s">
        <v>2156</v>
      </c>
      <c r="C1421" s="298" t="s">
        <v>635</v>
      </c>
      <c r="D1421" s="298">
        <v>0</v>
      </c>
      <c r="E1421" s="298">
        <v>0</v>
      </c>
      <c r="F1421" s="298">
        <v>0</v>
      </c>
      <c r="G1421" s="298">
        <v>0</v>
      </c>
      <c r="H1421" s="298">
        <v>0</v>
      </c>
      <c r="I1421" s="298">
        <v>0</v>
      </c>
      <c r="J1421" s="298">
        <v>0</v>
      </c>
      <c r="K1421" s="298">
        <v>0</v>
      </c>
      <c r="L1421" s="298">
        <v>0</v>
      </c>
      <c r="M1421" s="298">
        <v>0</v>
      </c>
      <c r="N1421" s="298">
        <v>0</v>
      </c>
      <c r="O1421" s="298">
        <v>0</v>
      </c>
      <c r="P1421" s="298">
        <v>0</v>
      </c>
      <c r="Q1421" s="298">
        <v>0</v>
      </c>
      <c r="R1421" s="298">
        <v>0</v>
      </c>
      <c r="S1421" s="298">
        <v>0</v>
      </c>
      <c r="T1421" s="298">
        <v>0</v>
      </c>
      <c r="U1421" s="298">
        <v>0</v>
      </c>
      <c r="V1421" s="298">
        <v>0</v>
      </c>
      <c r="W1421" s="298">
        <v>0</v>
      </c>
      <c r="X1421" s="298">
        <v>0</v>
      </c>
      <c r="Y1421" s="298">
        <v>0</v>
      </c>
      <c r="Z1421" s="298">
        <v>0</v>
      </c>
      <c r="AA1421" s="298">
        <v>0</v>
      </c>
      <c r="AB1421" s="298">
        <v>0</v>
      </c>
      <c r="AC1421" s="298">
        <v>0</v>
      </c>
      <c r="AD1421" s="298">
        <v>0</v>
      </c>
      <c r="AE1421" s="298">
        <v>0</v>
      </c>
      <c r="AF1421" s="298">
        <v>0</v>
      </c>
      <c r="AG1421" s="298">
        <v>0</v>
      </c>
      <c r="AH1421" s="296" t="s">
        <v>635</v>
      </c>
    </row>
    <row r="1422" spans="1:34" ht="15" customHeight="1" x14ac:dyDescent="0.2">
      <c r="A1422" s="213" t="s">
        <v>2157</v>
      </c>
      <c r="B1422" s="204" t="s">
        <v>1955</v>
      </c>
      <c r="C1422" s="300" t="s">
        <v>635</v>
      </c>
      <c r="D1422" s="300">
        <v>31.208511000000001</v>
      </c>
      <c r="E1422" s="300">
        <v>58.650719000000002</v>
      </c>
      <c r="F1422" s="300">
        <v>62.500725000000003</v>
      </c>
      <c r="G1422" s="300">
        <v>64.208716999999993</v>
      </c>
      <c r="H1422" s="300">
        <v>64.651718000000002</v>
      </c>
      <c r="I1422" s="300">
        <v>65.062720999999996</v>
      </c>
      <c r="J1422" s="300">
        <v>65.473724000000004</v>
      </c>
      <c r="K1422" s="300">
        <v>67.884720000000002</v>
      </c>
      <c r="L1422" s="300">
        <v>68.295722999999995</v>
      </c>
      <c r="M1422" s="300">
        <v>75.806725</v>
      </c>
      <c r="N1422" s="300">
        <v>75.806725</v>
      </c>
      <c r="O1422" s="300">
        <v>75.806725</v>
      </c>
      <c r="P1422" s="300">
        <v>75.806725</v>
      </c>
      <c r="Q1422" s="300">
        <v>81.006729000000007</v>
      </c>
      <c r="R1422" s="300">
        <v>92.156730999999994</v>
      </c>
      <c r="S1422" s="300">
        <v>92.156730999999994</v>
      </c>
      <c r="T1422" s="300">
        <v>92.156730999999994</v>
      </c>
      <c r="U1422" s="300">
        <v>92.156730999999994</v>
      </c>
      <c r="V1422" s="300">
        <v>92.156730999999994</v>
      </c>
      <c r="W1422" s="300">
        <v>92.406730999999994</v>
      </c>
      <c r="X1422" s="300">
        <v>92.406730999999994</v>
      </c>
      <c r="Y1422" s="300">
        <v>92.406730999999994</v>
      </c>
      <c r="Z1422" s="300">
        <v>92.406730999999994</v>
      </c>
      <c r="AA1422" s="300">
        <v>92.406730999999994</v>
      </c>
      <c r="AB1422" s="300">
        <v>92.656730999999994</v>
      </c>
      <c r="AC1422" s="300">
        <v>92.656730999999994</v>
      </c>
      <c r="AD1422" s="300">
        <v>92.656730999999994</v>
      </c>
      <c r="AE1422" s="300">
        <v>92.656730999999994</v>
      </c>
      <c r="AF1422" s="300">
        <v>92.656730999999994</v>
      </c>
      <c r="AG1422" s="300">
        <v>92.656730999999994</v>
      </c>
      <c r="AH1422" s="206" t="s">
        <v>635</v>
      </c>
    </row>
    <row r="1423" spans="1:34" ht="15" customHeight="1" x14ac:dyDescent="0.2">
      <c r="B1423" s="204" t="s">
        <v>2158</v>
      </c>
    </row>
    <row r="1424" spans="1:34" ht="15" customHeight="1" x14ac:dyDescent="0.25">
      <c r="A1424" s="213" t="s">
        <v>2159</v>
      </c>
      <c r="B1424" s="294" t="s">
        <v>1987</v>
      </c>
      <c r="C1424" s="298" t="s">
        <v>635</v>
      </c>
      <c r="D1424" s="298">
        <v>0</v>
      </c>
      <c r="E1424" s="298">
        <v>0</v>
      </c>
      <c r="F1424" s="298">
        <v>0</v>
      </c>
      <c r="G1424" s="298">
        <v>0</v>
      </c>
      <c r="H1424" s="298">
        <v>0</v>
      </c>
      <c r="I1424" s="298">
        <v>0</v>
      </c>
      <c r="J1424" s="298">
        <v>0</v>
      </c>
      <c r="K1424" s="298">
        <v>0</v>
      </c>
      <c r="L1424" s="298">
        <v>0</v>
      </c>
      <c r="M1424" s="298">
        <v>0</v>
      </c>
      <c r="N1424" s="298">
        <v>0</v>
      </c>
      <c r="O1424" s="298">
        <v>0</v>
      </c>
      <c r="P1424" s="298">
        <v>0</v>
      </c>
      <c r="Q1424" s="298">
        <v>0</v>
      </c>
      <c r="R1424" s="298">
        <v>0</v>
      </c>
      <c r="S1424" s="298">
        <v>0</v>
      </c>
      <c r="T1424" s="298">
        <v>0</v>
      </c>
      <c r="U1424" s="298">
        <v>0</v>
      </c>
      <c r="V1424" s="298">
        <v>0</v>
      </c>
      <c r="W1424" s="298">
        <v>0</v>
      </c>
      <c r="X1424" s="298">
        <v>0</v>
      </c>
      <c r="Y1424" s="298">
        <v>0</v>
      </c>
      <c r="Z1424" s="298">
        <v>0</v>
      </c>
      <c r="AA1424" s="298">
        <v>0</v>
      </c>
      <c r="AB1424" s="298">
        <v>0</v>
      </c>
      <c r="AC1424" s="298">
        <v>0</v>
      </c>
      <c r="AD1424" s="298">
        <v>0</v>
      </c>
      <c r="AE1424" s="298">
        <v>0</v>
      </c>
      <c r="AF1424" s="298">
        <v>0</v>
      </c>
      <c r="AG1424" s="298">
        <v>0</v>
      </c>
      <c r="AH1424" s="296" t="s">
        <v>635</v>
      </c>
    </row>
    <row r="1425" spans="1:34" ht="15" customHeight="1" x14ac:dyDescent="0.25">
      <c r="A1425" s="213" t="s">
        <v>2160</v>
      </c>
      <c r="B1425" s="294" t="s">
        <v>2140</v>
      </c>
      <c r="C1425" s="298" t="s">
        <v>635</v>
      </c>
      <c r="D1425" s="298">
        <v>0</v>
      </c>
      <c r="E1425" s="298">
        <v>0</v>
      </c>
      <c r="F1425" s="298">
        <v>0</v>
      </c>
      <c r="G1425" s="298">
        <v>0</v>
      </c>
      <c r="H1425" s="298">
        <v>0</v>
      </c>
      <c r="I1425" s="298">
        <v>0</v>
      </c>
      <c r="J1425" s="298">
        <v>0</v>
      </c>
      <c r="K1425" s="298">
        <v>0</v>
      </c>
      <c r="L1425" s="298">
        <v>0</v>
      </c>
      <c r="M1425" s="298">
        <v>0</v>
      </c>
      <c r="N1425" s="298">
        <v>0</v>
      </c>
      <c r="O1425" s="298">
        <v>0</v>
      </c>
      <c r="P1425" s="298">
        <v>0</v>
      </c>
      <c r="Q1425" s="298">
        <v>0</v>
      </c>
      <c r="R1425" s="298">
        <v>0</v>
      </c>
      <c r="S1425" s="298">
        <v>0</v>
      </c>
      <c r="T1425" s="298">
        <v>0</v>
      </c>
      <c r="U1425" s="298">
        <v>0</v>
      </c>
      <c r="V1425" s="298">
        <v>0</v>
      </c>
      <c r="W1425" s="298">
        <v>0</v>
      </c>
      <c r="X1425" s="298">
        <v>0</v>
      </c>
      <c r="Y1425" s="298">
        <v>0</v>
      </c>
      <c r="Z1425" s="298">
        <v>0</v>
      </c>
      <c r="AA1425" s="298">
        <v>0</v>
      </c>
      <c r="AB1425" s="298">
        <v>0</v>
      </c>
      <c r="AC1425" s="298">
        <v>0</v>
      </c>
      <c r="AD1425" s="298">
        <v>0</v>
      </c>
      <c r="AE1425" s="298">
        <v>0</v>
      </c>
      <c r="AF1425" s="298">
        <v>0</v>
      </c>
      <c r="AG1425" s="298">
        <v>0</v>
      </c>
      <c r="AH1425" s="296" t="s">
        <v>635</v>
      </c>
    </row>
    <row r="1426" spans="1:34" ht="15" customHeight="1" x14ac:dyDescent="0.25">
      <c r="A1426" s="213" t="s">
        <v>2161</v>
      </c>
      <c r="B1426" s="294" t="s">
        <v>2121</v>
      </c>
      <c r="C1426" s="298" t="s">
        <v>635</v>
      </c>
      <c r="D1426" s="298">
        <v>0</v>
      </c>
      <c r="E1426" s="298">
        <v>0</v>
      </c>
      <c r="F1426" s="298">
        <v>4.7783689999999996</v>
      </c>
      <c r="G1426" s="298">
        <v>9.9741850000000003</v>
      </c>
      <c r="H1426" s="298">
        <v>25.503813000000001</v>
      </c>
      <c r="I1426" s="298">
        <v>38.098407999999999</v>
      </c>
      <c r="J1426" s="298">
        <v>44.278255000000001</v>
      </c>
      <c r="K1426" s="298">
        <v>47.690711999999998</v>
      </c>
      <c r="L1426" s="298">
        <v>50.652248</v>
      </c>
      <c r="M1426" s="298">
        <v>52.374729000000002</v>
      </c>
      <c r="N1426" s="298">
        <v>58.263317000000001</v>
      </c>
      <c r="O1426" s="298">
        <v>62.824821</v>
      </c>
      <c r="P1426" s="298">
        <v>66.291038999999998</v>
      </c>
      <c r="Q1426" s="298">
        <v>70.151664999999994</v>
      </c>
      <c r="R1426" s="298">
        <v>74.396393000000003</v>
      </c>
      <c r="S1426" s="298">
        <v>77.610198999999994</v>
      </c>
      <c r="T1426" s="298">
        <v>81.747519999999994</v>
      </c>
      <c r="U1426" s="298">
        <v>86.36985</v>
      </c>
      <c r="V1426" s="298">
        <v>89.338241999999994</v>
      </c>
      <c r="W1426" s="298">
        <v>94.662200999999996</v>
      </c>
      <c r="X1426" s="298">
        <v>98.141075000000001</v>
      </c>
      <c r="Y1426" s="298">
        <v>101.032364</v>
      </c>
      <c r="Z1426" s="298">
        <v>106.83796700000001</v>
      </c>
      <c r="AA1426" s="298">
        <v>111.278648</v>
      </c>
      <c r="AB1426" s="298">
        <v>116.40696</v>
      </c>
      <c r="AC1426" s="298">
        <v>119.975937</v>
      </c>
      <c r="AD1426" s="298">
        <v>124.563126</v>
      </c>
      <c r="AE1426" s="298">
        <v>130.298599</v>
      </c>
      <c r="AF1426" s="298">
        <v>138.04283100000001</v>
      </c>
      <c r="AG1426" s="298">
        <v>144.21376000000001</v>
      </c>
      <c r="AH1426" s="296" t="s">
        <v>635</v>
      </c>
    </row>
    <row r="1427" spans="1:34" ht="15" customHeight="1" x14ac:dyDescent="0.25">
      <c r="A1427" s="213" t="s">
        <v>2162</v>
      </c>
      <c r="B1427" s="294" t="s">
        <v>2123</v>
      </c>
      <c r="C1427" s="298" t="s">
        <v>635</v>
      </c>
      <c r="D1427" s="298">
        <v>8.1363260000000004</v>
      </c>
      <c r="E1427" s="298">
        <v>13.524452999999999</v>
      </c>
      <c r="F1427" s="298">
        <v>20.012014000000001</v>
      </c>
      <c r="G1427" s="298">
        <v>24.349312000000001</v>
      </c>
      <c r="H1427" s="298">
        <v>36.476818000000002</v>
      </c>
      <c r="I1427" s="298">
        <v>41.509998000000003</v>
      </c>
      <c r="J1427" s="298">
        <v>46.790989000000003</v>
      </c>
      <c r="K1427" s="298">
        <v>49.911625000000001</v>
      </c>
      <c r="L1427" s="298">
        <v>52.921722000000003</v>
      </c>
      <c r="M1427" s="298">
        <v>55.511901999999999</v>
      </c>
      <c r="N1427" s="298">
        <v>59.257129999999997</v>
      </c>
      <c r="O1427" s="298">
        <v>61.643073999999999</v>
      </c>
      <c r="P1427" s="298">
        <v>64.580680999999998</v>
      </c>
      <c r="Q1427" s="298">
        <v>69.349411000000003</v>
      </c>
      <c r="R1427" s="298">
        <v>73.919990999999996</v>
      </c>
      <c r="S1427" s="298">
        <v>78.252426</v>
      </c>
      <c r="T1427" s="298">
        <v>83.679985000000002</v>
      </c>
      <c r="U1427" s="298">
        <v>87.719711000000004</v>
      </c>
      <c r="V1427" s="298">
        <v>94.164908999999994</v>
      </c>
      <c r="W1427" s="298">
        <v>97.728560999999999</v>
      </c>
      <c r="X1427" s="298">
        <v>102.30671700000001</v>
      </c>
      <c r="Y1427" s="298">
        <v>109.557579</v>
      </c>
      <c r="Z1427" s="298">
        <v>118.620705</v>
      </c>
      <c r="AA1427" s="298">
        <v>124.103233</v>
      </c>
      <c r="AB1427" s="298">
        <v>130.33656300000001</v>
      </c>
      <c r="AC1427" s="298">
        <v>135.49025</v>
      </c>
      <c r="AD1427" s="298">
        <v>141.79745500000001</v>
      </c>
      <c r="AE1427" s="298">
        <v>150.871094</v>
      </c>
      <c r="AF1427" s="298">
        <v>156.79119900000001</v>
      </c>
      <c r="AG1427" s="298">
        <v>163.189941</v>
      </c>
      <c r="AH1427" s="296" t="s">
        <v>635</v>
      </c>
    </row>
    <row r="1428" spans="1:34" ht="15" customHeight="1" x14ac:dyDescent="0.25">
      <c r="A1428" s="213" t="s">
        <v>2163</v>
      </c>
      <c r="B1428" s="294" t="s">
        <v>1993</v>
      </c>
      <c r="C1428" s="298" t="s">
        <v>635</v>
      </c>
      <c r="D1428" s="298">
        <v>0</v>
      </c>
      <c r="E1428" s="298">
        <v>0</v>
      </c>
      <c r="F1428" s="298">
        <v>0</v>
      </c>
      <c r="G1428" s="298">
        <v>0</v>
      </c>
      <c r="H1428" s="298">
        <v>0</v>
      </c>
      <c r="I1428" s="298">
        <v>0</v>
      </c>
      <c r="J1428" s="298">
        <v>0</v>
      </c>
      <c r="K1428" s="298">
        <v>0</v>
      </c>
      <c r="L1428" s="298">
        <v>0</v>
      </c>
      <c r="M1428" s="298">
        <v>0</v>
      </c>
      <c r="N1428" s="298">
        <v>0</v>
      </c>
      <c r="O1428" s="298">
        <v>0</v>
      </c>
      <c r="P1428" s="298">
        <v>0</v>
      </c>
      <c r="Q1428" s="298">
        <v>0</v>
      </c>
      <c r="R1428" s="298">
        <v>0</v>
      </c>
      <c r="S1428" s="298">
        <v>0</v>
      </c>
      <c r="T1428" s="298">
        <v>0</v>
      </c>
      <c r="U1428" s="298">
        <v>0</v>
      </c>
      <c r="V1428" s="298">
        <v>0</v>
      </c>
      <c r="W1428" s="298">
        <v>0</v>
      </c>
      <c r="X1428" s="298">
        <v>0</v>
      </c>
      <c r="Y1428" s="298">
        <v>0</v>
      </c>
      <c r="Z1428" s="298">
        <v>0</v>
      </c>
      <c r="AA1428" s="298">
        <v>0</v>
      </c>
      <c r="AB1428" s="298">
        <v>0</v>
      </c>
      <c r="AC1428" s="298">
        <v>0</v>
      </c>
      <c r="AD1428" s="298">
        <v>0</v>
      </c>
      <c r="AE1428" s="298">
        <v>0</v>
      </c>
      <c r="AF1428" s="298">
        <v>0</v>
      </c>
      <c r="AG1428" s="298">
        <v>0</v>
      </c>
      <c r="AH1428" s="296" t="s">
        <v>635</v>
      </c>
    </row>
    <row r="1429" spans="1:34" ht="15" customHeight="1" x14ac:dyDescent="0.25">
      <c r="A1429" s="213" t="s">
        <v>2164</v>
      </c>
      <c r="B1429" s="294" t="s">
        <v>2127</v>
      </c>
      <c r="C1429" s="298" t="s">
        <v>635</v>
      </c>
      <c r="D1429" s="298">
        <v>0</v>
      </c>
      <c r="E1429" s="298">
        <v>0</v>
      </c>
      <c r="F1429" s="298">
        <v>0</v>
      </c>
      <c r="G1429" s="298">
        <v>0</v>
      </c>
      <c r="H1429" s="298">
        <v>0</v>
      </c>
      <c r="I1429" s="298">
        <v>0</v>
      </c>
      <c r="J1429" s="298">
        <v>0</v>
      </c>
      <c r="K1429" s="298">
        <v>0</v>
      </c>
      <c r="L1429" s="298">
        <v>0</v>
      </c>
      <c r="M1429" s="298">
        <v>0</v>
      </c>
      <c r="N1429" s="298">
        <v>0</v>
      </c>
      <c r="O1429" s="298">
        <v>0</v>
      </c>
      <c r="P1429" s="298">
        <v>0</v>
      </c>
      <c r="Q1429" s="298">
        <v>0</v>
      </c>
      <c r="R1429" s="298">
        <v>0</v>
      </c>
      <c r="S1429" s="298">
        <v>0</v>
      </c>
      <c r="T1429" s="298">
        <v>0</v>
      </c>
      <c r="U1429" s="298">
        <v>0</v>
      </c>
      <c r="V1429" s="298">
        <v>0</v>
      </c>
      <c r="W1429" s="298">
        <v>0</v>
      </c>
      <c r="X1429" s="298">
        <v>0</v>
      </c>
      <c r="Y1429" s="298">
        <v>0</v>
      </c>
      <c r="Z1429" s="298">
        <v>0</v>
      </c>
      <c r="AA1429" s="298">
        <v>0</v>
      </c>
      <c r="AB1429" s="298">
        <v>0</v>
      </c>
      <c r="AC1429" s="298">
        <v>0</v>
      </c>
      <c r="AD1429" s="298">
        <v>0</v>
      </c>
      <c r="AE1429" s="298">
        <v>0</v>
      </c>
      <c r="AF1429" s="298">
        <v>0</v>
      </c>
      <c r="AG1429" s="298">
        <v>0</v>
      </c>
      <c r="AH1429" s="296" t="s">
        <v>635</v>
      </c>
    </row>
    <row r="1430" spans="1:34" ht="15" customHeight="1" x14ac:dyDescent="0.25">
      <c r="A1430" s="213" t="s">
        <v>2165</v>
      </c>
      <c r="B1430" s="294" t="s">
        <v>2129</v>
      </c>
      <c r="C1430" s="298" t="s">
        <v>635</v>
      </c>
      <c r="D1430" s="298">
        <v>0</v>
      </c>
      <c r="E1430" s="298">
        <v>0</v>
      </c>
      <c r="F1430" s="298">
        <v>0</v>
      </c>
      <c r="G1430" s="298">
        <v>0</v>
      </c>
      <c r="H1430" s="298">
        <v>0</v>
      </c>
      <c r="I1430" s="298">
        <v>2.9939E-2</v>
      </c>
      <c r="J1430" s="298">
        <v>0.12374</v>
      </c>
      <c r="K1430" s="298">
        <v>0.12374</v>
      </c>
      <c r="L1430" s="298">
        <v>0.12374</v>
      </c>
      <c r="M1430" s="298">
        <v>0.12374</v>
      </c>
      <c r="N1430" s="298">
        <v>0.12374</v>
      </c>
      <c r="O1430" s="298">
        <v>0.19003999999999999</v>
      </c>
      <c r="P1430" s="298">
        <v>0.203568</v>
      </c>
      <c r="Q1430" s="298">
        <v>0.29661799999999999</v>
      </c>
      <c r="R1430" s="298">
        <v>0.40586</v>
      </c>
      <c r="S1430" s="298">
        <v>0.49196400000000001</v>
      </c>
      <c r="T1430" s="298">
        <v>0.49196400000000001</v>
      </c>
      <c r="U1430" s="298">
        <v>0.49196400000000001</v>
      </c>
      <c r="V1430" s="298">
        <v>0.49196400000000001</v>
      </c>
      <c r="W1430" s="298">
        <v>0.55074400000000001</v>
      </c>
      <c r="X1430" s="298">
        <v>0.69231200000000004</v>
      </c>
      <c r="Y1430" s="298">
        <v>0.69231200000000004</v>
      </c>
      <c r="Z1430" s="298">
        <v>1.253036</v>
      </c>
      <c r="AA1430" s="298">
        <v>1.5806720000000001</v>
      </c>
      <c r="AB1430" s="298">
        <v>1.6358200000000001</v>
      </c>
      <c r="AC1430" s="298">
        <v>3.3304930000000001</v>
      </c>
      <c r="AD1430" s="298">
        <v>3.4831940000000001</v>
      </c>
      <c r="AE1430" s="298">
        <v>3.798416</v>
      </c>
      <c r="AF1430" s="298">
        <v>4.2564979999999997</v>
      </c>
      <c r="AG1430" s="298">
        <v>4.4643899999999999</v>
      </c>
      <c r="AH1430" s="296" t="s">
        <v>635</v>
      </c>
    </row>
    <row r="1431" spans="1:34" ht="15" customHeight="1" x14ac:dyDescent="0.25">
      <c r="A1431" s="213" t="s">
        <v>2166</v>
      </c>
      <c r="B1431" s="294" t="s">
        <v>2131</v>
      </c>
      <c r="C1431" s="298" t="s">
        <v>635</v>
      </c>
      <c r="D1431" s="298">
        <v>0</v>
      </c>
      <c r="E1431" s="298">
        <v>0</v>
      </c>
      <c r="F1431" s="298">
        <v>1.07E-3</v>
      </c>
      <c r="G1431" s="298">
        <v>2.1849999999999999E-3</v>
      </c>
      <c r="H1431" s="298">
        <v>2.1849999999999999E-3</v>
      </c>
      <c r="I1431" s="298">
        <v>2.1849999999999999E-3</v>
      </c>
      <c r="J1431" s="298">
        <v>2.1849999999999999E-3</v>
      </c>
      <c r="K1431" s="298">
        <v>2.1849999999999999E-3</v>
      </c>
      <c r="L1431" s="298">
        <v>2.1849999999999999E-3</v>
      </c>
      <c r="M1431" s="298">
        <v>2.1849999999999999E-3</v>
      </c>
      <c r="N1431" s="298">
        <v>2.1849999999999999E-3</v>
      </c>
      <c r="O1431" s="298">
        <v>2.1849999999999999E-3</v>
      </c>
      <c r="P1431" s="298">
        <v>2.1849999999999999E-3</v>
      </c>
      <c r="Q1431" s="298">
        <v>2.1849999999999999E-3</v>
      </c>
      <c r="R1431" s="298">
        <v>3.2529999999999998E-3</v>
      </c>
      <c r="S1431" s="298">
        <v>3.2529999999999998E-3</v>
      </c>
      <c r="T1431" s="298">
        <v>3.2529999999999998E-3</v>
      </c>
      <c r="U1431" s="298">
        <v>3.2529999999999998E-3</v>
      </c>
      <c r="V1431" s="298">
        <v>3.2529999999999998E-3</v>
      </c>
      <c r="W1431" s="298">
        <v>3.2529999999999998E-3</v>
      </c>
      <c r="X1431" s="298">
        <v>3.2529999999999998E-3</v>
      </c>
      <c r="Y1431" s="298">
        <v>3.2529999999999998E-3</v>
      </c>
      <c r="Z1431" s="298">
        <v>3.2529999999999998E-3</v>
      </c>
      <c r="AA1431" s="298">
        <v>3.2529999999999998E-3</v>
      </c>
      <c r="AB1431" s="298">
        <v>3.2529999999999998E-3</v>
      </c>
      <c r="AC1431" s="298">
        <v>3.2529999999999998E-3</v>
      </c>
      <c r="AD1431" s="298">
        <v>3.2529999999999998E-3</v>
      </c>
      <c r="AE1431" s="298">
        <v>3.2529999999999998E-3</v>
      </c>
      <c r="AF1431" s="298">
        <v>3.2529999999999998E-3</v>
      </c>
      <c r="AG1431" s="298">
        <v>4.2770000000000004E-3</v>
      </c>
      <c r="AH1431" s="296" t="s">
        <v>635</v>
      </c>
    </row>
    <row r="1432" spans="1:34" ht="15" customHeight="1" x14ac:dyDescent="0.25">
      <c r="A1432" s="213" t="s">
        <v>2167</v>
      </c>
      <c r="B1432" s="294" t="s">
        <v>2133</v>
      </c>
      <c r="C1432" s="298" t="s">
        <v>635</v>
      </c>
      <c r="D1432" s="298">
        <v>0.100994</v>
      </c>
      <c r="E1432" s="298">
        <v>8.8666499999999999</v>
      </c>
      <c r="F1432" s="298">
        <v>38.685409999999997</v>
      </c>
      <c r="G1432" s="298">
        <v>81.790710000000004</v>
      </c>
      <c r="H1432" s="298">
        <v>100.41870900000001</v>
      </c>
      <c r="I1432" s="298">
        <v>121.420952</v>
      </c>
      <c r="J1432" s="298">
        <v>138.19000199999999</v>
      </c>
      <c r="K1432" s="298">
        <v>146.418137</v>
      </c>
      <c r="L1432" s="298">
        <v>161.45503199999999</v>
      </c>
      <c r="M1432" s="298">
        <v>170.06973300000001</v>
      </c>
      <c r="N1432" s="298">
        <v>178.848984</v>
      </c>
      <c r="O1432" s="298">
        <v>190.403717</v>
      </c>
      <c r="P1432" s="298">
        <v>201.2612</v>
      </c>
      <c r="Q1432" s="298">
        <v>209.09356700000001</v>
      </c>
      <c r="R1432" s="298">
        <v>219.94189499999999</v>
      </c>
      <c r="S1432" s="298">
        <v>227.59080499999999</v>
      </c>
      <c r="T1432" s="298">
        <v>235.71371500000001</v>
      </c>
      <c r="U1432" s="298">
        <v>245.21466100000001</v>
      </c>
      <c r="V1432" s="298">
        <v>250.44982899999999</v>
      </c>
      <c r="W1432" s="298">
        <v>256.54361</v>
      </c>
      <c r="X1432" s="298">
        <v>267.676941</v>
      </c>
      <c r="Y1432" s="298">
        <v>273.81668100000002</v>
      </c>
      <c r="Z1432" s="298">
        <v>281.47198500000002</v>
      </c>
      <c r="AA1432" s="298">
        <v>291.24127199999998</v>
      </c>
      <c r="AB1432" s="298">
        <v>305.230682</v>
      </c>
      <c r="AC1432" s="298">
        <v>320.23486300000002</v>
      </c>
      <c r="AD1432" s="298">
        <v>336.39175399999999</v>
      </c>
      <c r="AE1432" s="298">
        <v>344.70382699999999</v>
      </c>
      <c r="AF1432" s="298">
        <v>357.018799</v>
      </c>
      <c r="AG1432" s="298">
        <v>368.81683299999997</v>
      </c>
      <c r="AH1432" s="296" t="s">
        <v>635</v>
      </c>
    </row>
    <row r="1433" spans="1:34" ht="15" customHeight="1" x14ac:dyDescent="0.25">
      <c r="A1433" s="213" t="s">
        <v>2168</v>
      </c>
      <c r="B1433" s="294" t="s">
        <v>2156</v>
      </c>
      <c r="C1433" s="298" t="s">
        <v>635</v>
      </c>
      <c r="D1433" s="298">
        <v>0</v>
      </c>
      <c r="E1433" s="298">
        <v>1.1477040000000001</v>
      </c>
      <c r="F1433" s="298">
        <v>1.518443</v>
      </c>
      <c r="G1433" s="298">
        <v>1.9681900000000001</v>
      </c>
      <c r="H1433" s="298">
        <v>2.835906</v>
      </c>
      <c r="I1433" s="298">
        <v>3.2806090000000001</v>
      </c>
      <c r="J1433" s="298">
        <v>3.7841170000000002</v>
      </c>
      <c r="K1433" s="298">
        <v>4.4486850000000002</v>
      </c>
      <c r="L1433" s="298">
        <v>5.1270980000000002</v>
      </c>
      <c r="M1433" s="298">
        <v>5.8100370000000003</v>
      </c>
      <c r="N1433" s="298">
        <v>6.5254279999999998</v>
      </c>
      <c r="O1433" s="298">
        <v>7.2915080000000003</v>
      </c>
      <c r="P1433" s="298">
        <v>8.0731929999999998</v>
      </c>
      <c r="Q1433" s="298">
        <v>8.9240980000000008</v>
      </c>
      <c r="R1433" s="298">
        <v>9.8111809999999995</v>
      </c>
      <c r="S1433" s="298">
        <v>10.935399</v>
      </c>
      <c r="T1433" s="298">
        <v>12.167045</v>
      </c>
      <c r="U1433" s="298">
        <v>13.408576999999999</v>
      </c>
      <c r="V1433" s="298">
        <v>14.729175</v>
      </c>
      <c r="W1433" s="298">
        <v>16.063938</v>
      </c>
      <c r="X1433" s="298">
        <v>17.426279000000001</v>
      </c>
      <c r="Y1433" s="298">
        <v>18.853794000000001</v>
      </c>
      <c r="Z1433" s="298">
        <v>20.413018999999998</v>
      </c>
      <c r="AA1433" s="298">
        <v>21.984665</v>
      </c>
      <c r="AB1433" s="298">
        <v>23.592424000000001</v>
      </c>
      <c r="AC1433" s="298">
        <v>25.295141000000001</v>
      </c>
      <c r="AD1433" s="298">
        <v>27.064219999999999</v>
      </c>
      <c r="AE1433" s="298">
        <v>28.938288</v>
      </c>
      <c r="AF1433" s="298">
        <v>30.912583999999999</v>
      </c>
      <c r="AG1433" s="298">
        <v>32.993228999999999</v>
      </c>
      <c r="AH1433" s="296" t="s">
        <v>635</v>
      </c>
    </row>
    <row r="1434" spans="1:34" ht="15" customHeight="1" x14ac:dyDescent="0.2">
      <c r="A1434" s="213" t="s">
        <v>2169</v>
      </c>
      <c r="B1434" s="204" t="s">
        <v>1955</v>
      </c>
      <c r="C1434" s="300" t="s">
        <v>635</v>
      </c>
      <c r="D1434" s="300">
        <v>8.2373189999999994</v>
      </c>
      <c r="E1434" s="300">
        <v>23.538810999999999</v>
      </c>
      <c r="F1434" s="300">
        <v>64.995307999999994</v>
      </c>
      <c r="G1434" s="300">
        <v>118.08457900000001</v>
      </c>
      <c r="H1434" s="300">
        <v>165.23741100000001</v>
      </c>
      <c r="I1434" s="300">
        <v>204.34210200000001</v>
      </c>
      <c r="J1434" s="300">
        <v>233.16931199999999</v>
      </c>
      <c r="K1434" s="300">
        <v>248.59510800000001</v>
      </c>
      <c r="L1434" s="300">
        <v>270.28207400000002</v>
      </c>
      <c r="M1434" s="300">
        <v>283.89230300000003</v>
      </c>
      <c r="N1434" s="300">
        <v>303.02084400000001</v>
      </c>
      <c r="O1434" s="300">
        <v>322.35540800000001</v>
      </c>
      <c r="P1434" s="300">
        <v>340.41186499999998</v>
      </c>
      <c r="Q1434" s="300">
        <v>357.81732199999999</v>
      </c>
      <c r="R1434" s="300">
        <v>378.47857699999997</v>
      </c>
      <c r="S1434" s="300">
        <v>394.88385</v>
      </c>
      <c r="T1434" s="300">
        <v>413.80337500000002</v>
      </c>
      <c r="U1434" s="300">
        <v>433.20800800000001</v>
      </c>
      <c r="V1434" s="300">
        <v>449.17739899999998</v>
      </c>
      <c r="W1434" s="300">
        <v>465.55248999999998</v>
      </c>
      <c r="X1434" s="300">
        <v>486.24661300000002</v>
      </c>
      <c r="Y1434" s="300">
        <v>503.955963</v>
      </c>
      <c r="Z1434" s="300">
        <v>528.59985400000005</v>
      </c>
      <c r="AA1434" s="300">
        <v>550.19171100000005</v>
      </c>
      <c r="AB1434" s="300">
        <v>577.20556599999998</v>
      </c>
      <c r="AC1434" s="300">
        <v>604.33007799999996</v>
      </c>
      <c r="AD1434" s="300">
        <v>633.30328399999996</v>
      </c>
      <c r="AE1434" s="300">
        <v>658.61370799999997</v>
      </c>
      <c r="AF1434" s="300">
        <v>687.02563499999997</v>
      </c>
      <c r="AG1434" s="300">
        <v>713.68231200000002</v>
      </c>
      <c r="AH1434" s="206" t="s">
        <v>635</v>
      </c>
    </row>
    <row r="1435" spans="1:34" ht="15" customHeight="1" x14ac:dyDescent="0.2">
      <c r="A1435" s="213" t="s">
        <v>2170</v>
      </c>
      <c r="B1435" s="204" t="s">
        <v>2171</v>
      </c>
      <c r="C1435" s="300" t="s">
        <v>635</v>
      </c>
      <c r="D1435" s="300">
        <v>39.445830999999998</v>
      </c>
      <c r="E1435" s="300">
        <v>82.189528999999993</v>
      </c>
      <c r="F1435" s="300">
        <v>127.496033</v>
      </c>
      <c r="G1435" s="300">
        <v>182.29330400000001</v>
      </c>
      <c r="H1435" s="300">
        <v>229.88912999999999</v>
      </c>
      <c r="I1435" s="300">
        <v>269.40481599999998</v>
      </c>
      <c r="J1435" s="300">
        <v>298.643036</v>
      </c>
      <c r="K1435" s="300">
        <v>316.479828</v>
      </c>
      <c r="L1435" s="300">
        <v>338.577789</v>
      </c>
      <c r="M1435" s="300">
        <v>359.69903599999998</v>
      </c>
      <c r="N1435" s="300">
        <v>378.82757600000002</v>
      </c>
      <c r="O1435" s="300">
        <v>398.16214000000002</v>
      </c>
      <c r="P1435" s="300">
        <v>416.21859699999999</v>
      </c>
      <c r="Q1435" s="300">
        <v>438.82403599999998</v>
      </c>
      <c r="R1435" s="300">
        <v>470.63531499999999</v>
      </c>
      <c r="S1435" s="300">
        <v>487.04058800000001</v>
      </c>
      <c r="T1435" s="300">
        <v>505.96011399999998</v>
      </c>
      <c r="U1435" s="300">
        <v>525.36474599999997</v>
      </c>
      <c r="V1435" s="300">
        <v>541.33410600000002</v>
      </c>
      <c r="W1435" s="300">
        <v>557.95922900000005</v>
      </c>
      <c r="X1435" s="300">
        <v>578.65332000000001</v>
      </c>
      <c r="Y1435" s="300">
        <v>596.36267099999998</v>
      </c>
      <c r="Z1435" s="300">
        <v>621.00659199999996</v>
      </c>
      <c r="AA1435" s="300">
        <v>642.59844999999996</v>
      </c>
      <c r="AB1435" s="300">
        <v>669.86230499999999</v>
      </c>
      <c r="AC1435" s="300">
        <v>696.98681599999998</v>
      </c>
      <c r="AD1435" s="300">
        <v>725.96002199999998</v>
      </c>
      <c r="AE1435" s="300">
        <v>751.27044699999999</v>
      </c>
      <c r="AF1435" s="300">
        <v>779.68237299999998</v>
      </c>
      <c r="AG1435" s="300">
        <v>806.33905000000004</v>
      </c>
      <c r="AH1435" s="206" t="s">
        <v>635</v>
      </c>
    </row>
    <row r="1437" spans="1:34" ht="15" customHeight="1" x14ac:dyDescent="0.2">
      <c r="B1437" s="204" t="s">
        <v>2172</v>
      </c>
    </row>
    <row r="1438" spans="1:34" ht="15" customHeight="1" x14ac:dyDescent="0.25">
      <c r="A1438" s="213" t="s">
        <v>2173</v>
      </c>
      <c r="B1438" s="294" t="s">
        <v>1987</v>
      </c>
      <c r="C1438" s="298" t="s">
        <v>635</v>
      </c>
      <c r="D1438" s="298">
        <v>4.5084</v>
      </c>
      <c r="E1438" s="298">
        <v>9.2206989999999998</v>
      </c>
      <c r="F1438" s="298">
        <v>29.080297000000002</v>
      </c>
      <c r="G1438" s="298">
        <v>40.214497000000001</v>
      </c>
      <c r="H1438" s="298">
        <v>78.104186999999996</v>
      </c>
      <c r="I1438" s="298">
        <v>82.477097000000001</v>
      </c>
      <c r="J1438" s="298">
        <v>88.543685999999994</v>
      </c>
      <c r="K1438" s="298">
        <v>91.134681999999998</v>
      </c>
      <c r="L1438" s="298">
        <v>93.608688000000001</v>
      </c>
      <c r="M1438" s="298">
        <v>96.140693999999996</v>
      </c>
      <c r="N1438" s="298">
        <v>97.558693000000005</v>
      </c>
      <c r="O1438" s="298">
        <v>99.619698</v>
      </c>
      <c r="P1438" s="298">
        <v>100.798698</v>
      </c>
      <c r="Q1438" s="298">
        <v>101.385201</v>
      </c>
      <c r="R1438" s="298">
        <v>103.5877</v>
      </c>
      <c r="S1438" s="298">
        <v>103.5877</v>
      </c>
      <c r="T1438" s="298">
        <v>103.926704</v>
      </c>
      <c r="U1438" s="298">
        <v>107.00949900000001</v>
      </c>
      <c r="V1438" s="298">
        <v>107.788506</v>
      </c>
      <c r="W1438" s="298">
        <v>107.788506</v>
      </c>
      <c r="X1438" s="298">
        <v>108.128502</v>
      </c>
      <c r="Y1438" s="298">
        <v>108.128502</v>
      </c>
      <c r="Z1438" s="298">
        <v>108.128502</v>
      </c>
      <c r="AA1438" s="298">
        <v>108.128502</v>
      </c>
      <c r="AB1438" s="298">
        <v>110.64250199999999</v>
      </c>
      <c r="AC1438" s="298">
        <v>110.64250199999999</v>
      </c>
      <c r="AD1438" s="298">
        <v>111.129501</v>
      </c>
      <c r="AE1438" s="298">
        <v>111.129501</v>
      </c>
      <c r="AF1438" s="298">
        <v>111.129501</v>
      </c>
      <c r="AG1438" s="298">
        <v>111.129501</v>
      </c>
      <c r="AH1438" s="296" t="s">
        <v>635</v>
      </c>
    </row>
    <row r="1439" spans="1:34" ht="15" customHeight="1" x14ac:dyDescent="0.25">
      <c r="A1439" s="213" t="s">
        <v>2174</v>
      </c>
      <c r="B1439" s="294" t="s">
        <v>2140</v>
      </c>
      <c r="C1439" s="298" t="s">
        <v>635</v>
      </c>
      <c r="D1439" s="298">
        <v>1.1951000000000001</v>
      </c>
      <c r="E1439" s="298">
        <v>6.0462009999999999</v>
      </c>
      <c r="F1439" s="298">
        <v>10.724000999999999</v>
      </c>
      <c r="G1439" s="298">
        <v>16.533701000000001</v>
      </c>
      <c r="H1439" s="298">
        <v>19.733601</v>
      </c>
      <c r="I1439" s="298">
        <v>23.988803999999998</v>
      </c>
      <c r="J1439" s="298">
        <v>24.503800999999999</v>
      </c>
      <c r="K1439" s="298">
        <v>26.500800999999999</v>
      </c>
      <c r="L1439" s="298">
        <v>28.483201999999999</v>
      </c>
      <c r="M1439" s="298">
        <v>28.975601000000001</v>
      </c>
      <c r="N1439" s="298">
        <v>30.694101</v>
      </c>
      <c r="O1439" s="298">
        <v>30.937100999999998</v>
      </c>
      <c r="P1439" s="298">
        <v>31.779904999999999</v>
      </c>
      <c r="Q1439" s="298">
        <v>32.282905999999997</v>
      </c>
      <c r="R1439" s="298">
        <v>33.253402999999999</v>
      </c>
      <c r="S1439" s="298">
        <v>33.333401000000002</v>
      </c>
      <c r="T1439" s="298">
        <v>33.403399999999998</v>
      </c>
      <c r="U1439" s="298">
        <v>33.403399999999998</v>
      </c>
      <c r="V1439" s="298">
        <v>33.403399999999998</v>
      </c>
      <c r="W1439" s="298">
        <v>33.403399999999998</v>
      </c>
      <c r="X1439" s="298">
        <v>33.403399999999998</v>
      </c>
      <c r="Y1439" s="298">
        <v>33.403399999999998</v>
      </c>
      <c r="Z1439" s="298">
        <v>33.403399999999998</v>
      </c>
      <c r="AA1439" s="298">
        <v>33.509402999999999</v>
      </c>
      <c r="AB1439" s="298">
        <v>33.509402999999999</v>
      </c>
      <c r="AC1439" s="298">
        <v>33.509402999999999</v>
      </c>
      <c r="AD1439" s="298">
        <v>33.509402999999999</v>
      </c>
      <c r="AE1439" s="298">
        <v>33.509402999999999</v>
      </c>
      <c r="AF1439" s="298">
        <v>33.509402999999999</v>
      </c>
      <c r="AG1439" s="298">
        <v>33.509402999999999</v>
      </c>
      <c r="AH1439" s="296" t="s">
        <v>635</v>
      </c>
    </row>
    <row r="1440" spans="1:34" ht="15" customHeight="1" x14ac:dyDescent="0.25">
      <c r="A1440" s="213" t="s">
        <v>2175</v>
      </c>
      <c r="B1440" s="294" t="s">
        <v>2121</v>
      </c>
      <c r="C1440" s="298" t="s">
        <v>635</v>
      </c>
      <c r="D1440" s="298">
        <v>5.6000000000000001E-2</v>
      </c>
      <c r="E1440" s="298">
        <v>1.077</v>
      </c>
      <c r="F1440" s="298">
        <v>2.6621999999999999</v>
      </c>
      <c r="G1440" s="298">
        <v>3.83</v>
      </c>
      <c r="H1440" s="298">
        <v>5.3517989999999998</v>
      </c>
      <c r="I1440" s="298">
        <v>5.4525990000000002</v>
      </c>
      <c r="J1440" s="298">
        <v>5.9025990000000004</v>
      </c>
      <c r="K1440" s="298">
        <v>5.9519989999999998</v>
      </c>
      <c r="L1440" s="298">
        <v>5.9519989999999998</v>
      </c>
      <c r="M1440" s="298">
        <v>6.6159990000000004</v>
      </c>
      <c r="N1440" s="298">
        <v>7.8613999999999997</v>
      </c>
      <c r="O1440" s="298">
        <v>7.8613999999999997</v>
      </c>
      <c r="P1440" s="298">
        <v>7.869999</v>
      </c>
      <c r="Q1440" s="298">
        <v>7.869999</v>
      </c>
      <c r="R1440" s="298">
        <v>7.869999</v>
      </c>
      <c r="S1440" s="298">
        <v>7.869999</v>
      </c>
      <c r="T1440" s="298">
        <v>7.869999</v>
      </c>
      <c r="U1440" s="298">
        <v>8.5968990000000005</v>
      </c>
      <c r="V1440" s="298">
        <v>9.0988989999999994</v>
      </c>
      <c r="W1440" s="298">
        <v>9.2718989999999994</v>
      </c>
      <c r="X1440" s="298">
        <v>9.422898</v>
      </c>
      <c r="Y1440" s="298">
        <v>10.004999</v>
      </c>
      <c r="Z1440" s="298">
        <v>10.004999</v>
      </c>
      <c r="AA1440" s="298">
        <v>10.298999999999999</v>
      </c>
      <c r="AB1440" s="298">
        <v>11.167101000000001</v>
      </c>
      <c r="AC1440" s="298">
        <v>11.762100999999999</v>
      </c>
      <c r="AD1440" s="298">
        <v>11.762100999999999</v>
      </c>
      <c r="AE1440" s="298">
        <v>12.071101000000001</v>
      </c>
      <c r="AF1440" s="298">
        <v>12.071101000000001</v>
      </c>
      <c r="AG1440" s="298">
        <v>12.071101000000001</v>
      </c>
      <c r="AH1440" s="296" t="s">
        <v>635</v>
      </c>
    </row>
    <row r="1441" spans="1:34" ht="15" customHeight="1" x14ac:dyDescent="0.25">
      <c r="A1441" s="213" t="s">
        <v>2176</v>
      </c>
      <c r="B1441" s="294" t="s">
        <v>2123</v>
      </c>
      <c r="C1441" s="298" t="s">
        <v>635</v>
      </c>
      <c r="D1441" s="298">
        <v>1.8800000000000001E-2</v>
      </c>
      <c r="E1441" s="298">
        <v>9.9599999999999994E-2</v>
      </c>
      <c r="F1441" s="298">
        <v>0.66210000000000002</v>
      </c>
      <c r="G1441" s="298">
        <v>1.2315</v>
      </c>
      <c r="H1441" s="298">
        <v>1.2950999999999999</v>
      </c>
      <c r="I1441" s="298">
        <v>1.8652</v>
      </c>
      <c r="J1441" s="298">
        <v>2.4788000000000001</v>
      </c>
      <c r="K1441" s="298">
        <v>2.4977999999999998</v>
      </c>
      <c r="L1441" s="298">
        <v>2.5005999999999999</v>
      </c>
      <c r="M1441" s="298">
        <v>2.8651</v>
      </c>
      <c r="N1441" s="298">
        <v>2.9361000000000002</v>
      </c>
      <c r="O1441" s="298">
        <v>3.0981010000000002</v>
      </c>
      <c r="P1441" s="298">
        <v>3.0981010000000002</v>
      </c>
      <c r="Q1441" s="298">
        <v>3.1139009999999998</v>
      </c>
      <c r="R1441" s="298">
        <v>3.1309010000000002</v>
      </c>
      <c r="S1441" s="298">
        <v>3.1309010000000002</v>
      </c>
      <c r="T1441" s="298">
        <v>3.1309010000000002</v>
      </c>
      <c r="U1441" s="298">
        <v>3.1309010000000002</v>
      </c>
      <c r="V1441" s="298">
        <v>3.1309010000000002</v>
      </c>
      <c r="W1441" s="298">
        <v>3.1309010000000002</v>
      </c>
      <c r="X1441" s="298">
        <v>3.3399000000000001</v>
      </c>
      <c r="Y1441" s="298">
        <v>3.3719009999999998</v>
      </c>
      <c r="Z1441" s="298">
        <v>3.3719009999999998</v>
      </c>
      <c r="AA1441" s="298">
        <v>3.3719009999999998</v>
      </c>
      <c r="AB1441" s="298">
        <v>3.4792010000000002</v>
      </c>
      <c r="AC1441" s="298">
        <v>3.4792010000000002</v>
      </c>
      <c r="AD1441" s="298">
        <v>3.4792010000000002</v>
      </c>
      <c r="AE1441" s="298">
        <v>3.4792010000000002</v>
      </c>
      <c r="AF1441" s="298">
        <v>3.4792010000000002</v>
      </c>
      <c r="AG1441" s="298">
        <v>3.4792010000000002</v>
      </c>
      <c r="AH1441" s="296" t="s">
        <v>635</v>
      </c>
    </row>
    <row r="1442" spans="1:34" ht="15" customHeight="1" x14ac:dyDescent="0.25">
      <c r="A1442" s="213" t="s">
        <v>2177</v>
      </c>
      <c r="B1442" s="294" t="s">
        <v>1993</v>
      </c>
      <c r="C1442" s="298" t="s">
        <v>635</v>
      </c>
      <c r="D1442" s="298">
        <v>5.7363</v>
      </c>
      <c r="E1442" s="298">
        <v>6.5079000000000002</v>
      </c>
      <c r="F1442" s="298">
        <v>6.5079000000000002</v>
      </c>
      <c r="G1442" s="298">
        <v>6.5079000000000002</v>
      </c>
      <c r="H1442" s="298">
        <v>7.6299000000000001</v>
      </c>
      <c r="I1442" s="298">
        <v>18.865601000000002</v>
      </c>
      <c r="J1442" s="298">
        <v>20.776602</v>
      </c>
      <c r="K1442" s="298">
        <v>20.776602</v>
      </c>
      <c r="L1442" s="298">
        <v>22.851600999999999</v>
      </c>
      <c r="M1442" s="298">
        <v>22.851600999999999</v>
      </c>
      <c r="N1442" s="298">
        <v>22.851600999999999</v>
      </c>
      <c r="O1442" s="298">
        <v>22.851600999999999</v>
      </c>
      <c r="P1442" s="298">
        <v>23.916601</v>
      </c>
      <c r="Q1442" s="298">
        <v>26.050602000000001</v>
      </c>
      <c r="R1442" s="298">
        <v>26.050602000000001</v>
      </c>
      <c r="S1442" s="298">
        <v>26.951601</v>
      </c>
      <c r="T1442" s="298">
        <v>26.951601</v>
      </c>
      <c r="U1442" s="298">
        <v>26.951601</v>
      </c>
      <c r="V1442" s="298">
        <v>26.951601</v>
      </c>
      <c r="W1442" s="298">
        <v>28.104600999999999</v>
      </c>
      <c r="X1442" s="298">
        <v>28.104600999999999</v>
      </c>
      <c r="Y1442" s="298">
        <v>28.104600999999999</v>
      </c>
      <c r="Z1442" s="298">
        <v>28.104600999999999</v>
      </c>
      <c r="AA1442" s="298">
        <v>28.104600999999999</v>
      </c>
      <c r="AB1442" s="298">
        <v>28.104600999999999</v>
      </c>
      <c r="AC1442" s="298">
        <v>28.104600999999999</v>
      </c>
      <c r="AD1442" s="298">
        <v>29.075602</v>
      </c>
      <c r="AE1442" s="298">
        <v>29.075602</v>
      </c>
      <c r="AF1442" s="298">
        <v>29.075602</v>
      </c>
      <c r="AG1442" s="298">
        <v>29.075602</v>
      </c>
      <c r="AH1442" s="296" t="s">
        <v>635</v>
      </c>
    </row>
    <row r="1443" spans="1:34" ht="15" customHeight="1" x14ac:dyDescent="0.25">
      <c r="A1443" s="213" t="s">
        <v>2178</v>
      </c>
      <c r="B1443" s="294" t="s">
        <v>2127</v>
      </c>
      <c r="C1443" s="298" t="s">
        <v>635</v>
      </c>
      <c r="D1443" s="298">
        <v>0</v>
      </c>
      <c r="E1443" s="298">
        <v>0</v>
      </c>
      <c r="F1443" s="298">
        <v>0</v>
      </c>
      <c r="G1443" s="298">
        <v>0</v>
      </c>
      <c r="H1443" s="298">
        <v>0</v>
      </c>
      <c r="I1443" s="298">
        <v>0</v>
      </c>
      <c r="J1443" s="298">
        <v>0</v>
      </c>
      <c r="K1443" s="298">
        <v>0</v>
      </c>
      <c r="L1443" s="298">
        <v>0</v>
      </c>
      <c r="M1443" s="298">
        <v>0</v>
      </c>
      <c r="N1443" s="298">
        <v>0</v>
      </c>
      <c r="O1443" s="298">
        <v>0</v>
      </c>
      <c r="P1443" s="298">
        <v>0</v>
      </c>
      <c r="Q1443" s="298">
        <v>0</v>
      </c>
      <c r="R1443" s="298">
        <v>0</v>
      </c>
      <c r="S1443" s="298">
        <v>0</v>
      </c>
      <c r="T1443" s="298">
        <v>0</v>
      </c>
      <c r="U1443" s="298">
        <v>0</v>
      </c>
      <c r="V1443" s="298">
        <v>0</v>
      </c>
      <c r="W1443" s="298">
        <v>0</v>
      </c>
      <c r="X1443" s="298">
        <v>0</v>
      </c>
      <c r="Y1443" s="298">
        <v>0</v>
      </c>
      <c r="Z1443" s="298">
        <v>0</v>
      </c>
      <c r="AA1443" s="298">
        <v>0</v>
      </c>
      <c r="AB1443" s="298">
        <v>0</v>
      </c>
      <c r="AC1443" s="298">
        <v>0</v>
      </c>
      <c r="AD1443" s="298">
        <v>0</v>
      </c>
      <c r="AE1443" s="298">
        <v>0</v>
      </c>
      <c r="AF1443" s="298">
        <v>0</v>
      </c>
      <c r="AG1443" s="298">
        <v>0</v>
      </c>
      <c r="AH1443" s="296" t="s">
        <v>635</v>
      </c>
    </row>
    <row r="1444" spans="1:34" ht="15" customHeight="1" x14ac:dyDescent="0.25">
      <c r="A1444" s="213" t="s">
        <v>2179</v>
      </c>
      <c r="B1444" s="294" t="s">
        <v>2129</v>
      </c>
      <c r="C1444" s="298" t="s">
        <v>635</v>
      </c>
      <c r="D1444" s="298">
        <v>0</v>
      </c>
      <c r="E1444" s="298">
        <v>0</v>
      </c>
      <c r="F1444" s="298">
        <v>0</v>
      </c>
      <c r="G1444" s="298">
        <v>1E-3</v>
      </c>
      <c r="H1444" s="298">
        <v>1E-3</v>
      </c>
      <c r="I1444" s="298">
        <v>1E-3</v>
      </c>
      <c r="J1444" s="298">
        <v>1E-3</v>
      </c>
      <c r="K1444" s="298">
        <v>1E-3</v>
      </c>
      <c r="L1444" s="298">
        <v>1E-3</v>
      </c>
      <c r="M1444" s="298">
        <v>1E-3</v>
      </c>
      <c r="N1444" s="298">
        <v>1E-3</v>
      </c>
      <c r="O1444" s="298">
        <v>1E-3</v>
      </c>
      <c r="P1444" s="298">
        <v>1E-3</v>
      </c>
      <c r="Q1444" s="298">
        <v>1E-3</v>
      </c>
      <c r="R1444" s="298">
        <v>1E-3</v>
      </c>
      <c r="S1444" s="298">
        <v>1E-3</v>
      </c>
      <c r="T1444" s="298">
        <v>3.0000000000000001E-3</v>
      </c>
      <c r="U1444" s="298">
        <v>3.0000000000000001E-3</v>
      </c>
      <c r="V1444" s="298">
        <v>3.0000000000000001E-3</v>
      </c>
      <c r="W1444" s="298">
        <v>3.0000000000000001E-3</v>
      </c>
      <c r="X1444" s="298">
        <v>3.0000000000000001E-3</v>
      </c>
      <c r="Y1444" s="298">
        <v>3.0000000000000001E-3</v>
      </c>
      <c r="Z1444" s="298">
        <v>3.0000000000000001E-3</v>
      </c>
      <c r="AA1444" s="298">
        <v>3.0000000000000001E-3</v>
      </c>
      <c r="AB1444" s="298">
        <v>3.0000000000000001E-3</v>
      </c>
      <c r="AC1444" s="298">
        <v>3.0000000000000001E-3</v>
      </c>
      <c r="AD1444" s="298">
        <v>3.0000000000000001E-3</v>
      </c>
      <c r="AE1444" s="298">
        <v>3.0000000000000001E-3</v>
      </c>
      <c r="AF1444" s="298">
        <v>3.0000000000000001E-3</v>
      </c>
      <c r="AG1444" s="298">
        <v>3.0000000000000001E-3</v>
      </c>
      <c r="AH1444" s="296" t="s">
        <v>635</v>
      </c>
    </row>
    <row r="1445" spans="1:34" ht="15" customHeight="1" x14ac:dyDescent="0.25">
      <c r="A1445" s="213" t="s">
        <v>2180</v>
      </c>
      <c r="B1445" s="294" t="s">
        <v>2131</v>
      </c>
      <c r="C1445" s="298" t="s">
        <v>635</v>
      </c>
      <c r="D1445" s="298">
        <v>0</v>
      </c>
      <c r="E1445" s="298">
        <v>0</v>
      </c>
      <c r="F1445" s="298">
        <v>0</v>
      </c>
      <c r="G1445" s="298">
        <v>0</v>
      </c>
      <c r="H1445" s="298">
        <v>0</v>
      </c>
      <c r="I1445" s="298">
        <v>0</v>
      </c>
      <c r="J1445" s="298">
        <v>0</v>
      </c>
      <c r="K1445" s="298">
        <v>0</v>
      </c>
      <c r="L1445" s="298">
        <v>0</v>
      </c>
      <c r="M1445" s="298">
        <v>0</v>
      </c>
      <c r="N1445" s="298">
        <v>1.1000000000000001E-3</v>
      </c>
      <c r="O1445" s="298">
        <v>1.1000000000000001E-3</v>
      </c>
      <c r="P1445" s="298">
        <v>1.1000000000000001E-3</v>
      </c>
      <c r="Q1445" s="298">
        <v>1.1000000000000001E-3</v>
      </c>
      <c r="R1445" s="298">
        <v>1.1000000000000001E-3</v>
      </c>
      <c r="S1445" s="298">
        <v>1.1000000000000001E-3</v>
      </c>
      <c r="T1445" s="298">
        <v>1.1000000000000001E-3</v>
      </c>
      <c r="U1445" s="298">
        <v>1.1000000000000001E-3</v>
      </c>
      <c r="V1445" s="298">
        <v>1.1000000000000001E-3</v>
      </c>
      <c r="W1445" s="298">
        <v>1.1000000000000001E-3</v>
      </c>
      <c r="X1445" s="298">
        <v>1.1000000000000001E-3</v>
      </c>
      <c r="Y1445" s="298">
        <v>1.1000000000000001E-3</v>
      </c>
      <c r="Z1445" s="298">
        <v>1.1000000000000001E-3</v>
      </c>
      <c r="AA1445" s="298">
        <v>1.1000000000000001E-3</v>
      </c>
      <c r="AB1445" s="298">
        <v>1.1000000000000001E-3</v>
      </c>
      <c r="AC1445" s="298">
        <v>1.1000000000000001E-3</v>
      </c>
      <c r="AD1445" s="298">
        <v>1.1000000000000001E-3</v>
      </c>
      <c r="AE1445" s="298">
        <v>1.1000000000000001E-3</v>
      </c>
      <c r="AF1445" s="298">
        <v>1.1000000000000001E-3</v>
      </c>
      <c r="AG1445" s="298">
        <v>1.1000000000000001E-3</v>
      </c>
      <c r="AH1445" s="296" t="s">
        <v>635</v>
      </c>
    </row>
    <row r="1446" spans="1:34" ht="15" customHeight="1" x14ac:dyDescent="0.25">
      <c r="A1446" s="213" t="s">
        <v>2181</v>
      </c>
      <c r="B1446" s="294" t="s">
        <v>2133</v>
      </c>
      <c r="C1446" s="298" t="s">
        <v>635</v>
      </c>
      <c r="D1446" s="298">
        <v>0</v>
      </c>
      <c r="E1446" s="298">
        <v>1.21E-2</v>
      </c>
      <c r="F1446" s="298">
        <v>3.49E-2</v>
      </c>
      <c r="G1446" s="298">
        <v>5.0900000000000001E-2</v>
      </c>
      <c r="H1446" s="298">
        <v>5.5399999999999998E-2</v>
      </c>
      <c r="I1446" s="298">
        <v>5.5399999999999998E-2</v>
      </c>
      <c r="J1446" s="298">
        <v>0.06</v>
      </c>
      <c r="K1446" s="298">
        <v>0.23230000000000001</v>
      </c>
      <c r="L1446" s="298">
        <v>0.31169999999999998</v>
      </c>
      <c r="M1446" s="298">
        <v>0.31169999999999998</v>
      </c>
      <c r="N1446" s="298">
        <v>0.31169999999999998</v>
      </c>
      <c r="O1446" s="298">
        <v>0.31169999999999998</v>
      </c>
      <c r="P1446" s="298">
        <v>0.31169999999999998</v>
      </c>
      <c r="Q1446" s="298">
        <v>0.31169999999999998</v>
      </c>
      <c r="R1446" s="298">
        <v>0.31169999999999998</v>
      </c>
      <c r="S1446" s="298">
        <v>0.31169999999999998</v>
      </c>
      <c r="T1446" s="298">
        <v>0.31169999999999998</v>
      </c>
      <c r="U1446" s="298">
        <v>0.31169999999999998</v>
      </c>
      <c r="V1446" s="298">
        <v>0.31169999999999998</v>
      </c>
      <c r="W1446" s="298">
        <v>0.31169999999999998</v>
      </c>
      <c r="X1446" s="298">
        <v>0.31169999999999998</v>
      </c>
      <c r="Y1446" s="298">
        <v>0.31169999999999998</v>
      </c>
      <c r="Z1446" s="298">
        <v>0.31169999999999998</v>
      </c>
      <c r="AA1446" s="298">
        <v>0.3916</v>
      </c>
      <c r="AB1446" s="298">
        <v>0.3916</v>
      </c>
      <c r="AC1446" s="298">
        <v>0.3916</v>
      </c>
      <c r="AD1446" s="298">
        <v>0.39460000000000001</v>
      </c>
      <c r="AE1446" s="298">
        <v>0.39460000000000001</v>
      </c>
      <c r="AF1446" s="298">
        <v>0.40960000000000002</v>
      </c>
      <c r="AG1446" s="298">
        <v>0.40960000000000002</v>
      </c>
      <c r="AH1446" s="296" t="s">
        <v>635</v>
      </c>
    </row>
    <row r="1447" spans="1:34" ht="15" customHeight="1" x14ac:dyDescent="0.2">
      <c r="A1447" s="213" t="s">
        <v>2182</v>
      </c>
      <c r="B1447" s="204" t="s">
        <v>1955</v>
      </c>
      <c r="C1447" s="300" t="s">
        <v>635</v>
      </c>
      <c r="D1447" s="300">
        <v>11.514602999999999</v>
      </c>
      <c r="E1447" s="300">
        <v>22.963498999999999</v>
      </c>
      <c r="F1447" s="300">
        <v>49.671379000000002</v>
      </c>
      <c r="G1447" s="300">
        <v>68.369484</v>
      </c>
      <c r="H1447" s="300">
        <v>112.171013</v>
      </c>
      <c r="I1447" s="300">
        <v>132.70568800000001</v>
      </c>
      <c r="J1447" s="300">
        <v>142.26651000000001</v>
      </c>
      <c r="K1447" s="300">
        <v>147.13124099999999</v>
      </c>
      <c r="L1447" s="300">
        <v>153.744812</v>
      </c>
      <c r="M1447" s="300">
        <v>157.797729</v>
      </c>
      <c r="N1447" s="300">
        <v>162.251724</v>
      </c>
      <c r="O1447" s="300">
        <v>164.71771200000001</v>
      </c>
      <c r="P1447" s="300">
        <v>167.813095</v>
      </c>
      <c r="Q1447" s="300">
        <v>171.052414</v>
      </c>
      <c r="R1447" s="300">
        <v>174.242401</v>
      </c>
      <c r="S1447" s="300">
        <v>175.22340399999999</v>
      </c>
      <c r="T1447" s="300">
        <v>175.63436899999999</v>
      </c>
      <c r="U1447" s="300">
        <v>179.444107</v>
      </c>
      <c r="V1447" s="300">
        <v>180.72508199999999</v>
      </c>
      <c r="W1447" s="300">
        <v>182.05107100000001</v>
      </c>
      <c r="X1447" s="300">
        <v>182.75108299999999</v>
      </c>
      <c r="Y1447" s="300">
        <v>183.36515800000001</v>
      </c>
      <c r="Z1447" s="300">
        <v>183.36515800000001</v>
      </c>
      <c r="AA1447" s="300">
        <v>183.845078</v>
      </c>
      <c r="AB1447" s="300">
        <v>187.33445699999999</v>
      </c>
      <c r="AC1447" s="300">
        <v>187.92945900000001</v>
      </c>
      <c r="AD1447" s="300">
        <v>189.390457</v>
      </c>
      <c r="AE1447" s="300">
        <v>189.69944799999999</v>
      </c>
      <c r="AF1447" s="300">
        <v>189.71443199999999</v>
      </c>
      <c r="AG1447" s="300">
        <v>189.71443199999999</v>
      </c>
      <c r="AH1447" s="206" t="s">
        <v>635</v>
      </c>
    </row>
    <row r="1449" spans="1:34" ht="15" customHeight="1" x14ac:dyDescent="0.2">
      <c r="A1449" s="213" t="s">
        <v>2183</v>
      </c>
      <c r="B1449" s="204" t="s">
        <v>2184</v>
      </c>
      <c r="C1449" s="300">
        <v>1091.1827390000001</v>
      </c>
      <c r="D1449" s="300">
        <v>1119.1138920000001</v>
      </c>
      <c r="E1449" s="300">
        <v>1150.4555660000001</v>
      </c>
      <c r="F1449" s="300">
        <v>1169.0982670000001</v>
      </c>
      <c r="G1449" s="300">
        <v>1205.248169</v>
      </c>
      <c r="H1449" s="300">
        <v>1209.0737300000001</v>
      </c>
      <c r="I1449" s="300">
        <v>1228.0858149999999</v>
      </c>
      <c r="J1449" s="300">
        <v>1247.7983400000001</v>
      </c>
      <c r="K1449" s="300">
        <v>1260.8057859999999</v>
      </c>
      <c r="L1449" s="300">
        <v>1276.334717</v>
      </c>
      <c r="M1449" s="300">
        <v>1293.48938</v>
      </c>
      <c r="N1449" s="300">
        <v>1308.30249</v>
      </c>
      <c r="O1449" s="300">
        <v>1325.267456</v>
      </c>
      <c r="P1449" s="300">
        <v>1340.3210449999999</v>
      </c>
      <c r="Q1449" s="300">
        <v>1359.775513</v>
      </c>
      <c r="R1449" s="300">
        <v>1388.575073</v>
      </c>
      <c r="S1449" s="300">
        <v>1404.1320800000001</v>
      </c>
      <c r="T1449" s="300">
        <v>1422.667236</v>
      </c>
      <c r="U1449" s="300">
        <v>1438.288818</v>
      </c>
      <c r="V1449" s="300">
        <v>1452.977173</v>
      </c>
      <c r="W1449" s="300">
        <v>1468.3198239999999</v>
      </c>
      <c r="X1449" s="300">
        <v>1488.4730219999999</v>
      </c>
      <c r="Y1449" s="300">
        <v>1505.68335</v>
      </c>
      <c r="Z1449" s="300">
        <v>1530.4383539999999</v>
      </c>
      <c r="AA1449" s="300">
        <v>1551.645996</v>
      </c>
      <c r="AB1449" s="300">
        <v>1575.524414</v>
      </c>
      <c r="AC1449" s="300">
        <v>1602.107788</v>
      </c>
      <c r="AD1449" s="300">
        <v>1629.6739500000001</v>
      </c>
      <c r="AE1449" s="300">
        <v>1654.709106</v>
      </c>
      <c r="AF1449" s="300">
        <v>1683.1467290000001</v>
      </c>
      <c r="AG1449" s="300">
        <v>1709.8660890000001</v>
      </c>
      <c r="AH1449" s="206">
        <v>1.5084E-2</v>
      </c>
    </row>
    <row r="1451" spans="1:34" ht="15" customHeight="1" x14ac:dyDescent="0.2">
      <c r="B1451" s="204" t="s">
        <v>2185</v>
      </c>
    </row>
    <row r="1452" spans="1:34" ht="15" customHeight="1" x14ac:dyDescent="0.25">
      <c r="A1452" s="213" t="s">
        <v>2186</v>
      </c>
      <c r="B1452" s="294" t="s">
        <v>1987</v>
      </c>
      <c r="C1452" s="298">
        <v>1.9455659999999999</v>
      </c>
      <c r="D1452" s="298">
        <v>1.9162079999999999</v>
      </c>
      <c r="E1452" s="298">
        <v>1.923271</v>
      </c>
      <c r="F1452" s="298">
        <v>1.916361</v>
      </c>
      <c r="G1452" s="298">
        <v>1.917087</v>
      </c>
      <c r="H1452" s="298">
        <v>1.9145369999999999</v>
      </c>
      <c r="I1452" s="298">
        <v>1.9152309999999999</v>
      </c>
      <c r="J1452" s="298">
        <v>1.9120269999999999</v>
      </c>
      <c r="K1452" s="298">
        <v>1.9065589999999999</v>
      </c>
      <c r="L1452" s="298">
        <v>1.9021699999999999</v>
      </c>
      <c r="M1452" s="298">
        <v>1.9008309999999999</v>
      </c>
      <c r="N1452" s="298">
        <v>1.8980349999999999</v>
      </c>
      <c r="O1452" s="298">
        <v>1.8934280000000001</v>
      </c>
      <c r="P1452" s="298">
        <v>1.888752</v>
      </c>
      <c r="Q1452" s="298">
        <v>1.8847130000000001</v>
      </c>
      <c r="R1452" s="298">
        <v>1.8812199999999999</v>
      </c>
      <c r="S1452" s="298">
        <v>1.8768389999999999</v>
      </c>
      <c r="T1452" s="298">
        <v>1.8738250000000001</v>
      </c>
      <c r="U1452" s="298">
        <v>1.8718669999999999</v>
      </c>
      <c r="V1452" s="298">
        <v>1.86917</v>
      </c>
      <c r="W1452" s="298">
        <v>1.86436</v>
      </c>
      <c r="X1452" s="298">
        <v>1.861748</v>
      </c>
      <c r="Y1452" s="298">
        <v>1.86134</v>
      </c>
      <c r="Z1452" s="298">
        <v>1.8605229999999999</v>
      </c>
      <c r="AA1452" s="298">
        <v>1.856865</v>
      </c>
      <c r="AB1452" s="298">
        <v>1.8540399999999999</v>
      </c>
      <c r="AC1452" s="298">
        <v>1.85121</v>
      </c>
      <c r="AD1452" s="298">
        <v>1.8482810000000001</v>
      </c>
      <c r="AE1452" s="298">
        <v>1.846139</v>
      </c>
      <c r="AF1452" s="298">
        <v>1.8435010000000001</v>
      </c>
      <c r="AG1452" s="298">
        <v>1.842471</v>
      </c>
      <c r="AH1452" s="296">
        <v>-1.8129999999999999E-3</v>
      </c>
    </row>
    <row r="1453" spans="1:34" ht="15" customHeight="1" x14ac:dyDescent="0.25">
      <c r="A1453" s="213" t="s">
        <v>2187</v>
      </c>
      <c r="B1453" s="294" t="s">
        <v>1989</v>
      </c>
      <c r="C1453" s="298">
        <v>0.56876099999999996</v>
      </c>
      <c r="D1453" s="298">
        <v>0.56876099999999996</v>
      </c>
      <c r="E1453" s="298">
        <v>0.56876099999999996</v>
      </c>
      <c r="F1453" s="298">
        <v>0.56876099999999996</v>
      </c>
      <c r="G1453" s="298">
        <v>0.56876099999999996</v>
      </c>
      <c r="H1453" s="298">
        <v>0.56876099999999996</v>
      </c>
      <c r="I1453" s="298">
        <v>0.56876099999999996</v>
      </c>
      <c r="J1453" s="298">
        <v>0.56876099999999996</v>
      </c>
      <c r="K1453" s="298">
        <v>0.56876099999999996</v>
      </c>
      <c r="L1453" s="298">
        <v>0.56876099999999996</v>
      </c>
      <c r="M1453" s="298">
        <v>0.56876099999999996</v>
      </c>
      <c r="N1453" s="298">
        <v>0.56876099999999996</v>
      </c>
      <c r="O1453" s="298">
        <v>0.56876099999999996</v>
      </c>
      <c r="P1453" s="298">
        <v>0.56876099999999996</v>
      </c>
      <c r="Q1453" s="298">
        <v>0.56876099999999996</v>
      </c>
      <c r="R1453" s="298">
        <v>0.56876099999999996</v>
      </c>
      <c r="S1453" s="298">
        <v>0.56876099999999996</v>
      </c>
      <c r="T1453" s="298">
        <v>0.56876099999999996</v>
      </c>
      <c r="U1453" s="298">
        <v>0.56876099999999996</v>
      </c>
      <c r="V1453" s="298">
        <v>0.56876099999999996</v>
      </c>
      <c r="W1453" s="298">
        <v>0.56876099999999996</v>
      </c>
      <c r="X1453" s="298">
        <v>0.56876099999999996</v>
      </c>
      <c r="Y1453" s="298">
        <v>0.56876099999999996</v>
      </c>
      <c r="Z1453" s="298">
        <v>0.56876099999999996</v>
      </c>
      <c r="AA1453" s="298">
        <v>0.56876099999999996</v>
      </c>
      <c r="AB1453" s="298">
        <v>0.56876099999999996</v>
      </c>
      <c r="AC1453" s="298">
        <v>0.56876099999999996</v>
      </c>
      <c r="AD1453" s="298">
        <v>0.56876099999999996</v>
      </c>
      <c r="AE1453" s="298">
        <v>0.56876099999999996</v>
      </c>
      <c r="AF1453" s="298">
        <v>0.56876099999999996</v>
      </c>
      <c r="AG1453" s="298">
        <v>0.56876099999999996</v>
      </c>
      <c r="AH1453" s="296">
        <v>0</v>
      </c>
    </row>
    <row r="1454" spans="1:34" ht="15" customHeight="1" x14ac:dyDescent="0.25">
      <c r="A1454" s="213" t="s">
        <v>2188</v>
      </c>
      <c r="B1454" s="294" t="s">
        <v>2005</v>
      </c>
      <c r="C1454" s="298">
        <v>17.831686000000001</v>
      </c>
      <c r="D1454" s="298">
        <v>18.386904000000001</v>
      </c>
      <c r="E1454" s="298">
        <v>18.697222</v>
      </c>
      <c r="F1454" s="298">
        <v>18.957474000000001</v>
      </c>
      <c r="G1454" s="298">
        <v>19.263421999999998</v>
      </c>
      <c r="H1454" s="298">
        <v>19.579841999999999</v>
      </c>
      <c r="I1454" s="298">
        <v>19.905450999999999</v>
      </c>
      <c r="J1454" s="298">
        <v>20.228674000000002</v>
      </c>
      <c r="K1454" s="298">
        <v>20.547729</v>
      </c>
      <c r="L1454" s="298">
        <v>20.866522</v>
      </c>
      <c r="M1454" s="298">
        <v>21.181988</v>
      </c>
      <c r="N1454" s="298">
        <v>21.502617000000001</v>
      </c>
      <c r="O1454" s="298">
        <v>21.819427000000001</v>
      </c>
      <c r="P1454" s="298">
        <v>22.148674</v>
      </c>
      <c r="Q1454" s="298">
        <v>22.481110000000001</v>
      </c>
      <c r="R1454" s="298">
        <v>22.825357</v>
      </c>
      <c r="S1454" s="298">
        <v>23.171721000000002</v>
      </c>
      <c r="T1454" s="298">
        <v>23.531199000000001</v>
      </c>
      <c r="U1454" s="298">
        <v>23.905407</v>
      </c>
      <c r="V1454" s="298">
        <v>24.285782000000001</v>
      </c>
      <c r="W1454" s="298">
        <v>24.672688999999998</v>
      </c>
      <c r="X1454" s="298">
        <v>25.086331999999999</v>
      </c>
      <c r="Y1454" s="298">
        <v>25.538333999999999</v>
      </c>
      <c r="Z1454" s="298">
        <v>26.024467000000001</v>
      </c>
      <c r="AA1454" s="298">
        <v>26.545335999999999</v>
      </c>
      <c r="AB1454" s="298">
        <v>27.102906999999998</v>
      </c>
      <c r="AC1454" s="298">
        <v>27.714338000000001</v>
      </c>
      <c r="AD1454" s="298">
        <v>28.384644000000002</v>
      </c>
      <c r="AE1454" s="298">
        <v>29.104814999999999</v>
      </c>
      <c r="AF1454" s="298">
        <v>29.909388</v>
      </c>
      <c r="AG1454" s="298">
        <v>30.811388000000001</v>
      </c>
      <c r="AH1454" s="296">
        <v>1.8397E-2</v>
      </c>
    </row>
    <row r="1455" spans="1:34" ht="15" customHeight="1" x14ac:dyDescent="0.25">
      <c r="A1455" s="213" t="s">
        <v>2189</v>
      </c>
      <c r="B1455" s="294" t="s">
        <v>2190</v>
      </c>
      <c r="C1455" s="298">
        <v>2.8463500000000002</v>
      </c>
      <c r="D1455" s="298">
        <v>2.8697499999999998</v>
      </c>
      <c r="E1455" s="298">
        <v>2.88985</v>
      </c>
      <c r="F1455" s="298">
        <v>2.88985</v>
      </c>
      <c r="G1455" s="298">
        <v>2.88985</v>
      </c>
      <c r="H1455" s="298">
        <v>2.88985</v>
      </c>
      <c r="I1455" s="298">
        <v>2.88985</v>
      </c>
      <c r="J1455" s="298">
        <v>2.88985</v>
      </c>
      <c r="K1455" s="298">
        <v>2.88985</v>
      </c>
      <c r="L1455" s="298">
        <v>2.88985</v>
      </c>
      <c r="M1455" s="298">
        <v>2.88985</v>
      </c>
      <c r="N1455" s="298">
        <v>2.88985</v>
      </c>
      <c r="O1455" s="298">
        <v>2.88985</v>
      </c>
      <c r="P1455" s="298">
        <v>2.88985</v>
      </c>
      <c r="Q1455" s="298">
        <v>2.88985</v>
      </c>
      <c r="R1455" s="298">
        <v>2.88985</v>
      </c>
      <c r="S1455" s="298">
        <v>2.88985</v>
      </c>
      <c r="T1455" s="298">
        <v>2.88985</v>
      </c>
      <c r="U1455" s="298">
        <v>2.88985</v>
      </c>
      <c r="V1455" s="298">
        <v>2.88985</v>
      </c>
      <c r="W1455" s="298">
        <v>2.88985</v>
      </c>
      <c r="X1455" s="298">
        <v>2.88985</v>
      </c>
      <c r="Y1455" s="298">
        <v>2.88985</v>
      </c>
      <c r="Z1455" s="298">
        <v>2.88985</v>
      </c>
      <c r="AA1455" s="298">
        <v>2.88985</v>
      </c>
      <c r="AB1455" s="298">
        <v>2.88985</v>
      </c>
      <c r="AC1455" s="298">
        <v>2.88985</v>
      </c>
      <c r="AD1455" s="298">
        <v>2.88985</v>
      </c>
      <c r="AE1455" s="298">
        <v>2.88985</v>
      </c>
      <c r="AF1455" s="298">
        <v>2.88985</v>
      </c>
      <c r="AG1455" s="298">
        <v>2.88985</v>
      </c>
      <c r="AH1455" s="296">
        <v>5.0600000000000005E-4</v>
      </c>
    </row>
    <row r="1456" spans="1:34" ht="15" customHeight="1" x14ac:dyDescent="0.25">
      <c r="A1456" s="213" t="s">
        <v>2191</v>
      </c>
      <c r="B1456" s="294" t="s">
        <v>2133</v>
      </c>
      <c r="C1456" s="298">
        <v>40.204085999999997</v>
      </c>
      <c r="D1456" s="298">
        <v>45.794772999999999</v>
      </c>
      <c r="E1456" s="298">
        <v>50.165283000000002</v>
      </c>
      <c r="F1456" s="298">
        <v>53.555939000000002</v>
      </c>
      <c r="G1456" s="298">
        <v>56.964775000000003</v>
      </c>
      <c r="H1456" s="298">
        <v>61.143611999999997</v>
      </c>
      <c r="I1456" s="298">
        <v>64.998230000000007</v>
      </c>
      <c r="J1456" s="298">
        <v>69.505959000000004</v>
      </c>
      <c r="K1456" s="298">
        <v>73.251761999999999</v>
      </c>
      <c r="L1456" s="298">
        <v>77.222190999999995</v>
      </c>
      <c r="M1456" s="298">
        <v>80.608063000000001</v>
      </c>
      <c r="N1456" s="298">
        <v>84.733490000000003</v>
      </c>
      <c r="O1456" s="298">
        <v>87.935989000000006</v>
      </c>
      <c r="P1456" s="298">
        <v>92.388412000000002</v>
      </c>
      <c r="Q1456" s="298">
        <v>96.020149000000004</v>
      </c>
      <c r="R1456" s="298">
        <v>100.682922</v>
      </c>
      <c r="S1456" s="298">
        <v>105.456856</v>
      </c>
      <c r="T1456" s="298">
        <v>109.659538</v>
      </c>
      <c r="U1456" s="298">
        <v>113.974236</v>
      </c>
      <c r="V1456" s="298">
        <v>118.359932</v>
      </c>
      <c r="W1456" s="298">
        <v>123.065933</v>
      </c>
      <c r="X1456" s="298">
        <v>127.90439600000001</v>
      </c>
      <c r="Y1456" s="298">
        <v>133.101654</v>
      </c>
      <c r="Z1456" s="298">
        <v>137.038071</v>
      </c>
      <c r="AA1456" s="298">
        <v>142.079071</v>
      </c>
      <c r="AB1456" s="298">
        <v>147.006531</v>
      </c>
      <c r="AC1456" s="298">
        <v>152.32553100000001</v>
      </c>
      <c r="AD1456" s="298">
        <v>157.884232</v>
      </c>
      <c r="AE1456" s="298">
        <v>163.121948</v>
      </c>
      <c r="AF1456" s="298">
        <v>167.82435599999999</v>
      </c>
      <c r="AG1456" s="298">
        <v>172.67489599999999</v>
      </c>
      <c r="AH1456" s="296">
        <v>4.9780999999999999E-2</v>
      </c>
    </row>
    <row r="1457" spans="1:34" ht="15" customHeight="1" x14ac:dyDescent="0.25">
      <c r="A1457" s="213" t="s">
        <v>2192</v>
      </c>
      <c r="B1457" s="294" t="s">
        <v>2193</v>
      </c>
      <c r="C1457" s="298">
        <v>0.63580000000000003</v>
      </c>
      <c r="D1457" s="298">
        <v>0.63580000000000003</v>
      </c>
      <c r="E1457" s="298">
        <v>0.68579999999999997</v>
      </c>
      <c r="F1457" s="298">
        <v>0.68579999999999997</v>
      </c>
      <c r="G1457" s="298">
        <v>0.68579999999999997</v>
      </c>
      <c r="H1457" s="298">
        <v>0.68579999999999997</v>
      </c>
      <c r="I1457" s="298">
        <v>0.68579999999999997</v>
      </c>
      <c r="J1457" s="298">
        <v>0.68579999999999997</v>
      </c>
      <c r="K1457" s="298">
        <v>0.68579999999999997</v>
      </c>
      <c r="L1457" s="298">
        <v>0.68579999999999997</v>
      </c>
      <c r="M1457" s="298">
        <v>0.68579999999999997</v>
      </c>
      <c r="N1457" s="298">
        <v>0.68579999999999997</v>
      </c>
      <c r="O1457" s="298">
        <v>0.68579999999999997</v>
      </c>
      <c r="P1457" s="298">
        <v>0.68579999999999997</v>
      </c>
      <c r="Q1457" s="298">
        <v>0.68579999999999997</v>
      </c>
      <c r="R1457" s="298">
        <v>0.68579999999999997</v>
      </c>
      <c r="S1457" s="298">
        <v>0.68579999999999997</v>
      </c>
      <c r="T1457" s="298">
        <v>0.68579999999999997</v>
      </c>
      <c r="U1457" s="298">
        <v>0.68579999999999997</v>
      </c>
      <c r="V1457" s="298">
        <v>0.68579999999999997</v>
      </c>
      <c r="W1457" s="298">
        <v>0.68579999999999997</v>
      </c>
      <c r="X1457" s="298">
        <v>0.68579999999999997</v>
      </c>
      <c r="Y1457" s="298">
        <v>0.68579999999999997</v>
      </c>
      <c r="Z1457" s="298">
        <v>0.68579999999999997</v>
      </c>
      <c r="AA1457" s="298">
        <v>0.68579999999999997</v>
      </c>
      <c r="AB1457" s="298">
        <v>0.68579999999999997</v>
      </c>
      <c r="AC1457" s="298">
        <v>0.68579999999999997</v>
      </c>
      <c r="AD1457" s="298">
        <v>0.68579999999999997</v>
      </c>
      <c r="AE1457" s="298">
        <v>0.68579999999999997</v>
      </c>
      <c r="AF1457" s="298">
        <v>0.68579999999999997</v>
      </c>
      <c r="AG1457" s="298">
        <v>0.68579999999999997</v>
      </c>
      <c r="AH1457" s="296">
        <v>2.5270000000000002E-3</v>
      </c>
    </row>
    <row r="1458" spans="1:34" ht="15" customHeight="1" x14ac:dyDescent="0.2">
      <c r="A1458" s="213" t="s">
        <v>2194</v>
      </c>
      <c r="B1458" s="204" t="s">
        <v>1955</v>
      </c>
      <c r="C1458" s="300">
        <v>64.032248999999993</v>
      </c>
      <c r="D1458" s="300">
        <v>70.172195000000002</v>
      </c>
      <c r="E1458" s="300">
        <v>74.930190999999994</v>
      </c>
      <c r="F1458" s="300">
        <v>78.574188000000007</v>
      </c>
      <c r="G1458" s="300">
        <v>82.289696000000006</v>
      </c>
      <c r="H1458" s="300">
        <v>86.782402000000005</v>
      </c>
      <c r="I1458" s="300">
        <v>90.963325999999995</v>
      </c>
      <c r="J1458" s="300">
        <v>95.791077000000001</v>
      </c>
      <c r="K1458" s="300">
        <v>99.850464000000002</v>
      </c>
      <c r="L1458" s="300">
        <v>104.1353</v>
      </c>
      <c r="M1458" s="300">
        <v>107.835289</v>
      </c>
      <c r="N1458" s="300">
        <v>112.278549</v>
      </c>
      <c r="O1458" s="300">
        <v>115.79325900000001</v>
      </c>
      <c r="P1458" s="300">
        <v>120.570251</v>
      </c>
      <c r="Q1458" s="300">
        <v>124.53037999999999</v>
      </c>
      <c r="R1458" s="300">
        <v>129.533905</v>
      </c>
      <c r="S1458" s="300">
        <v>134.64982599999999</v>
      </c>
      <c r="T1458" s="300">
        <v>139.208969</v>
      </c>
      <c r="U1458" s="300">
        <v>143.89591999999999</v>
      </c>
      <c r="V1458" s="300">
        <v>148.659302</v>
      </c>
      <c r="W1458" s="300">
        <v>153.74739099999999</v>
      </c>
      <c r="X1458" s="300">
        <v>158.99688699999999</v>
      </c>
      <c r="Y1458" s="300">
        <v>164.64575199999999</v>
      </c>
      <c r="Z1458" s="300">
        <v>169.067474</v>
      </c>
      <c r="AA1458" s="300">
        <v>174.62567100000001</v>
      </c>
      <c r="AB1458" s="300">
        <v>180.10787999999999</v>
      </c>
      <c r="AC1458" s="300">
        <v>186.035492</v>
      </c>
      <c r="AD1458" s="300">
        <v>192.26156599999999</v>
      </c>
      <c r="AE1458" s="300">
        <v>198.21731600000001</v>
      </c>
      <c r="AF1458" s="300">
        <v>203.72164900000001</v>
      </c>
      <c r="AG1458" s="300">
        <v>209.47316000000001</v>
      </c>
      <c r="AH1458" s="206">
        <v>4.0298E-2</v>
      </c>
    </row>
    <row r="1460" spans="1:34" ht="15" customHeight="1" x14ac:dyDescent="0.2">
      <c r="A1460" s="213" t="s">
        <v>2195</v>
      </c>
      <c r="B1460" s="204" t="s">
        <v>2196</v>
      </c>
      <c r="C1460" s="300" t="s">
        <v>635</v>
      </c>
      <c r="D1460" s="300">
        <v>6.169308</v>
      </c>
      <c r="E1460" s="300">
        <v>10.927299</v>
      </c>
      <c r="F1460" s="300">
        <v>14.588191</v>
      </c>
      <c r="G1460" s="300">
        <v>18.303711</v>
      </c>
      <c r="H1460" s="300">
        <v>22.798962</v>
      </c>
      <c r="I1460" s="300">
        <v>26.979879</v>
      </c>
      <c r="J1460" s="300">
        <v>31.810841</v>
      </c>
      <c r="K1460" s="300">
        <v>35.875698</v>
      </c>
      <c r="L1460" s="300">
        <v>40.164898000000001</v>
      </c>
      <c r="M1460" s="300">
        <v>43.920802999999999</v>
      </c>
      <c r="N1460" s="300">
        <v>48.366852000000002</v>
      </c>
      <c r="O1460" s="300">
        <v>52.029449</v>
      </c>
      <c r="P1460" s="300">
        <v>56.811123000000002</v>
      </c>
      <c r="Q1460" s="300">
        <v>60.775298999999997</v>
      </c>
      <c r="R1460" s="300">
        <v>65.782318000000004</v>
      </c>
      <c r="S1460" s="300">
        <v>70.902634000000006</v>
      </c>
      <c r="T1460" s="300">
        <v>75.464805999999996</v>
      </c>
      <c r="U1460" s="300">
        <v>80.153687000000005</v>
      </c>
      <c r="V1460" s="300">
        <v>84.919776999999996</v>
      </c>
      <c r="W1460" s="300">
        <v>90.013908000000001</v>
      </c>
      <c r="X1460" s="300">
        <v>95.265991</v>
      </c>
      <c r="Y1460" s="300">
        <v>100.91526</v>
      </c>
      <c r="Z1460" s="300">
        <v>105.40896600000001</v>
      </c>
      <c r="AA1460" s="300">
        <v>110.970879</v>
      </c>
      <c r="AB1460" s="300">
        <v>116.455887</v>
      </c>
      <c r="AC1460" s="300">
        <v>122.38629899999999</v>
      </c>
      <c r="AD1460" s="300">
        <v>128.615341</v>
      </c>
      <c r="AE1460" s="300">
        <v>134.57324199999999</v>
      </c>
      <c r="AF1460" s="300">
        <v>140.08019999999999</v>
      </c>
      <c r="AG1460" s="300">
        <v>145.83279400000001</v>
      </c>
      <c r="AH1460" s="206" t="s">
        <v>635</v>
      </c>
    </row>
    <row r="1461" spans="1:34" ht="15" customHeight="1" thickBot="1" x14ac:dyDescent="0.25"/>
    <row r="1462" spans="1:34" ht="15" customHeight="1" x14ac:dyDescent="0.2">
      <c r="B1462" s="305" t="s">
        <v>2197</v>
      </c>
      <c r="C1462" s="305"/>
      <c r="D1462" s="305"/>
      <c r="E1462" s="305"/>
      <c r="F1462" s="305"/>
      <c r="G1462" s="305"/>
      <c r="H1462" s="305"/>
      <c r="I1462" s="305"/>
      <c r="J1462" s="305"/>
      <c r="K1462" s="305"/>
      <c r="L1462" s="305"/>
      <c r="M1462" s="305"/>
      <c r="N1462" s="305"/>
      <c r="O1462" s="305"/>
      <c r="P1462" s="305"/>
      <c r="Q1462" s="305"/>
      <c r="R1462" s="305"/>
      <c r="S1462" s="305"/>
      <c r="T1462" s="305"/>
      <c r="U1462" s="305"/>
      <c r="V1462" s="305"/>
      <c r="W1462" s="305"/>
      <c r="X1462" s="305"/>
      <c r="Y1462" s="305"/>
      <c r="Z1462" s="305"/>
      <c r="AA1462" s="305"/>
      <c r="AB1462" s="305"/>
      <c r="AC1462" s="305"/>
      <c r="AD1462" s="305"/>
      <c r="AE1462" s="305"/>
      <c r="AF1462" s="305"/>
      <c r="AG1462" s="305"/>
      <c r="AH1462" s="305"/>
    </row>
    <row r="1463" spans="1:34" ht="15" customHeight="1" x14ac:dyDescent="0.2">
      <c r="B1463" s="208" t="s">
        <v>2198</v>
      </c>
    </row>
    <row r="1464" spans="1:34" ht="15" customHeight="1" x14ac:dyDescent="0.2">
      <c r="B1464" s="208" t="s">
        <v>2199</v>
      </c>
    </row>
    <row r="1465" spans="1:34" ht="15" customHeight="1" x14ac:dyDescent="0.2">
      <c r="B1465" s="208" t="s">
        <v>2200</v>
      </c>
    </row>
    <row r="1466" spans="1:34" ht="15" customHeight="1" x14ac:dyDescent="0.2">
      <c r="B1466" s="208" t="s">
        <v>2201</v>
      </c>
    </row>
    <row r="1467" spans="1:34" ht="15" customHeight="1" x14ac:dyDescent="0.2">
      <c r="B1467" s="208" t="s">
        <v>2202</v>
      </c>
    </row>
    <row r="1468" spans="1:34" ht="15" customHeight="1" x14ac:dyDescent="0.2">
      <c r="B1468" s="208" t="s">
        <v>2203</v>
      </c>
    </row>
    <row r="1469" spans="1:34" ht="15" customHeight="1" x14ac:dyDescent="0.2">
      <c r="B1469" s="208" t="s">
        <v>2204</v>
      </c>
    </row>
    <row r="1470" spans="1:34" ht="15" customHeight="1" x14ac:dyDescent="0.2">
      <c r="B1470" s="208" t="s">
        <v>2205</v>
      </c>
    </row>
    <row r="1471" spans="1:34" ht="15" customHeight="1" x14ac:dyDescent="0.2">
      <c r="B1471" s="208" t="s">
        <v>2206</v>
      </c>
    </row>
    <row r="1472" spans="1:34" ht="15" customHeight="1" x14ac:dyDescent="0.2">
      <c r="B1472" s="208" t="s">
        <v>2207</v>
      </c>
    </row>
    <row r="1473" spans="2:2" ht="15" customHeight="1" x14ac:dyDescent="0.2">
      <c r="B1473" s="208" t="s">
        <v>2208</v>
      </c>
    </row>
    <row r="1474" spans="2:2" ht="15" customHeight="1" x14ac:dyDescent="0.2">
      <c r="B1474" s="208" t="s">
        <v>2209</v>
      </c>
    </row>
    <row r="1475" spans="2:2" ht="15" customHeight="1" x14ac:dyDescent="0.2">
      <c r="B1475" s="208" t="s">
        <v>2100</v>
      </c>
    </row>
    <row r="1476" spans="2:2" ht="15" customHeight="1" x14ac:dyDescent="0.2">
      <c r="B1476" s="208" t="s">
        <v>2210</v>
      </c>
    </row>
    <row r="1477" spans="2:2" ht="15" customHeight="1" x14ac:dyDescent="0.2">
      <c r="B1477" s="208" t="s">
        <v>2211</v>
      </c>
    </row>
    <row r="1478" spans="2:2" ht="15" customHeight="1" x14ac:dyDescent="0.2">
      <c r="B1478" s="208" t="s">
        <v>2212</v>
      </c>
    </row>
    <row r="1479" spans="2:2" ht="15" customHeight="1" x14ac:dyDescent="0.2">
      <c r="B1479" s="208" t="s">
        <v>2102</v>
      </c>
    </row>
    <row r="1480" spans="2:2" ht="15" customHeight="1" x14ac:dyDescent="0.2">
      <c r="B1480" s="208" t="s">
        <v>2103</v>
      </c>
    </row>
    <row r="1481" spans="2:2" ht="15" customHeight="1" x14ac:dyDescent="0.2">
      <c r="B1481" s="208" t="s">
        <v>2213</v>
      </c>
    </row>
    <row r="1482" spans="2:2" ht="15" customHeight="1" x14ac:dyDescent="0.2">
      <c r="B1482" s="208" t="s">
        <v>2214</v>
      </c>
    </row>
    <row r="1483" spans="2:2" ht="15" customHeight="1" x14ac:dyDescent="0.2">
      <c r="B1483" s="208" t="s">
        <v>601</v>
      </c>
    </row>
    <row r="1484" spans="2:2" ht="15" customHeight="1" x14ac:dyDescent="0.2">
      <c r="B1484" s="208" t="s">
        <v>614</v>
      </c>
    </row>
    <row r="1485" spans="2:2" ht="15" customHeight="1" x14ac:dyDescent="0.2">
      <c r="B1485" s="208" t="s">
        <v>2215</v>
      </c>
    </row>
    <row r="1486" spans="2:2" ht="15" customHeight="1" x14ac:dyDescent="0.2">
      <c r="B1486" s="208" t="s">
        <v>1979</v>
      </c>
    </row>
    <row r="1535" spans="1:34" ht="15" customHeight="1" x14ac:dyDescent="0.25">
      <c r="A1535" s="213" t="s">
        <v>2216</v>
      </c>
      <c r="B1535" s="202" t="s">
        <v>1018</v>
      </c>
      <c r="AH1535" s="292" t="s">
        <v>597</v>
      </c>
    </row>
    <row r="1536" spans="1:34" ht="15" customHeight="1" x14ac:dyDescent="0.2">
      <c r="B1536" s="199" t="s">
        <v>1981</v>
      </c>
      <c r="AH1536" s="292" t="s">
        <v>598</v>
      </c>
    </row>
    <row r="1537" spans="1:34" ht="15" customHeight="1" x14ac:dyDescent="0.2">
      <c r="B1537" s="199" t="s">
        <v>124</v>
      </c>
      <c r="C1537" s="222" t="s">
        <v>124</v>
      </c>
      <c r="D1537" s="222" t="s">
        <v>124</v>
      </c>
      <c r="E1537" s="222" t="s">
        <v>124</v>
      </c>
      <c r="F1537" s="222" t="s">
        <v>124</v>
      </c>
      <c r="G1537" s="222" t="s">
        <v>124</v>
      </c>
      <c r="H1537" s="222" t="s">
        <v>124</v>
      </c>
      <c r="I1537" s="222" t="s">
        <v>124</v>
      </c>
      <c r="J1537" s="222" t="s">
        <v>124</v>
      </c>
      <c r="K1537" s="222" t="s">
        <v>124</v>
      </c>
      <c r="L1537" s="222" t="s">
        <v>124</v>
      </c>
      <c r="M1537" s="222" t="s">
        <v>124</v>
      </c>
      <c r="N1537" s="222" t="s">
        <v>124</v>
      </c>
      <c r="O1537" s="222" t="s">
        <v>124</v>
      </c>
      <c r="P1537" s="222" t="s">
        <v>124</v>
      </c>
      <c r="Q1537" s="222" t="s">
        <v>124</v>
      </c>
      <c r="R1537" s="222" t="s">
        <v>124</v>
      </c>
      <c r="S1537" s="222" t="s">
        <v>124</v>
      </c>
      <c r="T1537" s="222" t="s">
        <v>124</v>
      </c>
      <c r="U1537" s="222" t="s">
        <v>124</v>
      </c>
      <c r="V1537" s="222" t="s">
        <v>124</v>
      </c>
      <c r="W1537" s="222" t="s">
        <v>124</v>
      </c>
      <c r="X1537" s="222" t="s">
        <v>124</v>
      </c>
      <c r="Y1537" s="222" t="s">
        <v>124</v>
      </c>
      <c r="Z1537" s="222" t="s">
        <v>124</v>
      </c>
      <c r="AA1537" s="222" t="s">
        <v>124</v>
      </c>
      <c r="AB1537" s="222" t="s">
        <v>124</v>
      </c>
      <c r="AC1537" s="222" t="s">
        <v>124</v>
      </c>
      <c r="AD1537" s="222" t="s">
        <v>124</v>
      </c>
      <c r="AE1537" s="222" t="s">
        <v>124</v>
      </c>
      <c r="AF1537" s="222" t="s">
        <v>124</v>
      </c>
      <c r="AG1537" s="222" t="s">
        <v>124</v>
      </c>
      <c r="AH1537" s="292" t="s">
        <v>599</v>
      </c>
    </row>
    <row r="1538" spans="1:34" ht="15" customHeight="1" thickBot="1" x14ac:dyDescent="0.25">
      <c r="B1538" s="200" t="s">
        <v>2217</v>
      </c>
      <c r="C1538" s="200">
        <v>2020</v>
      </c>
      <c r="D1538" s="200">
        <v>2021</v>
      </c>
      <c r="E1538" s="200">
        <v>2022</v>
      </c>
      <c r="F1538" s="200">
        <v>2023</v>
      </c>
      <c r="G1538" s="200">
        <v>2024</v>
      </c>
      <c r="H1538" s="200">
        <v>2025</v>
      </c>
      <c r="I1538" s="200">
        <v>2026</v>
      </c>
      <c r="J1538" s="200">
        <v>2027</v>
      </c>
      <c r="K1538" s="200">
        <v>2028</v>
      </c>
      <c r="L1538" s="200">
        <v>2029</v>
      </c>
      <c r="M1538" s="200">
        <v>2030</v>
      </c>
      <c r="N1538" s="200">
        <v>2031</v>
      </c>
      <c r="O1538" s="200">
        <v>2032</v>
      </c>
      <c r="P1538" s="200">
        <v>2033</v>
      </c>
      <c r="Q1538" s="200">
        <v>2034</v>
      </c>
      <c r="R1538" s="200">
        <v>2035</v>
      </c>
      <c r="S1538" s="200">
        <v>2036</v>
      </c>
      <c r="T1538" s="200">
        <v>2037</v>
      </c>
      <c r="U1538" s="200">
        <v>2038</v>
      </c>
      <c r="V1538" s="200">
        <v>2039</v>
      </c>
      <c r="W1538" s="200">
        <v>2040</v>
      </c>
      <c r="X1538" s="200">
        <v>2041</v>
      </c>
      <c r="Y1538" s="200">
        <v>2042</v>
      </c>
      <c r="Z1538" s="200">
        <v>2043</v>
      </c>
      <c r="AA1538" s="200">
        <v>2044</v>
      </c>
      <c r="AB1538" s="200">
        <v>2045</v>
      </c>
      <c r="AC1538" s="200">
        <v>2046</v>
      </c>
      <c r="AD1538" s="200">
        <v>2047</v>
      </c>
      <c r="AE1538" s="200">
        <v>2048</v>
      </c>
      <c r="AF1538" s="200">
        <v>2049</v>
      </c>
      <c r="AG1538" s="200">
        <v>2050</v>
      </c>
      <c r="AH1538" s="293" t="s">
        <v>600</v>
      </c>
    </row>
    <row r="1539" spans="1:34" ht="15" customHeight="1" thickTop="1" x14ac:dyDescent="0.2"/>
    <row r="1540" spans="1:34" ht="15" customHeight="1" x14ac:dyDescent="0.2">
      <c r="B1540" s="204" t="s">
        <v>2218</v>
      </c>
    </row>
    <row r="1542" spans="1:34" ht="15" customHeight="1" x14ac:dyDescent="0.2">
      <c r="B1542" s="204" t="s">
        <v>2219</v>
      </c>
    </row>
    <row r="1543" spans="1:34" ht="15" customHeight="1" x14ac:dyDescent="0.25">
      <c r="A1543" s="213" t="s">
        <v>2220</v>
      </c>
      <c r="B1543" s="294" t="s">
        <v>2221</v>
      </c>
      <c r="C1543" s="297">
        <v>51.983494</v>
      </c>
      <c r="D1543" s="297">
        <v>51.983494</v>
      </c>
      <c r="E1543" s="297">
        <v>51.983494</v>
      </c>
      <c r="F1543" s="297">
        <v>51.983494</v>
      </c>
      <c r="G1543" s="297">
        <v>51.898598</v>
      </c>
      <c r="H1543" s="297">
        <v>50.043205</v>
      </c>
      <c r="I1543" s="297">
        <v>49.821995000000001</v>
      </c>
      <c r="J1543" s="297">
        <v>49.593604999999997</v>
      </c>
      <c r="K1543" s="297">
        <v>49.33493</v>
      </c>
      <c r="L1543" s="297">
        <v>49.068992999999999</v>
      </c>
      <c r="M1543" s="297">
        <v>48.800674000000001</v>
      </c>
      <c r="N1543" s="297">
        <v>48.396839</v>
      </c>
      <c r="O1543" s="297">
        <v>47.992995999999998</v>
      </c>
      <c r="P1543" s="297">
        <v>47.589148999999999</v>
      </c>
      <c r="Q1543" s="297">
        <v>46.932205000000003</v>
      </c>
      <c r="R1543" s="297">
        <v>46.242587999999998</v>
      </c>
      <c r="S1543" s="297">
        <v>45.544994000000003</v>
      </c>
      <c r="T1543" s="297">
        <v>44.679993000000003</v>
      </c>
      <c r="U1543" s="297">
        <v>43.845283999999999</v>
      </c>
      <c r="V1543" s="297">
        <v>42.797015999999999</v>
      </c>
      <c r="W1543" s="297">
        <v>41.690562999999997</v>
      </c>
      <c r="X1543" s="297">
        <v>40.719619999999999</v>
      </c>
      <c r="Y1543" s="297">
        <v>39.629105000000003</v>
      </c>
      <c r="Z1543" s="297">
        <v>38.538592999999999</v>
      </c>
      <c r="AA1543" s="297">
        <v>37.786071999999997</v>
      </c>
      <c r="AB1543" s="297">
        <v>37.194580000000002</v>
      </c>
      <c r="AC1543" s="297">
        <v>36.619025999999998</v>
      </c>
      <c r="AD1543" s="297">
        <v>36.218055999999997</v>
      </c>
      <c r="AE1543" s="297">
        <v>35.817089000000003</v>
      </c>
      <c r="AF1543" s="297">
        <v>35.636929000000002</v>
      </c>
      <c r="AG1543" s="297">
        <v>35.517353</v>
      </c>
      <c r="AH1543" s="296">
        <v>-1.2617E-2</v>
      </c>
    </row>
    <row r="1544" spans="1:34" ht="15" customHeight="1" x14ac:dyDescent="0.25">
      <c r="A1544" s="213" t="s">
        <v>2222</v>
      </c>
      <c r="B1544" s="294" t="s">
        <v>2223</v>
      </c>
      <c r="C1544" s="297">
        <v>208.709656</v>
      </c>
      <c r="D1544" s="297">
        <v>212.275192</v>
      </c>
      <c r="E1544" s="297">
        <v>212.66793799999999</v>
      </c>
      <c r="F1544" s="297">
        <v>225.79583700000001</v>
      </c>
      <c r="G1544" s="297">
        <v>244.19635</v>
      </c>
      <c r="H1544" s="297">
        <v>272.28259300000002</v>
      </c>
      <c r="I1544" s="297">
        <v>273.88809199999997</v>
      </c>
      <c r="J1544" s="297">
        <v>293.87350500000002</v>
      </c>
      <c r="K1544" s="297">
        <v>321.93774400000001</v>
      </c>
      <c r="L1544" s="297">
        <v>309.35983299999998</v>
      </c>
      <c r="M1544" s="297">
        <v>312.29083300000002</v>
      </c>
      <c r="N1544" s="297">
        <v>332.75064099999997</v>
      </c>
      <c r="O1544" s="297">
        <v>328.348297</v>
      </c>
      <c r="P1544" s="297">
        <v>334.013733</v>
      </c>
      <c r="Q1544" s="297">
        <v>324.28289799999999</v>
      </c>
      <c r="R1544" s="297">
        <v>311.93246499999998</v>
      </c>
      <c r="S1544" s="297">
        <v>316.07781999999997</v>
      </c>
      <c r="T1544" s="297">
        <v>322.305969</v>
      </c>
      <c r="U1544" s="297">
        <v>330.24704000000003</v>
      </c>
      <c r="V1544" s="297">
        <v>333.209991</v>
      </c>
      <c r="W1544" s="297">
        <v>329.53332499999999</v>
      </c>
      <c r="X1544" s="297">
        <v>329.93441799999999</v>
      </c>
      <c r="Y1544" s="297">
        <v>332.38171399999999</v>
      </c>
      <c r="Z1544" s="297">
        <v>335.01965300000001</v>
      </c>
      <c r="AA1544" s="297">
        <v>334.22644000000003</v>
      </c>
      <c r="AB1544" s="297">
        <v>334.72283900000002</v>
      </c>
      <c r="AC1544" s="297">
        <v>331.873199</v>
      </c>
      <c r="AD1544" s="297">
        <v>351.524384</v>
      </c>
      <c r="AE1544" s="297">
        <v>370.81015000000002</v>
      </c>
      <c r="AF1544" s="297">
        <v>381.36080900000002</v>
      </c>
      <c r="AG1544" s="297">
        <v>384.46923800000002</v>
      </c>
      <c r="AH1544" s="296">
        <v>2.0573000000000001E-2</v>
      </c>
    </row>
    <row r="1545" spans="1:34" ht="15" customHeight="1" x14ac:dyDescent="0.2">
      <c r="A1545" s="213" t="s">
        <v>2224</v>
      </c>
      <c r="B1545" s="204" t="s">
        <v>2225</v>
      </c>
      <c r="C1545" s="299">
        <v>260.69314600000001</v>
      </c>
      <c r="D1545" s="299">
        <v>264.25869799999998</v>
      </c>
      <c r="E1545" s="299">
        <v>264.65142800000001</v>
      </c>
      <c r="F1545" s="299">
        <v>277.77932700000002</v>
      </c>
      <c r="G1545" s="299">
        <v>296.09494000000001</v>
      </c>
      <c r="H1545" s="299">
        <v>322.32583599999998</v>
      </c>
      <c r="I1545" s="299">
        <v>323.71011399999998</v>
      </c>
      <c r="J1545" s="299">
        <v>343.46710200000001</v>
      </c>
      <c r="K1545" s="299">
        <v>371.27267499999999</v>
      </c>
      <c r="L1545" s="299">
        <v>358.428833</v>
      </c>
      <c r="M1545" s="299">
        <v>361.091522</v>
      </c>
      <c r="N1545" s="299">
        <v>381.147491</v>
      </c>
      <c r="O1545" s="299">
        <v>376.34130900000002</v>
      </c>
      <c r="P1545" s="299">
        <v>381.60290500000002</v>
      </c>
      <c r="Q1545" s="299">
        <v>371.21508799999998</v>
      </c>
      <c r="R1545" s="299">
        <v>358.175049</v>
      </c>
      <c r="S1545" s="299">
        <v>361.62283300000001</v>
      </c>
      <c r="T1545" s="299">
        <v>366.98599200000001</v>
      </c>
      <c r="U1545" s="299">
        <v>374.09231599999998</v>
      </c>
      <c r="V1545" s="299">
        <v>376.00701900000001</v>
      </c>
      <c r="W1545" s="299">
        <v>371.223907</v>
      </c>
      <c r="X1545" s="299">
        <v>370.65405299999998</v>
      </c>
      <c r="Y1545" s="299">
        <v>372.01080300000001</v>
      </c>
      <c r="Z1545" s="299">
        <v>373.55822799999999</v>
      </c>
      <c r="AA1545" s="299">
        <v>372.01251200000002</v>
      </c>
      <c r="AB1545" s="299">
        <v>371.91738900000001</v>
      </c>
      <c r="AC1545" s="299">
        <v>368.49224900000002</v>
      </c>
      <c r="AD1545" s="299">
        <v>387.74246199999999</v>
      </c>
      <c r="AE1545" s="299">
        <v>406.627228</v>
      </c>
      <c r="AF1545" s="299">
        <v>416.99774200000002</v>
      </c>
      <c r="AG1545" s="299">
        <v>419.98657200000002</v>
      </c>
      <c r="AH1545" s="206">
        <v>1.6022999999999999E-2</v>
      </c>
    </row>
    <row r="1547" spans="1:34" ht="15" customHeight="1" x14ac:dyDescent="0.2">
      <c r="B1547" s="204" t="s">
        <v>2226</v>
      </c>
    </row>
    <row r="1548" spans="1:34" ht="15" customHeight="1" x14ac:dyDescent="0.25">
      <c r="A1548" s="213" t="s">
        <v>2227</v>
      </c>
      <c r="B1548" s="294" t="s">
        <v>2221</v>
      </c>
      <c r="C1548" s="297">
        <v>3615.1694339999999</v>
      </c>
      <c r="D1548" s="297">
        <v>3615.1694339999999</v>
      </c>
      <c r="E1548" s="297">
        <v>3615.1694339999999</v>
      </c>
      <c r="F1548" s="297">
        <v>3615.1694339999999</v>
      </c>
      <c r="G1548" s="297">
        <v>3609.2651369999999</v>
      </c>
      <c r="H1548" s="297">
        <v>3480.2329100000002</v>
      </c>
      <c r="I1548" s="297">
        <v>3464.8491210000002</v>
      </c>
      <c r="J1548" s="297">
        <v>3448.9660640000002</v>
      </c>
      <c r="K1548" s="297">
        <v>3430.9765619999998</v>
      </c>
      <c r="L1548" s="297">
        <v>3412.4821780000002</v>
      </c>
      <c r="M1548" s="297">
        <v>3393.8217770000001</v>
      </c>
      <c r="N1548" s="297">
        <v>3365.7368160000001</v>
      </c>
      <c r="O1548" s="297">
        <v>3337.6518550000001</v>
      </c>
      <c r="P1548" s="297">
        <v>3309.5666500000002</v>
      </c>
      <c r="Q1548" s="297">
        <v>3263.8803710000002</v>
      </c>
      <c r="R1548" s="297">
        <v>3215.920654</v>
      </c>
      <c r="S1548" s="297">
        <v>3167.4064939999998</v>
      </c>
      <c r="T1548" s="297">
        <v>3107.250732</v>
      </c>
      <c r="U1548" s="297">
        <v>3049.201172</v>
      </c>
      <c r="V1548" s="297">
        <v>2976.3002929999998</v>
      </c>
      <c r="W1548" s="297">
        <v>2899.3522950000001</v>
      </c>
      <c r="X1548" s="297">
        <v>2831.8286130000001</v>
      </c>
      <c r="Y1548" s="297">
        <v>2755.9887699999999</v>
      </c>
      <c r="Z1548" s="297">
        <v>2680.1496579999998</v>
      </c>
      <c r="AA1548" s="297">
        <v>2627.8159179999998</v>
      </c>
      <c r="AB1548" s="297">
        <v>2586.6811520000001</v>
      </c>
      <c r="AC1548" s="297">
        <v>2546.654297</v>
      </c>
      <c r="AD1548" s="297">
        <v>2518.7690429999998</v>
      </c>
      <c r="AE1548" s="297">
        <v>2490.883789</v>
      </c>
      <c r="AF1548" s="297">
        <v>2478.3544919999999</v>
      </c>
      <c r="AG1548" s="297">
        <v>2470.038818</v>
      </c>
      <c r="AH1548" s="296">
        <v>-1.2617E-2</v>
      </c>
    </row>
    <row r="1549" spans="1:34" ht="15" customHeight="1" x14ac:dyDescent="0.25">
      <c r="A1549" s="213" t="s">
        <v>2228</v>
      </c>
      <c r="B1549" s="294" t="s">
        <v>2223</v>
      </c>
      <c r="C1549" s="297">
        <v>5997.3120120000003</v>
      </c>
      <c r="D1549" s="297">
        <v>8305.7529300000006</v>
      </c>
      <c r="E1549" s="297">
        <v>7685.029297</v>
      </c>
      <c r="F1549" s="297">
        <v>7415.5913090000004</v>
      </c>
      <c r="G1549" s="297">
        <v>7294.4526370000003</v>
      </c>
      <c r="H1549" s="297">
        <v>8280.8447269999997</v>
      </c>
      <c r="I1549" s="297">
        <v>8719.4296880000002</v>
      </c>
      <c r="J1549" s="297">
        <v>9431.4716800000006</v>
      </c>
      <c r="K1549" s="297">
        <v>10512.566406</v>
      </c>
      <c r="L1549" s="297">
        <v>10286.901367</v>
      </c>
      <c r="M1549" s="297">
        <v>11543.46875</v>
      </c>
      <c r="N1549" s="297">
        <v>11685.546875</v>
      </c>
      <c r="O1549" s="297">
        <v>11776.231444999999</v>
      </c>
      <c r="P1549" s="297">
        <v>12098.460938</v>
      </c>
      <c r="Q1549" s="297">
        <v>11825.288086</v>
      </c>
      <c r="R1549" s="297">
        <v>11371.614258</v>
      </c>
      <c r="S1549" s="297">
        <v>11559.149414</v>
      </c>
      <c r="T1549" s="297">
        <v>11524.317383</v>
      </c>
      <c r="U1549" s="297">
        <v>11647.184569999999</v>
      </c>
      <c r="V1549" s="297">
        <v>11699.532227</v>
      </c>
      <c r="W1549" s="297">
        <v>11501.805664</v>
      </c>
      <c r="X1549" s="297">
        <v>11526.974609000001</v>
      </c>
      <c r="Y1549" s="297">
        <v>11636.141602</v>
      </c>
      <c r="Z1549" s="297">
        <v>11556.788086</v>
      </c>
      <c r="AA1549" s="297">
        <v>11669.636719</v>
      </c>
      <c r="AB1549" s="297">
        <v>11775.779296999999</v>
      </c>
      <c r="AC1549" s="297">
        <v>11711.137694999999</v>
      </c>
      <c r="AD1549" s="297">
        <v>12388.412109000001</v>
      </c>
      <c r="AE1549" s="297">
        <v>13241.451171999999</v>
      </c>
      <c r="AF1549" s="297">
        <v>13884.694336</v>
      </c>
      <c r="AG1549" s="297">
        <v>14229.235352</v>
      </c>
      <c r="AH1549" s="296">
        <v>2.9218000000000001E-2</v>
      </c>
    </row>
    <row r="1550" spans="1:34" ht="15" customHeight="1" x14ac:dyDescent="0.2">
      <c r="A1550" s="213" t="s">
        <v>2229</v>
      </c>
      <c r="B1550" s="204" t="s">
        <v>2225</v>
      </c>
      <c r="C1550" s="299">
        <v>9612.4814449999994</v>
      </c>
      <c r="D1550" s="299">
        <v>11920.921875</v>
      </c>
      <c r="E1550" s="299">
        <v>11300.199219</v>
      </c>
      <c r="F1550" s="299">
        <v>11030.760742</v>
      </c>
      <c r="G1550" s="299">
        <v>10903.717773</v>
      </c>
      <c r="H1550" s="299">
        <v>11761.078125</v>
      </c>
      <c r="I1550" s="299">
        <v>12184.279296999999</v>
      </c>
      <c r="J1550" s="299">
        <v>12880.4375</v>
      </c>
      <c r="K1550" s="299">
        <v>13943.542969</v>
      </c>
      <c r="L1550" s="299">
        <v>13699.383789</v>
      </c>
      <c r="M1550" s="299">
        <v>14937.291015999999</v>
      </c>
      <c r="N1550" s="299">
        <v>15051.283203000001</v>
      </c>
      <c r="O1550" s="299">
        <v>15113.882812</v>
      </c>
      <c r="P1550" s="299">
        <v>15408.027344</v>
      </c>
      <c r="Q1550" s="299">
        <v>15089.167969</v>
      </c>
      <c r="R1550" s="299">
        <v>14587.535156</v>
      </c>
      <c r="S1550" s="299">
        <v>14726.555664</v>
      </c>
      <c r="T1550" s="299">
        <v>14631.568359000001</v>
      </c>
      <c r="U1550" s="299">
        <v>14696.385742</v>
      </c>
      <c r="V1550" s="299">
        <v>14675.832031</v>
      </c>
      <c r="W1550" s="299">
        <v>14401.158203000001</v>
      </c>
      <c r="X1550" s="299">
        <v>14358.802734000001</v>
      </c>
      <c r="Y1550" s="299">
        <v>14392.130859000001</v>
      </c>
      <c r="Z1550" s="299">
        <v>14236.9375</v>
      </c>
      <c r="AA1550" s="299">
        <v>14297.453125</v>
      </c>
      <c r="AB1550" s="299">
        <v>14362.460938</v>
      </c>
      <c r="AC1550" s="299">
        <v>14257.791992</v>
      </c>
      <c r="AD1550" s="299">
        <v>14907.181640999999</v>
      </c>
      <c r="AE1550" s="299">
        <v>15732.334961</v>
      </c>
      <c r="AF1550" s="299">
        <v>16363.048828000001</v>
      </c>
      <c r="AG1550" s="299">
        <v>16699.273438</v>
      </c>
      <c r="AH1550" s="206">
        <v>1.8581E-2</v>
      </c>
    </row>
    <row r="1552" spans="1:34" ht="15" customHeight="1" x14ac:dyDescent="0.2">
      <c r="B1552" s="204" t="s">
        <v>2230</v>
      </c>
    </row>
    <row r="1554" spans="1:34" ht="15" customHeight="1" x14ac:dyDescent="0.2">
      <c r="B1554" s="204" t="s">
        <v>2231</v>
      </c>
    </row>
    <row r="1555" spans="1:34" ht="15" customHeight="1" x14ac:dyDescent="0.25">
      <c r="A1555" s="213" t="s">
        <v>2232</v>
      </c>
      <c r="B1555" s="294" t="s">
        <v>2221</v>
      </c>
      <c r="C1555" s="298">
        <v>19.288084000000001</v>
      </c>
      <c r="D1555" s="298">
        <v>18.101911999999999</v>
      </c>
      <c r="E1555" s="298">
        <v>17.991903000000001</v>
      </c>
      <c r="F1555" s="298">
        <v>18.629631</v>
      </c>
      <c r="G1555" s="298">
        <v>18.629631</v>
      </c>
      <c r="H1555" s="298">
        <v>18.629631</v>
      </c>
      <c r="I1555" s="298">
        <v>18.629631</v>
      </c>
      <c r="J1555" s="298">
        <v>20.287724000000001</v>
      </c>
      <c r="K1555" s="298">
        <v>20.287724000000001</v>
      </c>
      <c r="L1555" s="298">
        <v>20.223951</v>
      </c>
      <c r="M1555" s="298">
        <v>20.160178999999999</v>
      </c>
      <c r="N1555" s="298">
        <v>20.096405000000001</v>
      </c>
      <c r="O1555" s="298">
        <v>19.813414000000002</v>
      </c>
      <c r="P1555" s="298">
        <v>19.530419999999999</v>
      </c>
      <c r="Q1555" s="298">
        <v>19.247429</v>
      </c>
      <c r="R1555" s="298">
        <v>18.964435999999999</v>
      </c>
      <c r="S1555" s="298">
        <v>18.402441</v>
      </c>
      <c r="T1555" s="298">
        <v>18.119447999999998</v>
      </c>
      <c r="U1555" s="298">
        <v>17.836458</v>
      </c>
      <c r="V1555" s="298">
        <v>17.617239000000001</v>
      </c>
      <c r="W1555" s="298">
        <v>17.398019999999999</v>
      </c>
      <c r="X1555" s="298">
        <v>17.178801</v>
      </c>
      <c r="Y1555" s="298">
        <v>17.178801</v>
      </c>
      <c r="Z1555" s="298">
        <v>17.178801</v>
      </c>
      <c r="AA1555" s="298">
        <v>17.178801</v>
      </c>
      <c r="AB1555" s="298">
        <v>17.178801</v>
      </c>
      <c r="AC1555" s="298">
        <v>17.178801</v>
      </c>
      <c r="AD1555" s="298">
        <v>17.178801</v>
      </c>
      <c r="AE1555" s="298">
        <v>17.178801</v>
      </c>
      <c r="AF1555" s="298">
        <v>17.178801</v>
      </c>
      <c r="AG1555" s="298">
        <v>17.178801</v>
      </c>
      <c r="AH1555" s="296">
        <v>-3.8530000000000001E-3</v>
      </c>
    </row>
    <row r="1556" spans="1:34" ht="15" customHeight="1" x14ac:dyDescent="0.25">
      <c r="A1556" s="213" t="s">
        <v>2233</v>
      </c>
      <c r="B1556" s="294" t="s">
        <v>2223</v>
      </c>
      <c r="C1556" s="298">
        <v>40.792923000000002</v>
      </c>
      <c r="D1556" s="298">
        <v>44.059714999999997</v>
      </c>
      <c r="E1556" s="298">
        <v>40.969036000000003</v>
      </c>
      <c r="F1556" s="298">
        <v>38.797637999999999</v>
      </c>
      <c r="G1556" s="298">
        <v>40.778892999999997</v>
      </c>
      <c r="H1556" s="298">
        <v>38.029910999999998</v>
      </c>
      <c r="I1556" s="298">
        <v>39.302318999999997</v>
      </c>
      <c r="J1556" s="298">
        <v>41.600409999999997</v>
      </c>
      <c r="K1556" s="298">
        <v>43.783157000000003</v>
      </c>
      <c r="L1556" s="298">
        <v>43.102623000000001</v>
      </c>
      <c r="M1556" s="298">
        <v>45.776130999999999</v>
      </c>
      <c r="N1556" s="298">
        <v>42.836284999999997</v>
      </c>
      <c r="O1556" s="298">
        <v>45.763911999999998</v>
      </c>
      <c r="P1556" s="298">
        <v>45.495246999999999</v>
      </c>
      <c r="Q1556" s="298">
        <v>48.092517999999998</v>
      </c>
      <c r="R1556" s="298">
        <v>47.828339</v>
      </c>
      <c r="S1556" s="298">
        <v>46.996433000000003</v>
      </c>
      <c r="T1556" s="298">
        <v>46.553730000000002</v>
      </c>
      <c r="U1556" s="298">
        <v>46.418605999999997</v>
      </c>
      <c r="V1556" s="298">
        <v>46.866858999999998</v>
      </c>
      <c r="W1556" s="298">
        <v>46.462006000000002</v>
      </c>
      <c r="X1556" s="298">
        <v>45.718243000000001</v>
      </c>
      <c r="Y1556" s="298">
        <v>44.776150000000001</v>
      </c>
      <c r="Z1556" s="298">
        <v>44.381214</v>
      </c>
      <c r="AA1556" s="298">
        <v>43.998801999999998</v>
      </c>
      <c r="AB1556" s="298">
        <v>43.387397999999997</v>
      </c>
      <c r="AC1556" s="298">
        <v>42.995628000000004</v>
      </c>
      <c r="AD1556" s="298">
        <v>42.601643000000003</v>
      </c>
      <c r="AE1556" s="298">
        <v>42.480021999999998</v>
      </c>
      <c r="AF1556" s="298">
        <v>41.217002999999998</v>
      </c>
      <c r="AG1556" s="298">
        <v>40.873607999999997</v>
      </c>
      <c r="AH1556" s="296">
        <v>6.6000000000000005E-5</v>
      </c>
    </row>
    <row r="1557" spans="1:34" ht="15" customHeight="1" x14ac:dyDescent="0.2">
      <c r="A1557" s="213" t="s">
        <v>2234</v>
      </c>
      <c r="B1557" s="204" t="s">
        <v>2235</v>
      </c>
      <c r="C1557" s="300">
        <v>60.081009000000002</v>
      </c>
      <c r="D1557" s="300">
        <v>62.161628999999998</v>
      </c>
      <c r="E1557" s="300">
        <v>58.960940999999998</v>
      </c>
      <c r="F1557" s="300">
        <v>57.427269000000003</v>
      </c>
      <c r="G1557" s="300">
        <v>59.408526999999999</v>
      </c>
      <c r="H1557" s="300">
        <v>56.659542000000002</v>
      </c>
      <c r="I1557" s="300">
        <v>57.931950000000001</v>
      </c>
      <c r="J1557" s="300">
        <v>61.888134000000001</v>
      </c>
      <c r="K1557" s="300">
        <v>64.070885000000004</v>
      </c>
      <c r="L1557" s="300">
        <v>63.326571999999999</v>
      </c>
      <c r="M1557" s="300">
        <v>65.936310000000006</v>
      </c>
      <c r="N1557" s="300">
        <v>62.932690000000001</v>
      </c>
      <c r="O1557" s="300">
        <v>65.577324000000004</v>
      </c>
      <c r="P1557" s="300">
        <v>65.025665000000004</v>
      </c>
      <c r="Q1557" s="300">
        <v>67.339950999999999</v>
      </c>
      <c r="R1557" s="300">
        <v>66.792777999999998</v>
      </c>
      <c r="S1557" s="300">
        <v>65.398871999999997</v>
      </c>
      <c r="T1557" s="300">
        <v>64.673171999999994</v>
      </c>
      <c r="U1557" s="300">
        <v>64.255065999999999</v>
      </c>
      <c r="V1557" s="300">
        <v>64.484099999999998</v>
      </c>
      <c r="W1557" s="300">
        <v>63.860027000000002</v>
      </c>
      <c r="X1557" s="300">
        <v>62.897041000000002</v>
      </c>
      <c r="Y1557" s="300">
        <v>61.954948000000002</v>
      </c>
      <c r="Z1557" s="300">
        <v>61.560009000000001</v>
      </c>
      <c r="AA1557" s="300">
        <v>61.177605</v>
      </c>
      <c r="AB1557" s="300">
        <v>60.566195999999998</v>
      </c>
      <c r="AC1557" s="300">
        <v>60.174422999999997</v>
      </c>
      <c r="AD1557" s="300">
        <v>59.780441000000003</v>
      </c>
      <c r="AE1557" s="300">
        <v>59.658825</v>
      </c>
      <c r="AF1557" s="300">
        <v>58.395802000000003</v>
      </c>
      <c r="AG1557" s="300">
        <v>58.052410000000002</v>
      </c>
      <c r="AH1557" s="206">
        <v>-1.1440000000000001E-3</v>
      </c>
    </row>
    <row r="1559" spans="1:34" ht="15" customHeight="1" x14ac:dyDescent="0.2">
      <c r="B1559" s="204" t="s">
        <v>2236</v>
      </c>
    </row>
    <row r="1560" spans="1:34" ht="15" customHeight="1" x14ac:dyDescent="0.25">
      <c r="A1560" s="213" t="s">
        <v>2237</v>
      </c>
      <c r="B1560" s="294" t="s">
        <v>2221</v>
      </c>
      <c r="C1560" s="298">
        <v>1.19574</v>
      </c>
      <c r="D1560" s="298">
        <v>1.19574</v>
      </c>
      <c r="E1560" s="298">
        <v>1.19574</v>
      </c>
      <c r="F1560" s="298">
        <v>1.19574</v>
      </c>
      <c r="G1560" s="298">
        <v>1.19574</v>
      </c>
      <c r="H1560" s="298">
        <v>1.19574</v>
      </c>
      <c r="I1560" s="298">
        <v>1.19574</v>
      </c>
      <c r="J1560" s="298">
        <v>1.19574</v>
      </c>
      <c r="K1560" s="298">
        <v>1.19574</v>
      </c>
      <c r="L1560" s="298">
        <v>1.19574</v>
      </c>
      <c r="M1560" s="298">
        <v>1.19574</v>
      </c>
      <c r="N1560" s="298">
        <v>1.076166</v>
      </c>
      <c r="O1560" s="298">
        <v>0.956592</v>
      </c>
      <c r="P1560" s="298">
        <v>0.83701800000000004</v>
      </c>
      <c r="Q1560" s="298">
        <v>0.71744399999999997</v>
      </c>
      <c r="R1560" s="298">
        <v>0.59787000000000001</v>
      </c>
      <c r="S1560" s="298">
        <v>0.478296</v>
      </c>
      <c r="T1560" s="298">
        <v>0.35872199999999999</v>
      </c>
      <c r="U1560" s="298">
        <v>0.239148</v>
      </c>
      <c r="V1560" s="298">
        <v>0.119574</v>
      </c>
      <c r="W1560" s="298">
        <v>0</v>
      </c>
      <c r="X1560" s="298">
        <v>0</v>
      </c>
      <c r="Y1560" s="298">
        <v>0</v>
      </c>
      <c r="Z1560" s="298">
        <v>0</v>
      </c>
      <c r="AA1560" s="298">
        <v>0</v>
      </c>
      <c r="AB1560" s="298">
        <v>0</v>
      </c>
      <c r="AC1560" s="298">
        <v>0</v>
      </c>
      <c r="AD1560" s="298">
        <v>0</v>
      </c>
      <c r="AE1560" s="298">
        <v>0</v>
      </c>
      <c r="AF1560" s="298">
        <v>0</v>
      </c>
      <c r="AG1560" s="298">
        <v>0</v>
      </c>
      <c r="AH1560" s="296" t="s">
        <v>635</v>
      </c>
    </row>
    <row r="1561" spans="1:34" ht="15" customHeight="1" x14ac:dyDescent="0.25">
      <c r="A1561" s="213" t="s">
        <v>2238</v>
      </c>
      <c r="B1561" s="294" t="s">
        <v>2223</v>
      </c>
      <c r="C1561" s="298">
        <v>13.198703</v>
      </c>
      <c r="D1561" s="298">
        <v>13.198703</v>
      </c>
      <c r="E1561" s="298">
        <v>13.198703</v>
      </c>
      <c r="F1561" s="298">
        <v>13.198703</v>
      </c>
      <c r="G1561" s="298">
        <v>13.198703</v>
      </c>
      <c r="H1561" s="298">
        <v>13.198703</v>
      </c>
      <c r="I1561" s="298">
        <v>13.198703</v>
      </c>
      <c r="J1561" s="298">
        <v>13.198703</v>
      </c>
      <c r="K1561" s="298">
        <v>13.198703</v>
      </c>
      <c r="L1561" s="298">
        <v>13.198703</v>
      </c>
      <c r="M1561" s="298">
        <v>13.198703</v>
      </c>
      <c r="N1561" s="298">
        <v>13.318277</v>
      </c>
      <c r="O1561" s="298">
        <v>13.437851</v>
      </c>
      <c r="P1561" s="298">
        <v>13.557425</v>
      </c>
      <c r="Q1561" s="298">
        <v>13.676999</v>
      </c>
      <c r="R1561" s="298">
        <v>13.796573</v>
      </c>
      <c r="S1561" s="298">
        <v>13.916147</v>
      </c>
      <c r="T1561" s="298">
        <v>14.035722</v>
      </c>
      <c r="U1561" s="298">
        <v>14.155295000000001</v>
      </c>
      <c r="V1561" s="298">
        <v>14.274869000000001</v>
      </c>
      <c r="W1561" s="298">
        <v>14.394444</v>
      </c>
      <c r="X1561" s="298">
        <v>14.394444</v>
      </c>
      <c r="Y1561" s="298">
        <v>14.394444</v>
      </c>
      <c r="Z1561" s="298">
        <v>14.394444</v>
      </c>
      <c r="AA1561" s="298">
        <v>14.394444</v>
      </c>
      <c r="AB1561" s="298">
        <v>14.394444</v>
      </c>
      <c r="AC1561" s="298">
        <v>14.394444</v>
      </c>
      <c r="AD1561" s="298">
        <v>14.394444</v>
      </c>
      <c r="AE1561" s="298">
        <v>14.394444</v>
      </c>
      <c r="AF1561" s="298">
        <v>14.394444</v>
      </c>
      <c r="AG1561" s="298">
        <v>14.394444</v>
      </c>
      <c r="AH1561" s="296">
        <v>2.895E-3</v>
      </c>
    </row>
    <row r="1562" spans="1:34" ht="15" customHeight="1" x14ac:dyDescent="0.2">
      <c r="A1562" s="213" t="s">
        <v>2239</v>
      </c>
      <c r="B1562" s="204" t="s">
        <v>2240</v>
      </c>
      <c r="C1562" s="300">
        <v>14.394444</v>
      </c>
      <c r="D1562" s="300">
        <v>14.394444</v>
      </c>
      <c r="E1562" s="300">
        <v>14.394444</v>
      </c>
      <c r="F1562" s="300">
        <v>14.394444</v>
      </c>
      <c r="G1562" s="300">
        <v>14.394444</v>
      </c>
      <c r="H1562" s="300">
        <v>14.394444</v>
      </c>
      <c r="I1562" s="300">
        <v>14.394444</v>
      </c>
      <c r="J1562" s="300">
        <v>14.394444</v>
      </c>
      <c r="K1562" s="300">
        <v>14.394444</v>
      </c>
      <c r="L1562" s="300">
        <v>14.394444</v>
      </c>
      <c r="M1562" s="300">
        <v>14.394444</v>
      </c>
      <c r="N1562" s="300">
        <v>14.394444</v>
      </c>
      <c r="O1562" s="300">
        <v>14.394444</v>
      </c>
      <c r="P1562" s="300">
        <v>14.394443000000001</v>
      </c>
      <c r="Q1562" s="300">
        <v>14.394444</v>
      </c>
      <c r="R1562" s="300">
        <v>14.394444</v>
      </c>
      <c r="S1562" s="300">
        <v>14.394444</v>
      </c>
      <c r="T1562" s="300">
        <v>14.394444</v>
      </c>
      <c r="U1562" s="300">
        <v>14.394444</v>
      </c>
      <c r="V1562" s="300">
        <v>14.394444</v>
      </c>
      <c r="W1562" s="300">
        <v>14.394444</v>
      </c>
      <c r="X1562" s="300">
        <v>14.394444</v>
      </c>
      <c r="Y1562" s="300">
        <v>14.394444</v>
      </c>
      <c r="Z1562" s="300">
        <v>14.394444</v>
      </c>
      <c r="AA1562" s="300">
        <v>14.394444</v>
      </c>
      <c r="AB1562" s="300">
        <v>14.394444</v>
      </c>
      <c r="AC1562" s="300">
        <v>14.394444</v>
      </c>
      <c r="AD1562" s="300">
        <v>14.394444</v>
      </c>
      <c r="AE1562" s="300">
        <v>14.394444</v>
      </c>
      <c r="AF1562" s="300">
        <v>14.394444</v>
      </c>
      <c r="AG1562" s="300">
        <v>14.394444</v>
      </c>
      <c r="AH1562" s="206">
        <v>0</v>
      </c>
    </row>
    <row r="1563" spans="1:34" ht="15" customHeight="1" thickBot="1" x14ac:dyDescent="0.25"/>
    <row r="1564" spans="1:34" ht="15" customHeight="1" x14ac:dyDescent="0.2">
      <c r="B1564" s="305" t="s">
        <v>601</v>
      </c>
      <c r="C1564" s="305"/>
      <c r="D1564" s="305"/>
      <c r="E1564" s="305"/>
      <c r="F1564" s="305"/>
      <c r="G1564" s="305"/>
      <c r="H1564" s="305"/>
      <c r="I1564" s="305"/>
      <c r="J1564" s="305"/>
      <c r="K1564" s="305"/>
      <c r="L1564" s="305"/>
      <c r="M1564" s="305"/>
      <c r="N1564" s="305"/>
      <c r="O1564" s="305"/>
      <c r="P1564" s="305"/>
      <c r="Q1564" s="305"/>
      <c r="R1564" s="305"/>
      <c r="S1564" s="305"/>
      <c r="T1564" s="305"/>
      <c r="U1564" s="305"/>
      <c r="V1564" s="305"/>
      <c r="W1564" s="305"/>
      <c r="X1564" s="305"/>
      <c r="Y1564" s="305"/>
      <c r="Z1564" s="305"/>
      <c r="AA1564" s="305"/>
      <c r="AB1564" s="305"/>
      <c r="AC1564" s="305"/>
      <c r="AD1564" s="305"/>
      <c r="AE1564" s="305"/>
      <c r="AF1564" s="305"/>
      <c r="AG1564" s="305"/>
      <c r="AH1564" s="305"/>
    </row>
    <row r="1565" spans="1:34" ht="15" customHeight="1" x14ac:dyDescent="0.2">
      <c r="B1565" s="208" t="s">
        <v>614</v>
      </c>
    </row>
    <row r="1566" spans="1:34" ht="15" customHeight="1" x14ac:dyDescent="0.2">
      <c r="B1566" s="208" t="s">
        <v>2241</v>
      </c>
    </row>
    <row r="1567" spans="1:34" ht="15" customHeight="1" x14ac:dyDescent="0.2">
      <c r="B1567" s="208" t="s">
        <v>2242</v>
      </c>
    </row>
    <row r="1568" spans="1:34" ht="15" customHeight="1" x14ac:dyDescent="0.2">
      <c r="B1568" s="208" t="s">
        <v>2243</v>
      </c>
    </row>
    <row r="1569" spans="2:2" ht="15" customHeight="1" x14ac:dyDescent="0.2">
      <c r="B1569" s="208" t="s">
        <v>2244</v>
      </c>
    </row>
    <row r="1570" spans="2:2" ht="15" customHeight="1" x14ac:dyDescent="0.2">
      <c r="B1570" s="208" t="s">
        <v>2245</v>
      </c>
    </row>
    <row r="1571" spans="2:2" ht="15" customHeight="1" x14ac:dyDescent="0.2">
      <c r="B1571" s="208" t="s">
        <v>2246</v>
      </c>
    </row>
    <row r="1585" spans="1:34" ht="15" customHeight="1" x14ac:dyDescent="0.25">
      <c r="A1585" s="213" t="s">
        <v>2247</v>
      </c>
      <c r="B1585" s="202" t="s">
        <v>1019</v>
      </c>
      <c r="AH1585" s="292" t="s">
        <v>597</v>
      </c>
    </row>
    <row r="1586" spans="1:34" ht="15" customHeight="1" x14ac:dyDescent="0.2">
      <c r="B1586" s="199" t="s">
        <v>2248</v>
      </c>
      <c r="AH1586" s="292" t="s">
        <v>598</v>
      </c>
    </row>
    <row r="1587" spans="1:34" ht="15" customHeight="1" x14ac:dyDescent="0.2">
      <c r="B1587" s="199" t="s">
        <v>124</v>
      </c>
      <c r="C1587" s="222" t="s">
        <v>124</v>
      </c>
      <c r="D1587" s="222" t="s">
        <v>124</v>
      </c>
      <c r="E1587" s="222" t="s">
        <v>124</v>
      </c>
      <c r="F1587" s="222" t="s">
        <v>124</v>
      </c>
      <c r="G1587" s="222" t="s">
        <v>124</v>
      </c>
      <c r="H1587" s="222" t="s">
        <v>124</v>
      </c>
      <c r="I1587" s="222" t="s">
        <v>124</v>
      </c>
      <c r="J1587" s="222" t="s">
        <v>124</v>
      </c>
      <c r="K1587" s="222" t="s">
        <v>124</v>
      </c>
      <c r="L1587" s="222" t="s">
        <v>124</v>
      </c>
      <c r="M1587" s="222" t="s">
        <v>124</v>
      </c>
      <c r="N1587" s="222" t="s">
        <v>124</v>
      </c>
      <c r="O1587" s="222" t="s">
        <v>124</v>
      </c>
      <c r="P1587" s="222" t="s">
        <v>124</v>
      </c>
      <c r="Q1587" s="222" t="s">
        <v>124</v>
      </c>
      <c r="R1587" s="222" t="s">
        <v>124</v>
      </c>
      <c r="S1587" s="222" t="s">
        <v>124</v>
      </c>
      <c r="T1587" s="222" t="s">
        <v>124</v>
      </c>
      <c r="U1587" s="222" t="s">
        <v>124</v>
      </c>
      <c r="V1587" s="222" t="s">
        <v>124</v>
      </c>
      <c r="W1587" s="222" t="s">
        <v>124</v>
      </c>
      <c r="X1587" s="222" t="s">
        <v>124</v>
      </c>
      <c r="Y1587" s="222" t="s">
        <v>124</v>
      </c>
      <c r="Z1587" s="222" t="s">
        <v>124</v>
      </c>
      <c r="AA1587" s="222" t="s">
        <v>124</v>
      </c>
      <c r="AB1587" s="222" t="s">
        <v>124</v>
      </c>
      <c r="AC1587" s="222" t="s">
        <v>124</v>
      </c>
      <c r="AD1587" s="222" t="s">
        <v>124</v>
      </c>
      <c r="AE1587" s="222" t="s">
        <v>124</v>
      </c>
      <c r="AF1587" s="222" t="s">
        <v>124</v>
      </c>
      <c r="AG1587" s="222" t="s">
        <v>124</v>
      </c>
      <c r="AH1587" s="292" t="s">
        <v>599</v>
      </c>
    </row>
    <row r="1588" spans="1:34" ht="15" customHeight="1" thickBot="1" x14ac:dyDescent="0.25">
      <c r="B1588" s="200" t="s">
        <v>2249</v>
      </c>
      <c r="C1588" s="200">
        <v>2020</v>
      </c>
      <c r="D1588" s="200">
        <v>2021</v>
      </c>
      <c r="E1588" s="200">
        <v>2022</v>
      </c>
      <c r="F1588" s="200">
        <v>2023</v>
      </c>
      <c r="G1588" s="200">
        <v>2024</v>
      </c>
      <c r="H1588" s="200">
        <v>2025</v>
      </c>
      <c r="I1588" s="200">
        <v>2026</v>
      </c>
      <c r="J1588" s="200">
        <v>2027</v>
      </c>
      <c r="K1588" s="200">
        <v>2028</v>
      </c>
      <c r="L1588" s="200">
        <v>2029</v>
      </c>
      <c r="M1588" s="200">
        <v>2030</v>
      </c>
      <c r="N1588" s="200">
        <v>2031</v>
      </c>
      <c r="O1588" s="200">
        <v>2032</v>
      </c>
      <c r="P1588" s="200">
        <v>2033</v>
      </c>
      <c r="Q1588" s="200">
        <v>2034</v>
      </c>
      <c r="R1588" s="200">
        <v>2035</v>
      </c>
      <c r="S1588" s="200">
        <v>2036</v>
      </c>
      <c r="T1588" s="200">
        <v>2037</v>
      </c>
      <c r="U1588" s="200">
        <v>2038</v>
      </c>
      <c r="V1588" s="200">
        <v>2039</v>
      </c>
      <c r="W1588" s="200">
        <v>2040</v>
      </c>
      <c r="X1588" s="200">
        <v>2041</v>
      </c>
      <c r="Y1588" s="200">
        <v>2042</v>
      </c>
      <c r="Z1588" s="200">
        <v>2043</v>
      </c>
      <c r="AA1588" s="200">
        <v>2044</v>
      </c>
      <c r="AB1588" s="200">
        <v>2045</v>
      </c>
      <c r="AC1588" s="200">
        <v>2046</v>
      </c>
      <c r="AD1588" s="200">
        <v>2047</v>
      </c>
      <c r="AE1588" s="200">
        <v>2048</v>
      </c>
      <c r="AF1588" s="200">
        <v>2049</v>
      </c>
      <c r="AG1588" s="200">
        <v>2050</v>
      </c>
      <c r="AH1588" s="293" t="s">
        <v>600</v>
      </c>
    </row>
    <row r="1589" spans="1:34" ht="15" customHeight="1" thickTop="1" x14ac:dyDescent="0.2"/>
    <row r="1590" spans="1:34" ht="15" customHeight="1" x14ac:dyDescent="0.2">
      <c r="B1590" s="204" t="s">
        <v>2250</v>
      </c>
    </row>
    <row r="1591" spans="1:34" ht="15" customHeight="1" x14ac:dyDescent="0.25">
      <c r="A1591" s="213" t="s">
        <v>2251</v>
      </c>
      <c r="B1591" s="294" t="s">
        <v>2252</v>
      </c>
      <c r="C1591" s="295">
        <v>11.470048</v>
      </c>
      <c r="D1591" s="295">
        <v>11.166155</v>
      </c>
      <c r="E1591" s="295">
        <v>11.626638</v>
      </c>
      <c r="F1591" s="295">
        <v>12.329649</v>
      </c>
      <c r="G1591" s="295">
        <v>12.74404</v>
      </c>
      <c r="H1591" s="295">
        <v>13.231529</v>
      </c>
      <c r="I1591" s="295">
        <v>13.497977000000001</v>
      </c>
      <c r="J1591" s="295">
        <v>13.594147</v>
      </c>
      <c r="K1591" s="295">
        <v>13.710074000000001</v>
      </c>
      <c r="L1591" s="295">
        <v>13.718638</v>
      </c>
      <c r="M1591" s="295">
        <v>13.76896</v>
      </c>
      <c r="N1591" s="295">
        <v>13.795833999999999</v>
      </c>
      <c r="O1591" s="295">
        <v>13.768938</v>
      </c>
      <c r="P1591" s="295">
        <v>13.861969</v>
      </c>
      <c r="Q1591" s="295">
        <v>13.883383</v>
      </c>
      <c r="R1591" s="295">
        <v>13.763157</v>
      </c>
      <c r="S1591" s="295">
        <v>13.566243</v>
      </c>
      <c r="T1591" s="295">
        <v>13.451651</v>
      </c>
      <c r="U1591" s="295">
        <v>13.348973000000001</v>
      </c>
      <c r="V1591" s="295">
        <v>13.283369</v>
      </c>
      <c r="W1591" s="295">
        <v>13.173889000000001</v>
      </c>
      <c r="X1591" s="295">
        <v>13.118857</v>
      </c>
      <c r="Y1591" s="295">
        <v>13.146461</v>
      </c>
      <c r="Z1591" s="295">
        <v>13.310509</v>
      </c>
      <c r="AA1591" s="295">
        <v>13.351305</v>
      </c>
      <c r="AB1591" s="295">
        <v>13.223972</v>
      </c>
      <c r="AC1591" s="295">
        <v>13.249136</v>
      </c>
      <c r="AD1591" s="295">
        <v>13.294786</v>
      </c>
      <c r="AE1591" s="295">
        <v>13.227971</v>
      </c>
      <c r="AF1591" s="295">
        <v>13.159329</v>
      </c>
      <c r="AG1591" s="295">
        <v>12.872949999999999</v>
      </c>
      <c r="AH1591" s="296">
        <v>3.8539999999999998E-3</v>
      </c>
    </row>
    <row r="1592" spans="1:34" ht="15" customHeight="1" x14ac:dyDescent="0.25">
      <c r="A1592" s="213" t="s">
        <v>2253</v>
      </c>
      <c r="B1592" s="294" t="s">
        <v>2254</v>
      </c>
      <c r="C1592" s="295">
        <v>0.45756799999999997</v>
      </c>
      <c r="D1592" s="295">
        <v>0.48552800000000002</v>
      </c>
      <c r="E1592" s="295">
        <v>0.47199999999999998</v>
      </c>
      <c r="F1592" s="295">
        <v>0.55393199999999998</v>
      </c>
      <c r="G1592" s="295">
        <v>0.57011999999999996</v>
      </c>
      <c r="H1592" s="295">
        <v>0.57450199999999996</v>
      </c>
      <c r="I1592" s="295">
        <v>0.60034299999999996</v>
      </c>
      <c r="J1592" s="295">
        <v>0.63863099999999995</v>
      </c>
      <c r="K1592" s="295">
        <v>0.62071399999999999</v>
      </c>
      <c r="L1592" s="295">
        <v>0.59733599999999998</v>
      </c>
      <c r="M1592" s="295">
        <v>0.56874000000000002</v>
      </c>
      <c r="N1592" s="295">
        <v>0.57986000000000004</v>
      </c>
      <c r="O1592" s="295">
        <v>0.63083500000000003</v>
      </c>
      <c r="P1592" s="295">
        <v>0.67189900000000002</v>
      </c>
      <c r="Q1592" s="295">
        <v>0.69072699999999998</v>
      </c>
      <c r="R1592" s="295">
        <v>0.67032400000000003</v>
      </c>
      <c r="S1592" s="295">
        <v>0.64121799999999995</v>
      </c>
      <c r="T1592" s="295">
        <v>0.61004400000000003</v>
      </c>
      <c r="U1592" s="295">
        <v>0.58114100000000002</v>
      </c>
      <c r="V1592" s="295">
        <v>0.55465699999999996</v>
      </c>
      <c r="W1592" s="295">
        <v>0.555257</v>
      </c>
      <c r="X1592" s="295">
        <v>0.59736900000000004</v>
      </c>
      <c r="Y1592" s="295">
        <v>0.60897000000000001</v>
      </c>
      <c r="Z1592" s="295">
        <v>0.740398</v>
      </c>
      <c r="AA1592" s="295">
        <v>0.79133100000000001</v>
      </c>
      <c r="AB1592" s="295">
        <v>0.75913600000000003</v>
      </c>
      <c r="AC1592" s="295">
        <v>0.73063400000000001</v>
      </c>
      <c r="AD1592" s="295">
        <v>0.70508499999999996</v>
      </c>
      <c r="AE1592" s="295">
        <v>0.68032300000000001</v>
      </c>
      <c r="AF1592" s="295">
        <v>0.65836099999999997</v>
      </c>
      <c r="AG1592" s="295">
        <v>0.61719800000000002</v>
      </c>
      <c r="AH1592" s="296">
        <v>1.0024999999999999E-2</v>
      </c>
    </row>
    <row r="1593" spans="1:34" ht="15" customHeight="1" x14ac:dyDescent="0.25">
      <c r="A1593" s="213" t="s">
        <v>2255</v>
      </c>
      <c r="B1593" s="294" t="s">
        <v>2256</v>
      </c>
      <c r="C1593" s="295">
        <v>11.01248</v>
      </c>
      <c r="D1593" s="295">
        <v>10.680626999999999</v>
      </c>
      <c r="E1593" s="295">
        <v>11.154638</v>
      </c>
      <c r="F1593" s="295">
        <v>11.775717</v>
      </c>
      <c r="G1593" s="295">
        <v>12.173921</v>
      </c>
      <c r="H1593" s="295">
        <v>12.657028</v>
      </c>
      <c r="I1593" s="295">
        <v>12.897634999999999</v>
      </c>
      <c r="J1593" s="295">
        <v>12.955515999999999</v>
      </c>
      <c r="K1593" s="295">
        <v>13.089359999999999</v>
      </c>
      <c r="L1593" s="295">
        <v>13.121302999999999</v>
      </c>
      <c r="M1593" s="295">
        <v>13.200219000000001</v>
      </c>
      <c r="N1593" s="295">
        <v>13.215973999999999</v>
      </c>
      <c r="O1593" s="295">
        <v>13.138102999999999</v>
      </c>
      <c r="P1593" s="295">
        <v>13.190071</v>
      </c>
      <c r="Q1593" s="295">
        <v>13.192655999999999</v>
      </c>
      <c r="R1593" s="295">
        <v>13.092833000000001</v>
      </c>
      <c r="S1593" s="295">
        <v>12.925025</v>
      </c>
      <c r="T1593" s="295">
        <v>12.841607</v>
      </c>
      <c r="U1593" s="295">
        <v>12.767832</v>
      </c>
      <c r="V1593" s="295">
        <v>12.728712</v>
      </c>
      <c r="W1593" s="295">
        <v>12.618632</v>
      </c>
      <c r="X1593" s="295">
        <v>12.521488</v>
      </c>
      <c r="Y1593" s="295">
        <v>12.537490999999999</v>
      </c>
      <c r="Z1593" s="295">
        <v>12.570111000000001</v>
      </c>
      <c r="AA1593" s="295">
        <v>12.559974</v>
      </c>
      <c r="AB1593" s="295">
        <v>12.464836</v>
      </c>
      <c r="AC1593" s="295">
        <v>12.518502</v>
      </c>
      <c r="AD1593" s="295">
        <v>12.589702000000001</v>
      </c>
      <c r="AE1593" s="295">
        <v>12.547648000000001</v>
      </c>
      <c r="AF1593" s="295">
        <v>12.500969</v>
      </c>
      <c r="AG1593" s="295">
        <v>12.255751</v>
      </c>
      <c r="AH1593" s="296">
        <v>3.5720000000000001E-3</v>
      </c>
    </row>
    <row r="1594" spans="1:34" ht="15" customHeight="1" x14ac:dyDescent="0.25">
      <c r="A1594" s="213" t="s">
        <v>2257</v>
      </c>
      <c r="B1594" s="294" t="s">
        <v>2258</v>
      </c>
      <c r="C1594" s="295">
        <v>2.83</v>
      </c>
      <c r="D1594" s="295">
        <v>4.5</v>
      </c>
      <c r="E1594" s="295">
        <v>4.9712199999999998</v>
      </c>
      <c r="F1594" s="295">
        <v>4.7948630000000003</v>
      </c>
      <c r="G1594" s="295">
        <v>4.4708769999999998</v>
      </c>
      <c r="H1594" s="295">
        <v>4.1980469999999999</v>
      </c>
      <c r="I1594" s="295">
        <v>4.0153160000000003</v>
      </c>
      <c r="J1594" s="295">
        <v>3.9738500000000001</v>
      </c>
      <c r="K1594" s="295">
        <v>3.8565719999999999</v>
      </c>
      <c r="L1594" s="295">
        <v>3.8475510000000002</v>
      </c>
      <c r="M1594" s="295">
        <v>3.8084790000000002</v>
      </c>
      <c r="N1594" s="295">
        <v>3.7608890000000001</v>
      </c>
      <c r="O1594" s="295">
        <v>3.7846519999999999</v>
      </c>
      <c r="P1594" s="295">
        <v>3.6419969999999999</v>
      </c>
      <c r="Q1594" s="295">
        <v>3.609391</v>
      </c>
      <c r="R1594" s="295">
        <v>3.7086260000000002</v>
      </c>
      <c r="S1594" s="295">
        <v>3.9352550000000002</v>
      </c>
      <c r="T1594" s="295">
        <v>4.0459170000000002</v>
      </c>
      <c r="U1594" s="295">
        <v>4.1426090000000002</v>
      </c>
      <c r="V1594" s="295">
        <v>4.1270639999999998</v>
      </c>
      <c r="W1594" s="295">
        <v>4.2592720000000002</v>
      </c>
      <c r="X1594" s="295">
        <v>4.3045429999999998</v>
      </c>
      <c r="Y1594" s="295">
        <v>4.3139110000000001</v>
      </c>
      <c r="Z1594" s="295">
        <v>4.1108169999999999</v>
      </c>
      <c r="AA1594" s="295">
        <v>4.0740939999999997</v>
      </c>
      <c r="AB1594" s="295">
        <v>4.18912</v>
      </c>
      <c r="AC1594" s="295">
        <v>4.1297629999999996</v>
      </c>
      <c r="AD1594" s="295">
        <v>4.11883</v>
      </c>
      <c r="AE1594" s="295">
        <v>4.2035450000000001</v>
      </c>
      <c r="AF1594" s="295">
        <v>4.2329559999999997</v>
      </c>
      <c r="AG1594" s="295">
        <v>4.4960019999999998</v>
      </c>
      <c r="AH1594" s="296">
        <v>1.555E-2</v>
      </c>
    </row>
    <row r="1595" spans="1:34" ht="15" customHeight="1" x14ac:dyDescent="0.25">
      <c r="A1595" s="213" t="s">
        <v>2259</v>
      </c>
      <c r="B1595" s="294" t="s">
        <v>2260</v>
      </c>
      <c r="C1595" s="295">
        <v>6.0529999999999999</v>
      </c>
      <c r="D1595" s="295">
        <v>7.55</v>
      </c>
      <c r="E1595" s="295">
        <v>7.7871160000000001</v>
      </c>
      <c r="F1595" s="295">
        <v>7.7474259999999999</v>
      </c>
      <c r="G1595" s="295">
        <v>7.8189669999999998</v>
      </c>
      <c r="H1595" s="295">
        <v>7.5306050000000004</v>
      </c>
      <c r="I1595" s="295">
        <v>7.5328429999999997</v>
      </c>
      <c r="J1595" s="295">
        <v>7.2361529999999998</v>
      </c>
      <c r="K1595" s="295">
        <v>7.0350460000000004</v>
      </c>
      <c r="L1595" s="295">
        <v>7.1990600000000002</v>
      </c>
      <c r="M1595" s="295">
        <v>6.9410299999999996</v>
      </c>
      <c r="N1595" s="295">
        <v>7.0474810000000003</v>
      </c>
      <c r="O1595" s="295">
        <v>6.8551500000000001</v>
      </c>
      <c r="P1595" s="295">
        <v>6.7405569999999999</v>
      </c>
      <c r="Q1595" s="295">
        <v>6.8383479999999999</v>
      </c>
      <c r="R1595" s="295">
        <v>6.9629349999999999</v>
      </c>
      <c r="S1595" s="295">
        <v>7.2243539999999999</v>
      </c>
      <c r="T1595" s="295">
        <v>7.286689</v>
      </c>
      <c r="U1595" s="295">
        <v>7.3394589999999997</v>
      </c>
      <c r="V1595" s="295">
        <v>7.5536510000000003</v>
      </c>
      <c r="W1595" s="295">
        <v>7.4658340000000001</v>
      </c>
      <c r="X1595" s="295">
        <v>7.4630619999999999</v>
      </c>
      <c r="Y1595" s="295">
        <v>7.5298569999999998</v>
      </c>
      <c r="Z1595" s="295">
        <v>7.3727359999999997</v>
      </c>
      <c r="AA1595" s="295">
        <v>7.2448629999999996</v>
      </c>
      <c r="AB1595" s="295">
        <v>7.2571969999999997</v>
      </c>
      <c r="AC1595" s="295">
        <v>7.1530839999999998</v>
      </c>
      <c r="AD1595" s="295">
        <v>7.1932530000000003</v>
      </c>
      <c r="AE1595" s="295">
        <v>7.3118949999999998</v>
      </c>
      <c r="AF1595" s="295">
        <v>7.347315</v>
      </c>
      <c r="AG1595" s="295">
        <v>7.6244709999999998</v>
      </c>
      <c r="AH1595" s="296">
        <v>7.7229999999999998E-3</v>
      </c>
    </row>
    <row r="1596" spans="1:34" ht="15" customHeight="1" x14ac:dyDescent="0.25">
      <c r="A1596" s="213" t="s">
        <v>2261</v>
      </c>
      <c r="B1596" s="294" t="s">
        <v>2262</v>
      </c>
      <c r="C1596" s="295">
        <v>3.2229999999999999</v>
      </c>
      <c r="D1596" s="295">
        <v>3.05</v>
      </c>
      <c r="E1596" s="295">
        <v>2.815896</v>
      </c>
      <c r="F1596" s="295">
        <v>2.952563</v>
      </c>
      <c r="G1596" s="295">
        <v>3.34809</v>
      </c>
      <c r="H1596" s="295">
        <v>3.3325580000000001</v>
      </c>
      <c r="I1596" s="295">
        <v>3.5175260000000002</v>
      </c>
      <c r="J1596" s="295">
        <v>3.2623030000000002</v>
      </c>
      <c r="K1596" s="295">
        <v>3.178474</v>
      </c>
      <c r="L1596" s="295">
        <v>3.3515090000000001</v>
      </c>
      <c r="M1596" s="295">
        <v>3.1325509999999999</v>
      </c>
      <c r="N1596" s="295">
        <v>3.2865920000000002</v>
      </c>
      <c r="O1596" s="295">
        <v>3.0704989999999999</v>
      </c>
      <c r="P1596" s="295">
        <v>3.09856</v>
      </c>
      <c r="Q1596" s="295">
        <v>3.228958</v>
      </c>
      <c r="R1596" s="295">
        <v>3.2543099999999998</v>
      </c>
      <c r="S1596" s="295">
        <v>3.2890990000000002</v>
      </c>
      <c r="T1596" s="295">
        <v>3.2407729999999999</v>
      </c>
      <c r="U1596" s="295">
        <v>3.19685</v>
      </c>
      <c r="V1596" s="295">
        <v>3.426587</v>
      </c>
      <c r="W1596" s="295">
        <v>3.2065619999999999</v>
      </c>
      <c r="X1596" s="295">
        <v>3.1585190000000001</v>
      </c>
      <c r="Y1596" s="295">
        <v>3.2159450000000001</v>
      </c>
      <c r="Z1596" s="295">
        <v>3.2619180000000001</v>
      </c>
      <c r="AA1596" s="295">
        <v>3.1707689999999999</v>
      </c>
      <c r="AB1596" s="295">
        <v>3.0680779999999999</v>
      </c>
      <c r="AC1596" s="295">
        <v>3.0233210000000001</v>
      </c>
      <c r="AD1596" s="295">
        <v>3.0744229999999999</v>
      </c>
      <c r="AE1596" s="295">
        <v>3.1083500000000002</v>
      </c>
      <c r="AF1596" s="295">
        <v>3.1143589999999999</v>
      </c>
      <c r="AG1596" s="295">
        <v>3.1284689999999999</v>
      </c>
      <c r="AH1596" s="296">
        <v>-9.9200000000000004E-4</v>
      </c>
    </row>
    <row r="1597" spans="1:34" ht="15" customHeight="1" x14ac:dyDescent="0.25">
      <c r="A1597" s="213" t="s">
        <v>2263</v>
      </c>
      <c r="B1597" s="294" t="s">
        <v>2264</v>
      </c>
      <c r="C1597" s="295">
        <v>4.2000000000000003E-2</v>
      </c>
      <c r="D1597" s="295">
        <v>0.29599999999999999</v>
      </c>
      <c r="E1597" s="295">
        <v>3.4250000000000003E-2</v>
      </c>
      <c r="F1597" s="295">
        <v>7.7399999999999997E-2</v>
      </c>
      <c r="G1597" s="295">
        <v>9.5630000000000007E-2</v>
      </c>
      <c r="H1597" s="295">
        <v>7.1919999999999998E-2</v>
      </c>
      <c r="I1597" s="295">
        <v>0</v>
      </c>
      <c r="J1597" s="295">
        <v>0</v>
      </c>
      <c r="K1597" s="295">
        <v>0</v>
      </c>
      <c r="L1597" s="295">
        <v>0</v>
      </c>
      <c r="M1597" s="295">
        <v>0</v>
      </c>
      <c r="N1597" s="295">
        <v>0</v>
      </c>
      <c r="O1597" s="295">
        <v>0</v>
      </c>
      <c r="P1597" s="295">
        <v>0</v>
      </c>
      <c r="Q1597" s="295">
        <v>0</v>
      </c>
      <c r="R1597" s="295">
        <v>0</v>
      </c>
      <c r="S1597" s="295">
        <v>0</v>
      </c>
      <c r="T1597" s="295">
        <v>0</v>
      </c>
      <c r="U1597" s="295">
        <v>0</v>
      </c>
      <c r="V1597" s="295">
        <v>0</v>
      </c>
      <c r="W1597" s="295">
        <v>0</v>
      </c>
      <c r="X1597" s="295">
        <v>0</v>
      </c>
      <c r="Y1597" s="295">
        <v>0</v>
      </c>
      <c r="Z1597" s="295">
        <v>0</v>
      </c>
      <c r="AA1597" s="295">
        <v>0</v>
      </c>
      <c r="AB1597" s="295">
        <v>0</v>
      </c>
      <c r="AC1597" s="295">
        <v>0</v>
      </c>
      <c r="AD1597" s="295">
        <v>0</v>
      </c>
      <c r="AE1597" s="295">
        <v>0</v>
      </c>
      <c r="AF1597" s="295">
        <v>0</v>
      </c>
      <c r="AG1597" s="295">
        <v>0</v>
      </c>
      <c r="AH1597" s="296" t="s">
        <v>635</v>
      </c>
    </row>
    <row r="1598" spans="1:34" ht="15" customHeight="1" x14ac:dyDescent="0.2">
      <c r="A1598" s="213" t="s">
        <v>2265</v>
      </c>
      <c r="B1598" s="204" t="s">
        <v>2266</v>
      </c>
      <c r="C1598" s="205">
        <v>14.342048</v>
      </c>
      <c r="D1598" s="205">
        <v>15.962154</v>
      </c>
      <c r="E1598" s="205">
        <v>16.632109</v>
      </c>
      <c r="F1598" s="205">
        <v>17.201912</v>
      </c>
      <c r="G1598" s="205">
        <v>17.310549000000002</v>
      </c>
      <c r="H1598" s="205">
        <v>17.501497000000001</v>
      </c>
      <c r="I1598" s="205">
        <v>17.513293999999998</v>
      </c>
      <c r="J1598" s="205">
        <v>17.567996999999998</v>
      </c>
      <c r="K1598" s="205">
        <v>17.566647</v>
      </c>
      <c r="L1598" s="205">
        <v>17.566189000000001</v>
      </c>
      <c r="M1598" s="205">
        <v>17.577438000000001</v>
      </c>
      <c r="N1598" s="205">
        <v>17.556723000000002</v>
      </c>
      <c r="O1598" s="205">
        <v>17.553588999999999</v>
      </c>
      <c r="P1598" s="205">
        <v>17.503966999999999</v>
      </c>
      <c r="Q1598" s="205">
        <v>17.492773</v>
      </c>
      <c r="R1598" s="205">
        <v>17.471782999999999</v>
      </c>
      <c r="S1598" s="205">
        <v>17.501498999999999</v>
      </c>
      <c r="T1598" s="205">
        <v>17.497565999999999</v>
      </c>
      <c r="U1598" s="205">
        <v>17.491582999999999</v>
      </c>
      <c r="V1598" s="205">
        <v>17.410433000000001</v>
      </c>
      <c r="W1598" s="205">
        <v>17.433160999999998</v>
      </c>
      <c r="X1598" s="205">
        <v>17.423400999999998</v>
      </c>
      <c r="Y1598" s="205">
        <v>17.460373000000001</v>
      </c>
      <c r="Z1598" s="205">
        <v>17.421326000000001</v>
      </c>
      <c r="AA1598" s="205">
        <v>17.4254</v>
      </c>
      <c r="AB1598" s="205">
        <v>17.413091999999999</v>
      </c>
      <c r="AC1598" s="205">
        <v>17.378899000000001</v>
      </c>
      <c r="AD1598" s="205">
        <v>17.413616000000001</v>
      </c>
      <c r="AE1598" s="205">
        <v>17.431516999999999</v>
      </c>
      <c r="AF1598" s="205">
        <v>17.392284</v>
      </c>
      <c r="AG1598" s="205">
        <v>17.368952</v>
      </c>
      <c r="AH1598" s="206">
        <v>6.4029999999999998E-3</v>
      </c>
    </row>
    <row r="1600" spans="1:34" ht="15" customHeight="1" x14ac:dyDescent="0.25">
      <c r="A1600" s="213" t="s">
        <v>2267</v>
      </c>
      <c r="B1600" s="294" t="s">
        <v>2268</v>
      </c>
      <c r="C1600" s="295">
        <v>-3.2170000000000001</v>
      </c>
      <c r="D1600" s="295">
        <v>-3.6349999999999998</v>
      </c>
      <c r="E1600" s="295">
        <v>-4.651141</v>
      </c>
      <c r="F1600" s="295">
        <v>-5.3292469999999996</v>
      </c>
      <c r="G1600" s="295">
        <v>-5.4001570000000001</v>
      </c>
      <c r="H1600" s="295">
        <v>-5.5497290000000001</v>
      </c>
      <c r="I1600" s="295">
        <v>-5.6382760000000003</v>
      </c>
      <c r="J1600" s="295">
        <v>-5.7329999999999997</v>
      </c>
      <c r="K1600" s="295">
        <v>-5.7302470000000003</v>
      </c>
      <c r="L1600" s="295">
        <v>-5.7970759999999997</v>
      </c>
      <c r="M1600" s="295">
        <v>-5.8456650000000003</v>
      </c>
      <c r="N1600" s="295">
        <v>-5.8373629999999999</v>
      </c>
      <c r="O1600" s="295">
        <v>-5.7957419999999997</v>
      </c>
      <c r="P1600" s="295">
        <v>-5.7187890000000001</v>
      </c>
      <c r="Q1600" s="295">
        <v>-5.6927159999999999</v>
      </c>
      <c r="R1600" s="295">
        <v>-5.6125290000000003</v>
      </c>
      <c r="S1600" s="295">
        <v>-5.6133119999999996</v>
      </c>
      <c r="T1600" s="295">
        <v>-5.5743229999999997</v>
      </c>
      <c r="U1600" s="295">
        <v>-5.5322959999999997</v>
      </c>
      <c r="V1600" s="295">
        <v>-5.4503750000000002</v>
      </c>
      <c r="W1600" s="295">
        <v>-5.4566420000000004</v>
      </c>
      <c r="X1600" s="295">
        <v>-5.3855630000000003</v>
      </c>
      <c r="Y1600" s="295">
        <v>-5.3770389999999999</v>
      </c>
      <c r="Z1600" s="295">
        <v>-5.2832549999999996</v>
      </c>
      <c r="AA1600" s="295">
        <v>-5.2431390000000002</v>
      </c>
      <c r="AB1600" s="295">
        <v>-5.1371029999999998</v>
      </c>
      <c r="AC1600" s="295">
        <v>-5.0213929999999998</v>
      </c>
      <c r="AD1600" s="295">
        <v>-4.954345</v>
      </c>
      <c r="AE1600" s="295">
        <v>-4.8768459999999996</v>
      </c>
      <c r="AF1600" s="295">
        <v>-4.7428379999999999</v>
      </c>
      <c r="AG1600" s="295">
        <v>-4.6334239999999998</v>
      </c>
      <c r="AH1600" s="296">
        <v>1.2236E-2</v>
      </c>
    </row>
    <row r="1601" spans="1:34" ht="15" customHeight="1" x14ac:dyDescent="0.25">
      <c r="A1601" s="213" t="s">
        <v>2269</v>
      </c>
      <c r="B1601" s="294" t="s">
        <v>2270</v>
      </c>
      <c r="C1601" s="295">
        <v>0.97399999999999998</v>
      </c>
      <c r="D1601" s="295">
        <v>0.85199999999999998</v>
      </c>
      <c r="E1601" s="295">
        <v>0.65714099999999998</v>
      </c>
      <c r="F1601" s="295">
        <v>0.65806699999999996</v>
      </c>
      <c r="G1601" s="295">
        <v>0.65195099999999995</v>
      </c>
      <c r="H1601" s="295">
        <v>0.63885499999999995</v>
      </c>
      <c r="I1601" s="295">
        <v>0.72687000000000002</v>
      </c>
      <c r="J1601" s="295">
        <v>0.72367700000000001</v>
      </c>
      <c r="K1601" s="295">
        <v>0.71294299999999999</v>
      </c>
      <c r="L1601" s="295">
        <v>0.70142800000000005</v>
      </c>
      <c r="M1601" s="295">
        <v>0.73570500000000005</v>
      </c>
      <c r="N1601" s="295">
        <v>0.71880999999999995</v>
      </c>
      <c r="O1601" s="295">
        <v>0.71689099999999994</v>
      </c>
      <c r="P1601" s="295">
        <v>0.71673799999999999</v>
      </c>
      <c r="Q1601" s="295">
        <v>0.72099500000000005</v>
      </c>
      <c r="R1601" s="295">
        <v>0.72853699999999999</v>
      </c>
      <c r="S1601" s="295">
        <v>0.72078699999999996</v>
      </c>
      <c r="T1601" s="295">
        <v>0.72819</v>
      </c>
      <c r="U1601" s="295">
        <v>0.73358199999999996</v>
      </c>
      <c r="V1601" s="295">
        <v>0.74121199999999998</v>
      </c>
      <c r="W1601" s="295">
        <v>0.74728499999999998</v>
      </c>
      <c r="X1601" s="295">
        <v>0.76169299999999995</v>
      </c>
      <c r="Y1601" s="295">
        <v>0.76160899999999998</v>
      </c>
      <c r="Z1601" s="295">
        <v>0.76373199999999997</v>
      </c>
      <c r="AA1601" s="295">
        <v>0.76503299999999996</v>
      </c>
      <c r="AB1601" s="295">
        <v>0.773424</v>
      </c>
      <c r="AC1601" s="295">
        <v>0.75865099999999996</v>
      </c>
      <c r="AD1601" s="295">
        <v>0.76977799999999996</v>
      </c>
      <c r="AE1601" s="295">
        <v>0.79673000000000005</v>
      </c>
      <c r="AF1601" s="295">
        <v>0.79791100000000004</v>
      </c>
      <c r="AG1601" s="295">
        <v>0.762324</v>
      </c>
      <c r="AH1601" s="296">
        <v>-8.1349999999999999E-3</v>
      </c>
    </row>
    <row r="1602" spans="1:34" ht="15" customHeight="1" x14ac:dyDescent="0.25">
      <c r="A1602" s="213" t="s">
        <v>2271</v>
      </c>
      <c r="B1602" s="294" t="s">
        <v>2272</v>
      </c>
      <c r="C1602" s="295">
        <v>0.56299999999999994</v>
      </c>
      <c r="D1602" s="295">
        <v>0.69799999999999995</v>
      </c>
      <c r="E1602" s="295">
        <v>0.664354</v>
      </c>
      <c r="F1602" s="295">
        <v>0.65764800000000001</v>
      </c>
      <c r="G1602" s="295">
        <v>0.646594</v>
      </c>
      <c r="H1602" s="295">
        <v>0.64619000000000004</v>
      </c>
      <c r="I1602" s="295">
        <v>0.59942899999999999</v>
      </c>
      <c r="J1602" s="295">
        <v>0.59747700000000004</v>
      </c>
      <c r="K1602" s="295">
        <v>0.59515700000000005</v>
      </c>
      <c r="L1602" s="295">
        <v>0.58459799999999995</v>
      </c>
      <c r="M1602" s="295">
        <v>0.58313099999999995</v>
      </c>
      <c r="N1602" s="295">
        <v>0.58129600000000003</v>
      </c>
      <c r="O1602" s="295">
        <v>0.57909299999999997</v>
      </c>
      <c r="P1602" s="295">
        <v>0.57725800000000005</v>
      </c>
      <c r="Q1602" s="295">
        <v>0.57579100000000005</v>
      </c>
      <c r="R1602" s="295">
        <v>0.57395600000000002</v>
      </c>
      <c r="S1602" s="295">
        <v>0.57212099999999999</v>
      </c>
      <c r="T1602" s="295">
        <v>0.55516699999999997</v>
      </c>
      <c r="U1602" s="295">
        <v>0.55344000000000004</v>
      </c>
      <c r="V1602" s="295">
        <v>0.56661600000000001</v>
      </c>
      <c r="W1602" s="295">
        <v>0.56478099999999998</v>
      </c>
      <c r="X1602" s="295">
        <v>0.54756800000000005</v>
      </c>
      <c r="Y1602" s="295">
        <v>0.54536499999999999</v>
      </c>
      <c r="Z1602" s="295">
        <v>0.55852900000000005</v>
      </c>
      <c r="AA1602" s="295">
        <v>0.55669400000000002</v>
      </c>
      <c r="AB1602" s="295">
        <v>0.55485899999999999</v>
      </c>
      <c r="AC1602" s="295">
        <v>0.55302399999999996</v>
      </c>
      <c r="AD1602" s="295">
        <v>0.55118900000000004</v>
      </c>
      <c r="AE1602" s="295">
        <v>0.54935400000000001</v>
      </c>
      <c r="AF1602" s="295">
        <v>0.54752000000000001</v>
      </c>
      <c r="AG1602" s="295">
        <v>0.54568499999999998</v>
      </c>
      <c r="AH1602" s="296">
        <v>-1.041E-3</v>
      </c>
    </row>
    <row r="1603" spans="1:34" ht="15" customHeight="1" x14ac:dyDescent="0.25">
      <c r="A1603" s="213" t="s">
        <v>2273</v>
      </c>
      <c r="B1603" s="294" t="s">
        <v>2274</v>
      </c>
      <c r="C1603" s="295">
        <v>0.35899999999999999</v>
      </c>
      <c r="D1603" s="295">
        <v>0.442</v>
      </c>
      <c r="E1603" s="295">
        <v>0.59870400000000001</v>
      </c>
      <c r="F1603" s="295">
        <v>0.62160000000000004</v>
      </c>
      <c r="G1603" s="295">
        <v>0.63529199999999997</v>
      </c>
      <c r="H1603" s="295">
        <v>0.64027999999999996</v>
      </c>
      <c r="I1603" s="295">
        <v>0.61067099999999996</v>
      </c>
      <c r="J1603" s="295">
        <v>0.56437599999999999</v>
      </c>
      <c r="K1603" s="295">
        <v>0.525891</v>
      </c>
      <c r="L1603" s="295">
        <v>0.49632799999999999</v>
      </c>
      <c r="M1603" s="295">
        <v>0.47720600000000002</v>
      </c>
      <c r="N1603" s="295">
        <v>0.44867800000000002</v>
      </c>
      <c r="O1603" s="295">
        <v>0.42688300000000001</v>
      </c>
      <c r="P1603" s="295">
        <v>0.40750999999999998</v>
      </c>
      <c r="Q1603" s="295">
        <v>0.39602300000000001</v>
      </c>
      <c r="R1603" s="295">
        <v>0.38008700000000001</v>
      </c>
      <c r="S1603" s="295">
        <v>0.38125599999999998</v>
      </c>
      <c r="T1603" s="295">
        <v>0.37510500000000002</v>
      </c>
      <c r="U1603" s="295">
        <v>0.37070900000000001</v>
      </c>
      <c r="V1603" s="295">
        <v>0.36577599999999999</v>
      </c>
      <c r="W1603" s="295">
        <v>0.36375000000000002</v>
      </c>
      <c r="X1603" s="295">
        <v>0.35970400000000002</v>
      </c>
      <c r="Y1603" s="295">
        <v>0.35953499999999999</v>
      </c>
      <c r="Z1603" s="295">
        <v>0.36202400000000001</v>
      </c>
      <c r="AA1603" s="295">
        <v>0.36364299999999999</v>
      </c>
      <c r="AB1603" s="295">
        <v>0.36109599999999997</v>
      </c>
      <c r="AC1603" s="295">
        <v>0.36229600000000001</v>
      </c>
      <c r="AD1603" s="295">
        <v>0.36801299999999998</v>
      </c>
      <c r="AE1603" s="295">
        <v>0.37518899999999999</v>
      </c>
      <c r="AF1603" s="295">
        <v>0.381407</v>
      </c>
      <c r="AG1603" s="295">
        <v>0.38644200000000001</v>
      </c>
      <c r="AH1603" s="296">
        <v>2.4580000000000001E-3</v>
      </c>
    </row>
    <row r="1604" spans="1:34" ht="15" customHeight="1" x14ac:dyDescent="0.25">
      <c r="A1604" s="213" t="s">
        <v>2275</v>
      </c>
      <c r="B1604" s="294" t="s">
        <v>2276</v>
      </c>
      <c r="C1604" s="295">
        <v>5.1130000000000004</v>
      </c>
      <c r="D1604" s="295">
        <v>5.6269999999999998</v>
      </c>
      <c r="E1604" s="295">
        <v>6.5713400000000002</v>
      </c>
      <c r="F1604" s="295">
        <v>7.2665610000000003</v>
      </c>
      <c r="G1604" s="295">
        <v>7.3339939999999997</v>
      </c>
      <c r="H1604" s="295">
        <v>7.4750540000000001</v>
      </c>
      <c r="I1604" s="295">
        <v>7.5752449999999998</v>
      </c>
      <c r="J1604" s="295">
        <v>7.6185299999999998</v>
      </c>
      <c r="K1604" s="295">
        <v>7.5642389999999997</v>
      </c>
      <c r="L1604" s="295">
        <v>7.5794309999999996</v>
      </c>
      <c r="M1604" s="295">
        <v>7.6417060000000001</v>
      </c>
      <c r="N1604" s="295">
        <v>7.5861479999999997</v>
      </c>
      <c r="O1604" s="295">
        <v>7.5186089999999997</v>
      </c>
      <c r="P1604" s="295">
        <v>7.4202950000000003</v>
      </c>
      <c r="Q1604" s="295">
        <v>7.3855250000000003</v>
      </c>
      <c r="R1604" s="295">
        <v>7.2951090000000001</v>
      </c>
      <c r="S1604" s="295">
        <v>7.2874759999999998</v>
      </c>
      <c r="T1604" s="295">
        <v>7.2327859999999999</v>
      </c>
      <c r="U1604" s="295">
        <v>7.1900259999999996</v>
      </c>
      <c r="V1604" s="295">
        <v>7.1239809999999997</v>
      </c>
      <c r="W1604" s="295">
        <v>7.1324589999999999</v>
      </c>
      <c r="X1604" s="295">
        <v>7.0545270000000002</v>
      </c>
      <c r="Y1604" s="295">
        <v>7.0435489999999996</v>
      </c>
      <c r="Z1604" s="295">
        <v>6.9675399999999996</v>
      </c>
      <c r="AA1604" s="295">
        <v>6.9285079999999999</v>
      </c>
      <c r="AB1604" s="295">
        <v>6.8264820000000004</v>
      </c>
      <c r="AC1604" s="295">
        <v>6.6953649999999998</v>
      </c>
      <c r="AD1604" s="295">
        <v>6.6433260000000001</v>
      </c>
      <c r="AE1604" s="295">
        <v>6.5981199999999998</v>
      </c>
      <c r="AF1604" s="295">
        <v>6.4696759999999998</v>
      </c>
      <c r="AG1604" s="295">
        <v>6.3278749999999997</v>
      </c>
      <c r="AH1604" s="296">
        <v>7.1310000000000002E-3</v>
      </c>
    </row>
    <row r="1605" spans="1:34" ht="15" customHeight="1" x14ac:dyDescent="0.25">
      <c r="A1605" s="213" t="s">
        <v>2277</v>
      </c>
      <c r="B1605" s="294" t="s">
        <v>2278</v>
      </c>
      <c r="C1605" s="295">
        <v>0.96299999999999997</v>
      </c>
      <c r="D1605" s="295">
        <v>1.093</v>
      </c>
      <c r="E1605" s="295">
        <v>1.0117119999999999</v>
      </c>
      <c r="F1605" s="295">
        <v>1.0065249999999999</v>
      </c>
      <c r="G1605" s="295">
        <v>0.96884000000000003</v>
      </c>
      <c r="H1605" s="295">
        <v>0.98842300000000005</v>
      </c>
      <c r="I1605" s="295">
        <v>1.0032479999999999</v>
      </c>
      <c r="J1605" s="295">
        <v>0.99085500000000004</v>
      </c>
      <c r="K1605" s="295">
        <v>1.0011140000000001</v>
      </c>
      <c r="L1605" s="295">
        <v>1.014459</v>
      </c>
      <c r="M1605" s="295">
        <v>1.010121</v>
      </c>
      <c r="N1605" s="295">
        <v>1.013339</v>
      </c>
      <c r="O1605" s="295">
        <v>1.0182530000000001</v>
      </c>
      <c r="P1605" s="295">
        <v>1.0229220000000001</v>
      </c>
      <c r="Q1605" s="295">
        <v>1.0441290000000001</v>
      </c>
      <c r="R1605" s="295">
        <v>1.0460199999999999</v>
      </c>
      <c r="S1605" s="295">
        <v>1.0723780000000001</v>
      </c>
      <c r="T1605" s="295">
        <v>1.078819</v>
      </c>
      <c r="U1605" s="295">
        <v>1.0846420000000001</v>
      </c>
      <c r="V1605" s="295">
        <v>1.097418</v>
      </c>
      <c r="W1605" s="295">
        <v>1.0935010000000001</v>
      </c>
      <c r="X1605" s="295">
        <v>1.0956319999999999</v>
      </c>
      <c r="Y1605" s="295">
        <v>1.0993059999999999</v>
      </c>
      <c r="Z1605" s="295">
        <v>1.0833790000000001</v>
      </c>
      <c r="AA1605" s="295">
        <v>1.0780650000000001</v>
      </c>
      <c r="AB1605" s="295">
        <v>1.0754189999999999</v>
      </c>
      <c r="AC1605" s="295">
        <v>1.0785960000000001</v>
      </c>
      <c r="AD1605" s="295">
        <v>1.0819110000000001</v>
      </c>
      <c r="AE1605" s="295">
        <v>1.082935</v>
      </c>
      <c r="AF1605" s="295">
        <v>1.0811919999999999</v>
      </c>
      <c r="AG1605" s="295">
        <v>1.0882989999999999</v>
      </c>
      <c r="AH1605" s="296">
        <v>4.0860000000000002E-3</v>
      </c>
    </row>
    <row r="1606" spans="1:34" ht="15" customHeight="1" x14ac:dyDescent="0.25">
      <c r="A1606" s="213" t="s">
        <v>2279</v>
      </c>
      <c r="B1606" s="294" t="s">
        <v>2280</v>
      </c>
      <c r="C1606" s="295">
        <v>-8.3000000000000004E-2</v>
      </c>
      <c r="D1606" s="295">
        <v>5.1999999999999998E-2</v>
      </c>
      <c r="E1606" s="295">
        <v>0</v>
      </c>
      <c r="F1606" s="295">
        <v>0</v>
      </c>
      <c r="G1606" s="295">
        <v>0</v>
      </c>
      <c r="H1606" s="295">
        <v>0</v>
      </c>
      <c r="I1606" s="295">
        <v>0</v>
      </c>
      <c r="J1606" s="295">
        <v>0</v>
      </c>
      <c r="K1606" s="295">
        <v>0</v>
      </c>
      <c r="L1606" s="295">
        <v>0</v>
      </c>
      <c r="M1606" s="295">
        <v>0</v>
      </c>
      <c r="N1606" s="295">
        <v>0</v>
      </c>
      <c r="O1606" s="295">
        <v>0</v>
      </c>
      <c r="P1606" s="295">
        <v>0</v>
      </c>
      <c r="Q1606" s="295">
        <v>0</v>
      </c>
      <c r="R1606" s="295">
        <v>0</v>
      </c>
      <c r="S1606" s="295">
        <v>0</v>
      </c>
      <c r="T1606" s="295">
        <v>0</v>
      </c>
      <c r="U1606" s="295">
        <v>0</v>
      </c>
      <c r="V1606" s="295">
        <v>0</v>
      </c>
      <c r="W1606" s="295">
        <v>0</v>
      </c>
      <c r="X1606" s="295">
        <v>0</v>
      </c>
      <c r="Y1606" s="295">
        <v>0</v>
      </c>
      <c r="Z1606" s="295">
        <v>0</v>
      </c>
      <c r="AA1606" s="295">
        <v>0</v>
      </c>
      <c r="AB1606" s="295">
        <v>0</v>
      </c>
      <c r="AC1606" s="295">
        <v>0</v>
      </c>
      <c r="AD1606" s="295">
        <v>0</v>
      </c>
      <c r="AE1606" s="295">
        <v>0</v>
      </c>
      <c r="AF1606" s="295">
        <v>0</v>
      </c>
      <c r="AG1606" s="295">
        <v>0</v>
      </c>
      <c r="AH1606" s="296" t="s">
        <v>635</v>
      </c>
    </row>
    <row r="1607" spans="1:34" ht="15" customHeight="1" x14ac:dyDescent="0.25">
      <c r="A1607" s="213" t="s">
        <v>2281</v>
      </c>
      <c r="B1607" s="294" t="s">
        <v>2282</v>
      </c>
      <c r="C1607" s="295">
        <v>5.0260300000000004</v>
      </c>
      <c r="D1607" s="295">
        <v>5.2004609999999998</v>
      </c>
      <c r="E1607" s="295">
        <v>5.481331</v>
      </c>
      <c r="F1607" s="295">
        <v>5.7552029999999998</v>
      </c>
      <c r="G1607" s="295">
        <v>5.8587300000000004</v>
      </c>
      <c r="H1607" s="295">
        <v>5.8858430000000004</v>
      </c>
      <c r="I1607" s="295">
        <v>5.9625209999999997</v>
      </c>
      <c r="J1607" s="295">
        <v>6.0011109999999999</v>
      </c>
      <c r="K1607" s="295">
        <v>5.9882020000000002</v>
      </c>
      <c r="L1607" s="295">
        <v>6.0409420000000003</v>
      </c>
      <c r="M1607" s="295">
        <v>6.1231</v>
      </c>
      <c r="N1607" s="295">
        <v>6.1530800000000001</v>
      </c>
      <c r="O1607" s="295">
        <v>6.1260729999999999</v>
      </c>
      <c r="P1607" s="295">
        <v>6.1313740000000001</v>
      </c>
      <c r="Q1607" s="295">
        <v>6.1586220000000003</v>
      </c>
      <c r="R1607" s="295">
        <v>6.1530620000000003</v>
      </c>
      <c r="S1607" s="295">
        <v>6.1259759999999996</v>
      </c>
      <c r="T1607" s="295">
        <v>6.1236949999999997</v>
      </c>
      <c r="U1607" s="295">
        <v>6.1216179999999998</v>
      </c>
      <c r="V1607" s="295">
        <v>6.141864</v>
      </c>
      <c r="W1607" s="295">
        <v>6.149165</v>
      </c>
      <c r="X1607" s="295">
        <v>6.135815</v>
      </c>
      <c r="Y1607" s="295">
        <v>6.1711539999999996</v>
      </c>
      <c r="Z1607" s="295">
        <v>6.2239279999999999</v>
      </c>
      <c r="AA1607" s="295">
        <v>6.2630059999999999</v>
      </c>
      <c r="AB1607" s="295">
        <v>6.2668869999999997</v>
      </c>
      <c r="AC1607" s="295">
        <v>6.2473029999999996</v>
      </c>
      <c r="AD1607" s="295">
        <v>6.2183159999999997</v>
      </c>
      <c r="AE1607" s="295">
        <v>6.2164859999999997</v>
      </c>
      <c r="AF1607" s="295">
        <v>6.2379030000000002</v>
      </c>
      <c r="AG1607" s="295">
        <v>6.2591700000000001</v>
      </c>
      <c r="AH1607" s="296">
        <v>7.3410000000000003E-3</v>
      </c>
    </row>
    <row r="1608" spans="1:34" ht="15" customHeight="1" x14ac:dyDescent="0.25">
      <c r="A1608" s="213" t="s">
        <v>2283</v>
      </c>
      <c r="B1608" s="294" t="s">
        <v>2284</v>
      </c>
      <c r="C1608" s="295">
        <v>0.96784400000000004</v>
      </c>
      <c r="D1608" s="295">
        <v>1.0972519999999999</v>
      </c>
      <c r="E1608" s="295">
        <v>1.104007</v>
      </c>
      <c r="F1608" s="295">
        <v>1.120142</v>
      </c>
      <c r="G1608" s="295">
        <v>1.122895</v>
      </c>
      <c r="H1608" s="295">
        <v>1.126976</v>
      </c>
      <c r="I1608" s="295">
        <v>1.1305160000000001</v>
      </c>
      <c r="J1608" s="295">
        <v>1.133907</v>
      </c>
      <c r="K1608" s="295">
        <v>1.1373059999999999</v>
      </c>
      <c r="L1608" s="295">
        <v>1.1404989999999999</v>
      </c>
      <c r="M1608" s="295">
        <v>1.1440129999999999</v>
      </c>
      <c r="N1608" s="295">
        <v>1.1438699999999999</v>
      </c>
      <c r="O1608" s="295">
        <v>1.1440060000000001</v>
      </c>
      <c r="P1608" s="295">
        <v>1.1446780000000001</v>
      </c>
      <c r="Q1608" s="295">
        <v>1.1456820000000001</v>
      </c>
      <c r="R1608" s="295">
        <v>1.146916</v>
      </c>
      <c r="S1608" s="295">
        <v>1.147554</v>
      </c>
      <c r="T1608" s="295">
        <v>1.1481030000000001</v>
      </c>
      <c r="U1608" s="295">
        <v>1.148892</v>
      </c>
      <c r="V1608" s="295">
        <v>1.150137</v>
      </c>
      <c r="W1608" s="295">
        <v>1.151594</v>
      </c>
      <c r="X1608" s="295">
        <v>1.152909</v>
      </c>
      <c r="Y1608" s="295">
        <v>1.154606</v>
      </c>
      <c r="Z1608" s="295">
        <v>1.1565300000000001</v>
      </c>
      <c r="AA1608" s="295">
        <v>1.162142</v>
      </c>
      <c r="AB1608" s="295">
        <v>1.1684969999999999</v>
      </c>
      <c r="AC1608" s="295">
        <v>1.1750659999999999</v>
      </c>
      <c r="AD1608" s="295">
        <v>1.182199</v>
      </c>
      <c r="AE1608" s="295">
        <v>1.1895610000000001</v>
      </c>
      <c r="AF1608" s="295">
        <v>1.2003349999999999</v>
      </c>
      <c r="AG1608" s="295">
        <v>1.211093</v>
      </c>
      <c r="AH1608" s="296">
        <v>7.502E-3</v>
      </c>
    </row>
    <row r="1609" spans="1:34" ht="15" customHeight="1" x14ac:dyDescent="0.25">
      <c r="A1609" s="213" t="s">
        <v>2285</v>
      </c>
      <c r="B1609" s="294" t="s">
        <v>2286</v>
      </c>
      <c r="C1609" s="295">
        <v>0.80141700000000005</v>
      </c>
      <c r="D1609" s="295">
        <v>0.88364100000000001</v>
      </c>
      <c r="E1609" s="295">
        <v>0.87361299999999997</v>
      </c>
      <c r="F1609" s="295">
        <v>0.875332</v>
      </c>
      <c r="G1609" s="295">
        <v>0.87340399999999996</v>
      </c>
      <c r="H1609" s="295">
        <v>0.87484600000000001</v>
      </c>
      <c r="I1609" s="295">
        <v>0.87483200000000005</v>
      </c>
      <c r="J1609" s="295">
        <v>0.87445399999999995</v>
      </c>
      <c r="K1609" s="295">
        <v>0.87411300000000003</v>
      </c>
      <c r="L1609" s="295">
        <v>0.87324100000000004</v>
      </c>
      <c r="M1609" s="295">
        <v>0.87303399999999998</v>
      </c>
      <c r="N1609" s="295">
        <v>0.87303600000000003</v>
      </c>
      <c r="O1609" s="295">
        <v>0.87351999999999996</v>
      </c>
      <c r="P1609" s="295">
        <v>0.87534299999999998</v>
      </c>
      <c r="Q1609" s="295">
        <v>0.87804199999999999</v>
      </c>
      <c r="R1609" s="295">
        <v>0.88124800000000003</v>
      </c>
      <c r="S1609" s="295">
        <v>0.88317100000000004</v>
      </c>
      <c r="T1609" s="295">
        <v>0.88527999999999996</v>
      </c>
      <c r="U1609" s="295">
        <v>0.88780000000000003</v>
      </c>
      <c r="V1609" s="295">
        <v>0.89113900000000001</v>
      </c>
      <c r="W1609" s="295">
        <v>0.894868</v>
      </c>
      <c r="X1609" s="295">
        <v>0.89829599999999998</v>
      </c>
      <c r="Y1609" s="295">
        <v>0.90270899999999998</v>
      </c>
      <c r="Z1609" s="295">
        <v>0.90786199999999995</v>
      </c>
      <c r="AA1609" s="295">
        <v>0.91328200000000004</v>
      </c>
      <c r="AB1609" s="295">
        <v>0.91850500000000002</v>
      </c>
      <c r="AC1609" s="295">
        <v>0.92412700000000003</v>
      </c>
      <c r="AD1609" s="295">
        <v>0.92962199999999995</v>
      </c>
      <c r="AE1609" s="295">
        <v>0.935832</v>
      </c>
      <c r="AF1609" s="295">
        <v>0.94259199999999999</v>
      </c>
      <c r="AG1609" s="295">
        <v>0.94944200000000001</v>
      </c>
      <c r="AH1609" s="296">
        <v>5.666E-3</v>
      </c>
    </row>
    <row r="1610" spans="1:34" ht="15" customHeight="1" x14ac:dyDescent="0.25">
      <c r="A1610" s="213" t="s">
        <v>2287</v>
      </c>
      <c r="B1610" s="294" t="s">
        <v>2288</v>
      </c>
      <c r="C1610" s="295">
        <v>0.87758999999999998</v>
      </c>
      <c r="D1610" s="295">
        <v>0.96729900000000002</v>
      </c>
      <c r="E1610" s="295">
        <v>0.98069099999999998</v>
      </c>
      <c r="F1610" s="295">
        <v>0.98508799999999996</v>
      </c>
      <c r="G1610" s="295">
        <v>0.98917999999999995</v>
      </c>
      <c r="H1610" s="295">
        <v>0.99592199999999997</v>
      </c>
      <c r="I1610" s="295">
        <v>0.99892999999999998</v>
      </c>
      <c r="J1610" s="295">
        <v>1.0016560000000001</v>
      </c>
      <c r="K1610" s="295">
        <v>1.0044999999999999</v>
      </c>
      <c r="L1610" s="295">
        <v>1.006883</v>
      </c>
      <c r="M1610" s="295">
        <v>1.0100119999999999</v>
      </c>
      <c r="N1610" s="295">
        <v>1.0201309999999999</v>
      </c>
      <c r="O1610" s="295">
        <v>1.0242929999999999</v>
      </c>
      <c r="P1610" s="295">
        <v>1.029881</v>
      </c>
      <c r="Q1610" s="295">
        <v>1.0364420000000001</v>
      </c>
      <c r="R1610" s="295">
        <v>1.0436080000000001</v>
      </c>
      <c r="S1610" s="295">
        <v>1.049588</v>
      </c>
      <c r="T1610" s="295">
        <v>1.055866</v>
      </c>
      <c r="U1610" s="295">
        <v>1.062651</v>
      </c>
      <c r="V1610" s="295">
        <v>1.070354</v>
      </c>
      <c r="W1610" s="295">
        <v>1.078568</v>
      </c>
      <c r="X1610" s="295">
        <v>1.086592</v>
      </c>
      <c r="Y1610" s="295">
        <v>1.09571</v>
      </c>
      <c r="Z1610" s="295">
        <v>1.105691</v>
      </c>
      <c r="AA1610" s="295">
        <v>1.1160479999999999</v>
      </c>
      <c r="AB1610" s="295">
        <v>1.131383</v>
      </c>
      <c r="AC1610" s="295">
        <v>1.1371610000000001</v>
      </c>
      <c r="AD1610" s="295">
        <v>1.15791</v>
      </c>
      <c r="AE1610" s="295">
        <v>1.1698189999999999</v>
      </c>
      <c r="AF1610" s="295">
        <v>1.182431</v>
      </c>
      <c r="AG1610" s="295">
        <v>1.195287</v>
      </c>
      <c r="AH1610" s="296">
        <v>1.0352E-2</v>
      </c>
    </row>
    <row r="1611" spans="1:34" ht="15" customHeight="1" x14ac:dyDescent="0.25">
      <c r="A1611" s="213" t="s">
        <v>2289</v>
      </c>
      <c r="B1611" s="294" t="s">
        <v>2290</v>
      </c>
      <c r="C1611" s="295">
        <v>-7.6173000000000005E-2</v>
      </c>
      <c r="D1611" s="295">
        <v>-8.3657999999999996E-2</v>
      </c>
      <c r="E1611" s="295">
        <v>-0.10707800000000001</v>
      </c>
      <c r="F1611" s="295">
        <v>-0.10975600000000001</v>
      </c>
      <c r="G1611" s="295">
        <v>-0.115777</v>
      </c>
      <c r="H1611" s="295">
        <v>-0.121077</v>
      </c>
      <c r="I1611" s="295">
        <v>-0.124098</v>
      </c>
      <c r="J1611" s="295">
        <v>-0.12720200000000001</v>
      </c>
      <c r="K1611" s="295">
        <v>-0.130387</v>
      </c>
      <c r="L1611" s="295">
        <v>-0.13364200000000001</v>
      </c>
      <c r="M1611" s="295">
        <v>-0.13697799999999999</v>
      </c>
      <c r="N1611" s="295">
        <v>-0.147094</v>
      </c>
      <c r="O1611" s="295">
        <v>-0.15077299999999999</v>
      </c>
      <c r="P1611" s="295">
        <v>-0.15453800000000001</v>
      </c>
      <c r="Q1611" s="295">
        <v>-0.15840000000000001</v>
      </c>
      <c r="R1611" s="295">
        <v>-0.16236</v>
      </c>
      <c r="S1611" s="295">
        <v>-0.16641800000000001</v>
      </c>
      <c r="T1611" s="295">
        <v>-0.17058599999999999</v>
      </c>
      <c r="U1611" s="295">
        <v>-0.17485100000000001</v>
      </c>
      <c r="V1611" s="295">
        <v>-0.17921400000000001</v>
      </c>
      <c r="W1611" s="295">
        <v>-0.1837</v>
      </c>
      <c r="X1611" s="295">
        <v>-0.18829599999999999</v>
      </c>
      <c r="Y1611" s="295">
        <v>-0.19300100000000001</v>
      </c>
      <c r="Z1611" s="295">
        <v>-0.197829</v>
      </c>
      <c r="AA1611" s="295">
        <v>-0.202767</v>
      </c>
      <c r="AB1611" s="295">
        <v>-0.21287900000000001</v>
      </c>
      <c r="AC1611" s="295">
        <v>-0.213033</v>
      </c>
      <c r="AD1611" s="295">
        <v>-0.22828799999999999</v>
      </c>
      <c r="AE1611" s="295">
        <v>-0.233987</v>
      </c>
      <c r="AF1611" s="295">
        <v>-0.239839</v>
      </c>
      <c r="AG1611" s="295">
        <v>-0.24584400000000001</v>
      </c>
      <c r="AH1611" s="296">
        <v>3.9829000000000003E-2</v>
      </c>
    </row>
    <row r="1612" spans="1:34" ht="15" customHeight="1" x14ac:dyDescent="0.25">
      <c r="A1612" s="213" t="s">
        <v>2291</v>
      </c>
      <c r="B1612" s="294" t="s">
        <v>2292</v>
      </c>
      <c r="C1612" s="295">
        <v>0</v>
      </c>
      <c r="D1612" s="295">
        <v>0</v>
      </c>
      <c r="E1612" s="295">
        <v>0</v>
      </c>
      <c r="F1612" s="295">
        <v>0</v>
      </c>
      <c r="G1612" s="295">
        <v>0</v>
      </c>
      <c r="H1612" s="295">
        <v>0</v>
      </c>
      <c r="I1612" s="295">
        <v>0</v>
      </c>
      <c r="J1612" s="295">
        <v>0</v>
      </c>
      <c r="K1612" s="295">
        <v>0</v>
      </c>
      <c r="L1612" s="295">
        <v>0</v>
      </c>
      <c r="M1612" s="295">
        <v>0</v>
      </c>
      <c r="N1612" s="295">
        <v>0</v>
      </c>
      <c r="O1612" s="295">
        <v>0</v>
      </c>
      <c r="P1612" s="295">
        <v>0</v>
      </c>
      <c r="Q1612" s="295">
        <v>0</v>
      </c>
      <c r="R1612" s="295">
        <v>0</v>
      </c>
      <c r="S1612" s="295">
        <v>0</v>
      </c>
      <c r="T1612" s="295">
        <v>0</v>
      </c>
      <c r="U1612" s="295">
        <v>0</v>
      </c>
      <c r="V1612" s="295">
        <v>0</v>
      </c>
      <c r="W1612" s="295">
        <v>0</v>
      </c>
      <c r="X1612" s="295">
        <v>0</v>
      </c>
      <c r="Y1612" s="295">
        <v>0</v>
      </c>
      <c r="Z1612" s="295">
        <v>0</v>
      </c>
      <c r="AA1612" s="295">
        <v>0</v>
      </c>
      <c r="AB1612" s="295">
        <v>0</v>
      </c>
      <c r="AC1612" s="295">
        <v>0</v>
      </c>
      <c r="AD1612" s="295">
        <v>0</v>
      </c>
      <c r="AE1612" s="295">
        <v>0</v>
      </c>
      <c r="AF1612" s="295">
        <v>0</v>
      </c>
      <c r="AG1612" s="295">
        <v>0</v>
      </c>
      <c r="AH1612" s="296" t="s">
        <v>635</v>
      </c>
    </row>
    <row r="1613" spans="1:34" ht="15" customHeight="1" x14ac:dyDescent="0.25">
      <c r="A1613" s="213" t="s">
        <v>2293</v>
      </c>
      <c r="B1613" s="294" t="s">
        <v>2294</v>
      </c>
      <c r="C1613" s="295">
        <v>0.116095</v>
      </c>
      <c r="D1613" s="295">
        <v>0.13708999999999999</v>
      </c>
      <c r="E1613" s="295">
        <v>0.132302</v>
      </c>
      <c r="F1613" s="295">
        <v>0.13547300000000001</v>
      </c>
      <c r="G1613" s="295">
        <v>0.135684</v>
      </c>
      <c r="H1613" s="295">
        <v>0.13588600000000001</v>
      </c>
      <c r="I1613" s="295">
        <v>0.13608700000000001</v>
      </c>
      <c r="J1613" s="295">
        <v>0.13645499999999999</v>
      </c>
      <c r="K1613" s="295">
        <v>0.13664799999999999</v>
      </c>
      <c r="L1613" s="295">
        <v>0.13686400000000001</v>
      </c>
      <c r="M1613" s="295">
        <v>0.13761999999999999</v>
      </c>
      <c r="N1613" s="295">
        <v>0.13747100000000001</v>
      </c>
      <c r="O1613" s="295">
        <v>0.13766500000000001</v>
      </c>
      <c r="P1613" s="295">
        <v>0.13772599999999999</v>
      </c>
      <c r="Q1613" s="295">
        <v>0.13794200000000001</v>
      </c>
      <c r="R1613" s="295">
        <v>0.138158</v>
      </c>
      <c r="S1613" s="295">
        <v>0.13769100000000001</v>
      </c>
      <c r="T1613" s="295">
        <v>0.13552800000000001</v>
      </c>
      <c r="U1613" s="295">
        <v>0.134295</v>
      </c>
      <c r="V1613" s="295">
        <v>0.13447100000000001</v>
      </c>
      <c r="W1613" s="295">
        <v>0.13464599999999999</v>
      </c>
      <c r="X1613" s="295">
        <v>0.134823</v>
      </c>
      <c r="Y1613" s="295">
        <v>0.13500000000000001</v>
      </c>
      <c r="Z1613" s="295">
        <v>0.13476099999999999</v>
      </c>
      <c r="AA1613" s="295">
        <v>0.134934</v>
      </c>
      <c r="AB1613" s="295">
        <v>0.13510800000000001</v>
      </c>
      <c r="AC1613" s="295">
        <v>0.13550100000000001</v>
      </c>
      <c r="AD1613" s="295">
        <v>0.135683</v>
      </c>
      <c r="AE1613" s="295">
        <v>0.13586500000000001</v>
      </c>
      <c r="AF1613" s="295">
        <v>0.13933300000000001</v>
      </c>
      <c r="AG1613" s="295">
        <v>0.14175099999999999</v>
      </c>
      <c r="AH1613" s="296" t="s">
        <v>635</v>
      </c>
    </row>
    <row r="1614" spans="1:34" ht="15" customHeight="1" x14ac:dyDescent="0.25">
      <c r="A1614" s="213" t="s">
        <v>2295</v>
      </c>
      <c r="B1614" s="294" t="s">
        <v>2288</v>
      </c>
      <c r="C1614" s="295">
        <v>0.113</v>
      </c>
      <c r="D1614" s="295">
        <v>0.133995</v>
      </c>
      <c r="E1614" s="295">
        <v>0.12251099999999999</v>
      </c>
      <c r="F1614" s="295">
        <v>0.127495</v>
      </c>
      <c r="G1614" s="295">
        <v>0.127666</v>
      </c>
      <c r="H1614" s="295">
        <v>0.127828</v>
      </c>
      <c r="I1614" s="295">
        <v>0.12798899999999999</v>
      </c>
      <c r="J1614" s="295">
        <v>0.12831600000000001</v>
      </c>
      <c r="K1614" s="295">
        <v>0.128469</v>
      </c>
      <c r="L1614" s="295">
        <v>0.12864300000000001</v>
      </c>
      <c r="M1614" s="295">
        <v>0.129358</v>
      </c>
      <c r="N1614" s="295">
        <v>0.12916800000000001</v>
      </c>
      <c r="O1614" s="295">
        <v>0.12931999999999999</v>
      </c>
      <c r="P1614" s="295">
        <v>0.12934000000000001</v>
      </c>
      <c r="Q1614" s="295">
        <v>0.12951399999999999</v>
      </c>
      <c r="R1614" s="295">
        <v>0.129688</v>
      </c>
      <c r="S1614" s="295">
        <v>0.12917899999999999</v>
      </c>
      <c r="T1614" s="295">
        <v>0.126973</v>
      </c>
      <c r="U1614" s="295">
        <v>0.125698</v>
      </c>
      <c r="V1614" s="295">
        <v>0.12583</v>
      </c>
      <c r="W1614" s="295">
        <v>0.12596199999999999</v>
      </c>
      <c r="X1614" s="295">
        <v>0.12609500000000001</v>
      </c>
      <c r="Y1614" s="295">
        <v>0.12622900000000001</v>
      </c>
      <c r="Z1614" s="295">
        <v>0.125946</v>
      </c>
      <c r="AA1614" s="295">
        <v>0.12607499999999999</v>
      </c>
      <c r="AB1614" s="295">
        <v>0.12620500000000001</v>
      </c>
      <c r="AC1614" s="295">
        <v>0.126553</v>
      </c>
      <c r="AD1614" s="295">
        <v>0.12669</v>
      </c>
      <c r="AE1614" s="295">
        <v>0.126828</v>
      </c>
      <c r="AF1614" s="295">
        <v>0.13025</v>
      </c>
      <c r="AG1614" s="295">
        <v>0.13262299999999999</v>
      </c>
      <c r="AH1614" s="296">
        <v>5.352E-3</v>
      </c>
    </row>
    <row r="1615" spans="1:34" ht="15" customHeight="1" x14ac:dyDescent="0.25">
      <c r="A1615" s="213" t="s">
        <v>2296</v>
      </c>
      <c r="B1615" s="294" t="s">
        <v>2290</v>
      </c>
      <c r="C1615" s="295">
        <v>3.0950000000000001E-3</v>
      </c>
      <c r="D1615" s="295">
        <v>3.0950000000000001E-3</v>
      </c>
      <c r="E1615" s="295">
        <v>9.7909999999999994E-3</v>
      </c>
      <c r="F1615" s="295">
        <v>7.9780000000000007E-3</v>
      </c>
      <c r="G1615" s="295">
        <v>8.0180000000000008E-3</v>
      </c>
      <c r="H1615" s="295">
        <v>8.0579999999999992E-3</v>
      </c>
      <c r="I1615" s="295">
        <v>8.0979999999999993E-3</v>
      </c>
      <c r="J1615" s="295">
        <v>8.1390000000000004E-3</v>
      </c>
      <c r="K1615" s="295">
        <v>8.1799999999999998E-3</v>
      </c>
      <c r="L1615" s="295">
        <v>8.2199999999999999E-3</v>
      </c>
      <c r="M1615" s="295">
        <v>8.2620000000000002E-3</v>
      </c>
      <c r="N1615" s="295">
        <v>8.3029999999999996E-3</v>
      </c>
      <c r="O1615" s="295">
        <v>8.3440000000000007E-3</v>
      </c>
      <c r="P1615" s="295">
        <v>8.3859999999999994E-3</v>
      </c>
      <c r="Q1615" s="295">
        <v>8.4279999999999997E-3</v>
      </c>
      <c r="R1615" s="295">
        <v>8.4700000000000001E-3</v>
      </c>
      <c r="S1615" s="295">
        <v>8.5120000000000005E-3</v>
      </c>
      <c r="T1615" s="295">
        <v>8.5550000000000001E-3</v>
      </c>
      <c r="U1615" s="295">
        <v>8.5979999999999997E-3</v>
      </c>
      <c r="V1615" s="295">
        <v>8.6409999999999994E-3</v>
      </c>
      <c r="W1615" s="295">
        <v>8.6840000000000007E-3</v>
      </c>
      <c r="X1615" s="295">
        <v>8.7270000000000004E-3</v>
      </c>
      <c r="Y1615" s="295">
        <v>8.7709999999999993E-3</v>
      </c>
      <c r="Z1615" s="295">
        <v>8.8149999999999999E-3</v>
      </c>
      <c r="AA1615" s="295">
        <v>8.8590000000000006E-3</v>
      </c>
      <c r="AB1615" s="295">
        <v>8.9029999999999995E-3</v>
      </c>
      <c r="AC1615" s="295">
        <v>8.9479999999999994E-3</v>
      </c>
      <c r="AD1615" s="295">
        <v>8.9929999999999993E-3</v>
      </c>
      <c r="AE1615" s="295">
        <v>9.0379999999999992E-3</v>
      </c>
      <c r="AF1615" s="295">
        <v>9.0830000000000008E-3</v>
      </c>
      <c r="AG1615" s="295">
        <v>9.1280000000000007E-3</v>
      </c>
      <c r="AH1615" s="296">
        <v>3.6708999999999999E-2</v>
      </c>
    </row>
    <row r="1616" spans="1:34" ht="15" customHeight="1" x14ac:dyDescent="0.25">
      <c r="A1616" s="213" t="s">
        <v>2297</v>
      </c>
      <c r="B1616" s="294" t="s">
        <v>2292</v>
      </c>
      <c r="C1616" s="295">
        <v>0</v>
      </c>
      <c r="D1616" s="295">
        <v>0</v>
      </c>
      <c r="E1616" s="295">
        <v>0</v>
      </c>
      <c r="F1616" s="295">
        <v>0</v>
      </c>
      <c r="G1616" s="295">
        <v>0</v>
      </c>
      <c r="H1616" s="295">
        <v>0</v>
      </c>
      <c r="I1616" s="295">
        <v>0</v>
      </c>
      <c r="J1616" s="295">
        <v>0</v>
      </c>
      <c r="K1616" s="295">
        <v>0</v>
      </c>
      <c r="L1616" s="295">
        <v>0</v>
      </c>
      <c r="M1616" s="295">
        <v>0</v>
      </c>
      <c r="N1616" s="295">
        <v>0</v>
      </c>
      <c r="O1616" s="295">
        <v>0</v>
      </c>
      <c r="P1616" s="295">
        <v>0</v>
      </c>
      <c r="Q1616" s="295">
        <v>0</v>
      </c>
      <c r="R1616" s="295">
        <v>0</v>
      </c>
      <c r="S1616" s="295">
        <v>0</v>
      </c>
      <c r="T1616" s="295">
        <v>0</v>
      </c>
      <c r="U1616" s="295">
        <v>0</v>
      </c>
      <c r="V1616" s="295">
        <v>0</v>
      </c>
      <c r="W1616" s="295">
        <v>0</v>
      </c>
      <c r="X1616" s="295">
        <v>0</v>
      </c>
      <c r="Y1616" s="295">
        <v>0</v>
      </c>
      <c r="Z1616" s="295">
        <v>0</v>
      </c>
      <c r="AA1616" s="295">
        <v>0</v>
      </c>
      <c r="AB1616" s="295">
        <v>0</v>
      </c>
      <c r="AC1616" s="295">
        <v>0</v>
      </c>
      <c r="AD1616" s="295">
        <v>0</v>
      </c>
      <c r="AE1616" s="295">
        <v>0</v>
      </c>
      <c r="AF1616" s="295">
        <v>0</v>
      </c>
      <c r="AG1616" s="295">
        <v>0</v>
      </c>
      <c r="AH1616" s="296" t="s">
        <v>635</v>
      </c>
    </row>
    <row r="1617" spans="1:34" ht="15" customHeight="1" x14ac:dyDescent="0.25">
      <c r="A1617" s="213" t="s">
        <v>2298</v>
      </c>
      <c r="B1617" s="294" t="s">
        <v>2299</v>
      </c>
      <c r="C1617" s="295">
        <v>5.0332000000000002E-2</v>
      </c>
      <c r="D1617" s="295">
        <v>7.6521000000000006E-2</v>
      </c>
      <c r="E1617" s="295">
        <v>9.8091999999999999E-2</v>
      </c>
      <c r="F1617" s="295">
        <v>0.109337</v>
      </c>
      <c r="G1617" s="295">
        <v>0.11380800000000001</v>
      </c>
      <c r="H1617" s="295">
        <v>0.116244</v>
      </c>
      <c r="I1617" s="295">
        <v>0.11959699999999999</v>
      </c>
      <c r="J1617" s="295">
        <v>0.122998</v>
      </c>
      <c r="K1617" s="295">
        <v>0.12654399999999999</v>
      </c>
      <c r="L1617" s="295">
        <v>0.13039400000000001</v>
      </c>
      <c r="M1617" s="295">
        <v>0.13336000000000001</v>
      </c>
      <c r="N1617" s="295">
        <v>0.13336300000000001</v>
      </c>
      <c r="O1617" s="295">
        <v>0.132822</v>
      </c>
      <c r="P1617" s="295">
        <v>0.131609</v>
      </c>
      <c r="Q1617" s="295">
        <v>0.12969800000000001</v>
      </c>
      <c r="R1617" s="295">
        <v>0.12750900000000001</v>
      </c>
      <c r="S1617" s="295">
        <v>0.126692</v>
      </c>
      <c r="T1617" s="295">
        <v>0.12729499999999999</v>
      </c>
      <c r="U1617" s="295">
        <v>0.12679599999999999</v>
      </c>
      <c r="V1617" s="295">
        <v>0.124528</v>
      </c>
      <c r="W1617" s="295">
        <v>0.12207899999999999</v>
      </c>
      <c r="X1617" s="295">
        <v>0.11978999999999999</v>
      </c>
      <c r="Y1617" s="295">
        <v>0.116897</v>
      </c>
      <c r="Z1617" s="295">
        <v>0.11390699999999999</v>
      </c>
      <c r="AA1617" s="295">
        <v>0.113926</v>
      </c>
      <c r="AB1617" s="295">
        <v>0.114884</v>
      </c>
      <c r="AC1617" s="295">
        <v>0.115437</v>
      </c>
      <c r="AD1617" s="295">
        <v>0.116895</v>
      </c>
      <c r="AE1617" s="295">
        <v>0.117864</v>
      </c>
      <c r="AF1617" s="295">
        <v>0.11841</v>
      </c>
      <c r="AG1617" s="295">
        <v>0.11990000000000001</v>
      </c>
      <c r="AH1617" s="296">
        <v>2.9357000000000001E-2</v>
      </c>
    </row>
    <row r="1618" spans="1:34" ht="15" customHeight="1" x14ac:dyDescent="0.25">
      <c r="A1618" s="213" t="s">
        <v>2300</v>
      </c>
      <c r="B1618" s="294" t="s">
        <v>2288</v>
      </c>
      <c r="C1618" s="295">
        <v>3.2682999999999997E-2</v>
      </c>
      <c r="D1618" s="295">
        <v>5.0488999999999999E-2</v>
      </c>
      <c r="E1618" s="295">
        <v>7.3741000000000001E-2</v>
      </c>
      <c r="F1618" s="295">
        <v>8.4681999999999993E-2</v>
      </c>
      <c r="G1618" s="295">
        <v>8.8844999999999993E-2</v>
      </c>
      <c r="H1618" s="295">
        <v>9.0968999999999994E-2</v>
      </c>
      <c r="I1618" s="295">
        <v>9.4006000000000006E-2</v>
      </c>
      <c r="J1618" s="295">
        <v>9.7087000000000007E-2</v>
      </c>
      <c r="K1618" s="295">
        <v>0.10031</v>
      </c>
      <c r="L1618" s="295">
        <v>0.10383100000000001</v>
      </c>
      <c r="M1618" s="295">
        <v>0.106465</v>
      </c>
      <c r="N1618" s="295">
        <v>0.106131</v>
      </c>
      <c r="O1618" s="295">
        <v>0.10525</v>
      </c>
      <c r="P1618" s="295">
        <v>0.10369200000000001</v>
      </c>
      <c r="Q1618" s="295">
        <v>0.101433</v>
      </c>
      <c r="R1618" s="295">
        <v>9.8891000000000007E-2</v>
      </c>
      <c r="S1618" s="295">
        <v>9.7715999999999997E-2</v>
      </c>
      <c r="T1618" s="295">
        <v>9.7957000000000002E-2</v>
      </c>
      <c r="U1618" s="295">
        <v>9.7090999999999997E-2</v>
      </c>
      <c r="V1618" s="295">
        <v>9.4450999999999993E-2</v>
      </c>
      <c r="W1618" s="295">
        <v>9.1627E-2</v>
      </c>
      <c r="X1618" s="295">
        <v>9.3371999999999997E-2</v>
      </c>
      <c r="Y1618" s="295">
        <v>9.1583999999999999E-2</v>
      </c>
      <c r="Z1618" s="295">
        <v>8.8277999999999995E-2</v>
      </c>
      <c r="AA1618" s="295">
        <v>8.7977E-2</v>
      </c>
      <c r="AB1618" s="295">
        <v>8.8610999999999995E-2</v>
      </c>
      <c r="AC1618" s="295">
        <v>8.8835999999999998E-2</v>
      </c>
      <c r="AD1618" s="295">
        <v>8.9960999999999999E-2</v>
      </c>
      <c r="AE1618" s="295">
        <v>9.0593000000000007E-2</v>
      </c>
      <c r="AF1618" s="295">
        <v>9.0798000000000004E-2</v>
      </c>
      <c r="AG1618" s="295">
        <v>9.1942999999999997E-2</v>
      </c>
      <c r="AH1618" s="296">
        <v>3.5077999999999998E-2</v>
      </c>
    </row>
    <row r="1619" spans="1:34" ht="15" customHeight="1" x14ac:dyDescent="0.25">
      <c r="A1619" s="213" t="s">
        <v>2301</v>
      </c>
      <c r="B1619" s="294" t="s">
        <v>2290</v>
      </c>
      <c r="C1619" s="295">
        <v>1.7648E-2</v>
      </c>
      <c r="D1619" s="295">
        <v>2.6030999999999999E-2</v>
      </c>
      <c r="E1619" s="295">
        <v>2.4351000000000001E-2</v>
      </c>
      <c r="F1619" s="295">
        <v>2.4655E-2</v>
      </c>
      <c r="G1619" s="295">
        <v>2.4962999999999999E-2</v>
      </c>
      <c r="H1619" s="295">
        <v>2.5274999999999999E-2</v>
      </c>
      <c r="I1619" s="295">
        <v>2.5590999999999999E-2</v>
      </c>
      <c r="J1619" s="295">
        <v>2.5911E-2</v>
      </c>
      <c r="K1619" s="295">
        <v>2.6235000000000001E-2</v>
      </c>
      <c r="L1619" s="295">
        <v>2.6563E-2</v>
      </c>
      <c r="M1619" s="295">
        <v>2.6894999999999999E-2</v>
      </c>
      <c r="N1619" s="295">
        <v>2.7231000000000002E-2</v>
      </c>
      <c r="O1619" s="295">
        <v>2.7571999999999999E-2</v>
      </c>
      <c r="P1619" s="295">
        <v>2.7916E-2</v>
      </c>
      <c r="Q1619" s="295">
        <v>2.8264999999999998E-2</v>
      </c>
      <c r="R1619" s="295">
        <v>2.8618000000000001E-2</v>
      </c>
      <c r="S1619" s="295">
        <v>2.8975999999999998E-2</v>
      </c>
      <c r="T1619" s="295">
        <v>2.9337999999999999E-2</v>
      </c>
      <c r="U1619" s="295">
        <v>2.9704999999999999E-2</v>
      </c>
      <c r="V1619" s="295">
        <v>3.0075999999999999E-2</v>
      </c>
      <c r="W1619" s="295">
        <v>3.0452E-2</v>
      </c>
      <c r="X1619" s="295">
        <v>2.6418000000000001E-2</v>
      </c>
      <c r="Y1619" s="295">
        <v>2.5312000000000001E-2</v>
      </c>
      <c r="Z1619" s="295">
        <v>2.5628999999999999E-2</v>
      </c>
      <c r="AA1619" s="295">
        <v>2.5949E-2</v>
      </c>
      <c r="AB1619" s="295">
        <v>2.6273000000000001E-2</v>
      </c>
      <c r="AC1619" s="295">
        <v>2.6602000000000001E-2</v>
      </c>
      <c r="AD1619" s="295">
        <v>2.6934E-2</v>
      </c>
      <c r="AE1619" s="295">
        <v>2.7271E-2</v>
      </c>
      <c r="AF1619" s="295">
        <v>2.7612000000000001E-2</v>
      </c>
      <c r="AG1619" s="295">
        <v>2.7956999999999999E-2</v>
      </c>
      <c r="AH1619" s="296">
        <v>1.5452E-2</v>
      </c>
    </row>
    <row r="1620" spans="1:34" ht="15" customHeight="1" x14ac:dyDescent="0.25">
      <c r="A1620" s="213" t="s">
        <v>2302</v>
      </c>
      <c r="B1620" s="294" t="s">
        <v>2292</v>
      </c>
      <c r="C1620" s="295">
        <v>0</v>
      </c>
      <c r="D1620" s="295">
        <v>0</v>
      </c>
      <c r="E1620" s="295">
        <v>0</v>
      </c>
      <c r="F1620" s="295">
        <v>0</v>
      </c>
      <c r="G1620" s="295">
        <v>0</v>
      </c>
      <c r="H1620" s="295">
        <v>0</v>
      </c>
      <c r="I1620" s="295">
        <v>0</v>
      </c>
      <c r="J1620" s="295">
        <v>0</v>
      </c>
      <c r="K1620" s="295">
        <v>0</v>
      </c>
      <c r="L1620" s="295">
        <v>0</v>
      </c>
      <c r="M1620" s="295">
        <v>0</v>
      </c>
      <c r="N1620" s="295">
        <v>0</v>
      </c>
      <c r="O1620" s="295">
        <v>0</v>
      </c>
      <c r="P1620" s="295">
        <v>0</v>
      </c>
      <c r="Q1620" s="295">
        <v>0</v>
      </c>
      <c r="R1620" s="295">
        <v>0</v>
      </c>
      <c r="S1620" s="295">
        <v>0</v>
      </c>
      <c r="T1620" s="295">
        <v>0</v>
      </c>
      <c r="U1620" s="295">
        <v>0</v>
      </c>
      <c r="V1620" s="295">
        <v>0</v>
      </c>
      <c r="W1620" s="295">
        <v>0</v>
      </c>
      <c r="X1620" s="295">
        <v>0</v>
      </c>
      <c r="Y1620" s="295">
        <v>0</v>
      </c>
      <c r="Z1620" s="295">
        <v>0</v>
      </c>
      <c r="AA1620" s="295">
        <v>0</v>
      </c>
      <c r="AB1620" s="295">
        <v>0</v>
      </c>
      <c r="AC1620" s="295">
        <v>0</v>
      </c>
      <c r="AD1620" s="295">
        <v>0</v>
      </c>
      <c r="AE1620" s="295">
        <v>0</v>
      </c>
      <c r="AF1620" s="295">
        <v>0</v>
      </c>
      <c r="AG1620" s="295">
        <v>0</v>
      </c>
      <c r="AH1620" s="296" t="s">
        <v>635</v>
      </c>
    </row>
    <row r="1621" spans="1:34" ht="15" customHeight="1" x14ac:dyDescent="0.25">
      <c r="A1621" s="213" t="s">
        <v>2303</v>
      </c>
      <c r="B1621" s="294" t="s">
        <v>2304</v>
      </c>
      <c r="C1621" s="295">
        <v>0</v>
      </c>
      <c r="D1621" s="295">
        <v>0</v>
      </c>
      <c r="E1621" s="295">
        <v>0</v>
      </c>
      <c r="F1621" s="295">
        <v>0</v>
      </c>
      <c r="G1621" s="295">
        <v>0</v>
      </c>
      <c r="H1621" s="295">
        <v>0</v>
      </c>
      <c r="I1621" s="295">
        <v>0</v>
      </c>
      <c r="J1621" s="295">
        <v>0</v>
      </c>
      <c r="K1621" s="295">
        <v>0</v>
      </c>
      <c r="L1621" s="295">
        <v>0</v>
      </c>
      <c r="M1621" s="295">
        <v>0</v>
      </c>
      <c r="N1621" s="295">
        <v>0</v>
      </c>
      <c r="O1621" s="295">
        <v>0</v>
      </c>
      <c r="P1621" s="295">
        <v>0</v>
      </c>
      <c r="Q1621" s="295">
        <v>0</v>
      </c>
      <c r="R1621" s="295">
        <v>0</v>
      </c>
      <c r="S1621" s="295">
        <v>0</v>
      </c>
      <c r="T1621" s="295">
        <v>0</v>
      </c>
      <c r="U1621" s="295">
        <v>0</v>
      </c>
      <c r="V1621" s="295">
        <v>0</v>
      </c>
      <c r="W1621" s="295">
        <v>0</v>
      </c>
      <c r="X1621" s="295">
        <v>0</v>
      </c>
      <c r="Y1621" s="295">
        <v>0</v>
      </c>
      <c r="Z1621" s="295">
        <v>0</v>
      </c>
      <c r="AA1621" s="295">
        <v>0</v>
      </c>
      <c r="AB1621" s="295">
        <v>0</v>
      </c>
      <c r="AC1621" s="295">
        <v>0</v>
      </c>
      <c r="AD1621" s="295">
        <v>0</v>
      </c>
      <c r="AE1621" s="295">
        <v>0</v>
      </c>
      <c r="AF1621" s="295">
        <v>0</v>
      </c>
      <c r="AG1621" s="295">
        <v>0</v>
      </c>
      <c r="AH1621" s="296" t="s">
        <v>635</v>
      </c>
    </row>
    <row r="1622" spans="1:34" ht="15" customHeight="1" x14ac:dyDescent="0.25">
      <c r="A1622" s="213" t="s">
        <v>2305</v>
      </c>
      <c r="B1622" s="294" t="s">
        <v>2306</v>
      </c>
      <c r="C1622" s="295">
        <v>0</v>
      </c>
      <c r="D1622" s="295">
        <v>0</v>
      </c>
      <c r="E1622" s="295">
        <v>0</v>
      </c>
      <c r="F1622" s="295">
        <v>0</v>
      </c>
      <c r="G1622" s="295">
        <v>0</v>
      </c>
      <c r="H1622" s="295">
        <v>0</v>
      </c>
      <c r="I1622" s="295">
        <v>0</v>
      </c>
      <c r="J1622" s="295">
        <v>0</v>
      </c>
      <c r="K1622" s="295">
        <v>0</v>
      </c>
      <c r="L1622" s="295">
        <v>0</v>
      </c>
      <c r="M1622" s="295">
        <v>0</v>
      </c>
      <c r="N1622" s="295">
        <v>0</v>
      </c>
      <c r="O1622" s="295">
        <v>0</v>
      </c>
      <c r="P1622" s="295">
        <v>0</v>
      </c>
      <c r="Q1622" s="295">
        <v>0</v>
      </c>
      <c r="R1622" s="295">
        <v>0</v>
      </c>
      <c r="S1622" s="295">
        <v>0</v>
      </c>
      <c r="T1622" s="295">
        <v>0</v>
      </c>
      <c r="U1622" s="295">
        <v>0</v>
      </c>
      <c r="V1622" s="295">
        <v>0</v>
      </c>
      <c r="W1622" s="295">
        <v>0</v>
      </c>
      <c r="X1622" s="295">
        <v>0</v>
      </c>
      <c r="Y1622" s="295">
        <v>0</v>
      </c>
      <c r="Z1622" s="295">
        <v>0</v>
      </c>
      <c r="AA1622" s="295">
        <v>0</v>
      </c>
      <c r="AB1622" s="295">
        <v>0</v>
      </c>
      <c r="AC1622" s="295">
        <v>0</v>
      </c>
      <c r="AD1622" s="295">
        <v>0</v>
      </c>
      <c r="AE1622" s="295">
        <v>0</v>
      </c>
      <c r="AF1622" s="295">
        <v>0</v>
      </c>
      <c r="AG1622" s="295">
        <v>0</v>
      </c>
      <c r="AH1622" s="296" t="s">
        <v>635</v>
      </c>
    </row>
    <row r="1623" spans="1:34" ht="15" customHeight="1" x14ac:dyDescent="0.25">
      <c r="A1623" s="213" t="s">
        <v>2307</v>
      </c>
      <c r="B1623" s="294" t="s">
        <v>2308</v>
      </c>
      <c r="C1623" s="295">
        <v>0.20899999999999999</v>
      </c>
      <c r="D1623" s="295">
        <v>0.20899999999999999</v>
      </c>
      <c r="E1623" s="295">
        <v>0.242314</v>
      </c>
      <c r="F1623" s="295">
        <v>0.24699699999999999</v>
      </c>
      <c r="G1623" s="295">
        <v>0.24731600000000001</v>
      </c>
      <c r="H1623" s="295">
        <v>0.24660399999999999</v>
      </c>
      <c r="I1623" s="295">
        <v>0.24623100000000001</v>
      </c>
      <c r="J1623" s="295">
        <v>0.241679</v>
      </c>
      <c r="K1623" s="295">
        <v>0.24345700000000001</v>
      </c>
      <c r="L1623" s="295">
        <v>0.242003</v>
      </c>
      <c r="M1623" s="295">
        <v>0.23314699999999999</v>
      </c>
      <c r="N1623" s="295">
        <v>0.23361299999999999</v>
      </c>
      <c r="O1623" s="295">
        <v>0.23299</v>
      </c>
      <c r="P1623" s="295">
        <v>0.232713</v>
      </c>
      <c r="Q1623" s="295">
        <v>0.23629500000000001</v>
      </c>
      <c r="R1623" s="295">
        <v>0.237347</v>
      </c>
      <c r="S1623" s="295">
        <v>0.240781</v>
      </c>
      <c r="T1623" s="295">
        <v>0.24433299999999999</v>
      </c>
      <c r="U1623" s="295">
        <v>0.24535899999999999</v>
      </c>
      <c r="V1623" s="295">
        <v>0.25157800000000002</v>
      </c>
      <c r="W1623" s="295">
        <v>0.24932499999999999</v>
      </c>
      <c r="X1623" s="295">
        <v>0.24935399999999999</v>
      </c>
      <c r="Y1623" s="295">
        <v>0.24973200000000001</v>
      </c>
      <c r="Z1623" s="295">
        <v>0.24956400000000001</v>
      </c>
      <c r="AA1623" s="295">
        <v>0.25015999999999999</v>
      </c>
      <c r="AB1623" s="295">
        <v>0.24814700000000001</v>
      </c>
      <c r="AC1623" s="295">
        <v>0.25137700000000002</v>
      </c>
      <c r="AD1623" s="295">
        <v>0.25294499999999998</v>
      </c>
      <c r="AE1623" s="295">
        <v>0.25348999999999999</v>
      </c>
      <c r="AF1623" s="295">
        <v>0.25469000000000003</v>
      </c>
      <c r="AG1623" s="295">
        <v>0.25831900000000002</v>
      </c>
      <c r="AH1623" s="296">
        <v>7.0870000000000004E-3</v>
      </c>
    </row>
    <row r="1625" spans="1:34" ht="15" customHeight="1" x14ac:dyDescent="0.2">
      <c r="A1625" s="213" t="s">
        <v>2309</v>
      </c>
      <c r="B1625" s="204" t="s">
        <v>2310</v>
      </c>
      <c r="C1625" s="205">
        <v>18.207922</v>
      </c>
      <c r="D1625" s="205">
        <v>19.978867000000001</v>
      </c>
      <c r="E1625" s="205">
        <v>19.820332000000001</v>
      </c>
      <c r="F1625" s="205">
        <v>20.001533999999999</v>
      </c>
      <c r="G1625" s="205">
        <v>20.108173000000001</v>
      </c>
      <c r="H1625" s="205">
        <v>20.199614</v>
      </c>
      <c r="I1625" s="205">
        <v>20.217533</v>
      </c>
      <c r="J1625" s="205">
        <v>20.202549000000001</v>
      </c>
      <c r="K1625" s="205">
        <v>20.206478000000001</v>
      </c>
      <c r="L1625" s="205">
        <v>20.207015999999999</v>
      </c>
      <c r="M1625" s="205">
        <v>20.242155</v>
      </c>
      <c r="N1625" s="205">
        <v>20.263259999999999</v>
      </c>
      <c r="O1625" s="205">
        <v>20.279169</v>
      </c>
      <c r="P1625" s="205">
        <v>20.316863999999999</v>
      </c>
      <c r="Q1625" s="205">
        <v>20.384786999999999</v>
      </c>
      <c r="R1625" s="205">
        <v>20.442598</v>
      </c>
      <c r="S1625" s="205">
        <v>20.474875999999998</v>
      </c>
      <c r="T1625" s="205">
        <v>20.518191999999999</v>
      </c>
      <c r="U1625" s="205">
        <v>20.559797</v>
      </c>
      <c r="V1625" s="205">
        <v>20.601054999999999</v>
      </c>
      <c r="W1625" s="205">
        <v>20.620106</v>
      </c>
      <c r="X1625" s="205">
        <v>20.671547</v>
      </c>
      <c r="Y1625" s="205">
        <v>20.758130999999999</v>
      </c>
      <c r="Z1625" s="205">
        <v>20.851471</v>
      </c>
      <c r="AA1625" s="205">
        <v>20.935635000000001</v>
      </c>
      <c r="AB1625" s="205">
        <v>21.034939000000001</v>
      </c>
      <c r="AC1625" s="205">
        <v>21.109848</v>
      </c>
      <c r="AD1625" s="205">
        <v>21.194641000000001</v>
      </c>
      <c r="AE1625" s="205">
        <v>21.297143999999999</v>
      </c>
      <c r="AF1625" s="205">
        <v>21.423565</v>
      </c>
      <c r="AG1625" s="205">
        <v>21.552409999999998</v>
      </c>
      <c r="AH1625" s="206">
        <v>5.6369999999999996E-3</v>
      </c>
    </row>
    <row r="1628" spans="1:34" ht="15" customHeight="1" x14ac:dyDescent="0.2">
      <c r="B1628" s="204" t="s">
        <v>2311</v>
      </c>
    </row>
    <row r="1629" spans="1:34" ht="15" customHeight="1" x14ac:dyDescent="0.2">
      <c r="B1629" s="204" t="s">
        <v>2312</v>
      </c>
    </row>
    <row r="1630" spans="1:34" ht="15" customHeight="1" x14ac:dyDescent="0.25">
      <c r="A1630" s="213" t="s">
        <v>2313</v>
      </c>
      <c r="B1630" s="294" t="s">
        <v>2314</v>
      </c>
      <c r="C1630" s="295">
        <v>2.9889999999999999</v>
      </c>
      <c r="D1630" s="295">
        <v>3.2549999999999999</v>
      </c>
      <c r="E1630" s="295">
        <v>3.6097260000000002</v>
      </c>
      <c r="F1630" s="295">
        <v>3.705562</v>
      </c>
      <c r="G1630" s="295">
        <v>3.807588</v>
      </c>
      <c r="H1630" s="295">
        <v>3.8959169999999999</v>
      </c>
      <c r="I1630" s="295">
        <v>3.9518970000000002</v>
      </c>
      <c r="J1630" s="295">
        <v>3.9932020000000001</v>
      </c>
      <c r="K1630" s="295">
        <v>4.0426900000000003</v>
      </c>
      <c r="L1630" s="295">
        <v>4.0965639999999999</v>
      </c>
      <c r="M1630" s="295">
        <v>4.1642390000000002</v>
      </c>
      <c r="N1630" s="295">
        <v>4.2272460000000001</v>
      </c>
      <c r="O1630" s="295">
        <v>4.2716500000000002</v>
      </c>
      <c r="P1630" s="295">
        <v>4.3235260000000002</v>
      </c>
      <c r="Q1630" s="295">
        <v>4.3838999999999997</v>
      </c>
      <c r="R1630" s="295">
        <v>4.4342290000000002</v>
      </c>
      <c r="S1630" s="295">
        <v>4.4621329999999997</v>
      </c>
      <c r="T1630" s="295">
        <v>4.4990220000000001</v>
      </c>
      <c r="U1630" s="295">
        <v>4.5344110000000004</v>
      </c>
      <c r="V1630" s="295">
        <v>4.5572049999999997</v>
      </c>
      <c r="W1630" s="295">
        <v>4.565302</v>
      </c>
      <c r="X1630" s="295">
        <v>4.5802160000000001</v>
      </c>
      <c r="Y1630" s="295">
        <v>4.6212359999999997</v>
      </c>
      <c r="Z1630" s="295">
        <v>4.657368</v>
      </c>
      <c r="AA1630" s="295">
        <v>4.6790409999999998</v>
      </c>
      <c r="AB1630" s="295">
        <v>4.7066039999999996</v>
      </c>
      <c r="AC1630" s="295">
        <v>4.7256580000000001</v>
      </c>
      <c r="AD1630" s="295">
        <v>4.7453130000000003</v>
      </c>
      <c r="AE1630" s="295">
        <v>4.7707030000000001</v>
      </c>
      <c r="AF1630" s="295">
        <v>4.820659</v>
      </c>
      <c r="AG1630" s="295">
        <v>4.8649040000000001</v>
      </c>
      <c r="AH1630" s="296">
        <v>1.6369000000000002E-2</v>
      </c>
    </row>
    <row r="1631" spans="1:34" ht="15" customHeight="1" x14ac:dyDescent="0.25">
      <c r="A1631" s="213" t="s">
        <v>2315</v>
      </c>
      <c r="B1631" s="294" t="s">
        <v>2316</v>
      </c>
      <c r="C1631" s="295">
        <v>8.2219999999999995</v>
      </c>
      <c r="D1631" s="295">
        <v>8.9749999999999996</v>
      </c>
      <c r="E1631" s="295">
        <v>8.6472709999999999</v>
      </c>
      <c r="F1631" s="295">
        <v>8.6519779999999997</v>
      </c>
      <c r="G1631" s="295">
        <v>8.6264509999999994</v>
      </c>
      <c r="H1631" s="295">
        <v>8.5895290000000006</v>
      </c>
      <c r="I1631" s="295">
        <v>8.5375219999999992</v>
      </c>
      <c r="J1631" s="295">
        <v>8.4830310000000004</v>
      </c>
      <c r="K1631" s="295">
        <v>8.4303939999999997</v>
      </c>
      <c r="L1631" s="295">
        <v>8.3727750000000007</v>
      </c>
      <c r="M1631" s="295">
        <v>8.3225850000000001</v>
      </c>
      <c r="N1631" s="295">
        <v>8.2755810000000007</v>
      </c>
      <c r="O1631" s="295">
        <v>8.2325520000000001</v>
      </c>
      <c r="P1631" s="295">
        <v>8.2019669999999998</v>
      </c>
      <c r="Q1631" s="295">
        <v>8.1797900000000006</v>
      </c>
      <c r="R1631" s="295">
        <v>8.1622190000000003</v>
      </c>
      <c r="S1631" s="295">
        <v>8.1433579999999992</v>
      </c>
      <c r="T1631" s="295">
        <v>8.1262310000000006</v>
      </c>
      <c r="U1631" s="295">
        <v>8.1129899999999999</v>
      </c>
      <c r="V1631" s="295">
        <v>8.1067540000000005</v>
      </c>
      <c r="W1631" s="295">
        <v>8.1044859999999996</v>
      </c>
      <c r="X1631" s="295">
        <v>8.1044959999999993</v>
      </c>
      <c r="Y1631" s="295">
        <v>8.113137</v>
      </c>
      <c r="Z1631" s="295">
        <v>8.1282650000000007</v>
      </c>
      <c r="AA1631" s="295">
        <v>8.1455149999999996</v>
      </c>
      <c r="AB1631" s="295">
        <v>8.1618049999999993</v>
      </c>
      <c r="AC1631" s="295">
        <v>8.1798500000000001</v>
      </c>
      <c r="AD1631" s="295">
        <v>8.1995330000000006</v>
      </c>
      <c r="AE1631" s="295">
        <v>8.2232979999999998</v>
      </c>
      <c r="AF1631" s="295">
        <v>8.2514210000000006</v>
      </c>
      <c r="AG1631" s="295">
        <v>8.2802209999999992</v>
      </c>
      <c r="AH1631" s="296">
        <v>2.3499999999999999E-4</v>
      </c>
    </row>
    <row r="1632" spans="1:34" ht="15" customHeight="1" x14ac:dyDescent="0.25">
      <c r="A1632" s="213" t="s">
        <v>2317</v>
      </c>
      <c r="B1632" s="294" t="s">
        <v>2318</v>
      </c>
      <c r="C1632" s="295">
        <v>2.1506000000000001E-2</v>
      </c>
      <c r="D1632" s="295">
        <v>2.2221000000000001E-2</v>
      </c>
      <c r="E1632" s="295">
        <v>2.1035999999999999E-2</v>
      </c>
      <c r="F1632" s="295">
        <v>2.1706E-2</v>
      </c>
      <c r="G1632" s="295">
        <v>2.1521999999999999E-2</v>
      </c>
      <c r="H1632" s="295">
        <v>2.1153999999999999E-2</v>
      </c>
      <c r="I1632" s="295">
        <v>2.077E-2</v>
      </c>
      <c r="J1632" s="295">
        <v>2.0333E-2</v>
      </c>
      <c r="K1632" s="295">
        <v>1.9779000000000001E-2</v>
      </c>
      <c r="L1632" s="295">
        <v>1.9327E-2</v>
      </c>
      <c r="M1632" s="295">
        <v>1.8831000000000001E-2</v>
      </c>
      <c r="N1632" s="295">
        <v>1.8512000000000001E-2</v>
      </c>
      <c r="O1632" s="295">
        <v>1.8144E-2</v>
      </c>
      <c r="P1632" s="295">
        <v>1.7908E-2</v>
      </c>
      <c r="Q1632" s="295">
        <v>1.7711000000000001E-2</v>
      </c>
      <c r="R1632" s="295">
        <v>1.7593000000000001E-2</v>
      </c>
      <c r="S1632" s="295">
        <v>1.7505E-2</v>
      </c>
      <c r="T1632" s="295">
        <v>1.7462999999999999E-2</v>
      </c>
      <c r="U1632" s="295">
        <v>1.7437000000000001E-2</v>
      </c>
      <c r="V1632" s="295">
        <v>1.7534999999999999E-2</v>
      </c>
      <c r="W1632" s="295">
        <v>1.7586999999999998E-2</v>
      </c>
      <c r="X1632" s="295">
        <v>1.7698999999999999E-2</v>
      </c>
      <c r="Y1632" s="295">
        <v>1.7864000000000001E-2</v>
      </c>
      <c r="Z1632" s="295">
        <v>1.8058999999999999E-2</v>
      </c>
      <c r="AA1632" s="295">
        <v>1.8291000000000002E-2</v>
      </c>
      <c r="AB1632" s="295">
        <v>1.8568999999999999E-2</v>
      </c>
      <c r="AC1632" s="295">
        <v>1.8755000000000001E-2</v>
      </c>
      <c r="AD1632" s="295">
        <v>1.9022000000000001E-2</v>
      </c>
      <c r="AE1632" s="295">
        <v>1.9293999999999999E-2</v>
      </c>
      <c r="AF1632" s="295">
        <v>1.9625E-2</v>
      </c>
      <c r="AG1632" s="295">
        <v>1.9969000000000001E-2</v>
      </c>
      <c r="AH1632" s="296">
        <v>-2.4689999999999998E-3</v>
      </c>
    </row>
    <row r="1633" spans="1:34" ht="15" customHeight="1" x14ac:dyDescent="0.25">
      <c r="A1633" s="213" t="s">
        <v>2319</v>
      </c>
      <c r="B1633" s="294" t="s">
        <v>2320</v>
      </c>
      <c r="C1633" s="295">
        <v>1.0760000000000001</v>
      </c>
      <c r="D1633" s="295">
        <v>1.542</v>
      </c>
      <c r="E1633" s="295">
        <v>1.5721670000000001</v>
      </c>
      <c r="F1633" s="295">
        <v>1.633723</v>
      </c>
      <c r="G1633" s="295">
        <v>1.665057</v>
      </c>
      <c r="H1633" s="295">
        <v>1.693854</v>
      </c>
      <c r="I1633" s="295">
        <v>1.7027699999999999</v>
      </c>
      <c r="J1633" s="295">
        <v>1.710599</v>
      </c>
      <c r="K1633" s="295">
        <v>1.724974</v>
      </c>
      <c r="L1633" s="295">
        <v>1.7354769999999999</v>
      </c>
      <c r="M1633" s="295">
        <v>1.7499499999999999</v>
      </c>
      <c r="N1633" s="295">
        <v>1.768529</v>
      </c>
      <c r="O1633" s="295">
        <v>1.7915430000000001</v>
      </c>
      <c r="P1633" s="295">
        <v>1.8156270000000001</v>
      </c>
      <c r="Q1633" s="295">
        <v>1.8398870000000001</v>
      </c>
      <c r="R1633" s="295">
        <v>1.863731</v>
      </c>
      <c r="S1633" s="295">
        <v>1.882253</v>
      </c>
      <c r="T1633" s="295">
        <v>1.8985369999999999</v>
      </c>
      <c r="U1633" s="295">
        <v>1.9169499999999999</v>
      </c>
      <c r="V1633" s="295">
        <v>1.9361269999999999</v>
      </c>
      <c r="W1633" s="295">
        <v>1.9587939999999999</v>
      </c>
      <c r="X1633" s="295">
        <v>1.9809969999999999</v>
      </c>
      <c r="Y1633" s="295">
        <v>2.0061279999999999</v>
      </c>
      <c r="Z1633" s="295">
        <v>2.0321389999999999</v>
      </c>
      <c r="AA1633" s="295">
        <v>2.0596079999999999</v>
      </c>
      <c r="AB1633" s="295">
        <v>2.0852210000000002</v>
      </c>
      <c r="AC1633" s="295">
        <v>2.1096349999999999</v>
      </c>
      <c r="AD1633" s="295">
        <v>2.1316820000000001</v>
      </c>
      <c r="AE1633" s="295">
        <v>2.1520619999999999</v>
      </c>
      <c r="AF1633" s="295">
        <v>2.1707610000000002</v>
      </c>
      <c r="AG1633" s="295">
        <v>2.1896179999999998</v>
      </c>
      <c r="AH1633" s="296">
        <v>2.3965E-2</v>
      </c>
    </row>
    <row r="1634" spans="1:34" ht="15" customHeight="1" x14ac:dyDescent="0.25">
      <c r="A1634" s="213" t="s">
        <v>2321</v>
      </c>
      <c r="B1634" s="294" t="s">
        <v>2322</v>
      </c>
      <c r="C1634" s="295">
        <v>3.7519999999999998</v>
      </c>
      <c r="D1634" s="295">
        <v>3.9590000000000001</v>
      </c>
      <c r="E1634" s="295">
        <v>3.8652730000000002</v>
      </c>
      <c r="F1634" s="295">
        <v>3.8742480000000001</v>
      </c>
      <c r="G1634" s="295">
        <v>3.8887520000000002</v>
      </c>
      <c r="H1634" s="295">
        <v>3.923565</v>
      </c>
      <c r="I1634" s="295">
        <v>3.9205429999999999</v>
      </c>
      <c r="J1634" s="295">
        <v>3.9119739999999998</v>
      </c>
      <c r="K1634" s="295">
        <v>3.8945720000000001</v>
      </c>
      <c r="L1634" s="295">
        <v>3.8765839999999998</v>
      </c>
      <c r="M1634" s="295">
        <v>3.8505669999999999</v>
      </c>
      <c r="N1634" s="295">
        <v>3.8436159999999999</v>
      </c>
      <c r="O1634" s="295">
        <v>3.8268870000000001</v>
      </c>
      <c r="P1634" s="295">
        <v>3.8139940000000001</v>
      </c>
      <c r="Q1634" s="295">
        <v>3.8070550000000001</v>
      </c>
      <c r="R1634" s="295">
        <v>3.802737</v>
      </c>
      <c r="S1634" s="295">
        <v>3.7961260000000001</v>
      </c>
      <c r="T1634" s="295">
        <v>3.7890489999999999</v>
      </c>
      <c r="U1634" s="295">
        <v>3.7885710000000001</v>
      </c>
      <c r="V1634" s="295">
        <v>3.790232</v>
      </c>
      <c r="W1634" s="295">
        <v>3.7918129999999999</v>
      </c>
      <c r="X1634" s="295">
        <v>3.7950659999999998</v>
      </c>
      <c r="Y1634" s="295">
        <v>3.815734</v>
      </c>
      <c r="Z1634" s="295">
        <v>3.8338109999999999</v>
      </c>
      <c r="AA1634" s="295">
        <v>3.8542969999999999</v>
      </c>
      <c r="AB1634" s="295">
        <v>3.867991</v>
      </c>
      <c r="AC1634" s="295">
        <v>3.885901</v>
      </c>
      <c r="AD1634" s="295">
        <v>3.9017900000000001</v>
      </c>
      <c r="AE1634" s="295">
        <v>3.9206150000000002</v>
      </c>
      <c r="AF1634" s="295">
        <v>3.9408970000000001</v>
      </c>
      <c r="AG1634" s="295">
        <v>3.96279</v>
      </c>
      <c r="AH1634" s="296">
        <v>1.8240000000000001E-3</v>
      </c>
    </row>
    <row r="1635" spans="1:34" ht="15" customHeight="1" x14ac:dyDescent="0.25">
      <c r="A1635" s="213" t="s">
        <v>2323</v>
      </c>
      <c r="B1635" s="294" t="s">
        <v>2324</v>
      </c>
      <c r="C1635" s="295">
        <v>3.456</v>
      </c>
      <c r="D1635" s="295">
        <v>3.657</v>
      </c>
      <c r="E1635" s="295">
        <v>3.4324020000000002</v>
      </c>
      <c r="F1635" s="295">
        <v>3.4488569999999998</v>
      </c>
      <c r="G1635" s="295">
        <v>3.4694720000000001</v>
      </c>
      <c r="H1635" s="295">
        <v>3.5090469999999998</v>
      </c>
      <c r="I1635" s="295">
        <v>3.5098129999999998</v>
      </c>
      <c r="J1635" s="295">
        <v>3.5057619999999998</v>
      </c>
      <c r="K1635" s="295">
        <v>3.4922230000000001</v>
      </c>
      <c r="L1635" s="295">
        <v>3.4770099999999999</v>
      </c>
      <c r="M1635" s="295">
        <v>3.4534220000000002</v>
      </c>
      <c r="N1635" s="295">
        <v>3.4492780000000001</v>
      </c>
      <c r="O1635" s="295">
        <v>3.4342510000000002</v>
      </c>
      <c r="P1635" s="295">
        <v>3.4228580000000002</v>
      </c>
      <c r="Q1635" s="295">
        <v>3.416938</v>
      </c>
      <c r="R1635" s="295">
        <v>3.4138600000000001</v>
      </c>
      <c r="S1635" s="295">
        <v>3.4084810000000001</v>
      </c>
      <c r="T1635" s="295">
        <v>3.4031349999999998</v>
      </c>
      <c r="U1635" s="295">
        <v>3.4048889999999998</v>
      </c>
      <c r="V1635" s="295">
        <v>3.4074399999999998</v>
      </c>
      <c r="W1635" s="295">
        <v>3.4099680000000001</v>
      </c>
      <c r="X1635" s="295">
        <v>3.4141159999999999</v>
      </c>
      <c r="Y1635" s="295">
        <v>3.4354450000000001</v>
      </c>
      <c r="Z1635" s="295">
        <v>3.4540950000000001</v>
      </c>
      <c r="AA1635" s="295">
        <v>3.474675</v>
      </c>
      <c r="AB1635" s="295">
        <v>3.4887079999999999</v>
      </c>
      <c r="AC1635" s="295">
        <v>3.5066950000000001</v>
      </c>
      <c r="AD1635" s="295">
        <v>3.5224709999999999</v>
      </c>
      <c r="AE1635" s="295">
        <v>3.5408930000000001</v>
      </c>
      <c r="AF1635" s="295">
        <v>3.5605349999999998</v>
      </c>
      <c r="AG1635" s="295">
        <v>3.5816819999999998</v>
      </c>
      <c r="AH1635" s="296">
        <v>1.191E-3</v>
      </c>
    </row>
    <row r="1636" spans="1:34" ht="15" customHeight="1" x14ac:dyDescent="0.25">
      <c r="A1636" s="213" t="s">
        <v>2325</v>
      </c>
      <c r="B1636" s="294" t="s">
        <v>2326</v>
      </c>
      <c r="C1636" s="295">
        <v>0.222</v>
      </c>
      <c r="D1636" s="295">
        <v>0.251</v>
      </c>
      <c r="E1636" s="295">
        <v>0.34562399999999999</v>
      </c>
      <c r="F1636" s="295">
        <v>0.34130899999999997</v>
      </c>
      <c r="G1636" s="295">
        <v>0.33371000000000001</v>
      </c>
      <c r="H1636" s="295">
        <v>0.29611799999999999</v>
      </c>
      <c r="I1636" s="295">
        <v>0.29579899999999998</v>
      </c>
      <c r="J1636" s="295">
        <v>0.28190700000000002</v>
      </c>
      <c r="K1636" s="295">
        <v>0.27916099999999999</v>
      </c>
      <c r="L1636" s="295">
        <v>0.27655099999999999</v>
      </c>
      <c r="M1636" s="295">
        <v>0.29544300000000001</v>
      </c>
      <c r="N1636" s="295">
        <v>0.27818999999999999</v>
      </c>
      <c r="O1636" s="295">
        <v>0.27692600000000001</v>
      </c>
      <c r="P1636" s="295">
        <v>0.27538400000000002</v>
      </c>
      <c r="Q1636" s="295">
        <v>0.27400099999999999</v>
      </c>
      <c r="R1636" s="295">
        <v>0.27238099999999998</v>
      </c>
      <c r="S1636" s="295">
        <v>0.27094200000000002</v>
      </c>
      <c r="T1636" s="295">
        <v>0.27210400000000001</v>
      </c>
      <c r="U1636" s="295">
        <v>0.26869700000000002</v>
      </c>
      <c r="V1636" s="295">
        <v>0.26835700000000001</v>
      </c>
      <c r="W1636" s="295">
        <v>0.257496</v>
      </c>
      <c r="X1636" s="295">
        <v>0.263795</v>
      </c>
      <c r="Y1636" s="295">
        <v>0.25087100000000001</v>
      </c>
      <c r="Z1636" s="295">
        <v>0.24960299999999999</v>
      </c>
      <c r="AA1636" s="295">
        <v>0.241339</v>
      </c>
      <c r="AB1636" s="295">
        <v>0.24508199999999999</v>
      </c>
      <c r="AC1636" s="295">
        <v>0.23886599999999999</v>
      </c>
      <c r="AD1636" s="295">
        <v>0.235293</v>
      </c>
      <c r="AE1636" s="295">
        <v>0.23430100000000001</v>
      </c>
      <c r="AF1636" s="295">
        <v>0.233955</v>
      </c>
      <c r="AG1636" s="295">
        <v>0.23253499999999999</v>
      </c>
      <c r="AH1636" s="296">
        <v>1.547E-3</v>
      </c>
    </row>
    <row r="1637" spans="1:34" ht="15" customHeight="1" x14ac:dyDescent="0.25">
      <c r="A1637" s="213" t="s">
        <v>2327</v>
      </c>
      <c r="B1637" s="294" t="s">
        <v>2328</v>
      </c>
      <c r="C1637" s="295">
        <v>1.7929999999999999</v>
      </c>
      <c r="D1637" s="295">
        <v>1.9019999999999999</v>
      </c>
      <c r="E1637" s="295">
        <v>1.8098970000000001</v>
      </c>
      <c r="F1637" s="295">
        <v>1.816249</v>
      </c>
      <c r="G1637" s="295">
        <v>1.807728</v>
      </c>
      <c r="H1637" s="295">
        <v>1.8215790000000001</v>
      </c>
      <c r="I1637" s="295">
        <v>1.832354</v>
      </c>
      <c r="J1637" s="295">
        <v>1.842665</v>
      </c>
      <c r="K1637" s="295">
        <v>1.8557760000000001</v>
      </c>
      <c r="L1637" s="295">
        <v>1.869629</v>
      </c>
      <c r="M1637" s="295">
        <v>1.878015</v>
      </c>
      <c r="N1637" s="295">
        <v>1.889208</v>
      </c>
      <c r="O1637" s="295">
        <v>1.8988259999999999</v>
      </c>
      <c r="P1637" s="295">
        <v>1.90594</v>
      </c>
      <c r="Q1637" s="295">
        <v>1.9211510000000001</v>
      </c>
      <c r="R1637" s="295">
        <v>1.928938</v>
      </c>
      <c r="S1637" s="295">
        <v>1.942982</v>
      </c>
      <c r="T1637" s="295">
        <v>1.9574590000000001</v>
      </c>
      <c r="U1637" s="295">
        <v>1.962909</v>
      </c>
      <c r="V1637" s="295">
        <v>1.969185</v>
      </c>
      <c r="W1637" s="295">
        <v>1.968737</v>
      </c>
      <c r="X1637" s="295">
        <v>1.9737130000000001</v>
      </c>
      <c r="Y1637" s="295">
        <v>1.9782839999999999</v>
      </c>
      <c r="Z1637" s="295">
        <v>1.9777340000000001</v>
      </c>
      <c r="AA1637" s="295">
        <v>1.983579</v>
      </c>
      <c r="AB1637" s="295">
        <v>1.9957860000000001</v>
      </c>
      <c r="AC1637" s="295">
        <v>1.99847</v>
      </c>
      <c r="AD1637" s="295">
        <v>2.0104440000000001</v>
      </c>
      <c r="AE1637" s="295">
        <v>2.026478</v>
      </c>
      <c r="AF1637" s="295">
        <v>2.0368970000000002</v>
      </c>
      <c r="AG1637" s="295">
        <v>2.0547949999999999</v>
      </c>
      <c r="AH1637" s="296">
        <v>4.5529999999999998E-3</v>
      </c>
    </row>
    <row r="1638" spans="1:34" ht="15" customHeight="1" x14ac:dyDescent="0.2">
      <c r="B1638" s="204" t="s">
        <v>2329</v>
      </c>
    </row>
    <row r="1639" spans="1:34" ht="15" customHeight="1" x14ac:dyDescent="0.25">
      <c r="A1639" s="213" t="s">
        <v>2330</v>
      </c>
      <c r="B1639" s="294" t="s">
        <v>2331</v>
      </c>
      <c r="C1639" s="295">
        <v>0.97300799999999998</v>
      </c>
      <c r="D1639" s="295">
        <v>1.020967</v>
      </c>
      <c r="E1639" s="295">
        <v>1.0253969999999999</v>
      </c>
      <c r="F1639" s="295">
        <v>1.0184869999999999</v>
      </c>
      <c r="G1639" s="295">
        <v>1.0125</v>
      </c>
      <c r="H1639" s="295">
        <v>1.008024</v>
      </c>
      <c r="I1639" s="295">
        <v>1.001379</v>
      </c>
      <c r="J1639" s="295">
        <v>0.99553999999999998</v>
      </c>
      <c r="K1639" s="295">
        <v>0.98911800000000005</v>
      </c>
      <c r="L1639" s="295">
        <v>0.98360999999999998</v>
      </c>
      <c r="M1639" s="295">
        <v>0.97763500000000003</v>
      </c>
      <c r="N1639" s="295">
        <v>0.97294099999999994</v>
      </c>
      <c r="O1639" s="295">
        <v>0.96826599999999996</v>
      </c>
      <c r="P1639" s="295">
        <v>0.96439299999999994</v>
      </c>
      <c r="Q1639" s="295">
        <v>0.96088899999999999</v>
      </c>
      <c r="R1639" s="295">
        <v>0.95787</v>
      </c>
      <c r="S1639" s="295">
        <v>0.95487200000000005</v>
      </c>
      <c r="T1639" s="295">
        <v>0.95180900000000002</v>
      </c>
      <c r="U1639" s="295">
        <v>0.94862900000000006</v>
      </c>
      <c r="V1639" s="295">
        <v>0.94608999999999999</v>
      </c>
      <c r="W1639" s="295">
        <v>0.943079</v>
      </c>
      <c r="X1639" s="295">
        <v>0.94029099999999999</v>
      </c>
      <c r="Y1639" s="295">
        <v>0.93779299999999999</v>
      </c>
      <c r="Z1639" s="295">
        <v>0.93535299999999999</v>
      </c>
      <c r="AA1639" s="295">
        <v>0.93344300000000002</v>
      </c>
      <c r="AB1639" s="295">
        <v>0.93189900000000003</v>
      </c>
      <c r="AC1639" s="295">
        <v>0.92985600000000002</v>
      </c>
      <c r="AD1639" s="295">
        <v>0.927902</v>
      </c>
      <c r="AE1639" s="295">
        <v>0.92628200000000005</v>
      </c>
      <c r="AF1639" s="295">
        <v>0.92485600000000001</v>
      </c>
      <c r="AG1639" s="295">
        <v>0.92364199999999996</v>
      </c>
      <c r="AH1639" s="296">
        <v>-1.7340000000000001E-3</v>
      </c>
    </row>
    <row r="1640" spans="1:34" ht="15" customHeight="1" x14ac:dyDescent="0.25">
      <c r="A1640" s="213" t="s">
        <v>2332</v>
      </c>
      <c r="B1640" s="294" t="s">
        <v>2333</v>
      </c>
      <c r="C1640" s="295">
        <v>5.0302850000000001</v>
      </c>
      <c r="D1640" s="295">
        <v>5.3331600000000003</v>
      </c>
      <c r="E1640" s="295">
        <v>5.6297969999999999</v>
      </c>
      <c r="F1640" s="295">
        <v>5.7438149999999997</v>
      </c>
      <c r="G1640" s="295">
        <v>5.8529439999999999</v>
      </c>
      <c r="H1640" s="295">
        <v>5.9728960000000004</v>
      </c>
      <c r="I1640" s="295">
        <v>6.0534869999999996</v>
      </c>
      <c r="J1640" s="295">
        <v>6.1198870000000003</v>
      </c>
      <c r="K1640" s="295">
        <v>6.1929350000000003</v>
      </c>
      <c r="L1640" s="295">
        <v>6.271528</v>
      </c>
      <c r="M1640" s="295">
        <v>6.3590340000000003</v>
      </c>
      <c r="N1640" s="295">
        <v>6.4454840000000004</v>
      </c>
      <c r="O1640" s="295">
        <v>6.5106859999999998</v>
      </c>
      <c r="P1640" s="295">
        <v>6.5800369999999999</v>
      </c>
      <c r="Q1640" s="295">
        <v>6.6666439999999998</v>
      </c>
      <c r="R1640" s="295">
        <v>6.7355879999999999</v>
      </c>
      <c r="S1640" s="295">
        <v>6.7866600000000004</v>
      </c>
      <c r="T1640" s="295">
        <v>6.846908</v>
      </c>
      <c r="U1640" s="295">
        <v>6.8978529999999996</v>
      </c>
      <c r="V1640" s="295">
        <v>6.9370089999999998</v>
      </c>
      <c r="W1640" s="295">
        <v>6.954561</v>
      </c>
      <c r="X1640" s="295">
        <v>6.9856619999999996</v>
      </c>
      <c r="Y1640" s="295">
        <v>7.0433370000000002</v>
      </c>
      <c r="Z1640" s="295">
        <v>7.0923949999999998</v>
      </c>
      <c r="AA1640" s="295">
        <v>7.1337260000000002</v>
      </c>
      <c r="AB1640" s="295">
        <v>7.1864400000000002</v>
      </c>
      <c r="AC1640" s="295">
        <v>7.2209159999999999</v>
      </c>
      <c r="AD1640" s="295">
        <v>7.265339</v>
      </c>
      <c r="AE1640" s="295">
        <v>7.3203420000000001</v>
      </c>
      <c r="AF1640" s="295">
        <v>7.3953829999999998</v>
      </c>
      <c r="AG1640" s="295">
        <v>7.4724690000000002</v>
      </c>
      <c r="AH1640" s="296">
        <v>1.3278999999999999E-2</v>
      </c>
    </row>
    <row r="1641" spans="1:34" ht="15" customHeight="1" x14ac:dyDescent="0.25">
      <c r="A1641" s="213" t="s">
        <v>2334</v>
      </c>
      <c r="B1641" s="294" t="s">
        <v>2335</v>
      </c>
      <c r="C1641" s="295">
        <v>12.302353</v>
      </c>
      <c r="D1641" s="295">
        <v>13.081481999999999</v>
      </c>
      <c r="E1641" s="295">
        <v>13.357647</v>
      </c>
      <c r="F1641" s="295">
        <v>13.425238</v>
      </c>
      <c r="G1641" s="295">
        <v>13.431393</v>
      </c>
      <c r="H1641" s="295">
        <v>13.410588000000001</v>
      </c>
      <c r="I1641" s="295">
        <v>13.355596999999999</v>
      </c>
      <c r="J1641" s="295">
        <v>13.280526</v>
      </c>
      <c r="K1641" s="295">
        <v>13.218669</v>
      </c>
      <c r="L1641" s="295">
        <v>13.145129000000001</v>
      </c>
      <c r="M1641" s="295">
        <v>13.096183999999999</v>
      </c>
      <c r="N1641" s="295">
        <v>13.036626999999999</v>
      </c>
      <c r="O1641" s="295">
        <v>12.991384999999999</v>
      </c>
      <c r="P1641" s="295">
        <v>12.963189</v>
      </c>
      <c r="Q1641" s="295">
        <v>12.948902</v>
      </c>
      <c r="R1641" s="295">
        <v>12.941265</v>
      </c>
      <c r="S1641" s="295">
        <v>12.92625</v>
      </c>
      <c r="T1641" s="295">
        <v>12.913970000000001</v>
      </c>
      <c r="U1641" s="295">
        <v>12.909477000000001</v>
      </c>
      <c r="V1641" s="295">
        <v>12.916617</v>
      </c>
      <c r="W1641" s="295">
        <v>12.920952</v>
      </c>
      <c r="X1641" s="295">
        <v>12.945316999999999</v>
      </c>
      <c r="Y1641" s="295">
        <v>12.97907</v>
      </c>
      <c r="Z1641" s="295">
        <v>13.028308000000001</v>
      </c>
      <c r="AA1641" s="295">
        <v>13.075640999999999</v>
      </c>
      <c r="AB1641" s="295">
        <v>13.125674999999999</v>
      </c>
      <c r="AC1641" s="295">
        <v>13.169307999999999</v>
      </c>
      <c r="AD1641" s="295">
        <v>13.213575000000001</v>
      </c>
      <c r="AE1641" s="295">
        <v>13.264289</v>
      </c>
      <c r="AF1641" s="295">
        <v>13.318529</v>
      </c>
      <c r="AG1641" s="295">
        <v>13.374048999999999</v>
      </c>
      <c r="AH1641" s="296">
        <v>2.7880000000000001E-3</v>
      </c>
    </row>
    <row r="1642" spans="1:34" ht="15" customHeight="1" x14ac:dyDescent="0.25">
      <c r="A1642" s="213" t="s">
        <v>2336</v>
      </c>
      <c r="B1642" s="294" t="s">
        <v>2337</v>
      </c>
      <c r="C1642" s="295">
        <v>6.9547999999999999E-2</v>
      </c>
      <c r="D1642" s="295">
        <v>5.4252000000000002E-2</v>
      </c>
      <c r="E1642" s="295">
        <v>5.5370000000000003E-2</v>
      </c>
      <c r="F1642" s="295">
        <v>5.1545000000000001E-2</v>
      </c>
      <c r="G1642" s="295">
        <v>4.8999000000000001E-2</v>
      </c>
      <c r="H1642" s="295">
        <v>4.6557000000000001E-2</v>
      </c>
      <c r="I1642" s="295">
        <v>4.4845999999999997E-2</v>
      </c>
      <c r="J1642" s="295">
        <v>4.2354999999999997E-2</v>
      </c>
      <c r="K1642" s="295">
        <v>4.0813000000000002E-2</v>
      </c>
      <c r="L1642" s="295">
        <v>4.0001000000000002E-2</v>
      </c>
      <c r="M1642" s="295">
        <v>3.9094999999999998E-2</v>
      </c>
      <c r="N1642" s="295">
        <v>3.7522E-2</v>
      </c>
      <c r="O1642" s="295">
        <v>3.7129000000000002E-2</v>
      </c>
      <c r="P1642" s="295">
        <v>3.6860999999999998E-2</v>
      </c>
      <c r="Q1642" s="295">
        <v>3.6754000000000002E-2</v>
      </c>
      <c r="R1642" s="295">
        <v>3.6244999999999999E-2</v>
      </c>
      <c r="S1642" s="295">
        <v>3.5846999999999997E-2</v>
      </c>
      <c r="T1642" s="295">
        <v>3.5025000000000001E-2</v>
      </c>
      <c r="U1642" s="295">
        <v>3.3508999999999997E-2</v>
      </c>
      <c r="V1642" s="295">
        <v>3.3051999999999998E-2</v>
      </c>
      <c r="W1642" s="295">
        <v>3.2673000000000001E-2</v>
      </c>
      <c r="X1642" s="295">
        <v>3.1489000000000003E-2</v>
      </c>
      <c r="Y1642" s="295">
        <v>3.0280999999999999E-2</v>
      </c>
      <c r="Z1642" s="295">
        <v>2.8884E-2</v>
      </c>
      <c r="AA1642" s="295">
        <v>2.7647999999999999E-2</v>
      </c>
      <c r="AB1642" s="295">
        <v>2.6180999999999999E-2</v>
      </c>
      <c r="AC1642" s="295">
        <v>2.6172999999999998E-2</v>
      </c>
      <c r="AD1642" s="295">
        <v>2.6314000000000001E-2</v>
      </c>
      <c r="AE1642" s="295">
        <v>2.6476E-2</v>
      </c>
      <c r="AF1642" s="295">
        <v>2.6610000000000002E-2</v>
      </c>
      <c r="AG1642" s="295">
        <v>2.6682000000000001E-2</v>
      </c>
      <c r="AH1642" s="296">
        <v>-3.143E-2</v>
      </c>
    </row>
    <row r="1643" spans="1:34" ht="15" customHeight="1" x14ac:dyDescent="0.25">
      <c r="A1643" s="213" t="s">
        <v>2338</v>
      </c>
      <c r="B1643" s="294" t="s">
        <v>2339</v>
      </c>
      <c r="C1643" s="295">
        <v>-0.20707100000000001</v>
      </c>
      <c r="D1643" s="295">
        <v>-0.21406700000000001</v>
      </c>
      <c r="E1643" s="295">
        <v>-0.215582</v>
      </c>
      <c r="F1643" s="295">
        <v>-0.21614700000000001</v>
      </c>
      <c r="G1643" s="295">
        <v>-0.21645500000000001</v>
      </c>
      <c r="H1643" s="295">
        <v>-0.217386</v>
      </c>
      <c r="I1643" s="295">
        <v>-0.21649499999999999</v>
      </c>
      <c r="J1643" s="295">
        <v>-0.21545600000000001</v>
      </c>
      <c r="K1643" s="295">
        <v>-0.214169</v>
      </c>
      <c r="L1643" s="295">
        <v>-0.21270700000000001</v>
      </c>
      <c r="M1643" s="295">
        <v>-0.210975</v>
      </c>
      <c r="N1643" s="295">
        <v>-0.210066</v>
      </c>
      <c r="O1643" s="295">
        <v>-0.20877699999999999</v>
      </c>
      <c r="P1643" s="295">
        <v>-0.20777699999999999</v>
      </c>
      <c r="Q1643" s="295">
        <v>-0.20707700000000001</v>
      </c>
      <c r="R1643" s="295">
        <v>-0.20652899999999999</v>
      </c>
      <c r="S1643" s="295">
        <v>-0.205897</v>
      </c>
      <c r="T1643" s="295">
        <v>-0.20530399999999999</v>
      </c>
      <c r="U1643" s="295">
        <v>-0.20502000000000001</v>
      </c>
      <c r="V1643" s="295">
        <v>-0.204847</v>
      </c>
      <c r="W1643" s="295">
        <v>-0.20472099999999999</v>
      </c>
      <c r="X1643" s="295">
        <v>-0.204647</v>
      </c>
      <c r="Y1643" s="295">
        <v>-0.20538100000000001</v>
      </c>
      <c r="Z1643" s="295">
        <v>-0.20604500000000001</v>
      </c>
      <c r="AA1643" s="295">
        <v>-0.20679700000000001</v>
      </c>
      <c r="AB1643" s="295">
        <v>-0.207256</v>
      </c>
      <c r="AC1643" s="295">
        <v>-0.20789199999999999</v>
      </c>
      <c r="AD1643" s="295">
        <v>-0.208486</v>
      </c>
      <c r="AE1643" s="295">
        <v>-0.20918100000000001</v>
      </c>
      <c r="AF1643" s="295">
        <v>-0.209929</v>
      </c>
      <c r="AG1643" s="295">
        <v>-0.21074699999999999</v>
      </c>
      <c r="AH1643" s="296">
        <v>5.8699999999999996E-4</v>
      </c>
    </row>
    <row r="1644" spans="1:34" ht="15" customHeight="1" x14ac:dyDescent="0.2">
      <c r="A1644" s="213" t="s">
        <v>2340</v>
      </c>
      <c r="B1644" s="204" t="s">
        <v>2341</v>
      </c>
      <c r="C1644" s="205">
        <v>18.054001</v>
      </c>
      <c r="D1644" s="205">
        <v>19.884001000000001</v>
      </c>
      <c r="E1644" s="205">
        <v>19.849958000000001</v>
      </c>
      <c r="F1644" s="205">
        <v>20.023069</v>
      </c>
      <c r="G1644" s="205">
        <v>20.129287999999999</v>
      </c>
      <c r="H1644" s="205">
        <v>20.220562000000001</v>
      </c>
      <c r="I1644" s="205">
        <v>20.240884999999999</v>
      </c>
      <c r="J1644" s="205">
        <v>20.223379000000001</v>
      </c>
      <c r="K1644" s="205">
        <v>20.227568000000002</v>
      </c>
      <c r="L1644" s="205">
        <v>20.227581000000001</v>
      </c>
      <c r="M1644" s="205">
        <v>20.260798999999999</v>
      </c>
      <c r="N1644" s="205">
        <v>20.28237</v>
      </c>
      <c r="O1644" s="205">
        <v>20.298383999999999</v>
      </c>
      <c r="P1644" s="205">
        <v>20.336435000000002</v>
      </c>
      <c r="Q1644" s="205">
        <v>20.405785000000002</v>
      </c>
      <c r="R1644" s="205">
        <v>20.464234999999999</v>
      </c>
      <c r="S1644" s="205">
        <v>20.497795</v>
      </c>
      <c r="T1644" s="205">
        <v>20.542404000000001</v>
      </c>
      <c r="U1644" s="205">
        <v>20.584530000000001</v>
      </c>
      <c r="V1644" s="205">
        <v>20.627859000000001</v>
      </c>
      <c r="W1644" s="205">
        <v>20.646626999999999</v>
      </c>
      <c r="X1644" s="205">
        <v>20.698284000000001</v>
      </c>
      <c r="Y1644" s="205">
        <v>20.785392999999999</v>
      </c>
      <c r="Z1644" s="205">
        <v>20.878920000000001</v>
      </c>
      <c r="AA1644" s="205">
        <v>20.963379</v>
      </c>
      <c r="AB1644" s="205">
        <v>21.062488999999999</v>
      </c>
      <c r="AC1644" s="205">
        <v>21.138377999999999</v>
      </c>
      <c r="AD1644" s="205">
        <v>21.224056000000001</v>
      </c>
      <c r="AE1644" s="205">
        <v>21.327456000000002</v>
      </c>
      <c r="AF1644" s="205">
        <v>21.454592000000002</v>
      </c>
      <c r="AG1644" s="205">
        <v>21.584862000000001</v>
      </c>
      <c r="AH1644" s="206">
        <v>5.9719999999999999E-3</v>
      </c>
    </row>
    <row r="1646" spans="1:34" ht="15" customHeight="1" x14ac:dyDescent="0.25">
      <c r="A1646" s="213" t="s">
        <v>2342</v>
      </c>
      <c r="B1646" s="294" t="s">
        <v>2343</v>
      </c>
      <c r="C1646" s="295">
        <v>0.153921</v>
      </c>
      <c r="D1646" s="295">
        <v>9.4866000000000006E-2</v>
      </c>
      <c r="E1646" s="295">
        <v>-2.9627000000000001E-2</v>
      </c>
      <c r="F1646" s="295">
        <v>-2.1536E-2</v>
      </c>
      <c r="G1646" s="295">
        <v>-2.1114000000000001E-2</v>
      </c>
      <c r="H1646" s="295">
        <v>-2.0948000000000001E-2</v>
      </c>
      <c r="I1646" s="295">
        <v>-2.3352000000000001E-2</v>
      </c>
      <c r="J1646" s="295">
        <v>-2.0830000000000001E-2</v>
      </c>
      <c r="K1646" s="295">
        <v>-2.1090000000000001E-2</v>
      </c>
      <c r="L1646" s="295">
        <v>-2.0565E-2</v>
      </c>
      <c r="M1646" s="295">
        <v>-1.8644000000000001E-2</v>
      </c>
      <c r="N1646" s="295">
        <v>-1.9109999999999999E-2</v>
      </c>
      <c r="O1646" s="295">
        <v>-1.9214999999999999E-2</v>
      </c>
      <c r="P1646" s="295">
        <v>-1.9571000000000002E-2</v>
      </c>
      <c r="Q1646" s="295">
        <v>-2.0997999999999999E-2</v>
      </c>
      <c r="R1646" s="295">
        <v>-2.1637E-2</v>
      </c>
      <c r="S1646" s="295">
        <v>-2.2918999999999998E-2</v>
      </c>
      <c r="T1646" s="295">
        <v>-2.4212000000000001E-2</v>
      </c>
      <c r="U1646" s="295">
        <v>-2.4733000000000002E-2</v>
      </c>
      <c r="V1646" s="295">
        <v>-2.6804000000000001E-2</v>
      </c>
      <c r="W1646" s="295">
        <v>-2.6522E-2</v>
      </c>
      <c r="X1646" s="295">
        <v>-2.6737E-2</v>
      </c>
      <c r="Y1646" s="295">
        <v>-2.7262000000000002E-2</v>
      </c>
      <c r="Z1646" s="295">
        <v>-2.7449000000000001E-2</v>
      </c>
      <c r="AA1646" s="295">
        <v>-2.7744000000000001E-2</v>
      </c>
      <c r="AB1646" s="295">
        <v>-2.7550000000000002E-2</v>
      </c>
      <c r="AC1646" s="295">
        <v>-2.853E-2</v>
      </c>
      <c r="AD1646" s="295">
        <v>-2.9415E-2</v>
      </c>
      <c r="AE1646" s="295">
        <v>-3.0311999999999999E-2</v>
      </c>
      <c r="AF1646" s="295">
        <v>-3.1026999999999999E-2</v>
      </c>
      <c r="AG1646" s="295">
        <v>-3.2452000000000002E-2</v>
      </c>
      <c r="AH1646" s="296" t="s">
        <v>635</v>
      </c>
    </row>
    <row r="1648" spans="1:34" ht="15" customHeight="1" x14ac:dyDescent="0.25">
      <c r="A1648" s="213" t="s">
        <v>2344</v>
      </c>
      <c r="B1648" s="294" t="s">
        <v>2345</v>
      </c>
      <c r="C1648" s="298">
        <v>18.662001</v>
      </c>
      <c r="D1648" s="298">
        <v>18.385999999999999</v>
      </c>
      <c r="E1648" s="298">
        <v>18.757694000000001</v>
      </c>
      <c r="F1648" s="298">
        <v>18.944704000000002</v>
      </c>
      <c r="G1648" s="298">
        <v>19.018314</v>
      </c>
      <c r="H1648" s="298">
        <v>19.091925</v>
      </c>
      <c r="I1648" s="298">
        <v>19.091925</v>
      </c>
      <c r="J1648" s="298">
        <v>19.091925</v>
      </c>
      <c r="K1648" s="298">
        <v>19.091925</v>
      </c>
      <c r="L1648" s="298">
        <v>19.091925</v>
      </c>
      <c r="M1648" s="298">
        <v>19.091925</v>
      </c>
      <c r="N1648" s="298">
        <v>19.091925</v>
      </c>
      <c r="O1648" s="298">
        <v>19.091925</v>
      </c>
      <c r="P1648" s="298">
        <v>19.091925</v>
      </c>
      <c r="Q1648" s="298">
        <v>19.091925</v>
      </c>
      <c r="R1648" s="298">
        <v>19.091925</v>
      </c>
      <c r="S1648" s="298">
        <v>19.091925</v>
      </c>
      <c r="T1648" s="298">
        <v>19.091925</v>
      </c>
      <c r="U1648" s="298">
        <v>19.091925</v>
      </c>
      <c r="V1648" s="298">
        <v>19.091925</v>
      </c>
      <c r="W1648" s="298">
        <v>19.091925</v>
      </c>
      <c r="X1648" s="298">
        <v>19.091925</v>
      </c>
      <c r="Y1648" s="298">
        <v>19.091925</v>
      </c>
      <c r="Z1648" s="298">
        <v>19.091925</v>
      </c>
      <c r="AA1648" s="298">
        <v>19.091925</v>
      </c>
      <c r="AB1648" s="298">
        <v>19.091925</v>
      </c>
      <c r="AC1648" s="298">
        <v>19.091925</v>
      </c>
      <c r="AD1648" s="298">
        <v>19.091925</v>
      </c>
      <c r="AE1648" s="298">
        <v>19.091925</v>
      </c>
      <c r="AF1648" s="298">
        <v>19.091925</v>
      </c>
      <c r="AG1648" s="298">
        <v>19.091925</v>
      </c>
      <c r="AH1648" s="296">
        <v>7.5900000000000002E-4</v>
      </c>
    </row>
    <row r="1649" spans="1:34" ht="15" customHeight="1" x14ac:dyDescent="0.25">
      <c r="A1649" s="213" t="s">
        <v>2346</v>
      </c>
      <c r="B1649" s="294" t="s">
        <v>2347</v>
      </c>
      <c r="C1649" s="298">
        <v>79.660004000000001</v>
      </c>
      <c r="D1649" s="298">
        <v>88.108001999999999</v>
      </c>
      <c r="E1649" s="298">
        <v>89.901886000000005</v>
      </c>
      <c r="F1649" s="298">
        <v>91.956672999999995</v>
      </c>
      <c r="G1649" s="298">
        <v>92.152648999999997</v>
      </c>
      <c r="H1649" s="298">
        <v>92.796829000000002</v>
      </c>
      <c r="I1649" s="298">
        <v>92.777084000000002</v>
      </c>
      <c r="J1649" s="298">
        <v>93.060248999999999</v>
      </c>
      <c r="K1649" s="298">
        <v>93.049187000000003</v>
      </c>
      <c r="L1649" s="298">
        <v>93.028426999999994</v>
      </c>
      <c r="M1649" s="298">
        <v>93.084823999999998</v>
      </c>
      <c r="N1649" s="298">
        <v>92.973381000000003</v>
      </c>
      <c r="O1649" s="298">
        <v>92.953284999999994</v>
      </c>
      <c r="P1649" s="298">
        <v>92.690269000000001</v>
      </c>
      <c r="Q1649" s="298">
        <v>92.629242000000005</v>
      </c>
      <c r="R1649" s="298">
        <v>92.516243000000003</v>
      </c>
      <c r="S1649" s="298">
        <v>92.668830999999997</v>
      </c>
      <c r="T1649" s="298">
        <v>92.619003000000006</v>
      </c>
      <c r="U1649" s="298">
        <v>92.585068000000007</v>
      </c>
      <c r="V1649" s="298">
        <v>92.183327000000006</v>
      </c>
      <c r="W1649" s="298">
        <v>92.299553000000003</v>
      </c>
      <c r="X1649" s="298">
        <v>92.219131000000004</v>
      </c>
      <c r="Y1649" s="298">
        <v>92.409514999999999</v>
      </c>
      <c r="Z1649" s="298">
        <v>92.228301999999999</v>
      </c>
      <c r="AA1649" s="298">
        <v>92.246566999999999</v>
      </c>
      <c r="AB1649" s="298">
        <v>92.179282999999998</v>
      </c>
      <c r="AC1649" s="298">
        <v>91.998001000000002</v>
      </c>
      <c r="AD1649" s="298">
        <v>92.177352999999997</v>
      </c>
      <c r="AE1649" s="298">
        <v>92.268799000000001</v>
      </c>
      <c r="AF1649" s="298">
        <v>92.061179999999993</v>
      </c>
      <c r="AG1649" s="298">
        <v>91.937370000000001</v>
      </c>
      <c r="AH1649" s="296">
        <v>4.7889999999999999E-3</v>
      </c>
    </row>
    <row r="1650" spans="1:34" ht="15" customHeight="1" x14ac:dyDescent="0.25">
      <c r="A1650" s="213" t="s">
        <v>2348</v>
      </c>
      <c r="B1650" s="294" t="s">
        <v>2349</v>
      </c>
      <c r="C1650" s="295">
        <v>7.9948560000000004</v>
      </c>
      <c r="D1650" s="295">
        <v>9.5887550000000008</v>
      </c>
      <c r="E1650" s="295">
        <v>9.7414559999999994</v>
      </c>
      <c r="F1650" s="295">
        <v>9.7173739999999995</v>
      </c>
      <c r="G1650" s="295">
        <v>9.7857859999999999</v>
      </c>
      <c r="H1650" s="295">
        <v>9.4892629999999993</v>
      </c>
      <c r="I1650" s="295">
        <v>9.5035019999999992</v>
      </c>
      <c r="J1650" s="295">
        <v>9.1557329999999997</v>
      </c>
      <c r="K1650" s="295">
        <v>8.9034510000000004</v>
      </c>
      <c r="L1650" s="295">
        <v>9.0161979999999993</v>
      </c>
      <c r="M1650" s="295">
        <v>8.7722270000000009</v>
      </c>
      <c r="N1650" s="295">
        <v>8.8317999999999994</v>
      </c>
      <c r="O1650" s="295">
        <v>8.6139340000000004</v>
      </c>
      <c r="P1650" s="295">
        <v>8.4783659999999994</v>
      </c>
      <c r="Q1650" s="295">
        <v>8.5678509999999992</v>
      </c>
      <c r="R1650" s="295">
        <v>8.6826039999999995</v>
      </c>
      <c r="S1650" s="295">
        <v>8.936007</v>
      </c>
      <c r="T1650" s="295">
        <v>8.9830450000000006</v>
      </c>
      <c r="U1650" s="295">
        <v>9.0354919999999996</v>
      </c>
      <c r="V1650" s="295">
        <v>9.2659730000000007</v>
      </c>
      <c r="W1650" s="295">
        <v>9.1807870000000005</v>
      </c>
      <c r="X1650" s="295">
        <v>9.167173</v>
      </c>
      <c r="Y1650" s="295">
        <v>9.2304499999999994</v>
      </c>
      <c r="Z1650" s="295">
        <v>9.0914640000000002</v>
      </c>
      <c r="AA1650" s="295">
        <v>8.9650409999999994</v>
      </c>
      <c r="AB1650" s="295">
        <v>8.9817529999999994</v>
      </c>
      <c r="AC1650" s="295">
        <v>8.8626050000000003</v>
      </c>
      <c r="AD1650" s="295">
        <v>8.9181600000000003</v>
      </c>
      <c r="AE1650" s="295">
        <v>9.0694769999999991</v>
      </c>
      <c r="AF1650" s="295">
        <v>9.1108469999999997</v>
      </c>
      <c r="AG1650" s="295">
        <v>9.3560079999999992</v>
      </c>
      <c r="AH1650" s="296">
        <v>5.254E-3</v>
      </c>
    </row>
    <row r="1651" spans="1:34" ht="15" customHeight="1" x14ac:dyDescent="0.25">
      <c r="A1651" s="213" t="s">
        <v>2350</v>
      </c>
      <c r="B1651" s="294" t="s">
        <v>2351</v>
      </c>
      <c r="C1651" s="295">
        <v>8.4372860000000003</v>
      </c>
      <c r="D1651" s="295">
        <v>8.7782859999999996</v>
      </c>
      <c r="E1651" s="295">
        <v>9.494313</v>
      </c>
      <c r="F1651" s="295">
        <v>10.328879000000001</v>
      </c>
      <c r="G1651" s="295">
        <v>10.797860999999999</v>
      </c>
      <c r="H1651" s="295">
        <v>10.928689</v>
      </c>
      <c r="I1651" s="295">
        <v>11.21687</v>
      </c>
      <c r="J1651" s="295">
        <v>11.008035</v>
      </c>
      <c r="K1651" s="295">
        <v>10.873099</v>
      </c>
      <c r="L1651" s="295">
        <v>11.064581</v>
      </c>
      <c r="M1651" s="295">
        <v>10.911236000000001</v>
      </c>
      <c r="N1651" s="295">
        <v>11.019835</v>
      </c>
      <c r="O1651" s="295">
        <v>10.739881</v>
      </c>
      <c r="P1651" s="295">
        <v>10.673393000000001</v>
      </c>
      <c r="Q1651" s="295">
        <v>10.772881999999999</v>
      </c>
      <c r="R1651" s="295">
        <v>10.711779999999999</v>
      </c>
      <c r="S1651" s="295">
        <v>10.742991999999999</v>
      </c>
      <c r="T1651" s="295">
        <v>10.644144000000001</v>
      </c>
      <c r="U1651" s="295">
        <v>10.561726999999999</v>
      </c>
      <c r="V1651" s="295">
        <v>10.729782</v>
      </c>
      <c r="W1651" s="295">
        <v>10.52272</v>
      </c>
      <c r="X1651" s="295">
        <v>10.401341</v>
      </c>
      <c r="Y1651" s="295">
        <v>10.452495000000001</v>
      </c>
      <c r="Z1651" s="295">
        <v>10.427288000000001</v>
      </c>
      <c r="AA1651" s="295">
        <v>10.302044</v>
      </c>
      <c r="AB1651" s="295">
        <v>10.107438999999999</v>
      </c>
      <c r="AC1651" s="295">
        <v>9.9317200000000003</v>
      </c>
      <c r="AD1651" s="295">
        <v>9.9460359999999994</v>
      </c>
      <c r="AE1651" s="295">
        <v>9.9404559999999993</v>
      </c>
      <c r="AF1651" s="295">
        <v>9.823874</v>
      </c>
      <c r="AG1651" s="295">
        <v>9.7021879999999996</v>
      </c>
      <c r="AH1651" s="296">
        <v>4.6670000000000001E-3</v>
      </c>
    </row>
    <row r="1652" spans="1:34" ht="15" customHeight="1" x14ac:dyDescent="0.25">
      <c r="A1652" s="213" t="s">
        <v>2352</v>
      </c>
      <c r="B1652" s="294" t="s">
        <v>2353</v>
      </c>
      <c r="C1652" s="295">
        <v>-0.44242999999999999</v>
      </c>
      <c r="D1652" s="295">
        <v>0.81046899999999999</v>
      </c>
      <c r="E1652" s="295">
        <v>0.247143</v>
      </c>
      <c r="F1652" s="295">
        <v>-0.61150599999999999</v>
      </c>
      <c r="G1652" s="295">
        <v>-1.0120750000000001</v>
      </c>
      <c r="H1652" s="295">
        <v>-1.4394260000000001</v>
      </c>
      <c r="I1652" s="295">
        <v>-1.713368</v>
      </c>
      <c r="J1652" s="295">
        <v>-1.8523019999999999</v>
      </c>
      <c r="K1652" s="295">
        <v>-1.9696480000000001</v>
      </c>
      <c r="L1652" s="295">
        <v>-2.0483829999999998</v>
      </c>
      <c r="M1652" s="295">
        <v>-2.1390090000000002</v>
      </c>
      <c r="N1652" s="295">
        <v>-2.1880350000000002</v>
      </c>
      <c r="O1652" s="295">
        <v>-2.125947</v>
      </c>
      <c r="P1652" s="295">
        <v>-2.1950270000000001</v>
      </c>
      <c r="Q1652" s="295">
        <v>-2.205031</v>
      </c>
      <c r="R1652" s="295">
        <v>-2.0291760000000001</v>
      </c>
      <c r="S1652" s="295">
        <v>-1.806986</v>
      </c>
      <c r="T1652" s="295">
        <v>-1.6610990000000001</v>
      </c>
      <c r="U1652" s="295">
        <v>-1.526235</v>
      </c>
      <c r="V1652" s="295">
        <v>-1.4638089999999999</v>
      </c>
      <c r="W1652" s="295">
        <v>-1.341933</v>
      </c>
      <c r="X1652" s="295">
        <v>-1.2341679999999999</v>
      </c>
      <c r="Y1652" s="295">
        <v>-1.222045</v>
      </c>
      <c r="Z1652" s="295">
        <v>-1.3358239999999999</v>
      </c>
      <c r="AA1652" s="295">
        <v>-1.3370029999999999</v>
      </c>
      <c r="AB1652" s="295">
        <v>-1.125686</v>
      </c>
      <c r="AC1652" s="295">
        <v>-1.069115</v>
      </c>
      <c r="AD1652" s="295">
        <v>-1.027876</v>
      </c>
      <c r="AE1652" s="295">
        <v>-0.87097899999999995</v>
      </c>
      <c r="AF1652" s="295">
        <v>-0.71302699999999997</v>
      </c>
      <c r="AG1652" s="295">
        <v>-0.34618100000000002</v>
      </c>
      <c r="AH1652" s="296">
        <v>-8.1440000000000002E-3</v>
      </c>
    </row>
    <row r="1653" spans="1:34" ht="15" customHeight="1" x14ac:dyDescent="0.25">
      <c r="A1653" s="213" t="s">
        <v>2354</v>
      </c>
      <c r="B1653" s="294" t="s">
        <v>2355</v>
      </c>
      <c r="C1653" s="298">
        <v>-2.4298739999999999</v>
      </c>
      <c r="D1653" s="298">
        <v>4.0566300000000002</v>
      </c>
      <c r="E1653" s="298">
        <v>1.2469159999999999</v>
      </c>
      <c r="F1653" s="298">
        <v>-3.0572970000000002</v>
      </c>
      <c r="G1653" s="298">
        <v>-5.0331549999999998</v>
      </c>
      <c r="H1653" s="298">
        <v>-7.1260079999999997</v>
      </c>
      <c r="I1653" s="298">
        <v>-8.4746659999999991</v>
      </c>
      <c r="J1653" s="298">
        <v>-9.1686530000000008</v>
      </c>
      <c r="K1653" s="298">
        <v>-9.7476040000000008</v>
      </c>
      <c r="L1653" s="298">
        <v>-10.136989</v>
      </c>
      <c r="M1653" s="298">
        <v>-10.5671</v>
      </c>
      <c r="N1653" s="298">
        <v>-10.79804</v>
      </c>
      <c r="O1653" s="298">
        <v>-10.483407</v>
      </c>
      <c r="P1653" s="298">
        <v>-10.803967</v>
      </c>
      <c r="Q1653" s="298">
        <v>-10.817045999999999</v>
      </c>
      <c r="R1653" s="298">
        <v>-9.9262080000000008</v>
      </c>
      <c r="S1653" s="298">
        <v>-8.8253789999999999</v>
      </c>
      <c r="T1653" s="298">
        <v>-8.0957369999999997</v>
      </c>
      <c r="U1653" s="298">
        <v>-7.423394</v>
      </c>
      <c r="V1653" s="298">
        <v>-7.1055029999999997</v>
      </c>
      <c r="W1653" s="298">
        <v>-6.5078880000000003</v>
      </c>
      <c r="X1653" s="298">
        <v>-5.970377</v>
      </c>
      <c r="Y1653" s="298">
        <v>-5.8870699999999996</v>
      </c>
      <c r="Z1653" s="298">
        <v>-6.4063749999999997</v>
      </c>
      <c r="AA1653" s="298">
        <v>-6.3862579999999998</v>
      </c>
      <c r="AB1653" s="298">
        <v>-5.3515009999999998</v>
      </c>
      <c r="AC1653" s="298">
        <v>-5.0645249999999997</v>
      </c>
      <c r="AD1653" s="298">
        <v>-4.8496990000000002</v>
      </c>
      <c r="AE1653" s="298">
        <v>-4.0896530000000002</v>
      </c>
      <c r="AF1653" s="298">
        <v>-3.328236</v>
      </c>
      <c r="AG1653" s="298">
        <v>-1.606233</v>
      </c>
      <c r="AH1653" s="296">
        <v>-1.3703999999999999E-2</v>
      </c>
    </row>
    <row r="1654" spans="1:34" ht="15" customHeight="1" x14ac:dyDescent="0.2">
      <c r="B1654" s="204" t="s">
        <v>2356</v>
      </c>
    </row>
    <row r="1655" spans="1:34" ht="15" customHeight="1" x14ac:dyDescent="0.25">
      <c r="A1655" s="213" t="s">
        <v>2357</v>
      </c>
      <c r="B1655" s="294" t="s">
        <v>2358</v>
      </c>
      <c r="C1655" s="297">
        <v>96.355620999999999</v>
      </c>
      <c r="D1655" s="297">
        <v>135.79480000000001</v>
      </c>
      <c r="E1655" s="297">
        <v>148.927933</v>
      </c>
      <c r="F1655" s="297">
        <v>162.64175399999999</v>
      </c>
      <c r="G1655" s="297">
        <v>175.12063599999999</v>
      </c>
      <c r="H1655" s="297">
        <v>177.17503400000001</v>
      </c>
      <c r="I1655" s="297">
        <v>183.65756200000001</v>
      </c>
      <c r="J1655" s="297">
        <v>182.90168800000001</v>
      </c>
      <c r="K1655" s="297">
        <v>184.18112199999999</v>
      </c>
      <c r="L1655" s="297">
        <v>192.23348999999999</v>
      </c>
      <c r="M1655" s="297">
        <v>190.56842</v>
      </c>
      <c r="N1655" s="297">
        <v>197.002106</v>
      </c>
      <c r="O1655" s="297">
        <v>195.830566</v>
      </c>
      <c r="P1655" s="297">
        <v>195.87460300000001</v>
      </c>
      <c r="Q1655" s="297">
        <v>200.008713</v>
      </c>
      <c r="R1655" s="297">
        <v>205.555069</v>
      </c>
      <c r="S1655" s="297">
        <v>216.182693</v>
      </c>
      <c r="T1655" s="297">
        <v>219.23925800000001</v>
      </c>
      <c r="U1655" s="297">
        <v>225.374664</v>
      </c>
      <c r="V1655" s="297">
        <v>232.85640000000001</v>
      </c>
      <c r="W1655" s="297">
        <v>239.92155500000001</v>
      </c>
      <c r="X1655" s="297">
        <v>243.74685700000001</v>
      </c>
      <c r="Y1655" s="297">
        <v>249.43391399999999</v>
      </c>
      <c r="Z1655" s="297">
        <v>249.930115</v>
      </c>
      <c r="AA1655" s="297">
        <v>247.88381999999999</v>
      </c>
      <c r="AB1655" s="297">
        <v>246.64913899999999</v>
      </c>
      <c r="AC1655" s="297">
        <v>249.591599</v>
      </c>
      <c r="AD1655" s="297">
        <v>253.13223300000001</v>
      </c>
      <c r="AE1655" s="297">
        <v>257.01791400000002</v>
      </c>
      <c r="AF1655" s="297">
        <v>259.24829099999999</v>
      </c>
      <c r="AG1655" s="297">
        <v>267.30850199999998</v>
      </c>
      <c r="AH1655" s="296">
        <v>3.4597000000000003E-2</v>
      </c>
    </row>
    <row r="1657" spans="1:34" ht="15" customHeight="1" thickBot="1" x14ac:dyDescent="0.25"/>
    <row r="1658" spans="1:34" ht="15" customHeight="1" x14ac:dyDescent="0.2">
      <c r="B1658" s="305" t="s">
        <v>652</v>
      </c>
      <c r="C1658" s="305"/>
      <c r="D1658" s="305"/>
      <c r="E1658" s="305"/>
      <c r="F1658" s="305"/>
      <c r="G1658" s="305"/>
      <c r="H1658" s="305"/>
      <c r="I1658" s="305"/>
      <c r="J1658" s="305"/>
      <c r="K1658" s="305"/>
      <c r="L1658" s="305"/>
      <c r="M1658" s="305"/>
      <c r="N1658" s="305"/>
      <c r="O1658" s="305"/>
      <c r="P1658" s="305"/>
      <c r="Q1658" s="305"/>
      <c r="R1658" s="305"/>
      <c r="S1658" s="305"/>
      <c r="T1658" s="305"/>
      <c r="U1658" s="305"/>
      <c r="V1658" s="305"/>
      <c r="W1658" s="305"/>
      <c r="X1658" s="305"/>
      <c r="Y1658" s="305"/>
      <c r="Z1658" s="305"/>
      <c r="AA1658" s="305"/>
      <c r="AB1658" s="305"/>
      <c r="AC1658" s="305"/>
      <c r="AD1658" s="305"/>
      <c r="AE1658" s="305"/>
      <c r="AF1658" s="305"/>
      <c r="AG1658" s="305"/>
      <c r="AH1658" s="305"/>
    </row>
    <row r="1659" spans="1:34" ht="15" customHeight="1" x14ac:dyDescent="0.2">
      <c r="B1659" s="208" t="s">
        <v>2359</v>
      </c>
    </row>
    <row r="1660" spans="1:34" ht="15" customHeight="1" x14ac:dyDescent="0.2">
      <c r="B1660" s="208" t="s">
        <v>2360</v>
      </c>
    </row>
    <row r="1661" spans="1:34" ht="15" customHeight="1" x14ac:dyDescent="0.2">
      <c r="B1661" s="208" t="s">
        <v>2361</v>
      </c>
    </row>
    <row r="1662" spans="1:34" ht="15" customHeight="1" x14ac:dyDescent="0.2">
      <c r="B1662" s="208" t="s">
        <v>2362</v>
      </c>
    </row>
    <row r="1663" spans="1:34" ht="15" customHeight="1" x14ac:dyDescent="0.2">
      <c r="B1663" s="208" t="s">
        <v>2363</v>
      </c>
    </row>
    <row r="1664" spans="1:34" ht="15" customHeight="1" x14ac:dyDescent="0.2">
      <c r="B1664" s="208" t="s">
        <v>2364</v>
      </c>
    </row>
    <row r="1665" spans="2:2" ht="15" customHeight="1" x14ac:dyDescent="0.2">
      <c r="B1665" s="208" t="s">
        <v>2365</v>
      </c>
    </row>
    <row r="1666" spans="2:2" ht="15" customHeight="1" x14ac:dyDescent="0.2">
      <c r="B1666" s="208" t="s">
        <v>2366</v>
      </c>
    </row>
    <row r="1667" spans="2:2" ht="15" customHeight="1" x14ac:dyDescent="0.2">
      <c r="B1667" s="208" t="s">
        <v>2367</v>
      </c>
    </row>
    <row r="1668" spans="2:2" ht="15" customHeight="1" x14ac:dyDescent="0.2">
      <c r="B1668" s="208" t="s">
        <v>2368</v>
      </c>
    </row>
    <row r="1669" spans="2:2" ht="15" customHeight="1" x14ac:dyDescent="0.2">
      <c r="B1669" s="208" t="s">
        <v>2369</v>
      </c>
    </row>
    <row r="1670" spans="2:2" ht="15" customHeight="1" x14ac:dyDescent="0.2">
      <c r="B1670" s="208" t="s">
        <v>2370</v>
      </c>
    </row>
    <row r="1671" spans="2:2" ht="15" customHeight="1" x14ac:dyDescent="0.2">
      <c r="B1671" s="208" t="s">
        <v>2371</v>
      </c>
    </row>
    <row r="1672" spans="2:2" ht="15" customHeight="1" x14ac:dyDescent="0.2">
      <c r="B1672" s="208" t="s">
        <v>2372</v>
      </c>
    </row>
    <row r="1673" spans="2:2" ht="15" customHeight="1" x14ac:dyDescent="0.2">
      <c r="B1673" s="208" t="s">
        <v>2373</v>
      </c>
    </row>
    <row r="1674" spans="2:2" ht="15" customHeight="1" x14ac:dyDescent="0.2">
      <c r="B1674" s="208" t="s">
        <v>2374</v>
      </c>
    </row>
    <row r="1675" spans="2:2" ht="15" customHeight="1" x14ac:dyDescent="0.2">
      <c r="B1675" s="208" t="s">
        <v>2375</v>
      </c>
    </row>
    <row r="1676" spans="2:2" ht="15" customHeight="1" x14ac:dyDescent="0.2">
      <c r="B1676" s="208" t="s">
        <v>2376</v>
      </c>
    </row>
    <row r="1677" spans="2:2" ht="15" customHeight="1" x14ac:dyDescent="0.2">
      <c r="B1677" s="208" t="s">
        <v>2377</v>
      </c>
    </row>
    <row r="1678" spans="2:2" ht="15" customHeight="1" x14ac:dyDescent="0.2">
      <c r="B1678" s="208" t="s">
        <v>2378</v>
      </c>
    </row>
    <row r="1679" spans="2:2" ht="15" customHeight="1" x14ac:dyDescent="0.2">
      <c r="B1679" s="208" t="s">
        <v>2379</v>
      </c>
    </row>
    <row r="1680" spans="2:2" ht="15" customHeight="1" x14ac:dyDescent="0.2">
      <c r="B1680" s="208" t="s">
        <v>2380</v>
      </c>
    </row>
    <row r="1681" spans="2:2" ht="15" customHeight="1" x14ac:dyDescent="0.2">
      <c r="B1681" s="208" t="s">
        <v>2381</v>
      </c>
    </row>
    <row r="1682" spans="2:2" ht="15" customHeight="1" x14ac:dyDescent="0.2">
      <c r="B1682" s="208" t="s">
        <v>2382</v>
      </c>
    </row>
    <row r="1683" spans="2:2" ht="15" customHeight="1" x14ac:dyDescent="0.2">
      <c r="B1683" s="208" t="s">
        <v>601</v>
      </c>
    </row>
    <row r="1684" spans="2:2" ht="15" customHeight="1" x14ac:dyDescent="0.2">
      <c r="B1684" s="208" t="s">
        <v>614</v>
      </c>
    </row>
    <row r="1685" spans="2:2" ht="15" customHeight="1" x14ac:dyDescent="0.2">
      <c r="B1685" s="208" t="s">
        <v>2215</v>
      </c>
    </row>
    <row r="1686" spans="2:2" ht="15" customHeight="1" x14ac:dyDescent="0.2">
      <c r="B1686" s="208" t="s">
        <v>1031</v>
      </c>
    </row>
    <row r="1810" spans="1:34" ht="15" customHeight="1" x14ac:dyDescent="0.25">
      <c r="A1810" s="213" t="s">
        <v>2383</v>
      </c>
      <c r="B1810" s="202" t="s">
        <v>1020</v>
      </c>
      <c r="AH1810" s="292" t="s">
        <v>597</v>
      </c>
    </row>
    <row r="1811" spans="1:34" ht="15" customHeight="1" x14ac:dyDescent="0.2">
      <c r="B1811" s="199" t="s">
        <v>2384</v>
      </c>
      <c r="AH1811" s="292" t="s">
        <v>598</v>
      </c>
    </row>
    <row r="1812" spans="1:34" ht="15" customHeight="1" x14ac:dyDescent="0.2">
      <c r="B1812" s="199" t="s">
        <v>124</v>
      </c>
      <c r="C1812" s="222" t="s">
        <v>124</v>
      </c>
      <c r="D1812" s="222" t="s">
        <v>124</v>
      </c>
      <c r="E1812" s="222" t="s">
        <v>124</v>
      </c>
      <c r="F1812" s="222" t="s">
        <v>124</v>
      </c>
      <c r="G1812" s="222" t="s">
        <v>124</v>
      </c>
      <c r="H1812" s="222" t="s">
        <v>124</v>
      </c>
      <c r="I1812" s="222" t="s">
        <v>124</v>
      </c>
      <c r="J1812" s="222" t="s">
        <v>124</v>
      </c>
      <c r="K1812" s="222" t="s">
        <v>124</v>
      </c>
      <c r="L1812" s="222" t="s">
        <v>124</v>
      </c>
      <c r="M1812" s="222" t="s">
        <v>124</v>
      </c>
      <c r="N1812" s="222" t="s">
        <v>124</v>
      </c>
      <c r="O1812" s="222" t="s">
        <v>124</v>
      </c>
      <c r="P1812" s="222" t="s">
        <v>124</v>
      </c>
      <c r="Q1812" s="222" t="s">
        <v>124</v>
      </c>
      <c r="R1812" s="222" t="s">
        <v>124</v>
      </c>
      <c r="S1812" s="222" t="s">
        <v>124</v>
      </c>
      <c r="T1812" s="222" t="s">
        <v>124</v>
      </c>
      <c r="U1812" s="222" t="s">
        <v>124</v>
      </c>
      <c r="V1812" s="222" t="s">
        <v>124</v>
      </c>
      <c r="W1812" s="222" t="s">
        <v>124</v>
      </c>
      <c r="X1812" s="222" t="s">
        <v>124</v>
      </c>
      <c r="Y1812" s="222" t="s">
        <v>124</v>
      </c>
      <c r="Z1812" s="222" t="s">
        <v>124</v>
      </c>
      <c r="AA1812" s="222" t="s">
        <v>124</v>
      </c>
      <c r="AB1812" s="222" t="s">
        <v>124</v>
      </c>
      <c r="AC1812" s="222" t="s">
        <v>124</v>
      </c>
      <c r="AD1812" s="222" t="s">
        <v>124</v>
      </c>
      <c r="AE1812" s="222" t="s">
        <v>124</v>
      </c>
      <c r="AF1812" s="222" t="s">
        <v>124</v>
      </c>
      <c r="AG1812" s="222" t="s">
        <v>124</v>
      </c>
      <c r="AH1812" s="292" t="s">
        <v>599</v>
      </c>
    </row>
    <row r="1813" spans="1:34" ht="15" customHeight="1" thickBot="1" x14ac:dyDescent="0.25">
      <c r="B1813" s="200" t="s">
        <v>2385</v>
      </c>
      <c r="C1813" s="200">
        <v>2020</v>
      </c>
      <c r="D1813" s="200">
        <v>2021</v>
      </c>
      <c r="E1813" s="200">
        <v>2022</v>
      </c>
      <c r="F1813" s="200">
        <v>2023</v>
      </c>
      <c r="G1813" s="200">
        <v>2024</v>
      </c>
      <c r="H1813" s="200">
        <v>2025</v>
      </c>
      <c r="I1813" s="200">
        <v>2026</v>
      </c>
      <c r="J1813" s="200">
        <v>2027</v>
      </c>
      <c r="K1813" s="200">
        <v>2028</v>
      </c>
      <c r="L1813" s="200">
        <v>2029</v>
      </c>
      <c r="M1813" s="200">
        <v>2030</v>
      </c>
      <c r="N1813" s="200">
        <v>2031</v>
      </c>
      <c r="O1813" s="200">
        <v>2032</v>
      </c>
      <c r="P1813" s="200">
        <v>2033</v>
      </c>
      <c r="Q1813" s="200">
        <v>2034</v>
      </c>
      <c r="R1813" s="200">
        <v>2035</v>
      </c>
      <c r="S1813" s="200">
        <v>2036</v>
      </c>
      <c r="T1813" s="200">
        <v>2037</v>
      </c>
      <c r="U1813" s="200">
        <v>2038</v>
      </c>
      <c r="V1813" s="200">
        <v>2039</v>
      </c>
      <c r="W1813" s="200">
        <v>2040</v>
      </c>
      <c r="X1813" s="200">
        <v>2041</v>
      </c>
      <c r="Y1813" s="200">
        <v>2042</v>
      </c>
      <c r="Z1813" s="200">
        <v>2043</v>
      </c>
      <c r="AA1813" s="200">
        <v>2044</v>
      </c>
      <c r="AB1813" s="200">
        <v>2045</v>
      </c>
      <c r="AC1813" s="200">
        <v>2046</v>
      </c>
      <c r="AD1813" s="200">
        <v>2047</v>
      </c>
      <c r="AE1813" s="200">
        <v>2048</v>
      </c>
      <c r="AF1813" s="200">
        <v>2049</v>
      </c>
      <c r="AG1813" s="200">
        <v>2050</v>
      </c>
      <c r="AH1813" s="293" t="s">
        <v>600</v>
      </c>
    </row>
    <row r="1814" spans="1:34" ht="15" customHeight="1" thickTop="1" x14ac:dyDescent="0.2"/>
    <row r="1815" spans="1:34" ht="15" customHeight="1" x14ac:dyDescent="0.2">
      <c r="B1815" s="204" t="s">
        <v>2386</v>
      </c>
    </row>
    <row r="1816" spans="1:34" ht="15" customHeight="1" x14ac:dyDescent="0.25">
      <c r="A1816" s="213" t="s">
        <v>2387</v>
      </c>
      <c r="B1816" s="294" t="s">
        <v>2388</v>
      </c>
      <c r="C1816" s="297">
        <v>41.186000999999997</v>
      </c>
      <c r="D1816" s="297">
        <v>46.575744999999998</v>
      </c>
      <c r="E1816" s="297">
        <v>49.829048</v>
      </c>
      <c r="F1816" s="297">
        <v>54.863232000000004</v>
      </c>
      <c r="G1816" s="297">
        <v>58.333694000000001</v>
      </c>
      <c r="H1816" s="297">
        <v>61.118706000000003</v>
      </c>
      <c r="I1816" s="297">
        <v>64.106987000000004</v>
      </c>
      <c r="J1816" s="297">
        <v>66.325333000000001</v>
      </c>
      <c r="K1816" s="297">
        <v>68.645477</v>
      </c>
      <c r="L1816" s="297">
        <v>70.636725999999996</v>
      </c>
      <c r="M1816" s="297">
        <v>72.755272000000005</v>
      </c>
      <c r="N1816" s="297">
        <v>74.340941999999998</v>
      </c>
      <c r="O1816" s="297">
        <v>76.379615999999999</v>
      </c>
      <c r="P1816" s="297">
        <v>77.591339000000005</v>
      </c>
      <c r="Q1816" s="297">
        <v>78.843818999999996</v>
      </c>
      <c r="R1816" s="297">
        <v>79.671036000000001</v>
      </c>
      <c r="S1816" s="297">
        <v>81.085555999999997</v>
      </c>
      <c r="T1816" s="297">
        <v>82.694901000000002</v>
      </c>
      <c r="U1816" s="297">
        <v>84.245116999999993</v>
      </c>
      <c r="V1816" s="297">
        <v>84.549728000000002</v>
      </c>
      <c r="W1816" s="297">
        <v>87.0989</v>
      </c>
      <c r="X1816" s="297">
        <v>88.644592000000003</v>
      </c>
      <c r="Y1816" s="297">
        <v>89.546081999999998</v>
      </c>
      <c r="Z1816" s="297">
        <v>91.114470999999995</v>
      </c>
      <c r="AA1816" s="297">
        <v>92.075562000000005</v>
      </c>
      <c r="AB1816" s="297">
        <v>91.421554999999998</v>
      </c>
      <c r="AC1816" s="297">
        <v>93.303398000000001</v>
      </c>
      <c r="AD1816" s="297">
        <v>94.161773999999994</v>
      </c>
      <c r="AE1816" s="297">
        <v>94.436706999999998</v>
      </c>
      <c r="AF1816" s="297">
        <v>94.737694000000005</v>
      </c>
      <c r="AG1816" s="297">
        <v>94.969657999999995</v>
      </c>
      <c r="AH1816" s="296">
        <v>2.8240000000000001E-2</v>
      </c>
    </row>
    <row r="1817" spans="1:34" ht="15" customHeight="1" x14ac:dyDescent="0.25">
      <c r="A1817" s="213" t="s">
        <v>2389</v>
      </c>
      <c r="B1817" s="294" t="s">
        <v>2390</v>
      </c>
      <c r="C1817" s="297">
        <v>38.757998999999998</v>
      </c>
      <c r="D1817" s="297">
        <v>44.253239000000001</v>
      </c>
      <c r="E1817" s="297">
        <v>47.826709999999999</v>
      </c>
      <c r="F1817" s="297">
        <v>53.140025999999999</v>
      </c>
      <c r="G1817" s="297">
        <v>56.451301999999998</v>
      </c>
      <c r="H1817" s="297">
        <v>59.299430999999998</v>
      </c>
      <c r="I1817" s="297">
        <v>61.308624000000002</v>
      </c>
      <c r="J1817" s="297">
        <v>63.758602000000003</v>
      </c>
      <c r="K1817" s="297">
        <v>66.352974000000003</v>
      </c>
      <c r="L1817" s="297">
        <v>68.132957000000005</v>
      </c>
      <c r="M1817" s="297">
        <v>70.560135000000002</v>
      </c>
      <c r="N1817" s="297">
        <v>72.098708999999999</v>
      </c>
      <c r="O1817" s="297">
        <v>73.809844999999996</v>
      </c>
      <c r="P1817" s="297">
        <v>74.862647999999993</v>
      </c>
      <c r="Q1817" s="297">
        <v>75.879065999999995</v>
      </c>
      <c r="R1817" s="297">
        <v>76.780379999999994</v>
      </c>
      <c r="S1817" s="297">
        <v>78.140563999999998</v>
      </c>
      <c r="T1817" s="297">
        <v>79.543839000000006</v>
      </c>
      <c r="U1817" s="297">
        <v>81.167229000000006</v>
      </c>
      <c r="V1817" s="297">
        <v>81.503058999999993</v>
      </c>
      <c r="W1817" s="297">
        <v>84.234488999999996</v>
      </c>
      <c r="X1817" s="297">
        <v>85.819237000000001</v>
      </c>
      <c r="Y1817" s="297">
        <v>86.814887999999996</v>
      </c>
      <c r="Z1817" s="297">
        <v>88.076590999999993</v>
      </c>
      <c r="AA1817" s="297">
        <v>88.816047999999995</v>
      </c>
      <c r="AB1817" s="297">
        <v>87.537407000000002</v>
      </c>
      <c r="AC1817" s="297">
        <v>90.181586999999993</v>
      </c>
      <c r="AD1817" s="297">
        <v>90.933395000000004</v>
      </c>
      <c r="AE1817" s="297">
        <v>90.700355999999999</v>
      </c>
      <c r="AF1817" s="297">
        <v>90.679489000000004</v>
      </c>
      <c r="AG1817" s="297">
        <v>91.126609999999999</v>
      </c>
      <c r="AH1817" s="296">
        <v>2.8906999999999999E-2</v>
      </c>
    </row>
    <row r="1818" spans="1:34" ht="15" customHeight="1" x14ac:dyDescent="0.25">
      <c r="A1818" s="213" t="s">
        <v>2391</v>
      </c>
      <c r="B1818" s="294" t="s">
        <v>2392</v>
      </c>
      <c r="C1818" s="297">
        <v>36.858001999999999</v>
      </c>
      <c r="D1818" s="297">
        <v>41.632874000000001</v>
      </c>
      <c r="E1818" s="297">
        <v>48.593936999999997</v>
      </c>
      <c r="F1818" s="297">
        <v>53.327778000000002</v>
      </c>
      <c r="G1818" s="297">
        <v>57.071793</v>
      </c>
      <c r="H1818" s="297">
        <v>59.791451000000002</v>
      </c>
      <c r="I1818" s="297">
        <v>62.020896999999998</v>
      </c>
      <c r="J1818" s="297">
        <v>64.289085</v>
      </c>
      <c r="K1818" s="297">
        <v>66.543319999999994</v>
      </c>
      <c r="L1818" s="297">
        <v>68.188064999999995</v>
      </c>
      <c r="M1818" s="297">
        <v>69.833527000000004</v>
      </c>
      <c r="N1818" s="297">
        <v>71.363135999999997</v>
      </c>
      <c r="O1818" s="297">
        <v>72.854736000000003</v>
      </c>
      <c r="P1818" s="297">
        <v>74.065796000000006</v>
      </c>
      <c r="Q1818" s="297">
        <v>74.627067999999994</v>
      </c>
      <c r="R1818" s="297">
        <v>75.440819000000005</v>
      </c>
      <c r="S1818" s="297">
        <v>76.673621999999995</v>
      </c>
      <c r="T1818" s="297">
        <v>77.262069999999994</v>
      </c>
      <c r="U1818" s="297">
        <v>78.874306000000004</v>
      </c>
      <c r="V1818" s="297">
        <v>79.168662999999995</v>
      </c>
      <c r="W1818" s="297">
        <v>82.497962999999999</v>
      </c>
      <c r="X1818" s="297">
        <v>83.977042999999995</v>
      </c>
      <c r="Y1818" s="297">
        <v>85.244843000000003</v>
      </c>
      <c r="Z1818" s="297">
        <v>86.935683999999995</v>
      </c>
      <c r="AA1818" s="297">
        <v>87.616348000000002</v>
      </c>
      <c r="AB1818" s="297">
        <v>87.030258000000003</v>
      </c>
      <c r="AC1818" s="297">
        <v>89.268494000000004</v>
      </c>
      <c r="AD1818" s="297">
        <v>89.996848999999997</v>
      </c>
      <c r="AE1818" s="297">
        <v>89.771523000000002</v>
      </c>
      <c r="AF1818" s="297">
        <v>90.075737000000004</v>
      </c>
      <c r="AG1818" s="297">
        <v>89.891777000000005</v>
      </c>
      <c r="AH1818" s="296">
        <v>3.0164E-2</v>
      </c>
    </row>
    <row r="1819" spans="1:34" ht="15" customHeight="1" x14ac:dyDescent="0.25">
      <c r="A1819" s="213" t="s">
        <v>2393</v>
      </c>
      <c r="B1819" s="294" t="s">
        <v>2394</v>
      </c>
      <c r="C1819" s="297">
        <v>2.4280010000000001</v>
      </c>
      <c r="D1819" s="297">
        <v>2.3225060000000002</v>
      </c>
      <c r="E1819" s="297">
        <v>2.002338</v>
      </c>
      <c r="F1819" s="297">
        <v>1.723206</v>
      </c>
      <c r="G1819" s="297">
        <v>1.882393</v>
      </c>
      <c r="H1819" s="297">
        <v>1.819275</v>
      </c>
      <c r="I1819" s="297">
        <v>2.7983630000000002</v>
      </c>
      <c r="J1819" s="297">
        <v>2.5667300000000002</v>
      </c>
      <c r="K1819" s="297">
        <v>2.292503</v>
      </c>
      <c r="L1819" s="297">
        <v>2.5037690000000001</v>
      </c>
      <c r="M1819" s="297">
        <v>2.1951369999999999</v>
      </c>
      <c r="N1819" s="297">
        <v>2.2422330000000001</v>
      </c>
      <c r="O1819" s="297">
        <v>2.5697709999999998</v>
      </c>
      <c r="P1819" s="297">
        <v>2.728691</v>
      </c>
      <c r="Q1819" s="297">
        <v>2.9647519999999998</v>
      </c>
      <c r="R1819" s="297">
        <v>2.8906559999999999</v>
      </c>
      <c r="S1819" s="297">
        <v>2.9449920000000001</v>
      </c>
      <c r="T1819" s="297">
        <v>3.151062</v>
      </c>
      <c r="U1819" s="297">
        <v>3.0778880000000002</v>
      </c>
      <c r="V1819" s="297">
        <v>3.0466690000000001</v>
      </c>
      <c r="W1819" s="297">
        <v>2.8644099999999999</v>
      </c>
      <c r="X1819" s="297">
        <v>2.8253560000000002</v>
      </c>
      <c r="Y1819" s="297">
        <v>2.7311939999999999</v>
      </c>
      <c r="Z1819" s="297">
        <v>3.0378799999999999</v>
      </c>
      <c r="AA1819" s="297">
        <v>3.2595139999999998</v>
      </c>
      <c r="AB1819" s="297">
        <v>3.8841480000000002</v>
      </c>
      <c r="AC1819" s="297">
        <v>3.1218110000000001</v>
      </c>
      <c r="AD1819" s="297">
        <v>3.2283780000000002</v>
      </c>
      <c r="AE1819" s="297">
        <v>3.736351</v>
      </c>
      <c r="AF1819" s="297">
        <v>4.0582050000000001</v>
      </c>
      <c r="AG1819" s="297">
        <v>3.843048</v>
      </c>
      <c r="AH1819" s="296">
        <v>1.5424E-2</v>
      </c>
    </row>
    <row r="1821" spans="1:34" ht="15" customHeight="1" x14ac:dyDescent="0.2">
      <c r="B1821" s="204" t="s">
        <v>2395</v>
      </c>
    </row>
    <row r="1823" spans="1:34" ht="15" customHeight="1" x14ac:dyDescent="0.2">
      <c r="B1823" s="204" t="s">
        <v>1034</v>
      </c>
    </row>
    <row r="1824" spans="1:34" ht="15" customHeight="1" x14ac:dyDescent="0.25">
      <c r="A1824" s="213" t="s">
        <v>2396</v>
      </c>
      <c r="B1824" s="294" t="s">
        <v>1036</v>
      </c>
      <c r="C1824" s="295">
        <v>1.5818030000000001</v>
      </c>
      <c r="D1824" s="295">
        <v>1.577094</v>
      </c>
      <c r="E1824" s="295">
        <v>1.6119110000000001</v>
      </c>
      <c r="F1824" s="295">
        <v>1.642001</v>
      </c>
      <c r="G1824" s="295">
        <v>1.6841930000000001</v>
      </c>
      <c r="H1824" s="295">
        <v>1.732229</v>
      </c>
      <c r="I1824" s="295">
        <v>1.7773429999999999</v>
      </c>
      <c r="J1824" s="295">
        <v>1.813518</v>
      </c>
      <c r="K1824" s="295">
        <v>1.8597729999999999</v>
      </c>
      <c r="L1824" s="295">
        <v>1.895864</v>
      </c>
      <c r="M1824" s="295">
        <v>1.9483550000000001</v>
      </c>
      <c r="N1824" s="295">
        <v>1.9802709999999999</v>
      </c>
      <c r="O1824" s="295">
        <v>2.0174620000000001</v>
      </c>
      <c r="P1824" s="295">
        <v>2.047323</v>
      </c>
      <c r="Q1824" s="295">
        <v>2.071844</v>
      </c>
      <c r="R1824" s="295">
        <v>2.093728</v>
      </c>
      <c r="S1824" s="295">
        <v>2.1168710000000002</v>
      </c>
      <c r="T1824" s="295">
        <v>2.1387839999999998</v>
      </c>
      <c r="U1824" s="295">
        <v>2.1630829999999999</v>
      </c>
      <c r="V1824" s="295">
        <v>2.1834419999999999</v>
      </c>
      <c r="W1824" s="295">
        <v>2.2094809999999998</v>
      </c>
      <c r="X1824" s="295">
        <v>2.2360120000000001</v>
      </c>
      <c r="Y1824" s="295">
        <v>2.2564579999999999</v>
      </c>
      <c r="Z1824" s="295">
        <v>2.27963</v>
      </c>
      <c r="AA1824" s="295">
        <v>2.2981340000000001</v>
      </c>
      <c r="AB1824" s="295">
        <v>2.3054389999999998</v>
      </c>
      <c r="AC1824" s="295">
        <v>2.3254640000000002</v>
      </c>
      <c r="AD1824" s="295">
        <v>2.3478349999999999</v>
      </c>
      <c r="AE1824" s="295">
        <v>2.364366</v>
      </c>
      <c r="AF1824" s="295">
        <v>2.3789660000000001</v>
      </c>
      <c r="AG1824" s="295">
        <v>2.3925190000000001</v>
      </c>
      <c r="AH1824" s="296">
        <v>1.3887999999999999E-2</v>
      </c>
    </row>
    <row r="1825" spans="1:34" ht="15" customHeight="1" x14ac:dyDescent="0.25">
      <c r="A1825" s="213" t="s">
        <v>2397</v>
      </c>
      <c r="B1825" s="294" t="s">
        <v>1058</v>
      </c>
      <c r="C1825" s="295">
        <v>2.4392269999999998</v>
      </c>
      <c r="D1825" s="295">
        <v>2.4426610000000002</v>
      </c>
      <c r="E1825" s="295">
        <v>2.604965</v>
      </c>
      <c r="F1825" s="295">
        <v>2.8536779999999999</v>
      </c>
      <c r="G1825" s="295">
        <v>3.0003150000000001</v>
      </c>
      <c r="H1825" s="295">
        <v>3.1182759999999998</v>
      </c>
      <c r="I1825" s="295">
        <v>3.2259639999999998</v>
      </c>
      <c r="J1825" s="295">
        <v>3.2667359999999999</v>
      </c>
      <c r="K1825" s="295">
        <v>3.328881</v>
      </c>
      <c r="L1825" s="295">
        <v>3.357866</v>
      </c>
      <c r="M1825" s="295">
        <v>3.4134470000000001</v>
      </c>
      <c r="N1825" s="295">
        <v>3.4435090000000002</v>
      </c>
      <c r="O1825" s="295">
        <v>3.4810080000000001</v>
      </c>
      <c r="P1825" s="295">
        <v>3.5004119999999999</v>
      </c>
      <c r="Q1825" s="295">
        <v>3.516724</v>
      </c>
      <c r="R1825" s="295">
        <v>3.5319289999999999</v>
      </c>
      <c r="S1825" s="295">
        <v>3.5448949999999999</v>
      </c>
      <c r="T1825" s="295">
        <v>3.5800900000000002</v>
      </c>
      <c r="U1825" s="295">
        <v>3.6109879999999999</v>
      </c>
      <c r="V1825" s="295">
        <v>3.6102289999999999</v>
      </c>
      <c r="W1825" s="295">
        <v>3.665629</v>
      </c>
      <c r="X1825" s="295">
        <v>3.6966480000000002</v>
      </c>
      <c r="Y1825" s="295">
        <v>3.7160169999999999</v>
      </c>
      <c r="Z1825" s="295">
        <v>3.7532589999999999</v>
      </c>
      <c r="AA1825" s="295">
        <v>3.7531340000000002</v>
      </c>
      <c r="AB1825" s="295">
        <v>3.7545989999999998</v>
      </c>
      <c r="AC1825" s="295">
        <v>3.795741</v>
      </c>
      <c r="AD1825" s="295">
        <v>3.8116789999999998</v>
      </c>
      <c r="AE1825" s="295">
        <v>3.8080799999999999</v>
      </c>
      <c r="AF1825" s="295">
        <v>3.8233280000000001</v>
      </c>
      <c r="AG1825" s="295">
        <v>3.8184119999999999</v>
      </c>
      <c r="AH1825" s="296">
        <v>1.5051E-2</v>
      </c>
    </row>
    <row r="1827" spans="1:34" ht="15" customHeight="1" x14ac:dyDescent="0.2">
      <c r="B1827" s="204" t="s">
        <v>1051</v>
      </c>
    </row>
    <row r="1828" spans="1:34" ht="15" customHeight="1" x14ac:dyDescent="0.25">
      <c r="A1828" s="213" t="s">
        <v>2398</v>
      </c>
      <c r="B1828" s="294" t="s">
        <v>1058</v>
      </c>
      <c r="C1828" s="295">
        <v>2.4497680000000002</v>
      </c>
      <c r="D1828" s="295">
        <v>2.4599259999999998</v>
      </c>
      <c r="E1828" s="295">
        <v>2.4777019999999998</v>
      </c>
      <c r="F1828" s="295">
        <v>2.587907</v>
      </c>
      <c r="G1828" s="295">
        <v>2.5982859999999999</v>
      </c>
      <c r="H1828" s="295">
        <v>2.578681</v>
      </c>
      <c r="I1828" s="295">
        <v>2.5494319999999999</v>
      </c>
      <c r="J1828" s="295">
        <v>2.590325</v>
      </c>
      <c r="K1828" s="295">
        <v>2.6538279999999999</v>
      </c>
      <c r="L1828" s="295">
        <v>2.6836350000000002</v>
      </c>
      <c r="M1828" s="295">
        <v>2.776329</v>
      </c>
      <c r="N1828" s="295">
        <v>2.8065090000000001</v>
      </c>
      <c r="O1828" s="295">
        <v>2.8494709999999999</v>
      </c>
      <c r="P1828" s="295">
        <v>2.8690220000000002</v>
      </c>
      <c r="Q1828" s="295">
        <v>2.885751</v>
      </c>
      <c r="R1828" s="295">
        <v>2.9011629999999999</v>
      </c>
      <c r="S1828" s="295">
        <v>2.913745</v>
      </c>
      <c r="T1828" s="295">
        <v>2.949579</v>
      </c>
      <c r="U1828" s="295">
        <v>2.9808599999999998</v>
      </c>
      <c r="V1828" s="295">
        <v>2.9803359999999999</v>
      </c>
      <c r="W1828" s="295">
        <v>3.0361720000000001</v>
      </c>
      <c r="X1828" s="295">
        <v>3.06778</v>
      </c>
      <c r="Y1828" s="295">
        <v>3.0875729999999999</v>
      </c>
      <c r="Z1828" s="295">
        <v>3.1251660000000001</v>
      </c>
      <c r="AA1828" s="295">
        <v>3.125791</v>
      </c>
      <c r="AB1828" s="295">
        <v>3.1278510000000002</v>
      </c>
      <c r="AC1828" s="295">
        <v>3.1698900000000001</v>
      </c>
      <c r="AD1828" s="295">
        <v>3.1866940000000001</v>
      </c>
      <c r="AE1828" s="295">
        <v>3.184574</v>
      </c>
      <c r="AF1828" s="295">
        <v>3.2001569999999999</v>
      </c>
      <c r="AG1828" s="295">
        <v>3.1956730000000002</v>
      </c>
      <c r="AH1828" s="296">
        <v>8.8999999999999999E-3</v>
      </c>
    </row>
    <row r="1829" spans="1:34" ht="15" customHeight="1" x14ac:dyDescent="0.25">
      <c r="A1829" s="213" t="s">
        <v>2399</v>
      </c>
      <c r="B1829" s="294" t="s">
        <v>1060</v>
      </c>
      <c r="C1829" s="295">
        <v>0.785354</v>
      </c>
      <c r="D1829" s="295">
        <v>0.61287199999999997</v>
      </c>
      <c r="E1829" s="295">
        <v>0.77689900000000001</v>
      </c>
      <c r="F1829" s="295">
        <v>1.014597</v>
      </c>
      <c r="G1829" s="295">
        <v>1.1872499999999999</v>
      </c>
      <c r="H1829" s="295">
        <v>1.3440909999999999</v>
      </c>
      <c r="I1829" s="295">
        <v>1.4817959999999999</v>
      </c>
      <c r="J1829" s="295">
        <v>1.5263640000000001</v>
      </c>
      <c r="K1829" s="295">
        <v>1.5855360000000001</v>
      </c>
      <c r="L1829" s="295">
        <v>1.6271150000000001</v>
      </c>
      <c r="M1829" s="295">
        <v>1.6860470000000001</v>
      </c>
      <c r="N1829" s="295">
        <v>1.721055</v>
      </c>
      <c r="O1829" s="295">
        <v>1.7623340000000001</v>
      </c>
      <c r="P1829" s="295">
        <v>1.788702</v>
      </c>
      <c r="Q1829" s="295">
        <v>1.8057240000000001</v>
      </c>
      <c r="R1829" s="295">
        <v>1.825215</v>
      </c>
      <c r="S1829" s="295">
        <v>1.831032</v>
      </c>
      <c r="T1829" s="295">
        <v>1.8276840000000001</v>
      </c>
      <c r="U1829" s="295">
        <v>1.8661719999999999</v>
      </c>
      <c r="V1829" s="295">
        <v>1.8676779999999999</v>
      </c>
      <c r="W1829" s="295">
        <v>1.998837</v>
      </c>
      <c r="X1829" s="295">
        <v>2.0399180000000001</v>
      </c>
      <c r="Y1829" s="295">
        <v>2.0578720000000001</v>
      </c>
      <c r="Z1829" s="295">
        <v>2.0632899999999998</v>
      </c>
      <c r="AA1829" s="295">
        <v>2.0804309999999999</v>
      </c>
      <c r="AB1829" s="295">
        <v>2.0816180000000002</v>
      </c>
      <c r="AC1829" s="295">
        <v>2.1077170000000001</v>
      </c>
      <c r="AD1829" s="295">
        <v>2.126576</v>
      </c>
      <c r="AE1829" s="295">
        <v>2.1386620000000001</v>
      </c>
      <c r="AF1829" s="295">
        <v>2.153994</v>
      </c>
      <c r="AG1829" s="295">
        <v>2.1686770000000002</v>
      </c>
      <c r="AH1829" s="296">
        <v>3.4438000000000003E-2</v>
      </c>
    </row>
    <row r="1830" spans="1:34" ht="15" customHeight="1" x14ac:dyDescent="0.25">
      <c r="A1830" s="213" t="s">
        <v>2400</v>
      </c>
      <c r="B1830" s="294" t="s">
        <v>2401</v>
      </c>
      <c r="C1830" s="297">
        <v>32.984870999999998</v>
      </c>
      <c r="D1830" s="297">
        <v>25.740628999999998</v>
      </c>
      <c r="E1830" s="297">
        <v>32.629745</v>
      </c>
      <c r="F1830" s="297">
        <v>42.613059999999997</v>
      </c>
      <c r="G1830" s="297">
        <v>49.864510000000003</v>
      </c>
      <c r="H1830" s="297">
        <v>56.451827999999999</v>
      </c>
      <c r="I1830" s="297">
        <v>62.235447000000001</v>
      </c>
      <c r="J1830" s="297">
        <v>64.107299999999995</v>
      </c>
      <c r="K1830" s="297">
        <v>66.592490999999995</v>
      </c>
      <c r="L1830" s="297">
        <v>68.338813999999999</v>
      </c>
      <c r="M1830" s="297">
        <v>70.813987999999995</v>
      </c>
      <c r="N1830" s="297">
        <v>72.284317000000001</v>
      </c>
      <c r="O1830" s="297">
        <v>74.018044000000003</v>
      </c>
      <c r="P1830" s="297">
        <v>75.125480999999994</v>
      </c>
      <c r="Q1830" s="297">
        <v>75.840416000000005</v>
      </c>
      <c r="R1830" s="297">
        <v>76.659035000000003</v>
      </c>
      <c r="S1830" s="297">
        <v>76.903328000000002</v>
      </c>
      <c r="T1830" s="297">
        <v>76.762710999999996</v>
      </c>
      <c r="U1830" s="297">
        <v>78.379227</v>
      </c>
      <c r="V1830" s="297">
        <v>78.442474000000004</v>
      </c>
      <c r="W1830" s="297">
        <v>83.951172</v>
      </c>
      <c r="X1830" s="297">
        <v>85.676558999999997</v>
      </c>
      <c r="Y1830" s="297">
        <v>86.430617999999996</v>
      </c>
      <c r="Z1830" s="297">
        <v>86.658164999999997</v>
      </c>
      <c r="AA1830" s="297">
        <v>87.378112999999999</v>
      </c>
      <c r="AB1830" s="297">
        <v>87.427963000000005</v>
      </c>
      <c r="AC1830" s="297">
        <v>88.524124</v>
      </c>
      <c r="AD1830" s="297">
        <v>89.316192999999998</v>
      </c>
      <c r="AE1830" s="297">
        <v>89.823798999999994</v>
      </c>
      <c r="AF1830" s="297">
        <v>90.467758000000003</v>
      </c>
      <c r="AG1830" s="297">
        <v>91.084418999999997</v>
      </c>
      <c r="AH1830" s="296">
        <v>3.4438000000000003E-2</v>
      </c>
    </row>
    <row r="1832" spans="1:34" ht="15" customHeight="1" x14ac:dyDescent="0.2">
      <c r="B1832" s="204" t="s">
        <v>2402</v>
      </c>
    </row>
    <row r="1833" spans="1:34" ht="15" customHeight="1" x14ac:dyDescent="0.25">
      <c r="A1833" s="213" t="s">
        <v>2403</v>
      </c>
      <c r="B1833" s="294" t="s">
        <v>1036</v>
      </c>
      <c r="C1833" s="295">
        <v>0.69708899999999996</v>
      </c>
      <c r="D1833" s="295">
        <v>0.78400999999999998</v>
      </c>
      <c r="E1833" s="295">
        <v>0.84825099999999998</v>
      </c>
      <c r="F1833" s="295">
        <v>0.87289600000000001</v>
      </c>
      <c r="G1833" s="295">
        <v>0.91061899999999996</v>
      </c>
      <c r="H1833" s="295">
        <v>0.94946900000000001</v>
      </c>
      <c r="I1833" s="295">
        <v>0.98009900000000005</v>
      </c>
      <c r="J1833" s="295">
        <v>0.99941000000000002</v>
      </c>
      <c r="K1833" s="295">
        <v>1.0380830000000001</v>
      </c>
      <c r="L1833" s="295">
        <v>1.057982</v>
      </c>
      <c r="M1833" s="295">
        <v>1.083413</v>
      </c>
      <c r="N1833" s="295">
        <v>1.1034189999999999</v>
      </c>
      <c r="O1833" s="295">
        <v>1.1303460000000001</v>
      </c>
      <c r="P1833" s="295">
        <v>1.1489199999999999</v>
      </c>
      <c r="Q1833" s="295">
        <v>1.162677</v>
      </c>
      <c r="R1833" s="295">
        <v>1.176242</v>
      </c>
      <c r="S1833" s="295">
        <v>1.1937519999999999</v>
      </c>
      <c r="T1833" s="295">
        <v>1.2091890000000001</v>
      </c>
      <c r="U1833" s="295">
        <v>1.228742</v>
      </c>
      <c r="V1833" s="295">
        <v>1.2414480000000001</v>
      </c>
      <c r="W1833" s="295">
        <v>1.2644390000000001</v>
      </c>
      <c r="X1833" s="295">
        <v>1.2852920000000001</v>
      </c>
      <c r="Y1833" s="295">
        <v>1.2965770000000001</v>
      </c>
      <c r="Z1833" s="295">
        <v>1.3152740000000001</v>
      </c>
      <c r="AA1833" s="295">
        <v>1.326219</v>
      </c>
      <c r="AB1833" s="295">
        <v>1.32342</v>
      </c>
      <c r="AC1833" s="295">
        <v>1.34605</v>
      </c>
      <c r="AD1833" s="295">
        <v>1.3659859999999999</v>
      </c>
      <c r="AE1833" s="295">
        <v>1.3749549999999999</v>
      </c>
      <c r="AF1833" s="295">
        <v>1.384115</v>
      </c>
      <c r="AG1833" s="295">
        <v>1.3933990000000001</v>
      </c>
      <c r="AH1833" s="296">
        <v>2.3355000000000001E-2</v>
      </c>
    </row>
    <row r="1834" spans="1:34" ht="15" customHeight="1" x14ac:dyDescent="0.25">
      <c r="A1834" s="213" t="s">
        <v>2404</v>
      </c>
      <c r="B1834" s="294" t="s">
        <v>1058</v>
      </c>
      <c r="C1834" s="295">
        <v>2.4395690000000001</v>
      </c>
      <c r="D1834" s="295">
        <v>2.4433569999999998</v>
      </c>
      <c r="E1834" s="295">
        <v>2.4666779999999999</v>
      </c>
      <c r="F1834" s="295">
        <v>2.584616</v>
      </c>
      <c r="G1834" s="295">
        <v>2.596244</v>
      </c>
      <c r="H1834" s="295">
        <v>2.5773830000000002</v>
      </c>
      <c r="I1834" s="295">
        <v>2.5488400000000002</v>
      </c>
      <c r="J1834" s="295">
        <v>2.5899450000000002</v>
      </c>
      <c r="K1834" s="295">
        <v>2.654747</v>
      </c>
      <c r="L1834" s="295">
        <v>2.6857890000000002</v>
      </c>
      <c r="M1834" s="295">
        <v>2.7414869999999998</v>
      </c>
      <c r="N1834" s="295">
        <v>2.7727179999999998</v>
      </c>
      <c r="O1834" s="295">
        <v>2.8105889999999998</v>
      </c>
      <c r="P1834" s="295">
        <v>2.8296860000000001</v>
      </c>
      <c r="Q1834" s="295">
        <v>2.8466740000000001</v>
      </c>
      <c r="R1834" s="295">
        <v>2.8625579999999999</v>
      </c>
      <c r="S1834" s="295">
        <v>2.8739460000000001</v>
      </c>
      <c r="T1834" s="295">
        <v>2.910107</v>
      </c>
      <c r="U1834" s="295">
        <v>2.9405730000000001</v>
      </c>
      <c r="V1834" s="295">
        <v>2.9401809999999999</v>
      </c>
      <c r="W1834" s="295">
        <v>2.996022</v>
      </c>
      <c r="X1834" s="295">
        <v>3.028378</v>
      </c>
      <c r="Y1834" s="295">
        <v>3.0482589999999998</v>
      </c>
      <c r="Z1834" s="295">
        <v>3.08446</v>
      </c>
      <c r="AA1834" s="295">
        <v>3.0852900000000001</v>
      </c>
      <c r="AB1834" s="295">
        <v>3.088368</v>
      </c>
      <c r="AC1834" s="295">
        <v>3.1310069999999999</v>
      </c>
      <c r="AD1834" s="295">
        <v>3.1487180000000001</v>
      </c>
      <c r="AE1834" s="295">
        <v>3.1475399999999998</v>
      </c>
      <c r="AF1834" s="295">
        <v>3.163999</v>
      </c>
      <c r="AG1834" s="295">
        <v>3.160323</v>
      </c>
      <c r="AH1834" s="296">
        <v>8.6660000000000001E-3</v>
      </c>
    </row>
    <row r="1835" spans="1:34" ht="15" customHeight="1" x14ac:dyDescent="0.25">
      <c r="A1835" s="213" t="s">
        <v>2405</v>
      </c>
      <c r="B1835" s="294" t="s">
        <v>1060</v>
      </c>
      <c r="C1835" s="295">
        <v>0.81172999999999995</v>
      </c>
      <c r="D1835" s="295">
        <v>0.66324000000000005</v>
      </c>
      <c r="E1835" s="295">
        <v>0.87602599999999997</v>
      </c>
      <c r="F1835" s="295">
        <v>1.1604080000000001</v>
      </c>
      <c r="G1835" s="295">
        <v>1.379141</v>
      </c>
      <c r="H1835" s="295">
        <v>1.580632</v>
      </c>
      <c r="I1835" s="295">
        <v>1.767085</v>
      </c>
      <c r="J1835" s="295">
        <v>1.8156110000000001</v>
      </c>
      <c r="K1835" s="295">
        <v>1.8788020000000001</v>
      </c>
      <c r="L1835" s="295">
        <v>1.916979</v>
      </c>
      <c r="M1835" s="295">
        <v>1.974429</v>
      </c>
      <c r="N1835" s="295">
        <v>2.0098579999999999</v>
      </c>
      <c r="O1835" s="295">
        <v>2.050694</v>
      </c>
      <c r="P1835" s="295">
        <v>2.0768580000000001</v>
      </c>
      <c r="Q1835" s="295">
        <v>2.093801</v>
      </c>
      <c r="R1835" s="295">
        <v>2.113105</v>
      </c>
      <c r="S1835" s="295">
        <v>2.1192199999999999</v>
      </c>
      <c r="T1835" s="295">
        <v>2.116587</v>
      </c>
      <c r="U1835" s="295">
        <v>2.1550639999999999</v>
      </c>
      <c r="V1835" s="295">
        <v>2.1563349999999999</v>
      </c>
      <c r="W1835" s="295">
        <v>2.266149</v>
      </c>
      <c r="X1835" s="295">
        <v>2.3020480000000001</v>
      </c>
      <c r="Y1835" s="295">
        <v>2.3245979999999999</v>
      </c>
      <c r="Z1835" s="295">
        <v>2.3521359999999998</v>
      </c>
      <c r="AA1835" s="295">
        <v>2.369459</v>
      </c>
      <c r="AB1835" s="295">
        <v>2.370495</v>
      </c>
      <c r="AC1835" s="295">
        <v>2.396801</v>
      </c>
      <c r="AD1835" s="295">
        <v>2.4156740000000001</v>
      </c>
      <c r="AE1835" s="295">
        <v>2.4277880000000001</v>
      </c>
      <c r="AF1835" s="295">
        <v>2.44312</v>
      </c>
      <c r="AG1835" s="295">
        <v>2.4574989999999999</v>
      </c>
      <c r="AH1835" s="296">
        <v>3.7615000000000003E-2</v>
      </c>
    </row>
    <row r="1836" spans="1:34" ht="15" customHeight="1" x14ac:dyDescent="0.25">
      <c r="A1836" s="213" t="s">
        <v>2406</v>
      </c>
      <c r="B1836" s="294" t="s">
        <v>2401</v>
      </c>
      <c r="C1836" s="297">
        <v>34.092655000000001</v>
      </c>
      <c r="D1836" s="297">
        <v>27.856092</v>
      </c>
      <c r="E1836" s="297">
        <v>36.793095000000001</v>
      </c>
      <c r="F1836" s="297">
        <v>48.737155999999999</v>
      </c>
      <c r="G1836" s="297">
        <v>57.923938999999997</v>
      </c>
      <c r="H1836" s="297">
        <v>66.386550999999997</v>
      </c>
      <c r="I1836" s="297">
        <v>74.217560000000006</v>
      </c>
      <c r="J1836" s="297">
        <v>76.255675999999994</v>
      </c>
      <c r="K1836" s="297">
        <v>78.909683000000001</v>
      </c>
      <c r="L1836" s="297">
        <v>80.513137999999998</v>
      </c>
      <c r="M1836" s="297">
        <v>82.926017999999999</v>
      </c>
      <c r="N1836" s="297">
        <v>84.414046999999997</v>
      </c>
      <c r="O1836" s="297">
        <v>86.129135000000005</v>
      </c>
      <c r="P1836" s="297">
        <v>87.228035000000006</v>
      </c>
      <c r="Q1836" s="297">
        <v>87.939628999999996</v>
      </c>
      <c r="R1836" s="297">
        <v>88.750411999999997</v>
      </c>
      <c r="S1836" s="297">
        <v>89.007239999999996</v>
      </c>
      <c r="T1836" s="297">
        <v>88.896659999999997</v>
      </c>
      <c r="U1836" s="297">
        <v>90.512694999999994</v>
      </c>
      <c r="V1836" s="297">
        <v>90.566055000000006</v>
      </c>
      <c r="W1836" s="297">
        <v>95.178268000000003</v>
      </c>
      <c r="X1836" s="297">
        <v>96.686019999999999</v>
      </c>
      <c r="Y1836" s="297">
        <v>97.633133000000001</v>
      </c>
      <c r="Z1836" s="297">
        <v>98.789726000000002</v>
      </c>
      <c r="AA1836" s="297">
        <v>99.517287999999994</v>
      </c>
      <c r="AB1836" s="297">
        <v>99.560790999999995</v>
      </c>
      <c r="AC1836" s="297">
        <v>100.665657</v>
      </c>
      <c r="AD1836" s="297">
        <v>101.458321</v>
      </c>
      <c r="AE1836" s="297">
        <v>101.967094</v>
      </c>
      <c r="AF1836" s="297">
        <v>102.611046</v>
      </c>
      <c r="AG1836" s="297">
        <v>103.21494300000001</v>
      </c>
      <c r="AH1836" s="296">
        <v>3.7615000000000003E-2</v>
      </c>
    </row>
    <row r="1838" spans="1:34" ht="15" customHeight="1" x14ac:dyDescent="0.2">
      <c r="B1838" s="204" t="s">
        <v>1108</v>
      </c>
    </row>
    <row r="1839" spans="1:34" ht="15" customHeight="1" x14ac:dyDescent="0.25">
      <c r="A1839" s="213" t="s">
        <v>2407</v>
      </c>
      <c r="B1839" s="294" t="s">
        <v>1036</v>
      </c>
      <c r="C1839" s="295">
        <v>1.0962419999999999</v>
      </c>
      <c r="D1839" s="295">
        <v>1.1882889999999999</v>
      </c>
      <c r="E1839" s="295">
        <v>1.248834</v>
      </c>
      <c r="F1839" s="295">
        <v>1.2705550000000001</v>
      </c>
      <c r="G1839" s="295">
        <v>1.305177</v>
      </c>
      <c r="H1839" s="295">
        <v>1.340123</v>
      </c>
      <c r="I1839" s="295">
        <v>1.3670389999999999</v>
      </c>
      <c r="J1839" s="295">
        <v>1.3835919999999999</v>
      </c>
      <c r="K1839" s="295">
        <v>1.417584</v>
      </c>
      <c r="L1839" s="295">
        <v>1.434202</v>
      </c>
      <c r="M1839" s="295">
        <v>1.4951399999999999</v>
      </c>
      <c r="N1839" s="295">
        <v>1.511539</v>
      </c>
      <c r="O1839" s="295">
        <v>1.539396</v>
      </c>
      <c r="P1839" s="295">
        <v>1.554222</v>
      </c>
      <c r="Q1839" s="295">
        <v>1.565094</v>
      </c>
      <c r="R1839" s="295">
        <v>1.5759620000000001</v>
      </c>
      <c r="S1839" s="295">
        <v>1.590176</v>
      </c>
      <c r="T1839" s="295">
        <v>1.602503</v>
      </c>
      <c r="U1839" s="295">
        <v>1.618271</v>
      </c>
      <c r="V1839" s="295">
        <v>1.6281950000000001</v>
      </c>
      <c r="W1839" s="295">
        <v>1.646765</v>
      </c>
      <c r="X1839" s="295">
        <v>1.663249</v>
      </c>
      <c r="Y1839" s="295">
        <v>1.6717740000000001</v>
      </c>
      <c r="Z1839" s="295">
        <v>1.6865950000000001</v>
      </c>
      <c r="AA1839" s="295">
        <v>1.6949289999999999</v>
      </c>
      <c r="AB1839" s="295">
        <v>1.6922360000000001</v>
      </c>
      <c r="AC1839" s="295">
        <v>1.710472</v>
      </c>
      <c r="AD1839" s="295">
        <v>1.7259850000000001</v>
      </c>
      <c r="AE1839" s="295">
        <v>1.73258</v>
      </c>
      <c r="AF1839" s="295">
        <v>1.7395609999999999</v>
      </c>
      <c r="AG1839" s="295">
        <v>1.746631</v>
      </c>
      <c r="AH1839" s="296">
        <v>1.5647999999999999E-2</v>
      </c>
    </row>
    <row r="1840" spans="1:34" ht="15" customHeight="1" x14ac:dyDescent="0.25">
      <c r="A1840" s="213" t="s">
        <v>2408</v>
      </c>
      <c r="B1840" s="294" t="s">
        <v>1284</v>
      </c>
      <c r="C1840" s="295">
        <v>2.0029680000000001</v>
      </c>
      <c r="D1840" s="295">
        <v>2.1062150000000002</v>
      </c>
      <c r="E1840" s="295">
        <v>2.25996</v>
      </c>
      <c r="F1840" s="295">
        <v>2.285209</v>
      </c>
      <c r="G1840" s="295">
        <v>2.2860830000000001</v>
      </c>
      <c r="H1840" s="295">
        <v>2.3224269999999998</v>
      </c>
      <c r="I1840" s="295">
        <v>2.3390559999999998</v>
      </c>
      <c r="J1840" s="295">
        <v>2.3669120000000001</v>
      </c>
      <c r="K1840" s="295">
        <v>2.4318360000000001</v>
      </c>
      <c r="L1840" s="295">
        <v>2.4753859999999999</v>
      </c>
      <c r="M1840" s="295">
        <v>2.581496</v>
      </c>
      <c r="N1840" s="295">
        <v>2.595294</v>
      </c>
      <c r="O1840" s="295">
        <v>2.6501860000000002</v>
      </c>
      <c r="P1840" s="295">
        <v>2.6733210000000001</v>
      </c>
      <c r="Q1840" s="295">
        <v>2.7128950000000001</v>
      </c>
      <c r="R1840" s="295">
        <v>2.7357010000000002</v>
      </c>
      <c r="S1840" s="295">
        <v>2.773631</v>
      </c>
      <c r="T1840" s="295">
        <v>2.8051740000000001</v>
      </c>
      <c r="U1840" s="295">
        <v>2.8443369999999999</v>
      </c>
      <c r="V1840" s="295">
        <v>2.850346</v>
      </c>
      <c r="W1840" s="295">
        <v>2.901351</v>
      </c>
      <c r="X1840" s="295">
        <v>2.9302619999999999</v>
      </c>
      <c r="Y1840" s="295">
        <v>2.9500760000000001</v>
      </c>
      <c r="Z1840" s="295">
        <v>2.9688310000000002</v>
      </c>
      <c r="AA1840" s="295">
        <v>2.980318</v>
      </c>
      <c r="AB1840" s="295">
        <v>2.9626510000000001</v>
      </c>
      <c r="AC1840" s="295">
        <v>3.004518</v>
      </c>
      <c r="AD1840" s="295">
        <v>3.0181629999999999</v>
      </c>
      <c r="AE1840" s="295">
        <v>3.0309370000000002</v>
      </c>
      <c r="AF1840" s="295">
        <v>3.0260690000000001</v>
      </c>
      <c r="AG1840" s="295">
        <v>3.0292810000000001</v>
      </c>
      <c r="AH1840" s="296">
        <v>1.3885E-2</v>
      </c>
    </row>
    <row r="1841" spans="1:34" ht="15" customHeight="1" x14ac:dyDescent="0.25">
      <c r="A1841" s="213" t="s">
        <v>2409</v>
      </c>
      <c r="B1841" s="294" t="s">
        <v>2410</v>
      </c>
      <c r="C1841" s="295">
        <v>1.3924529999999999</v>
      </c>
      <c r="D1841" s="295">
        <v>1.3924529999999999</v>
      </c>
      <c r="E1841" s="295">
        <v>1.414809</v>
      </c>
      <c r="F1841" s="295">
        <v>1.384962</v>
      </c>
      <c r="G1841" s="295">
        <v>1.350041</v>
      </c>
      <c r="H1841" s="295">
        <v>1.382236</v>
      </c>
      <c r="I1841" s="295">
        <v>1.362846</v>
      </c>
      <c r="J1841" s="295">
        <v>1.366549</v>
      </c>
      <c r="K1841" s="295">
        <v>1.379127</v>
      </c>
      <c r="L1841" s="295">
        <v>1.375588</v>
      </c>
      <c r="M1841" s="295">
        <v>1.4035709999999999</v>
      </c>
      <c r="N1841" s="295">
        <v>1.409629</v>
      </c>
      <c r="O1841" s="295">
        <v>1.3911439999999999</v>
      </c>
      <c r="P1841" s="295">
        <v>1.3828229999999999</v>
      </c>
      <c r="Q1841" s="295">
        <v>1.3694809999999999</v>
      </c>
      <c r="R1841" s="295">
        <v>1.416309</v>
      </c>
      <c r="S1841" s="295">
        <v>1.4443269999999999</v>
      </c>
      <c r="T1841" s="295">
        <v>1.467176</v>
      </c>
      <c r="U1841" s="295">
        <v>1.5058149999999999</v>
      </c>
      <c r="V1841" s="295">
        <v>1.52938</v>
      </c>
      <c r="W1841" s="295">
        <v>1.512359</v>
      </c>
      <c r="X1841" s="295">
        <v>1.494756</v>
      </c>
      <c r="Y1841" s="295">
        <v>1.4980789999999999</v>
      </c>
      <c r="Z1841" s="295">
        <v>1.4809209999999999</v>
      </c>
      <c r="AA1841" s="295">
        <v>1.464966</v>
      </c>
      <c r="AB1841" s="295">
        <v>1.4510540000000001</v>
      </c>
      <c r="AC1841" s="295">
        <v>1.490129</v>
      </c>
      <c r="AD1841" s="295">
        <v>1.4727490000000001</v>
      </c>
      <c r="AE1841" s="295">
        <v>1.455646</v>
      </c>
      <c r="AF1841" s="295">
        <v>1.4573739999999999</v>
      </c>
      <c r="AG1841" s="295">
        <v>1.439346</v>
      </c>
      <c r="AH1841" s="296">
        <v>1.1050000000000001E-3</v>
      </c>
    </row>
    <row r="1842" spans="1:34" ht="15" customHeight="1" x14ac:dyDescent="0.25">
      <c r="A1842" s="213" t="s">
        <v>2411</v>
      </c>
      <c r="B1842" s="294" t="s">
        <v>1286</v>
      </c>
      <c r="C1842" s="295">
        <v>2.2562500000000001</v>
      </c>
      <c r="D1842" s="295">
        <v>2.35582</v>
      </c>
      <c r="E1842" s="295">
        <v>2.400055</v>
      </c>
      <c r="F1842" s="295">
        <v>2.4621240000000002</v>
      </c>
      <c r="G1842" s="295">
        <v>2.4685709999999998</v>
      </c>
      <c r="H1842" s="295">
        <v>2.510856</v>
      </c>
      <c r="I1842" s="295">
        <v>2.5321769999999999</v>
      </c>
      <c r="J1842" s="295">
        <v>2.560667</v>
      </c>
      <c r="K1842" s="295">
        <v>2.6246779999999998</v>
      </c>
      <c r="L1842" s="295">
        <v>2.6680359999999999</v>
      </c>
      <c r="M1842" s="295">
        <v>2.7962359999999999</v>
      </c>
      <c r="N1842" s="295">
        <v>2.8079399999999999</v>
      </c>
      <c r="O1842" s="295">
        <v>2.8649300000000002</v>
      </c>
      <c r="P1842" s="295">
        <v>2.8861189999999999</v>
      </c>
      <c r="Q1842" s="295">
        <v>2.9241280000000001</v>
      </c>
      <c r="R1842" s="295">
        <v>2.9458540000000002</v>
      </c>
      <c r="S1842" s="295">
        <v>2.9830760000000001</v>
      </c>
      <c r="T1842" s="295">
        <v>3.0141200000000001</v>
      </c>
      <c r="U1842" s="295">
        <v>3.0533429999999999</v>
      </c>
      <c r="V1842" s="295">
        <v>3.0577519999999998</v>
      </c>
      <c r="W1842" s="295">
        <v>3.109896</v>
      </c>
      <c r="X1842" s="295">
        <v>3.138582</v>
      </c>
      <c r="Y1842" s="295">
        <v>3.1577380000000002</v>
      </c>
      <c r="Z1842" s="295">
        <v>3.1767289999999999</v>
      </c>
      <c r="AA1842" s="295">
        <v>3.1876959999999999</v>
      </c>
      <c r="AB1842" s="295">
        <v>3.167551</v>
      </c>
      <c r="AC1842" s="295">
        <v>3.2100659999999999</v>
      </c>
      <c r="AD1842" s="295">
        <v>3.2232419999999999</v>
      </c>
      <c r="AE1842" s="295">
        <v>3.2350249999999998</v>
      </c>
      <c r="AF1842" s="295">
        <v>3.2287210000000002</v>
      </c>
      <c r="AG1842" s="295">
        <v>3.2311329999999998</v>
      </c>
      <c r="AH1842" s="296">
        <v>1.2043E-2</v>
      </c>
    </row>
    <row r="1843" spans="1:34" ht="15" customHeight="1" x14ac:dyDescent="0.25">
      <c r="A1843" s="213" t="s">
        <v>2412</v>
      </c>
      <c r="B1843" s="294" t="s">
        <v>1288</v>
      </c>
      <c r="C1843" s="295">
        <v>1.291768</v>
      </c>
      <c r="D1843" s="295">
        <v>1.4015820000000001</v>
      </c>
      <c r="E1843" s="295">
        <v>1.5402830000000001</v>
      </c>
      <c r="F1843" s="295">
        <v>1.7126999999999999</v>
      </c>
      <c r="G1843" s="295">
        <v>1.8455760000000001</v>
      </c>
      <c r="H1843" s="295">
        <v>1.933846</v>
      </c>
      <c r="I1843" s="295">
        <v>2.0091389999999998</v>
      </c>
      <c r="J1843" s="295">
        <v>2.0523820000000002</v>
      </c>
      <c r="K1843" s="295">
        <v>2.1245720000000001</v>
      </c>
      <c r="L1843" s="295">
        <v>2.1609379999999998</v>
      </c>
      <c r="M1843" s="295">
        <v>2.2198859999999998</v>
      </c>
      <c r="N1843" s="295">
        <v>2.2664650000000002</v>
      </c>
      <c r="O1843" s="295">
        <v>2.3155109999999999</v>
      </c>
      <c r="P1843" s="295">
        <v>2.346231</v>
      </c>
      <c r="Q1843" s="295">
        <v>2.3680020000000002</v>
      </c>
      <c r="R1843" s="295">
        <v>2.3897810000000002</v>
      </c>
      <c r="S1843" s="295">
        <v>2.410161</v>
      </c>
      <c r="T1843" s="295">
        <v>2.451819</v>
      </c>
      <c r="U1843" s="295">
        <v>2.4927679999999999</v>
      </c>
      <c r="V1843" s="295">
        <v>2.4991140000000001</v>
      </c>
      <c r="W1843" s="295">
        <v>2.5560450000000001</v>
      </c>
      <c r="X1843" s="295">
        <v>2.5921859999999999</v>
      </c>
      <c r="Y1843" s="295">
        <v>2.6171190000000002</v>
      </c>
      <c r="Z1843" s="295">
        <v>2.6706829999999999</v>
      </c>
      <c r="AA1843" s="295">
        <v>2.6814079999999998</v>
      </c>
      <c r="AB1843" s="295">
        <v>2.6853590000000001</v>
      </c>
      <c r="AC1843" s="295">
        <v>2.730553</v>
      </c>
      <c r="AD1843" s="295">
        <v>2.7519529999999999</v>
      </c>
      <c r="AE1843" s="295">
        <v>2.7514460000000001</v>
      </c>
      <c r="AF1843" s="295">
        <v>2.768078</v>
      </c>
      <c r="AG1843" s="295">
        <v>2.7695970000000001</v>
      </c>
      <c r="AH1843" s="296">
        <v>2.5749000000000001E-2</v>
      </c>
    </row>
    <row r="1844" spans="1:34" ht="15" customHeight="1" x14ac:dyDescent="0.25">
      <c r="A1844" s="213" t="s">
        <v>2413</v>
      </c>
      <c r="B1844" s="294" t="s">
        <v>1290</v>
      </c>
      <c r="C1844" s="295">
        <v>2.5190579999999998</v>
      </c>
      <c r="D1844" s="295">
        <v>2.5105979999999999</v>
      </c>
      <c r="E1844" s="295">
        <v>2.61632</v>
      </c>
      <c r="F1844" s="295">
        <v>2.8330649999999999</v>
      </c>
      <c r="G1844" s="295">
        <v>2.925872</v>
      </c>
      <c r="H1844" s="295">
        <v>2.9928409999999999</v>
      </c>
      <c r="I1844" s="295">
        <v>3.0513650000000001</v>
      </c>
      <c r="J1844" s="295">
        <v>3.1042510000000001</v>
      </c>
      <c r="K1844" s="295">
        <v>3.1557110000000002</v>
      </c>
      <c r="L1844" s="295">
        <v>3.1867679999999998</v>
      </c>
      <c r="M1844" s="295">
        <v>3.2897150000000002</v>
      </c>
      <c r="N1844" s="295">
        <v>3.324433</v>
      </c>
      <c r="O1844" s="295">
        <v>3.364744</v>
      </c>
      <c r="P1844" s="295">
        <v>3.3831820000000001</v>
      </c>
      <c r="Q1844" s="295">
        <v>3.3970039999999999</v>
      </c>
      <c r="R1844" s="295">
        <v>3.414968</v>
      </c>
      <c r="S1844" s="295">
        <v>3.4225699999999999</v>
      </c>
      <c r="T1844" s="295">
        <v>3.458736</v>
      </c>
      <c r="U1844" s="295">
        <v>3.4851700000000001</v>
      </c>
      <c r="V1844" s="295">
        <v>3.4847679999999999</v>
      </c>
      <c r="W1844" s="295">
        <v>3.5378219999999998</v>
      </c>
      <c r="X1844" s="295">
        <v>3.5693980000000001</v>
      </c>
      <c r="Y1844" s="295">
        <v>3.58846</v>
      </c>
      <c r="Z1844" s="295">
        <v>3.6218509999999999</v>
      </c>
      <c r="AA1844" s="295">
        <v>3.629381</v>
      </c>
      <c r="AB1844" s="295">
        <v>3.6232359999999999</v>
      </c>
      <c r="AC1844" s="295">
        <v>3.6654499999999999</v>
      </c>
      <c r="AD1844" s="295">
        <v>3.6798989999999998</v>
      </c>
      <c r="AE1844" s="295">
        <v>3.6815229999999999</v>
      </c>
      <c r="AF1844" s="295">
        <v>3.6982849999999998</v>
      </c>
      <c r="AG1844" s="295">
        <v>3.694213</v>
      </c>
      <c r="AH1844" s="296">
        <v>1.2845000000000001E-2</v>
      </c>
    </row>
    <row r="1845" spans="1:34" ht="15" customHeight="1" x14ac:dyDescent="0.25">
      <c r="A1845" s="213" t="s">
        <v>2414</v>
      </c>
      <c r="B1845" s="294" t="s">
        <v>1060</v>
      </c>
      <c r="C1845" s="295">
        <v>1.37836</v>
      </c>
      <c r="D1845" s="295">
        <v>1.046278</v>
      </c>
      <c r="E1845" s="295">
        <v>1.0896710000000001</v>
      </c>
      <c r="F1845" s="295">
        <v>1.2358629999999999</v>
      </c>
      <c r="G1845" s="295">
        <v>1.4277880000000001</v>
      </c>
      <c r="H1845" s="295">
        <v>1.562284</v>
      </c>
      <c r="I1845" s="295">
        <v>1.590965</v>
      </c>
      <c r="J1845" s="295">
        <v>1.7398720000000001</v>
      </c>
      <c r="K1845" s="295">
        <v>1.7992060000000001</v>
      </c>
      <c r="L1845" s="295">
        <v>1.8409709999999999</v>
      </c>
      <c r="M1845" s="295">
        <v>1.754516</v>
      </c>
      <c r="N1845" s="295">
        <v>1.926404</v>
      </c>
      <c r="O1845" s="295">
        <v>1.959662</v>
      </c>
      <c r="P1845" s="295">
        <v>1.985047</v>
      </c>
      <c r="Q1845" s="295">
        <v>1.9989220000000001</v>
      </c>
      <c r="R1845" s="295">
        <v>2.015809</v>
      </c>
      <c r="S1845" s="295">
        <v>2.0329540000000001</v>
      </c>
      <c r="T1845" s="295">
        <v>2.0441060000000002</v>
      </c>
      <c r="U1845" s="295">
        <v>2.0777559999999999</v>
      </c>
      <c r="V1845" s="295">
        <v>2.0764860000000001</v>
      </c>
      <c r="W1845" s="295">
        <v>2.145254</v>
      </c>
      <c r="X1845" s="295">
        <v>2.1554440000000001</v>
      </c>
      <c r="Y1845" s="295">
        <v>2.148908</v>
      </c>
      <c r="Z1845" s="295">
        <v>2.2459120000000001</v>
      </c>
      <c r="AA1845" s="295">
        <v>2.2712460000000001</v>
      </c>
      <c r="AB1845" s="295">
        <v>2.263922</v>
      </c>
      <c r="AC1845" s="295">
        <v>2.3460800000000002</v>
      </c>
      <c r="AD1845" s="295">
        <v>2.385278</v>
      </c>
      <c r="AE1845" s="295">
        <v>2.3974449999999998</v>
      </c>
      <c r="AF1845" s="295">
        <v>2.410657</v>
      </c>
      <c r="AG1845" s="295">
        <v>2.4292639999999999</v>
      </c>
      <c r="AH1845" s="296">
        <v>1.9068999999999999E-2</v>
      </c>
    </row>
    <row r="1846" spans="1:34" ht="15" customHeight="1" x14ac:dyDescent="0.25">
      <c r="A1846" s="213" t="s">
        <v>2415</v>
      </c>
      <c r="B1846" s="294" t="s">
        <v>2401</v>
      </c>
      <c r="C1846" s="297">
        <v>57.891112999999997</v>
      </c>
      <c r="D1846" s="297">
        <v>43.943676000000004</v>
      </c>
      <c r="E1846" s="297">
        <v>45.766173999999999</v>
      </c>
      <c r="F1846" s="297">
        <v>51.90625</v>
      </c>
      <c r="G1846" s="297">
        <v>59.967098</v>
      </c>
      <c r="H1846" s="297">
        <v>65.615943999999999</v>
      </c>
      <c r="I1846" s="297">
        <v>66.820526000000001</v>
      </c>
      <c r="J1846" s="297">
        <v>73.074614999999994</v>
      </c>
      <c r="K1846" s="297">
        <v>75.566665999999998</v>
      </c>
      <c r="L1846" s="297">
        <v>77.320769999999996</v>
      </c>
      <c r="M1846" s="297">
        <v>73.689650999999998</v>
      </c>
      <c r="N1846" s="297">
        <v>80.908957999999998</v>
      </c>
      <c r="O1846" s="297">
        <v>82.305817000000005</v>
      </c>
      <c r="P1846" s="297">
        <v>83.371964000000006</v>
      </c>
      <c r="Q1846" s="297">
        <v>83.954741999999996</v>
      </c>
      <c r="R1846" s="297">
        <v>84.663971000000004</v>
      </c>
      <c r="S1846" s="297">
        <v>85.384048000000007</v>
      </c>
      <c r="T1846" s="297">
        <v>85.852440000000001</v>
      </c>
      <c r="U1846" s="297">
        <v>87.265770000000003</v>
      </c>
      <c r="V1846" s="297">
        <v>87.212401999999997</v>
      </c>
      <c r="W1846" s="297">
        <v>90.100684999999999</v>
      </c>
      <c r="X1846" s="297">
        <v>90.528648000000004</v>
      </c>
      <c r="Y1846" s="297">
        <v>90.254149999999996</v>
      </c>
      <c r="Z1846" s="297">
        <v>94.328293000000002</v>
      </c>
      <c r="AA1846" s="297">
        <v>95.392319000000001</v>
      </c>
      <c r="AB1846" s="297">
        <v>95.084746999999993</v>
      </c>
      <c r="AC1846" s="297">
        <v>98.535377999999994</v>
      </c>
      <c r="AD1846" s="297">
        <v>100.181656</v>
      </c>
      <c r="AE1846" s="297">
        <v>100.69268</v>
      </c>
      <c r="AF1846" s="297">
        <v>101.247604</v>
      </c>
      <c r="AG1846" s="297">
        <v>102.029068</v>
      </c>
      <c r="AH1846" s="296">
        <v>1.9068999999999999E-2</v>
      </c>
    </row>
    <row r="1848" spans="1:34" ht="15" customHeight="1" x14ac:dyDescent="0.2">
      <c r="B1848" s="204" t="s">
        <v>2416</v>
      </c>
    </row>
    <row r="1849" spans="1:34" ht="15" customHeight="1" x14ac:dyDescent="0.25">
      <c r="A1849" s="213" t="s">
        <v>2417</v>
      </c>
      <c r="B1849" s="294" t="s">
        <v>1058</v>
      </c>
      <c r="C1849" s="295">
        <v>2.4338799999999998</v>
      </c>
      <c r="D1849" s="295">
        <v>2.4368650000000001</v>
      </c>
      <c r="E1849" s="295">
        <v>2.4519540000000002</v>
      </c>
      <c r="F1849" s="295">
        <v>2.5119899999999999</v>
      </c>
      <c r="G1849" s="295">
        <v>2.519631</v>
      </c>
      <c r="H1849" s="295">
        <v>2.499892</v>
      </c>
      <c r="I1849" s="295">
        <v>2.4455830000000001</v>
      </c>
      <c r="J1849" s="295">
        <v>2.4889350000000001</v>
      </c>
      <c r="K1849" s="295">
        <v>2.5479530000000001</v>
      </c>
      <c r="L1849" s="295">
        <v>2.5753910000000002</v>
      </c>
      <c r="M1849" s="295">
        <v>2.626973</v>
      </c>
      <c r="N1849" s="295">
        <v>2.6412409999999999</v>
      </c>
      <c r="O1849" s="295">
        <v>2.6812429999999998</v>
      </c>
      <c r="P1849" s="295">
        <v>2.7040310000000001</v>
      </c>
      <c r="Q1849" s="295">
        <v>2.727614</v>
      </c>
      <c r="R1849" s="295">
        <v>2.7456939999999999</v>
      </c>
      <c r="S1849" s="295">
        <v>2.7664620000000002</v>
      </c>
      <c r="T1849" s="295">
        <v>2.8045309999999999</v>
      </c>
      <c r="U1849" s="295">
        <v>2.8304849999999999</v>
      </c>
      <c r="V1849" s="295">
        <v>2.8340130000000001</v>
      </c>
      <c r="W1849" s="295">
        <v>2.8966460000000001</v>
      </c>
      <c r="X1849" s="295">
        <v>2.9281999999999999</v>
      </c>
      <c r="Y1849" s="295">
        <v>2.9494690000000001</v>
      </c>
      <c r="Z1849" s="295">
        <v>2.9958719999999999</v>
      </c>
      <c r="AA1849" s="295">
        <v>2.9973700000000001</v>
      </c>
      <c r="AB1849" s="295">
        <v>2.99891</v>
      </c>
      <c r="AC1849" s="295">
        <v>3.0433210000000002</v>
      </c>
      <c r="AD1849" s="295">
        <v>3.0612170000000001</v>
      </c>
      <c r="AE1849" s="295">
        <v>3.0607820000000001</v>
      </c>
      <c r="AF1849" s="295">
        <v>3.0770080000000002</v>
      </c>
      <c r="AG1849" s="295">
        <v>3.0740859999999999</v>
      </c>
      <c r="AH1849" s="296">
        <v>7.8139999999999998E-3</v>
      </c>
    </row>
    <row r="1850" spans="1:34" ht="15" customHeight="1" x14ac:dyDescent="0.25">
      <c r="A1850" s="213" t="s">
        <v>2418</v>
      </c>
      <c r="B1850" s="294" t="s">
        <v>1060</v>
      </c>
      <c r="C1850" s="295">
        <v>1.241052</v>
      </c>
      <c r="D1850" s="295">
        <v>1.3248359999999999</v>
      </c>
      <c r="E1850" s="295">
        <v>1.4597709999999999</v>
      </c>
      <c r="F1850" s="295">
        <v>1.6443350000000001</v>
      </c>
      <c r="G1850" s="295">
        <v>1.786386</v>
      </c>
      <c r="H1850" s="295">
        <v>1.894031</v>
      </c>
      <c r="I1850" s="295">
        <v>1.9921230000000001</v>
      </c>
      <c r="J1850" s="295">
        <v>2.0389539999999999</v>
      </c>
      <c r="K1850" s="295">
        <v>2.1012650000000002</v>
      </c>
      <c r="L1850" s="295">
        <v>2.1320730000000001</v>
      </c>
      <c r="M1850" s="295">
        <v>2.1965439999999998</v>
      </c>
      <c r="N1850" s="295">
        <v>2.2245330000000001</v>
      </c>
      <c r="O1850" s="295">
        <v>2.2613569999999998</v>
      </c>
      <c r="P1850" s="295">
        <v>2.2845740000000001</v>
      </c>
      <c r="Q1850" s="295">
        <v>2.3028309999999999</v>
      </c>
      <c r="R1850" s="295">
        <v>2.32348</v>
      </c>
      <c r="S1850" s="295">
        <v>2.335483</v>
      </c>
      <c r="T1850" s="295">
        <v>2.3470689999999998</v>
      </c>
      <c r="U1850" s="295">
        <v>2.379934</v>
      </c>
      <c r="V1850" s="295">
        <v>2.377148</v>
      </c>
      <c r="W1850" s="295">
        <v>2.451746</v>
      </c>
      <c r="X1850" s="295">
        <v>2.4683950000000001</v>
      </c>
      <c r="Y1850" s="295">
        <v>2.4671940000000001</v>
      </c>
      <c r="Z1850" s="295">
        <v>2.4770370000000002</v>
      </c>
      <c r="AA1850" s="295">
        <v>2.464588</v>
      </c>
      <c r="AB1850" s="295">
        <v>2.427686</v>
      </c>
      <c r="AC1850" s="295">
        <v>2.4570120000000002</v>
      </c>
      <c r="AD1850" s="295">
        <v>2.4799389999999999</v>
      </c>
      <c r="AE1850" s="295">
        <v>2.4986079999999999</v>
      </c>
      <c r="AF1850" s="295">
        <v>2.518122</v>
      </c>
      <c r="AG1850" s="295">
        <v>2.5359759999999998</v>
      </c>
      <c r="AH1850" s="296">
        <v>2.4107E-2</v>
      </c>
    </row>
    <row r="1851" spans="1:34" ht="15" customHeight="1" x14ac:dyDescent="0.25">
      <c r="A1851" s="213" t="s">
        <v>2419</v>
      </c>
      <c r="B1851" s="294" t="s">
        <v>2401</v>
      </c>
      <c r="C1851" s="297">
        <v>52.124164999999998</v>
      </c>
      <c r="D1851" s="297">
        <v>55.643127</v>
      </c>
      <c r="E1851" s="297">
        <v>61.310394000000002</v>
      </c>
      <c r="F1851" s="297">
        <v>69.062079999999995</v>
      </c>
      <c r="G1851" s="297">
        <v>75.028198000000003</v>
      </c>
      <c r="H1851" s="297">
        <v>79.549316000000005</v>
      </c>
      <c r="I1851" s="297">
        <v>83.669150999999999</v>
      </c>
      <c r="J1851" s="297">
        <v>85.636054999999999</v>
      </c>
      <c r="K1851" s="297">
        <v>88.253142999999994</v>
      </c>
      <c r="L1851" s="297">
        <v>89.547066000000001</v>
      </c>
      <c r="M1851" s="297">
        <v>92.254845000000003</v>
      </c>
      <c r="N1851" s="297">
        <v>93.430389000000005</v>
      </c>
      <c r="O1851" s="297">
        <v>94.977005000000005</v>
      </c>
      <c r="P1851" s="297">
        <v>95.952095</v>
      </c>
      <c r="Q1851" s="297">
        <v>96.718902999999997</v>
      </c>
      <c r="R1851" s="297">
        <v>97.586174</v>
      </c>
      <c r="S1851" s="297">
        <v>98.090271000000001</v>
      </c>
      <c r="T1851" s="297">
        <v>98.576881</v>
      </c>
      <c r="U1851" s="297">
        <v>99.957229999999996</v>
      </c>
      <c r="V1851" s="297">
        <v>99.840225000000004</v>
      </c>
      <c r="W1851" s="297">
        <v>102.97332</v>
      </c>
      <c r="X1851" s="297">
        <v>103.672607</v>
      </c>
      <c r="Y1851" s="297">
        <v>103.622139</v>
      </c>
      <c r="Z1851" s="297">
        <v>104.035568</v>
      </c>
      <c r="AA1851" s="297">
        <v>103.51268</v>
      </c>
      <c r="AB1851" s="297">
        <v>101.962822</v>
      </c>
      <c r="AC1851" s="297">
        <v>103.19450399999999</v>
      </c>
      <c r="AD1851" s="297">
        <v>104.157425</v>
      </c>
      <c r="AE1851" s="297">
        <v>104.941536</v>
      </c>
      <c r="AF1851" s="297">
        <v>105.76113100000001</v>
      </c>
      <c r="AG1851" s="297">
        <v>106.510986</v>
      </c>
      <c r="AH1851" s="296">
        <v>2.4107E-2</v>
      </c>
    </row>
    <row r="1853" spans="1:34" ht="15" customHeight="1" x14ac:dyDescent="0.2">
      <c r="B1853" s="204" t="s">
        <v>2420</v>
      </c>
    </row>
    <row r="1854" spans="1:34" ht="15" customHeight="1" x14ac:dyDescent="0.25">
      <c r="A1854" s="213" t="s">
        <v>2421</v>
      </c>
      <c r="B1854" s="294" t="s">
        <v>1036</v>
      </c>
      <c r="C1854" s="295">
        <v>1.3120289999999999</v>
      </c>
      <c r="D1854" s="295">
        <v>1.3646290000000001</v>
      </c>
      <c r="E1854" s="295">
        <v>1.4113770000000001</v>
      </c>
      <c r="F1854" s="295">
        <v>1.3887499999999999</v>
      </c>
      <c r="G1854" s="295">
        <v>1.4289160000000001</v>
      </c>
      <c r="H1854" s="295">
        <v>1.4709920000000001</v>
      </c>
      <c r="I1854" s="295">
        <v>1.507536</v>
      </c>
      <c r="J1854" s="295">
        <v>1.533663</v>
      </c>
      <c r="K1854" s="295">
        <v>1.5744990000000001</v>
      </c>
      <c r="L1854" s="295">
        <v>1.6010359999999999</v>
      </c>
      <c r="M1854" s="295">
        <v>1.643016</v>
      </c>
      <c r="N1854" s="295">
        <v>1.666768</v>
      </c>
      <c r="O1854" s="295">
        <v>1.69655</v>
      </c>
      <c r="P1854" s="295">
        <v>1.71838</v>
      </c>
      <c r="Q1854" s="295">
        <v>1.734893</v>
      </c>
      <c r="R1854" s="295">
        <v>1.749927</v>
      </c>
      <c r="S1854" s="295">
        <v>1.7677069999999999</v>
      </c>
      <c r="T1854" s="295">
        <v>1.783847</v>
      </c>
      <c r="U1854" s="295">
        <v>1.803024</v>
      </c>
      <c r="V1854" s="295">
        <v>1.816864</v>
      </c>
      <c r="W1854" s="295">
        <v>1.8389230000000001</v>
      </c>
      <c r="X1854" s="295">
        <v>1.8597859999999999</v>
      </c>
      <c r="Y1854" s="295">
        <v>1.872725</v>
      </c>
      <c r="Z1854" s="295">
        <v>1.8904099999999999</v>
      </c>
      <c r="AA1854" s="295">
        <v>1.9019140000000001</v>
      </c>
      <c r="AB1854" s="295">
        <v>1.901135</v>
      </c>
      <c r="AC1854" s="295">
        <v>1.919359</v>
      </c>
      <c r="AD1854" s="295">
        <v>1.9374610000000001</v>
      </c>
      <c r="AE1854" s="295">
        <v>1.9470419999999999</v>
      </c>
      <c r="AF1854" s="295">
        <v>1.955611</v>
      </c>
      <c r="AG1854" s="295">
        <v>1.9637359999999999</v>
      </c>
      <c r="AH1854" s="296">
        <v>1.3533E-2</v>
      </c>
    </row>
    <row r="1855" spans="1:34" ht="15" customHeight="1" x14ac:dyDescent="0.25">
      <c r="A1855" s="213" t="s">
        <v>2422</v>
      </c>
      <c r="B1855" s="294" t="s">
        <v>1286</v>
      </c>
      <c r="C1855" s="295">
        <v>2.2548539999999999</v>
      </c>
      <c r="D1855" s="295">
        <v>2.3548230000000001</v>
      </c>
      <c r="E1855" s="295">
        <v>2.3994689999999999</v>
      </c>
      <c r="F1855" s="295">
        <v>2.4619650000000002</v>
      </c>
      <c r="G1855" s="295">
        <v>2.468871</v>
      </c>
      <c r="H1855" s="295">
        <v>2.5116040000000002</v>
      </c>
      <c r="I1855" s="295">
        <v>2.5333749999999999</v>
      </c>
      <c r="J1855" s="295">
        <v>2.561896</v>
      </c>
      <c r="K1855" s="295">
        <v>2.6259239999999999</v>
      </c>
      <c r="L1855" s="295">
        <v>2.6692969999999998</v>
      </c>
      <c r="M1855" s="295">
        <v>2.797148</v>
      </c>
      <c r="N1855" s="295">
        <v>2.8088669999999998</v>
      </c>
      <c r="O1855" s="295">
        <v>2.8658130000000002</v>
      </c>
      <c r="P1855" s="295">
        <v>2.887016</v>
      </c>
      <c r="Q1855" s="295">
        <v>2.92502</v>
      </c>
      <c r="R1855" s="295">
        <v>2.9467720000000002</v>
      </c>
      <c r="S1855" s="295">
        <v>2.983997</v>
      </c>
      <c r="T1855" s="295">
        <v>3.0150519999999998</v>
      </c>
      <c r="U1855" s="295">
        <v>3.0542850000000001</v>
      </c>
      <c r="V1855" s="295">
        <v>3.0587010000000001</v>
      </c>
      <c r="W1855" s="295">
        <v>3.1108690000000001</v>
      </c>
      <c r="X1855" s="295">
        <v>3.1395689999999998</v>
      </c>
      <c r="Y1855" s="295">
        <v>3.1587350000000001</v>
      </c>
      <c r="Z1855" s="295">
        <v>3.1777549999999999</v>
      </c>
      <c r="AA1855" s="295">
        <v>3.1887310000000002</v>
      </c>
      <c r="AB1855" s="295">
        <v>3.168612</v>
      </c>
      <c r="AC1855" s="295">
        <v>3.2111459999999998</v>
      </c>
      <c r="AD1855" s="295">
        <v>3.2243379999999999</v>
      </c>
      <c r="AE1855" s="295">
        <v>3.2361330000000001</v>
      </c>
      <c r="AF1855" s="295">
        <v>3.2298619999999998</v>
      </c>
      <c r="AG1855" s="295">
        <v>3.2322890000000002</v>
      </c>
      <c r="AH1855" s="296">
        <v>1.2076E-2</v>
      </c>
    </row>
    <row r="1856" spans="1:34" ht="15" customHeight="1" x14ac:dyDescent="0.25">
      <c r="A1856" s="213" t="s">
        <v>2423</v>
      </c>
      <c r="B1856" s="294" t="s">
        <v>1288</v>
      </c>
      <c r="C1856" s="295">
        <v>1.291768</v>
      </c>
      <c r="D1856" s="295">
        <v>1.4015820000000001</v>
      </c>
      <c r="E1856" s="295">
        <v>1.5402830000000001</v>
      </c>
      <c r="F1856" s="295">
        <v>1.7126999999999999</v>
      </c>
      <c r="G1856" s="295">
        <v>1.8455760000000001</v>
      </c>
      <c r="H1856" s="295">
        <v>1.933846</v>
      </c>
      <c r="I1856" s="295">
        <v>2.0091389999999998</v>
      </c>
      <c r="J1856" s="295">
        <v>2.0523820000000002</v>
      </c>
      <c r="K1856" s="295">
        <v>2.1245720000000001</v>
      </c>
      <c r="L1856" s="295">
        <v>2.1609379999999998</v>
      </c>
      <c r="M1856" s="295">
        <v>2.2198859999999998</v>
      </c>
      <c r="N1856" s="295">
        <v>2.2664650000000002</v>
      </c>
      <c r="O1856" s="295">
        <v>2.3155109999999999</v>
      </c>
      <c r="P1856" s="295">
        <v>2.346231</v>
      </c>
      <c r="Q1856" s="295">
        <v>2.3680020000000002</v>
      </c>
      <c r="R1856" s="295">
        <v>2.3897810000000002</v>
      </c>
      <c r="S1856" s="295">
        <v>2.410161</v>
      </c>
      <c r="T1856" s="295">
        <v>2.451819</v>
      </c>
      <c r="U1856" s="295">
        <v>2.4927679999999999</v>
      </c>
      <c r="V1856" s="295">
        <v>2.4991140000000001</v>
      </c>
      <c r="W1856" s="295">
        <v>2.5560450000000001</v>
      </c>
      <c r="X1856" s="295">
        <v>2.5921859999999999</v>
      </c>
      <c r="Y1856" s="295">
        <v>2.6171190000000002</v>
      </c>
      <c r="Z1856" s="295">
        <v>2.6706829999999999</v>
      </c>
      <c r="AA1856" s="295">
        <v>2.6814079999999998</v>
      </c>
      <c r="AB1856" s="295">
        <v>2.6853590000000001</v>
      </c>
      <c r="AC1856" s="295">
        <v>2.730553</v>
      </c>
      <c r="AD1856" s="295">
        <v>2.7519529999999999</v>
      </c>
      <c r="AE1856" s="295">
        <v>2.7514460000000001</v>
      </c>
      <c r="AF1856" s="295">
        <v>2.768078</v>
      </c>
      <c r="AG1856" s="295">
        <v>2.7695970000000001</v>
      </c>
      <c r="AH1856" s="296">
        <v>2.5749000000000001E-2</v>
      </c>
    </row>
    <row r="1857" spans="1:34" ht="15" customHeight="1" x14ac:dyDescent="0.25">
      <c r="A1857" s="213" t="s">
        <v>2424</v>
      </c>
      <c r="B1857" s="294" t="s">
        <v>1058</v>
      </c>
      <c r="C1857" s="295">
        <v>2.4992100000000002</v>
      </c>
      <c r="D1857" s="295">
        <v>2.4934859999999999</v>
      </c>
      <c r="E1857" s="295">
        <v>2.5855480000000002</v>
      </c>
      <c r="F1857" s="295">
        <v>2.7837170000000002</v>
      </c>
      <c r="G1857" s="295">
        <v>2.8637730000000001</v>
      </c>
      <c r="H1857" s="295">
        <v>2.9132220000000002</v>
      </c>
      <c r="I1857" s="295">
        <v>2.9531320000000001</v>
      </c>
      <c r="J1857" s="295">
        <v>2.9930319999999999</v>
      </c>
      <c r="K1857" s="295">
        <v>3.0558459999999998</v>
      </c>
      <c r="L1857" s="295">
        <v>3.085582</v>
      </c>
      <c r="M1857" s="295">
        <v>3.1741130000000002</v>
      </c>
      <c r="N1857" s="295">
        <v>3.2040039999999999</v>
      </c>
      <c r="O1857" s="295">
        <v>3.244262</v>
      </c>
      <c r="P1857" s="295">
        <v>3.260694</v>
      </c>
      <c r="Q1857" s="295">
        <v>3.2745510000000002</v>
      </c>
      <c r="R1857" s="295">
        <v>3.2894540000000001</v>
      </c>
      <c r="S1857" s="295">
        <v>3.2977270000000001</v>
      </c>
      <c r="T1857" s="295">
        <v>3.3324250000000002</v>
      </c>
      <c r="U1857" s="295">
        <v>3.360528</v>
      </c>
      <c r="V1857" s="295">
        <v>3.358285</v>
      </c>
      <c r="W1857" s="295">
        <v>3.4112469999999999</v>
      </c>
      <c r="X1857" s="295">
        <v>3.4417909999999998</v>
      </c>
      <c r="Y1857" s="295">
        <v>3.4603600000000001</v>
      </c>
      <c r="Z1857" s="295">
        <v>3.4931040000000002</v>
      </c>
      <c r="AA1857" s="295">
        <v>3.4921350000000002</v>
      </c>
      <c r="AB1857" s="295">
        <v>3.4939469999999999</v>
      </c>
      <c r="AC1857" s="295">
        <v>3.5354000000000001</v>
      </c>
      <c r="AD1857" s="295">
        <v>3.5519759999999998</v>
      </c>
      <c r="AE1857" s="295">
        <v>3.5491239999999999</v>
      </c>
      <c r="AF1857" s="295">
        <v>3.5642800000000001</v>
      </c>
      <c r="AG1857" s="295">
        <v>3.5594139999999999</v>
      </c>
      <c r="AH1857" s="296">
        <v>1.1856999999999999E-2</v>
      </c>
    </row>
    <row r="1858" spans="1:34" ht="15" customHeight="1" x14ac:dyDescent="0.25">
      <c r="A1858" s="213" t="s">
        <v>2425</v>
      </c>
      <c r="B1858" s="294" t="s">
        <v>1060</v>
      </c>
      <c r="C1858" s="295">
        <v>1.323866</v>
      </c>
      <c r="D1858" s="295">
        <v>1.0401229999999999</v>
      </c>
      <c r="E1858" s="295">
        <v>1.0972919999999999</v>
      </c>
      <c r="F1858" s="295">
        <v>1.2506740000000001</v>
      </c>
      <c r="G1858" s="295">
        <v>1.441127</v>
      </c>
      <c r="H1858" s="295">
        <v>1.578943</v>
      </c>
      <c r="I1858" s="295">
        <v>1.619461</v>
      </c>
      <c r="J1858" s="295">
        <v>1.758316</v>
      </c>
      <c r="K1858" s="295">
        <v>1.818025</v>
      </c>
      <c r="L1858" s="295">
        <v>1.859043</v>
      </c>
      <c r="M1858" s="295">
        <v>1.7867729999999999</v>
      </c>
      <c r="N1858" s="295">
        <v>1.94492</v>
      </c>
      <c r="O1858" s="295">
        <v>1.978831</v>
      </c>
      <c r="P1858" s="295">
        <v>2.00421</v>
      </c>
      <c r="Q1858" s="295">
        <v>2.0185550000000001</v>
      </c>
      <c r="R1858" s="295">
        <v>2.0358339999999999</v>
      </c>
      <c r="S1858" s="295">
        <v>2.0518149999999999</v>
      </c>
      <c r="T1858" s="295">
        <v>2.0617019999999999</v>
      </c>
      <c r="U1858" s="295">
        <v>2.0956009999999998</v>
      </c>
      <c r="V1858" s="295">
        <v>2.094176</v>
      </c>
      <c r="W1858" s="295">
        <v>2.1666970000000001</v>
      </c>
      <c r="X1858" s="295">
        <v>2.1774979999999999</v>
      </c>
      <c r="Y1858" s="295">
        <v>2.1734149999999999</v>
      </c>
      <c r="Z1858" s="295">
        <v>2.2609569999999999</v>
      </c>
      <c r="AA1858" s="295">
        <v>2.2840419999999999</v>
      </c>
      <c r="AB1858" s="295">
        <v>2.2755519999999998</v>
      </c>
      <c r="AC1858" s="295">
        <v>2.3519890000000001</v>
      </c>
      <c r="AD1858" s="295">
        <v>2.3891490000000002</v>
      </c>
      <c r="AE1858" s="295">
        <v>2.4015650000000002</v>
      </c>
      <c r="AF1858" s="295">
        <v>2.415197</v>
      </c>
      <c r="AG1858" s="295">
        <v>2.4334859999999998</v>
      </c>
      <c r="AH1858" s="296">
        <v>2.0500000000000001E-2</v>
      </c>
    </row>
    <row r="1859" spans="1:34" ht="15" customHeight="1" x14ac:dyDescent="0.25">
      <c r="A1859" s="213" t="s">
        <v>2426</v>
      </c>
      <c r="B1859" s="294" t="s">
        <v>2401</v>
      </c>
      <c r="C1859" s="297">
        <v>55.602378999999999</v>
      </c>
      <c r="D1859" s="297">
        <v>43.685169000000002</v>
      </c>
      <c r="E1859" s="297">
        <v>46.086253999999997</v>
      </c>
      <c r="F1859" s="297">
        <v>52.528320000000001</v>
      </c>
      <c r="G1859" s="297">
        <v>60.527327999999997</v>
      </c>
      <c r="H1859" s="297">
        <v>66.315612999999999</v>
      </c>
      <c r="I1859" s="297">
        <v>68.017357000000004</v>
      </c>
      <c r="J1859" s="297">
        <v>73.849273999999994</v>
      </c>
      <c r="K1859" s="297">
        <v>76.357062999999997</v>
      </c>
      <c r="L1859" s="297">
        <v>78.079787999999994</v>
      </c>
      <c r="M1859" s="297">
        <v>75.044478999999995</v>
      </c>
      <c r="N1859" s="297">
        <v>81.686653000000007</v>
      </c>
      <c r="O1859" s="297">
        <v>83.110893000000004</v>
      </c>
      <c r="P1859" s="297">
        <v>84.176841999999994</v>
      </c>
      <c r="Q1859" s="297">
        <v>84.779304999999994</v>
      </c>
      <c r="R1859" s="297">
        <v>85.505035000000007</v>
      </c>
      <c r="S1859" s="297">
        <v>86.176231000000001</v>
      </c>
      <c r="T1859" s="297">
        <v>86.591460999999995</v>
      </c>
      <c r="U1859" s="297">
        <v>88.015259</v>
      </c>
      <c r="V1859" s="297">
        <v>87.955391000000006</v>
      </c>
      <c r="W1859" s="297">
        <v>91.001266000000001</v>
      </c>
      <c r="X1859" s="297">
        <v>91.454909999999998</v>
      </c>
      <c r="Y1859" s="297">
        <v>91.283446999999995</v>
      </c>
      <c r="Z1859" s="297">
        <v>94.960205000000002</v>
      </c>
      <c r="AA1859" s="297">
        <v>95.929764000000006</v>
      </c>
      <c r="AB1859" s="297">
        <v>95.573188999999999</v>
      </c>
      <c r="AC1859" s="297">
        <v>98.783530999999996</v>
      </c>
      <c r="AD1859" s="297">
        <v>100.34427599999999</v>
      </c>
      <c r="AE1859" s="297">
        <v>100.865723</v>
      </c>
      <c r="AF1859" s="297">
        <v>101.438255</v>
      </c>
      <c r="AG1859" s="297">
        <v>102.20639799999999</v>
      </c>
      <c r="AH1859" s="296">
        <v>2.0500000000000001E-2</v>
      </c>
    </row>
    <row r="1860" spans="1:34" ht="15" customHeight="1" x14ac:dyDescent="0.2">
      <c r="A1860" s="213" t="s">
        <v>2427</v>
      </c>
      <c r="B1860" s="204" t="s">
        <v>2428</v>
      </c>
      <c r="C1860" s="205">
        <v>1.900239</v>
      </c>
      <c r="D1860" s="205">
        <v>1.936922</v>
      </c>
      <c r="E1860" s="205">
        <v>1.967684</v>
      </c>
      <c r="F1860" s="205">
        <v>2.0527319999999998</v>
      </c>
      <c r="G1860" s="205">
        <v>2.0852149999999998</v>
      </c>
      <c r="H1860" s="205">
        <v>2.125947</v>
      </c>
      <c r="I1860" s="205">
        <v>2.1512669999999998</v>
      </c>
      <c r="J1860" s="205">
        <v>2.1769379999999998</v>
      </c>
      <c r="K1860" s="205">
        <v>2.227427</v>
      </c>
      <c r="L1860" s="205">
        <v>2.2541220000000002</v>
      </c>
      <c r="M1860" s="205">
        <v>2.3302529999999999</v>
      </c>
      <c r="N1860" s="205">
        <v>2.3449979999999999</v>
      </c>
      <c r="O1860" s="205">
        <v>2.382676</v>
      </c>
      <c r="P1860" s="205">
        <v>2.3957660000000001</v>
      </c>
      <c r="Q1860" s="205">
        <v>2.413983</v>
      </c>
      <c r="R1860" s="205">
        <v>2.4263490000000001</v>
      </c>
      <c r="S1860" s="205">
        <v>2.4469500000000002</v>
      </c>
      <c r="T1860" s="205">
        <v>2.4706009999999998</v>
      </c>
      <c r="U1860" s="205">
        <v>2.4983550000000001</v>
      </c>
      <c r="V1860" s="205">
        <v>2.5002970000000002</v>
      </c>
      <c r="W1860" s="205">
        <v>2.544489</v>
      </c>
      <c r="X1860" s="205">
        <v>2.5696310000000002</v>
      </c>
      <c r="Y1860" s="205">
        <v>2.5839120000000002</v>
      </c>
      <c r="Z1860" s="205">
        <v>2.6069789999999999</v>
      </c>
      <c r="AA1860" s="205">
        <v>2.614541</v>
      </c>
      <c r="AB1860" s="205">
        <v>2.6044309999999999</v>
      </c>
      <c r="AC1860" s="205">
        <v>2.6417419999999998</v>
      </c>
      <c r="AD1860" s="205">
        <v>2.656987</v>
      </c>
      <c r="AE1860" s="205">
        <v>2.6625800000000002</v>
      </c>
      <c r="AF1860" s="205">
        <v>2.6639360000000001</v>
      </c>
      <c r="AG1860" s="205">
        <v>2.6642610000000002</v>
      </c>
      <c r="AH1860" s="206">
        <v>1.1329000000000001E-2</v>
      </c>
    </row>
    <row r="1863" spans="1:34" ht="15" customHeight="1" x14ac:dyDescent="0.2">
      <c r="B1863" s="204" t="s">
        <v>1326</v>
      </c>
    </row>
    <row r="1864" spans="1:34" ht="15" customHeight="1" x14ac:dyDescent="0.2">
      <c r="B1864" s="204" t="s">
        <v>2429</v>
      </c>
    </row>
    <row r="1865" spans="1:34" ht="15" customHeight="1" x14ac:dyDescent="0.25">
      <c r="A1865" s="213" t="s">
        <v>2430</v>
      </c>
      <c r="B1865" s="294" t="s">
        <v>2388</v>
      </c>
      <c r="C1865" s="297">
        <v>41.186000999999997</v>
      </c>
      <c r="D1865" s="297">
        <v>47.067000999999998</v>
      </c>
      <c r="E1865" s="297">
        <v>50.944332000000003</v>
      </c>
      <c r="F1865" s="297">
        <v>56.853104000000002</v>
      </c>
      <c r="G1865" s="297">
        <v>61.464965999999997</v>
      </c>
      <c r="H1865" s="297">
        <v>65.741164999999995</v>
      </c>
      <c r="I1865" s="297">
        <v>70.597144999999998</v>
      </c>
      <c r="J1865" s="297">
        <v>74.895163999999994</v>
      </c>
      <c r="K1865" s="297">
        <v>79.556824000000006</v>
      </c>
      <c r="L1865" s="297">
        <v>84.021987999999993</v>
      </c>
      <c r="M1865" s="297">
        <v>88.782539</v>
      </c>
      <c r="N1865" s="297">
        <v>92.990951999999993</v>
      </c>
      <c r="O1865" s="297">
        <v>97.858131</v>
      </c>
      <c r="P1865" s="297">
        <v>101.731178</v>
      </c>
      <c r="Q1865" s="297">
        <v>105.69770800000001</v>
      </c>
      <c r="R1865" s="297">
        <v>109.162842</v>
      </c>
      <c r="S1865" s="297">
        <v>113.497246</v>
      </c>
      <c r="T1865" s="297">
        <v>118.18248</v>
      </c>
      <c r="U1865" s="297">
        <v>122.924004</v>
      </c>
      <c r="V1865" s="297">
        <v>125.920807</v>
      </c>
      <c r="W1865" s="297">
        <v>132.46168499999999</v>
      </c>
      <c r="X1865" s="297">
        <v>137.70674099999999</v>
      </c>
      <c r="Y1865" s="297">
        <v>142.16511499999999</v>
      </c>
      <c r="Z1865" s="297">
        <v>147.97259500000001</v>
      </c>
      <c r="AA1865" s="297">
        <v>153.10218800000001</v>
      </c>
      <c r="AB1865" s="297">
        <v>155.75962799999999</v>
      </c>
      <c r="AC1865" s="297">
        <v>163.09445199999999</v>
      </c>
      <c r="AD1865" s="297">
        <v>169.01828</v>
      </c>
      <c r="AE1865" s="297">
        <v>174.192993</v>
      </c>
      <c r="AF1865" s="297">
        <v>179.72056599999999</v>
      </c>
      <c r="AG1865" s="297">
        <v>185.44593800000001</v>
      </c>
      <c r="AH1865" s="296">
        <v>5.1435000000000002E-2</v>
      </c>
    </row>
    <row r="1866" spans="1:34" ht="15" customHeight="1" x14ac:dyDescent="0.25">
      <c r="A1866" s="213" t="s">
        <v>2431</v>
      </c>
      <c r="B1866" s="294" t="s">
        <v>2390</v>
      </c>
      <c r="C1866" s="297">
        <v>38.757998999999998</v>
      </c>
      <c r="D1866" s="297">
        <v>44.720001000000003</v>
      </c>
      <c r="E1866" s="297">
        <v>48.897179000000001</v>
      </c>
      <c r="F1866" s="297">
        <v>55.067394</v>
      </c>
      <c r="G1866" s="297">
        <v>59.481532999999999</v>
      </c>
      <c r="H1866" s="297">
        <v>63.784301999999997</v>
      </c>
      <c r="I1866" s="297">
        <v>67.515479999999997</v>
      </c>
      <c r="J1866" s="297">
        <v>71.996780000000001</v>
      </c>
      <c r="K1866" s="297">
        <v>76.899924999999996</v>
      </c>
      <c r="L1866" s="297">
        <v>81.043762000000001</v>
      </c>
      <c r="M1866" s="297">
        <v>86.103836000000001</v>
      </c>
      <c r="N1866" s="297">
        <v>90.186211</v>
      </c>
      <c r="O1866" s="297">
        <v>94.565719999999999</v>
      </c>
      <c r="P1866" s="297">
        <v>98.153557000000006</v>
      </c>
      <c r="Q1866" s="297">
        <v>101.723167</v>
      </c>
      <c r="R1866" s="297">
        <v>105.202156</v>
      </c>
      <c r="S1866" s="297">
        <v>109.375084</v>
      </c>
      <c r="T1866" s="297">
        <v>113.679169</v>
      </c>
      <c r="U1866" s="297">
        <v>118.432999</v>
      </c>
      <c r="V1866" s="297">
        <v>121.383369</v>
      </c>
      <c r="W1866" s="297">
        <v>128.105423</v>
      </c>
      <c r="X1866" s="297">
        <v>133.31764200000001</v>
      </c>
      <c r="Y1866" s="297">
        <v>137.82901000000001</v>
      </c>
      <c r="Z1866" s="297">
        <v>143.03898599999999</v>
      </c>
      <c r="AA1866" s="297">
        <v>147.68229700000001</v>
      </c>
      <c r="AB1866" s="297">
        <v>149.141998</v>
      </c>
      <c r="AC1866" s="297">
        <v>157.63751199999999</v>
      </c>
      <c r="AD1866" s="297">
        <v>163.22340399999999</v>
      </c>
      <c r="AE1866" s="297">
        <v>167.30110199999999</v>
      </c>
      <c r="AF1866" s="297">
        <v>172.02200300000001</v>
      </c>
      <c r="AG1866" s="297">
        <v>177.941666</v>
      </c>
      <c r="AH1866" s="296">
        <v>5.2116999999999997E-2</v>
      </c>
    </row>
    <row r="1867" spans="1:34" ht="15" customHeight="1" x14ac:dyDescent="0.25">
      <c r="A1867" s="213" t="s">
        <v>2432</v>
      </c>
      <c r="B1867" s="294" t="s">
        <v>2392</v>
      </c>
      <c r="C1867" s="297">
        <v>36.858001999999999</v>
      </c>
      <c r="D1867" s="297">
        <v>42.071998999999998</v>
      </c>
      <c r="E1867" s="297">
        <v>49.681579999999997</v>
      </c>
      <c r="F1867" s="297">
        <v>55.261958999999997</v>
      </c>
      <c r="G1867" s="297">
        <v>60.135330000000003</v>
      </c>
      <c r="H1867" s="297">
        <v>64.313537999999994</v>
      </c>
      <c r="I1867" s="297">
        <v>68.299858</v>
      </c>
      <c r="J1867" s="297">
        <v>72.59581</v>
      </c>
      <c r="K1867" s="297">
        <v>77.120529000000005</v>
      </c>
      <c r="L1867" s="297">
        <v>81.109322000000006</v>
      </c>
      <c r="M1867" s="297">
        <v>85.217162999999999</v>
      </c>
      <c r="N1867" s="297">
        <v>89.266098</v>
      </c>
      <c r="O1867" s="297">
        <v>93.342026000000004</v>
      </c>
      <c r="P1867" s="297">
        <v>97.108788000000004</v>
      </c>
      <c r="Q1867" s="297">
        <v>100.044754</v>
      </c>
      <c r="R1867" s="297">
        <v>103.36673</v>
      </c>
      <c r="S1867" s="297">
        <v>107.32176200000001</v>
      </c>
      <c r="T1867" s="297">
        <v>110.41821299999999</v>
      </c>
      <c r="U1867" s="297">
        <v>115.087334</v>
      </c>
      <c r="V1867" s="297">
        <v>117.90673099999999</v>
      </c>
      <c r="W1867" s="297">
        <v>125.464493</v>
      </c>
      <c r="X1867" s="297">
        <v>130.45584099999999</v>
      </c>
      <c r="Y1867" s="297">
        <v>135.33637999999999</v>
      </c>
      <c r="Z1867" s="297">
        <v>141.186127</v>
      </c>
      <c r="AA1867" s="297">
        <v>145.687454</v>
      </c>
      <c r="AB1867" s="297">
        <v>148.27795399999999</v>
      </c>
      <c r="AC1867" s="297">
        <v>156.041428</v>
      </c>
      <c r="AD1867" s="297">
        <v>161.542328</v>
      </c>
      <c r="AE1867" s="297">
        <v>165.58783</v>
      </c>
      <c r="AF1867" s="297">
        <v>170.876678</v>
      </c>
      <c r="AG1867" s="297">
        <v>175.53042600000001</v>
      </c>
      <c r="AH1867" s="296">
        <v>5.3401999999999998E-2</v>
      </c>
    </row>
    <row r="1869" spans="1:34" ht="15" customHeight="1" x14ac:dyDescent="0.2">
      <c r="B1869" s="204" t="s">
        <v>2433</v>
      </c>
    </row>
    <row r="1870" spans="1:34" ht="15" customHeight="1" x14ac:dyDescent="0.2">
      <c r="B1870" s="204" t="s">
        <v>2434</v>
      </c>
    </row>
    <row r="1871" spans="1:34" ht="15" customHeight="1" x14ac:dyDescent="0.2">
      <c r="B1871" s="204" t="s">
        <v>1034</v>
      </c>
    </row>
    <row r="1872" spans="1:34" ht="15" customHeight="1" x14ac:dyDescent="0.25">
      <c r="A1872" s="213" t="s">
        <v>2435</v>
      </c>
      <c r="B1872" s="294" t="s">
        <v>1036</v>
      </c>
      <c r="C1872" s="295">
        <v>1.5818030000000001</v>
      </c>
      <c r="D1872" s="295">
        <v>1.593728</v>
      </c>
      <c r="E1872" s="295">
        <v>1.6479889999999999</v>
      </c>
      <c r="F1872" s="295">
        <v>1.7015560000000001</v>
      </c>
      <c r="G1872" s="295">
        <v>1.7745979999999999</v>
      </c>
      <c r="H1872" s="295">
        <v>1.8632390000000001</v>
      </c>
      <c r="I1872" s="295">
        <v>1.9572799999999999</v>
      </c>
      <c r="J1872" s="295">
        <v>2.047841</v>
      </c>
      <c r="K1872" s="295">
        <v>2.1553879999999999</v>
      </c>
      <c r="L1872" s="295">
        <v>2.2551199999999998</v>
      </c>
      <c r="M1872" s="295">
        <v>2.3775590000000002</v>
      </c>
      <c r="N1872" s="295">
        <v>2.4770639999999999</v>
      </c>
      <c r="O1872" s="295">
        <v>2.5847869999999999</v>
      </c>
      <c r="P1872" s="295">
        <v>2.6842769999999998</v>
      </c>
      <c r="Q1872" s="295">
        <v>2.7775050000000001</v>
      </c>
      <c r="R1872" s="295">
        <v>2.8687619999999998</v>
      </c>
      <c r="S1872" s="295">
        <v>2.9630320000000001</v>
      </c>
      <c r="T1872" s="295">
        <v>3.056619</v>
      </c>
      <c r="U1872" s="295">
        <v>3.1562039999999998</v>
      </c>
      <c r="V1872" s="295">
        <v>3.2518229999999999</v>
      </c>
      <c r="W1872" s="295">
        <v>3.3602219999999998</v>
      </c>
      <c r="X1872" s="295">
        <v>3.4735779999999998</v>
      </c>
      <c r="Y1872" s="295">
        <v>3.5823969999999998</v>
      </c>
      <c r="Z1872" s="295">
        <v>3.7021869999999999</v>
      </c>
      <c r="AA1872" s="295">
        <v>3.82131</v>
      </c>
      <c r="AB1872" s="295">
        <v>3.9278949999999999</v>
      </c>
      <c r="AC1872" s="295">
        <v>4.0649139999999999</v>
      </c>
      <c r="AD1872" s="295">
        <v>4.2143110000000004</v>
      </c>
      <c r="AE1872" s="295">
        <v>4.361186</v>
      </c>
      <c r="AF1872" s="295">
        <v>4.5129780000000004</v>
      </c>
      <c r="AG1872" s="295">
        <v>4.6718380000000002</v>
      </c>
      <c r="AH1872" s="296">
        <v>3.6759E-2</v>
      </c>
    </row>
    <row r="1873" spans="1:34" ht="15" customHeight="1" x14ac:dyDescent="0.25">
      <c r="A1873" s="213" t="s">
        <v>2436</v>
      </c>
      <c r="B1873" s="294" t="s">
        <v>1058</v>
      </c>
      <c r="C1873" s="295">
        <v>2.4392269999999998</v>
      </c>
      <c r="D1873" s="295">
        <v>2.4684249999999999</v>
      </c>
      <c r="E1873" s="295">
        <v>2.6632699999999998</v>
      </c>
      <c r="F1873" s="295">
        <v>2.9571800000000001</v>
      </c>
      <c r="G1873" s="295">
        <v>3.161368</v>
      </c>
      <c r="H1873" s="295">
        <v>3.3541150000000002</v>
      </c>
      <c r="I1873" s="295">
        <v>3.552559</v>
      </c>
      <c r="J1873" s="295">
        <v>3.688828</v>
      </c>
      <c r="K1873" s="295">
        <v>3.8580139999999998</v>
      </c>
      <c r="L1873" s="295">
        <v>3.9941620000000002</v>
      </c>
      <c r="M1873" s="295">
        <v>4.1653950000000002</v>
      </c>
      <c r="N1873" s="295">
        <v>4.3073870000000003</v>
      </c>
      <c r="O1873" s="295">
        <v>4.4598930000000001</v>
      </c>
      <c r="P1873" s="295">
        <v>4.5894440000000003</v>
      </c>
      <c r="Q1873" s="295">
        <v>4.7145060000000001</v>
      </c>
      <c r="R1873" s="295">
        <v>4.8393420000000003</v>
      </c>
      <c r="S1873" s="295">
        <v>4.9618679999999999</v>
      </c>
      <c r="T1873" s="295">
        <v>5.1164449999999997</v>
      </c>
      <c r="U1873" s="295">
        <v>5.2688769999999998</v>
      </c>
      <c r="V1873" s="295">
        <v>5.3767519999999998</v>
      </c>
      <c r="W1873" s="295">
        <v>5.5747600000000004</v>
      </c>
      <c r="X1873" s="295">
        <v>5.7426329999999997</v>
      </c>
      <c r="Y1873" s="295">
        <v>5.8996209999999998</v>
      </c>
      <c r="Z1873" s="295">
        <v>6.0954030000000001</v>
      </c>
      <c r="AA1873" s="295">
        <v>6.2406680000000003</v>
      </c>
      <c r="AB1873" s="295">
        <v>6.3969050000000003</v>
      </c>
      <c r="AC1873" s="295">
        <v>6.6349600000000004</v>
      </c>
      <c r="AD1873" s="295">
        <v>6.8418780000000003</v>
      </c>
      <c r="AE1873" s="295">
        <v>7.024184</v>
      </c>
      <c r="AF1873" s="295">
        <v>7.2529810000000001</v>
      </c>
      <c r="AG1873" s="295">
        <v>7.4561609999999998</v>
      </c>
      <c r="AH1873" s="296">
        <v>3.7948000000000003E-2</v>
      </c>
    </row>
    <row r="1875" spans="1:34" ht="15" customHeight="1" x14ac:dyDescent="0.2">
      <c r="B1875" s="204" t="s">
        <v>1051</v>
      </c>
    </row>
    <row r="1876" spans="1:34" ht="15" customHeight="1" x14ac:dyDescent="0.25">
      <c r="A1876" s="213" t="s">
        <v>2437</v>
      </c>
      <c r="B1876" s="294" t="s">
        <v>1058</v>
      </c>
      <c r="C1876" s="295">
        <v>2.4497680000000002</v>
      </c>
      <c r="D1876" s="295">
        <v>2.4858720000000001</v>
      </c>
      <c r="E1876" s="295">
        <v>2.5331589999999999</v>
      </c>
      <c r="F1876" s="295">
        <v>2.6817690000000001</v>
      </c>
      <c r="G1876" s="295">
        <v>2.7377590000000001</v>
      </c>
      <c r="H1876" s="295">
        <v>2.7737090000000002</v>
      </c>
      <c r="I1876" s="295">
        <v>2.8075350000000001</v>
      </c>
      <c r="J1876" s="295">
        <v>2.9250180000000001</v>
      </c>
      <c r="K1876" s="295">
        <v>3.0756600000000001</v>
      </c>
      <c r="L1876" s="295">
        <v>3.1921689999999998</v>
      </c>
      <c r="M1876" s="295">
        <v>3.3879269999999999</v>
      </c>
      <c r="N1876" s="295">
        <v>3.5105819999999999</v>
      </c>
      <c r="O1876" s="295">
        <v>3.6507640000000001</v>
      </c>
      <c r="P1876" s="295">
        <v>3.7616179999999999</v>
      </c>
      <c r="Q1876" s="295">
        <v>3.868627</v>
      </c>
      <c r="R1876" s="295">
        <v>3.9750860000000001</v>
      </c>
      <c r="S1876" s="295">
        <v>4.0784330000000004</v>
      </c>
      <c r="T1876" s="295">
        <v>4.215357</v>
      </c>
      <c r="U1876" s="295">
        <v>4.3494419999999998</v>
      </c>
      <c r="V1876" s="295">
        <v>4.4386450000000002</v>
      </c>
      <c r="W1876" s="295">
        <v>4.6174689999999998</v>
      </c>
      <c r="X1876" s="295">
        <v>4.7657049999999996</v>
      </c>
      <c r="Y1876" s="295">
        <v>4.9018920000000001</v>
      </c>
      <c r="Z1876" s="295">
        <v>5.0753630000000003</v>
      </c>
      <c r="AA1876" s="295">
        <v>5.1975290000000003</v>
      </c>
      <c r="AB1876" s="295">
        <v>5.3290810000000004</v>
      </c>
      <c r="AC1876" s="295">
        <v>5.540972</v>
      </c>
      <c r="AD1876" s="295">
        <v>5.7200439999999997</v>
      </c>
      <c r="AE1876" s="295">
        <v>5.8740990000000002</v>
      </c>
      <c r="AF1876" s="295">
        <v>6.070805</v>
      </c>
      <c r="AG1876" s="295">
        <v>6.2401470000000003</v>
      </c>
      <c r="AH1876" s="296">
        <v>3.1657999999999999E-2</v>
      </c>
    </row>
    <row r="1877" spans="1:34" ht="15" customHeight="1" x14ac:dyDescent="0.25">
      <c r="A1877" s="213" t="s">
        <v>2438</v>
      </c>
      <c r="B1877" s="294" t="s">
        <v>1060</v>
      </c>
      <c r="C1877" s="295">
        <v>0.785354</v>
      </c>
      <c r="D1877" s="295">
        <v>0.619336</v>
      </c>
      <c r="E1877" s="295">
        <v>0.79428699999999997</v>
      </c>
      <c r="F1877" s="295">
        <v>1.051396</v>
      </c>
      <c r="G1877" s="295">
        <v>1.25098</v>
      </c>
      <c r="H1877" s="295">
        <v>1.445746</v>
      </c>
      <c r="I1877" s="295">
        <v>1.631813</v>
      </c>
      <c r="J1877" s="295">
        <v>1.723584</v>
      </c>
      <c r="K1877" s="295">
        <v>1.8375600000000001</v>
      </c>
      <c r="L1877" s="295">
        <v>1.9354439999999999</v>
      </c>
      <c r="M1877" s="295">
        <v>2.0574669999999999</v>
      </c>
      <c r="N1877" s="295">
        <v>2.152819</v>
      </c>
      <c r="O1877" s="295">
        <v>2.2579159999999998</v>
      </c>
      <c r="P1877" s="295">
        <v>2.3451939999999998</v>
      </c>
      <c r="Q1877" s="295">
        <v>2.420747</v>
      </c>
      <c r="R1877" s="295">
        <v>2.5008550000000001</v>
      </c>
      <c r="S1877" s="295">
        <v>2.5629360000000001</v>
      </c>
      <c r="T1877" s="295">
        <v>2.6120130000000001</v>
      </c>
      <c r="U1877" s="295">
        <v>2.7229749999999999</v>
      </c>
      <c r="V1877" s="295">
        <v>2.7815530000000002</v>
      </c>
      <c r="W1877" s="295">
        <v>3.0398710000000002</v>
      </c>
      <c r="X1877" s="295">
        <v>3.168952</v>
      </c>
      <c r="Y1877" s="295">
        <v>3.267118</v>
      </c>
      <c r="Z1877" s="295">
        <v>3.3508429999999998</v>
      </c>
      <c r="AA1877" s="295">
        <v>3.459317</v>
      </c>
      <c r="AB1877" s="295">
        <v>3.5465610000000001</v>
      </c>
      <c r="AC1877" s="295">
        <v>3.6842920000000001</v>
      </c>
      <c r="AD1877" s="295">
        <v>3.8171560000000002</v>
      </c>
      <c r="AE1877" s="295">
        <v>3.9448639999999999</v>
      </c>
      <c r="AF1877" s="295">
        <v>4.0861989999999997</v>
      </c>
      <c r="AG1877" s="295">
        <v>4.2347450000000002</v>
      </c>
      <c r="AH1877" s="296">
        <v>5.7771999999999997E-2</v>
      </c>
    </row>
    <row r="1879" spans="1:34" ht="15" customHeight="1" x14ac:dyDescent="0.2">
      <c r="B1879" s="204" t="s">
        <v>2402</v>
      </c>
    </row>
    <row r="1880" spans="1:34" ht="15" customHeight="1" x14ac:dyDescent="0.25">
      <c r="A1880" s="213" t="s">
        <v>2439</v>
      </c>
      <c r="B1880" s="294" t="s">
        <v>1036</v>
      </c>
      <c r="C1880" s="295">
        <v>0.69708899999999996</v>
      </c>
      <c r="D1880" s="295">
        <v>0.79227899999999996</v>
      </c>
      <c r="E1880" s="295">
        <v>0.86723700000000004</v>
      </c>
      <c r="F1880" s="295">
        <v>0.904555</v>
      </c>
      <c r="G1880" s="295">
        <v>0.95949899999999999</v>
      </c>
      <c r="H1880" s="295">
        <v>1.0212779999999999</v>
      </c>
      <c r="I1880" s="295">
        <v>1.079324</v>
      </c>
      <c r="J1880" s="295">
        <v>1.1285430000000001</v>
      </c>
      <c r="K1880" s="295">
        <v>1.2030879999999999</v>
      </c>
      <c r="L1880" s="295">
        <v>1.2584630000000001</v>
      </c>
      <c r="M1880" s="295">
        <v>1.3220780000000001</v>
      </c>
      <c r="N1880" s="295">
        <v>1.3802350000000001</v>
      </c>
      <c r="O1880" s="295">
        <v>1.4482079999999999</v>
      </c>
      <c r="P1880" s="295">
        <v>1.5063660000000001</v>
      </c>
      <c r="Q1880" s="295">
        <v>1.5586800000000001</v>
      </c>
      <c r="R1880" s="295">
        <v>1.6116509999999999</v>
      </c>
      <c r="S1880" s="295">
        <v>1.6709210000000001</v>
      </c>
      <c r="T1880" s="295">
        <v>1.7280979999999999</v>
      </c>
      <c r="U1880" s="295">
        <v>1.792886</v>
      </c>
      <c r="V1880" s="295">
        <v>1.848902</v>
      </c>
      <c r="W1880" s="295">
        <v>1.9229830000000001</v>
      </c>
      <c r="X1880" s="295">
        <v>1.9966630000000001</v>
      </c>
      <c r="Y1880" s="295">
        <v>2.0584709999999999</v>
      </c>
      <c r="Z1880" s="295">
        <v>2.1360440000000001</v>
      </c>
      <c r="AA1880" s="295">
        <v>2.2052209999999999</v>
      </c>
      <c r="AB1880" s="295">
        <v>2.2547790000000001</v>
      </c>
      <c r="AC1880" s="295">
        <v>2.3528959999999999</v>
      </c>
      <c r="AD1880" s="295">
        <v>2.4519139999999999</v>
      </c>
      <c r="AE1880" s="295">
        <v>2.5361699999999998</v>
      </c>
      <c r="AF1880" s="295">
        <v>2.625712</v>
      </c>
      <c r="AG1880" s="295">
        <v>2.7208709999999998</v>
      </c>
      <c r="AH1880" s="296">
        <v>4.6439000000000001E-2</v>
      </c>
    </row>
    <row r="1881" spans="1:34" ht="15" customHeight="1" x14ac:dyDescent="0.25">
      <c r="A1881" s="213" t="s">
        <v>2440</v>
      </c>
      <c r="B1881" s="294" t="s">
        <v>1058</v>
      </c>
      <c r="C1881" s="295">
        <v>2.4395690000000001</v>
      </c>
      <c r="D1881" s="295">
        <v>2.469128</v>
      </c>
      <c r="E1881" s="295">
        <v>2.5218880000000001</v>
      </c>
      <c r="F1881" s="295">
        <v>2.6783589999999999</v>
      </c>
      <c r="G1881" s="295">
        <v>2.7356069999999999</v>
      </c>
      <c r="H1881" s="295">
        <v>2.7723119999999999</v>
      </c>
      <c r="I1881" s="295">
        <v>2.806883</v>
      </c>
      <c r="J1881" s="295">
        <v>2.9245890000000001</v>
      </c>
      <c r="K1881" s="295">
        <v>3.0767250000000002</v>
      </c>
      <c r="L1881" s="295">
        <v>3.194731</v>
      </c>
      <c r="M1881" s="295">
        <v>3.3454090000000001</v>
      </c>
      <c r="N1881" s="295">
        <v>3.4683130000000002</v>
      </c>
      <c r="O1881" s="295">
        <v>3.6009479999999998</v>
      </c>
      <c r="P1881" s="295">
        <v>3.7100439999999999</v>
      </c>
      <c r="Q1881" s="295">
        <v>3.8162400000000001</v>
      </c>
      <c r="R1881" s="295">
        <v>3.9221900000000001</v>
      </c>
      <c r="S1881" s="295">
        <v>4.0227259999999996</v>
      </c>
      <c r="T1881" s="295">
        <v>4.1589460000000003</v>
      </c>
      <c r="U1881" s="295">
        <v>4.2906579999999996</v>
      </c>
      <c r="V1881" s="295">
        <v>4.3788419999999997</v>
      </c>
      <c r="W1881" s="295">
        <v>4.5564080000000002</v>
      </c>
      <c r="X1881" s="295">
        <v>4.7044949999999996</v>
      </c>
      <c r="Y1881" s="295">
        <v>4.8394750000000002</v>
      </c>
      <c r="Z1881" s="295">
        <v>5.0092540000000003</v>
      </c>
      <c r="AA1881" s="295">
        <v>5.1301860000000001</v>
      </c>
      <c r="AB1881" s="295">
        <v>5.2618119999999999</v>
      </c>
      <c r="AC1881" s="295">
        <v>5.4730040000000004</v>
      </c>
      <c r="AD1881" s="295">
        <v>5.6518790000000001</v>
      </c>
      <c r="AE1881" s="295">
        <v>5.8057869999999996</v>
      </c>
      <c r="AF1881" s="295">
        <v>6.002211</v>
      </c>
      <c r="AG1881" s="295">
        <v>6.1711179999999999</v>
      </c>
      <c r="AH1881" s="296">
        <v>3.1419000000000002E-2</v>
      </c>
    </row>
    <row r="1882" spans="1:34" ht="15" customHeight="1" x14ac:dyDescent="0.25">
      <c r="A1882" s="213" t="s">
        <v>2441</v>
      </c>
      <c r="B1882" s="294" t="s">
        <v>1060</v>
      </c>
      <c r="C1882" s="295">
        <v>0.81172999999999995</v>
      </c>
      <c r="D1882" s="295">
        <v>0.67023600000000005</v>
      </c>
      <c r="E1882" s="295">
        <v>0.89563400000000004</v>
      </c>
      <c r="F1882" s="295">
        <v>1.202496</v>
      </c>
      <c r="G1882" s="295">
        <v>1.4531719999999999</v>
      </c>
      <c r="H1882" s="295">
        <v>1.700177</v>
      </c>
      <c r="I1882" s="295">
        <v>1.945983</v>
      </c>
      <c r="J1882" s="295">
        <v>2.0502050000000001</v>
      </c>
      <c r="K1882" s="295">
        <v>2.1774420000000001</v>
      </c>
      <c r="L1882" s="295">
        <v>2.2802359999999999</v>
      </c>
      <c r="M1882" s="295">
        <v>2.409376</v>
      </c>
      <c r="N1882" s="295">
        <v>2.5140739999999999</v>
      </c>
      <c r="O1882" s="295">
        <v>2.627364</v>
      </c>
      <c r="P1882" s="295">
        <v>2.7229999999999999</v>
      </c>
      <c r="Q1882" s="295">
        <v>2.8069410000000001</v>
      </c>
      <c r="R1882" s="295">
        <v>2.8953129999999998</v>
      </c>
      <c r="S1882" s="295">
        <v>2.9663189999999999</v>
      </c>
      <c r="T1882" s="295">
        <v>3.024896</v>
      </c>
      <c r="U1882" s="295">
        <v>3.144504</v>
      </c>
      <c r="V1882" s="295">
        <v>3.211452</v>
      </c>
      <c r="W1882" s="295">
        <v>3.4464030000000001</v>
      </c>
      <c r="X1882" s="295">
        <v>3.5761630000000002</v>
      </c>
      <c r="Y1882" s="295">
        <v>3.6905779999999999</v>
      </c>
      <c r="Z1882" s="295">
        <v>3.8199390000000002</v>
      </c>
      <c r="AA1882" s="295">
        <v>3.9399090000000001</v>
      </c>
      <c r="AB1882" s="295">
        <v>4.038735</v>
      </c>
      <c r="AC1882" s="295">
        <v>4.1896120000000003</v>
      </c>
      <c r="AD1882" s="295">
        <v>4.3360810000000001</v>
      </c>
      <c r="AE1882" s="295">
        <v>4.4781700000000004</v>
      </c>
      <c r="AF1882" s="295">
        <v>4.6346800000000004</v>
      </c>
      <c r="AG1882" s="295">
        <v>4.7987229999999998</v>
      </c>
      <c r="AH1882" s="296">
        <v>6.1020999999999999E-2</v>
      </c>
    </row>
    <row r="1884" spans="1:34" ht="15" customHeight="1" x14ac:dyDescent="0.2">
      <c r="B1884" s="204" t="s">
        <v>1108</v>
      </c>
    </row>
    <row r="1885" spans="1:34" ht="15" customHeight="1" x14ac:dyDescent="0.25">
      <c r="A1885" s="213" t="s">
        <v>2442</v>
      </c>
      <c r="B1885" s="294" t="s">
        <v>1036</v>
      </c>
      <c r="C1885" s="295">
        <v>1.0962419999999999</v>
      </c>
      <c r="D1885" s="295">
        <v>1.2008220000000001</v>
      </c>
      <c r="E1885" s="295">
        <v>1.276786</v>
      </c>
      <c r="F1885" s="295">
        <v>1.316638</v>
      </c>
      <c r="G1885" s="295">
        <v>1.375237</v>
      </c>
      <c r="H1885" s="295">
        <v>1.441478</v>
      </c>
      <c r="I1885" s="295">
        <v>1.5054380000000001</v>
      </c>
      <c r="J1885" s="295">
        <v>1.5623640000000001</v>
      </c>
      <c r="K1885" s="295">
        <v>1.6429119999999999</v>
      </c>
      <c r="L1885" s="295">
        <v>1.705975</v>
      </c>
      <c r="M1885" s="295">
        <v>1.8245039999999999</v>
      </c>
      <c r="N1885" s="295">
        <v>1.890741</v>
      </c>
      <c r="O1885" s="295">
        <v>1.972286</v>
      </c>
      <c r="P1885" s="295">
        <v>2.0377649999999998</v>
      </c>
      <c r="Q1885" s="295">
        <v>2.0981580000000002</v>
      </c>
      <c r="R1885" s="295">
        <v>2.159335</v>
      </c>
      <c r="S1885" s="295">
        <v>2.2258040000000001</v>
      </c>
      <c r="T1885" s="295">
        <v>2.2901989999999999</v>
      </c>
      <c r="U1885" s="295">
        <v>2.3612570000000002</v>
      </c>
      <c r="V1885" s="295">
        <v>2.4248880000000002</v>
      </c>
      <c r="W1885" s="295">
        <v>2.5044309999999999</v>
      </c>
      <c r="X1885" s="295">
        <v>2.5838079999999999</v>
      </c>
      <c r="Y1885" s="295">
        <v>2.6541410000000001</v>
      </c>
      <c r="Z1885" s="295">
        <v>2.7390810000000001</v>
      </c>
      <c r="AA1885" s="295">
        <v>2.8183090000000002</v>
      </c>
      <c r="AB1885" s="295">
        <v>2.8831500000000001</v>
      </c>
      <c r="AC1885" s="295">
        <v>2.9899079999999998</v>
      </c>
      <c r="AD1885" s="295">
        <v>3.0981040000000002</v>
      </c>
      <c r="AE1885" s="295">
        <v>3.195827</v>
      </c>
      <c r="AF1885" s="295">
        <v>3.3000050000000001</v>
      </c>
      <c r="AG1885" s="295">
        <v>3.4106209999999999</v>
      </c>
      <c r="AH1885" s="296">
        <v>3.8558000000000002E-2</v>
      </c>
    </row>
    <row r="1886" spans="1:34" ht="15" customHeight="1" x14ac:dyDescent="0.25">
      <c r="A1886" s="213" t="s">
        <v>2443</v>
      </c>
      <c r="B1886" s="294" t="s">
        <v>1284</v>
      </c>
      <c r="C1886" s="295">
        <v>2.0029680000000001</v>
      </c>
      <c r="D1886" s="295">
        <v>2.1284299999999998</v>
      </c>
      <c r="E1886" s="295">
        <v>2.310543</v>
      </c>
      <c r="F1886" s="295">
        <v>2.368093</v>
      </c>
      <c r="G1886" s="295">
        <v>2.4087969999999999</v>
      </c>
      <c r="H1886" s="295">
        <v>2.4980739999999999</v>
      </c>
      <c r="I1886" s="295">
        <v>2.57586</v>
      </c>
      <c r="J1886" s="295">
        <v>2.6727379999999998</v>
      </c>
      <c r="K1886" s="295">
        <v>2.8183820000000002</v>
      </c>
      <c r="L1886" s="295">
        <v>2.944458</v>
      </c>
      <c r="M1886" s="295">
        <v>3.1501730000000001</v>
      </c>
      <c r="N1886" s="295">
        <v>3.2463790000000001</v>
      </c>
      <c r="O1886" s="295">
        <v>3.395438</v>
      </c>
      <c r="P1886" s="295">
        <v>3.5050319999999999</v>
      </c>
      <c r="Q1886" s="295">
        <v>3.6368969999999998</v>
      </c>
      <c r="R1886" s="295">
        <v>3.7483749999999998</v>
      </c>
      <c r="S1886" s="295">
        <v>3.8823129999999999</v>
      </c>
      <c r="T1886" s="295">
        <v>4.0089819999999996</v>
      </c>
      <c r="U1886" s="295">
        <v>4.150239</v>
      </c>
      <c r="V1886" s="295">
        <v>4.2450510000000001</v>
      </c>
      <c r="W1886" s="295">
        <v>4.4124299999999996</v>
      </c>
      <c r="X1886" s="295">
        <v>4.5520750000000003</v>
      </c>
      <c r="Y1886" s="295">
        <v>4.6835979999999999</v>
      </c>
      <c r="Z1886" s="295">
        <v>4.8214689999999996</v>
      </c>
      <c r="AA1886" s="295">
        <v>4.9556380000000004</v>
      </c>
      <c r="AB1886" s="295">
        <v>5.0476210000000004</v>
      </c>
      <c r="AC1886" s="295">
        <v>5.2519</v>
      </c>
      <c r="AD1886" s="295">
        <v>5.417535</v>
      </c>
      <c r="AE1886" s="295">
        <v>5.5907070000000001</v>
      </c>
      <c r="AF1886" s="295">
        <v>5.7405540000000004</v>
      </c>
      <c r="AG1886" s="295">
        <v>5.9152360000000002</v>
      </c>
      <c r="AH1886" s="296">
        <v>3.6755999999999997E-2</v>
      </c>
    </row>
    <row r="1887" spans="1:34" ht="15" customHeight="1" x14ac:dyDescent="0.25">
      <c r="A1887" s="213" t="s">
        <v>2444</v>
      </c>
      <c r="B1887" s="294" t="s">
        <v>2410</v>
      </c>
      <c r="C1887" s="295">
        <v>1.3924529999999999</v>
      </c>
      <c r="D1887" s="295">
        <v>1.4071400000000001</v>
      </c>
      <c r="E1887" s="295">
        <v>1.4464760000000001</v>
      </c>
      <c r="F1887" s="295">
        <v>1.4351940000000001</v>
      </c>
      <c r="G1887" s="295">
        <v>1.422509</v>
      </c>
      <c r="H1887" s="295">
        <v>1.4867760000000001</v>
      </c>
      <c r="I1887" s="295">
        <v>1.50082</v>
      </c>
      <c r="J1887" s="295">
        <v>1.54312</v>
      </c>
      <c r="K1887" s="295">
        <v>1.5983419999999999</v>
      </c>
      <c r="L1887" s="295">
        <v>1.6362540000000001</v>
      </c>
      <c r="M1887" s="295">
        <v>1.712764</v>
      </c>
      <c r="N1887" s="295">
        <v>1.7632650000000001</v>
      </c>
      <c r="O1887" s="295">
        <v>1.7823439999999999</v>
      </c>
      <c r="P1887" s="295">
        <v>1.81304</v>
      </c>
      <c r="Q1887" s="295">
        <v>1.8359209999999999</v>
      </c>
      <c r="R1887" s="295">
        <v>1.9405829999999999</v>
      </c>
      <c r="S1887" s="295">
        <v>2.0216569999999998</v>
      </c>
      <c r="T1887" s="295">
        <v>2.0967980000000002</v>
      </c>
      <c r="U1887" s="295">
        <v>2.1971699999999998</v>
      </c>
      <c r="V1887" s="295">
        <v>2.2777219999999998</v>
      </c>
      <c r="W1887" s="295">
        <v>2.3000250000000002</v>
      </c>
      <c r="X1887" s="295">
        <v>2.3220589999999999</v>
      </c>
      <c r="Y1887" s="295">
        <v>2.3783799999999999</v>
      </c>
      <c r="Z1887" s="295">
        <v>2.4050600000000002</v>
      </c>
      <c r="AA1887" s="295">
        <v>2.4359280000000001</v>
      </c>
      <c r="AB1887" s="295">
        <v>2.4722360000000001</v>
      </c>
      <c r="AC1887" s="295">
        <v>2.6047479999999998</v>
      </c>
      <c r="AD1887" s="295">
        <v>2.6435520000000001</v>
      </c>
      <c r="AE1887" s="295">
        <v>2.6850079999999998</v>
      </c>
      <c r="AF1887" s="295">
        <v>2.7646869999999999</v>
      </c>
      <c r="AG1887" s="295">
        <v>2.8105899999999999</v>
      </c>
      <c r="AH1887" s="296">
        <v>2.3687E-2</v>
      </c>
    </row>
    <row r="1888" spans="1:34" ht="15" customHeight="1" x14ac:dyDescent="0.25">
      <c r="A1888" s="213" t="s">
        <v>2445</v>
      </c>
      <c r="B1888" s="294" t="s">
        <v>1286</v>
      </c>
      <c r="C1888" s="295">
        <v>2.2562500000000001</v>
      </c>
      <c r="D1888" s="295">
        <v>2.380668</v>
      </c>
      <c r="E1888" s="295">
        <v>2.453773</v>
      </c>
      <c r="F1888" s="295">
        <v>2.5514250000000001</v>
      </c>
      <c r="G1888" s="295">
        <v>2.6010800000000001</v>
      </c>
      <c r="H1888" s="295">
        <v>2.7007539999999999</v>
      </c>
      <c r="I1888" s="295">
        <v>2.7885330000000002</v>
      </c>
      <c r="J1888" s="295">
        <v>2.8915280000000001</v>
      </c>
      <c r="K1888" s="295">
        <v>3.0418759999999998</v>
      </c>
      <c r="L1888" s="295">
        <v>3.1736140000000002</v>
      </c>
      <c r="M1888" s="295">
        <v>3.4122189999999999</v>
      </c>
      <c r="N1888" s="295">
        <v>3.512372</v>
      </c>
      <c r="O1888" s="295">
        <v>3.6705700000000001</v>
      </c>
      <c r="P1888" s="295">
        <v>3.7840340000000001</v>
      </c>
      <c r="Q1888" s="295">
        <v>3.9200740000000001</v>
      </c>
      <c r="R1888" s="295">
        <v>4.0363199999999999</v>
      </c>
      <c r="S1888" s="295">
        <v>4.175478</v>
      </c>
      <c r="T1888" s="295">
        <v>4.3075950000000001</v>
      </c>
      <c r="U1888" s="295">
        <v>4.4552040000000002</v>
      </c>
      <c r="V1888" s="295">
        <v>4.5539420000000002</v>
      </c>
      <c r="W1888" s="295">
        <v>4.7295889999999998</v>
      </c>
      <c r="X1888" s="295">
        <v>4.8756940000000002</v>
      </c>
      <c r="Y1888" s="295">
        <v>5.0132859999999999</v>
      </c>
      <c r="Z1888" s="295">
        <v>5.1591019999999999</v>
      </c>
      <c r="AA1888" s="295">
        <v>5.3004639999999998</v>
      </c>
      <c r="AB1888" s="295">
        <v>5.3967210000000003</v>
      </c>
      <c r="AC1888" s="295">
        <v>5.611199</v>
      </c>
      <c r="AD1888" s="295">
        <v>5.785647</v>
      </c>
      <c r="AE1888" s="295">
        <v>5.9671580000000004</v>
      </c>
      <c r="AF1888" s="295">
        <v>6.1249909999999996</v>
      </c>
      <c r="AG1888" s="295">
        <v>6.3093890000000004</v>
      </c>
      <c r="AH1888" s="296">
        <v>3.4872E-2</v>
      </c>
    </row>
    <row r="1889" spans="1:34" ht="15" customHeight="1" x14ac:dyDescent="0.25">
      <c r="A1889" s="213" t="s">
        <v>2446</v>
      </c>
      <c r="B1889" s="294" t="s">
        <v>1288</v>
      </c>
      <c r="C1889" s="295">
        <v>1.291768</v>
      </c>
      <c r="D1889" s="295">
        <v>1.4163650000000001</v>
      </c>
      <c r="E1889" s="295">
        <v>1.5747580000000001</v>
      </c>
      <c r="F1889" s="295">
        <v>1.7748189999999999</v>
      </c>
      <c r="G1889" s="295">
        <v>1.944644</v>
      </c>
      <c r="H1889" s="295">
        <v>2.080104</v>
      </c>
      <c r="I1889" s="295">
        <v>2.2125430000000001</v>
      </c>
      <c r="J1889" s="295">
        <v>2.3175680000000001</v>
      </c>
      <c r="K1889" s="295">
        <v>2.4622769999999998</v>
      </c>
      <c r="L1889" s="295">
        <v>2.5704229999999999</v>
      </c>
      <c r="M1889" s="295">
        <v>2.7089050000000001</v>
      </c>
      <c r="N1889" s="295">
        <v>2.8350559999999998</v>
      </c>
      <c r="O1889" s="295">
        <v>2.96665</v>
      </c>
      <c r="P1889" s="295">
        <v>3.0761790000000002</v>
      </c>
      <c r="Q1889" s="295">
        <v>3.174534</v>
      </c>
      <c r="R1889" s="295">
        <v>3.2744059999999999</v>
      </c>
      <c r="S1889" s="295">
        <v>3.3735560000000002</v>
      </c>
      <c r="T1889" s="295">
        <v>3.5039889999999998</v>
      </c>
      <c r="U1889" s="295">
        <v>3.6372550000000001</v>
      </c>
      <c r="V1889" s="295">
        <v>3.721956</v>
      </c>
      <c r="W1889" s="295">
        <v>3.887283</v>
      </c>
      <c r="X1889" s="295">
        <v>4.0268839999999999</v>
      </c>
      <c r="Y1889" s="295">
        <v>4.1549899999999997</v>
      </c>
      <c r="Z1889" s="295">
        <v>4.3372679999999999</v>
      </c>
      <c r="AA1889" s="295">
        <v>4.4586139999999999</v>
      </c>
      <c r="AB1889" s="295">
        <v>4.5751850000000003</v>
      </c>
      <c r="AC1889" s="295">
        <v>4.7730100000000002</v>
      </c>
      <c r="AD1889" s="295">
        <v>4.9396940000000003</v>
      </c>
      <c r="AE1889" s="295">
        <v>5.0751730000000004</v>
      </c>
      <c r="AF1889" s="295">
        <v>5.2511359999999998</v>
      </c>
      <c r="AG1889" s="295">
        <v>5.4081539999999997</v>
      </c>
      <c r="AH1889" s="296">
        <v>4.8887E-2</v>
      </c>
    </row>
    <row r="1890" spans="1:34" ht="15" customHeight="1" x14ac:dyDescent="0.25">
      <c r="A1890" s="213" t="s">
        <v>2447</v>
      </c>
      <c r="B1890" s="294" t="s">
        <v>1290</v>
      </c>
      <c r="C1890" s="295">
        <v>2.5190579999999998</v>
      </c>
      <c r="D1890" s="295">
        <v>2.5370789999999999</v>
      </c>
      <c r="E1890" s="295">
        <v>2.6748789999999998</v>
      </c>
      <c r="F1890" s="295">
        <v>2.9358200000000001</v>
      </c>
      <c r="G1890" s="295">
        <v>3.0829279999999999</v>
      </c>
      <c r="H1890" s="295">
        <v>3.2191930000000002</v>
      </c>
      <c r="I1890" s="295">
        <v>3.3602829999999999</v>
      </c>
      <c r="J1890" s="295">
        <v>3.5053480000000001</v>
      </c>
      <c r="K1890" s="295">
        <v>3.6573180000000001</v>
      </c>
      <c r="L1890" s="295">
        <v>3.7906420000000001</v>
      </c>
      <c r="M1890" s="295">
        <v>4.0144070000000003</v>
      </c>
      <c r="N1890" s="295">
        <v>4.1584380000000003</v>
      </c>
      <c r="O1890" s="295">
        <v>4.3109349999999997</v>
      </c>
      <c r="P1890" s="295">
        <v>4.4357410000000002</v>
      </c>
      <c r="Q1890" s="295">
        <v>4.5540089999999998</v>
      </c>
      <c r="R1890" s="295">
        <v>4.6790849999999997</v>
      </c>
      <c r="S1890" s="295">
        <v>4.7906469999999999</v>
      </c>
      <c r="T1890" s="295">
        <v>4.9430139999999998</v>
      </c>
      <c r="U1890" s="295">
        <v>5.0852919999999999</v>
      </c>
      <c r="V1890" s="295">
        <v>5.1899009999999999</v>
      </c>
      <c r="W1890" s="295">
        <v>5.3803890000000001</v>
      </c>
      <c r="X1890" s="295">
        <v>5.5449539999999997</v>
      </c>
      <c r="Y1890" s="295">
        <v>5.6971100000000003</v>
      </c>
      <c r="Z1890" s="295">
        <v>5.8819929999999996</v>
      </c>
      <c r="AA1890" s="295">
        <v>6.0348940000000004</v>
      </c>
      <c r="AB1890" s="295">
        <v>6.173095</v>
      </c>
      <c r="AC1890" s="295">
        <v>6.4072120000000004</v>
      </c>
      <c r="AD1890" s="295">
        <v>6.6053369999999996</v>
      </c>
      <c r="AE1890" s="295">
        <v>6.7907450000000003</v>
      </c>
      <c r="AF1890" s="295">
        <v>7.0157699999999998</v>
      </c>
      <c r="AG1890" s="295">
        <v>7.2136380000000004</v>
      </c>
      <c r="AH1890" s="296">
        <v>3.5692000000000002E-2</v>
      </c>
    </row>
    <row r="1891" spans="1:34" ht="15" customHeight="1" x14ac:dyDescent="0.25">
      <c r="A1891" s="213" t="s">
        <v>2448</v>
      </c>
      <c r="B1891" s="294" t="s">
        <v>1060</v>
      </c>
      <c r="C1891" s="295">
        <v>1.37836</v>
      </c>
      <c r="D1891" s="295">
        <v>1.0573140000000001</v>
      </c>
      <c r="E1891" s="295">
        <v>1.1140600000000001</v>
      </c>
      <c r="F1891" s="295">
        <v>1.2806869999999999</v>
      </c>
      <c r="G1891" s="295">
        <v>1.5044299999999999</v>
      </c>
      <c r="H1891" s="295">
        <v>1.6804410000000001</v>
      </c>
      <c r="I1891" s="295">
        <v>1.752033</v>
      </c>
      <c r="J1891" s="295">
        <v>1.9646790000000001</v>
      </c>
      <c r="K1891" s="295">
        <v>2.085194</v>
      </c>
      <c r="L1891" s="295">
        <v>2.1898240000000002</v>
      </c>
      <c r="M1891" s="295">
        <v>2.1410179999999999</v>
      </c>
      <c r="N1891" s="295">
        <v>2.4096829999999998</v>
      </c>
      <c r="O1891" s="295">
        <v>2.5107339999999998</v>
      </c>
      <c r="P1891" s="295">
        <v>2.6026250000000002</v>
      </c>
      <c r="Q1891" s="295">
        <v>2.679748</v>
      </c>
      <c r="R1891" s="295">
        <v>2.762</v>
      </c>
      <c r="S1891" s="295">
        <v>2.8455699999999999</v>
      </c>
      <c r="T1891" s="295">
        <v>2.9213100000000001</v>
      </c>
      <c r="U1891" s="295">
        <v>3.0317029999999998</v>
      </c>
      <c r="V1891" s="295">
        <v>3.0925319999999998</v>
      </c>
      <c r="W1891" s="295">
        <v>3.2625440000000001</v>
      </c>
      <c r="X1891" s="295">
        <v>3.3484180000000001</v>
      </c>
      <c r="Y1891" s="295">
        <v>3.4116490000000002</v>
      </c>
      <c r="Z1891" s="295">
        <v>3.647427</v>
      </c>
      <c r="AA1891" s="295">
        <v>3.7766009999999999</v>
      </c>
      <c r="AB1891" s="295">
        <v>3.8571620000000002</v>
      </c>
      <c r="AC1891" s="295">
        <v>4.1009510000000002</v>
      </c>
      <c r="AD1891" s="295">
        <v>4.2815200000000004</v>
      </c>
      <c r="AE1891" s="295">
        <v>4.4222010000000003</v>
      </c>
      <c r="AF1891" s="295">
        <v>4.5730969999999997</v>
      </c>
      <c r="AG1891" s="295">
        <v>4.7435890000000001</v>
      </c>
      <c r="AH1891" s="296">
        <v>4.2056999999999997E-2</v>
      </c>
    </row>
    <row r="1893" spans="1:34" ht="15" customHeight="1" x14ac:dyDescent="0.2">
      <c r="B1893" s="204" t="s">
        <v>2416</v>
      </c>
    </row>
    <row r="1894" spans="1:34" ht="15" customHeight="1" x14ac:dyDescent="0.25">
      <c r="A1894" s="213" t="s">
        <v>2449</v>
      </c>
      <c r="B1894" s="294" t="s">
        <v>1058</v>
      </c>
      <c r="C1894" s="295">
        <v>2.4338799999999998</v>
      </c>
      <c r="D1894" s="295">
        <v>2.4625680000000001</v>
      </c>
      <c r="E1894" s="295">
        <v>2.506834</v>
      </c>
      <c r="F1894" s="295">
        <v>2.6030989999999998</v>
      </c>
      <c r="G1894" s="295">
        <v>2.654881</v>
      </c>
      <c r="H1894" s="295">
        <v>2.6889609999999999</v>
      </c>
      <c r="I1894" s="295">
        <v>2.6931720000000001</v>
      </c>
      <c r="J1894" s="295">
        <v>2.810527</v>
      </c>
      <c r="K1894" s="295">
        <v>2.9529550000000002</v>
      </c>
      <c r="L1894" s="295">
        <v>3.0634130000000002</v>
      </c>
      <c r="M1894" s="295">
        <v>3.20567</v>
      </c>
      <c r="N1894" s="295">
        <v>3.303852</v>
      </c>
      <c r="O1894" s="295">
        <v>3.4352290000000001</v>
      </c>
      <c r="P1894" s="295">
        <v>3.545296</v>
      </c>
      <c r="Q1894" s="295">
        <v>3.6566290000000001</v>
      </c>
      <c r="R1894" s="295">
        <v>3.762067</v>
      </c>
      <c r="S1894" s="295">
        <v>3.8722780000000001</v>
      </c>
      <c r="T1894" s="295">
        <v>4.0080629999999999</v>
      </c>
      <c r="U1894" s="295">
        <v>4.130026</v>
      </c>
      <c r="V1894" s="295">
        <v>4.220726</v>
      </c>
      <c r="W1894" s="295">
        <v>4.4052740000000004</v>
      </c>
      <c r="X1894" s="295">
        <v>4.5488720000000002</v>
      </c>
      <c r="Y1894" s="295">
        <v>4.6826340000000002</v>
      </c>
      <c r="Z1894" s="295">
        <v>4.8653849999999998</v>
      </c>
      <c r="AA1894" s="295">
        <v>4.9839919999999998</v>
      </c>
      <c r="AB1894" s="295">
        <v>5.1093970000000004</v>
      </c>
      <c r="AC1894" s="295">
        <v>5.3197289999999997</v>
      </c>
      <c r="AD1894" s="295">
        <v>5.4948160000000001</v>
      </c>
      <c r="AE1894" s="295">
        <v>5.6457579999999998</v>
      </c>
      <c r="AF1894" s="295">
        <v>5.8371870000000001</v>
      </c>
      <c r="AG1894" s="295">
        <v>6.002726</v>
      </c>
      <c r="AH1894" s="296">
        <v>3.0547999999999999E-2</v>
      </c>
    </row>
    <row r="1895" spans="1:34" ht="15" customHeight="1" x14ac:dyDescent="0.25">
      <c r="A1895" s="213" t="s">
        <v>2450</v>
      </c>
      <c r="B1895" s="294" t="s">
        <v>1060</v>
      </c>
      <c r="C1895" s="295">
        <v>1.241052</v>
      </c>
      <c r="D1895" s="295">
        <v>1.3388100000000001</v>
      </c>
      <c r="E1895" s="295">
        <v>1.4924440000000001</v>
      </c>
      <c r="F1895" s="295">
        <v>1.703975</v>
      </c>
      <c r="G1895" s="295">
        <v>1.8822760000000001</v>
      </c>
      <c r="H1895" s="295">
        <v>2.0372789999999998</v>
      </c>
      <c r="I1895" s="295">
        <v>2.1938040000000001</v>
      </c>
      <c r="J1895" s="295">
        <v>2.3024049999999998</v>
      </c>
      <c r="K1895" s="295">
        <v>2.4352659999999999</v>
      </c>
      <c r="L1895" s="295">
        <v>2.536089</v>
      </c>
      <c r="M1895" s="295">
        <v>2.6804209999999999</v>
      </c>
      <c r="N1895" s="295">
        <v>2.7826050000000002</v>
      </c>
      <c r="O1895" s="295">
        <v>2.897268</v>
      </c>
      <c r="P1895" s="295">
        <v>2.995339</v>
      </c>
      <c r="Q1895" s="295">
        <v>3.0871659999999999</v>
      </c>
      <c r="R1895" s="295">
        <v>3.1835629999999999</v>
      </c>
      <c r="S1895" s="295">
        <v>3.2690269999999999</v>
      </c>
      <c r="T1895" s="295">
        <v>3.3542860000000001</v>
      </c>
      <c r="U1895" s="295">
        <v>3.4726170000000001</v>
      </c>
      <c r="V1895" s="295">
        <v>3.5403120000000001</v>
      </c>
      <c r="W1895" s="295">
        <v>3.7286619999999999</v>
      </c>
      <c r="X1895" s="295">
        <v>3.8345790000000002</v>
      </c>
      <c r="Y1895" s="295">
        <v>3.9169649999999998</v>
      </c>
      <c r="Z1895" s="295">
        <v>4.0227820000000003</v>
      </c>
      <c r="AA1895" s="295">
        <v>4.0980879999999997</v>
      </c>
      <c r="AB1895" s="295">
        <v>4.1361749999999997</v>
      </c>
      <c r="AC1895" s="295">
        <v>4.2948599999999999</v>
      </c>
      <c r="AD1895" s="295">
        <v>4.451435</v>
      </c>
      <c r="AE1895" s="295">
        <v>4.6088009999999997</v>
      </c>
      <c r="AF1895" s="295">
        <v>4.7769620000000002</v>
      </c>
      <c r="AG1895" s="295">
        <v>4.9519650000000004</v>
      </c>
      <c r="AH1895" s="296">
        <v>4.7208E-2</v>
      </c>
    </row>
    <row r="1897" spans="1:34" ht="15" customHeight="1" x14ac:dyDescent="0.2">
      <c r="B1897" s="204" t="s">
        <v>2451</v>
      </c>
    </row>
    <row r="1898" spans="1:34" ht="15" customHeight="1" x14ac:dyDescent="0.25">
      <c r="A1898" s="213" t="s">
        <v>2452</v>
      </c>
      <c r="B1898" s="294" t="s">
        <v>1036</v>
      </c>
      <c r="C1898" s="295">
        <v>1.3120289999999999</v>
      </c>
      <c r="D1898" s="295">
        <v>1.3790230000000001</v>
      </c>
      <c r="E1898" s="295">
        <v>1.442966</v>
      </c>
      <c r="F1898" s="295">
        <v>1.439119</v>
      </c>
      <c r="G1898" s="295">
        <v>1.5056179999999999</v>
      </c>
      <c r="H1898" s="295">
        <v>1.5822449999999999</v>
      </c>
      <c r="I1898" s="295">
        <v>1.660158</v>
      </c>
      <c r="J1898" s="295">
        <v>1.7318260000000001</v>
      </c>
      <c r="K1898" s="295">
        <v>1.8247690000000001</v>
      </c>
      <c r="L1898" s="295">
        <v>1.904423</v>
      </c>
      <c r="M1898" s="295">
        <v>2.0049570000000001</v>
      </c>
      <c r="N1898" s="295">
        <v>2.0849120000000001</v>
      </c>
      <c r="O1898" s="295">
        <v>2.173632</v>
      </c>
      <c r="P1898" s="295">
        <v>2.2529940000000002</v>
      </c>
      <c r="Q1898" s="295">
        <v>2.3257910000000002</v>
      </c>
      <c r="R1898" s="295">
        <v>2.397697</v>
      </c>
      <c r="S1898" s="295">
        <v>2.4742989999999998</v>
      </c>
      <c r="T1898" s="295">
        <v>2.5493649999999999</v>
      </c>
      <c r="U1898" s="295">
        <v>2.6308349999999998</v>
      </c>
      <c r="V1898" s="295">
        <v>2.7058740000000001</v>
      </c>
      <c r="W1898" s="295">
        <v>2.7966690000000001</v>
      </c>
      <c r="X1898" s="295">
        <v>2.889122</v>
      </c>
      <c r="Y1898" s="295">
        <v>2.9731749999999999</v>
      </c>
      <c r="Z1898" s="295">
        <v>3.0700820000000002</v>
      </c>
      <c r="AA1898" s="295">
        <v>3.1624810000000001</v>
      </c>
      <c r="AB1898" s="295">
        <v>3.2390629999999998</v>
      </c>
      <c r="AC1898" s="295">
        <v>3.3550420000000001</v>
      </c>
      <c r="AD1898" s="295">
        <v>3.4776989999999999</v>
      </c>
      <c r="AE1898" s="295">
        <v>3.5914109999999999</v>
      </c>
      <c r="AF1898" s="295">
        <v>3.7098599999999999</v>
      </c>
      <c r="AG1898" s="295">
        <v>3.8345609999999999</v>
      </c>
      <c r="AH1898" s="296">
        <v>3.6395999999999998E-2</v>
      </c>
    </row>
    <row r="1899" spans="1:34" ht="15" customHeight="1" x14ac:dyDescent="0.25">
      <c r="A1899" s="213" t="s">
        <v>2453</v>
      </c>
      <c r="B1899" s="294" t="s">
        <v>1286</v>
      </c>
      <c r="C1899" s="295">
        <v>2.2548539999999999</v>
      </c>
      <c r="D1899" s="295">
        <v>2.3796599999999999</v>
      </c>
      <c r="E1899" s="295">
        <v>2.4531740000000002</v>
      </c>
      <c r="F1899" s="295">
        <v>2.5512600000000001</v>
      </c>
      <c r="G1899" s="295">
        <v>2.601397</v>
      </c>
      <c r="H1899" s="295">
        <v>2.7015579999999999</v>
      </c>
      <c r="I1899" s="295">
        <v>2.7898529999999999</v>
      </c>
      <c r="J1899" s="295">
        <v>2.8929149999999999</v>
      </c>
      <c r="K1899" s="295">
        <v>3.0433210000000002</v>
      </c>
      <c r="L1899" s="295">
        <v>3.1751140000000002</v>
      </c>
      <c r="M1899" s="295">
        <v>3.4133330000000002</v>
      </c>
      <c r="N1899" s="295">
        <v>3.513531</v>
      </c>
      <c r="O1899" s="295">
        <v>3.6717</v>
      </c>
      <c r="P1899" s="295">
        <v>3.7852100000000002</v>
      </c>
      <c r="Q1899" s="295">
        <v>3.9212699999999998</v>
      </c>
      <c r="R1899" s="295">
        <v>4.037579</v>
      </c>
      <c r="S1899" s="295">
        <v>4.1767659999999998</v>
      </c>
      <c r="T1899" s="295">
        <v>4.3089269999999997</v>
      </c>
      <c r="U1899" s="295">
        <v>4.4565780000000004</v>
      </c>
      <c r="V1899" s="295">
        <v>4.5553559999999997</v>
      </c>
      <c r="W1899" s="295">
        <v>4.7310699999999999</v>
      </c>
      <c r="X1899" s="295">
        <v>4.8772270000000004</v>
      </c>
      <c r="Y1899" s="295">
        <v>5.014869</v>
      </c>
      <c r="Z1899" s="295">
        <v>5.1607690000000002</v>
      </c>
      <c r="AA1899" s="295">
        <v>5.3021859999999998</v>
      </c>
      <c r="AB1899" s="295">
        <v>5.3985289999999999</v>
      </c>
      <c r="AC1899" s="295">
        <v>5.613086</v>
      </c>
      <c r="AD1899" s="295">
        <v>5.7876130000000003</v>
      </c>
      <c r="AE1899" s="295">
        <v>5.9692020000000001</v>
      </c>
      <c r="AF1899" s="295">
        <v>6.1271550000000001</v>
      </c>
      <c r="AG1899" s="295">
        <v>6.3116459999999996</v>
      </c>
      <c r="AH1899" s="296">
        <v>3.4906E-2</v>
      </c>
    </row>
    <row r="1900" spans="1:34" ht="15" customHeight="1" x14ac:dyDescent="0.25">
      <c r="A1900" s="213" t="s">
        <v>2454</v>
      </c>
      <c r="B1900" s="294" t="s">
        <v>1288</v>
      </c>
      <c r="C1900" s="295">
        <v>1.291768</v>
      </c>
      <c r="D1900" s="295">
        <v>1.4163650000000001</v>
      </c>
      <c r="E1900" s="295">
        <v>1.5747580000000001</v>
      </c>
      <c r="F1900" s="295">
        <v>1.7748189999999999</v>
      </c>
      <c r="G1900" s="295">
        <v>1.944644</v>
      </c>
      <c r="H1900" s="295">
        <v>2.080104</v>
      </c>
      <c r="I1900" s="295">
        <v>2.2125430000000001</v>
      </c>
      <c r="J1900" s="295">
        <v>2.3175680000000001</v>
      </c>
      <c r="K1900" s="295">
        <v>2.4622769999999998</v>
      </c>
      <c r="L1900" s="295">
        <v>2.5704229999999999</v>
      </c>
      <c r="M1900" s="295">
        <v>2.7089050000000001</v>
      </c>
      <c r="N1900" s="295">
        <v>2.8350559999999998</v>
      </c>
      <c r="O1900" s="295">
        <v>2.96665</v>
      </c>
      <c r="P1900" s="295">
        <v>3.0761790000000002</v>
      </c>
      <c r="Q1900" s="295">
        <v>3.174534</v>
      </c>
      <c r="R1900" s="295">
        <v>3.2744059999999999</v>
      </c>
      <c r="S1900" s="295">
        <v>3.3735560000000002</v>
      </c>
      <c r="T1900" s="295">
        <v>3.5039889999999998</v>
      </c>
      <c r="U1900" s="295">
        <v>3.6372550000000001</v>
      </c>
      <c r="V1900" s="295">
        <v>3.721956</v>
      </c>
      <c r="W1900" s="295">
        <v>3.887283</v>
      </c>
      <c r="X1900" s="295">
        <v>4.0268839999999999</v>
      </c>
      <c r="Y1900" s="295">
        <v>4.1549899999999997</v>
      </c>
      <c r="Z1900" s="295">
        <v>4.3372679999999999</v>
      </c>
      <c r="AA1900" s="295">
        <v>4.4586139999999999</v>
      </c>
      <c r="AB1900" s="295">
        <v>4.5751850000000003</v>
      </c>
      <c r="AC1900" s="295">
        <v>4.7730100000000002</v>
      </c>
      <c r="AD1900" s="295">
        <v>4.9396940000000003</v>
      </c>
      <c r="AE1900" s="295">
        <v>5.0751730000000004</v>
      </c>
      <c r="AF1900" s="295">
        <v>5.2511359999999998</v>
      </c>
      <c r="AG1900" s="295">
        <v>5.4081539999999997</v>
      </c>
      <c r="AH1900" s="296">
        <v>4.8887E-2</v>
      </c>
    </row>
    <row r="1901" spans="1:34" ht="15" customHeight="1" x14ac:dyDescent="0.25">
      <c r="A1901" s="213" t="s">
        <v>2455</v>
      </c>
      <c r="B1901" s="294" t="s">
        <v>1058</v>
      </c>
      <c r="C1901" s="295">
        <v>2.4992100000000002</v>
      </c>
      <c r="D1901" s="295">
        <v>2.5197859999999999</v>
      </c>
      <c r="E1901" s="295">
        <v>2.643418</v>
      </c>
      <c r="F1901" s="295">
        <v>2.8846810000000001</v>
      </c>
      <c r="G1901" s="295">
        <v>3.017496</v>
      </c>
      <c r="H1901" s="295">
        <v>3.1335519999999999</v>
      </c>
      <c r="I1901" s="295">
        <v>3.2521059999999999</v>
      </c>
      <c r="J1901" s="295">
        <v>3.379759</v>
      </c>
      <c r="K1901" s="295">
        <v>3.541579</v>
      </c>
      <c r="L1901" s="295">
        <v>3.6702819999999998</v>
      </c>
      <c r="M1901" s="295">
        <v>3.8733390000000001</v>
      </c>
      <c r="N1901" s="295">
        <v>4.0077970000000001</v>
      </c>
      <c r="O1901" s="295">
        <v>4.1565729999999999</v>
      </c>
      <c r="P1901" s="295">
        <v>4.2751450000000002</v>
      </c>
      <c r="Q1901" s="295">
        <v>4.38985</v>
      </c>
      <c r="R1901" s="295">
        <v>4.5071099999999999</v>
      </c>
      <c r="S1901" s="295">
        <v>4.615901</v>
      </c>
      <c r="T1901" s="295">
        <v>4.7624979999999999</v>
      </c>
      <c r="U1901" s="295">
        <v>4.9034250000000004</v>
      </c>
      <c r="V1901" s="295">
        <v>5.0015289999999997</v>
      </c>
      <c r="W1901" s="295">
        <v>5.1878900000000003</v>
      </c>
      <c r="X1901" s="295">
        <v>5.3467190000000002</v>
      </c>
      <c r="Y1901" s="295">
        <v>5.4937360000000002</v>
      </c>
      <c r="Z1901" s="295">
        <v>5.6729039999999999</v>
      </c>
      <c r="AA1901" s="295">
        <v>5.8066820000000003</v>
      </c>
      <c r="AB1901" s="295">
        <v>5.9528169999999996</v>
      </c>
      <c r="AC1901" s="295">
        <v>6.1798830000000002</v>
      </c>
      <c r="AD1901" s="295">
        <v>6.375718</v>
      </c>
      <c r="AE1901" s="295">
        <v>6.5465280000000003</v>
      </c>
      <c r="AF1901" s="295">
        <v>6.7615590000000001</v>
      </c>
      <c r="AG1901" s="295">
        <v>6.950418</v>
      </c>
      <c r="AH1901" s="296">
        <v>3.4681999999999998E-2</v>
      </c>
    </row>
    <row r="1902" spans="1:34" ht="15" customHeight="1" x14ac:dyDescent="0.25">
      <c r="A1902" s="213" t="s">
        <v>2456</v>
      </c>
      <c r="B1902" s="294" t="s">
        <v>2457</v>
      </c>
      <c r="C1902" s="297">
        <v>55.602378999999999</v>
      </c>
      <c r="D1902" s="297">
        <v>44.145938999999998</v>
      </c>
      <c r="E1902" s="297">
        <v>47.117767000000001</v>
      </c>
      <c r="F1902" s="297">
        <v>54.433501999999997</v>
      </c>
      <c r="G1902" s="297">
        <v>63.776352000000003</v>
      </c>
      <c r="H1902" s="297">
        <v>71.331130999999999</v>
      </c>
      <c r="I1902" s="297">
        <v>74.903396999999998</v>
      </c>
      <c r="J1902" s="297">
        <v>83.391257999999993</v>
      </c>
      <c r="K1902" s="297">
        <v>88.494185999999999</v>
      </c>
      <c r="L1902" s="297">
        <v>92.875457999999995</v>
      </c>
      <c r="M1902" s="297">
        <v>91.576035000000005</v>
      </c>
      <c r="N1902" s="297">
        <v>102.179489</v>
      </c>
      <c r="O1902" s="297">
        <v>106.4823</v>
      </c>
      <c r="P1902" s="297">
        <v>110.36554</v>
      </c>
      <c r="Q1902" s="297">
        <v>113.65479999999999</v>
      </c>
      <c r="R1902" s="297">
        <v>117.156418</v>
      </c>
      <c r="S1902" s="297">
        <v>120.62278000000001</v>
      </c>
      <c r="T1902" s="297">
        <v>123.751198</v>
      </c>
      <c r="U1902" s="297">
        <v>128.42512500000001</v>
      </c>
      <c r="V1902" s="297">
        <v>130.99288899999999</v>
      </c>
      <c r="W1902" s="297">
        <v>138.39648399999999</v>
      </c>
      <c r="X1902" s="297">
        <v>142.072495</v>
      </c>
      <c r="Y1902" s="297">
        <v>144.92338599999999</v>
      </c>
      <c r="Z1902" s="297">
        <v>154.21818500000001</v>
      </c>
      <c r="AA1902" s="297">
        <v>159.51091</v>
      </c>
      <c r="AB1902" s="297">
        <v>162.83299299999999</v>
      </c>
      <c r="AC1902" s="297">
        <v>172.67373699999999</v>
      </c>
      <c r="AD1902" s="297">
        <v>180.115723</v>
      </c>
      <c r="AE1902" s="297">
        <v>186.05162000000001</v>
      </c>
      <c r="AF1902" s="297">
        <v>192.431747</v>
      </c>
      <c r="AG1902" s="297">
        <v>199.57702599999999</v>
      </c>
      <c r="AH1902" s="296">
        <v>4.3519000000000002E-2</v>
      </c>
    </row>
    <row r="1903" spans="1:34" ht="15" customHeight="1" x14ac:dyDescent="0.2">
      <c r="A1903" s="213" t="s">
        <v>2458</v>
      </c>
      <c r="B1903" s="204" t="s">
        <v>2428</v>
      </c>
      <c r="C1903" s="205">
        <v>1.900239</v>
      </c>
      <c r="D1903" s="205">
        <v>1.957352</v>
      </c>
      <c r="E1903" s="205">
        <v>2.0117250000000002</v>
      </c>
      <c r="F1903" s="205">
        <v>2.1271840000000002</v>
      </c>
      <c r="G1903" s="205">
        <v>2.1971470000000002</v>
      </c>
      <c r="H1903" s="205">
        <v>2.2867350000000002</v>
      </c>
      <c r="I1903" s="205">
        <v>2.3690609999999999</v>
      </c>
      <c r="J1903" s="205">
        <v>2.458218</v>
      </c>
      <c r="K1903" s="205">
        <v>2.5814819999999998</v>
      </c>
      <c r="L1903" s="205">
        <v>2.6812649999999998</v>
      </c>
      <c r="M1903" s="205">
        <v>2.843585</v>
      </c>
      <c r="N1903" s="205">
        <v>2.9332910000000001</v>
      </c>
      <c r="O1903" s="205">
        <v>3.052702</v>
      </c>
      <c r="P1903" s="205">
        <v>3.1411259999999999</v>
      </c>
      <c r="Q1903" s="205">
        <v>3.2361759999999999</v>
      </c>
      <c r="R1903" s="205">
        <v>3.3245100000000001</v>
      </c>
      <c r="S1903" s="205">
        <v>3.4250500000000001</v>
      </c>
      <c r="T1903" s="205">
        <v>3.5308310000000001</v>
      </c>
      <c r="U1903" s="205">
        <v>3.6454080000000002</v>
      </c>
      <c r="V1903" s="205">
        <v>3.723719</v>
      </c>
      <c r="W1903" s="205">
        <v>3.8697080000000001</v>
      </c>
      <c r="X1903" s="205">
        <v>3.9918450000000001</v>
      </c>
      <c r="Y1903" s="205">
        <v>4.1022699999999999</v>
      </c>
      <c r="Z1903" s="205">
        <v>4.2338110000000002</v>
      </c>
      <c r="AA1903" s="205">
        <v>4.347429</v>
      </c>
      <c r="AB1903" s="205">
        <v>4.437303</v>
      </c>
      <c r="AC1903" s="205">
        <v>4.6177679999999999</v>
      </c>
      <c r="AD1903" s="205">
        <v>4.7692329999999998</v>
      </c>
      <c r="AE1903" s="205">
        <v>4.9112549999999997</v>
      </c>
      <c r="AF1903" s="205">
        <v>5.0535759999999996</v>
      </c>
      <c r="AG1903" s="205">
        <v>5.2024660000000003</v>
      </c>
      <c r="AH1903" s="206">
        <v>3.4141999999999999E-2</v>
      </c>
    </row>
    <row r="1904" spans="1:34" ht="15" customHeight="1" thickBot="1" x14ac:dyDescent="0.25"/>
    <row r="1905" spans="2:34" ht="15" customHeight="1" x14ac:dyDescent="0.2">
      <c r="B1905" s="305" t="s">
        <v>2459</v>
      </c>
      <c r="C1905" s="305"/>
      <c r="D1905" s="305"/>
      <c r="E1905" s="305"/>
      <c r="F1905" s="305"/>
      <c r="G1905" s="305"/>
      <c r="H1905" s="305"/>
      <c r="I1905" s="305"/>
      <c r="J1905" s="305"/>
      <c r="K1905" s="305"/>
      <c r="L1905" s="305"/>
      <c r="M1905" s="305"/>
      <c r="N1905" s="305"/>
      <c r="O1905" s="305"/>
      <c r="P1905" s="305"/>
      <c r="Q1905" s="305"/>
      <c r="R1905" s="305"/>
      <c r="S1905" s="305"/>
      <c r="T1905" s="305"/>
      <c r="U1905" s="305"/>
      <c r="V1905" s="305"/>
      <c r="W1905" s="305"/>
      <c r="X1905" s="305"/>
      <c r="Y1905" s="305"/>
      <c r="Z1905" s="305"/>
      <c r="AA1905" s="305"/>
      <c r="AB1905" s="305"/>
      <c r="AC1905" s="305"/>
      <c r="AD1905" s="305"/>
      <c r="AE1905" s="305"/>
      <c r="AF1905" s="305"/>
      <c r="AG1905" s="305"/>
      <c r="AH1905" s="305"/>
    </row>
    <row r="1906" spans="2:34" ht="15" customHeight="1" x14ac:dyDescent="0.2">
      <c r="B1906" s="208" t="s">
        <v>2460</v>
      </c>
    </row>
    <row r="1907" spans="2:34" ht="15" customHeight="1" x14ac:dyDescent="0.2">
      <c r="B1907" s="208" t="s">
        <v>2461</v>
      </c>
    </row>
    <row r="1908" spans="2:34" ht="15" customHeight="1" x14ac:dyDescent="0.2">
      <c r="B1908" s="208" t="s">
        <v>2371</v>
      </c>
    </row>
    <row r="1909" spans="2:34" ht="15" customHeight="1" x14ac:dyDescent="0.2">
      <c r="B1909" s="208" t="s">
        <v>1379</v>
      </c>
    </row>
    <row r="1910" spans="2:34" ht="15" customHeight="1" x14ac:dyDescent="0.2">
      <c r="B1910" s="208" t="s">
        <v>2462</v>
      </c>
    </row>
    <row r="1911" spans="2:34" ht="15" customHeight="1" x14ac:dyDescent="0.2">
      <c r="B1911" s="208" t="s">
        <v>1381</v>
      </c>
    </row>
    <row r="1912" spans="2:34" ht="15" customHeight="1" x14ac:dyDescent="0.2">
      <c r="B1912" s="208" t="s">
        <v>2463</v>
      </c>
    </row>
    <row r="1913" spans="2:34" ht="15" customHeight="1" x14ac:dyDescent="0.2">
      <c r="B1913" s="208" t="s">
        <v>2464</v>
      </c>
    </row>
    <row r="1914" spans="2:34" ht="15" customHeight="1" x14ac:dyDescent="0.2">
      <c r="B1914" s="208" t="s">
        <v>2215</v>
      </c>
    </row>
    <row r="1915" spans="2:34" ht="15" customHeight="1" x14ac:dyDescent="0.2">
      <c r="B1915" s="208" t="s">
        <v>2110</v>
      </c>
    </row>
    <row r="1935" spans="1:34" ht="15" customHeight="1" x14ac:dyDescent="0.25">
      <c r="A1935" s="213" t="s">
        <v>2465</v>
      </c>
      <c r="B1935" s="202" t="s">
        <v>1021</v>
      </c>
      <c r="AH1935" s="292" t="s">
        <v>597</v>
      </c>
    </row>
    <row r="1936" spans="1:34" ht="15" customHeight="1" x14ac:dyDescent="0.2">
      <c r="B1936" s="199" t="s">
        <v>2466</v>
      </c>
      <c r="AH1936" s="292" t="s">
        <v>598</v>
      </c>
    </row>
    <row r="1937" spans="1:34" ht="15" customHeight="1" x14ac:dyDescent="0.2">
      <c r="B1937" s="199" t="s">
        <v>124</v>
      </c>
      <c r="C1937" s="222" t="s">
        <v>124</v>
      </c>
      <c r="D1937" s="222" t="s">
        <v>124</v>
      </c>
      <c r="E1937" s="222" t="s">
        <v>124</v>
      </c>
      <c r="F1937" s="222" t="s">
        <v>124</v>
      </c>
      <c r="G1937" s="222" t="s">
        <v>124</v>
      </c>
      <c r="H1937" s="222" t="s">
        <v>124</v>
      </c>
      <c r="I1937" s="222" t="s">
        <v>124</v>
      </c>
      <c r="J1937" s="222" t="s">
        <v>124</v>
      </c>
      <c r="K1937" s="222" t="s">
        <v>124</v>
      </c>
      <c r="L1937" s="222" t="s">
        <v>124</v>
      </c>
      <c r="M1937" s="222" t="s">
        <v>124</v>
      </c>
      <c r="N1937" s="222" t="s">
        <v>124</v>
      </c>
      <c r="O1937" s="222" t="s">
        <v>124</v>
      </c>
      <c r="P1937" s="222" t="s">
        <v>124</v>
      </c>
      <c r="Q1937" s="222" t="s">
        <v>124</v>
      </c>
      <c r="R1937" s="222" t="s">
        <v>124</v>
      </c>
      <c r="S1937" s="222" t="s">
        <v>124</v>
      </c>
      <c r="T1937" s="222" t="s">
        <v>124</v>
      </c>
      <c r="U1937" s="222" t="s">
        <v>124</v>
      </c>
      <c r="V1937" s="222" t="s">
        <v>124</v>
      </c>
      <c r="W1937" s="222" t="s">
        <v>124</v>
      </c>
      <c r="X1937" s="222" t="s">
        <v>124</v>
      </c>
      <c r="Y1937" s="222" t="s">
        <v>124</v>
      </c>
      <c r="Z1937" s="222" t="s">
        <v>124</v>
      </c>
      <c r="AA1937" s="222" t="s">
        <v>124</v>
      </c>
      <c r="AB1937" s="222" t="s">
        <v>124</v>
      </c>
      <c r="AC1937" s="222" t="s">
        <v>124</v>
      </c>
      <c r="AD1937" s="222" t="s">
        <v>124</v>
      </c>
      <c r="AE1937" s="222" t="s">
        <v>124</v>
      </c>
      <c r="AF1937" s="222" t="s">
        <v>124</v>
      </c>
      <c r="AG1937" s="222" t="s">
        <v>124</v>
      </c>
      <c r="AH1937" s="292" t="s">
        <v>599</v>
      </c>
    </row>
    <row r="1938" spans="1:34" ht="15" customHeight="1" thickBot="1" x14ac:dyDescent="0.25">
      <c r="B1938" s="200" t="s">
        <v>125</v>
      </c>
      <c r="C1938" s="200">
        <v>2020</v>
      </c>
      <c r="D1938" s="200">
        <v>2021</v>
      </c>
      <c r="E1938" s="200">
        <v>2022</v>
      </c>
      <c r="F1938" s="200">
        <v>2023</v>
      </c>
      <c r="G1938" s="200">
        <v>2024</v>
      </c>
      <c r="H1938" s="200">
        <v>2025</v>
      </c>
      <c r="I1938" s="200">
        <v>2026</v>
      </c>
      <c r="J1938" s="200">
        <v>2027</v>
      </c>
      <c r="K1938" s="200">
        <v>2028</v>
      </c>
      <c r="L1938" s="200">
        <v>2029</v>
      </c>
      <c r="M1938" s="200">
        <v>2030</v>
      </c>
      <c r="N1938" s="200">
        <v>2031</v>
      </c>
      <c r="O1938" s="200">
        <v>2032</v>
      </c>
      <c r="P1938" s="200">
        <v>2033</v>
      </c>
      <c r="Q1938" s="200">
        <v>2034</v>
      </c>
      <c r="R1938" s="200">
        <v>2035</v>
      </c>
      <c r="S1938" s="200">
        <v>2036</v>
      </c>
      <c r="T1938" s="200">
        <v>2037</v>
      </c>
      <c r="U1938" s="200">
        <v>2038</v>
      </c>
      <c r="V1938" s="200">
        <v>2039</v>
      </c>
      <c r="W1938" s="200">
        <v>2040</v>
      </c>
      <c r="X1938" s="200">
        <v>2041</v>
      </c>
      <c r="Y1938" s="200">
        <v>2042</v>
      </c>
      <c r="Z1938" s="200">
        <v>2043</v>
      </c>
      <c r="AA1938" s="200">
        <v>2044</v>
      </c>
      <c r="AB1938" s="200">
        <v>2045</v>
      </c>
      <c r="AC1938" s="200">
        <v>2046</v>
      </c>
      <c r="AD1938" s="200">
        <v>2047</v>
      </c>
      <c r="AE1938" s="200">
        <v>2048</v>
      </c>
      <c r="AF1938" s="200">
        <v>2049</v>
      </c>
      <c r="AG1938" s="200">
        <v>2050</v>
      </c>
      <c r="AH1938" s="293" t="s">
        <v>600</v>
      </c>
    </row>
    <row r="1939" spans="1:34" ht="15" customHeight="1" thickTop="1" x14ac:dyDescent="0.2"/>
    <row r="1940" spans="1:34" ht="15" customHeight="1" x14ac:dyDescent="0.2">
      <c r="B1940" s="204" t="s">
        <v>2467</v>
      </c>
    </row>
    <row r="1941" spans="1:34" ht="15" customHeight="1" x14ac:dyDescent="0.25">
      <c r="A1941" s="213" t="s">
        <v>2468</v>
      </c>
      <c r="B1941" s="294" t="s">
        <v>2469</v>
      </c>
      <c r="C1941" s="295">
        <v>33.890735999999997</v>
      </c>
      <c r="D1941" s="295">
        <v>32.309691999999998</v>
      </c>
      <c r="E1941" s="295">
        <v>32.780650999999999</v>
      </c>
      <c r="F1941" s="295">
        <v>34.022060000000003</v>
      </c>
      <c r="G1941" s="295">
        <v>34.964745000000001</v>
      </c>
      <c r="H1941" s="295">
        <v>36.261744999999998</v>
      </c>
      <c r="I1941" s="295">
        <v>36.885249999999999</v>
      </c>
      <c r="J1941" s="295">
        <v>37.021377999999999</v>
      </c>
      <c r="K1941" s="295">
        <v>37.196350000000002</v>
      </c>
      <c r="L1941" s="295">
        <v>37.544429999999998</v>
      </c>
      <c r="M1941" s="295">
        <v>37.881168000000002</v>
      </c>
      <c r="N1941" s="295">
        <v>38.134372999999997</v>
      </c>
      <c r="O1941" s="295">
        <v>38.298533999999997</v>
      </c>
      <c r="P1941" s="295">
        <v>38.468994000000002</v>
      </c>
      <c r="Q1941" s="295">
        <v>38.611877</v>
      </c>
      <c r="R1941" s="295">
        <v>38.613323000000001</v>
      </c>
      <c r="S1941" s="295">
        <v>38.774208000000002</v>
      </c>
      <c r="T1941" s="295">
        <v>38.983142999999998</v>
      </c>
      <c r="U1941" s="295">
        <v>39.289341</v>
      </c>
      <c r="V1941" s="295">
        <v>39.585915</v>
      </c>
      <c r="W1941" s="295">
        <v>39.916763000000003</v>
      </c>
      <c r="X1941" s="295">
        <v>40.111533999999999</v>
      </c>
      <c r="Y1941" s="295">
        <v>40.487704999999998</v>
      </c>
      <c r="Z1941" s="295">
        <v>40.920616000000003</v>
      </c>
      <c r="AA1941" s="295">
        <v>41.286839000000001</v>
      </c>
      <c r="AB1941" s="295">
        <v>41.538970999999997</v>
      </c>
      <c r="AC1941" s="295">
        <v>41.804253000000003</v>
      </c>
      <c r="AD1941" s="295">
        <v>42.065693000000003</v>
      </c>
      <c r="AE1941" s="295">
        <v>42.392257999999998</v>
      </c>
      <c r="AF1941" s="295">
        <v>42.658816999999999</v>
      </c>
      <c r="AG1941" s="295">
        <v>42.992820999999999</v>
      </c>
      <c r="AH1941" s="296">
        <v>7.9609999999999993E-3</v>
      </c>
    </row>
    <row r="1942" spans="1:34" ht="15" customHeight="1" x14ac:dyDescent="0.25">
      <c r="A1942" s="213" t="s">
        <v>2470</v>
      </c>
      <c r="B1942" s="294" t="s">
        <v>2471</v>
      </c>
      <c r="C1942" s="295">
        <v>6.5350000000000005E-2</v>
      </c>
      <c r="D1942" s="295">
        <v>6.0940000000000001E-2</v>
      </c>
      <c r="E1942" s="295">
        <v>6.1171999999999997E-2</v>
      </c>
      <c r="F1942" s="295">
        <v>6.1404E-2</v>
      </c>
      <c r="G1942" s="295">
        <v>6.1636000000000003E-2</v>
      </c>
      <c r="H1942" s="295">
        <v>6.1866999999999998E-2</v>
      </c>
      <c r="I1942" s="295">
        <v>6.2099000000000001E-2</v>
      </c>
      <c r="J1942" s="295">
        <v>6.2099000000000001E-2</v>
      </c>
      <c r="K1942" s="295">
        <v>6.2099000000000001E-2</v>
      </c>
      <c r="L1942" s="295">
        <v>6.2099000000000001E-2</v>
      </c>
      <c r="M1942" s="295">
        <v>6.2099000000000001E-2</v>
      </c>
      <c r="N1942" s="295">
        <v>6.2099000000000001E-2</v>
      </c>
      <c r="O1942" s="295">
        <v>6.2099000000000001E-2</v>
      </c>
      <c r="P1942" s="295">
        <v>6.2099000000000001E-2</v>
      </c>
      <c r="Q1942" s="295">
        <v>6.2099000000000001E-2</v>
      </c>
      <c r="R1942" s="295">
        <v>6.2099000000000001E-2</v>
      </c>
      <c r="S1942" s="295">
        <v>6.2099000000000001E-2</v>
      </c>
      <c r="T1942" s="295">
        <v>6.2099000000000001E-2</v>
      </c>
      <c r="U1942" s="295">
        <v>6.2099000000000001E-2</v>
      </c>
      <c r="V1942" s="295">
        <v>6.2099000000000001E-2</v>
      </c>
      <c r="W1942" s="295">
        <v>6.2099000000000001E-2</v>
      </c>
      <c r="X1942" s="295">
        <v>6.2099000000000001E-2</v>
      </c>
      <c r="Y1942" s="295">
        <v>6.2099000000000001E-2</v>
      </c>
      <c r="Z1942" s="295">
        <v>6.2099000000000001E-2</v>
      </c>
      <c r="AA1942" s="295">
        <v>6.2099000000000001E-2</v>
      </c>
      <c r="AB1942" s="295">
        <v>6.2099000000000001E-2</v>
      </c>
      <c r="AC1942" s="295">
        <v>6.2099000000000001E-2</v>
      </c>
      <c r="AD1942" s="295">
        <v>6.2099000000000001E-2</v>
      </c>
      <c r="AE1942" s="295">
        <v>6.2099000000000001E-2</v>
      </c>
      <c r="AF1942" s="295">
        <v>6.2099000000000001E-2</v>
      </c>
      <c r="AG1942" s="295">
        <v>6.2099000000000001E-2</v>
      </c>
      <c r="AH1942" s="296">
        <v>-1.699E-3</v>
      </c>
    </row>
    <row r="1944" spans="1:34" ht="15" customHeight="1" x14ac:dyDescent="0.2">
      <c r="A1944" s="213" t="s">
        <v>2472</v>
      </c>
      <c r="B1944" s="204" t="s">
        <v>2473</v>
      </c>
      <c r="C1944" s="205">
        <v>-2.6705510000000001</v>
      </c>
      <c r="D1944" s="205">
        <v>-3.6498659999999998</v>
      </c>
      <c r="E1944" s="205">
        <v>-3.8404180000000001</v>
      </c>
      <c r="F1944" s="205">
        <v>-4.2436400000000001</v>
      </c>
      <c r="G1944" s="205">
        <v>-4.8462230000000002</v>
      </c>
      <c r="H1944" s="205">
        <v>-5.3206860000000002</v>
      </c>
      <c r="I1944" s="205">
        <v>-5.5509170000000001</v>
      </c>
      <c r="J1944" s="205">
        <v>-5.669797</v>
      </c>
      <c r="K1944" s="205">
        <v>-5.930669</v>
      </c>
      <c r="L1944" s="205">
        <v>-6.238175</v>
      </c>
      <c r="M1944" s="205">
        <v>-6.6881560000000002</v>
      </c>
      <c r="N1944" s="205">
        <v>-6.812176</v>
      </c>
      <c r="O1944" s="205">
        <v>-6.8923959999999997</v>
      </c>
      <c r="P1944" s="205">
        <v>-7.0067969999999997</v>
      </c>
      <c r="Q1944" s="205">
        <v>-7.0293109999999999</v>
      </c>
      <c r="R1944" s="205">
        <v>-7.0278879999999999</v>
      </c>
      <c r="S1944" s="205">
        <v>-7.0642670000000001</v>
      </c>
      <c r="T1944" s="205">
        <v>-7.0534689999999998</v>
      </c>
      <c r="U1944" s="205">
        <v>-7.0463360000000002</v>
      </c>
      <c r="V1944" s="205">
        <v>-7.0602029999999996</v>
      </c>
      <c r="W1944" s="205">
        <v>-7.0926559999999998</v>
      </c>
      <c r="X1944" s="205">
        <v>-7.0837260000000004</v>
      </c>
      <c r="Y1944" s="205">
        <v>-7.1271880000000003</v>
      </c>
      <c r="Z1944" s="205">
        <v>-7.1652610000000001</v>
      </c>
      <c r="AA1944" s="205">
        <v>-7.2373159999999999</v>
      </c>
      <c r="AB1944" s="205">
        <v>-7.2476380000000002</v>
      </c>
      <c r="AC1944" s="205">
        <v>-7.2954629999999998</v>
      </c>
      <c r="AD1944" s="205">
        <v>-7.3286949999999997</v>
      </c>
      <c r="AE1944" s="205">
        <v>-7.3930709999999999</v>
      </c>
      <c r="AF1944" s="205">
        <v>-7.3881079999999999</v>
      </c>
      <c r="AG1944" s="205">
        <v>-7.4032249999999999</v>
      </c>
      <c r="AH1944" s="206">
        <v>3.4571999999999999E-2</v>
      </c>
    </row>
    <row r="1945" spans="1:34" ht="15" customHeight="1" x14ac:dyDescent="0.25">
      <c r="A1945" s="213" t="s">
        <v>2474</v>
      </c>
      <c r="B1945" s="294" t="s">
        <v>2475</v>
      </c>
      <c r="C1945" s="295">
        <v>-0.42102899999999999</v>
      </c>
      <c r="D1945" s="295">
        <v>-0.54625699999999999</v>
      </c>
      <c r="E1945" s="295">
        <v>-0.79140699999999997</v>
      </c>
      <c r="F1945" s="295">
        <v>-1.1554990000000001</v>
      </c>
      <c r="G1945" s="295">
        <v>-1.383807</v>
      </c>
      <c r="H1945" s="295">
        <v>-1.301577</v>
      </c>
      <c r="I1945" s="295">
        <v>-1.202922</v>
      </c>
      <c r="J1945" s="295">
        <v>-1.321801</v>
      </c>
      <c r="K1945" s="295">
        <v>-1.4705509999999999</v>
      </c>
      <c r="L1945" s="295">
        <v>-1.590179</v>
      </c>
      <c r="M1945" s="295">
        <v>-1.84016</v>
      </c>
      <c r="N1945" s="295">
        <v>-1.8641810000000001</v>
      </c>
      <c r="O1945" s="295">
        <v>-1.932277</v>
      </c>
      <c r="P1945" s="295">
        <v>-2.0588009999999999</v>
      </c>
      <c r="Q1945" s="295">
        <v>-2.081315</v>
      </c>
      <c r="R1945" s="295">
        <v>-2.0798930000000002</v>
      </c>
      <c r="S1945" s="295">
        <v>-2.1041479999999999</v>
      </c>
      <c r="T1945" s="295">
        <v>-2.1054740000000001</v>
      </c>
      <c r="U1945" s="295">
        <v>-2.0983399999999999</v>
      </c>
      <c r="V1945" s="295">
        <v>-2.1122070000000002</v>
      </c>
      <c r="W1945" s="295">
        <v>-2.132536</v>
      </c>
      <c r="X1945" s="295">
        <v>-2.1357300000000001</v>
      </c>
      <c r="Y1945" s="295">
        <v>-2.179192</v>
      </c>
      <c r="Z1945" s="295">
        <v>-2.2172649999999998</v>
      </c>
      <c r="AA1945" s="295">
        <v>-2.2771970000000001</v>
      </c>
      <c r="AB1945" s="295">
        <v>-2.299642</v>
      </c>
      <c r="AC1945" s="295">
        <v>-2.347467</v>
      </c>
      <c r="AD1945" s="295">
        <v>-2.3806989999999999</v>
      </c>
      <c r="AE1945" s="295">
        <v>-2.4329519999999998</v>
      </c>
      <c r="AF1945" s="295">
        <v>-2.4401120000000001</v>
      </c>
      <c r="AG1945" s="295">
        <v>-2.4552290000000001</v>
      </c>
      <c r="AH1945" s="296">
        <v>6.0537000000000001E-2</v>
      </c>
    </row>
    <row r="1946" spans="1:34" ht="15" customHeight="1" x14ac:dyDescent="0.25">
      <c r="A1946" s="213" t="s">
        <v>2476</v>
      </c>
      <c r="B1946" s="294" t="s">
        <v>2477</v>
      </c>
      <c r="C1946" s="295">
        <v>-2.2495210000000001</v>
      </c>
      <c r="D1946" s="295">
        <v>-3.1036100000000002</v>
      </c>
      <c r="E1946" s="295">
        <v>-3.0490119999999998</v>
      </c>
      <c r="F1946" s="295">
        <v>-3.0881400000000001</v>
      </c>
      <c r="G1946" s="295">
        <v>-3.4624169999999999</v>
      </c>
      <c r="H1946" s="295">
        <v>-4.0191090000000003</v>
      </c>
      <c r="I1946" s="295">
        <v>-4.3479960000000002</v>
      </c>
      <c r="J1946" s="295">
        <v>-4.3479960000000002</v>
      </c>
      <c r="K1946" s="295">
        <v>-4.4601189999999997</v>
      </c>
      <c r="L1946" s="295">
        <v>-4.647996</v>
      </c>
      <c r="M1946" s="295">
        <v>-4.8479960000000002</v>
      </c>
      <c r="N1946" s="295">
        <v>-4.9479959999999998</v>
      </c>
      <c r="O1946" s="295">
        <v>-4.9601189999999997</v>
      </c>
      <c r="P1946" s="295">
        <v>-4.9479959999999998</v>
      </c>
      <c r="Q1946" s="295">
        <v>-4.9479959999999998</v>
      </c>
      <c r="R1946" s="295">
        <v>-4.9479959999999998</v>
      </c>
      <c r="S1946" s="295">
        <v>-4.9601189999999997</v>
      </c>
      <c r="T1946" s="295">
        <v>-4.9479959999999998</v>
      </c>
      <c r="U1946" s="295">
        <v>-4.9479959999999998</v>
      </c>
      <c r="V1946" s="295">
        <v>-4.9479959999999998</v>
      </c>
      <c r="W1946" s="295">
        <v>-4.9601189999999997</v>
      </c>
      <c r="X1946" s="295">
        <v>-4.9479959999999998</v>
      </c>
      <c r="Y1946" s="295">
        <v>-4.9479959999999998</v>
      </c>
      <c r="Z1946" s="295">
        <v>-4.9479959999999998</v>
      </c>
      <c r="AA1946" s="295">
        <v>-4.9601189999999997</v>
      </c>
      <c r="AB1946" s="295">
        <v>-4.9479959999999998</v>
      </c>
      <c r="AC1946" s="295">
        <v>-4.9479959999999998</v>
      </c>
      <c r="AD1946" s="295">
        <v>-4.9479959999999998</v>
      </c>
      <c r="AE1946" s="295">
        <v>-4.9601189999999997</v>
      </c>
      <c r="AF1946" s="295">
        <v>-4.9479959999999998</v>
      </c>
      <c r="AG1946" s="295">
        <v>-4.9479959999999998</v>
      </c>
      <c r="AH1946" s="296">
        <v>2.6623999999999998E-2</v>
      </c>
    </row>
    <row r="1948" spans="1:34" ht="15" customHeight="1" x14ac:dyDescent="0.2">
      <c r="A1948" s="213" t="s">
        <v>2478</v>
      </c>
      <c r="B1948" s="204" t="s">
        <v>2479</v>
      </c>
      <c r="C1948" s="205">
        <v>31.285533999999998</v>
      </c>
      <c r="D1948" s="205">
        <v>28.720766000000001</v>
      </c>
      <c r="E1948" s="205">
        <v>29.001405999999999</v>
      </c>
      <c r="F1948" s="205">
        <v>29.839825000000001</v>
      </c>
      <c r="G1948" s="205">
        <v>30.180154999999999</v>
      </c>
      <c r="H1948" s="205">
        <v>31.002925999999999</v>
      </c>
      <c r="I1948" s="205">
        <v>31.396432999999998</v>
      </c>
      <c r="J1948" s="205">
        <v>31.413681</v>
      </c>
      <c r="K1948" s="205">
        <v>31.327780000000001</v>
      </c>
      <c r="L1948" s="205">
        <v>31.368355000000001</v>
      </c>
      <c r="M1948" s="205">
        <v>31.255112</v>
      </c>
      <c r="N1948" s="205">
        <v>31.384295999999999</v>
      </c>
      <c r="O1948" s="205">
        <v>31.468239000000001</v>
      </c>
      <c r="P1948" s="205">
        <v>31.524296</v>
      </c>
      <c r="Q1948" s="205">
        <v>31.644665</v>
      </c>
      <c r="R1948" s="205">
        <v>31.647532999999999</v>
      </c>
      <c r="S1948" s="205">
        <v>31.772041000000002</v>
      </c>
      <c r="T1948" s="205">
        <v>31.991773999999999</v>
      </c>
      <c r="U1948" s="205">
        <v>32.305103000000003</v>
      </c>
      <c r="V1948" s="205">
        <v>32.587811000000002</v>
      </c>
      <c r="W1948" s="205">
        <v>32.886208000000003</v>
      </c>
      <c r="X1948" s="205">
        <v>33.089908999999999</v>
      </c>
      <c r="Y1948" s="205">
        <v>33.422615</v>
      </c>
      <c r="Z1948" s="205">
        <v>33.817455000000002</v>
      </c>
      <c r="AA1948" s="205">
        <v>34.111621999999997</v>
      </c>
      <c r="AB1948" s="205">
        <v>34.353431999999998</v>
      </c>
      <c r="AC1948" s="205">
        <v>34.570889000000001</v>
      </c>
      <c r="AD1948" s="205">
        <v>34.799098999999998</v>
      </c>
      <c r="AE1948" s="205">
        <v>35.061287</v>
      </c>
      <c r="AF1948" s="205">
        <v>35.332808999999997</v>
      </c>
      <c r="AG1948" s="205">
        <v>35.651694999999997</v>
      </c>
      <c r="AH1948" s="206">
        <v>4.3639999999999998E-3</v>
      </c>
    </row>
    <row r="1950" spans="1:34" ht="15" customHeight="1" x14ac:dyDescent="0.2">
      <c r="A1950" s="213" t="s">
        <v>2480</v>
      </c>
      <c r="B1950" s="204" t="s">
        <v>2481</v>
      </c>
      <c r="C1950" s="205">
        <v>30.759627999999999</v>
      </c>
      <c r="D1950" s="205">
        <v>28.969814</v>
      </c>
      <c r="E1950" s="205">
        <v>29.133206999999999</v>
      </c>
      <c r="F1950" s="205">
        <v>29.864118999999999</v>
      </c>
      <c r="G1950" s="205">
        <v>30.095409</v>
      </c>
      <c r="H1950" s="205">
        <v>30.814250999999999</v>
      </c>
      <c r="I1950" s="205">
        <v>31.112348999999998</v>
      </c>
      <c r="J1950" s="205">
        <v>31.129002</v>
      </c>
      <c r="K1950" s="205">
        <v>31.027622000000001</v>
      </c>
      <c r="L1950" s="205">
        <v>31.079346000000001</v>
      </c>
      <c r="M1950" s="205">
        <v>30.969501000000001</v>
      </c>
      <c r="N1950" s="205">
        <v>31.118366000000002</v>
      </c>
      <c r="O1950" s="205">
        <v>31.182736999999999</v>
      </c>
      <c r="P1950" s="205">
        <v>31.255699</v>
      </c>
      <c r="Q1950" s="205">
        <v>31.386862000000001</v>
      </c>
      <c r="R1950" s="205">
        <v>31.384893000000002</v>
      </c>
      <c r="S1950" s="205">
        <v>31.516622999999999</v>
      </c>
      <c r="T1950" s="205">
        <v>31.740518999999999</v>
      </c>
      <c r="U1950" s="205">
        <v>32.048031000000002</v>
      </c>
      <c r="V1950" s="205">
        <v>32.346977000000003</v>
      </c>
      <c r="W1950" s="205">
        <v>32.653407999999999</v>
      </c>
      <c r="X1950" s="205">
        <v>32.848422999999997</v>
      </c>
      <c r="Y1950" s="205">
        <v>33.185111999999997</v>
      </c>
      <c r="Z1950" s="205">
        <v>33.583419999999997</v>
      </c>
      <c r="AA1950" s="205">
        <v>33.875362000000003</v>
      </c>
      <c r="AB1950" s="205">
        <v>34.116329</v>
      </c>
      <c r="AC1950" s="205">
        <v>34.339633999999997</v>
      </c>
      <c r="AD1950" s="205">
        <v>34.553958999999999</v>
      </c>
      <c r="AE1950" s="205">
        <v>34.812854999999999</v>
      </c>
      <c r="AF1950" s="205">
        <v>35.075023999999999</v>
      </c>
      <c r="AG1950" s="205">
        <v>35.391342000000002</v>
      </c>
      <c r="AH1950" s="206">
        <v>4.6860000000000001E-3</v>
      </c>
    </row>
    <row r="1951" spans="1:34" ht="15" customHeight="1" x14ac:dyDescent="0.25">
      <c r="A1951" s="213" t="s">
        <v>2482</v>
      </c>
      <c r="B1951" s="294" t="s">
        <v>2483</v>
      </c>
      <c r="C1951" s="295">
        <v>4.7828200000000001</v>
      </c>
      <c r="D1951" s="295">
        <v>4.6596570000000002</v>
      </c>
      <c r="E1951" s="295">
        <v>4.7915460000000003</v>
      </c>
      <c r="F1951" s="295">
        <v>4.7841259999999997</v>
      </c>
      <c r="G1951" s="295">
        <v>4.785736</v>
      </c>
      <c r="H1951" s="295">
        <v>4.781549</v>
      </c>
      <c r="I1951" s="295">
        <v>4.7701289999999998</v>
      </c>
      <c r="J1951" s="295">
        <v>4.757244</v>
      </c>
      <c r="K1951" s="295">
        <v>4.7461719999999996</v>
      </c>
      <c r="L1951" s="295">
        <v>4.7354560000000001</v>
      </c>
      <c r="M1951" s="295">
        <v>4.7196879999999997</v>
      </c>
      <c r="N1951" s="295">
        <v>4.7082889999999997</v>
      </c>
      <c r="O1951" s="295">
        <v>4.6997609999999996</v>
      </c>
      <c r="P1951" s="295">
        <v>4.6915529999999999</v>
      </c>
      <c r="Q1951" s="295">
        <v>4.683408</v>
      </c>
      <c r="R1951" s="295">
        <v>4.6777740000000003</v>
      </c>
      <c r="S1951" s="295">
        <v>4.6733390000000004</v>
      </c>
      <c r="T1951" s="295">
        <v>4.6689809999999996</v>
      </c>
      <c r="U1951" s="295">
        <v>4.6649589999999996</v>
      </c>
      <c r="V1951" s="295">
        <v>4.6612280000000004</v>
      </c>
      <c r="W1951" s="295">
        <v>4.6592630000000002</v>
      </c>
      <c r="X1951" s="295">
        <v>4.6572339999999999</v>
      </c>
      <c r="Y1951" s="295">
        <v>4.6556470000000001</v>
      </c>
      <c r="Z1951" s="295">
        <v>4.6542440000000003</v>
      </c>
      <c r="AA1951" s="295">
        <v>4.6538490000000001</v>
      </c>
      <c r="AB1951" s="295">
        <v>4.6528790000000004</v>
      </c>
      <c r="AC1951" s="295">
        <v>4.6522269999999999</v>
      </c>
      <c r="AD1951" s="295">
        <v>4.6506920000000003</v>
      </c>
      <c r="AE1951" s="295">
        <v>4.64872</v>
      </c>
      <c r="AF1951" s="295">
        <v>4.6455820000000001</v>
      </c>
      <c r="AG1951" s="295">
        <v>4.6423579999999998</v>
      </c>
      <c r="AH1951" s="296">
        <v>-9.9299999999999996E-4</v>
      </c>
    </row>
    <row r="1952" spans="1:34" ht="15" customHeight="1" x14ac:dyDescent="0.25">
      <c r="A1952" s="213" t="s">
        <v>2484</v>
      </c>
      <c r="B1952" s="294" t="s">
        <v>2485</v>
      </c>
      <c r="C1952" s="295">
        <v>3.1886800000000002</v>
      </c>
      <c r="D1952" s="295">
        <v>3.2936350000000001</v>
      </c>
      <c r="E1952" s="295">
        <v>3.2661410000000002</v>
      </c>
      <c r="F1952" s="295">
        <v>3.3721369999999999</v>
      </c>
      <c r="G1952" s="295">
        <v>3.4352849999999999</v>
      </c>
      <c r="H1952" s="295">
        <v>3.4919349999999998</v>
      </c>
      <c r="I1952" s="295">
        <v>3.4982850000000001</v>
      </c>
      <c r="J1952" s="295">
        <v>3.5002629999999999</v>
      </c>
      <c r="K1952" s="295">
        <v>3.5014189999999998</v>
      </c>
      <c r="L1952" s="295">
        <v>3.50007</v>
      </c>
      <c r="M1952" s="295">
        <v>3.491981</v>
      </c>
      <c r="N1952" s="295">
        <v>3.4930289999999999</v>
      </c>
      <c r="O1952" s="295">
        <v>3.4980329999999999</v>
      </c>
      <c r="P1952" s="295">
        <v>3.502732</v>
      </c>
      <c r="Q1952" s="295">
        <v>3.5068510000000002</v>
      </c>
      <c r="R1952" s="295">
        <v>3.513099</v>
      </c>
      <c r="S1952" s="295">
        <v>3.520664</v>
      </c>
      <c r="T1952" s="295">
        <v>3.5274679999999998</v>
      </c>
      <c r="U1952" s="295">
        <v>3.5332309999999998</v>
      </c>
      <c r="V1952" s="295">
        <v>3.5384099999999998</v>
      </c>
      <c r="W1952" s="295">
        <v>3.5444360000000001</v>
      </c>
      <c r="X1952" s="295">
        <v>3.5514359999999998</v>
      </c>
      <c r="Y1952" s="295">
        <v>3.5586980000000001</v>
      </c>
      <c r="Z1952" s="295">
        <v>3.56541</v>
      </c>
      <c r="AA1952" s="295">
        <v>3.5726580000000001</v>
      </c>
      <c r="AB1952" s="295">
        <v>3.5780470000000002</v>
      </c>
      <c r="AC1952" s="295">
        <v>3.5831460000000002</v>
      </c>
      <c r="AD1952" s="295">
        <v>3.5866889999999998</v>
      </c>
      <c r="AE1952" s="295">
        <v>3.5889899999999999</v>
      </c>
      <c r="AF1952" s="295">
        <v>3.5895890000000001</v>
      </c>
      <c r="AG1952" s="295">
        <v>3.5891899999999999</v>
      </c>
      <c r="AH1952" s="296">
        <v>3.9519999999999998E-3</v>
      </c>
    </row>
    <row r="1953" spans="1:34" ht="15" customHeight="1" x14ac:dyDescent="0.25">
      <c r="A1953" s="213" t="s">
        <v>2486</v>
      </c>
      <c r="B1953" s="294" t="s">
        <v>2487</v>
      </c>
      <c r="C1953" s="295">
        <v>10.307473999999999</v>
      </c>
      <c r="D1953" s="295">
        <v>10.324541999999999</v>
      </c>
      <c r="E1953" s="295">
        <v>10.423318999999999</v>
      </c>
      <c r="F1953" s="295">
        <v>10.710521</v>
      </c>
      <c r="G1953" s="295">
        <v>11.029292</v>
      </c>
      <c r="H1953" s="295">
        <v>11.326619000000001</v>
      </c>
      <c r="I1953" s="295">
        <v>11.520507</v>
      </c>
      <c r="J1953" s="295">
        <v>11.549958</v>
      </c>
      <c r="K1953" s="295">
        <v>11.634205</v>
      </c>
      <c r="L1953" s="295">
        <v>11.729107000000001</v>
      </c>
      <c r="M1953" s="295">
        <v>11.808909999999999</v>
      </c>
      <c r="N1953" s="295">
        <v>11.905671999999999</v>
      </c>
      <c r="O1953" s="295">
        <v>11.966723</v>
      </c>
      <c r="P1953" s="295">
        <v>12.03717</v>
      </c>
      <c r="Q1953" s="295">
        <v>12.138468</v>
      </c>
      <c r="R1953" s="295">
        <v>12.221152999999999</v>
      </c>
      <c r="S1953" s="295">
        <v>12.301403000000001</v>
      </c>
      <c r="T1953" s="295">
        <v>12.389917000000001</v>
      </c>
      <c r="U1953" s="295">
        <v>12.489611999999999</v>
      </c>
      <c r="V1953" s="295">
        <v>12.605134</v>
      </c>
      <c r="W1953" s="295">
        <v>12.706348999999999</v>
      </c>
      <c r="X1953" s="295">
        <v>12.799595</v>
      </c>
      <c r="Y1953" s="295">
        <v>12.950118</v>
      </c>
      <c r="Z1953" s="295">
        <v>13.115741999999999</v>
      </c>
      <c r="AA1953" s="295">
        <v>13.225972000000001</v>
      </c>
      <c r="AB1953" s="295">
        <v>13.295372</v>
      </c>
      <c r="AC1953" s="295">
        <v>13.432309999999999</v>
      </c>
      <c r="AD1953" s="295">
        <v>13.543573</v>
      </c>
      <c r="AE1953" s="295">
        <v>13.651255000000001</v>
      </c>
      <c r="AF1953" s="295">
        <v>13.769857</v>
      </c>
      <c r="AG1953" s="295">
        <v>13.904431000000001</v>
      </c>
      <c r="AH1953" s="296">
        <v>1.0028E-2</v>
      </c>
    </row>
    <row r="1954" spans="1:34" ht="15" customHeight="1" x14ac:dyDescent="0.25">
      <c r="A1954" s="213" t="s">
        <v>2488</v>
      </c>
      <c r="B1954" s="294" t="s">
        <v>2489</v>
      </c>
      <c r="C1954" s="295">
        <v>8.1618849999999998</v>
      </c>
      <c r="D1954" s="295">
        <v>8.1039750000000002</v>
      </c>
      <c r="E1954" s="295">
        <v>8.1403680000000005</v>
      </c>
      <c r="F1954" s="295">
        <v>8.3639980000000005</v>
      </c>
      <c r="G1954" s="295">
        <v>8.6115490000000001</v>
      </c>
      <c r="H1954" s="295">
        <v>8.7746980000000008</v>
      </c>
      <c r="I1954" s="295">
        <v>8.8861930000000005</v>
      </c>
      <c r="J1954" s="295">
        <v>8.9008660000000006</v>
      </c>
      <c r="K1954" s="295">
        <v>8.9501279999999994</v>
      </c>
      <c r="L1954" s="295">
        <v>8.9996840000000002</v>
      </c>
      <c r="M1954" s="295">
        <v>9.019031</v>
      </c>
      <c r="N1954" s="295">
        <v>9.0754999999999999</v>
      </c>
      <c r="O1954" s="295">
        <v>9.1153150000000007</v>
      </c>
      <c r="P1954" s="295">
        <v>9.1527189999999994</v>
      </c>
      <c r="Q1954" s="295">
        <v>9.2304589999999997</v>
      </c>
      <c r="R1954" s="295">
        <v>9.3119289999999992</v>
      </c>
      <c r="S1954" s="295">
        <v>9.3895350000000004</v>
      </c>
      <c r="T1954" s="295">
        <v>9.4713440000000002</v>
      </c>
      <c r="U1954" s="295">
        <v>9.5639219999999998</v>
      </c>
      <c r="V1954" s="295">
        <v>9.6614810000000002</v>
      </c>
      <c r="W1954" s="295">
        <v>9.7406179999999996</v>
      </c>
      <c r="X1954" s="295">
        <v>9.8215620000000001</v>
      </c>
      <c r="Y1954" s="295">
        <v>9.945354</v>
      </c>
      <c r="Z1954" s="295">
        <v>10.071958</v>
      </c>
      <c r="AA1954" s="295">
        <v>10.160589</v>
      </c>
      <c r="AB1954" s="295">
        <v>10.231680000000001</v>
      </c>
      <c r="AC1954" s="295">
        <v>10.348585</v>
      </c>
      <c r="AD1954" s="295">
        <v>10.451378999999999</v>
      </c>
      <c r="AE1954" s="295">
        <v>10.545999999999999</v>
      </c>
      <c r="AF1954" s="295">
        <v>10.665246</v>
      </c>
      <c r="AG1954" s="295">
        <v>10.796975</v>
      </c>
      <c r="AH1954" s="296">
        <v>9.3699999999999999E-3</v>
      </c>
    </row>
    <row r="1955" spans="1:34" ht="15" customHeight="1" x14ac:dyDescent="0.25">
      <c r="A1955" s="213" t="s">
        <v>2490</v>
      </c>
      <c r="B1955" s="294" t="s">
        <v>2491</v>
      </c>
      <c r="C1955" s="295">
        <v>1.798462</v>
      </c>
      <c r="D1955" s="295">
        <v>1.7432259999999999</v>
      </c>
      <c r="E1955" s="295">
        <v>1.813852</v>
      </c>
      <c r="F1955" s="295">
        <v>1.871607</v>
      </c>
      <c r="G1955" s="295">
        <v>1.8867400000000001</v>
      </c>
      <c r="H1955" s="295">
        <v>1.9374670000000001</v>
      </c>
      <c r="I1955" s="295">
        <v>1.9705790000000001</v>
      </c>
      <c r="J1955" s="295">
        <v>1.985358</v>
      </c>
      <c r="K1955" s="295">
        <v>2.0035249999999998</v>
      </c>
      <c r="L1955" s="295">
        <v>2.0206879999999998</v>
      </c>
      <c r="M1955" s="295">
        <v>2.0511460000000001</v>
      </c>
      <c r="N1955" s="295">
        <v>2.076438</v>
      </c>
      <c r="O1955" s="295">
        <v>2.0958549999999998</v>
      </c>
      <c r="P1955" s="295">
        <v>2.1307170000000002</v>
      </c>
      <c r="Q1955" s="295">
        <v>2.154274</v>
      </c>
      <c r="R1955" s="295">
        <v>2.1554899999999999</v>
      </c>
      <c r="S1955" s="295">
        <v>2.1563159999999999</v>
      </c>
      <c r="T1955" s="295">
        <v>2.1648390000000002</v>
      </c>
      <c r="U1955" s="295">
        <v>2.1719550000000001</v>
      </c>
      <c r="V1955" s="295">
        <v>2.189918</v>
      </c>
      <c r="W1955" s="295">
        <v>2.2101799999999998</v>
      </c>
      <c r="X1955" s="295">
        <v>2.2242980000000001</v>
      </c>
      <c r="Y1955" s="295">
        <v>2.2510300000000001</v>
      </c>
      <c r="Z1955" s="295">
        <v>2.2900489999999998</v>
      </c>
      <c r="AA1955" s="295">
        <v>2.3098299999999998</v>
      </c>
      <c r="AB1955" s="295">
        <v>2.309958</v>
      </c>
      <c r="AC1955" s="295">
        <v>2.3299910000000001</v>
      </c>
      <c r="AD1955" s="295">
        <v>2.3384589999999998</v>
      </c>
      <c r="AE1955" s="295">
        <v>2.3497020000000002</v>
      </c>
      <c r="AF1955" s="295">
        <v>2.3508770000000001</v>
      </c>
      <c r="AG1955" s="295">
        <v>2.3537210000000002</v>
      </c>
      <c r="AH1955" s="296">
        <v>9.0089999999999996E-3</v>
      </c>
    </row>
    <row r="1956" spans="1:34" ht="15" customHeight="1" x14ac:dyDescent="0.25">
      <c r="A1956" s="213" t="s">
        <v>2492</v>
      </c>
      <c r="B1956" s="294" t="s">
        <v>2493</v>
      </c>
      <c r="C1956" s="295">
        <v>0.34712700000000002</v>
      </c>
      <c r="D1956" s="295">
        <v>0.47734100000000002</v>
      </c>
      <c r="E1956" s="295">
        <v>0.46909800000000001</v>
      </c>
      <c r="F1956" s="295">
        <v>0.474914</v>
      </c>
      <c r="G1956" s="295">
        <v>0.531003</v>
      </c>
      <c r="H1956" s="295">
        <v>0.61445399999999994</v>
      </c>
      <c r="I1956" s="295">
        <v>0.66373400000000005</v>
      </c>
      <c r="J1956" s="295">
        <v>0.66373400000000005</v>
      </c>
      <c r="K1956" s="295">
        <v>0.68055299999999996</v>
      </c>
      <c r="L1956" s="295">
        <v>0.70873399999999998</v>
      </c>
      <c r="M1956" s="295">
        <v>0.738734</v>
      </c>
      <c r="N1956" s="295">
        <v>0.75373400000000002</v>
      </c>
      <c r="O1956" s="295">
        <v>0.75555300000000003</v>
      </c>
      <c r="P1956" s="295">
        <v>0.75373400000000002</v>
      </c>
      <c r="Q1956" s="295">
        <v>0.75373400000000002</v>
      </c>
      <c r="R1956" s="295">
        <v>0.75373400000000002</v>
      </c>
      <c r="S1956" s="295">
        <v>0.75555300000000003</v>
      </c>
      <c r="T1956" s="295">
        <v>0.75373400000000002</v>
      </c>
      <c r="U1956" s="295">
        <v>0.75373400000000002</v>
      </c>
      <c r="V1956" s="295">
        <v>0.75373400000000002</v>
      </c>
      <c r="W1956" s="295">
        <v>0.75555300000000003</v>
      </c>
      <c r="X1956" s="295">
        <v>0.75373400000000002</v>
      </c>
      <c r="Y1956" s="295">
        <v>0.75373400000000002</v>
      </c>
      <c r="Z1956" s="295">
        <v>0.75373400000000002</v>
      </c>
      <c r="AA1956" s="295">
        <v>0.75555300000000003</v>
      </c>
      <c r="AB1956" s="295">
        <v>0.75373400000000002</v>
      </c>
      <c r="AC1956" s="295">
        <v>0.75373400000000002</v>
      </c>
      <c r="AD1956" s="295">
        <v>0.75373400000000002</v>
      </c>
      <c r="AE1956" s="295">
        <v>0.75555300000000003</v>
      </c>
      <c r="AF1956" s="295">
        <v>0.75373400000000002</v>
      </c>
      <c r="AG1956" s="295">
        <v>0.75373400000000002</v>
      </c>
      <c r="AH1956" s="296">
        <v>2.6182E-2</v>
      </c>
    </row>
    <row r="1957" spans="1:34" ht="15" customHeight="1" x14ac:dyDescent="0.25">
      <c r="A1957" s="213" t="s">
        <v>2494</v>
      </c>
      <c r="B1957" s="294" t="s">
        <v>2495</v>
      </c>
      <c r="C1957" s="295">
        <v>0</v>
      </c>
      <c r="D1957" s="295">
        <v>0</v>
      </c>
      <c r="E1957" s="295">
        <v>0</v>
      </c>
      <c r="F1957" s="295">
        <v>0</v>
      </c>
      <c r="G1957" s="295">
        <v>0</v>
      </c>
      <c r="H1957" s="295">
        <v>0</v>
      </c>
      <c r="I1957" s="295">
        <v>0</v>
      </c>
      <c r="J1957" s="295">
        <v>0</v>
      </c>
      <c r="K1957" s="295">
        <v>0</v>
      </c>
      <c r="L1957" s="295">
        <v>0</v>
      </c>
      <c r="M1957" s="295">
        <v>0</v>
      </c>
      <c r="N1957" s="295">
        <v>0</v>
      </c>
      <c r="O1957" s="295">
        <v>0</v>
      </c>
      <c r="P1957" s="295">
        <v>0</v>
      </c>
      <c r="Q1957" s="295">
        <v>0</v>
      </c>
      <c r="R1957" s="295">
        <v>0</v>
      </c>
      <c r="S1957" s="295">
        <v>0</v>
      </c>
      <c r="T1957" s="295">
        <v>0</v>
      </c>
      <c r="U1957" s="295">
        <v>0</v>
      </c>
      <c r="V1957" s="295">
        <v>0</v>
      </c>
      <c r="W1957" s="295">
        <v>0</v>
      </c>
      <c r="X1957" s="295">
        <v>0</v>
      </c>
      <c r="Y1957" s="295">
        <v>0</v>
      </c>
      <c r="Z1957" s="295">
        <v>0</v>
      </c>
      <c r="AA1957" s="295">
        <v>0</v>
      </c>
      <c r="AB1957" s="295">
        <v>0</v>
      </c>
      <c r="AC1957" s="295">
        <v>0</v>
      </c>
      <c r="AD1957" s="295">
        <v>0</v>
      </c>
      <c r="AE1957" s="295">
        <v>0</v>
      </c>
      <c r="AF1957" s="295">
        <v>0</v>
      </c>
      <c r="AG1957" s="295">
        <v>0</v>
      </c>
      <c r="AH1957" s="296" t="s">
        <v>635</v>
      </c>
    </row>
    <row r="1958" spans="1:34" ht="15" customHeight="1" x14ac:dyDescent="0.25">
      <c r="A1958" s="213" t="s">
        <v>2496</v>
      </c>
      <c r="B1958" s="294" t="s">
        <v>2497</v>
      </c>
      <c r="C1958" s="295">
        <v>0</v>
      </c>
      <c r="D1958" s="295">
        <v>0</v>
      </c>
      <c r="E1958" s="295">
        <v>0</v>
      </c>
      <c r="F1958" s="295">
        <v>0</v>
      </c>
      <c r="G1958" s="295">
        <v>0</v>
      </c>
      <c r="H1958" s="295">
        <v>0</v>
      </c>
      <c r="I1958" s="295">
        <v>0</v>
      </c>
      <c r="J1958" s="295">
        <v>0</v>
      </c>
      <c r="K1958" s="295">
        <v>0</v>
      </c>
      <c r="L1958" s="295">
        <v>0</v>
      </c>
      <c r="M1958" s="295">
        <v>0</v>
      </c>
      <c r="N1958" s="295">
        <v>0</v>
      </c>
      <c r="O1958" s="295">
        <v>0</v>
      </c>
      <c r="P1958" s="295">
        <v>0</v>
      </c>
      <c r="Q1958" s="295">
        <v>0</v>
      </c>
      <c r="R1958" s="295">
        <v>0</v>
      </c>
      <c r="S1958" s="295">
        <v>0</v>
      </c>
      <c r="T1958" s="295">
        <v>0</v>
      </c>
      <c r="U1958" s="295">
        <v>0</v>
      </c>
      <c r="V1958" s="295">
        <v>0</v>
      </c>
      <c r="W1958" s="295">
        <v>0</v>
      </c>
      <c r="X1958" s="295">
        <v>0</v>
      </c>
      <c r="Y1958" s="295">
        <v>0</v>
      </c>
      <c r="Z1958" s="295">
        <v>0</v>
      </c>
      <c r="AA1958" s="295">
        <v>0</v>
      </c>
      <c r="AB1958" s="295">
        <v>0</v>
      </c>
      <c r="AC1958" s="295">
        <v>0</v>
      </c>
      <c r="AD1958" s="295">
        <v>0</v>
      </c>
      <c r="AE1958" s="295">
        <v>0</v>
      </c>
      <c r="AF1958" s="295">
        <v>0</v>
      </c>
      <c r="AG1958" s="295">
        <v>0</v>
      </c>
      <c r="AH1958" s="296" t="s">
        <v>635</v>
      </c>
    </row>
    <row r="1959" spans="1:34" ht="15" customHeight="1" x14ac:dyDescent="0.25">
      <c r="A1959" s="213" t="s">
        <v>2498</v>
      </c>
      <c r="B1959" s="294" t="s">
        <v>2499</v>
      </c>
      <c r="C1959" s="295">
        <v>0.76573500000000005</v>
      </c>
      <c r="D1959" s="295">
        <v>0.84382599999999996</v>
      </c>
      <c r="E1959" s="295">
        <v>0.82471700000000003</v>
      </c>
      <c r="F1959" s="295">
        <v>0.79586000000000001</v>
      </c>
      <c r="G1959" s="295">
        <v>0.76708799999999999</v>
      </c>
      <c r="H1959" s="295">
        <v>0.765038</v>
      </c>
      <c r="I1959" s="295">
        <v>0.73088399999999998</v>
      </c>
      <c r="J1959" s="295">
        <v>0.73413499999999998</v>
      </c>
      <c r="K1959" s="295">
        <v>0.74223300000000003</v>
      </c>
      <c r="L1959" s="295">
        <v>0.75042900000000001</v>
      </c>
      <c r="M1959" s="295">
        <v>0.747803</v>
      </c>
      <c r="N1959" s="295">
        <v>0.763764</v>
      </c>
      <c r="O1959" s="295">
        <v>0.77973899999999996</v>
      </c>
      <c r="P1959" s="295">
        <v>0.79238399999999998</v>
      </c>
      <c r="Q1959" s="295">
        <v>0.80547199999999997</v>
      </c>
      <c r="R1959" s="295">
        <v>0.82133400000000001</v>
      </c>
      <c r="S1959" s="295">
        <v>0.83460100000000004</v>
      </c>
      <c r="T1959" s="295">
        <v>0.84880500000000003</v>
      </c>
      <c r="U1959" s="295">
        <v>0.86659399999999998</v>
      </c>
      <c r="V1959" s="295">
        <v>0.88106499999999999</v>
      </c>
      <c r="W1959" s="295">
        <v>0.90939300000000001</v>
      </c>
      <c r="X1959" s="295">
        <v>0.92513000000000001</v>
      </c>
      <c r="Y1959" s="295">
        <v>0.94975399999999999</v>
      </c>
      <c r="Z1959" s="295">
        <v>0.97280999999999995</v>
      </c>
      <c r="AA1959" s="295">
        <v>0.996973</v>
      </c>
      <c r="AB1959" s="295">
        <v>1.013085</v>
      </c>
      <c r="AC1959" s="295">
        <v>1.0396270000000001</v>
      </c>
      <c r="AD1959" s="295">
        <v>1.060481</v>
      </c>
      <c r="AE1959" s="295">
        <v>1.0802970000000001</v>
      </c>
      <c r="AF1959" s="295">
        <v>1.1021570000000001</v>
      </c>
      <c r="AG1959" s="295">
        <v>1.126101</v>
      </c>
      <c r="AH1959" s="296">
        <v>1.2939000000000001E-2</v>
      </c>
    </row>
    <row r="1960" spans="1:34" ht="15" customHeight="1" x14ac:dyDescent="0.25">
      <c r="A1960" s="213" t="s">
        <v>2500</v>
      </c>
      <c r="B1960" s="294" t="s">
        <v>2501</v>
      </c>
      <c r="C1960" s="295">
        <v>8.4655999999999995E-2</v>
      </c>
      <c r="D1960" s="295">
        <v>0.10911700000000001</v>
      </c>
      <c r="E1960" s="295">
        <v>9.5128000000000004E-2</v>
      </c>
      <c r="F1960" s="295">
        <v>0.103537</v>
      </c>
      <c r="G1960" s="295">
        <v>0.11100500000000001</v>
      </c>
      <c r="H1960" s="295">
        <v>0.12385699999999999</v>
      </c>
      <c r="I1960" s="295">
        <v>0.129723</v>
      </c>
      <c r="J1960" s="295">
        <v>0.13825100000000001</v>
      </c>
      <c r="K1960" s="295">
        <v>0.14740500000000001</v>
      </c>
      <c r="L1960" s="295">
        <v>0.15612899999999999</v>
      </c>
      <c r="M1960" s="295">
        <v>0.158139</v>
      </c>
      <c r="N1960" s="295">
        <v>0.17291799999999999</v>
      </c>
      <c r="O1960" s="295">
        <v>0.18391399999999999</v>
      </c>
      <c r="P1960" s="295">
        <v>0.194109</v>
      </c>
      <c r="Q1960" s="295">
        <v>0.20510900000000001</v>
      </c>
      <c r="R1960" s="295">
        <v>0.216278</v>
      </c>
      <c r="S1960" s="295">
        <v>0.226467</v>
      </c>
      <c r="T1960" s="295">
        <v>0.23658199999999999</v>
      </c>
      <c r="U1960" s="295">
        <v>0.24970899999999999</v>
      </c>
      <c r="V1960" s="295">
        <v>0.26006699999999999</v>
      </c>
      <c r="W1960" s="295">
        <v>0.28187600000000002</v>
      </c>
      <c r="X1960" s="295">
        <v>0.29385099999999997</v>
      </c>
      <c r="Y1960" s="295">
        <v>0.31305300000000003</v>
      </c>
      <c r="Z1960" s="295">
        <v>0.32849600000000001</v>
      </c>
      <c r="AA1960" s="295">
        <v>0.34504200000000002</v>
      </c>
      <c r="AB1960" s="295">
        <v>0.356012</v>
      </c>
      <c r="AC1960" s="295">
        <v>0.37489600000000001</v>
      </c>
      <c r="AD1960" s="295">
        <v>0.39149600000000001</v>
      </c>
      <c r="AE1960" s="295">
        <v>0.40564299999999998</v>
      </c>
      <c r="AF1960" s="295">
        <v>0.42072300000000001</v>
      </c>
      <c r="AG1960" s="295">
        <v>0.43700800000000001</v>
      </c>
      <c r="AH1960" s="296">
        <v>5.6236000000000001E-2</v>
      </c>
    </row>
    <row r="1961" spans="1:34" ht="15" customHeight="1" x14ac:dyDescent="0.25">
      <c r="A1961" s="213" t="s">
        <v>2502</v>
      </c>
      <c r="B1961" s="294" t="s">
        <v>2503</v>
      </c>
      <c r="C1961" s="295">
        <v>0.68107899999999999</v>
      </c>
      <c r="D1961" s="295">
        <v>0.73470899999999995</v>
      </c>
      <c r="E1961" s="295">
        <v>0.72958900000000004</v>
      </c>
      <c r="F1961" s="295">
        <v>0.69232300000000002</v>
      </c>
      <c r="G1961" s="295">
        <v>0.65608299999999997</v>
      </c>
      <c r="H1961" s="295">
        <v>0.64117999999999997</v>
      </c>
      <c r="I1961" s="295">
        <v>0.60116099999999995</v>
      </c>
      <c r="J1961" s="295">
        <v>0.59588399999999997</v>
      </c>
      <c r="K1961" s="295">
        <v>0.59482800000000002</v>
      </c>
      <c r="L1961" s="295">
        <v>0.59430099999999997</v>
      </c>
      <c r="M1961" s="295">
        <v>0.58966399999999997</v>
      </c>
      <c r="N1961" s="295">
        <v>0.59084599999999998</v>
      </c>
      <c r="O1961" s="295">
        <v>0.59582500000000005</v>
      </c>
      <c r="P1961" s="295">
        <v>0.59827600000000003</v>
      </c>
      <c r="Q1961" s="295">
        <v>0.60036299999999998</v>
      </c>
      <c r="R1961" s="295">
        <v>0.60505600000000004</v>
      </c>
      <c r="S1961" s="295">
        <v>0.60813499999999998</v>
      </c>
      <c r="T1961" s="295">
        <v>0.61222299999999996</v>
      </c>
      <c r="U1961" s="295">
        <v>0.61688500000000002</v>
      </c>
      <c r="V1961" s="295">
        <v>0.62099800000000005</v>
      </c>
      <c r="W1961" s="295">
        <v>0.62751800000000002</v>
      </c>
      <c r="X1961" s="295">
        <v>0.63127900000000003</v>
      </c>
      <c r="Y1961" s="295">
        <v>0.63670099999999996</v>
      </c>
      <c r="Z1961" s="295">
        <v>0.64431400000000005</v>
      </c>
      <c r="AA1961" s="295">
        <v>0.65193100000000004</v>
      </c>
      <c r="AB1961" s="295">
        <v>0.65707400000000005</v>
      </c>
      <c r="AC1961" s="295">
        <v>0.66473099999999996</v>
      </c>
      <c r="AD1961" s="295">
        <v>0.66898400000000002</v>
      </c>
      <c r="AE1961" s="295">
        <v>0.67465399999999998</v>
      </c>
      <c r="AF1961" s="295">
        <v>0.68143399999999998</v>
      </c>
      <c r="AG1961" s="295">
        <v>0.68909299999999996</v>
      </c>
      <c r="AH1961" s="296">
        <v>3.8999999999999999E-4</v>
      </c>
    </row>
    <row r="1962" spans="1:34" ht="15" customHeight="1" x14ac:dyDescent="0.25">
      <c r="A1962" s="213" t="s">
        <v>2504</v>
      </c>
      <c r="B1962" s="294" t="s">
        <v>2505</v>
      </c>
      <c r="C1962" s="295">
        <v>11.714919999999999</v>
      </c>
      <c r="D1962" s="295">
        <v>9.8481550000000002</v>
      </c>
      <c r="E1962" s="295">
        <v>9.8274830000000009</v>
      </c>
      <c r="F1962" s="295">
        <v>10.201473999999999</v>
      </c>
      <c r="G1962" s="295">
        <v>10.078011999999999</v>
      </c>
      <c r="H1962" s="295">
        <v>10.449108000000001</v>
      </c>
      <c r="I1962" s="295">
        <v>10.592544</v>
      </c>
      <c r="J1962" s="295">
        <v>10.587401</v>
      </c>
      <c r="K1962" s="295">
        <v>10.403589999999999</v>
      </c>
      <c r="L1962" s="295">
        <v>10.364284</v>
      </c>
      <c r="M1962" s="295">
        <v>10.201119</v>
      </c>
      <c r="N1962" s="295">
        <v>10.247612999999999</v>
      </c>
      <c r="O1962" s="295">
        <v>10.238481</v>
      </c>
      <c r="P1962" s="295">
        <v>10.231859</v>
      </c>
      <c r="Q1962" s="295">
        <v>10.252663</v>
      </c>
      <c r="R1962" s="295">
        <v>10.151533000000001</v>
      </c>
      <c r="S1962" s="295">
        <v>10.186614000000001</v>
      </c>
      <c r="T1962" s="295">
        <v>10.305348</v>
      </c>
      <c r="U1962" s="295">
        <v>10.493639</v>
      </c>
      <c r="V1962" s="295">
        <v>10.661141000000001</v>
      </c>
      <c r="W1962" s="295">
        <v>10.833966</v>
      </c>
      <c r="X1962" s="295">
        <v>10.915029000000001</v>
      </c>
      <c r="Y1962" s="295">
        <v>11.070893999999999</v>
      </c>
      <c r="Z1962" s="295">
        <v>11.275214999999999</v>
      </c>
      <c r="AA1962" s="295">
        <v>11.425905999999999</v>
      </c>
      <c r="AB1962" s="295">
        <v>11.576945</v>
      </c>
      <c r="AC1962" s="295">
        <v>11.632323</v>
      </c>
      <c r="AD1962" s="295">
        <v>11.712527</v>
      </c>
      <c r="AE1962" s="295">
        <v>11.843591999999999</v>
      </c>
      <c r="AF1962" s="295">
        <v>11.967836</v>
      </c>
      <c r="AG1962" s="295">
        <v>12.12926</v>
      </c>
      <c r="AH1962" s="296">
        <v>1.1590000000000001E-3</v>
      </c>
    </row>
    <row r="1964" spans="1:34" ht="15" customHeight="1" x14ac:dyDescent="0.2">
      <c r="A1964" s="213" t="s">
        <v>2506</v>
      </c>
      <c r="B1964" s="204" t="s">
        <v>2507</v>
      </c>
      <c r="C1964" s="205">
        <v>0.52590599999999998</v>
      </c>
      <c r="D1964" s="205">
        <v>-0.24904799999999999</v>
      </c>
      <c r="E1964" s="205">
        <v>-0.131802</v>
      </c>
      <c r="F1964" s="205">
        <v>-2.4294E-2</v>
      </c>
      <c r="G1964" s="205">
        <v>8.4745000000000001E-2</v>
      </c>
      <c r="H1964" s="205">
        <v>0.18867500000000001</v>
      </c>
      <c r="I1964" s="205">
        <v>0.284084</v>
      </c>
      <c r="J1964" s="205">
        <v>0.28467900000000002</v>
      </c>
      <c r="K1964" s="205">
        <v>0.30015799999999998</v>
      </c>
      <c r="L1964" s="205">
        <v>0.28900900000000002</v>
      </c>
      <c r="M1964" s="205">
        <v>0.28560999999999998</v>
      </c>
      <c r="N1964" s="205">
        <v>0.26593</v>
      </c>
      <c r="O1964" s="205">
        <v>0.285501</v>
      </c>
      <c r="P1964" s="205">
        <v>0.26859699999999997</v>
      </c>
      <c r="Q1964" s="205">
        <v>0.257803</v>
      </c>
      <c r="R1964" s="205">
        <v>0.26263999999999998</v>
      </c>
      <c r="S1964" s="205">
        <v>0.25541900000000001</v>
      </c>
      <c r="T1964" s="205">
        <v>0.25125500000000001</v>
      </c>
      <c r="U1964" s="205">
        <v>0.25707200000000002</v>
      </c>
      <c r="V1964" s="205">
        <v>0.24083299999999999</v>
      </c>
      <c r="W1964" s="205">
        <v>0.23280000000000001</v>
      </c>
      <c r="X1964" s="205">
        <v>0.24148600000000001</v>
      </c>
      <c r="Y1964" s="205">
        <v>0.23750299999999999</v>
      </c>
      <c r="Z1964" s="205">
        <v>0.23403499999999999</v>
      </c>
      <c r="AA1964" s="205">
        <v>0.236259</v>
      </c>
      <c r="AB1964" s="205">
        <v>0.23710300000000001</v>
      </c>
      <c r="AC1964" s="205">
        <v>0.23125499999999999</v>
      </c>
      <c r="AD1964" s="205">
        <v>0.24514</v>
      </c>
      <c r="AE1964" s="205">
        <v>0.24843199999999999</v>
      </c>
      <c r="AF1964" s="205">
        <v>0.25778600000000002</v>
      </c>
      <c r="AG1964" s="205">
        <v>0.260353</v>
      </c>
      <c r="AH1964" s="206" t="s">
        <v>635</v>
      </c>
    </row>
    <row r="1966" spans="1:34" ht="15" customHeight="1" x14ac:dyDescent="0.2">
      <c r="B1966" s="204" t="s">
        <v>2508</v>
      </c>
    </row>
    <row r="1968" spans="1:34" ht="15" customHeight="1" x14ac:dyDescent="0.2">
      <c r="B1968" s="204" t="s">
        <v>2509</v>
      </c>
    </row>
    <row r="1969" spans="1:34" ht="15" customHeight="1" x14ac:dyDescent="0.2">
      <c r="A1969" s="213" t="s">
        <v>2510</v>
      </c>
      <c r="B1969" s="204" t="s">
        <v>1708</v>
      </c>
      <c r="C1969" s="205">
        <v>2.0664720000000001</v>
      </c>
      <c r="D1969" s="205">
        <v>3.10073</v>
      </c>
      <c r="E1969" s="205">
        <v>3.2256840000000002</v>
      </c>
      <c r="F1969" s="205">
        <v>2.992324</v>
      </c>
      <c r="G1969" s="205">
        <v>2.8017919999999998</v>
      </c>
      <c r="H1969" s="205">
        <v>2.8803239999999999</v>
      </c>
      <c r="I1969" s="205">
        <v>2.9843310000000001</v>
      </c>
      <c r="J1969" s="205">
        <v>3.042141</v>
      </c>
      <c r="K1969" s="205">
        <v>3.1755100000000001</v>
      </c>
      <c r="L1969" s="205">
        <v>3.2906309999999999</v>
      </c>
      <c r="M1969" s="205">
        <v>3.3439549999999998</v>
      </c>
      <c r="N1969" s="205">
        <v>3.3584839999999998</v>
      </c>
      <c r="O1969" s="205">
        <v>3.4230429999999998</v>
      </c>
      <c r="P1969" s="205">
        <v>3.4872100000000001</v>
      </c>
      <c r="Q1969" s="205">
        <v>3.5170400000000002</v>
      </c>
      <c r="R1969" s="205">
        <v>3.5326979999999999</v>
      </c>
      <c r="S1969" s="205">
        <v>3.5373169999999998</v>
      </c>
      <c r="T1969" s="205">
        <v>3.5283199999999999</v>
      </c>
      <c r="U1969" s="205">
        <v>3.5497399999999999</v>
      </c>
      <c r="V1969" s="205">
        <v>3.5503559999999998</v>
      </c>
      <c r="W1969" s="205">
        <v>3.5492530000000002</v>
      </c>
      <c r="X1969" s="205">
        <v>3.549023</v>
      </c>
      <c r="Y1969" s="205">
        <v>3.5287259999999998</v>
      </c>
      <c r="Z1969" s="205">
        <v>3.5056509999999999</v>
      </c>
      <c r="AA1969" s="205">
        <v>3.5018690000000001</v>
      </c>
      <c r="AB1969" s="205">
        <v>3.5076990000000001</v>
      </c>
      <c r="AC1969" s="205">
        <v>3.521007</v>
      </c>
      <c r="AD1969" s="205">
        <v>3.547183</v>
      </c>
      <c r="AE1969" s="205">
        <v>3.5962100000000001</v>
      </c>
      <c r="AF1969" s="205">
        <v>3.6540050000000002</v>
      </c>
      <c r="AG1969" s="205">
        <v>3.6939389999999999</v>
      </c>
      <c r="AH1969" s="206">
        <v>1.9550000000000001E-2</v>
      </c>
    </row>
    <row r="1971" spans="1:34" ht="15" customHeight="1" x14ac:dyDescent="0.2">
      <c r="B1971" s="204" t="s">
        <v>2511</v>
      </c>
    </row>
    <row r="1972" spans="1:34" ht="15" customHeight="1" x14ac:dyDescent="0.2">
      <c r="B1972" s="204" t="s">
        <v>2512</v>
      </c>
    </row>
    <row r="1973" spans="1:34" ht="15" customHeight="1" x14ac:dyDescent="0.25">
      <c r="A1973" s="213" t="s">
        <v>2513</v>
      </c>
      <c r="B1973" s="294" t="s">
        <v>2514</v>
      </c>
      <c r="C1973" s="295">
        <v>10.537243</v>
      </c>
      <c r="D1973" s="295">
        <v>10.814795</v>
      </c>
      <c r="E1973" s="295">
        <v>10.740482</v>
      </c>
      <c r="F1973" s="295">
        <v>10.613196</v>
      </c>
      <c r="G1973" s="295">
        <v>10.451302999999999</v>
      </c>
      <c r="H1973" s="295">
        <v>10.547084</v>
      </c>
      <c r="I1973" s="295">
        <v>10.694221000000001</v>
      </c>
      <c r="J1973" s="295">
        <v>10.79739</v>
      </c>
      <c r="K1973" s="295">
        <v>10.914479</v>
      </c>
      <c r="L1973" s="295">
        <v>11.055099999999999</v>
      </c>
      <c r="M1973" s="295">
        <v>11.419860999999999</v>
      </c>
      <c r="N1973" s="295">
        <v>11.468187</v>
      </c>
      <c r="O1973" s="295">
        <v>11.564026</v>
      </c>
      <c r="P1973" s="295">
        <v>11.677168999999999</v>
      </c>
      <c r="Q1973" s="295">
        <v>11.745335000000001</v>
      </c>
      <c r="R1973" s="295">
        <v>11.781732</v>
      </c>
      <c r="S1973" s="295">
        <v>11.798117</v>
      </c>
      <c r="T1973" s="295">
        <v>11.826159000000001</v>
      </c>
      <c r="U1973" s="295">
        <v>11.858226</v>
      </c>
      <c r="V1973" s="295">
        <v>11.879637000000001</v>
      </c>
      <c r="W1973" s="295">
        <v>11.886778</v>
      </c>
      <c r="X1973" s="295">
        <v>11.912520000000001</v>
      </c>
      <c r="Y1973" s="295">
        <v>11.921177999999999</v>
      </c>
      <c r="Z1973" s="295">
        <v>11.935447</v>
      </c>
      <c r="AA1973" s="295">
        <v>11.940625000000001</v>
      </c>
      <c r="AB1973" s="295">
        <v>11.975809</v>
      </c>
      <c r="AC1973" s="295">
        <v>11.995084</v>
      </c>
      <c r="AD1973" s="295">
        <v>12.039871</v>
      </c>
      <c r="AE1973" s="295">
        <v>12.087629</v>
      </c>
      <c r="AF1973" s="295">
        <v>12.154814999999999</v>
      </c>
      <c r="AG1973" s="295">
        <v>12.216571</v>
      </c>
      <c r="AH1973" s="296">
        <v>4.9410000000000001E-3</v>
      </c>
    </row>
    <row r="1974" spans="1:34" ht="15" customHeight="1" x14ac:dyDescent="0.25">
      <c r="A1974" s="213" t="s">
        <v>2515</v>
      </c>
      <c r="B1974" s="294" t="s">
        <v>2516</v>
      </c>
      <c r="C1974" s="295">
        <v>7.5093370000000004</v>
      </c>
      <c r="D1974" s="295">
        <v>7.9501090000000003</v>
      </c>
      <c r="E1974" s="295">
        <v>8.1958029999999997</v>
      </c>
      <c r="F1974" s="295">
        <v>8.0214400000000001</v>
      </c>
      <c r="G1974" s="295">
        <v>7.8327049999999998</v>
      </c>
      <c r="H1974" s="295">
        <v>7.89473</v>
      </c>
      <c r="I1974" s="295">
        <v>8.0045040000000007</v>
      </c>
      <c r="J1974" s="295">
        <v>8.0688379999999995</v>
      </c>
      <c r="K1974" s="295">
        <v>8.1513819999999999</v>
      </c>
      <c r="L1974" s="295">
        <v>8.2593589999999999</v>
      </c>
      <c r="M1974" s="295">
        <v>8.5158529999999999</v>
      </c>
      <c r="N1974" s="295">
        <v>8.5267199999999992</v>
      </c>
      <c r="O1974" s="295">
        <v>8.5830479999999998</v>
      </c>
      <c r="P1974" s="295">
        <v>8.6709700000000005</v>
      </c>
      <c r="Q1974" s="295">
        <v>8.7190429999999992</v>
      </c>
      <c r="R1974" s="295">
        <v>8.7387139999999999</v>
      </c>
      <c r="S1974" s="295">
        <v>8.7404220000000006</v>
      </c>
      <c r="T1974" s="295">
        <v>8.7539479999999994</v>
      </c>
      <c r="U1974" s="295">
        <v>8.7719509999999996</v>
      </c>
      <c r="V1974" s="295">
        <v>8.7820269999999994</v>
      </c>
      <c r="W1974" s="295">
        <v>8.7799410000000009</v>
      </c>
      <c r="X1974" s="295">
        <v>8.7965230000000005</v>
      </c>
      <c r="Y1974" s="295">
        <v>8.7956339999999997</v>
      </c>
      <c r="Z1974" s="295">
        <v>8.8028099999999991</v>
      </c>
      <c r="AA1974" s="295">
        <v>8.7995769999999993</v>
      </c>
      <c r="AB1974" s="295">
        <v>8.826352</v>
      </c>
      <c r="AC1974" s="295">
        <v>8.8384549999999997</v>
      </c>
      <c r="AD1974" s="295">
        <v>8.8748339999999999</v>
      </c>
      <c r="AE1974" s="295">
        <v>8.914612</v>
      </c>
      <c r="AF1974" s="295">
        <v>8.9718979999999995</v>
      </c>
      <c r="AG1974" s="295">
        <v>9.0240930000000006</v>
      </c>
      <c r="AH1974" s="296">
        <v>6.1440000000000002E-3</v>
      </c>
    </row>
    <row r="1975" spans="1:34" ht="15" customHeight="1" x14ac:dyDescent="0.25">
      <c r="A1975" s="213" t="s">
        <v>2517</v>
      </c>
      <c r="B1975" s="294" t="s">
        <v>2518</v>
      </c>
      <c r="C1975" s="295">
        <v>3.1803910000000002</v>
      </c>
      <c r="D1975" s="295">
        <v>4.1628379999999998</v>
      </c>
      <c r="E1975" s="295">
        <v>4.3145819999999997</v>
      </c>
      <c r="F1975" s="295">
        <v>4.0836309999999996</v>
      </c>
      <c r="G1975" s="295">
        <v>3.864322</v>
      </c>
      <c r="H1975" s="295">
        <v>3.9276309999999999</v>
      </c>
      <c r="I1975" s="295">
        <v>4.0262399999999996</v>
      </c>
      <c r="J1975" s="295">
        <v>4.0895789999999996</v>
      </c>
      <c r="K1975" s="295">
        <v>4.2145070000000002</v>
      </c>
      <c r="L1975" s="295">
        <v>4.3296789999999996</v>
      </c>
      <c r="M1975" s="295">
        <v>4.3615430000000002</v>
      </c>
      <c r="N1975" s="295">
        <v>4.3703729999999998</v>
      </c>
      <c r="O1975" s="295">
        <v>4.4243309999999996</v>
      </c>
      <c r="P1975" s="295">
        <v>4.4989980000000003</v>
      </c>
      <c r="Q1975" s="295">
        <v>4.5330599999999999</v>
      </c>
      <c r="R1975" s="295">
        <v>4.5442790000000004</v>
      </c>
      <c r="S1975" s="295">
        <v>4.544791</v>
      </c>
      <c r="T1975" s="295">
        <v>4.5333449999999997</v>
      </c>
      <c r="U1975" s="295">
        <v>4.5520339999999999</v>
      </c>
      <c r="V1975" s="295">
        <v>4.5447170000000003</v>
      </c>
      <c r="W1975" s="295">
        <v>4.5351119999999998</v>
      </c>
      <c r="X1975" s="295">
        <v>4.5316070000000002</v>
      </c>
      <c r="Y1975" s="295">
        <v>4.5122200000000001</v>
      </c>
      <c r="Z1975" s="295">
        <v>4.4946549999999998</v>
      </c>
      <c r="AA1975" s="295">
        <v>4.4853909999999999</v>
      </c>
      <c r="AB1975" s="295">
        <v>4.4928759999999999</v>
      </c>
      <c r="AC1975" s="295">
        <v>4.4959610000000003</v>
      </c>
      <c r="AD1975" s="295">
        <v>4.5189519999999996</v>
      </c>
      <c r="AE1975" s="295">
        <v>4.5603069999999999</v>
      </c>
      <c r="AF1975" s="295">
        <v>4.6158039999999998</v>
      </c>
      <c r="AG1975" s="295">
        <v>4.6554440000000001</v>
      </c>
      <c r="AH1975" s="296">
        <v>1.2782E-2</v>
      </c>
    </row>
    <row r="1976" spans="1:34" ht="15" customHeight="1" x14ac:dyDescent="0.25">
      <c r="A1976" s="213" t="s">
        <v>2519</v>
      </c>
      <c r="B1976" s="294" t="s">
        <v>2520</v>
      </c>
      <c r="C1976" s="295">
        <v>13.520962000000001</v>
      </c>
      <c r="D1976" s="295">
        <v>14.078305</v>
      </c>
      <c r="E1976" s="295">
        <v>14.653452</v>
      </c>
      <c r="F1976" s="295">
        <v>14.196401</v>
      </c>
      <c r="G1976" s="295">
        <v>13.728652</v>
      </c>
      <c r="H1976" s="295">
        <v>13.486947000000001</v>
      </c>
      <c r="I1976" s="295">
        <v>13.341523</v>
      </c>
      <c r="J1976" s="295">
        <v>13.131707</v>
      </c>
      <c r="K1976" s="295">
        <v>12.934259000000001</v>
      </c>
      <c r="L1976" s="295">
        <v>12.743641</v>
      </c>
      <c r="M1976" s="295">
        <v>13.253026</v>
      </c>
      <c r="N1976" s="295">
        <v>12.973546000000001</v>
      </c>
      <c r="O1976" s="295">
        <v>12.892562</v>
      </c>
      <c r="P1976" s="295">
        <v>12.762269999999999</v>
      </c>
      <c r="Q1976" s="295">
        <v>12.617708</v>
      </c>
      <c r="R1976" s="295">
        <v>12.479836000000001</v>
      </c>
      <c r="S1976" s="295">
        <v>12.351564</v>
      </c>
      <c r="T1976" s="295">
        <v>12.229142</v>
      </c>
      <c r="U1976" s="295">
        <v>12.174371000000001</v>
      </c>
      <c r="V1976" s="295">
        <v>12.077762999999999</v>
      </c>
      <c r="W1976" s="295">
        <v>12.032022</v>
      </c>
      <c r="X1976" s="295">
        <v>11.955648</v>
      </c>
      <c r="Y1976" s="295">
        <v>11.891679999999999</v>
      </c>
      <c r="Z1976" s="295">
        <v>11.826577</v>
      </c>
      <c r="AA1976" s="295">
        <v>11.777018</v>
      </c>
      <c r="AB1976" s="295">
        <v>11.745801</v>
      </c>
      <c r="AC1976" s="295">
        <v>11.726257</v>
      </c>
      <c r="AD1976" s="295">
        <v>11.724689</v>
      </c>
      <c r="AE1976" s="295">
        <v>11.734484999999999</v>
      </c>
      <c r="AF1976" s="295">
        <v>11.769066</v>
      </c>
      <c r="AG1976" s="295">
        <v>11.790224</v>
      </c>
      <c r="AH1976" s="296">
        <v>-4.555E-3</v>
      </c>
    </row>
    <row r="1977" spans="1:34" ht="15" customHeight="1" x14ac:dyDescent="0.25">
      <c r="A1977" s="213" t="s">
        <v>2521</v>
      </c>
      <c r="B1977" s="294" t="s">
        <v>2522</v>
      </c>
      <c r="C1977" s="295">
        <v>2.530745</v>
      </c>
      <c r="D1977" s="295">
        <v>3.6192600000000001</v>
      </c>
      <c r="E1977" s="295">
        <v>3.7269389999999998</v>
      </c>
      <c r="F1977" s="295">
        <v>3.4879039999999999</v>
      </c>
      <c r="G1977" s="295">
        <v>3.256875</v>
      </c>
      <c r="H1977" s="295">
        <v>3.348767</v>
      </c>
      <c r="I1977" s="295">
        <v>3.4396969999999998</v>
      </c>
      <c r="J1977" s="295">
        <v>3.485474</v>
      </c>
      <c r="K1977" s="295">
        <v>3.600854</v>
      </c>
      <c r="L1977" s="295">
        <v>3.7083179999999998</v>
      </c>
      <c r="M1977" s="295">
        <v>3.7326009999999998</v>
      </c>
      <c r="N1977" s="295">
        <v>3.7307839999999999</v>
      </c>
      <c r="O1977" s="295">
        <v>3.78701</v>
      </c>
      <c r="P1977" s="295">
        <v>3.8567580000000001</v>
      </c>
      <c r="Q1977" s="295">
        <v>3.8913760000000002</v>
      </c>
      <c r="R1977" s="295">
        <v>3.8916210000000002</v>
      </c>
      <c r="S1977" s="295">
        <v>3.8939499999999998</v>
      </c>
      <c r="T1977" s="295">
        <v>3.8731439999999999</v>
      </c>
      <c r="U1977" s="295">
        <v>3.9030930000000001</v>
      </c>
      <c r="V1977" s="295">
        <v>3.9013990000000001</v>
      </c>
      <c r="W1977" s="295">
        <v>3.900083</v>
      </c>
      <c r="X1977" s="295">
        <v>3.8898239999999999</v>
      </c>
      <c r="Y1977" s="295">
        <v>3.8751120000000001</v>
      </c>
      <c r="Z1977" s="295">
        <v>3.8588330000000002</v>
      </c>
      <c r="AA1977" s="295">
        <v>3.8585120000000002</v>
      </c>
      <c r="AB1977" s="295">
        <v>3.8660420000000002</v>
      </c>
      <c r="AC1977" s="295">
        <v>3.8704269999999998</v>
      </c>
      <c r="AD1977" s="295">
        <v>3.890644</v>
      </c>
      <c r="AE1977" s="295">
        <v>3.9403090000000001</v>
      </c>
      <c r="AF1977" s="295">
        <v>3.9919549999999999</v>
      </c>
      <c r="AG1977" s="295">
        <v>4.0341889999999996</v>
      </c>
      <c r="AH1977" s="296">
        <v>1.5664000000000001E-2</v>
      </c>
    </row>
    <row r="1978" spans="1:34" ht="15" customHeight="1" x14ac:dyDescent="0.2">
      <c r="A1978" s="213" t="s">
        <v>2523</v>
      </c>
      <c r="B1978" s="204" t="s">
        <v>2524</v>
      </c>
      <c r="C1978" s="205">
        <v>4.6935580000000003</v>
      </c>
      <c r="D1978" s="205">
        <v>5.6690399999999999</v>
      </c>
      <c r="E1978" s="205">
        <v>5.7945489999999999</v>
      </c>
      <c r="F1978" s="205">
        <v>5.5551050000000002</v>
      </c>
      <c r="G1978" s="205">
        <v>5.3487049999999998</v>
      </c>
      <c r="H1978" s="205">
        <v>5.3983829999999999</v>
      </c>
      <c r="I1978" s="205">
        <v>5.4864059999999997</v>
      </c>
      <c r="J1978" s="205">
        <v>5.548413</v>
      </c>
      <c r="K1978" s="205">
        <v>5.6728079999999999</v>
      </c>
      <c r="L1978" s="205">
        <v>5.7872279999999998</v>
      </c>
      <c r="M1978" s="205">
        <v>5.9123320000000001</v>
      </c>
      <c r="N1978" s="205">
        <v>5.9173239999999998</v>
      </c>
      <c r="O1978" s="205">
        <v>5.9786479999999997</v>
      </c>
      <c r="P1978" s="205">
        <v>6.057963</v>
      </c>
      <c r="Q1978" s="205">
        <v>6.0937789999999996</v>
      </c>
      <c r="R1978" s="205">
        <v>6.110519</v>
      </c>
      <c r="S1978" s="205">
        <v>6.1084420000000001</v>
      </c>
      <c r="T1978" s="205">
        <v>6.0904819999999997</v>
      </c>
      <c r="U1978" s="205">
        <v>6.0976999999999997</v>
      </c>
      <c r="V1978" s="205">
        <v>6.0824199999999999</v>
      </c>
      <c r="W1978" s="205">
        <v>6.0667299999999997</v>
      </c>
      <c r="X1978" s="205">
        <v>6.0595220000000003</v>
      </c>
      <c r="Y1978" s="205">
        <v>6.0344410000000002</v>
      </c>
      <c r="Z1978" s="205">
        <v>6.0069749999999997</v>
      </c>
      <c r="AA1978" s="205">
        <v>5.992235</v>
      </c>
      <c r="AB1978" s="205">
        <v>5.9941170000000001</v>
      </c>
      <c r="AC1978" s="205">
        <v>5.9952199999999998</v>
      </c>
      <c r="AD1978" s="205">
        <v>6.0142730000000002</v>
      </c>
      <c r="AE1978" s="205">
        <v>6.0480970000000003</v>
      </c>
      <c r="AF1978" s="205">
        <v>6.0919460000000001</v>
      </c>
      <c r="AG1978" s="205">
        <v>6.1224230000000004</v>
      </c>
      <c r="AH1978" s="206">
        <v>8.8979999999999997E-3</v>
      </c>
    </row>
    <row r="1979" spans="1:34" ht="15" customHeight="1" x14ac:dyDescent="0.2">
      <c r="B1979" s="204" t="s">
        <v>2509</v>
      </c>
    </row>
    <row r="1980" spans="1:34" ht="15" customHeight="1" x14ac:dyDescent="0.2">
      <c r="A1980" s="213" t="s">
        <v>2525</v>
      </c>
      <c r="B1980" s="204" t="s">
        <v>1724</v>
      </c>
      <c r="C1980" s="205">
        <v>2.0664720000000001</v>
      </c>
      <c r="D1980" s="205">
        <v>3.133435</v>
      </c>
      <c r="E1980" s="205">
        <v>3.297882</v>
      </c>
      <c r="F1980" s="205">
        <v>3.1008550000000001</v>
      </c>
      <c r="G1980" s="205">
        <v>2.952188</v>
      </c>
      <c r="H1980" s="205">
        <v>3.098166</v>
      </c>
      <c r="I1980" s="205">
        <v>3.2864629999999999</v>
      </c>
      <c r="J1980" s="205">
        <v>3.4352130000000001</v>
      </c>
      <c r="K1980" s="205">
        <v>3.6802649999999999</v>
      </c>
      <c r="L1980" s="205">
        <v>3.9141859999999999</v>
      </c>
      <c r="M1980" s="205">
        <v>4.0805949999999998</v>
      </c>
      <c r="N1980" s="205">
        <v>4.2010319999999997</v>
      </c>
      <c r="O1980" s="205">
        <v>4.3856289999999998</v>
      </c>
      <c r="P1980" s="205">
        <v>4.5721340000000001</v>
      </c>
      <c r="Q1980" s="205">
        <v>4.714931</v>
      </c>
      <c r="R1980" s="205">
        <v>4.8403960000000001</v>
      </c>
      <c r="S1980" s="205">
        <v>4.9512609999999997</v>
      </c>
      <c r="T1980" s="205">
        <v>5.042459</v>
      </c>
      <c r="U1980" s="205">
        <v>5.1795080000000002</v>
      </c>
      <c r="V1980" s="205">
        <v>5.2875819999999996</v>
      </c>
      <c r="W1980" s="205">
        <v>5.3977729999999999</v>
      </c>
      <c r="X1980" s="205">
        <v>5.5133020000000004</v>
      </c>
      <c r="Y1980" s="205">
        <v>5.6022740000000004</v>
      </c>
      <c r="Z1980" s="205">
        <v>5.6932799999999997</v>
      </c>
      <c r="AA1980" s="205">
        <v>5.8228669999999996</v>
      </c>
      <c r="AB1980" s="205">
        <v>5.9762490000000001</v>
      </c>
      <c r="AC1980" s="205">
        <v>6.154725</v>
      </c>
      <c r="AD1980" s="205">
        <v>6.3671150000000001</v>
      </c>
      <c r="AE1980" s="205">
        <v>6.6333799999999998</v>
      </c>
      <c r="AF1980" s="205">
        <v>6.9317679999999999</v>
      </c>
      <c r="AG1980" s="205">
        <v>7.2131030000000003</v>
      </c>
      <c r="AH1980" s="206">
        <v>4.2548999999999997E-2</v>
      </c>
    </row>
    <row r="1982" spans="1:34" ht="15" customHeight="1" x14ac:dyDescent="0.2">
      <c r="B1982" s="204" t="s">
        <v>2511</v>
      </c>
    </row>
    <row r="1983" spans="1:34" ht="15" customHeight="1" x14ac:dyDescent="0.2">
      <c r="B1983" s="204" t="s">
        <v>2526</v>
      </c>
    </row>
    <row r="1984" spans="1:34" ht="15" customHeight="1" x14ac:dyDescent="0.25">
      <c r="A1984" s="213" t="s">
        <v>2527</v>
      </c>
      <c r="B1984" s="294" t="s">
        <v>2514</v>
      </c>
      <c r="C1984" s="295">
        <v>10.537243</v>
      </c>
      <c r="D1984" s="295">
        <v>10.928864000000001</v>
      </c>
      <c r="E1984" s="295">
        <v>10.980878000000001</v>
      </c>
      <c r="F1984" s="295">
        <v>10.998132999999999</v>
      </c>
      <c r="G1984" s="295">
        <v>11.012316</v>
      </c>
      <c r="H1984" s="295">
        <v>11.344768999999999</v>
      </c>
      <c r="I1984" s="295">
        <v>11.776897999999999</v>
      </c>
      <c r="J1984" s="295">
        <v>12.19251</v>
      </c>
      <c r="K1984" s="295">
        <v>12.64936</v>
      </c>
      <c r="L1984" s="295">
        <v>13.149979999999999</v>
      </c>
      <c r="M1984" s="295">
        <v>13.935544</v>
      </c>
      <c r="N1984" s="295">
        <v>14.345226</v>
      </c>
      <c r="O1984" s="295">
        <v>14.815917000000001</v>
      </c>
      <c r="P1984" s="295">
        <v>15.310114</v>
      </c>
      <c r="Q1984" s="295">
        <v>15.745749</v>
      </c>
      <c r="R1984" s="295">
        <v>16.142973000000001</v>
      </c>
      <c r="S1984" s="295">
        <v>16.514085999999999</v>
      </c>
      <c r="T1984" s="295">
        <v>16.901222000000001</v>
      </c>
      <c r="U1984" s="295">
        <v>17.302613999999998</v>
      </c>
      <c r="V1984" s="295">
        <v>17.692468999999999</v>
      </c>
      <c r="W1984" s="295">
        <v>18.077641</v>
      </c>
      <c r="X1984" s="295">
        <v>18.505747</v>
      </c>
      <c r="Y1984" s="295">
        <v>18.926293999999999</v>
      </c>
      <c r="Z1984" s="295">
        <v>19.383517999999999</v>
      </c>
      <c r="AA1984" s="295">
        <v>19.854734000000001</v>
      </c>
      <c r="AB1984" s="295">
        <v>20.403804999999998</v>
      </c>
      <c r="AC1984" s="295">
        <v>20.967421000000002</v>
      </c>
      <c r="AD1984" s="295">
        <v>21.6113</v>
      </c>
      <c r="AE1984" s="295">
        <v>22.296206000000002</v>
      </c>
      <c r="AF1984" s="295">
        <v>23.058088000000001</v>
      </c>
      <c r="AG1984" s="295">
        <v>23.855129000000002</v>
      </c>
      <c r="AH1984" s="296">
        <v>2.7609999999999999E-2</v>
      </c>
    </row>
    <row r="1985" spans="1:34" ht="15" customHeight="1" x14ac:dyDescent="0.25">
      <c r="A1985" s="213" t="s">
        <v>2528</v>
      </c>
      <c r="B1985" s="294" t="s">
        <v>2516</v>
      </c>
      <c r="C1985" s="295">
        <v>7.5093370000000004</v>
      </c>
      <c r="D1985" s="295">
        <v>8.033963</v>
      </c>
      <c r="E1985" s="295">
        <v>8.3792430000000007</v>
      </c>
      <c r="F1985" s="295">
        <v>8.3123740000000002</v>
      </c>
      <c r="G1985" s="295">
        <v>8.2531540000000003</v>
      </c>
      <c r="H1985" s="295">
        <v>8.491816</v>
      </c>
      <c r="I1985" s="295">
        <v>8.8148759999999999</v>
      </c>
      <c r="J1985" s="295">
        <v>9.1114040000000003</v>
      </c>
      <c r="K1985" s="295">
        <v>9.4470620000000007</v>
      </c>
      <c r="L1985" s="295">
        <v>9.8244609999999994</v>
      </c>
      <c r="M1985" s="295">
        <v>10.39181</v>
      </c>
      <c r="N1985" s="295">
        <v>10.66583</v>
      </c>
      <c r="O1985" s="295">
        <v>10.996665</v>
      </c>
      <c r="P1985" s="295">
        <v>11.368639999999999</v>
      </c>
      <c r="Q1985" s="295">
        <v>11.688713</v>
      </c>
      <c r="R1985" s="295">
        <v>11.973523</v>
      </c>
      <c r="S1985" s="295">
        <v>12.234162</v>
      </c>
      <c r="T1985" s="295">
        <v>12.510605999999999</v>
      </c>
      <c r="U1985" s="295">
        <v>12.799357000000001</v>
      </c>
      <c r="V1985" s="295">
        <v>13.079166000000001</v>
      </c>
      <c r="W1985" s="295">
        <v>13.352703</v>
      </c>
      <c r="X1985" s="295">
        <v>13.665138000000001</v>
      </c>
      <c r="Y1985" s="295">
        <v>13.964121</v>
      </c>
      <c r="Z1985" s="295">
        <v>14.296023</v>
      </c>
      <c r="AA1985" s="295">
        <v>14.631834</v>
      </c>
      <c r="AB1985" s="295">
        <v>15.037912</v>
      </c>
      <c r="AC1985" s="295">
        <v>15.449629</v>
      </c>
      <c r="AD1985" s="295">
        <v>15.930128</v>
      </c>
      <c r="AE1985" s="295">
        <v>16.443424</v>
      </c>
      <c r="AF1985" s="295">
        <v>17.019991000000001</v>
      </c>
      <c r="AG1985" s="295">
        <v>17.621220000000001</v>
      </c>
      <c r="AH1985" s="296">
        <v>2.8840000000000001E-2</v>
      </c>
    </row>
    <row r="1986" spans="1:34" ht="15" customHeight="1" x14ac:dyDescent="0.25">
      <c r="A1986" s="213" t="s">
        <v>2529</v>
      </c>
      <c r="B1986" s="294" t="s">
        <v>2518</v>
      </c>
      <c r="C1986" s="295">
        <v>3.1803910000000002</v>
      </c>
      <c r="D1986" s="295">
        <v>4.2067449999999997</v>
      </c>
      <c r="E1986" s="295">
        <v>4.4111520000000004</v>
      </c>
      <c r="F1986" s="295">
        <v>4.2317429999999998</v>
      </c>
      <c r="G1986" s="295">
        <v>4.0717540000000003</v>
      </c>
      <c r="H1986" s="295">
        <v>4.2246810000000004</v>
      </c>
      <c r="I1986" s="295">
        <v>4.4338550000000003</v>
      </c>
      <c r="J1986" s="295">
        <v>4.6179899999999998</v>
      </c>
      <c r="K1986" s="295">
        <v>4.8844120000000002</v>
      </c>
      <c r="L1986" s="295">
        <v>5.1501279999999996</v>
      </c>
      <c r="M1986" s="295">
        <v>5.3223469999999997</v>
      </c>
      <c r="N1986" s="295">
        <v>5.466774</v>
      </c>
      <c r="O1986" s="295">
        <v>5.6684869999999998</v>
      </c>
      <c r="P1986" s="295">
        <v>5.8987049999999996</v>
      </c>
      <c r="Q1986" s="295">
        <v>6.0770020000000002</v>
      </c>
      <c r="R1986" s="295">
        <v>6.2264340000000002</v>
      </c>
      <c r="S1986" s="295">
        <v>6.3614449999999998</v>
      </c>
      <c r="T1986" s="295">
        <v>6.4787790000000003</v>
      </c>
      <c r="U1986" s="295">
        <v>6.6419790000000001</v>
      </c>
      <c r="V1986" s="295">
        <v>6.7684949999999997</v>
      </c>
      <c r="W1986" s="295">
        <v>6.8970859999999998</v>
      </c>
      <c r="X1986" s="295">
        <v>7.0397169999999996</v>
      </c>
      <c r="Y1986" s="295">
        <v>7.1636899999999999</v>
      </c>
      <c r="Z1986" s="295">
        <v>7.2994529999999997</v>
      </c>
      <c r="AA1986" s="295">
        <v>7.4582560000000004</v>
      </c>
      <c r="AB1986" s="295">
        <v>7.6547460000000003</v>
      </c>
      <c r="AC1986" s="295">
        <v>7.8589440000000002</v>
      </c>
      <c r="AD1986" s="295">
        <v>8.1114180000000005</v>
      </c>
      <c r="AE1986" s="295">
        <v>8.4117029999999993</v>
      </c>
      <c r="AF1986" s="295">
        <v>8.7563340000000007</v>
      </c>
      <c r="AG1986" s="295">
        <v>9.0906219999999998</v>
      </c>
      <c r="AH1986" s="296">
        <v>3.5628E-2</v>
      </c>
    </row>
    <row r="1987" spans="1:34" ht="15" customHeight="1" x14ac:dyDescent="0.25">
      <c r="A1987" s="213" t="s">
        <v>2530</v>
      </c>
      <c r="B1987" s="294" t="s">
        <v>2520</v>
      </c>
      <c r="C1987" s="295">
        <v>13.520962000000001</v>
      </c>
      <c r="D1987" s="295">
        <v>14.226796999999999</v>
      </c>
      <c r="E1987" s="295">
        <v>14.981429</v>
      </c>
      <c r="F1987" s="295">
        <v>14.7113</v>
      </c>
      <c r="G1987" s="295">
        <v>14.465588</v>
      </c>
      <c r="H1987" s="295">
        <v>14.506976999999999</v>
      </c>
      <c r="I1987" s="295">
        <v>14.692211</v>
      </c>
      <c r="J1987" s="295">
        <v>14.828442000000001</v>
      </c>
      <c r="K1987" s="295">
        <v>14.990189000000001</v>
      </c>
      <c r="L1987" s="295">
        <v>15.158488</v>
      </c>
      <c r="M1987" s="295">
        <v>16.172536999999998</v>
      </c>
      <c r="N1987" s="295">
        <v>16.228237</v>
      </c>
      <c r="O1987" s="295">
        <v>16.518045000000001</v>
      </c>
      <c r="P1987" s="295">
        <v>16.732807000000001</v>
      </c>
      <c r="Q1987" s="295">
        <v>16.915248999999999</v>
      </c>
      <c r="R1987" s="295">
        <v>17.099495000000001</v>
      </c>
      <c r="S1987" s="295">
        <v>17.288758999999999</v>
      </c>
      <c r="T1987" s="295">
        <v>17.477139999999999</v>
      </c>
      <c r="U1987" s="295">
        <v>17.763908000000001</v>
      </c>
      <c r="V1987" s="295">
        <v>17.987539000000002</v>
      </c>
      <c r="W1987" s="295">
        <v>18.298531000000001</v>
      </c>
      <c r="X1987" s="295">
        <v>18.572744</v>
      </c>
      <c r="Y1987" s="295">
        <v>18.879465</v>
      </c>
      <c r="Z1987" s="295">
        <v>19.206713000000001</v>
      </c>
      <c r="AA1987" s="295">
        <v>19.582688999999998</v>
      </c>
      <c r="AB1987" s="295">
        <v>20.011928999999999</v>
      </c>
      <c r="AC1987" s="295">
        <v>20.497513000000001</v>
      </c>
      <c r="AD1987" s="295">
        <v>21.045555</v>
      </c>
      <c r="AE1987" s="295">
        <v>21.644814</v>
      </c>
      <c r="AF1987" s="295">
        <v>22.326311</v>
      </c>
      <c r="AG1987" s="295">
        <v>23.022608000000002</v>
      </c>
      <c r="AH1987" s="296">
        <v>1.7899999999999999E-2</v>
      </c>
    </row>
    <row r="1988" spans="1:34" ht="15" customHeight="1" x14ac:dyDescent="0.25">
      <c r="A1988" s="213" t="s">
        <v>2531</v>
      </c>
      <c r="B1988" s="294" t="s">
        <v>2522</v>
      </c>
      <c r="C1988" s="295">
        <v>2.530745</v>
      </c>
      <c r="D1988" s="295">
        <v>3.6574339999999999</v>
      </c>
      <c r="E1988" s="295">
        <v>3.8103560000000001</v>
      </c>
      <c r="F1988" s="295">
        <v>3.6144090000000002</v>
      </c>
      <c r="G1988" s="295">
        <v>3.4317000000000002</v>
      </c>
      <c r="H1988" s="295">
        <v>3.6020379999999999</v>
      </c>
      <c r="I1988" s="295">
        <v>3.7879299999999998</v>
      </c>
      <c r="J1988" s="295">
        <v>3.935829</v>
      </c>
      <c r="K1988" s="295">
        <v>4.1732180000000003</v>
      </c>
      <c r="L1988" s="295">
        <v>4.4110230000000001</v>
      </c>
      <c r="M1988" s="295">
        <v>4.5548570000000002</v>
      </c>
      <c r="N1988" s="295">
        <v>4.6667310000000004</v>
      </c>
      <c r="O1988" s="295">
        <v>4.8519459999999999</v>
      </c>
      <c r="P1988" s="295">
        <v>5.056654</v>
      </c>
      <c r="Q1988" s="295">
        <v>5.2167630000000003</v>
      </c>
      <c r="R1988" s="295">
        <v>5.3321820000000004</v>
      </c>
      <c r="S1988" s="295">
        <v>5.4504479999999997</v>
      </c>
      <c r="T1988" s="295">
        <v>5.5352600000000001</v>
      </c>
      <c r="U1988" s="295">
        <v>5.6950940000000001</v>
      </c>
      <c r="V1988" s="295">
        <v>5.8103949999999998</v>
      </c>
      <c r="W1988" s="295">
        <v>5.9313209999999996</v>
      </c>
      <c r="X1988" s="295">
        <v>6.042726</v>
      </c>
      <c r="Y1988" s="295">
        <v>6.1522040000000002</v>
      </c>
      <c r="Z1988" s="295">
        <v>6.2668590000000002</v>
      </c>
      <c r="AA1988" s="295">
        <v>6.415889</v>
      </c>
      <c r="AB1988" s="295">
        <v>6.5867760000000004</v>
      </c>
      <c r="AC1988" s="295">
        <v>6.7655110000000001</v>
      </c>
      <c r="AD1988" s="295">
        <v>6.9836179999999999</v>
      </c>
      <c r="AE1988" s="295">
        <v>7.2680870000000004</v>
      </c>
      <c r="AF1988" s="295">
        <v>7.5728710000000001</v>
      </c>
      <c r="AG1988" s="295">
        <v>7.8775050000000002</v>
      </c>
      <c r="AH1988" s="296">
        <v>3.8574999999999998E-2</v>
      </c>
    </row>
    <row r="1989" spans="1:34" ht="15" customHeight="1" x14ac:dyDescent="0.2">
      <c r="A1989" s="213" t="s">
        <v>2532</v>
      </c>
      <c r="B1989" s="204" t="s">
        <v>2524</v>
      </c>
      <c r="C1989" s="205">
        <v>4.6935580000000003</v>
      </c>
      <c r="D1989" s="205">
        <v>5.7288350000000001</v>
      </c>
      <c r="E1989" s="205">
        <v>5.9242439999999998</v>
      </c>
      <c r="F1989" s="205">
        <v>5.7565869999999997</v>
      </c>
      <c r="G1989" s="205">
        <v>5.6358160000000002</v>
      </c>
      <c r="H1989" s="205">
        <v>5.8066680000000002</v>
      </c>
      <c r="I1989" s="205">
        <v>6.0418469999999997</v>
      </c>
      <c r="J1989" s="205">
        <v>6.2653169999999996</v>
      </c>
      <c r="K1989" s="205">
        <v>6.5745129999999996</v>
      </c>
      <c r="L1989" s="205">
        <v>6.8838739999999996</v>
      </c>
      <c r="M1989" s="205">
        <v>7.2147589999999999</v>
      </c>
      <c r="N1989" s="205">
        <v>7.4018110000000004</v>
      </c>
      <c r="O1989" s="205">
        <v>7.6598879999999996</v>
      </c>
      <c r="P1989" s="205">
        <v>7.9426880000000004</v>
      </c>
      <c r="Q1989" s="205">
        <v>8.169295</v>
      </c>
      <c r="R1989" s="205">
        <v>8.3724480000000003</v>
      </c>
      <c r="S1989" s="205">
        <v>8.550122</v>
      </c>
      <c r="T1989" s="205">
        <v>8.7041439999999994</v>
      </c>
      <c r="U1989" s="205">
        <v>8.8972960000000008</v>
      </c>
      <c r="V1989" s="205">
        <v>9.0586120000000001</v>
      </c>
      <c r="W1989" s="205">
        <v>9.2263990000000007</v>
      </c>
      <c r="X1989" s="205">
        <v>9.4132879999999997</v>
      </c>
      <c r="Y1989" s="205">
        <v>9.5803960000000004</v>
      </c>
      <c r="Z1989" s="205">
        <v>9.7555049999999994</v>
      </c>
      <c r="AA1989" s="205">
        <v>9.9638200000000001</v>
      </c>
      <c r="AB1989" s="205">
        <v>10.212486999999999</v>
      </c>
      <c r="AC1989" s="205">
        <v>10.479651</v>
      </c>
      <c r="AD1989" s="205">
        <v>10.795484999999999</v>
      </c>
      <c r="AE1989" s="205">
        <v>11.156001</v>
      </c>
      <c r="AF1989" s="205">
        <v>11.556625</v>
      </c>
      <c r="AG1989" s="205">
        <v>11.955171999999999</v>
      </c>
      <c r="AH1989" s="206">
        <v>3.1656999999999998E-2</v>
      </c>
    </row>
    <row r="1990" spans="1:34" ht="15" customHeight="1" thickBot="1" x14ac:dyDescent="0.25"/>
    <row r="1991" spans="1:34" ht="15" customHeight="1" x14ac:dyDescent="0.2">
      <c r="B1991" s="305" t="s">
        <v>725</v>
      </c>
      <c r="C1991" s="305"/>
      <c r="D1991" s="305"/>
      <c r="E1991" s="305"/>
      <c r="F1991" s="305"/>
      <c r="G1991" s="305"/>
      <c r="H1991" s="305"/>
      <c r="I1991" s="305"/>
      <c r="J1991" s="305"/>
      <c r="K1991" s="305"/>
      <c r="L1991" s="305"/>
      <c r="M1991" s="305"/>
      <c r="N1991" s="305"/>
      <c r="O1991" s="305"/>
      <c r="P1991" s="305"/>
      <c r="Q1991" s="305"/>
      <c r="R1991" s="305"/>
      <c r="S1991" s="305"/>
      <c r="T1991" s="305"/>
      <c r="U1991" s="305"/>
      <c r="V1991" s="305"/>
      <c r="W1991" s="305"/>
      <c r="X1991" s="305"/>
      <c r="Y1991" s="305"/>
      <c r="Z1991" s="305"/>
      <c r="AA1991" s="305"/>
      <c r="AB1991" s="305"/>
      <c r="AC1991" s="305"/>
      <c r="AD1991" s="305"/>
      <c r="AE1991" s="305"/>
      <c r="AF1991" s="305"/>
      <c r="AG1991" s="305"/>
      <c r="AH1991" s="305"/>
    </row>
    <row r="1992" spans="1:34" ht="15" customHeight="1" x14ac:dyDescent="0.2">
      <c r="B1992" s="208" t="s">
        <v>2533</v>
      </c>
    </row>
    <row r="1993" spans="1:34" ht="15" customHeight="1" x14ac:dyDescent="0.2">
      <c r="B1993" s="208" t="s">
        <v>2534</v>
      </c>
    </row>
    <row r="1994" spans="1:34" ht="15" customHeight="1" x14ac:dyDescent="0.2">
      <c r="B1994" s="208" t="s">
        <v>2535</v>
      </c>
    </row>
    <row r="1995" spans="1:34" ht="15" customHeight="1" x14ac:dyDescent="0.2">
      <c r="B1995" s="208" t="s">
        <v>2536</v>
      </c>
    </row>
    <row r="1996" spans="1:34" ht="15" customHeight="1" x14ac:dyDescent="0.2">
      <c r="B1996" s="208" t="s">
        <v>2537</v>
      </c>
    </row>
    <row r="1997" spans="1:34" ht="15" customHeight="1" x14ac:dyDescent="0.2">
      <c r="B1997" s="208" t="s">
        <v>2538</v>
      </c>
    </row>
    <row r="1998" spans="1:34" ht="15" customHeight="1" x14ac:dyDescent="0.2">
      <c r="B1998" s="208" t="s">
        <v>2539</v>
      </c>
    </row>
    <row r="1999" spans="1:34" ht="15" customHeight="1" x14ac:dyDescent="0.2">
      <c r="B1999" s="208" t="s">
        <v>2540</v>
      </c>
    </row>
    <row r="2000" spans="1:34" ht="15" customHeight="1" x14ac:dyDescent="0.2">
      <c r="B2000" s="208" t="s">
        <v>2541</v>
      </c>
    </row>
    <row r="2001" spans="2:2" ht="15" customHeight="1" x14ac:dyDescent="0.2">
      <c r="B2001" s="208" t="s">
        <v>2542</v>
      </c>
    </row>
    <row r="2002" spans="2:2" ht="15" customHeight="1" x14ac:dyDescent="0.2">
      <c r="B2002" s="208" t="s">
        <v>2543</v>
      </c>
    </row>
    <row r="2003" spans="2:2" ht="15" customHeight="1" x14ac:dyDescent="0.2">
      <c r="B2003" s="208" t="s">
        <v>2544</v>
      </c>
    </row>
    <row r="2004" spans="2:2" ht="15" customHeight="1" x14ac:dyDescent="0.2">
      <c r="B2004" s="208" t="s">
        <v>2545</v>
      </c>
    </row>
    <row r="2005" spans="2:2" ht="15" customHeight="1" x14ac:dyDescent="0.2">
      <c r="B2005" s="208" t="s">
        <v>2546</v>
      </c>
    </row>
    <row r="2006" spans="2:2" ht="15" customHeight="1" x14ac:dyDescent="0.2">
      <c r="B2006" s="208" t="s">
        <v>2547</v>
      </c>
    </row>
    <row r="2007" spans="2:2" ht="15" customHeight="1" x14ac:dyDescent="0.2">
      <c r="B2007" s="208" t="s">
        <v>1383</v>
      </c>
    </row>
    <row r="2008" spans="2:2" ht="15" customHeight="1" x14ac:dyDescent="0.2">
      <c r="B2008" s="208" t="s">
        <v>2548</v>
      </c>
    </row>
    <row r="2009" spans="2:2" ht="15" customHeight="1" x14ac:dyDescent="0.2">
      <c r="B2009" s="208" t="s">
        <v>2549</v>
      </c>
    </row>
    <row r="2010" spans="2:2" ht="15" customHeight="1" x14ac:dyDescent="0.2">
      <c r="B2010" s="208" t="s">
        <v>601</v>
      </c>
    </row>
    <row r="2011" spans="2:2" ht="15" customHeight="1" x14ac:dyDescent="0.2">
      <c r="B2011" s="208" t="s">
        <v>614</v>
      </c>
    </row>
    <row r="2012" spans="2:2" ht="15" customHeight="1" x14ac:dyDescent="0.2">
      <c r="B2012" s="208" t="s">
        <v>1030</v>
      </c>
    </row>
    <row r="2013" spans="2:2" ht="15" customHeight="1" x14ac:dyDescent="0.2">
      <c r="B2013" s="208" t="s">
        <v>1031</v>
      </c>
    </row>
    <row r="2060" spans="1:34" ht="15" customHeight="1" x14ac:dyDescent="0.25">
      <c r="A2060" s="213" t="s">
        <v>2550</v>
      </c>
      <c r="B2060" s="202" t="s">
        <v>1022</v>
      </c>
      <c r="AH2060" s="292" t="s">
        <v>597</v>
      </c>
    </row>
    <row r="2061" spans="1:34" ht="15" customHeight="1" x14ac:dyDescent="0.2">
      <c r="B2061" s="199" t="s">
        <v>124</v>
      </c>
      <c r="AH2061" s="292" t="s">
        <v>598</v>
      </c>
    </row>
    <row r="2062" spans="1:34" ht="15" customHeight="1" x14ac:dyDescent="0.2">
      <c r="B2062" s="199" t="s">
        <v>124</v>
      </c>
      <c r="C2062" s="222" t="s">
        <v>124</v>
      </c>
      <c r="D2062" s="222" t="s">
        <v>124</v>
      </c>
      <c r="E2062" s="222" t="s">
        <v>124</v>
      </c>
      <c r="F2062" s="222" t="s">
        <v>124</v>
      </c>
      <c r="G2062" s="222" t="s">
        <v>124</v>
      </c>
      <c r="H2062" s="222" t="s">
        <v>124</v>
      </c>
      <c r="I2062" s="222" t="s">
        <v>124</v>
      </c>
      <c r="J2062" s="222" t="s">
        <v>124</v>
      </c>
      <c r="K2062" s="222" t="s">
        <v>124</v>
      </c>
      <c r="L2062" s="222" t="s">
        <v>124</v>
      </c>
      <c r="M2062" s="222" t="s">
        <v>124</v>
      </c>
      <c r="N2062" s="222" t="s">
        <v>124</v>
      </c>
      <c r="O2062" s="222" t="s">
        <v>124</v>
      </c>
      <c r="P2062" s="222" t="s">
        <v>124</v>
      </c>
      <c r="Q2062" s="222" t="s">
        <v>124</v>
      </c>
      <c r="R2062" s="222" t="s">
        <v>124</v>
      </c>
      <c r="S2062" s="222" t="s">
        <v>124</v>
      </c>
      <c r="T2062" s="222" t="s">
        <v>124</v>
      </c>
      <c r="U2062" s="222" t="s">
        <v>124</v>
      </c>
      <c r="V2062" s="222" t="s">
        <v>124</v>
      </c>
      <c r="W2062" s="222" t="s">
        <v>124</v>
      </c>
      <c r="X2062" s="222" t="s">
        <v>124</v>
      </c>
      <c r="Y2062" s="222" t="s">
        <v>124</v>
      </c>
      <c r="Z2062" s="222" t="s">
        <v>124</v>
      </c>
      <c r="AA2062" s="222" t="s">
        <v>124</v>
      </c>
      <c r="AB2062" s="222" t="s">
        <v>124</v>
      </c>
      <c r="AC2062" s="222" t="s">
        <v>124</v>
      </c>
      <c r="AD2062" s="222" t="s">
        <v>124</v>
      </c>
      <c r="AE2062" s="222" t="s">
        <v>124</v>
      </c>
      <c r="AF2062" s="222" t="s">
        <v>124</v>
      </c>
      <c r="AG2062" s="222" t="s">
        <v>124</v>
      </c>
      <c r="AH2062" s="292" t="s">
        <v>599</v>
      </c>
    </row>
    <row r="2063" spans="1:34" ht="15" customHeight="1" thickBot="1" x14ac:dyDescent="0.25">
      <c r="B2063" s="200" t="s">
        <v>2551</v>
      </c>
      <c r="C2063" s="200">
        <v>2020</v>
      </c>
      <c r="D2063" s="200">
        <v>2021</v>
      </c>
      <c r="E2063" s="200">
        <v>2022</v>
      </c>
      <c r="F2063" s="200">
        <v>2023</v>
      </c>
      <c r="G2063" s="200">
        <v>2024</v>
      </c>
      <c r="H2063" s="200">
        <v>2025</v>
      </c>
      <c r="I2063" s="200">
        <v>2026</v>
      </c>
      <c r="J2063" s="200">
        <v>2027</v>
      </c>
      <c r="K2063" s="200">
        <v>2028</v>
      </c>
      <c r="L2063" s="200">
        <v>2029</v>
      </c>
      <c r="M2063" s="200">
        <v>2030</v>
      </c>
      <c r="N2063" s="200">
        <v>2031</v>
      </c>
      <c r="O2063" s="200">
        <v>2032</v>
      </c>
      <c r="P2063" s="200">
        <v>2033</v>
      </c>
      <c r="Q2063" s="200">
        <v>2034</v>
      </c>
      <c r="R2063" s="200">
        <v>2035</v>
      </c>
      <c r="S2063" s="200">
        <v>2036</v>
      </c>
      <c r="T2063" s="200">
        <v>2037</v>
      </c>
      <c r="U2063" s="200">
        <v>2038</v>
      </c>
      <c r="V2063" s="200">
        <v>2039</v>
      </c>
      <c r="W2063" s="200">
        <v>2040</v>
      </c>
      <c r="X2063" s="200">
        <v>2041</v>
      </c>
      <c r="Y2063" s="200">
        <v>2042</v>
      </c>
      <c r="Z2063" s="200">
        <v>2043</v>
      </c>
      <c r="AA2063" s="200">
        <v>2044</v>
      </c>
      <c r="AB2063" s="200">
        <v>2045</v>
      </c>
      <c r="AC2063" s="200">
        <v>2046</v>
      </c>
      <c r="AD2063" s="200">
        <v>2047</v>
      </c>
      <c r="AE2063" s="200">
        <v>2048</v>
      </c>
      <c r="AF2063" s="200">
        <v>2049</v>
      </c>
      <c r="AG2063" s="200">
        <v>2050</v>
      </c>
      <c r="AH2063" s="293" t="s">
        <v>600</v>
      </c>
    </row>
    <row r="2064" spans="1:34" ht="15" customHeight="1" thickTop="1" x14ac:dyDescent="0.2"/>
    <row r="2065" spans="1:34" ht="15" customHeight="1" x14ac:dyDescent="0.2">
      <c r="B2065" s="204" t="s">
        <v>46</v>
      </c>
    </row>
    <row r="2067" spans="1:34" ht="15" customHeight="1" x14ac:dyDescent="0.2">
      <c r="B2067" s="204" t="s">
        <v>2552</v>
      </c>
    </row>
    <row r="2068" spans="1:34" ht="15" customHeight="1" x14ac:dyDescent="0.2">
      <c r="A2068" s="213" t="s">
        <v>2553</v>
      </c>
      <c r="B2068" s="204" t="s">
        <v>2554</v>
      </c>
      <c r="C2068" s="299">
        <v>37.347107000000001</v>
      </c>
      <c r="D2068" s="299">
        <v>43.551926000000002</v>
      </c>
      <c r="E2068" s="299">
        <v>47.808056000000001</v>
      </c>
      <c r="F2068" s="299">
        <v>53.002228000000002</v>
      </c>
      <c r="G2068" s="299">
        <v>56.289195999999997</v>
      </c>
      <c r="H2068" s="299">
        <v>58.966934000000002</v>
      </c>
      <c r="I2068" s="299">
        <v>61.685833000000002</v>
      </c>
      <c r="J2068" s="299">
        <v>63.965854999999998</v>
      </c>
      <c r="K2068" s="299">
        <v>66.384170999999995</v>
      </c>
      <c r="L2068" s="299">
        <v>68.287575000000004</v>
      </c>
      <c r="M2068" s="299">
        <v>70.296576999999999</v>
      </c>
      <c r="N2068" s="299">
        <v>72.050758000000002</v>
      </c>
      <c r="O2068" s="299">
        <v>73.679878000000002</v>
      </c>
      <c r="P2068" s="299">
        <v>74.881927000000005</v>
      </c>
      <c r="Q2068" s="299">
        <v>76.105384999999998</v>
      </c>
      <c r="R2068" s="299">
        <v>76.999779000000004</v>
      </c>
      <c r="S2068" s="299">
        <v>78.223602</v>
      </c>
      <c r="T2068" s="299">
        <v>79.555428000000006</v>
      </c>
      <c r="U2068" s="299">
        <v>81.128074999999995</v>
      </c>
      <c r="V2068" s="299">
        <v>81.434036000000006</v>
      </c>
      <c r="W2068" s="299">
        <v>83.949432000000002</v>
      </c>
      <c r="X2068" s="299">
        <v>85.469489999999993</v>
      </c>
      <c r="Y2068" s="299">
        <v>86.442062000000007</v>
      </c>
      <c r="Z2068" s="299">
        <v>88.041274999999999</v>
      </c>
      <c r="AA2068" s="299">
        <v>88.933502000000004</v>
      </c>
      <c r="AB2068" s="299">
        <v>88.033516000000006</v>
      </c>
      <c r="AC2068" s="299">
        <v>90.129379</v>
      </c>
      <c r="AD2068" s="299">
        <v>90.955405999999996</v>
      </c>
      <c r="AE2068" s="299">
        <v>91.007835</v>
      </c>
      <c r="AF2068" s="299">
        <v>91.242194999999995</v>
      </c>
      <c r="AG2068" s="299">
        <v>91.438698000000002</v>
      </c>
      <c r="AH2068" s="206">
        <v>3.0297000000000001E-2</v>
      </c>
    </row>
    <row r="2070" spans="1:34" ht="15" customHeight="1" x14ac:dyDescent="0.2">
      <c r="B2070" s="204" t="s">
        <v>2555</v>
      </c>
    </row>
    <row r="2071" spans="1:34" ht="15" customHeight="1" x14ac:dyDescent="0.25">
      <c r="A2071" s="213" t="s">
        <v>2556</v>
      </c>
      <c r="B2071" s="294" t="s">
        <v>2557</v>
      </c>
      <c r="C2071" s="295">
        <v>11.470048</v>
      </c>
      <c r="D2071" s="295">
        <v>11.166155</v>
      </c>
      <c r="E2071" s="295">
        <v>11.626637000000001</v>
      </c>
      <c r="F2071" s="295">
        <v>12.329649</v>
      </c>
      <c r="G2071" s="295">
        <v>12.744040999999999</v>
      </c>
      <c r="H2071" s="295">
        <v>13.231529</v>
      </c>
      <c r="I2071" s="295">
        <v>13.497977000000001</v>
      </c>
      <c r="J2071" s="295">
        <v>13.594148000000001</v>
      </c>
      <c r="K2071" s="295">
        <v>13.710074000000001</v>
      </c>
      <c r="L2071" s="295">
        <v>13.718639</v>
      </c>
      <c r="M2071" s="295">
        <v>13.768959000000001</v>
      </c>
      <c r="N2071" s="295">
        <v>13.795835</v>
      </c>
      <c r="O2071" s="295">
        <v>13.768939</v>
      </c>
      <c r="P2071" s="295">
        <v>13.861969999999999</v>
      </c>
      <c r="Q2071" s="295">
        <v>13.883384</v>
      </c>
      <c r="R2071" s="295">
        <v>13.763157</v>
      </c>
      <c r="S2071" s="295">
        <v>13.566243</v>
      </c>
      <c r="T2071" s="295">
        <v>13.451651</v>
      </c>
      <c r="U2071" s="295">
        <v>13.348969</v>
      </c>
      <c r="V2071" s="295">
        <v>13.283369</v>
      </c>
      <c r="W2071" s="295">
        <v>13.17389</v>
      </c>
      <c r="X2071" s="295">
        <v>13.118859</v>
      </c>
      <c r="Y2071" s="295">
        <v>13.146461</v>
      </c>
      <c r="Z2071" s="295">
        <v>13.310510000000001</v>
      </c>
      <c r="AA2071" s="295">
        <v>13.351305999999999</v>
      </c>
      <c r="AB2071" s="295">
        <v>13.223974</v>
      </c>
      <c r="AC2071" s="295">
        <v>13.249134</v>
      </c>
      <c r="AD2071" s="295">
        <v>13.294786</v>
      </c>
      <c r="AE2071" s="295">
        <v>13.227971999999999</v>
      </c>
      <c r="AF2071" s="295">
        <v>13.159329</v>
      </c>
      <c r="AG2071" s="295">
        <v>12.872949999999999</v>
      </c>
      <c r="AH2071" s="296">
        <v>3.8539999999999998E-3</v>
      </c>
    </row>
    <row r="2072" spans="1:34" ht="15" customHeight="1" x14ac:dyDescent="0.25">
      <c r="A2072" s="213" t="s">
        <v>2558</v>
      </c>
      <c r="B2072" s="294" t="s">
        <v>2559</v>
      </c>
      <c r="C2072" s="295">
        <v>9.1829889999999992</v>
      </c>
      <c r="D2072" s="295">
        <v>8.7598780000000005</v>
      </c>
      <c r="E2072" s="295">
        <v>9.1586499999999997</v>
      </c>
      <c r="F2072" s="295">
        <v>9.7090049999999994</v>
      </c>
      <c r="G2072" s="295">
        <v>10.12795</v>
      </c>
      <c r="H2072" s="295">
        <v>10.659376</v>
      </c>
      <c r="I2072" s="295">
        <v>10.822946999999999</v>
      </c>
      <c r="J2072" s="295">
        <v>10.812916</v>
      </c>
      <c r="K2072" s="295">
        <v>10.812023999999999</v>
      </c>
      <c r="L2072" s="295">
        <v>10.793086000000001</v>
      </c>
      <c r="M2072" s="295">
        <v>10.768421999999999</v>
      </c>
      <c r="N2072" s="295">
        <v>10.752675</v>
      </c>
      <c r="O2072" s="295">
        <v>10.759722</v>
      </c>
      <c r="P2072" s="295">
        <v>10.784556</v>
      </c>
      <c r="Q2072" s="295">
        <v>10.800582</v>
      </c>
      <c r="R2072" s="295">
        <v>10.788394</v>
      </c>
      <c r="S2072" s="295">
        <v>10.791422000000001</v>
      </c>
      <c r="T2072" s="295">
        <v>10.781084999999999</v>
      </c>
      <c r="U2072" s="295">
        <v>10.770555999999999</v>
      </c>
      <c r="V2072" s="295">
        <v>10.797762000000001</v>
      </c>
      <c r="W2072" s="295">
        <v>10.805313999999999</v>
      </c>
      <c r="X2072" s="295">
        <v>10.792528000000001</v>
      </c>
      <c r="Y2072" s="295">
        <v>10.791793999999999</v>
      </c>
      <c r="Z2072" s="295">
        <v>10.841061</v>
      </c>
      <c r="AA2072" s="295">
        <v>10.871414</v>
      </c>
      <c r="AB2072" s="295">
        <v>10.889733</v>
      </c>
      <c r="AC2072" s="295">
        <v>10.902348</v>
      </c>
      <c r="AD2072" s="295">
        <v>10.916212</v>
      </c>
      <c r="AE2072" s="295">
        <v>10.976886</v>
      </c>
      <c r="AF2072" s="295">
        <v>10.999158</v>
      </c>
      <c r="AG2072" s="295">
        <v>10.906703</v>
      </c>
      <c r="AH2072" s="296">
        <v>5.751E-3</v>
      </c>
    </row>
    <row r="2073" spans="1:34" ht="15" customHeight="1" x14ac:dyDescent="0.25">
      <c r="A2073" s="213" t="s">
        <v>2560</v>
      </c>
      <c r="B2073" s="294" t="s">
        <v>2561</v>
      </c>
      <c r="C2073" s="295">
        <v>7.5430000000000001</v>
      </c>
      <c r="D2073" s="295">
        <v>7.2010209999999999</v>
      </c>
      <c r="E2073" s="295">
        <v>7.6578710000000001</v>
      </c>
      <c r="F2073" s="295">
        <v>8.2885679999999997</v>
      </c>
      <c r="G2073" s="295">
        <v>8.7239590000000007</v>
      </c>
      <c r="H2073" s="295">
        <v>9.2599490000000007</v>
      </c>
      <c r="I2073" s="295">
        <v>9.4352610000000006</v>
      </c>
      <c r="J2073" s="295">
        <v>9.428725</v>
      </c>
      <c r="K2073" s="295">
        <v>9.4313719999999996</v>
      </c>
      <c r="L2073" s="295">
        <v>9.4022799999999993</v>
      </c>
      <c r="M2073" s="295">
        <v>9.3685329999999993</v>
      </c>
      <c r="N2073" s="295">
        <v>9.3490959999999994</v>
      </c>
      <c r="O2073" s="295">
        <v>9.3473269999999999</v>
      </c>
      <c r="P2073" s="295">
        <v>9.3723960000000002</v>
      </c>
      <c r="Q2073" s="295">
        <v>9.3800939999999997</v>
      </c>
      <c r="R2073" s="295">
        <v>9.3586209999999994</v>
      </c>
      <c r="S2073" s="295">
        <v>9.3568820000000006</v>
      </c>
      <c r="T2073" s="295">
        <v>9.3454499999999996</v>
      </c>
      <c r="U2073" s="295">
        <v>9.3356510000000004</v>
      </c>
      <c r="V2073" s="295">
        <v>9.370609</v>
      </c>
      <c r="W2073" s="295">
        <v>9.3714960000000005</v>
      </c>
      <c r="X2073" s="295">
        <v>9.3545829999999999</v>
      </c>
      <c r="Y2073" s="295">
        <v>9.3525489999999998</v>
      </c>
      <c r="Z2073" s="295">
        <v>9.4076839999999997</v>
      </c>
      <c r="AA2073" s="295">
        <v>9.4380459999999999</v>
      </c>
      <c r="AB2073" s="295">
        <v>9.4578450000000007</v>
      </c>
      <c r="AC2073" s="295">
        <v>9.4767770000000002</v>
      </c>
      <c r="AD2073" s="295">
        <v>9.4952159999999992</v>
      </c>
      <c r="AE2073" s="295">
        <v>9.5583100000000005</v>
      </c>
      <c r="AF2073" s="295">
        <v>9.5813310000000005</v>
      </c>
      <c r="AG2073" s="295">
        <v>9.4877490000000009</v>
      </c>
      <c r="AH2073" s="296">
        <v>7.6750000000000004E-3</v>
      </c>
    </row>
    <row r="2074" spans="1:34" ht="15" customHeight="1" x14ac:dyDescent="0.25">
      <c r="A2074" s="213" t="s">
        <v>2562</v>
      </c>
      <c r="B2074" s="294" t="s">
        <v>2563</v>
      </c>
      <c r="C2074" s="295">
        <v>0.32286799999999999</v>
      </c>
      <c r="D2074" s="295">
        <v>0.31869599999999998</v>
      </c>
      <c r="E2074" s="295">
        <v>0.32169999999999999</v>
      </c>
      <c r="F2074" s="295">
        <v>0.33091300000000001</v>
      </c>
      <c r="G2074" s="295">
        <v>0.33498</v>
      </c>
      <c r="H2074" s="295">
        <v>0.34573399999999999</v>
      </c>
      <c r="I2074" s="295">
        <v>0.35161500000000001</v>
      </c>
      <c r="J2074" s="295">
        <v>0.36106700000000003</v>
      </c>
      <c r="K2074" s="295">
        <v>0.36659799999999998</v>
      </c>
      <c r="L2074" s="295">
        <v>0.37287399999999998</v>
      </c>
      <c r="M2074" s="295">
        <v>0.37695800000000002</v>
      </c>
      <c r="N2074" s="295">
        <v>0.37815900000000002</v>
      </c>
      <c r="O2074" s="295">
        <v>0.37845000000000001</v>
      </c>
      <c r="P2074" s="295">
        <v>0.37510300000000002</v>
      </c>
      <c r="Q2074" s="295">
        <v>0.37125799999999998</v>
      </c>
      <c r="R2074" s="295">
        <v>0.364118</v>
      </c>
      <c r="S2074" s="295">
        <v>0.35727799999999998</v>
      </c>
      <c r="T2074" s="295">
        <v>0.35177799999999998</v>
      </c>
      <c r="U2074" s="295">
        <v>0.34837299999999999</v>
      </c>
      <c r="V2074" s="295">
        <v>0.339314</v>
      </c>
      <c r="W2074" s="295">
        <v>0.33663999999999999</v>
      </c>
      <c r="X2074" s="295">
        <v>0.33079599999999998</v>
      </c>
      <c r="Y2074" s="295">
        <v>0.32520199999999999</v>
      </c>
      <c r="Z2074" s="295">
        <v>0.32199299999999997</v>
      </c>
      <c r="AA2074" s="295">
        <v>0.318498</v>
      </c>
      <c r="AB2074" s="295">
        <v>0.31579699999999999</v>
      </c>
      <c r="AC2074" s="295">
        <v>0.31274999999999997</v>
      </c>
      <c r="AD2074" s="295">
        <v>0.30674299999999999</v>
      </c>
      <c r="AE2074" s="295">
        <v>0.30041499999999999</v>
      </c>
      <c r="AF2074" s="295">
        <v>0.29227599999999998</v>
      </c>
      <c r="AG2074" s="295">
        <v>0.286412</v>
      </c>
      <c r="AH2074" s="296">
        <v>-3.986E-3</v>
      </c>
    </row>
    <row r="2075" spans="1:34" ht="15" customHeight="1" x14ac:dyDescent="0.25">
      <c r="A2075" s="213" t="s">
        <v>2564</v>
      </c>
      <c r="B2075" s="294" t="s">
        <v>2565</v>
      </c>
      <c r="C2075" s="295">
        <v>1.317121</v>
      </c>
      <c r="D2075" s="295">
        <v>1.2401610000000001</v>
      </c>
      <c r="E2075" s="295">
        <v>1.179079</v>
      </c>
      <c r="F2075" s="295">
        <v>1.0895239999999999</v>
      </c>
      <c r="G2075" s="295">
        <v>1.06901</v>
      </c>
      <c r="H2075" s="295">
        <v>1.053693</v>
      </c>
      <c r="I2075" s="295">
        <v>1.036071</v>
      </c>
      <c r="J2075" s="295">
        <v>1.023123</v>
      </c>
      <c r="K2075" s="295">
        <v>1.014054</v>
      </c>
      <c r="L2075" s="295">
        <v>1.0179320000000001</v>
      </c>
      <c r="M2075" s="295">
        <v>1.022931</v>
      </c>
      <c r="N2075" s="295">
        <v>1.0254190000000001</v>
      </c>
      <c r="O2075" s="295">
        <v>1.033944</v>
      </c>
      <c r="P2075" s="295">
        <v>1.037058</v>
      </c>
      <c r="Q2075" s="295">
        <v>1.0492300000000001</v>
      </c>
      <c r="R2075" s="295">
        <v>1.065655</v>
      </c>
      <c r="S2075" s="295">
        <v>1.0772619999999999</v>
      </c>
      <c r="T2075" s="295">
        <v>1.0838570000000001</v>
      </c>
      <c r="U2075" s="295">
        <v>1.0865320000000001</v>
      </c>
      <c r="V2075" s="295">
        <v>1.087839</v>
      </c>
      <c r="W2075" s="295">
        <v>1.097178</v>
      </c>
      <c r="X2075" s="295">
        <v>1.1071500000000001</v>
      </c>
      <c r="Y2075" s="295">
        <v>1.114044</v>
      </c>
      <c r="Z2075" s="295">
        <v>1.1113839999999999</v>
      </c>
      <c r="AA2075" s="295">
        <v>1.11487</v>
      </c>
      <c r="AB2075" s="295">
        <v>1.1160909999999999</v>
      </c>
      <c r="AC2075" s="295">
        <v>1.1128210000000001</v>
      </c>
      <c r="AD2075" s="295">
        <v>1.1142529999999999</v>
      </c>
      <c r="AE2075" s="295">
        <v>1.118161</v>
      </c>
      <c r="AF2075" s="295">
        <v>1.125551</v>
      </c>
      <c r="AG2075" s="295">
        <v>1.1325419999999999</v>
      </c>
      <c r="AH2075" s="296">
        <v>-5.0200000000000002E-3</v>
      </c>
    </row>
    <row r="2076" spans="1:34" ht="15" customHeight="1" x14ac:dyDescent="0.25">
      <c r="A2076" s="213" t="s">
        <v>2566</v>
      </c>
      <c r="B2076" s="294" t="s">
        <v>2567</v>
      </c>
      <c r="C2076" s="295">
        <v>1.829491</v>
      </c>
      <c r="D2076" s="295">
        <v>1.920749</v>
      </c>
      <c r="E2076" s="295">
        <v>1.9959880000000001</v>
      </c>
      <c r="F2076" s="295">
        <v>2.06671</v>
      </c>
      <c r="G2076" s="295">
        <v>2.0459719999999999</v>
      </c>
      <c r="H2076" s="295">
        <v>1.9976529999999999</v>
      </c>
      <c r="I2076" s="295">
        <v>2.0746889999999998</v>
      </c>
      <c r="J2076" s="295">
        <v>2.142601</v>
      </c>
      <c r="K2076" s="295">
        <v>2.2773370000000002</v>
      </c>
      <c r="L2076" s="295">
        <v>2.3282180000000001</v>
      </c>
      <c r="M2076" s="295">
        <v>2.4317959999999998</v>
      </c>
      <c r="N2076" s="295">
        <v>2.463298</v>
      </c>
      <c r="O2076" s="295">
        <v>2.3783820000000002</v>
      </c>
      <c r="P2076" s="295">
        <v>2.4055149999999998</v>
      </c>
      <c r="Q2076" s="295">
        <v>2.3920729999999999</v>
      </c>
      <c r="R2076" s="295">
        <v>2.3044380000000002</v>
      </c>
      <c r="S2076" s="295">
        <v>2.1336029999999999</v>
      </c>
      <c r="T2076" s="295">
        <v>2.0605220000000002</v>
      </c>
      <c r="U2076" s="295">
        <v>1.9972730000000001</v>
      </c>
      <c r="V2076" s="295">
        <v>1.9309499999999999</v>
      </c>
      <c r="W2076" s="295">
        <v>1.8133170000000001</v>
      </c>
      <c r="X2076" s="295">
        <v>1.7289600000000001</v>
      </c>
      <c r="Y2076" s="295">
        <v>1.7456970000000001</v>
      </c>
      <c r="Z2076" s="295">
        <v>1.7290509999999999</v>
      </c>
      <c r="AA2076" s="295">
        <v>1.6885600000000001</v>
      </c>
      <c r="AB2076" s="295">
        <v>1.5751040000000001</v>
      </c>
      <c r="AC2076" s="295">
        <v>1.616155</v>
      </c>
      <c r="AD2076" s="295">
        <v>1.6734899999999999</v>
      </c>
      <c r="AE2076" s="295">
        <v>1.570764</v>
      </c>
      <c r="AF2076" s="295">
        <v>1.5018100000000001</v>
      </c>
      <c r="AG2076" s="295">
        <v>1.349048</v>
      </c>
      <c r="AH2076" s="296">
        <v>-1.0102999999999999E-2</v>
      </c>
    </row>
    <row r="2077" spans="1:34" ht="15" customHeight="1" x14ac:dyDescent="0.25">
      <c r="A2077" s="213" t="s">
        <v>2568</v>
      </c>
      <c r="B2077" s="294" t="s">
        <v>2569</v>
      </c>
      <c r="C2077" s="295">
        <v>2.0805000000000001E-2</v>
      </c>
      <c r="D2077" s="295">
        <v>1.8779000000000001E-2</v>
      </c>
      <c r="E2077" s="295">
        <v>1.7153000000000002E-2</v>
      </c>
      <c r="F2077" s="295">
        <v>1.5816E-2</v>
      </c>
      <c r="G2077" s="295">
        <v>1.4695E-2</v>
      </c>
      <c r="H2077" s="295">
        <v>1.3742000000000001E-2</v>
      </c>
      <c r="I2077" s="295">
        <v>1.2919E-2</v>
      </c>
      <c r="J2077" s="295">
        <v>1.2201999999999999E-2</v>
      </c>
      <c r="K2077" s="295">
        <v>1.157E-2</v>
      </c>
      <c r="L2077" s="295">
        <v>1.1009E-2</v>
      </c>
      <c r="M2077" s="295">
        <v>1.0508E-2</v>
      </c>
      <c r="N2077" s="295">
        <v>1.0056000000000001E-2</v>
      </c>
      <c r="O2077" s="295">
        <v>9.6480000000000003E-3</v>
      </c>
      <c r="P2077" s="295">
        <v>9.2759999999999995E-3</v>
      </c>
      <c r="Q2077" s="295">
        <v>8.9359999999999995E-3</v>
      </c>
      <c r="R2077" s="295">
        <v>8.6239999999999997E-3</v>
      </c>
      <c r="S2077" s="295">
        <v>8.3359999999999997E-3</v>
      </c>
      <c r="T2077" s="295">
        <v>8.0700000000000008E-3</v>
      </c>
      <c r="U2077" s="295">
        <v>7.8239999999999994E-3</v>
      </c>
      <c r="V2077" s="295">
        <v>7.5950000000000002E-3</v>
      </c>
      <c r="W2077" s="295">
        <v>7.3810000000000004E-3</v>
      </c>
      <c r="X2077" s="295">
        <v>7.1809999999999999E-3</v>
      </c>
      <c r="Y2077" s="295">
        <v>6.9930000000000001E-3</v>
      </c>
      <c r="Z2077" s="295">
        <v>6.8170000000000001E-3</v>
      </c>
      <c r="AA2077" s="295">
        <v>6.6519999999999999E-3</v>
      </c>
      <c r="AB2077" s="295">
        <v>6.4949999999999999E-3</v>
      </c>
      <c r="AC2077" s="295">
        <v>6.3480000000000003E-3</v>
      </c>
      <c r="AD2077" s="295">
        <v>6.208E-3</v>
      </c>
      <c r="AE2077" s="295">
        <v>6.0759999999999998E-3</v>
      </c>
      <c r="AF2077" s="295">
        <v>5.9500000000000004E-3</v>
      </c>
      <c r="AG2077" s="295">
        <v>5.8060000000000004E-3</v>
      </c>
      <c r="AH2077" s="296">
        <v>-4.1651000000000001E-2</v>
      </c>
    </row>
    <row r="2078" spans="1:34" ht="15" customHeight="1" x14ac:dyDescent="0.25">
      <c r="A2078" s="213" t="s">
        <v>2570</v>
      </c>
      <c r="B2078" s="294" t="s">
        <v>2571</v>
      </c>
      <c r="C2078" s="295">
        <v>1.808686</v>
      </c>
      <c r="D2078" s="295">
        <v>1.9019699999999999</v>
      </c>
      <c r="E2078" s="295">
        <v>1.9788349999999999</v>
      </c>
      <c r="F2078" s="295">
        <v>2.050894</v>
      </c>
      <c r="G2078" s="295">
        <v>2.0312770000000002</v>
      </c>
      <c r="H2078" s="295">
        <v>1.983911</v>
      </c>
      <c r="I2078" s="295">
        <v>2.0617700000000001</v>
      </c>
      <c r="J2078" s="295">
        <v>2.1303990000000002</v>
      </c>
      <c r="K2078" s="295">
        <v>2.2657669999999999</v>
      </c>
      <c r="L2078" s="295">
        <v>2.3172079999999999</v>
      </c>
      <c r="M2078" s="295">
        <v>2.4212880000000001</v>
      </c>
      <c r="N2078" s="295">
        <v>2.4532419999999999</v>
      </c>
      <c r="O2078" s="295">
        <v>2.3687339999999999</v>
      </c>
      <c r="P2078" s="295">
        <v>2.396239</v>
      </c>
      <c r="Q2078" s="295">
        <v>2.3831380000000002</v>
      </c>
      <c r="R2078" s="295">
        <v>2.2958150000000002</v>
      </c>
      <c r="S2078" s="295">
        <v>2.125267</v>
      </c>
      <c r="T2078" s="295">
        <v>2.052451</v>
      </c>
      <c r="U2078" s="295">
        <v>1.989449</v>
      </c>
      <c r="V2078" s="295">
        <v>1.9233560000000001</v>
      </c>
      <c r="W2078" s="295">
        <v>1.8059369999999999</v>
      </c>
      <c r="X2078" s="295">
        <v>1.7217800000000001</v>
      </c>
      <c r="Y2078" s="295">
        <v>1.7387030000000001</v>
      </c>
      <c r="Z2078" s="295">
        <v>1.722234</v>
      </c>
      <c r="AA2078" s="295">
        <v>1.681908</v>
      </c>
      <c r="AB2078" s="295">
        <v>1.5686089999999999</v>
      </c>
      <c r="AC2078" s="295">
        <v>1.609807</v>
      </c>
      <c r="AD2078" s="295">
        <v>1.6672819999999999</v>
      </c>
      <c r="AE2078" s="295">
        <v>1.5646880000000001</v>
      </c>
      <c r="AF2078" s="295">
        <v>1.49586</v>
      </c>
      <c r="AG2078" s="295">
        <v>1.343242</v>
      </c>
      <c r="AH2078" s="296">
        <v>-9.868E-3</v>
      </c>
    </row>
    <row r="2079" spans="1:34" ht="15" customHeight="1" x14ac:dyDescent="0.25">
      <c r="A2079" s="213" t="s">
        <v>2572</v>
      </c>
      <c r="B2079" s="294" t="s">
        <v>2573</v>
      </c>
      <c r="C2079" s="295">
        <v>0.45756799999999997</v>
      </c>
      <c r="D2079" s="295">
        <v>0.48552800000000002</v>
      </c>
      <c r="E2079" s="295">
        <v>0.47199999999999998</v>
      </c>
      <c r="F2079" s="295">
        <v>0.55393199999999998</v>
      </c>
      <c r="G2079" s="295">
        <v>0.57011999999999996</v>
      </c>
      <c r="H2079" s="295">
        <v>0.57450199999999996</v>
      </c>
      <c r="I2079" s="295">
        <v>0.60034299999999996</v>
      </c>
      <c r="J2079" s="295">
        <v>0.63863099999999995</v>
      </c>
      <c r="K2079" s="295">
        <v>0.62071399999999999</v>
      </c>
      <c r="L2079" s="295">
        <v>0.59733599999999998</v>
      </c>
      <c r="M2079" s="295">
        <v>0.56874000000000002</v>
      </c>
      <c r="N2079" s="295">
        <v>0.57986000000000004</v>
      </c>
      <c r="O2079" s="295">
        <v>0.63083500000000003</v>
      </c>
      <c r="P2079" s="295">
        <v>0.67189900000000002</v>
      </c>
      <c r="Q2079" s="295">
        <v>0.69072699999999998</v>
      </c>
      <c r="R2079" s="295">
        <v>0.67032400000000003</v>
      </c>
      <c r="S2079" s="295">
        <v>0.64121799999999995</v>
      </c>
      <c r="T2079" s="295">
        <v>0.61004400000000003</v>
      </c>
      <c r="U2079" s="295">
        <v>0.58114100000000002</v>
      </c>
      <c r="V2079" s="295">
        <v>0.55465699999999996</v>
      </c>
      <c r="W2079" s="295">
        <v>0.555257</v>
      </c>
      <c r="X2079" s="295">
        <v>0.59736900000000004</v>
      </c>
      <c r="Y2079" s="295">
        <v>0.60897000000000001</v>
      </c>
      <c r="Z2079" s="295">
        <v>0.740398</v>
      </c>
      <c r="AA2079" s="295">
        <v>0.79133100000000001</v>
      </c>
      <c r="AB2079" s="295">
        <v>0.75913600000000003</v>
      </c>
      <c r="AC2079" s="295">
        <v>0.73063400000000001</v>
      </c>
      <c r="AD2079" s="295">
        <v>0.70508499999999996</v>
      </c>
      <c r="AE2079" s="295">
        <v>0.68032300000000001</v>
      </c>
      <c r="AF2079" s="295">
        <v>0.65836099999999997</v>
      </c>
      <c r="AG2079" s="295">
        <v>0.61719800000000002</v>
      </c>
      <c r="AH2079" s="296">
        <v>1.0024999999999999E-2</v>
      </c>
    </row>
    <row r="2080" spans="1:34" ht="15" customHeight="1" x14ac:dyDescent="0.25">
      <c r="A2080" s="213" t="s">
        <v>2574</v>
      </c>
      <c r="B2080" s="294" t="s">
        <v>2575</v>
      </c>
      <c r="C2080" s="295">
        <v>0.36145500000000003</v>
      </c>
      <c r="D2080" s="295">
        <v>0.39118799999999998</v>
      </c>
      <c r="E2080" s="295">
        <v>0.36990899999999999</v>
      </c>
      <c r="F2080" s="295">
        <v>0.453627</v>
      </c>
      <c r="G2080" s="295">
        <v>0.468333</v>
      </c>
      <c r="H2080" s="295">
        <v>0.470503</v>
      </c>
      <c r="I2080" s="295">
        <v>0.50073400000000001</v>
      </c>
      <c r="J2080" s="295">
        <v>0.54411299999999996</v>
      </c>
      <c r="K2080" s="295">
        <v>0.52911600000000003</v>
      </c>
      <c r="L2080" s="295">
        <v>0.50798399999999999</v>
      </c>
      <c r="M2080" s="295">
        <v>0.48284899999999997</v>
      </c>
      <c r="N2080" s="295">
        <v>0.48772799999999999</v>
      </c>
      <c r="O2080" s="295">
        <v>0.522509</v>
      </c>
      <c r="P2080" s="295">
        <v>0.54856899999999997</v>
      </c>
      <c r="Q2080" s="295">
        <v>0.55285200000000001</v>
      </c>
      <c r="R2080" s="295">
        <v>0.51663899999999996</v>
      </c>
      <c r="S2080" s="295">
        <v>0.48494900000000002</v>
      </c>
      <c r="T2080" s="295">
        <v>0.45681300000000002</v>
      </c>
      <c r="U2080" s="295">
        <v>0.43059700000000001</v>
      </c>
      <c r="V2080" s="295">
        <v>0.40748499999999999</v>
      </c>
      <c r="W2080" s="295">
        <v>0.41107399999999999</v>
      </c>
      <c r="X2080" s="295">
        <v>0.445772</v>
      </c>
      <c r="Y2080" s="295">
        <v>0.45199699999999998</v>
      </c>
      <c r="Z2080" s="295">
        <v>0.54701100000000002</v>
      </c>
      <c r="AA2080" s="295">
        <v>0.58272000000000002</v>
      </c>
      <c r="AB2080" s="295">
        <v>0.55714200000000003</v>
      </c>
      <c r="AC2080" s="295">
        <v>0.53449500000000005</v>
      </c>
      <c r="AD2080" s="295">
        <v>0.51442600000000005</v>
      </c>
      <c r="AE2080" s="295">
        <v>0.49662699999999999</v>
      </c>
      <c r="AF2080" s="295">
        <v>0.48082599999999998</v>
      </c>
      <c r="AG2080" s="295">
        <v>0.45074999999999998</v>
      </c>
      <c r="AH2080" s="296">
        <v>7.3860000000000002E-3</v>
      </c>
    </row>
    <row r="2081" spans="1:34" ht="15" customHeight="1" x14ac:dyDescent="0.25">
      <c r="A2081" s="213" t="s">
        <v>2576</v>
      </c>
      <c r="B2081" s="294" t="s">
        <v>2577</v>
      </c>
      <c r="C2081" s="295">
        <v>9.3192999999999998E-2</v>
      </c>
      <c r="D2081" s="295">
        <v>9.1380000000000003E-2</v>
      </c>
      <c r="E2081" s="295">
        <v>9.4145999999999994E-2</v>
      </c>
      <c r="F2081" s="295">
        <v>9.3322000000000002E-2</v>
      </c>
      <c r="G2081" s="295">
        <v>9.5648999999999998E-2</v>
      </c>
      <c r="H2081" s="295">
        <v>9.8601999999999995E-2</v>
      </c>
      <c r="I2081" s="295">
        <v>9.4866000000000006E-2</v>
      </c>
      <c r="J2081" s="295">
        <v>9.0348999999999999E-2</v>
      </c>
      <c r="K2081" s="295">
        <v>8.7933999999999998E-2</v>
      </c>
      <c r="L2081" s="295">
        <v>8.6129999999999998E-2</v>
      </c>
      <c r="M2081" s="295">
        <v>8.3059999999999995E-2</v>
      </c>
      <c r="N2081" s="295">
        <v>8.9643E-2</v>
      </c>
      <c r="O2081" s="295">
        <v>0.106138</v>
      </c>
      <c r="P2081" s="295">
        <v>0.121406</v>
      </c>
      <c r="Q2081" s="295">
        <v>0.136185</v>
      </c>
      <c r="R2081" s="295">
        <v>0.152199</v>
      </c>
      <c r="S2081" s="295">
        <v>0.15496299999999999</v>
      </c>
      <c r="T2081" s="295">
        <v>0.152083</v>
      </c>
      <c r="U2081" s="295">
        <v>0.149534</v>
      </c>
      <c r="V2081" s="295">
        <v>0.146286</v>
      </c>
      <c r="W2081" s="295">
        <v>0.143403</v>
      </c>
      <c r="X2081" s="295">
        <v>0.15091199999999999</v>
      </c>
      <c r="Y2081" s="295">
        <v>0.15637100000000001</v>
      </c>
      <c r="Z2081" s="295">
        <v>0.192857</v>
      </c>
      <c r="AA2081" s="295">
        <v>0.208146</v>
      </c>
      <c r="AB2081" s="295">
        <v>0.20158599999999999</v>
      </c>
      <c r="AC2081" s="295">
        <v>0.19577900000000001</v>
      </c>
      <c r="AD2081" s="295">
        <v>0.19034200000000001</v>
      </c>
      <c r="AE2081" s="295">
        <v>0.183418</v>
      </c>
      <c r="AF2081" s="295">
        <v>0.177291</v>
      </c>
      <c r="AG2081" s="295">
        <v>0.16623399999999999</v>
      </c>
      <c r="AH2081" s="296">
        <v>1.9477999999999999E-2</v>
      </c>
    </row>
    <row r="2082" spans="1:34" ht="15" customHeight="1" x14ac:dyDescent="0.25">
      <c r="A2082" s="213" t="s">
        <v>2578</v>
      </c>
      <c r="B2082" s="294" t="s">
        <v>2579</v>
      </c>
      <c r="C2082" s="295">
        <v>2.9199999999999999E-3</v>
      </c>
      <c r="D2082" s="295">
        <v>2.96E-3</v>
      </c>
      <c r="E2082" s="295">
        <v>7.9450000000000007E-3</v>
      </c>
      <c r="F2082" s="295">
        <v>6.9839999999999998E-3</v>
      </c>
      <c r="G2082" s="295">
        <v>6.1390000000000004E-3</v>
      </c>
      <c r="H2082" s="295">
        <v>5.3959999999999998E-3</v>
      </c>
      <c r="I2082" s="295">
        <v>4.7429999999999998E-3</v>
      </c>
      <c r="J2082" s="295">
        <v>4.169E-3</v>
      </c>
      <c r="K2082" s="295">
        <v>3.6649999999999999E-3</v>
      </c>
      <c r="L2082" s="295">
        <v>3.2209999999999999E-3</v>
      </c>
      <c r="M2082" s="295">
        <v>2.8310000000000002E-3</v>
      </c>
      <c r="N2082" s="295">
        <v>2.4889999999999999E-3</v>
      </c>
      <c r="O2082" s="295">
        <v>2.1879999999999998E-3</v>
      </c>
      <c r="P2082" s="295">
        <v>1.923E-3</v>
      </c>
      <c r="Q2082" s="295">
        <v>1.6900000000000001E-3</v>
      </c>
      <c r="R2082" s="295">
        <v>1.4859999999999999E-3</v>
      </c>
      <c r="S2082" s="295">
        <v>1.3060000000000001E-3</v>
      </c>
      <c r="T2082" s="295">
        <v>1.1479999999999999E-3</v>
      </c>
      <c r="U2082" s="295">
        <v>1.0089999999999999E-3</v>
      </c>
      <c r="V2082" s="295">
        <v>8.8699999999999998E-4</v>
      </c>
      <c r="W2082" s="295">
        <v>7.7999999999999999E-4</v>
      </c>
      <c r="X2082" s="295">
        <v>6.8499999999999995E-4</v>
      </c>
      <c r="Y2082" s="295">
        <v>6.02E-4</v>
      </c>
      <c r="Z2082" s="295">
        <v>5.2899999999999996E-4</v>
      </c>
      <c r="AA2082" s="295">
        <v>4.6500000000000003E-4</v>
      </c>
      <c r="AB2082" s="295">
        <v>4.0900000000000002E-4</v>
      </c>
      <c r="AC2082" s="295">
        <v>3.6000000000000002E-4</v>
      </c>
      <c r="AD2082" s="295">
        <v>3.1599999999999998E-4</v>
      </c>
      <c r="AE2082" s="295">
        <v>2.7799999999999998E-4</v>
      </c>
      <c r="AF2082" s="295">
        <v>2.4399999999999999E-4</v>
      </c>
      <c r="AG2082" s="295">
        <v>2.1499999999999999E-4</v>
      </c>
      <c r="AH2082" s="296">
        <v>-8.3329E-2</v>
      </c>
    </row>
    <row r="2084" spans="1:34" ht="15" customHeight="1" x14ac:dyDescent="0.2">
      <c r="B2084" s="204" t="s">
        <v>2580</v>
      </c>
    </row>
    <row r="2085" spans="1:34" ht="15" customHeight="1" x14ac:dyDescent="0.2">
      <c r="B2085" s="204" t="s">
        <v>717</v>
      </c>
    </row>
    <row r="2086" spans="1:34" ht="15" customHeight="1" x14ac:dyDescent="0.25">
      <c r="A2086" s="213" t="s">
        <v>2581</v>
      </c>
      <c r="B2086" s="294" t="s">
        <v>2557</v>
      </c>
      <c r="C2086" s="295">
        <v>5.0260300000000004</v>
      </c>
      <c r="D2086" s="295">
        <v>5.2005179999999998</v>
      </c>
      <c r="E2086" s="295">
        <v>5.4813840000000003</v>
      </c>
      <c r="F2086" s="295">
        <v>5.7570370000000004</v>
      </c>
      <c r="G2086" s="295">
        <v>5.8604779999999996</v>
      </c>
      <c r="H2086" s="295">
        <v>5.8875120000000001</v>
      </c>
      <c r="I2086" s="295">
        <v>5.9641979999999997</v>
      </c>
      <c r="J2086" s="295">
        <v>6.0029190000000003</v>
      </c>
      <c r="K2086" s="295">
        <v>5.9901119999999999</v>
      </c>
      <c r="L2086" s="295">
        <v>6.0428949999999997</v>
      </c>
      <c r="M2086" s="295">
        <v>6.1252909999999998</v>
      </c>
      <c r="N2086" s="295">
        <v>6.1554270000000004</v>
      </c>
      <c r="O2086" s="295">
        <v>6.1284890000000001</v>
      </c>
      <c r="P2086" s="295">
        <v>6.1340389999999996</v>
      </c>
      <c r="Q2086" s="295">
        <v>6.1614560000000003</v>
      </c>
      <c r="R2086" s="295">
        <v>6.1558719999999996</v>
      </c>
      <c r="S2086" s="295">
        <v>6.1286820000000004</v>
      </c>
      <c r="T2086" s="295">
        <v>6.1262569999999998</v>
      </c>
      <c r="U2086" s="295">
        <v>6.1241659999999998</v>
      </c>
      <c r="V2086" s="295">
        <v>6.1444850000000004</v>
      </c>
      <c r="W2086" s="295">
        <v>6.151815</v>
      </c>
      <c r="X2086" s="295">
        <v>6.1384119999999998</v>
      </c>
      <c r="Y2086" s="295">
        <v>6.1740060000000003</v>
      </c>
      <c r="Z2086" s="295">
        <v>6.2269759999999996</v>
      </c>
      <c r="AA2086" s="295">
        <v>6.2660210000000003</v>
      </c>
      <c r="AB2086" s="295">
        <v>6.2698219999999996</v>
      </c>
      <c r="AC2086" s="295">
        <v>6.2498880000000003</v>
      </c>
      <c r="AD2086" s="295">
        <v>6.2207819999999998</v>
      </c>
      <c r="AE2086" s="295">
        <v>6.219004</v>
      </c>
      <c r="AF2086" s="295">
        <v>6.2404950000000001</v>
      </c>
      <c r="AG2086" s="295">
        <v>6.2617960000000004</v>
      </c>
      <c r="AH2086" s="296">
        <v>7.3550000000000004E-3</v>
      </c>
    </row>
    <row r="2087" spans="1:34" ht="15" customHeight="1" x14ac:dyDescent="0.25">
      <c r="A2087" s="213" t="s">
        <v>2582</v>
      </c>
      <c r="B2087" s="294" t="s">
        <v>2559</v>
      </c>
      <c r="C2087" s="295">
        <v>4.8075089999999996</v>
      </c>
      <c r="D2087" s="295">
        <v>4.974844</v>
      </c>
      <c r="E2087" s="295">
        <v>5.2450539999999997</v>
      </c>
      <c r="F2087" s="295">
        <v>5.5156039999999997</v>
      </c>
      <c r="G2087" s="295">
        <v>5.6263480000000001</v>
      </c>
      <c r="H2087" s="295">
        <v>5.6603260000000004</v>
      </c>
      <c r="I2087" s="295">
        <v>5.7325059999999999</v>
      </c>
      <c r="J2087" s="295">
        <v>5.7543379999999997</v>
      </c>
      <c r="K2087" s="295">
        <v>5.7291829999999999</v>
      </c>
      <c r="L2087" s="295">
        <v>5.778092</v>
      </c>
      <c r="M2087" s="295">
        <v>5.8383149999999997</v>
      </c>
      <c r="N2087" s="295">
        <v>5.8536260000000002</v>
      </c>
      <c r="O2087" s="295">
        <v>5.8181180000000001</v>
      </c>
      <c r="P2087" s="295">
        <v>5.7948279999999999</v>
      </c>
      <c r="Q2087" s="295">
        <v>5.8051199999999996</v>
      </c>
      <c r="R2087" s="295">
        <v>5.8072400000000002</v>
      </c>
      <c r="S2087" s="295">
        <v>5.7971190000000004</v>
      </c>
      <c r="T2087" s="295">
        <v>5.8092800000000002</v>
      </c>
      <c r="U2087" s="295">
        <v>5.8134779999999999</v>
      </c>
      <c r="V2087" s="295">
        <v>5.8303390000000004</v>
      </c>
      <c r="W2087" s="295">
        <v>5.8396889999999999</v>
      </c>
      <c r="X2087" s="295">
        <v>5.8308679999999997</v>
      </c>
      <c r="Y2087" s="295">
        <v>5.8443870000000002</v>
      </c>
      <c r="Z2087" s="295">
        <v>5.8697480000000004</v>
      </c>
      <c r="AA2087" s="295">
        <v>5.9089669999999996</v>
      </c>
      <c r="AB2087" s="295">
        <v>5.9257210000000002</v>
      </c>
      <c r="AC2087" s="295">
        <v>5.9329029999999996</v>
      </c>
      <c r="AD2087" s="295">
        <v>5.9131749999999998</v>
      </c>
      <c r="AE2087" s="295">
        <v>5.9124990000000004</v>
      </c>
      <c r="AF2087" s="295">
        <v>5.9341229999999996</v>
      </c>
      <c r="AG2087" s="295">
        <v>5.9616790000000002</v>
      </c>
      <c r="AH2087" s="296">
        <v>7.1980000000000004E-3</v>
      </c>
    </row>
    <row r="2088" spans="1:34" ht="15" customHeight="1" x14ac:dyDescent="0.25">
      <c r="A2088" s="213" t="s">
        <v>2583</v>
      </c>
      <c r="B2088" s="294" t="s">
        <v>2567</v>
      </c>
      <c r="C2088" s="295">
        <v>0.19375999999999999</v>
      </c>
      <c r="D2088" s="295">
        <v>0.20136699999999999</v>
      </c>
      <c r="E2088" s="295">
        <v>0.21112400000000001</v>
      </c>
      <c r="F2088" s="295">
        <v>0.18603900000000001</v>
      </c>
      <c r="G2088" s="295">
        <v>0.177119</v>
      </c>
      <c r="H2088" s="295">
        <v>0.169736</v>
      </c>
      <c r="I2088" s="295">
        <v>0.17165800000000001</v>
      </c>
      <c r="J2088" s="295">
        <v>0.18471699999999999</v>
      </c>
      <c r="K2088" s="295">
        <v>0.19885800000000001</v>
      </c>
      <c r="L2088" s="295">
        <v>0.205069</v>
      </c>
      <c r="M2088" s="295">
        <v>0.230102</v>
      </c>
      <c r="N2088" s="295">
        <v>0.243815</v>
      </c>
      <c r="O2088" s="295">
        <v>0.24728800000000001</v>
      </c>
      <c r="P2088" s="295">
        <v>0.27202199999999999</v>
      </c>
      <c r="Q2088" s="295">
        <v>0.28726299999999999</v>
      </c>
      <c r="R2088" s="295">
        <v>0.28160000000000002</v>
      </c>
      <c r="S2088" s="295">
        <v>0.26744200000000001</v>
      </c>
      <c r="T2088" s="295">
        <v>0.25597300000000001</v>
      </c>
      <c r="U2088" s="295">
        <v>0.25257499999999999</v>
      </c>
      <c r="V2088" s="295">
        <v>0.25868000000000002</v>
      </c>
      <c r="W2088" s="295">
        <v>0.25660100000000002</v>
      </c>
      <c r="X2088" s="295">
        <v>0.247807</v>
      </c>
      <c r="Y2088" s="295">
        <v>0.26872200000000002</v>
      </c>
      <c r="Z2088" s="295">
        <v>0.283188</v>
      </c>
      <c r="AA2088" s="295">
        <v>0.27792099999999997</v>
      </c>
      <c r="AB2088" s="295">
        <v>0.26818700000000001</v>
      </c>
      <c r="AC2088" s="295">
        <v>0.243922</v>
      </c>
      <c r="AD2088" s="295">
        <v>0.237099</v>
      </c>
      <c r="AE2088" s="295">
        <v>0.23847299999999999</v>
      </c>
      <c r="AF2088" s="295">
        <v>0.240537</v>
      </c>
      <c r="AG2088" s="295">
        <v>0.238397</v>
      </c>
      <c r="AH2088" s="296">
        <v>6.9350000000000002E-3</v>
      </c>
    </row>
    <row r="2089" spans="1:34" ht="15" customHeight="1" x14ac:dyDescent="0.25">
      <c r="A2089" s="213" t="s">
        <v>2584</v>
      </c>
      <c r="B2089" s="294" t="s">
        <v>2573</v>
      </c>
      <c r="C2089" s="295">
        <v>2.4760999999999998E-2</v>
      </c>
      <c r="D2089" s="295">
        <v>2.4306999999999999E-2</v>
      </c>
      <c r="E2089" s="295">
        <v>2.5205999999999999E-2</v>
      </c>
      <c r="F2089" s="295">
        <v>5.5392999999999998E-2</v>
      </c>
      <c r="G2089" s="295">
        <v>5.7012E-2</v>
      </c>
      <c r="H2089" s="295">
        <v>5.7450000000000001E-2</v>
      </c>
      <c r="I2089" s="295">
        <v>6.0033999999999997E-2</v>
      </c>
      <c r="J2089" s="295">
        <v>6.3863000000000003E-2</v>
      </c>
      <c r="K2089" s="295">
        <v>6.2071000000000001E-2</v>
      </c>
      <c r="L2089" s="295">
        <v>5.9734000000000002E-2</v>
      </c>
      <c r="M2089" s="295">
        <v>5.6874000000000001E-2</v>
      </c>
      <c r="N2089" s="295">
        <v>5.7986000000000003E-2</v>
      </c>
      <c r="O2089" s="295">
        <v>6.3083E-2</v>
      </c>
      <c r="P2089" s="295">
        <v>6.719E-2</v>
      </c>
      <c r="Q2089" s="295">
        <v>6.9072999999999996E-2</v>
      </c>
      <c r="R2089" s="295">
        <v>6.7031999999999994E-2</v>
      </c>
      <c r="S2089" s="295">
        <v>6.4121999999999998E-2</v>
      </c>
      <c r="T2089" s="295">
        <v>6.1004000000000003E-2</v>
      </c>
      <c r="U2089" s="295">
        <v>5.8113999999999999E-2</v>
      </c>
      <c r="V2089" s="295">
        <v>5.5466000000000001E-2</v>
      </c>
      <c r="W2089" s="295">
        <v>5.5525999999999999E-2</v>
      </c>
      <c r="X2089" s="295">
        <v>5.9736999999999998E-2</v>
      </c>
      <c r="Y2089" s="295">
        <v>6.0897E-2</v>
      </c>
      <c r="Z2089" s="295">
        <v>7.4039999999999995E-2</v>
      </c>
      <c r="AA2089" s="295">
        <v>7.9132999999999995E-2</v>
      </c>
      <c r="AB2089" s="295">
        <v>7.5913999999999995E-2</v>
      </c>
      <c r="AC2089" s="295">
        <v>7.3063000000000003E-2</v>
      </c>
      <c r="AD2089" s="295">
        <v>7.0508000000000001E-2</v>
      </c>
      <c r="AE2089" s="295">
        <v>6.8031999999999995E-2</v>
      </c>
      <c r="AF2089" s="295">
        <v>6.5836000000000006E-2</v>
      </c>
      <c r="AG2089" s="295">
        <v>6.1719999999999997E-2</v>
      </c>
      <c r="AH2089" s="296">
        <v>3.0913E-2</v>
      </c>
    </row>
    <row r="2091" spans="1:34" ht="15" customHeight="1" x14ac:dyDescent="0.2">
      <c r="B2091" s="204" t="s">
        <v>2585</v>
      </c>
    </row>
    <row r="2093" spans="1:34" ht="15" customHeight="1" x14ac:dyDescent="0.2">
      <c r="B2093" s="204" t="s">
        <v>2586</v>
      </c>
    </row>
    <row r="2094" spans="1:34" ht="15" customHeight="1" x14ac:dyDescent="0.25">
      <c r="A2094" s="213" t="s">
        <v>2587</v>
      </c>
      <c r="B2094" s="294" t="s">
        <v>2588</v>
      </c>
      <c r="C2094" s="295">
        <v>2.0664720000000001</v>
      </c>
      <c r="D2094" s="295">
        <v>3.10073</v>
      </c>
      <c r="E2094" s="295">
        <v>3.2256840000000002</v>
      </c>
      <c r="F2094" s="295">
        <v>2.992324</v>
      </c>
      <c r="G2094" s="295">
        <v>2.8017919999999998</v>
      </c>
      <c r="H2094" s="295">
        <v>2.8803239999999999</v>
      </c>
      <c r="I2094" s="295">
        <v>2.9843310000000001</v>
      </c>
      <c r="J2094" s="295">
        <v>3.042141</v>
      </c>
      <c r="K2094" s="295">
        <v>3.1755100000000001</v>
      </c>
      <c r="L2094" s="295">
        <v>3.2906309999999999</v>
      </c>
      <c r="M2094" s="295">
        <v>3.3439549999999998</v>
      </c>
      <c r="N2094" s="295">
        <v>3.3584839999999998</v>
      </c>
      <c r="O2094" s="295">
        <v>3.4230429999999998</v>
      </c>
      <c r="P2094" s="295">
        <v>3.4872100000000001</v>
      </c>
      <c r="Q2094" s="295">
        <v>3.5170400000000002</v>
      </c>
      <c r="R2094" s="295">
        <v>3.5326979999999999</v>
      </c>
      <c r="S2094" s="295">
        <v>3.5373169999999998</v>
      </c>
      <c r="T2094" s="295">
        <v>3.5283199999999999</v>
      </c>
      <c r="U2094" s="295">
        <v>3.5497399999999999</v>
      </c>
      <c r="V2094" s="295">
        <v>3.5503559999999998</v>
      </c>
      <c r="W2094" s="295">
        <v>3.5492530000000002</v>
      </c>
      <c r="X2094" s="295">
        <v>3.549023</v>
      </c>
      <c r="Y2094" s="295">
        <v>3.5287259999999998</v>
      </c>
      <c r="Z2094" s="295">
        <v>3.5056509999999999</v>
      </c>
      <c r="AA2094" s="295">
        <v>3.5018690000000001</v>
      </c>
      <c r="AB2094" s="295">
        <v>3.5076990000000001</v>
      </c>
      <c r="AC2094" s="295">
        <v>3.521007</v>
      </c>
      <c r="AD2094" s="295">
        <v>3.547183</v>
      </c>
      <c r="AE2094" s="295">
        <v>3.5962100000000001</v>
      </c>
      <c r="AF2094" s="295">
        <v>3.6540050000000002</v>
      </c>
      <c r="AG2094" s="295">
        <v>3.6939389999999999</v>
      </c>
      <c r="AH2094" s="296">
        <v>1.9550000000000001E-2</v>
      </c>
    </row>
    <row r="2096" spans="1:34" ht="15" customHeight="1" x14ac:dyDescent="0.2">
      <c r="B2096" s="204" t="s">
        <v>2589</v>
      </c>
    </row>
    <row r="2097" spans="1:34" ht="15" customHeight="1" x14ac:dyDescent="0.25">
      <c r="A2097" s="213" t="s">
        <v>2590</v>
      </c>
      <c r="B2097" s="294" t="s">
        <v>2557</v>
      </c>
      <c r="C2097" s="295">
        <v>33.890735999999997</v>
      </c>
      <c r="D2097" s="295">
        <v>32.309691999999998</v>
      </c>
      <c r="E2097" s="295">
        <v>32.780650999999999</v>
      </c>
      <c r="F2097" s="295">
        <v>34.022060000000003</v>
      </c>
      <c r="G2097" s="295">
        <v>34.964745000000001</v>
      </c>
      <c r="H2097" s="295">
        <v>36.261744999999998</v>
      </c>
      <c r="I2097" s="295">
        <v>36.885249999999999</v>
      </c>
      <c r="J2097" s="295">
        <v>37.021377999999999</v>
      </c>
      <c r="K2097" s="295">
        <v>37.196350000000002</v>
      </c>
      <c r="L2097" s="295">
        <v>37.544429999999998</v>
      </c>
      <c r="M2097" s="295">
        <v>37.881168000000002</v>
      </c>
      <c r="N2097" s="295">
        <v>38.134372999999997</v>
      </c>
      <c r="O2097" s="295">
        <v>38.298533999999997</v>
      </c>
      <c r="P2097" s="295">
        <v>38.468994000000002</v>
      </c>
      <c r="Q2097" s="295">
        <v>38.611877</v>
      </c>
      <c r="R2097" s="295">
        <v>38.613323000000001</v>
      </c>
      <c r="S2097" s="295">
        <v>38.774208000000002</v>
      </c>
      <c r="T2097" s="295">
        <v>38.983142999999998</v>
      </c>
      <c r="U2097" s="295">
        <v>39.289341</v>
      </c>
      <c r="V2097" s="295">
        <v>39.585915</v>
      </c>
      <c r="W2097" s="295">
        <v>39.916763000000003</v>
      </c>
      <c r="X2097" s="295">
        <v>40.111533999999999</v>
      </c>
      <c r="Y2097" s="295">
        <v>40.487704999999998</v>
      </c>
      <c r="Z2097" s="295">
        <v>40.920616000000003</v>
      </c>
      <c r="AA2097" s="295">
        <v>41.286839000000001</v>
      </c>
      <c r="AB2097" s="295">
        <v>41.538970999999997</v>
      </c>
      <c r="AC2097" s="295">
        <v>41.804253000000003</v>
      </c>
      <c r="AD2097" s="295">
        <v>42.065693000000003</v>
      </c>
      <c r="AE2097" s="295">
        <v>42.392257999999998</v>
      </c>
      <c r="AF2097" s="295">
        <v>42.658816999999999</v>
      </c>
      <c r="AG2097" s="295">
        <v>42.992820999999999</v>
      </c>
      <c r="AH2097" s="296">
        <v>7.9609999999999993E-3</v>
      </c>
    </row>
    <row r="2098" spans="1:34" ht="15" customHeight="1" x14ac:dyDescent="0.25">
      <c r="A2098" s="213" t="s">
        <v>2591</v>
      </c>
      <c r="B2098" s="294" t="s">
        <v>2559</v>
      </c>
      <c r="C2098" s="295">
        <v>32.351470999999997</v>
      </c>
      <c r="D2098" s="295">
        <v>31.032553</v>
      </c>
      <c r="E2098" s="295">
        <v>31.523239</v>
      </c>
      <c r="F2098" s="295">
        <v>32.815517</v>
      </c>
      <c r="G2098" s="295">
        <v>33.800342999999998</v>
      </c>
      <c r="H2098" s="295">
        <v>35.124352000000002</v>
      </c>
      <c r="I2098" s="295">
        <v>35.720759999999999</v>
      </c>
      <c r="J2098" s="295">
        <v>35.795208000000002</v>
      </c>
      <c r="K2098" s="295">
        <v>35.857784000000002</v>
      </c>
      <c r="L2098" s="295">
        <v>36.15213</v>
      </c>
      <c r="M2098" s="295">
        <v>36.334609999999998</v>
      </c>
      <c r="N2098" s="295">
        <v>36.489837999999999</v>
      </c>
      <c r="O2098" s="295">
        <v>36.629105000000003</v>
      </c>
      <c r="P2098" s="295">
        <v>36.648887999999999</v>
      </c>
      <c r="Q2098" s="295">
        <v>36.693202999999997</v>
      </c>
      <c r="R2098" s="295">
        <v>36.717247</v>
      </c>
      <c r="S2098" s="295">
        <v>36.954242999999998</v>
      </c>
      <c r="T2098" s="295">
        <v>37.138683</v>
      </c>
      <c r="U2098" s="295">
        <v>37.457377999999999</v>
      </c>
      <c r="V2098" s="295">
        <v>37.712811000000002</v>
      </c>
      <c r="W2098" s="295">
        <v>38.056308999999999</v>
      </c>
      <c r="X2098" s="295">
        <v>38.270214000000003</v>
      </c>
      <c r="Y2098" s="295">
        <v>38.586216</v>
      </c>
      <c r="Z2098" s="295">
        <v>38.972442999999998</v>
      </c>
      <c r="AA2098" s="295">
        <v>39.364474999999999</v>
      </c>
      <c r="AB2098" s="295">
        <v>39.649551000000002</v>
      </c>
      <c r="AC2098" s="295">
        <v>39.840958000000001</v>
      </c>
      <c r="AD2098" s="295">
        <v>40.038665999999999</v>
      </c>
      <c r="AE2098" s="295">
        <v>40.388069000000002</v>
      </c>
      <c r="AF2098" s="295">
        <v>40.694878000000003</v>
      </c>
      <c r="AG2098" s="295">
        <v>41.098247999999998</v>
      </c>
      <c r="AH2098" s="296">
        <v>8.0090000000000005E-3</v>
      </c>
    </row>
    <row r="2099" spans="1:34" ht="15" customHeight="1" x14ac:dyDescent="0.25">
      <c r="A2099" s="213" t="s">
        <v>2592</v>
      </c>
      <c r="B2099" s="294" t="s">
        <v>2593</v>
      </c>
      <c r="C2099" s="295">
        <v>6.0021430000000002</v>
      </c>
      <c r="D2099" s="295">
        <v>5.1615950000000002</v>
      </c>
      <c r="E2099" s="295">
        <v>5.3871260000000003</v>
      </c>
      <c r="F2099" s="295">
        <v>5.3138490000000003</v>
      </c>
      <c r="G2099" s="295">
        <v>5.2182779999999998</v>
      </c>
      <c r="H2099" s="295">
        <v>5.2529539999999999</v>
      </c>
      <c r="I2099" s="295">
        <v>5.2324960000000003</v>
      </c>
      <c r="J2099" s="295">
        <v>5.1135999999999999</v>
      </c>
      <c r="K2099" s="295">
        <v>4.9756489999999998</v>
      </c>
      <c r="L2099" s="295">
        <v>4.9244370000000002</v>
      </c>
      <c r="M2099" s="295">
        <v>4.8982479999999997</v>
      </c>
      <c r="N2099" s="295">
        <v>4.8293039999999996</v>
      </c>
      <c r="O2099" s="295">
        <v>4.7652049999999999</v>
      </c>
      <c r="P2099" s="295">
        <v>4.7221909999999996</v>
      </c>
      <c r="Q2099" s="295">
        <v>4.7053450000000003</v>
      </c>
      <c r="R2099" s="295">
        <v>4.7066889999999999</v>
      </c>
      <c r="S2099" s="295">
        <v>4.7259909999999996</v>
      </c>
      <c r="T2099" s="295">
        <v>4.7357659999999999</v>
      </c>
      <c r="U2099" s="295">
        <v>4.7986849999999999</v>
      </c>
      <c r="V2099" s="295">
        <v>4.8537749999999997</v>
      </c>
      <c r="W2099" s="295">
        <v>4.9480440000000003</v>
      </c>
      <c r="X2099" s="295">
        <v>5.0770600000000004</v>
      </c>
      <c r="Y2099" s="295">
        <v>5.2795560000000004</v>
      </c>
      <c r="Z2099" s="295">
        <v>5.4455299999999998</v>
      </c>
      <c r="AA2099" s="295">
        <v>5.539142</v>
      </c>
      <c r="AB2099" s="295">
        <v>5.592714</v>
      </c>
      <c r="AC2099" s="295">
        <v>5.6141160000000001</v>
      </c>
      <c r="AD2099" s="295">
        <v>5.6627020000000003</v>
      </c>
      <c r="AE2099" s="295">
        <v>5.6931849999999997</v>
      </c>
      <c r="AF2099" s="295">
        <v>5.731306</v>
      </c>
      <c r="AG2099" s="295">
        <v>5.7455259999999999</v>
      </c>
      <c r="AH2099" s="296">
        <v>-1.4549999999999999E-3</v>
      </c>
    </row>
    <row r="2100" spans="1:34" ht="15" customHeight="1" x14ac:dyDescent="0.25">
      <c r="A2100" s="213" t="s">
        <v>2594</v>
      </c>
      <c r="B2100" s="294" t="s">
        <v>2595</v>
      </c>
      <c r="C2100" s="295">
        <v>23.158770000000001</v>
      </c>
      <c r="D2100" s="295">
        <v>22.782433000000001</v>
      </c>
      <c r="E2100" s="295">
        <v>23.169502000000001</v>
      </c>
      <c r="F2100" s="295">
        <v>24.678028000000001</v>
      </c>
      <c r="G2100" s="295">
        <v>25.849117</v>
      </c>
      <c r="H2100" s="295">
        <v>27.232409000000001</v>
      </c>
      <c r="I2100" s="295">
        <v>27.996566999999999</v>
      </c>
      <c r="J2100" s="295">
        <v>28.308996</v>
      </c>
      <c r="K2100" s="295">
        <v>28.576494</v>
      </c>
      <c r="L2100" s="295">
        <v>28.984766</v>
      </c>
      <c r="M2100" s="295">
        <v>29.244764</v>
      </c>
      <c r="N2100" s="295">
        <v>29.537731000000001</v>
      </c>
      <c r="O2100" s="295">
        <v>29.778663999999999</v>
      </c>
      <c r="P2100" s="295">
        <v>29.912618999999999</v>
      </c>
      <c r="Q2100" s="295">
        <v>30.026797999999999</v>
      </c>
      <c r="R2100" s="295">
        <v>30.077171</v>
      </c>
      <c r="S2100" s="295">
        <v>30.318542000000001</v>
      </c>
      <c r="T2100" s="295">
        <v>30.536791000000001</v>
      </c>
      <c r="U2100" s="295">
        <v>30.862590999999998</v>
      </c>
      <c r="V2100" s="295">
        <v>31.115423</v>
      </c>
      <c r="W2100" s="295">
        <v>31.398903000000001</v>
      </c>
      <c r="X2100" s="295">
        <v>31.508385000000001</v>
      </c>
      <c r="Y2100" s="295">
        <v>31.648133999999999</v>
      </c>
      <c r="Z2100" s="295">
        <v>31.899446000000001</v>
      </c>
      <c r="AA2100" s="295">
        <v>32.247127999999996</v>
      </c>
      <c r="AB2100" s="295">
        <v>32.539265</v>
      </c>
      <c r="AC2100" s="295">
        <v>32.745528999999998</v>
      </c>
      <c r="AD2100" s="295">
        <v>32.921737999999998</v>
      </c>
      <c r="AE2100" s="295">
        <v>33.263858999999997</v>
      </c>
      <c r="AF2100" s="295">
        <v>33.547961999999998</v>
      </c>
      <c r="AG2100" s="295">
        <v>33.94453</v>
      </c>
      <c r="AH2100" s="296">
        <v>1.2827E-2</v>
      </c>
    </row>
    <row r="2101" spans="1:34" ht="15" customHeight="1" x14ac:dyDescent="0.25">
      <c r="A2101" s="213" t="s">
        <v>2596</v>
      </c>
      <c r="B2101" s="294" t="s">
        <v>2597</v>
      </c>
      <c r="C2101" s="295">
        <v>0.86242600000000003</v>
      </c>
      <c r="D2101" s="295">
        <v>0.90694300000000005</v>
      </c>
      <c r="E2101" s="295">
        <v>0.87490100000000004</v>
      </c>
      <c r="F2101" s="295">
        <v>0.84089899999999995</v>
      </c>
      <c r="G2101" s="295">
        <v>0.82356099999999999</v>
      </c>
      <c r="H2101" s="295">
        <v>0.83676499999999998</v>
      </c>
      <c r="I2101" s="295">
        <v>0.82594699999999999</v>
      </c>
      <c r="J2101" s="295">
        <v>0.81015700000000002</v>
      </c>
      <c r="K2101" s="295">
        <v>0.79284100000000002</v>
      </c>
      <c r="L2101" s="295">
        <v>0.78380700000000003</v>
      </c>
      <c r="M2101" s="295">
        <v>0.771756</v>
      </c>
      <c r="N2101" s="295">
        <v>0.746645</v>
      </c>
      <c r="O2101" s="295">
        <v>0.73497400000000002</v>
      </c>
      <c r="P2101" s="295">
        <v>0.71112799999999998</v>
      </c>
      <c r="Q2101" s="295">
        <v>0.69789500000000004</v>
      </c>
      <c r="R2101" s="295">
        <v>0.69225700000000001</v>
      </c>
      <c r="S2101" s="295">
        <v>0.68722700000000003</v>
      </c>
      <c r="T2101" s="295">
        <v>0.65873599999999999</v>
      </c>
      <c r="U2101" s="295">
        <v>0.61080800000000002</v>
      </c>
      <c r="V2101" s="295">
        <v>0.58802100000000002</v>
      </c>
      <c r="W2101" s="295">
        <v>0.56140400000000001</v>
      </c>
      <c r="X2101" s="295">
        <v>0.54150200000000004</v>
      </c>
      <c r="Y2101" s="295">
        <v>0.52800400000000003</v>
      </c>
      <c r="Z2101" s="295">
        <v>0.515791</v>
      </c>
      <c r="AA2101" s="295">
        <v>0.48601299999999997</v>
      </c>
      <c r="AB2101" s="295">
        <v>0.44824399999999998</v>
      </c>
      <c r="AC2101" s="295">
        <v>0.437002</v>
      </c>
      <c r="AD2101" s="295">
        <v>0.42691400000000002</v>
      </c>
      <c r="AE2101" s="295">
        <v>0.41700199999999998</v>
      </c>
      <c r="AF2101" s="295">
        <v>0.41499399999999997</v>
      </c>
      <c r="AG2101" s="295">
        <v>0.41342499999999999</v>
      </c>
      <c r="AH2101" s="296">
        <v>-2.4211E-2</v>
      </c>
    </row>
    <row r="2102" spans="1:34" ht="15" customHeight="1" x14ac:dyDescent="0.25">
      <c r="A2102" s="213" t="s">
        <v>2598</v>
      </c>
      <c r="B2102" s="294" t="s">
        <v>2565</v>
      </c>
      <c r="C2102" s="295">
        <v>2.328131</v>
      </c>
      <c r="D2102" s="295">
        <v>2.181581</v>
      </c>
      <c r="E2102" s="295">
        <v>2.0917089999999998</v>
      </c>
      <c r="F2102" s="295">
        <v>1.982742</v>
      </c>
      <c r="G2102" s="295">
        <v>1.909386</v>
      </c>
      <c r="H2102" s="295">
        <v>1.8022229999999999</v>
      </c>
      <c r="I2102" s="295">
        <v>1.665753</v>
      </c>
      <c r="J2102" s="295">
        <v>1.5624560000000001</v>
      </c>
      <c r="K2102" s="295">
        <v>1.5127980000000001</v>
      </c>
      <c r="L2102" s="295">
        <v>1.45912</v>
      </c>
      <c r="M2102" s="295">
        <v>1.419842</v>
      </c>
      <c r="N2102" s="295">
        <v>1.3761540000000001</v>
      </c>
      <c r="O2102" s="295">
        <v>1.35026</v>
      </c>
      <c r="P2102" s="295">
        <v>1.3029500000000001</v>
      </c>
      <c r="Q2102" s="295">
        <v>1.2631619999999999</v>
      </c>
      <c r="R2102" s="295">
        <v>1.2411300000000001</v>
      </c>
      <c r="S2102" s="295">
        <v>1.2224809999999999</v>
      </c>
      <c r="T2102" s="295">
        <v>1.207389</v>
      </c>
      <c r="U2102" s="295">
        <v>1.1852929999999999</v>
      </c>
      <c r="V2102" s="295">
        <v>1.1555880000000001</v>
      </c>
      <c r="W2102" s="295">
        <v>1.1479539999999999</v>
      </c>
      <c r="X2102" s="295">
        <v>1.143265</v>
      </c>
      <c r="Y2102" s="295">
        <v>1.130522</v>
      </c>
      <c r="Z2102" s="295">
        <v>1.111672</v>
      </c>
      <c r="AA2102" s="295">
        <v>1.092187</v>
      </c>
      <c r="AB2102" s="295">
        <v>1.0693269999999999</v>
      </c>
      <c r="AC2102" s="295">
        <v>1.044308</v>
      </c>
      <c r="AD2102" s="295">
        <v>1.027309</v>
      </c>
      <c r="AE2102" s="295">
        <v>1.0140199999999999</v>
      </c>
      <c r="AF2102" s="295">
        <v>1.0006159999999999</v>
      </c>
      <c r="AG2102" s="295">
        <v>0.99476200000000004</v>
      </c>
      <c r="AH2102" s="296">
        <v>-2.7945999999999999E-2</v>
      </c>
    </row>
    <row r="2103" spans="1:34" ht="15" customHeight="1" x14ac:dyDescent="0.25">
      <c r="A2103" s="213" t="s">
        <v>2599</v>
      </c>
      <c r="B2103" s="294" t="s">
        <v>2567</v>
      </c>
      <c r="C2103" s="295">
        <v>1.2091769999999999</v>
      </c>
      <c r="D2103" s="295">
        <v>0.95264099999999996</v>
      </c>
      <c r="E2103" s="295">
        <v>0.930809</v>
      </c>
      <c r="F2103" s="295">
        <v>0.86560700000000002</v>
      </c>
      <c r="G2103" s="295">
        <v>0.82469199999999998</v>
      </c>
      <c r="H2103" s="295">
        <v>0.79501500000000003</v>
      </c>
      <c r="I2103" s="295">
        <v>0.81814600000000004</v>
      </c>
      <c r="J2103" s="295">
        <v>0.87467499999999998</v>
      </c>
      <c r="K2103" s="295">
        <v>0.991228</v>
      </c>
      <c r="L2103" s="295">
        <v>1.0462830000000001</v>
      </c>
      <c r="M2103" s="295">
        <v>1.2038409999999999</v>
      </c>
      <c r="N2103" s="295">
        <v>1.2979339999999999</v>
      </c>
      <c r="O2103" s="295">
        <v>1.3154429999999999</v>
      </c>
      <c r="P2103" s="295">
        <v>1.4616720000000001</v>
      </c>
      <c r="Q2103" s="295">
        <v>1.558046</v>
      </c>
      <c r="R2103" s="295">
        <v>1.5384789999999999</v>
      </c>
      <c r="S2103" s="295">
        <v>1.4646809999999999</v>
      </c>
      <c r="T2103" s="295">
        <v>1.4921450000000001</v>
      </c>
      <c r="U2103" s="295">
        <v>1.481948</v>
      </c>
      <c r="V2103" s="295">
        <v>1.525258</v>
      </c>
      <c r="W2103" s="295">
        <v>1.510516</v>
      </c>
      <c r="X2103" s="295">
        <v>1.4844459999999999</v>
      </c>
      <c r="Y2103" s="295">
        <v>1.544365</v>
      </c>
      <c r="Z2103" s="295">
        <v>1.5692489999999999</v>
      </c>
      <c r="AA2103" s="295">
        <v>1.542926</v>
      </c>
      <c r="AB2103" s="295">
        <v>1.5140009999999999</v>
      </c>
      <c r="AC2103" s="295">
        <v>1.5894699999999999</v>
      </c>
      <c r="AD2103" s="295">
        <v>1.655289</v>
      </c>
      <c r="AE2103" s="295">
        <v>1.6341749999999999</v>
      </c>
      <c r="AF2103" s="295">
        <v>1.5953029999999999</v>
      </c>
      <c r="AG2103" s="295">
        <v>1.5304279999999999</v>
      </c>
      <c r="AH2103" s="296">
        <v>7.8849999999999996E-3</v>
      </c>
    </row>
    <row r="2104" spans="1:34" ht="15" customHeight="1" x14ac:dyDescent="0.25">
      <c r="A2104" s="213" t="s">
        <v>2600</v>
      </c>
      <c r="B2104" s="294" t="s">
        <v>2569</v>
      </c>
      <c r="C2104" s="295">
        <v>6.4422999999999994E-2</v>
      </c>
      <c r="D2104" s="295">
        <v>5.9200000000000003E-2</v>
      </c>
      <c r="E2104" s="295">
        <v>4.7432000000000002E-2</v>
      </c>
      <c r="F2104" s="295">
        <v>3.8753999999999997E-2</v>
      </c>
      <c r="G2104" s="295">
        <v>3.4474999999999999E-2</v>
      </c>
      <c r="H2104" s="295">
        <v>3.2487000000000002E-2</v>
      </c>
      <c r="I2104" s="295">
        <v>2.9590999999999999E-2</v>
      </c>
      <c r="J2104" s="295">
        <v>2.6929999999999999E-2</v>
      </c>
      <c r="K2104" s="295">
        <v>2.5099E-2</v>
      </c>
      <c r="L2104" s="295">
        <v>2.3251999999999998E-2</v>
      </c>
      <c r="M2104" s="295">
        <v>2.1548000000000001E-2</v>
      </c>
      <c r="N2104" s="295">
        <v>2.0139000000000001E-2</v>
      </c>
      <c r="O2104" s="295">
        <v>1.9092000000000001E-2</v>
      </c>
      <c r="P2104" s="295">
        <v>1.8086000000000001E-2</v>
      </c>
      <c r="Q2104" s="295">
        <v>1.7089E-2</v>
      </c>
      <c r="R2104" s="295">
        <v>1.6240999999999998E-2</v>
      </c>
      <c r="S2104" s="295">
        <v>1.5495E-2</v>
      </c>
      <c r="T2104" s="295">
        <v>1.4829999999999999E-2</v>
      </c>
      <c r="U2104" s="295">
        <v>1.4284E-2</v>
      </c>
      <c r="V2104" s="295">
        <v>1.3688000000000001E-2</v>
      </c>
      <c r="W2104" s="295">
        <v>1.3166000000000001E-2</v>
      </c>
      <c r="X2104" s="295">
        <v>1.2710000000000001E-2</v>
      </c>
      <c r="Y2104" s="295">
        <v>1.2246E-2</v>
      </c>
      <c r="Z2104" s="295">
        <v>1.1847E-2</v>
      </c>
      <c r="AA2104" s="295">
        <v>1.1495999999999999E-2</v>
      </c>
      <c r="AB2104" s="295">
        <v>1.1173000000000001E-2</v>
      </c>
      <c r="AC2104" s="295">
        <v>1.0866000000000001E-2</v>
      </c>
      <c r="AD2104" s="295">
        <v>1.0578000000000001E-2</v>
      </c>
      <c r="AE2104" s="295">
        <v>1.0309E-2</v>
      </c>
      <c r="AF2104" s="295">
        <v>1.0061E-2</v>
      </c>
      <c r="AG2104" s="295">
        <v>9.7389999999999994E-3</v>
      </c>
      <c r="AH2104" s="296">
        <v>-6.1036E-2</v>
      </c>
    </row>
    <row r="2105" spans="1:34" ht="15" customHeight="1" x14ac:dyDescent="0.25">
      <c r="A2105" s="213" t="s">
        <v>2601</v>
      </c>
      <c r="B2105" s="294" t="s">
        <v>2571</v>
      </c>
      <c r="C2105" s="295">
        <v>1.144754</v>
      </c>
      <c r="D2105" s="295">
        <v>0.89344100000000004</v>
      </c>
      <c r="E2105" s="295">
        <v>0.883378</v>
      </c>
      <c r="F2105" s="295">
        <v>0.82685200000000003</v>
      </c>
      <c r="G2105" s="295">
        <v>0.79021699999999995</v>
      </c>
      <c r="H2105" s="295">
        <v>0.76252799999999998</v>
      </c>
      <c r="I2105" s="295">
        <v>0.78855500000000001</v>
      </c>
      <c r="J2105" s="295">
        <v>0.84774499999999997</v>
      </c>
      <c r="K2105" s="295">
        <v>0.96613000000000004</v>
      </c>
      <c r="L2105" s="295">
        <v>1.023031</v>
      </c>
      <c r="M2105" s="295">
        <v>1.182293</v>
      </c>
      <c r="N2105" s="295">
        <v>1.2777940000000001</v>
      </c>
      <c r="O2105" s="295">
        <v>1.2963499999999999</v>
      </c>
      <c r="P2105" s="295">
        <v>1.443586</v>
      </c>
      <c r="Q2105" s="295">
        <v>1.5409569999999999</v>
      </c>
      <c r="R2105" s="295">
        <v>1.522238</v>
      </c>
      <c r="S2105" s="295">
        <v>1.4491860000000001</v>
      </c>
      <c r="T2105" s="295">
        <v>1.4773149999999999</v>
      </c>
      <c r="U2105" s="295">
        <v>1.4676640000000001</v>
      </c>
      <c r="V2105" s="295">
        <v>1.5115700000000001</v>
      </c>
      <c r="W2105" s="295">
        <v>1.49735</v>
      </c>
      <c r="X2105" s="295">
        <v>1.4717359999999999</v>
      </c>
      <c r="Y2105" s="295">
        <v>1.532119</v>
      </c>
      <c r="Z2105" s="295">
        <v>1.557402</v>
      </c>
      <c r="AA2105" s="295">
        <v>1.5314300000000001</v>
      </c>
      <c r="AB2105" s="295">
        <v>1.502829</v>
      </c>
      <c r="AC2105" s="295">
        <v>1.5786039999999999</v>
      </c>
      <c r="AD2105" s="295">
        <v>1.6447099999999999</v>
      </c>
      <c r="AE2105" s="295">
        <v>1.623866</v>
      </c>
      <c r="AF2105" s="295">
        <v>1.585242</v>
      </c>
      <c r="AG2105" s="295">
        <v>1.520689</v>
      </c>
      <c r="AH2105" s="296">
        <v>9.5110000000000004E-3</v>
      </c>
    </row>
    <row r="2106" spans="1:34" ht="15" customHeight="1" x14ac:dyDescent="0.25">
      <c r="A2106" s="213" t="s">
        <v>2602</v>
      </c>
      <c r="B2106" s="294" t="s">
        <v>2573</v>
      </c>
      <c r="C2106" s="295">
        <v>0.33008599999999999</v>
      </c>
      <c r="D2106" s="295">
        <v>0.32450000000000001</v>
      </c>
      <c r="E2106" s="295">
        <v>0.326602</v>
      </c>
      <c r="F2106" s="295">
        <v>0.34093400000000001</v>
      </c>
      <c r="G2106" s="295">
        <v>0.33971099999999999</v>
      </c>
      <c r="H2106" s="295">
        <v>0.34237600000000001</v>
      </c>
      <c r="I2106" s="295">
        <v>0.34634900000000002</v>
      </c>
      <c r="J2106" s="295">
        <v>0.351491</v>
      </c>
      <c r="K2106" s="295">
        <v>0.34733799999999998</v>
      </c>
      <c r="L2106" s="295">
        <v>0.34601799999999999</v>
      </c>
      <c r="M2106" s="295">
        <v>0.342721</v>
      </c>
      <c r="N2106" s="295">
        <v>0.34660000000000002</v>
      </c>
      <c r="O2106" s="295">
        <v>0.35398800000000002</v>
      </c>
      <c r="P2106" s="295">
        <v>0.35843399999999997</v>
      </c>
      <c r="Q2106" s="295">
        <v>0.360626</v>
      </c>
      <c r="R2106" s="295">
        <v>0.35759600000000002</v>
      </c>
      <c r="S2106" s="295">
        <v>0.35528500000000002</v>
      </c>
      <c r="T2106" s="295">
        <v>0.35231400000000002</v>
      </c>
      <c r="U2106" s="295">
        <v>0.35002100000000003</v>
      </c>
      <c r="V2106" s="295">
        <v>0.34784700000000002</v>
      </c>
      <c r="W2106" s="295">
        <v>0.349937</v>
      </c>
      <c r="X2106" s="295">
        <v>0.35687400000000002</v>
      </c>
      <c r="Y2106" s="295">
        <v>0.357126</v>
      </c>
      <c r="Z2106" s="295">
        <v>0.37892599999999999</v>
      </c>
      <c r="AA2106" s="295">
        <v>0.379438</v>
      </c>
      <c r="AB2106" s="295">
        <v>0.37541600000000003</v>
      </c>
      <c r="AC2106" s="295">
        <v>0.37382199999999999</v>
      </c>
      <c r="AD2106" s="295">
        <v>0.37174000000000001</v>
      </c>
      <c r="AE2106" s="295">
        <v>0.37001099999999998</v>
      </c>
      <c r="AF2106" s="295">
        <v>0.36863800000000002</v>
      </c>
      <c r="AG2106" s="295">
        <v>0.36414400000000002</v>
      </c>
      <c r="AH2106" s="296">
        <v>3.2789999999999998E-3</v>
      </c>
    </row>
    <row r="2108" spans="1:34" ht="15" customHeight="1" x14ac:dyDescent="0.2">
      <c r="A2108" s="213" t="s">
        <v>2603</v>
      </c>
      <c r="B2108" s="204" t="s">
        <v>2604</v>
      </c>
      <c r="C2108" s="205">
        <v>6.5350000000000005E-2</v>
      </c>
      <c r="D2108" s="205">
        <v>6.0940000000000001E-2</v>
      </c>
      <c r="E2108" s="205">
        <v>6.1171999999999997E-2</v>
      </c>
      <c r="F2108" s="205">
        <v>6.1404E-2</v>
      </c>
      <c r="G2108" s="205">
        <v>6.1636000000000003E-2</v>
      </c>
      <c r="H2108" s="205">
        <v>6.1866999999999998E-2</v>
      </c>
      <c r="I2108" s="205">
        <v>6.2099000000000001E-2</v>
      </c>
      <c r="J2108" s="205">
        <v>6.2099000000000001E-2</v>
      </c>
      <c r="K2108" s="205">
        <v>6.2099000000000001E-2</v>
      </c>
      <c r="L2108" s="205">
        <v>6.2099000000000001E-2</v>
      </c>
      <c r="M2108" s="205">
        <v>6.2099000000000001E-2</v>
      </c>
      <c r="N2108" s="205">
        <v>6.2099000000000001E-2</v>
      </c>
      <c r="O2108" s="205">
        <v>6.2099000000000001E-2</v>
      </c>
      <c r="P2108" s="205">
        <v>6.2099000000000001E-2</v>
      </c>
      <c r="Q2108" s="205">
        <v>6.2099000000000001E-2</v>
      </c>
      <c r="R2108" s="205">
        <v>6.2099000000000001E-2</v>
      </c>
      <c r="S2108" s="205">
        <v>6.2099000000000001E-2</v>
      </c>
      <c r="T2108" s="205">
        <v>6.2099000000000001E-2</v>
      </c>
      <c r="U2108" s="205">
        <v>6.2099000000000001E-2</v>
      </c>
      <c r="V2108" s="205">
        <v>6.2099000000000001E-2</v>
      </c>
      <c r="W2108" s="205">
        <v>6.2099000000000001E-2</v>
      </c>
      <c r="X2108" s="205">
        <v>6.2099000000000001E-2</v>
      </c>
      <c r="Y2108" s="205">
        <v>6.2099000000000001E-2</v>
      </c>
      <c r="Z2108" s="205">
        <v>6.2099000000000001E-2</v>
      </c>
      <c r="AA2108" s="205">
        <v>6.2099000000000001E-2</v>
      </c>
      <c r="AB2108" s="205">
        <v>6.2099000000000001E-2</v>
      </c>
      <c r="AC2108" s="205">
        <v>6.2099000000000001E-2</v>
      </c>
      <c r="AD2108" s="205">
        <v>6.2099000000000001E-2</v>
      </c>
      <c r="AE2108" s="205">
        <v>6.2099000000000001E-2</v>
      </c>
      <c r="AF2108" s="205">
        <v>6.2099000000000001E-2</v>
      </c>
      <c r="AG2108" s="205">
        <v>6.2099000000000001E-2</v>
      </c>
      <c r="AH2108" s="206">
        <v>-1.699E-3</v>
      </c>
    </row>
    <row r="2111" spans="1:34" ht="15" customHeight="1" x14ac:dyDescent="0.2">
      <c r="A2111" s="213" t="s">
        <v>2605</v>
      </c>
      <c r="B2111" s="204" t="s">
        <v>2606</v>
      </c>
      <c r="C2111" s="300">
        <v>14.215001000000001</v>
      </c>
      <c r="D2111" s="300">
        <v>21.212643</v>
      </c>
      <c r="E2111" s="300">
        <v>23.670114999999999</v>
      </c>
      <c r="F2111" s="300">
        <v>25.181457999999999</v>
      </c>
      <c r="G2111" s="300">
        <v>26.059929</v>
      </c>
      <c r="H2111" s="300">
        <v>27.950583999999999</v>
      </c>
      <c r="I2111" s="300">
        <v>28.194859000000001</v>
      </c>
      <c r="J2111" s="300">
        <v>28.056073999999999</v>
      </c>
      <c r="K2111" s="300">
        <v>28.401274000000001</v>
      </c>
      <c r="L2111" s="300">
        <v>28.752870999999999</v>
      </c>
      <c r="M2111" s="300">
        <v>29.093512</v>
      </c>
      <c r="N2111" s="300">
        <v>29.111398999999999</v>
      </c>
      <c r="O2111" s="300">
        <v>29.367435</v>
      </c>
      <c r="P2111" s="300">
        <v>29.696010999999999</v>
      </c>
      <c r="Q2111" s="300">
        <v>29.931218999999999</v>
      </c>
      <c r="R2111" s="300">
        <v>30.006342</v>
      </c>
      <c r="S2111" s="300">
        <v>30.303485999999999</v>
      </c>
      <c r="T2111" s="300">
        <v>30.399977</v>
      </c>
      <c r="U2111" s="300">
        <v>30.473244000000001</v>
      </c>
      <c r="V2111" s="300">
        <v>31.031597000000001</v>
      </c>
      <c r="W2111" s="300">
        <v>31.026049</v>
      </c>
      <c r="X2111" s="300">
        <v>30.829536000000001</v>
      </c>
      <c r="Y2111" s="300">
        <v>30.563085999999998</v>
      </c>
      <c r="Z2111" s="300">
        <v>30.175217</v>
      </c>
      <c r="AA2111" s="300">
        <v>30.530145999999998</v>
      </c>
      <c r="AB2111" s="300">
        <v>30.414919000000001</v>
      </c>
      <c r="AC2111" s="300">
        <v>30.493701999999999</v>
      </c>
      <c r="AD2111" s="300">
        <v>30.628817000000002</v>
      </c>
      <c r="AE2111" s="300">
        <v>30.851500999999999</v>
      </c>
      <c r="AF2111" s="300">
        <v>31.240576000000001</v>
      </c>
      <c r="AG2111" s="300">
        <v>31.340109000000002</v>
      </c>
      <c r="AH2111" s="206">
        <v>2.6703999999999999E-2</v>
      </c>
    </row>
    <row r="2112" spans="1:34" ht="15" customHeight="1" thickBot="1" x14ac:dyDescent="0.25"/>
    <row r="2113" spans="2:34" ht="15" customHeight="1" x14ac:dyDescent="0.2">
      <c r="B2113" s="305" t="s">
        <v>2607</v>
      </c>
      <c r="C2113" s="305"/>
      <c r="D2113" s="305"/>
      <c r="E2113" s="305"/>
      <c r="F2113" s="305"/>
      <c r="G2113" s="305"/>
      <c r="H2113" s="305"/>
      <c r="I2113" s="305"/>
      <c r="J2113" s="305"/>
      <c r="K2113" s="305"/>
      <c r="L2113" s="305"/>
      <c r="M2113" s="305"/>
      <c r="N2113" s="305"/>
      <c r="O2113" s="305"/>
      <c r="P2113" s="305"/>
      <c r="Q2113" s="305"/>
      <c r="R2113" s="305"/>
      <c r="S2113" s="305"/>
      <c r="T2113" s="305"/>
      <c r="U2113" s="305"/>
      <c r="V2113" s="305"/>
      <c r="W2113" s="305"/>
      <c r="X2113" s="305"/>
      <c r="Y2113" s="305"/>
      <c r="Z2113" s="305"/>
      <c r="AA2113" s="305"/>
      <c r="AB2113" s="305"/>
      <c r="AC2113" s="305"/>
      <c r="AD2113" s="305"/>
      <c r="AE2113" s="305"/>
      <c r="AF2113" s="305"/>
      <c r="AG2113" s="305"/>
      <c r="AH2113" s="305"/>
    </row>
    <row r="2114" spans="2:34" ht="15" customHeight="1" x14ac:dyDescent="0.2">
      <c r="B2114" s="208" t="s">
        <v>2608</v>
      </c>
    </row>
    <row r="2115" spans="2:34" ht="15" customHeight="1" x14ac:dyDescent="0.2">
      <c r="B2115" s="208" t="s">
        <v>2609</v>
      </c>
    </row>
    <row r="2116" spans="2:34" ht="15" customHeight="1" x14ac:dyDescent="0.2">
      <c r="B2116" s="208" t="s">
        <v>2610</v>
      </c>
    </row>
    <row r="2117" spans="2:34" ht="15" customHeight="1" x14ac:dyDescent="0.2">
      <c r="B2117" s="208" t="s">
        <v>2611</v>
      </c>
    </row>
    <row r="2118" spans="2:34" ht="15" customHeight="1" x14ac:dyDescent="0.2">
      <c r="B2118" s="208" t="s">
        <v>2534</v>
      </c>
    </row>
    <row r="2119" spans="2:34" ht="15" customHeight="1" x14ac:dyDescent="0.2">
      <c r="B2119" s="208" t="s">
        <v>2612</v>
      </c>
    </row>
    <row r="2120" spans="2:34" ht="15" customHeight="1" x14ac:dyDescent="0.2">
      <c r="B2120" s="208" t="s">
        <v>614</v>
      </c>
    </row>
    <row r="2121" spans="2:34" ht="15" customHeight="1" x14ac:dyDescent="0.2">
      <c r="B2121" s="208" t="s">
        <v>2215</v>
      </c>
    </row>
    <row r="2122" spans="2:34" ht="15" customHeight="1" x14ac:dyDescent="0.2">
      <c r="B2122" s="208" t="s">
        <v>1979</v>
      </c>
    </row>
    <row r="2210" spans="1:34" ht="15" customHeight="1" x14ac:dyDescent="0.25">
      <c r="A2210" s="213" t="s">
        <v>2613</v>
      </c>
      <c r="B2210" s="202" t="s">
        <v>1023</v>
      </c>
      <c r="AH2210" s="292" t="s">
        <v>597</v>
      </c>
    </row>
    <row r="2211" spans="1:34" ht="15" customHeight="1" x14ac:dyDescent="0.2">
      <c r="B2211" s="199" t="s">
        <v>2614</v>
      </c>
      <c r="AH2211" s="292" t="s">
        <v>598</v>
      </c>
    </row>
    <row r="2212" spans="1:34" ht="15" customHeight="1" x14ac:dyDescent="0.2">
      <c r="B2212" s="199" t="s">
        <v>124</v>
      </c>
      <c r="C2212" s="222" t="s">
        <v>124</v>
      </c>
      <c r="D2212" s="222" t="s">
        <v>124</v>
      </c>
      <c r="E2212" s="222" t="s">
        <v>124</v>
      </c>
      <c r="F2212" s="222" t="s">
        <v>124</v>
      </c>
      <c r="G2212" s="222" t="s">
        <v>124</v>
      </c>
      <c r="H2212" s="222" t="s">
        <v>124</v>
      </c>
      <c r="I2212" s="222" t="s">
        <v>124</v>
      </c>
      <c r="J2212" s="222" t="s">
        <v>124</v>
      </c>
      <c r="K2212" s="222" t="s">
        <v>124</v>
      </c>
      <c r="L2212" s="222" t="s">
        <v>124</v>
      </c>
      <c r="M2212" s="222" t="s">
        <v>124</v>
      </c>
      <c r="N2212" s="222" t="s">
        <v>124</v>
      </c>
      <c r="O2212" s="222" t="s">
        <v>124</v>
      </c>
      <c r="P2212" s="222" t="s">
        <v>124</v>
      </c>
      <c r="Q2212" s="222" t="s">
        <v>124</v>
      </c>
      <c r="R2212" s="222" t="s">
        <v>124</v>
      </c>
      <c r="S2212" s="222" t="s">
        <v>124</v>
      </c>
      <c r="T2212" s="222" t="s">
        <v>124</v>
      </c>
      <c r="U2212" s="222" t="s">
        <v>124</v>
      </c>
      <c r="V2212" s="222" t="s">
        <v>124</v>
      </c>
      <c r="W2212" s="222" t="s">
        <v>124</v>
      </c>
      <c r="X2212" s="222" t="s">
        <v>124</v>
      </c>
      <c r="Y2212" s="222" t="s">
        <v>124</v>
      </c>
      <c r="Z2212" s="222" t="s">
        <v>124</v>
      </c>
      <c r="AA2212" s="222" t="s">
        <v>124</v>
      </c>
      <c r="AB2212" s="222" t="s">
        <v>124</v>
      </c>
      <c r="AC2212" s="222" t="s">
        <v>124</v>
      </c>
      <c r="AD2212" s="222" t="s">
        <v>124</v>
      </c>
      <c r="AE2212" s="222" t="s">
        <v>124</v>
      </c>
      <c r="AF2212" s="222" t="s">
        <v>124</v>
      </c>
      <c r="AG2212" s="222" t="s">
        <v>124</v>
      </c>
      <c r="AH2212" s="292" t="s">
        <v>599</v>
      </c>
    </row>
    <row r="2213" spans="1:34" ht="15" customHeight="1" thickBot="1" x14ac:dyDescent="0.25">
      <c r="B2213" s="200" t="s">
        <v>125</v>
      </c>
      <c r="C2213" s="200">
        <v>2020</v>
      </c>
      <c r="D2213" s="200">
        <v>2021</v>
      </c>
      <c r="E2213" s="200">
        <v>2022</v>
      </c>
      <c r="F2213" s="200">
        <v>2023</v>
      </c>
      <c r="G2213" s="200">
        <v>2024</v>
      </c>
      <c r="H2213" s="200">
        <v>2025</v>
      </c>
      <c r="I2213" s="200">
        <v>2026</v>
      </c>
      <c r="J2213" s="200">
        <v>2027</v>
      </c>
      <c r="K2213" s="200">
        <v>2028</v>
      </c>
      <c r="L2213" s="200">
        <v>2029</v>
      </c>
      <c r="M2213" s="200">
        <v>2030</v>
      </c>
      <c r="N2213" s="200">
        <v>2031</v>
      </c>
      <c r="O2213" s="200">
        <v>2032</v>
      </c>
      <c r="P2213" s="200">
        <v>2033</v>
      </c>
      <c r="Q2213" s="200">
        <v>2034</v>
      </c>
      <c r="R2213" s="200">
        <v>2035</v>
      </c>
      <c r="S2213" s="200">
        <v>2036</v>
      </c>
      <c r="T2213" s="200">
        <v>2037</v>
      </c>
      <c r="U2213" s="200">
        <v>2038</v>
      </c>
      <c r="V2213" s="200">
        <v>2039</v>
      </c>
      <c r="W2213" s="200">
        <v>2040</v>
      </c>
      <c r="X2213" s="200">
        <v>2041</v>
      </c>
      <c r="Y2213" s="200">
        <v>2042</v>
      </c>
      <c r="Z2213" s="200">
        <v>2043</v>
      </c>
      <c r="AA2213" s="200">
        <v>2044</v>
      </c>
      <c r="AB2213" s="200">
        <v>2045</v>
      </c>
      <c r="AC2213" s="200">
        <v>2046</v>
      </c>
      <c r="AD2213" s="200">
        <v>2047</v>
      </c>
      <c r="AE2213" s="200">
        <v>2048</v>
      </c>
      <c r="AF2213" s="200">
        <v>2049</v>
      </c>
      <c r="AG2213" s="200">
        <v>2050</v>
      </c>
      <c r="AH2213" s="293" t="s">
        <v>600</v>
      </c>
    </row>
    <row r="2214" spans="1:34" ht="15" customHeight="1" thickTop="1" x14ac:dyDescent="0.2"/>
    <row r="2215" spans="1:34" ht="15" customHeight="1" x14ac:dyDescent="0.2">
      <c r="B2215" s="204" t="s">
        <v>718</v>
      </c>
    </row>
    <row r="2216" spans="1:34" ht="15" customHeight="1" x14ac:dyDescent="0.25">
      <c r="A2216" s="213" t="s">
        <v>2615</v>
      </c>
      <c r="B2216" s="294" t="s">
        <v>2616</v>
      </c>
      <c r="C2216" s="297">
        <v>134.71459999999999</v>
      </c>
      <c r="D2216" s="297">
        <v>148.04480000000001</v>
      </c>
      <c r="E2216" s="297">
        <v>156.829117</v>
      </c>
      <c r="F2216" s="297">
        <v>156.43383800000001</v>
      </c>
      <c r="G2216" s="297">
        <v>136.02728300000001</v>
      </c>
      <c r="H2216" s="297">
        <v>131.340012</v>
      </c>
      <c r="I2216" s="297">
        <v>132.58270300000001</v>
      </c>
      <c r="J2216" s="297">
        <v>131.55143699999999</v>
      </c>
      <c r="K2216" s="297">
        <v>130.95855700000001</v>
      </c>
      <c r="L2216" s="297">
        <v>127.395844</v>
      </c>
      <c r="M2216" s="297">
        <v>126.32891100000001</v>
      </c>
      <c r="N2216" s="297">
        <v>126.183899</v>
      </c>
      <c r="O2216" s="297">
        <v>127.40467099999999</v>
      </c>
      <c r="P2216" s="297">
        <v>125.80297899999999</v>
      </c>
      <c r="Q2216" s="297">
        <v>125.082718</v>
      </c>
      <c r="R2216" s="297">
        <v>124.035614</v>
      </c>
      <c r="S2216" s="297">
        <v>122.25322</v>
      </c>
      <c r="T2216" s="297">
        <v>121.294968</v>
      </c>
      <c r="U2216" s="297">
        <v>121.702187</v>
      </c>
      <c r="V2216" s="297">
        <v>120.590317</v>
      </c>
      <c r="W2216" s="297">
        <v>122.225433</v>
      </c>
      <c r="X2216" s="297">
        <v>120.813828</v>
      </c>
      <c r="Y2216" s="297">
        <v>121.891335</v>
      </c>
      <c r="Z2216" s="297">
        <v>122.02958700000001</v>
      </c>
      <c r="AA2216" s="297">
        <v>121.246269</v>
      </c>
      <c r="AB2216" s="297">
        <v>121.680283</v>
      </c>
      <c r="AC2216" s="297">
        <v>122.143311</v>
      </c>
      <c r="AD2216" s="297">
        <v>122.09996</v>
      </c>
      <c r="AE2216" s="297">
        <v>122.041138</v>
      </c>
      <c r="AF2216" s="297">
        <v>122.228302</v>
      </c>
      <c r="AG2216" s="297">
        <v>123.520988</v>
      </c>
      <c r="AH2216" s="296">
        <v>-2.8869999999999998E-3</v>
      </c>
    </row>
    <row r="2217" spans="1:34" ht="15" customHeight="1" x14ac:dyDescent="0.25">
      <c r="A2217" s="213" t="s">
        <v>2617</v>
      </c>
      <c r="B2217" s="294" t="s">
        <v>2618</v>
      </c>
      <c r="C2217" s="297">
        <v>88.374329000000003</v>
      </c>
      <c r="D2217" s="297">
        <v>110.895714</v>
      </c>
      <c r="E2217" s="297">
        <v>150.44816599999999</v>
      </c>
      <c r="F2217" s="297">
        <v>132.77705399999999</v>
      </c>
      <c r="G2217" s="297">
        <v>119.275009</v>
      </c>
      <c r="H2217" s="297">
        <v>99.054001</v>
      </c>
      <c r="I2217" s="297">
        <v>101.460251</v>
      </c>
      <c r="J2217" s="297">
        <v>97.048630000000003</v>
      </c>
      <c r="K2217" s="297">
        <v>95.069939000000005</v>
      </c>
      <c r="L2217" s="297">
        <v>91.908637999999996</v>
      </c>
      <c r="M2217" s="297">
        <v>87.388382000000007</v>
      </c>
      <c r="N2217" s="297">
        <v>86.528785999999997</v>
      </c>
      <c r="O2217" s="297">
        <v>86.630447000000004</v>
      </c>
      <c r="P2217" s="297">
        <v>84.491569999999996</v>
      </c>
      <c r="Q2217" s="297">
        <v>83.737572</v>
      </c>
      <c r="R2217" s="297">
        <v>84.721862999999999</v>
      </c>
      <c r="S2217" s="297">
        <v>88.079102000000006</v>
      </c>
      <c r="T2217" s="297">
        <v>91.354979999999998</v>
      </c>
      <c r="U2217" s="297">
        <v>94.876464999999996</v>
      </c>
      <c r="V2217" s="297">
        <v>96.030913999999996</v>
      </c>
      <c r="W2217" s="297">
        <v>97.881882000000004</v>
      </c>
      <c r="X2217" s="297">
        <v>98.298148999999995</v>
      </c>
      <c r="Y2217" s="297">
        <v>98.018874999999994</v>
      </c>
      <c r="Z2217" s="297">
        <v>97.790183999999996</v>
      </c>
      <c r="AA2217" s="297">
        <v>97.462615999999997</v>
      </c>
      <c r="AB2217" s="297">
        <v>98.368003999999999</v>
      </c>
      <c r="AC2217" s="297">
        <v>99.671852000000001</v>
      </c>
      <c r="AD2217" s="297">
        <v>101.084503</v>
      </c>
      <c r="AE2217" s="297">
        <v>102.894226</v>
      </c>
      <c r="AF2217" s="297">
        <v>104.147537</v>
      </c>
      <c r="AG2217" s="297">
        <v>104.252548</v>
      </c>
      <c r="AH2217" s="296">
        <v>5.5230000000000001E-3</v>
      </c>
    </row>
    <row r="2218" spans="1:34" ht="15" customHeight="1" x14ac:dyDescent="0.25">
      <c r="A2218" s="213" t="s">
        <v>2619</v>
      </c>
      <c r="B2218" s="294" t="s">
        <v>2620</v>
      </c>
      <c r="C2218" s="297">
        <v>297.65966800000001</v>
      </c>
      <c r="D2218" s="297">
        <v>355.65988199999998</v>
      </c>
      <c r="E2218" s="297">
        <v>345.814301</v>
      </c>
      <c r="F2218" s="297">
        <v>306.37124599999999</v>
      </c>
      <c r="G2218" s="297">
        <v>293.09197999999998</v>
      </c>
      <c r="H2218" s="297">
        <v>268.94009399999999</v>
      </c>
      <c r="I2218" s="297">
        <v>274.99145499999997</v>
      </c>
      <c r="J2218" s="297">
        <v>267.58709700000003</v>
      </c>
      <c r="K2218" s="297">
        <v>273.86004600000001</v>
      </c>
      <c r="L2218" s="297">
        <v>280.76516700000002</v>
      </c>
      <c r="M2218" s="297">
        <v>281.76718099999999</v>
      </c>
      <c r="N2218" s="297">
        <v>275.90655500000003</v>
      </c>
      <c r="O2218" s="297">
        <v>270.60678100000001</v>
      </c>
      <c r="P2218" s="297">
        <v>269.843414</v>
      </c>
      <c r="Q2218" s="297">
        <v>270.41290300000003</v>
      </c>
      <c r="R2218" s="297">
        <v>264.26971400000002</v>
      </c>
      <c r="S2218" s="297">
        <v>259.464539</v>
      </c>
      <c r="T2218" s="297">
        <v>251.646805</v>
      </c>
      <c r="U2218" s="297">
        <v>236.59314000000001</v>
      </c>
      <c r="V2218" s="297">
        <v>231.26561000000001</v>
      </c>
      <c r="W2218" s="297">
        <v>226.49417099999999</v>
      </c>
      <c r="X2218" s="297">
        <v>225.34300200000001</v>
      </c>
      <c r="Y2218" s="297">
        <v>224.590744</v>
      </c>
      <c r="Z2218" s="297">
        <v>221.11283900000001</v>
      </c>
      <c r="AA2218" s="297">
        <v>220.02233899999999</v>
      </c>
      <c r="AB2218" s="297">
        <v>210.84286499999999</v>
      </c>
      <c r="AC2218" s="297">
        <v>206.924149</v>
      </c>
      <c r="AD2218" s="297">
        <v>205.25456199999999</v>
      </c>
      <c r="AE2218" s="297">
        <v>205.77937299999999</v>
      </c>
      <c r="AF2218" s="297">
        <v>204.47924800000001</v>
      </c>
      <c r="AG2218" s="297">
        <v>204.56152299999999</v>
      </c>
      <c r="AH2218" s="296">
        <v>-1.2425E-2</v>
      </c>
    </row>
    <row r="2220" spans="1:34" ht="15" customHeight="1" x14ac:dyDescent="0.25">
      <c r="A2220" s="213" t="s">
        <v>2621</v>
      </c>
      <c r="B2220" s="294" t="s">
        <v>2622</v>
      </c>
      <c r="C2220" s="297">
        <v>209.09635900000001</v>
      </c>
      <c r="D2220" s="297">
        <v>233.23048399999999</v>
      </c>
      <c r="E2220" s="297">
        <v>278.27539100000001</v>
      </c>
      <c r="F2220" s="297">
        <v>259.117615</v>
      </c>
      <c r="G2220" s="297">
        <v>231.972137</v>
      </c>
      <c r="H2220" s="297">
        <v>210.61174</v>
      </c>
      <c r="I2220" s="297">
        <v>212.956467</v>
      </c>
      <c r="J2220" s="297">
        <v>207.44818100000001</v>
      </c>
      <c r="K2220" s="297">
        <v>204.68060299999999</v>
      </c>
      <c r="L2220" s="297">
        <v>197.88415499999999</v>
      </c>
      <c r="M2220" s="297">
        <v>192.22276299999999</v>
      </c>
      <c r="N2220" s="297">
        <v>191.220688</v>
      </c>
      <c r="O2220" s="297">
        <v>192.55467200000001</v>
      </c>
      <c r="P2220" s="297">
        <v>188.82626300000001</v>
      </c>
      <c r="Q2220" s="297">
        <v>187.362686</v>
      </c>
      <c r="R2220" s="297">
        <v>187.343613</v>
      </c>
      <c r="S2220" s="297">
        <v>188.92865</v>
      </c>
      <c r="T2220" s="297">
        <v>191.16833500000001</v>
      </c>
      <c r="U2220" s="297">
        <v>195.23240699999999</v>
      </c>
      <c r="V2220" s="297">
        <v>195.29298399999999</v>
      </c>
      <c r="W2220" s="297">
        <v>198.442001</v>
      </c>
      <c r="X2220" s="297">
        <v>197.66203300000001</v>
      </c>
      <c r="Y2220" s="297">
        <v>199.081726</v>
      </c>
      <c r="Z2220" s="297">
        <v>200.03511</v>
      </c>
      <c r="AA2220" s="297">
        <v>199.497818</v>
      </c>
      <c r="AB2220" s="297">
        <v>201.829453</v>
      </c>
      <c r="AC2220" s="297">
        <v>203.72648599999999</v>
      </c>
      <c r="AD2220" s="297">
        <v>203.91845699999999</v>
      </c>
      <c r="AE2220" s="297">
        <v>204.25878900000001</v>
      </c>
      <c r="AF2220" s="297">
        <v>205.66949500000001</v>
      </c>
      <c r="AG2220" s="297">
        <v>206.95486500000001</v>
      </c>
      <c r="AH2220" s="296">
        <v>-3.4299999999999999E-4</v>
      </c>
    </row>
    <row r="2221" spans="1:34" ht="15" customHeight="1" x14ac:dyDescent="0.25">
      <c r="A2221" s="213" t="s">
        <v>2623</v>
      </c>
      <c r="B2221" s="294" t="s">
        <v>2624</v>
      </c>
      <c r="C2221" s="297">
        <v>311.65228300000001</v>
      </c>
      <c r="D2221" s="297">
        <v>381.36990400000002</v>
      </c>
      <c r="E2221" s="297">
        <v>374.816193</v>
      </c>
      <c r="F2221" s="297">
        <v>336.46450800000002</v>
      </c>
      <c r="G2221" s="297">
        <v>316.42214999999999</v>
      </c>
      <c r="H2221" s="297">
        <v>288.72238199999998</v>
      </c>
      <c r="I2221" s="297">
        <v>296.07794200000001</v>
      </c>
      <c r="J2221" s="297">
        <v>288.73895299999998</v>
      </c>
      <c r="K2221" s="297">
        <v>295.20794699999999</v>
      </c>
      <c r="L2221" s="297">
        <v>302.18551600000001</v>
      </c>
      <c r="M2221" s="297">
        <v>303.26171900000003</v>
      </c>
      <c r="N2221" s="297">
        <v>297.39855999999997</v>
      </c>
      <c r="O2221" s="297">
        <v>292.08724999999998</v>
      </c>
      <c r="P2221" s="297">
        <v>291.31170700000001</v>
      </c>
      <c r="Q2221" s="297">
        <v>291.870544</v>
      </c>
      <c r="R2221" s="297">
        <v>285.68356299999999</v>
      </c>
      <c r="S2221" s="297">
        <v>280.868225</v>
      </c>
      <c r="T2221" s="297">
        <v>273.12841800000001</v>
      </c>
      <c r="U2221" s="297">
        <v>257.93936200000002</v>
      </c>
      <c r="V2221" s="297">
        <v>252.59385700000001</v>
      </c>
      <c r="W2221" s="297">
        <v>248.15948499999999</v>
      </c>
      <c r="X2221" s="297">
        <v>246.79289199999999</v>
      </c>
      <c r="Y2221" s="297">
        <v>245.41922</v>
      </c>
      <c r="Z2221" s="297">
        <v>240.89750699999999</v>
      </c>
      <c r="AA2221" s="297">
        <v>239.233383</v>
      </c>
      <c r="AB2221" s="297">
        <v>229.06167600000001</v>
      </c>
      <c r="AC2221" s="297">
        <v>225.01284799999999</v>
      </c>
      <c r="AD2221" s="297">
        <v>224.52056899999999</v>
      </c>
      <c r="AE2221" s="297">
        <v>226.45593299999999</v>
      </c>
      <c r="AF2221" s="297">
        <v>225.18562299999999</v>
      </c>
      <c r="AG2221" s="297">
        <v>225.38020299999999</v>
      </c>
      <c r="AH2221" s="296">
        <v>-1.0744999999999999E-2</v>
      </c>
    </row>
    <row r="2222" spans="1:34" ht="15" customHeight="1" x14ac:dyDescent="0.2">
      <c r="A2222" s="213" t="s">
        <v>2625</v>
      </c>
      <c r="B2222" s="204" t="s">
        <v>653</v>
      </c>
      <c r="C2222" s="299">
        <v>520.74865699999998</v>
      </c>
      <c r="D2222" s="299">
        <v>614.60040300000003</v>
      </c>
      <c r="E2222" s="299">
        <v>653.09161400000005</v>
      </c>
      <c r="F2222" s="299">
        <v>595.58209199999999</v>
      </c>
      <c r="G2222" s="299">
        <v>548.394226</v>
      </c>
      <c r="H2222" s="299">
        <v>499.33407599999998</v>
      </c>
      <c r="I2222" s="299">
        <v>509.03445399999998</v>
      </c>
      <c r="J2222" s="299">
        <v>496.187164</v>
      </c>
      <c r="K2222" s="299">
        <v>499.88855000000001</v>
      </c>
      <c r="L2222" s="299">
        <v>500.06964099999999</v>
      </c>
      <c r="M2222" s="299">
        <v>495.48449699999998</v>
      </c>
      <c r="N2222" s="299">
        <v>488.61926299999999</v>
      </c>
      <c r="O2222" s="299">
        <v>484.64193699999998</v>
      </c>
      <c r="P2222" s="299">
        <v>480.13799999999998</v>
      </c>
      <c r="Q2222" s="299">
        <v>479.23318499999999</v>
      </c>
      <c r="R2222" s="299">
        <v>473.02716099999998</v>
      </c>
      <c r="S2222" s="299">
        <v>469.79690599999998</v>
      </c>
      <c r="T2222" s="299">
        <v>464.29675300000002</v>
      </c>
      <c r="U2222" s="299">
        <v>453.17181399999998</v>
      </c>
      <c r="V2222" s="299">
        <v>447.88681000000003</v>
      </c>
      <c r="W2222" s="299">
        <v>446.60144000000003</v>
      </c>
      <c r="X2222" s="299">
        <v>444.45495599999998</v>
      </c>
      <c r="Y2222" s="299">
        <v>444.50097699999998</v>
      </c>
      <c r="Z2222" s="299">
        <v>440.93264799999997</v>
      </c>
      <c r="AA2222" s="299">
        <v>438.73123199999998</v>
      </c>
      <c r="AB2222" s="299">
        <v>430.891144</v>
      </c>
      <c r="AC2222" s="299">
        <v>428.739349</v>
      </c>
      <c r="AD2222" s="299">
        <v>428.43902600000001</v>
      </c>
      <c r="AE2222" s="299">
        <v>430.71475199999998</v>
      </c>
      <c r="AF2222" s="299">
        <v>430.85513300000002</v>
      </c>
      <c r="AG2222" s="299">
        <v>432.33505200000002</v>
      </c>
      <c r="AH2222" s="206">
        <v>-6.1830000000000001E-3</v>
      </c>
    </row>
    <row r="2224" spans="1:34" ht="15" customHeight="1" x14ac:dyDescent="0.2">
      <c r="A2224" s="213" t="s">
        <v>2626</v>
      </c>
      <c r="B2224" s="204" t="s">
        <v>2627</v>
      </c>
      <c r="C2224" s="299">
        <v>8.9670000000000005</v>
      </c>
      <c r="D2224" s="299">
        <v>7.84</v>
      </c>
      <c r="E2224" s="299">
        <v>7.398663</v>
      </c>
      <c r="F2224" s="299">
        <v>5.5460989999999999</v>
      </c>
      <c r="G2224" s="299">
        <v>5.5452389999999996</v>
      </c>
      <c r="H2224" s="299">
        <v>6.1868980000000002</v>
      </c>
      <c r="I2224" s="299">
        <v>6.0865520000000002</v>
      </c>
      <c r="J2224" s="299">
        <v>6.0322180000000003</v>
      </c>
      <c r="K2224" s="299">
        <v>6.1901149999999996</v>
      </c>
      <c r="L2224" s="299">
        <v>6.1685650000000001</v>
      </c>
      <c r="M2224" s="299">
        <v>6.2331859999999999</v>
      </c>
      <c r="N2224" s="299">
        <v>6.2158939999999996</v>
      </c>
      <c r="O2224" s="299">
        <v>5.4198880000000003</v>
      </c>
      <c r="P2224" s="299">
        <v>5.3907689999999997</v>
      </c>
      <c r="Q2224" s="299">
        <v>5.3606639999999999</v>
      </c>
      <c r="R2224" s="299">
        <v>5.2899700000000003</v>
      </c>
      <c r="S2224" s="299">
        <v>5.2891950000000003</v>
      </c>
      <c r="T2224" s="299">
        <v>5.2890420000000002</v>
      </c>
      <c r="U2224" s="299">
        <v>5.2917199999999998</v>
      </c>
      <c r="V2224" s="299">
        <v>5.2922640000000003</v>
      </c>
      <c r="W2224" s="299">
        <v>5.2907120000000001</v>
      </c>
      <c r="X2224" s="299">
        <v>5.33202</v>
      </c>
      <c r="Y2224" s="299">
        <v>5.4517160000000002</v>
      </c>
      <c r="Z2224" s="299">
        <v>5.5613580000000002</v>
      </c>
      <c r="AA2224" s="299">
        <v>5.5677459999999996</v>
      </c>
      <c r="AB2224" s="299">
        <v>5.5752199999999998</v>
      </c>
      <c r="AC2224" s="299">
        <v>5.5830390000000003</v>
      </c>
      <c r="AD2224" s="299">
        <v>5.5917219999999999</v>
      </c>
      <c r="AE2224" s="299">
        <v>5.5282640000000001</v>
      </c>
      <c r="AF2224" s="299">
        <v>5.5435999999999996</v>
      </c>
      <c r="AG2224" s="299">
        <v>5.5610390000000001</v>
      </c>
      <c r="AH2224" s="206">
        <v>-1.5799000000000001E-2</v>
      </c>
    </row>
    <row r="2226" spans="1:34" ht="15" customHeight="1" x14ac:dyDescent="0.2">
      <c r="B2226" s="204" t="s">
        <v>2047</v>
      </c>
    </row>
    <row r="2227" spans="1:34" ht="15" customHeight="1" x14ac:dyDescent="0.25">
      <c r="A2227" s="213" t="s">
        <v>2628</v>
      </c>
      <c r="B2227" s="294" t="s">
        <v>2629</v>
      </c>
      <c r="C2227" s="297">
        <v>4.9578199999999999</v>
      </c>
      <c r="D2227" s="297">
        <v>4.52956</v>
      </c>
      <c r="E2227" s="297">
        <v>1.192356</v>
      </c>
      <c r="F2227" s="297">
        <v>1.385777</v>
      </c>
      <c r="G2227" s="297">
        <v>1.3776539999999999</v>
      </c>
      <c r="H2227" s="297">
        <v>1.3703339999999999</v>
      </c>
      <c r="I2227" s="297">
        <v>1.3616790000000001</v>
      </c>
      <c r="J2227" s="297">
        <v>1.35276</v>
      </c>
      <c r="K2227" s="297">
        <v>1.3435900000000001</v>
      </c>
      <c r="L2227" s="297">
        <v>1.3348150000000001</v>
      </c>
      <c r="M2227" s="297">
        <v>1.326077</v>
      </c>
      <c r="N2227" s="297">
        <v>1.317814</v>
      </c>
      <c r="O2227" s="297">
        <v>1.310152</v>
      </c>
      <c r="P2227" s="297">
        <v>1.3016730000000001</v>
      </c>
      <c r="Q2227" s="297">
        <v>1.2933269999999999</v>
      </c>
      <c r="R2227" s="297">
        <v>1.2879560000000001</v>
      </c>
      <c r="S2227" s="297">
        <v>1.552119</v>
      </c>
      <c r="T2227" s="297">
        <v>1.5459890000000001</v>
      </c>
      <c r="U2227" s="297">
        <v>1.5422689999999999</v>
      </c>
      <c r="V2227" s="297">
        <v>1.5366770000000001</v>
      </c>
      <c r="W2227" s="297">
        <v>1.5315970000000001</v>
      </c>
      <c r="X2227" s="297">
        <v>1.52668</v>
      </c>
      <c r="Y2227" s="297">
        <v>1.523871</v>
      </c>
      <c r="Z2227" s="297">
        <v>1.608749</v>
      </c>
      <c r="AA2227" s="297">
        <v>1.795571</v>
      </c>
      <c r="AB2227" s="297">
        <v>1.793817</v>
      </c>
      <c r="AC2227" s="297">
        <v>1.7911570000000001</v>
      </c>
      <c r="AD2227" s="297">
        <v>1.7897970000000001</v>
      </c>
      <c r="AE2227" s="297">
        <v>1.789021</v>
      </c>
      <c r="AF2227" s="297">
        <v>1.789207</v>
      </c>
      <c r="AG2227" s="297">
        <v>1.7901469999999999</v>
      </c>
      <c r="AH2227" s="296">
        <v>-3.3385999999999999E-2</v>
      </c>
    </row>
    <row r="2228" spans="1:34" ht="15" customHeight="1" x14ac:dyDescent="0.25">
      <c r="A2228" s="213" t="s">
        <v>2630</v>
      </c>
      <c r="B2228" s="294" t="s">
        <v>341</v>
      </c>
      <c r="C2228" s="297">
        <v>68.552299000000005</v>
      </c>
      <c r="D2228" s="297">
        <v>74.225418000000005</v>
      </c>
      <c r="E2228" s="297">
        <v>86.587135000000004</v>
      </c>
      <c r="F2228" s="297">
        <v>97.550903000000005</v>
      </c>
      <c r="G2228" s="297">
        <v>98.651840000000007</v>
      </c>
      <c r="H2228" s="297">
        <v>98.858879000000002</v>
      </c>
      <c r="I2228" s="297">
        <v>99.302184999999994</v>
      </c>
      <c r="J2228" s="297">
        <v>99.280829999999995</v>
      </c>
      <c r="K2228" s="297">
        <v>99.296561999999994</v>
      </c>
      <c r="L2228" s="297">
        <v>98.031211999999996</v>
      </c>
      <c r="M2228" s="297">
        <v>97.242949999999993</v>
      </c>
      <c r="N2228" s="297">
        <v>97.345505000000003</v>
      </c>
      <c r="O2228" s="297">
        <v>99.267196999999996</v>
      </c>
      <c r="P2228" s="297">
        <v>97.286011000000002</v>
      </c>
      <c r="Q2228" s="297">
        <v>96.993668</v>
      </c>
      <c r="R2228" s="297">
        <v>98.423523000000003</v>
      </c>
      <c r="S2228" s="297">
        <v>97.028542000000002</v>
      </c>
      <c r="T2228" s="297">
        <v>96.862724</v>
      </c>
      <c r="U2228" s="297">
        <v>96.885093999999995</v>
      </c>
      <c r="V2228" s="297">
        <v>95.098586999999995</v>
      </c>
      <c r="W2228" s="297">
        <v>95.609343999999993</v>
      </c>
      <c r="X2228" s="297">
        <v>95.032905999999997</v>
      </c>
      <c r="Y2228" s="297">
        <v>95.042777999999998</v>
      </c>
      <c r="Z2228" s="297">
        <v>95.071608999999995</v>
      </c>
      <c r="AA2228" s="297">
        <v>95.095589000000004</v>
      </c>
      <c r="AB2228" s="297">
        <v>95.240905999999995</v>
      </c>
      <c r="AC2228" s="297">
        <v>95.360900999999998</v>
      </c>
      <c r="AD2228" s="297">
        <v>95.393669000000003</v>
      </c>
      <c r="AE2228" s="297">
        <v>95.392570000000006</v>
      </c>
      <c r="AF2228" s="297">
        <v>94.986221</v>
      </c>
      <c r="AG2228" s="297">
        <v>96.700569000000002</v>
      </c>
      <c r="AH2228" s="296">
        <v>1.1533E-2</v>
      </c>
    </row>
    <row r="2229" spans="1:34" ht="15" customHeight="1" x14ac:dyDescent="0.2">
      <c r="A2229" s="213" t="s">
        <v>2631</v>
      </c>
      <c r="B2229" s="204" t="s">
        <v>653</v>
      </c>
      <c r="C2229" s="299">
        <v>-63.594479</v>
      </c>
      <c r="D2229" s="299">
        <v>-69.695862000000005</v>
      </c>
      <c r="E2229" s="299">
        <v>-85.394774999999996</v>
      </c>
      <c r="F2229" s="299">
        <v>-96.165122999999994</v>
      </c>
      <c r="G2229" s="299">
        <v>-97.274185000000003</v>
      </c>
      <c r="H2229" s="299">
        <v>-97.488547999999994</v>
      </c>
      <c r="I2229" s="299">
        <v>-97.940505999999999</v>
      </c>
      <c r="J2229" s="299">
        <v>-97.928070000000005</v>
      </c>
      <c r="K2229" s="299">
        <v>-97.952972000000003</v>
      </c>
      <c r="L2229" s="299">
        <v>-96.696395999999993</v>
      </c>
      <c r="M2229" s="299">
        <v>-95.916870000000003</v>
      </c>
      <c r="N2229" s="299">
        <v>-96.027687</v>
      </c>
      <c r="O2229" s="299">
        <v>-97.957047000000003</v>
      </c>
      <c r="P2229" s="299">
        <v>-95.984336999999996</v>
      </c>
      <c r="Q2229" s="299">
        <v>-95.700339999999997</v>
      </c>
      <c r="R2229" s="299">
        <v>-97.135566999999995</v>
      </c>
      <c r="S2229" s="299">
        <v>-95.476425000000006</v>
      </c>
      <c r="T2229" s="299">
        <v>-95.316733999999997</v>
      </c>
      <c r="U2229" s="299">
        <v>-95.342827</v>
      </c>
      <c r="V2229" s="299">
        <v>-93.561913000000004</v>
      </c>
      <c r="W2229" s="299">
        <v>-94.077751000000006</v>
      </c>
      <c r="X2229" s="299">
        <v>-93.506225999999998</v>
      </c>
      <c r="Y2229" s="299">
        <v>-93.518906000000001</v>
      </c>
      <c r="Z2229" s="299">
        <v>-93.462860000000006</v>
      </c>
      <c r="AA2229" s="299">
        <v>-93.300017999999994</v>
      </c>
      <c r="AB2229" s="299">
        <v>-93.447090000000003</v>
      </c>
      <c r="AC2229" s="299">
        <v>-93.569739999999996</v>
      </c>
      <c r="AD2229" s="299">
        <v>-93.603874000000005</v>
      </c>
      <c r="AE2229" s="299">
        <v>-93.603545999999994</v>
      </c>
      <c r="AF2229" s="299">
        <v>-93.197013999999996</v>
      </c>
      <c r="AG2229" s="299">
        <v>-94.910422999999994</v>
      </c>
      <c r="AH2229" s="206">
        <v>1.3436E-2</v>
      </c>
    </row>
    <row r="2231" spans="1:34" ht="15" customHeight="1" x14ac:dyDescent="0.2">
      <c r="A2231" s="213" t="s">
        <v>2632</v>
      </c>
      <c r="B2231" s="204" t="s">
        <v>2633</v>
      </c>
      <c r="C2231" s="299">
        <v>466.12118500000003</v>
      </c>
      <c r="D2231" s="299">
        <v>552.74456799999996</v>
      </c>
      <c r="E2231" s="299">
        <v>575.09551999999996</v>
      </c>
      <c r="F2231" s="299">
        <v>504.96307400000001</v>
      </c>
      <c r="G2231" s="299">
        <v>456.66528299999999</v>
      </c>
      <c r="H2231" s="299">
        <v>408.03241000000003</v>
      </c>
      <c r="I2231" s="299">
        <v>417.18048099999999</v>
      </c>
      <c r="J2231" s="299">
        <v>404.29132099999998</v>
      </c>
      <c r="K2231" s="299">
        <v>408.12570199999999</v>
      </c>
      <c r="L2231" s="299">
        <v>409.541809</v>
      </c>
      <c r="M2231" s="299">
        <v>405.80081200000001</v>
      </c>
      <c r="N2231" s="299">
        <v>398.80746499999998</v>
      </c>
      <c r="O2231" s="299">
        <v>392.10476699999998</v>
      </c>
      <c r="P2231" s="299">
        <v>389.54443400000002</v>
      </c>
      <c r="Q2231" s="299">
        <v>388.89349399999998</v>
      </c>
      <c r="R2231" s="299">
        <v>381.18158</v>
      </c>
      <c r="S2231" s="299">
        <v>379.60968000000003</v>
      </c>
      <c r="T2231" s="299">
        <v>374.26904300000001</v>
      </c>
      <c r="U2231" s="299">
        <v>363.12069700000001</v>
      </c>
      <c r="V2231" s="299">
        <v>359.61715700000002</v>
      </c>
      <c r="W2231" s="299">
        <v>357.814392</v>
      </c>
      <c r="X2231" s="299">
        <v>356.28076199999998</v>
      </c>
      <c r="Y2231" s="299">
        <v>356.43377700000002</v>
      </c>
      <c r="Z2231" s="299">
        <v>353.031158</v>
      </c>
      <c r="AA2231" s="299">
        <v>350.99896200000001</v>
      </c>
      <c r="AB2231" s="299">
        <v>343.01928700000002</v>
      </c>
      <c r="AC2231" s="299">
        <v>340.752655</v>
      </c>
      <c r="AD2231" s="299">
        <v>340.42687999999998</v>
      </c>
      <c r="AE2231" s="299">
        <v>342.63946499999997</v>
      </c>
      <c r="AF2231" s="299">
        <v>343.20172100000002</v>
      </c>
      <c r="AG2231" s="299">
        <v>342.985657</v>
      </c>
      <c r="AH2231" s="206">
        <v>-1.0173E-2</v>
      </c>
    </row>
    <row r="2233" spans="1:34" ht="15" customHeight="1" x14ac:dyDescent="0.2">
      <c r="B2233" s="204" t="s">
        <v>2634</v>
      </c>
    </row>
    <row r="2234" spans="1:34" ht="15" customHeight="1" x14ac:dyDescent="0.25">
      <c r="A2234" s="213" t="s">
        <v>2635</v>
      </c>
      <c r="B2234" s="294" t="s">
        <v>2636</v>
      </c>
      <c r="C2234" s="297">
        <v>0.90333600000000003</v>
      </c>
      <c r="D2234" s="297">
        <v>0.82215800000000006</v>
      </c>
      <c r="E2234" s="297">
        <v>0.73779799999999995</v>
      </c>
      <c r="F2234" s="297">
        <v>0.79774</v>
      </c>
      <c r="G2234" s="297">
        <v>0.78479699999999997</v>
      </c>
      <c r="H2234" s="297">
        <v>0.77974500000000002</v>
      </c>
      <c r="I2234" s="297">
        <v>0.77721799999999996</v>
      </c>
      <c r="J2234" s="297">
        <v>0.77656400000000003</v>
      </c>
      <c r="K2234" s="297">
        <v>0.77308299999999996</v>
      </c>
      <c r="L2234" s="297">
        <v>0.767675</v>
      </c>
      <c r="M2234" s="297">
        <v>0.76214999999999999</v>
      </c>
      <c r="N2234" s="297">
        <v>0.75654399999999999</v>
      </c>
      <c r="O2234" s="297">
        <v>0.75001700000000004</v>
      </c>
      <c r="P2234" s="297">
        <v>0.74424299999999999</v>
      </c>
      <c r="Q2234" s="297">
        <v>0.73894300000000002</v>
      </c>
      <c r="R2234" s="297">
        <v>0.73272499999999996</v>
      </c>
      <c r="S2234" s="297">
        <v>0.72472800000000004</v>
      </c>
      <c r="T2234" s="297">
        <v>0.72064799999999996</v>
      </c>
      <c r="U2234" s="297">
        <v>0.71697100000000002</v>
      </c>
      <c r="V2234" s="297">
        <v>0.71535899999999997</v>
      </c>
      <c r="W2234" s="297">
        <v>0.71109599999999995</v>
      </c>
      <c r="X2234" s="297">
        <v>0.70803499999999997</v>
      </c>
      <c r="Y2234" s="297">
        <v>0.704789</v>
      </c>
      <c r="Z2234" s="297">
        <v>0.70058799999999999</v>
      </c>
      <c r="AA2234" s="297">
        <v>0.69703400000000004</v>
      </c>
      <c r="AB2234" s="297">
        <v>0.69509600000000005</v>
      </c>
      <c r="AC2234" s="297">
        <v>0.69148900000000002</v>
      </c>
      <c r="AD2234" s="297">
        <v>0.68868600000000002</v>
      </c>
      <c r="AE2234" s="297">
        <v>0.68742099999999995</v>
      </c>
      <c r="AF2234" s="297">
        <v>0.68348799999999998</v>
      </c>
      <c r="AG2234" s="297">
        <v>0.67947000000000002</v>
      </c>
      <c r="AH2234" s="296">
        <v>-9.4479999999999998E-3</v>
      </c>
    </row>
    <row r="2235" spans="1:34" ht="15" customHeight="1" x14ac:dyDescent="0.25">
      <c r="A2235" s="213" t="s">
        <v>2637</v>
      </c>
      <c r="B2235" s="294" t="s">
        <v>2638</v>
      </c>
      <c r="C2235" s="297">
        <v>16.511002000000001</v>
      </c>
      <c r="D2235" s="297">
        <v>13.923748</v>
      </c>
      <c r="E2235" s="297">
        <v>14.400467000000001</v>
      </c>
      <c r="F2235" s="297">
        <v>17.514008</v>
      </c>
      <c r="G2235" s="297">
        <v>17.166530999999999</v>
      </c>
      <c r="H2235" s="297">
        <v>16.171462999999999</v>
      </c>
      <c r="I2235" s="297">
        <v>16.070741999999999</v>
      </c>
      <c r="J2235" s="297">
        <v>15.682005999999999</v>
      </c>
      <c r="K2235" s="297">
        <v>15.042679</v>
      </c>
      <c r="L2235" s="297">
        <v>14.450245000000001</v>
      </c>
      <c r="M2235" s="297">
        <v>14.437037999999999</v>
      </c>
      <c r="N2235" s="297">
        <v>14.418581</v>
      </c>
      <c r="O2235" s="297">
        <v>14.232844</v>
      </c>
      <c r="P2235" s="297">
        <v>13.997496</v>
      </c>
      <c r="Q2235" s="297">
        <v>14.021292000000001</v>
      </c>
      <c r="R2235" s="297">
        <v>14.065687</v>
      </c>
      <c r="S2235" s="297">
        <v>13.951321</v>
      </c>
      <c r="T2235" s="297">
        <v>13.960462</v>
      </c>
      <c r="U2235" s="297">
        <v>14.068045</v>
      </c>
      <c r="V2235" s="297">
        <v>14.111302999999999</v>
      </c>
      <c r="W2235" s="297">
        <v>13.905011999999999</v>
      </c>
      <c r="X2235" s="297">
        <v>13.943484</v>
      </c>
      <c r="Y2235" s="297">
        <v>14.250718000000001</v>
      </c>
      <c r="Z2235" s="297">
        <v>14.472765000000001</v>
      </c>
      <c r="AA2235" s="297">
        <v>14.366782000000001</v>
      </c>
      <c r="AB2235" s="297">
        <v>14.337572</v>
      </c>
      <c r="AC2235" s="297">
        <v>14.297935000000001</v>
      </c>
      <c r="AD2235" s="297">
        <v>14.230783000000001</v>
      </c>
      <c r="AE2235" s="297">
        <v>14.301805</v>
      </c>
      <c r="AF2235" s="297">
        <v>14.251142</v>
      </c>
      <c r="AG2235" s="297">
        <v>14.446698</v>
      </c>
      <c r="AH2235" s="296">
        <v>-4.4419999999999998E-3</v>
      </c>
    </row>
    <row r="2236" spans="1:34" ht="15" customHeight="1" x14ac:dyDescent="0.25">
      <c r="A2236" s="213" t="s">
        <v>2639</v>
      </c>
      <c r="B2236" s="294" t="s">
        <v>2640</v>
      </c>
      <c r="C2236" s="297">
        <v>25.192312000000001</v>
      </c>
      <c r="D2236" s="297">
        <v>27.587658000000001</v>
      </c>
      <c r="E2236" s="297">
        <v>26.814637999999999</v>
      </c>
      <c r="F2236" s="297">
        <v>26.929174</v>
      </c>
      <c r="G2236" s="297">
        <v>26.865977999999998</v>
      </c>
      <c r="H2236" s="297">
        <v>26.757103000000001</v>
      </c>
      <c r="I2236" s="297">
        <v>26.566261000000001</v>
      </c>
      <c r="J2236" s="297">
        <v>26.328783000000001</v>
      </c>
      <c r="K2236" s="297">
        <v>26.035174999999999</v>
      </c>
      <c r="L2236" s="297">
        <v>25.774683</v>
      </c>
      <c r="M2236" s="297">
        <v>25.591826999999999</v>
      </c>
      <c r="N2236" s="297">
        <v>25.423199</v>
      </c>
      <c r="O2236" s="297">
        <v>25.152853</v>
      </c>
      <c r="P2236" s="297">
        <v>24.904395999999998</v>
      </c>
      <c r="Q2236" s="297">
        <v>24.652401000000001</v>
      </c>
      <c r="R2236" s="297">
        <v>24.657392999999999</v>
      </c>
      <c r="S2236" s="297">
        <v>24.656224999999999</v>
      </c>
      <c r="T2236" s="297">
        <v>24.685452000000002</v>
      </c>
      <c r="U2236" s="297">
        <v>24.704768999999999</v>
      </c>
      <c r="V2236" s="297">
        <v>24.701899000000001</v>
      </c>
      <c r="W2236" s="297">
        <v>24.647053</v>
      </c>
      <c r="X2236" s="297">
        <v>24.682106000000001</v>
      </c>
      <c r="Y2236" s="297">
        <v>25.043724000000001</v>
      </c>
      <c r="Z2236" s="297">
        <v>25.471228</v>
      </c>
      <c r="AA2236" s="297">
        <v>25.917299</v>
      </c>
      <c r="AB2236" s="297">
        <v>26.504443999999999</v>
      </c>
      <c r="AC2236" s="297">
        <v>26.649851000000002</v>
      </c>
      <c r="AD2236" s="297">
        <v>26.709050999999999</v>
      </c>
      <c r="AE2236" s="297">
        <v>26.763245000000001</v>
      </c>
      <c r="AF2236" s="297">
        <v>26.878578000000001</v>
      </c>
      <c r="AG2236" s="297">
        <v>27.002061999999999</v>
      </c>
      <c r="AH2236" s="296">
        <v>2.3149999999999998E-3</v>
      </c>
    </row>
    <row r="2237" spans="1:34" ht="15" customHeight="1" x14ac:dyDescent="0.25">
      <c r="A2237" s="213" t="s">
        <v>2641</v>
      </c>
      <c r="B2237" s="294" t="s">
        <v>2642</v>
      </c>
      <c r="C2237" s="297">
        <v>0</v>
      </c>
      <c r="D2237" s="297">
        <v>0</v>
      </c>
      <c r="E2237" s="297">
        <v>0</v>
      </c>
      <c r="F2237" s="297">
        <v>0</v>
      </c>
      <c r="G2237" s="297">
        <v>0</v>
      </c>
      <c r="H2237" s="297">
        <v>0</v>
      </c>
      <c r="I2237" s="297">
        <v>0</v>
      </c>
      <c r="J2237" s="297">
        <v>0</v>
      </c>
      <c r="K2237" s="297">
        <v>0</v>
      </c>
      <c r="L2237" s="297">
        <v>0</v>
      </c>
      <c r="M2237" s="297">
        <v>0</v>
      </c>
      <c r="N2237" s="297">
        <v>0</v>
      </c>
      <c r="O2237" s="297">
        <v>0</v>
      </c>
      <c r="P2237" s="297">
        <v>0</v>
      </c>
      <c r="Q2237" s="297">
        <v>0</v>
      </c>
      <c r="R2237" s="297">
        <v>0</v>
      </c>
      <c r="S2237" s="297">
        <v>0</v>
      </c>
      <c r="T2237" s="297">
        <v>0</v>
      </c>
      <c r="U2237" s="297">
        <v>0</v>
      </c>
      <c r="V2237" s="297">
        <v>0</v>
      </c>
      <c r="W2237" s="297">
        <v>0</v>
      </c>
      <c r="X2237" s="297">
        <v>0</v>
      </c>
      <c r="Y2237" s="297">
        <v>0</v>
      </c>
      <c r="Z2237" s="297">
        <v>0</v>
      </c>
      <c r="AA2237" s="297">
        <v>0</v>
      </c>
      <c r="AB2237" s="297">
        <v>0</v>
      </c>
      <c r="AC2237" s="297">
        <v>0</v>
      </c>
      <c r="AD2237" s="297">
        <v>0</v>
      </c>
      <c r="AE2237" s="297">
        <v>0</v>
      </c>
      <c r="AF2237" s="297">
        <v>0</v>
      </c>
      <c r="AG2237" s="297">
        <v>0</v>
      </c>
      <c r="AH2237" s="296" t="s">
        <v>635</v>
      </c>
    </row>
    <row r="2238" spans="1:34" ht="15" customHeight="1" x14ac:dyDescent="0.25">
      <c r="A2238" s="213" t="s">
        <v>2643</v>
      </c>
      <c r="B2238" s="294" t="s">
        <v>2644</v>
      </c>
      <c r="C2238" s="297">
        <v>0</v>
      </c>
      <c r="D2238" s="297">
        <v>0</v>
      </c>
      <c r="E2238" s="297">
        <v>0</v>
      </c>
      <c r="F2238" s="297">
        <v>0</v>
      </c>
      <c r="G2238" s="297">
        <v>0</v>
      </c>
      <c r="H2238" s="297">
        <v>0</v>
      </c>
      <c r="I2238" s="297">
        <v>0</v>
      </c>
      <c r="J2238" s="297">
        <v>0</v>
      </c>
      <c r="K2238" s="297">
        <v>0</v>
      </c>
      <c r="L2238" s="297">
        <v>0</v>
      </c>
      <c r="M2238" s="297">
        <v>0</v>
      </c>
      <c r="N2238" s="297">
        <v>0</v>
      </c>
      <c r="O2238" s="297">
        <v>0</v>
      </c>
      <c r="P2238" s="297">
        <v>0</v>
      </c>
      <c r="Q2238" s="297">
        <v>0</v>
      </c>
      <c r="R2238" s="297">
        <v>0</v>
      </c>
      <c r="S2238" s="297">
        <v>0</v>
      </c>
      <c r="T2238" s="297">
        <v>0</v>
      </c>
      <c r="U2238" s="297">
        <v>0</v>
      </c>
      <c r="V2238" s="297">
        <v>0</v>
      </c>
      <c r="W2238" s="297">
        <v>0</v>
      </c>
      <c r="X2238" s="297">
        <v>0</v>
      </c>
      <c r="Y2238" s="297">
        <v>0</v>
      </c>
      <c r="Z2238" s="297">
        <v>0</v>
      </c>
      <c r="AA2238" s="297">
        <v>0</v>
      </c>
      <c r="AB2238" s="297">
        <v>0</v>
      </c>
      <c r="AC2238" s="297">
        <v>0</v>
      </c>
      <c r="AD2238" s="297">
        <v>0</v>
      </c>
      <c r="AE2238" s="297">
        <v>0</v>
      </c>
      <c r="AF2238" s="297">
        <v>0</v>
      </c>
      <c r="AG2238" s="297">
        <v>0</v>
      </c>
      <c r="AH2238" s="296" t="s">
        <v>635</v>
      </c>
    </row>
    <row r="2239" spans="1:34" ht="15" customHeight="1" x14ac:dyDescent="0.25">
      <c r="A2239" s="213" t="s">
        <v>2645</v>
      </c>
      <c r="B2239" s="294" t="s">
        <v>2646</v>
      </c>
      <c r="C2239" s="297">
        <v>423.79016100000001</v>
      </c>
      <c r="D2239" s="297">
        <v>510.26916499999999</v>
      </c>
      <c r="E2239" s="297">
        <v>533.10778800000003</v>
      </c>
      <c r="F2239" s="297">
        <v>460.22952299999997</v>
      </c>
      <c r="G2239" s="297">
        <v>414.03704800000003</v>
      </c>
      <c r="H2239" s="297">
        <v>364.42416400000002</v>
      </c>
      <c r="I2239" s="297">
        <v>373.89260899999999</v>
      </c>
      <c r="J2239" s="297">
        <v>361.72512799999998</v>
      </c>
      <c r="K2239" s="297">
        <v>366.419983</v>
      </c>
      <c r="L2239" s="297">
        <v>368.707336</v>
      </c>
      <c r="M2239" s="297">
        <v>365.159515</v>
      </c>
      <c r="N2239" s="297">
        <v>358.32830799999999</v>
      </c>
      <c r="O2239" s="297">
        <v>351.92974900000002</v>
      </c>
      <c r="P2239" s="297">
        <v>349.88903800000003</v>
      </c>
      <c r="Q2239" s="297">
        <v>349.464203</v>
      </c>
      <c r="R2239" s="297">
        <v>341.76666299999999</v>
      </c>
      <c r="S2239" s="297">
        <v>340.29080199999999</v>
      </c>
      <c r="T2239" s="297">
        <v>334.93579099999999</v>
      </c>
      <c r="U2239" s="297">
        <v>323.693085</v>
      </c>
      <c r="V2239" s="297">
        <v>320.18511999999998</v>
      </c>
      <c r="W2239" s="297">
        <v>318.61364700000001</v>
      </c>
      <c r="X2239" s="297">
        <v>316.868652</v>
      </c>
      <c r="Y2239" s="297">
        <v>316.36938500000002</v>
      </c>
      <c r="Z2239" s="297">
        <v>312.30224600000003</v>
      </c>
      <c r="AA2239" s="297">
        <v>309.88974000000002</v>
      </c>
      <c r="AB2239" s="297">
        <v>301.47308299999997</v>
      </c>
      <c r="AC2239" s="297">
        <v>299.11703499999999</v>
      </c>
      <c r="AD2239" s="297">
        <v>298.86086999999998</v>
      </c>
      <c r="AE2239" s="297">
        <v>300.9599</v>
      </c>
      <c r="AF2239" s="297">
        <v>301.46887199999998</v>
      </c>
      <c r="AG2239" s="297">
        <v>300.94039900000001</v>
      </c>
      <c r="AH2239" s="296">
        <v>-1.1346E-2</v>
      </c>
    </row>
    <row r="2240" spans="1:34" ht="15" customHeight="1" x14ac:dyDescent="0.2">
      <c r="A2240" s="213" t="s">
        <v>2647</v>
      </c>
      <c r="B2240" s="204" t="s">
        <v>653</v>
      </c>
      <c r="C2240" s="299">
        <v>466.39681999999999</v>
      </c>
      <c r="D2240" s="299">
        <v>552.60272199999997</v>
      </c>
      <c r="E2240" s="299">
        <v>575.06066899999996</v>
      </c>
      <c r="F2240" s="299">
        <v>505.47045900000001</v>
      </c>
      <c r="G2240" s="299">
        <v>458.85437000000002</v>
      </c>
      <c r="H2240" s="299">
        <v>408.13247699999999</v>
      </c>
      <c r="I2240" s="299">
        <v>417.30682400000001</v>
      </c>
      <c r="J2240" s="299">
        <v>404.51248199999998</v>
      </c>
      <c r="K2240" s="299">
        <v>408.27093500000001</v>
      </c>
      <c r="L2240" s="299">
        <v>409.699951</v>
      </c>
      <c r="M2240" s="299">
        <v>405.95053100000001</v>
      </c>
      <c r="N2240" s="299">
        <v>398.92663599999997</v>
      </c>
      <c r="O2240" s="299">
        <v>392.06545999999997</v>
      </c>
      <c r="P2240" s="299">
        <v>389.53515599999997</v>
      </c>
      <c r="Q2240" s="299">
        <v>388.87683099999998</v>
      </c>
      <c r="R2240" s="299">
        <v>381.22247299999998</v>
      </c>
      <c r="S2240" s="299">
        <v>379.62307700000002</v>
      </c>
      <c r="T2240" s="299">
        <v>374.302368</v>
      </c>
      <c r="U2240" s="299">
        <v>363.182861</v>
      </c>
      <c r="V2240" s="299">
        <v>359.713684</v>
      </c>
      <c r="W2240" s="299">
        <v>357.876801</v>
      </c>
      <c r="X2240" s="299">
        <v>356.202271</v>
      </c>
      <c r="Y2240" s="299">
        <v>356.36862200000002</v>
      </c>
      <c r="Z2240" s="299">
        <v>352.94683800000001</v>
      </c>
      <c r="AA2240" s="299">
        <v>350.87085000000002</v>
      </c>
      <c r="AB2240" s="299">
        <v>343.01019300000002</v>
      </c>
      <c r="AC2240" s="299">
        <v>340.75631700000002</v>
      </c>
      <c r="AD2240" s="299">
        <v>340.48937999999998</v>
      </c>
      <c r="AE2240" s="299">
        <v>342.71237200000002</v>
      </c>
      <c r="AF2240" s="299">
        <v>343.28207400000002</v>
      </c>
      <c r="AG2240" s="299">
        <v>343.06863399999997</v>
      </c>
      <c r="AH2240" s="206">
        <v>-1.0185E-2</v>
      </c>
    </row>
    <row r="2242" spans="1:34" ht="15" customHeight="1" x14ac:dyDescent="0.2">
      <c r="A2242" s="213" t="s">
        <v>2648</v>
      </c>
      <c r="B2242" s="204" t="s">
        <v>2649</v>
      </c>
      <c r="C2242" s="299">
        <v>-0.27563500000000002</v>
      </c>
      <c r="D2242" s="299">
        <v>0.141846</v>
      </c>
      <c r="E2242" s="299">
        <v>3.4851E-2</v>
      </c>
      <c r="F2242" s="299">
        <v>-0.50738499999999997</v>
      </c>
      <c r="G2242" s="299">
        <v>-2.1890869999999998</v>
      </c>
      <c r="H2242" s="299">
        <v>-0.100067</v>
      </c>
      <c r="I2242" s="299">
        <v>-0.12634300000000001</v>
      </c>
      <c r="J2242" s="299">
        <v>-0.221161</v>
      </c>
      <c r="K2242" s="299">
        <v>-0.145233</v>
      </c>
      <c r="L2242" s="299">
        <v>-0.158142</v>
      </c>
      <c r="M2242" s="299">
        <v>-0.14971899999999999</v>
      </c>
      <c r="N2242" s="299">
        <v>-0.119171</v>
      </c>
      <c r="O2242" s="299">
        <v>3.9307000000000002E-2</v>
      </c>
      <c r="P2242" s="299">
        <v>9.2770000000000005E-3</v>
      </c>
      <c r="Q2242" s="299">
        <v>1.6663000000000001E-2</v>
      </c>
      <c r="R2242" s="299">
        <v>-4.0894E-2</v>
      </c>
      <c r="S2242" s="299">
        <v>-1.3396999999999999E-2</v>
      </c>
      <c r="T2242" s="299">
        <v>-3.3325E-2</v>
      </c>
      <c r="U2242" s="299">
        <v>-6.2163999999999997E-2</v>
      </c>
      <c r="V2242" s="299">
        <v>-9.6527000000000002E-2</v>
      </c>
      <c r="W2242" s="299">
        <v>-6.2407999999999998E-2</v>
      </c>
      <c r="X2242" s="299">
        <v>7.8491000000000005E-2</v>
      </c>
      <c r="Y2242" s="299">
        <v>6.5155000000000005E-2</v>
      </c>
      <c r="Z2242" s="299">
        <v>8.4320000000000006E-2</v>
      </c>
      <c r="AA2242" s="299">
        <v>0.128113</v>
      </c>
      <c r="AB2242" s="299">
        <v>9.0939999999999997E-3</v>
      </c>
      <c r="AC2242" s="299">
        <v>-3.6619999999999999E-3</v>
      </c>
      <c r="AD2242" s="299">
        <v>-6.25E-2</v>
      </c>
      <c r="AE2242" s="299">
        <v>-7.2905999999999999E-2</v>
      </c>
      <c r="AF2242" s="299">
        <v>-8.0352999999999994E-2</v>
      </c>
      <c r="AG2242" s="299">
        <v>-8.2976999999999995E-2</v>
      </c>
      <c r="AH2242" s="206" t="s">
        <v>635</v>
      </c>
    </row>
    <row r="2244" spans="1:34" ht="15" customHeight="1" x14ac:dyDescent="0.2">
      <c r="B2244" s="204" t="s">
        <v>2650</v>
      </c>
    </row>
    <row r="2245" spans="1:34" ht="15" customHeight="1" x14ac:dyDescent="0.25">
      <c r="A2245" s="213" t="s">
        <v>2651</v>
      </c>
      <c r="B2245" s="294" t="s">
        <v>2652</v>
      </c>
      <c r="C2245" s="297">
        <v>34.055869999999999</v>
      </c>
      <c r="D2245" s="297">
        <v>30.959633</v>
      </c>
      <c r="E2245" s="297">
        <v>32.101292000000001</v>
      </c>
      <c r="F2245" s="297">
        <v>31.761672999999998</v>
      </c>
      <c r="G2245" s="297">
        <v>31.044367000000001</v>
      </c>
      <c r="H2245" s="297">
        <v>30.794497</v>
      </c>
      <c r="I2245" s="297">
        <v>30.492144</v>
      </c>
      <c r="J2245" s="297">
        <v>30.590032999999998</v>
      </c>
      <c r="K2245" s="297">
        <v>30.01351</v>
      </c>
      <c r="L2245" s="297">
        <v>29.643726000000001</v>
      </c>
      <c r="M2245" s="297">
        <v>29.369016999999999</v>
      </c>
      <c r="N2245" s="297">
        <v>29.700735000000002</v>
      </c>
      <c r="O2245" s="297">
        <v>29.820889000000001</v>
      </c>
      <c r="P2245" s="297">
        <v>29.723274</v>
      </c>
      <c r="Q2245" s="297">
        <v>29.748425000000001</v>
      </c>
      <c r="R2245" s="297">
        <v>30.074885999999999</v>
      </c>
      <c r="S2245" s="297">
        <v>30.340406000000002</v>
      </c>
      <c r="T2245" s="297">
        <v>30.690798000000001</v>
      </c>
      <c r="U2245" s="297">
        <v>31.569094</v>
      </c>
      <c r="V2245" s="297">
        <v>31.561229999999998</v>
      </c>
      <c r="W2245" s="297">
        <v>32.033199000000003</v>
      </c>
      <c r="X2245" s="297">
        <v>32.104717000000001</v>
      </c>
      <c r="Y2245" s="297">
        <v>32.369056999999998</v>
      </c>
      <c r="Z2245" s="297">
        <v>32.726455999999999</v>
      </c>
      <c r="AA2245" s="297">
        <v>32.764400000000002</v>
      </c>
      <c r="AB2245" s="297">
        <v>33.379210999999998</v>
      </c>
      <c r="AC2245" s="297">
        <v>33.744594999999997</v>
      </c>
      <c r="AD2245" s="297">
        <v>33.921534999999999</v>
      </c>
      <c r="AE2245" s="297">
        <v>34.012577</v>
      </c>
      <c r="AF2245" s="297">
        <v>34.418686000000001</v>
      </c>
      <c r="AG2245" s="297">
        <v>34.677486000000002</v>
      </c>
      <c r="AH2245" s="296">
        <v>6.0300000000000002E-4</v>
      </c>
    </row>
    <row r="2246" spans="1:34" ht="15" customHeight="1" x14ac:dyDescent="0.25">
      <c r="A2246" s="213" t="s">
        <v>2653</v>
      </c>
      <c r="B2246" s="294" t="s">
        <v>1708</v>
      </c>
      <c r="C2246" s="295">
        <v>1.6765049999999999</v>
      </c>
      <c r="D2246" s="295">
        <v>1.5287580000000001</v>
      </c>
      <c r="E2246" s="295">
        <v>1.568695</v>
      </c>
      <c r="F2246" s="295">
        <v>1.53952</v>
      </c>
      <c r="G2246" s="295">
        <v>1.5080830000000001</v>
      </c>
      <c r="H2246" s="295">
        <v>1.4934019999999999</v>
      </c>
      <c r="I2246" s="295">
        <v>1.4831989999999999</v>
      </c>
      <c r="J2246" s="295">
        <v>1.488461</v>
      </c>
      <c r="K2246" s="295">
        <v>1.467506</v>
      </c>
      <c r="L2246" s="295">
        <v>1.456286</v>
      </c>
      <c r="M2246" s="295">
        <v>1.447484</v>
      </c>
      <c r="N2246" s="295">
        <v>1.4619329999999999</v>
      </c>
      <c r="O2246" s="295">
        <v>1.4660420000000001</v>
      </c>
      <c r="P2246" s="295">
        <v>1.459184</v>
      </c>
      <c r="Q2246" s="295">
        <v>1.4618660000000001</v>
      </c>
      <c r="R2246" s="295">
        <v>1.4755259999999999</v>
      </c>
      <c r="S2246" s="295">
        <v>1.486899</v>
      </c>
      <c r="T2246" s="295">
        <v>1.500397</v>
      </c>
      <c r="U2246" s="295">
        <v>1.534394</v>
      </c>
      <c r="V2246" s="295">
        <v>1.5332159999999999</v>
      </c>
      <c r="W2246" s="295">
        <v>1.553666</v>
      </c>
      <c r="X2246" s="295">
        <v>1.5579719999999999</v>
      </c>
      <c r="Y2246" s="295">
        <v>1.5680940000000001</v>
      </c>
      <c r="Z2246" s="295">
        <v>1.582166</v>
      </c>
      <c r="AA2246" s="295">
        <v>1.583526</v>
      </c>
      <c r="AB2246" s="295">
        <v>1.606182</v>
      </c>
      <c r="AC2246" s="295">
        <v>1.620431</v>
      </c>
      <c r="AD2246" s="295">
        <v>1.629756</v>
      </c>
      <c r="AE2246" s="295">
        <v>1.6362969999999999</v>
      </c>
      <c r="AF2246" s="295">
        <v>1.6522600000000001</v>
      </c>
      <c r="AG2246" s="295">
        <v>1.6645890000000001</v>
      </c>
      <c r="AH2246" s="296">
        <v>-2.3800000000000001E-4</v>
      </c>
    </row>
    <row r="2248" spans="1:34" ht="15" customHeight="1" x14ac:dyDescent="0.2">
      <c r="B2248" s="204" t="s">
        <v>2654</v>
      </c>
    </row>
    <row r="2249" spans="1:34" ht="15" customHeight="1" x14ac:dyDescent="0.2">
      <c r="B2249" s="204" t="s">
        <v>2655</v>
      </c>
    </row>
    <row r="2250" spans="1:34" ht="15" customHeight="1" x14ac:dyDescent="0.25">
      <c r="A2250" s="213" t="s">
        <v>2656</v>
      </c>
      <c r="B2250" s="294" t="s">
        <v>2636</v>
      </c>
      <c r="C2250" s="297">
        <v>71.787307999999996</v>
      </c>
      <c r="D2250" s="297">
        <v>70.069168000000005</v>
      </c>
      <c r="E2250" s="297">
        <v>70.902336000000005</v>
      </c>
      <c r="F2250" s="297">
        <v>69.196594000000005</v>
      </c>
      <c r="G2250" s="297">
        <v>69.255463000000006</v>
      </c>
      <c r="H2250" s="297">
        <v>69.200851</v>
      </c>
      <c r="I2250" s="297">
        <v>69.110657000000003</v>
      </c>
      <c r="J2250" s="297">
        <v>68.967017999999996</v>
      </c>
      <c r="K2250" s="297">
        <v>68.899162000000004</v>
      </c>
      <c r="L2250" s="297">
        <v>68.857292000000001</v>
      </c>
      <c r="M2250" s="297">
        <v>68.833022999999997</v>
      </c>
      <c r="N2250" s="297">
        <v>68.743401000000006</v>
      </c>
      <c r="O2250" s="297">
        <v>68.722565000000003</v>
      </c>
      <c r="P2250" s="297">
        <v>68.576049999999995</v>
      </c>
      <c r="Q2250" s="297">
        <v>68.395020000000002</v>
      </c>
      <c r="R2250" s="297">
        <v>68.238937000000007</v>
      </c>
      <c r="S2250" s="297">
        <v>68.124115000000003</v>
      </c>
      <c r="T2250" s="297">
        <v>67.966735999999997</v>
      </c>
      <c r="U2250" s="297">
        <v>67.827826999999999</v>
      </c>
      <c r="V2250" s="297">
        <v>67.615936000000005</v>
      </c>
      <c r="W2250" s="297">
        <v>67.474074999999999</v>
      </c>
      <c r="X2250" s="297">
        <v>67.288901999999993</v>
      </c>
      <c r="Y2250" s="297">
        <v>67.106978999999995</v>
      </c>
      <c r="Z2250" s="297">
        <v>66.928528</v>
      </c>
      <c r="AA2250" s="297">
        <v>66.696404000000001</v>
      </c>
      <c r="AB2250" s="297">
        <v>66.424262999999996</v>
      </c>
      <c r="AC2250" s="297">
        <v>66.269126999999997</v>
      </c>
      <c r="AD2250" s="297">
        <v>66.055176000000003</v>
      </c>
      <c r="AE2250" s="297">
        <v>65.768753000000004</v>
      </c>
      <c r="AF2250" s="297">
        <v>65.571121000000005</v>
      </c>
      <c r="AG2250" s="297">
        <v>65.342162999999999</v>
      </c>
      <c r="AH2250" s="296">
        <v>-3.1310000000000001E-3</v>
      </c>
    </row>
    <row r="2251" spans="1:34" ht="15" customHeight="1" x14ac:dyDescent="0.25">
      <c r="A2251" s="213" t="s">
        <v>2657</v>
      </c>
      <c r="B2251" s="294" t="s">
        <v>2638</v>
      </c>
      <c r="C2251" s="297">
        <v>114.339417</v>
      </c>
      <c r="D2251" s="297">
        <v>102.42707799999999</v>
      </c>
      <c r="E2251" s="297">
        <v>95.440406999999993</v>
      </c>
      <c r="F2251" s="297">
        <v>91.512900999999999</v>
      </c>
      <c r="G2251" s="297">
        <v>89.150040000000004</v>
      </c>
      <c r="H2251" s="297">
        <v>88.068787</v>
      </c>
      <c r="I2251" s="297">
        <v>86.910065000000003</v>
      </c>
      <c r="J2251" s="297">
        <v>86.570953000000003</v>
      </c>
      <c r="K2251" s="297">
        <v>86.750434999999996</v>
      </c>
      <c r="L2251" s="297">
        <v>87.406165999999999</v>
      </c>
      <c r="M2251" s="297">
        <v>88.300963999999993</v>
      </c>
      <c r="N2251" s="297">
        <v>89.301475999999994</v>
      </c>
      <c r="O2251" s="297">
        <v>90.231864999999999</v>
      </c>
      <c r="P2251" s="297">
        <v>91.116919999999993</v>
      </c>
      <c r="Q2251" s="297">
        <v>92.062438999999998</v>
      </c>
      <c r="R2251" s="297">
        <v>93.028892999999997</v>
      </c>
      <c r="S2251" s="297">
        <v>93.959395999999998</v>
      </c>
      <c r="T2251" s="297">
        <v>94.934708000000001</v>
      </c>
      <c r="U2251" s="297">
        <v>95.972458000000003</v>
      </c>
      <c r="V2251" s="297">
        <v>96.933182000000002</v>
      </c>
      <c r="W2251" s="297">
        <v>97.878387000000004</v>
      </c>
      <c r="X2251" s="297">
        <v>98.889626000000007</v>
      </c>
      <c r="Y2251" s="297">
        <v>99.964859000000004</v>
      </c>
      <c r="Z2251" s="297">
        <v>101.095581</v>
      </c>
      <c r="AA2251" s="297">
        <v>102.087715</v>
      </c>
      <c r="AB2251" s="297">
        <v>103.15673099999999</v>
      </c>
      <c r="AC2251" s="297">
        <v>104.274597</v>
      </c>
      <c r="AD2251" s="297">
        <v>105.375137</v>
      </c>
      <c r="AE2251" s="297">
        <v>106.49449199999999</v>
      </c>
      <c r="AF2251" s="297">
        <v>107.670822</v>
      </c>
      <c r="AG2251" s="297">
        <v>108.928032</v>
      </c>
      <c r="AH2251" s="296">
        <v>-1.6149999999999999E-3</v>
      </c>
    </row>
    <row r="2252" spans="1:34" ht="15" customHeight="1" x14ac:dyDescent="0.25">
      <c r="A2252" s="213" t="s">
        <v>2658</v>
      </c>
      <c r="B2252" s="294" t="s">
        <v>2640</v>
      </c>
      <c r="C2252" s="297">
        <v>53.738692999999998</v>
      </c>
      <c r="D2252" s="297">
        <v>54.519295</v>
      </c>
      <c r="E2252" s="297">
        <v>56.108376</v>
      </c>
      <c r="F2252" s="297">
        <v>55.868664000000003</v>
      </c>
      <c r="G2252" s="297">
        <v>55.929969999999997</v>
      </c>
      <c r="H2252" s="297">
        <v>56.061278999999999</v>
      </c>
      <c r="I2252" s="297">
        <v>55.931355000000003</v>
      </c>
      <c r="J2252" s="297">
        <v>55.731689000000003</v>
      </c>
      <c r="K2252" s="297">
        <v>55.594509000000002</v>
      </c>
      <c r="L2252" s="297">
        <v>55.549861999999997</v>
      </c>
      <c r="M2252" s="297">
        <v>55.518954999999998</v>
      </c>
      <c r="N2252" s="297">
        <v>55.554927999999997</v>
      </c>
      <c r="O2252" s="297">
        <v>55.309016999999997</v>
      </c>
      <c r="P2252" s="297">
        <v>55.346953999999997</v>
      </c>
      <c r="Q2252" s="297">
        <v>55.364525</v>
      </c>
      <c r="R2252" s="297">
        <v>55.494019000000002</v>
      </c>
      <c r="S2252" s="297">
        <v>55.406357</v>
      </c>
      <c r="T2252" s="297">
        <v>55.442883000000002</v>
      </c>
      <c r="U2252" s="297">
        <v>55.623961999999999</v>
      </c>
      <c r="V2252" s="297">
        <v>55.745663</v>
      </c>
      <c r="W2252" s="297">
        <v>56.002670000000002</v>
      </c>
      <c r="X2252" s="297">
        <v>56.159447</v>
      </c>
      <c r="Y2252" s="297">
        <v>56.151783000000002</v>
      </c>
      <c r="Z2252" s="297">
        <v>56.100493999999998</v>
      </c>
      <c r="AA2252" s="297">
        <v>56.008564</v>
      </c>
      <c r="AB2252" s="297">
        <v>56.113045</v>
      </c>
      <c r="AC2252" s="297">
        <v>56.310111999999997</v>
      </c>
      <c r="AD2252" s="297">
        <v>56.509754000000001</v>
      </c>
      <c r="AE2252" s="297">
        <v>56.750767000000003</v>
      </c>
      <c r="AF2252" s="297">
        <v>56.993957999999999</v>
      </c>
      <c r="AG2252" s="297">
        <v>57.251308000000002</v>
      </c>
      <c r="AH2252" s="296">
        <v>2.1129999999999999E-3</v>
      </c>
    </row>
    <row r="2253" spans="1:34" ht="15" customHeight="1" x14ac:dyDescent="0.25">
      <c r="A2253" s="213" t="s">
        <v>2659</v>
      </c>
      <c r="B2253" s="294" t="s">
        <v>362</v>
      </c>
      <c r="C2253" s="296" t="s">
        <v>635</v>
      </c>
      <c r="D2253" s="296" t="s">
        <v>635</v>
      </c>
      <c r="E2253" s="296" t="s">
        <v>635</v>
      </c>
      <c r="F2253" s="296" t="s">
        <v>635</v>
      </c>
      <c r="G2253" s="296" t="s">
        <v>635</v>
      </c>
      <c r="H2253" s="296" t="s">
        <v>635</v>
      </c>
      <c r="I2253" s="296" t="s">
        <v>635</v>
      </c>
      <c r="J2253" s="296" t="s">
        <v>635</v>
      </c>
      <c r="K2253" s="296" t="s">
        <v>635</v>
      </c>
      <c r="L2253" s="296" t="s">
        <v>635</v>
      </c>
      <c r="M2253" s="296" t="s">
        <v>635</v>
      </c>
      <c r="N2253" s="296" t="s">
        <v>635</v>
      </c>
      <c r="O2253" s="296" t="s">
        <v>635</v>
      </c>
      <c r="P2253" s="296" t="s">
        <v>635</v>
      </c>
      <c r="Q2253" s="296" t="s">
        <v>635</v>
      </c>
      <c r="R2253" s="296" t="s">
        <v>635</v>
      </c>
      <c r="S2253" s="296" t="s">
        <v>635</v>
      </c>
      <c r="T2253" s="296" t="s">
        <v>635</v>
      </c>
      <c r="U2253" s="296" t="s">
        <v>635</v>
      </c>
      <c r="V2253" s="296" t="s">
        <v>635</v>
      </c>
      <c r="W2253" s="296" t="s">
        <v>635</v>
      </c>
      <c r="X2253" s="296" t="s">
        <v>635</v>
      </c>
      <c r="Y2253" s="296" t="s">
        <v>635</v>
      </c>
      <c r="Z2253" s="296" t="s">
        <v>635</v>
      </c>
      <c r="AA2253" s="296" t="s">
        <v>635</v>
      </c>
      <c r="AB2253" s="296" t="s">
        <v>635</v>
      </c>
      <c r="AC2253" s="296" t="s">
        <v>635</v>
      </c>
      <c r="AD2253" s="296" t="s">
        <v>635</v>
      </c>
      <c r="AE2253" s="296" t="s">
        <v>635</v>
      </c>
      <c r="AF2253" s="296" t="s">
        <v>635</v>
      </c>
      <c r="AG2253" s="296" t="s">
        <v>635</v>
      </c>
      <c r="AH2253" s="296" t="s">
        <v>635</v>
      </c>
    </row>
    <row r="2254" spans="1:34" ht="15" customHeight="1" x14ac:dyDescent="0.2">
      <c r="B2254" s="204" t="s">
        <v>2646</v>
      </c>
    </row>
    <row r="2255" spans="1:34" ht="15" customHeight="1" x14ac:dyDescent="0.25">
      <c r="A2255" s="213" t="s">
        <v>2660</v>
      </c>
      <c r="B2255" s="294" t="s">
        <v>2661</v>
      </c>
      <c r="C2255" s="297">
        <v>37.233589000000002</v>
      </c>
      <c r="D2255" s="297">
        <v>38.077724000000003</v>
      </c>
      <c r="E2255" s="297">
        <v>39.035110000000003</v>
      </c>
      <c r="F2255" s="297">
        <v>37.585917999999999</v>
      </c>
      <c r="G2255" s="297">
        <v>36.831017000000003</v>
      </c>
      <c r="H2255" s="297">
        <v>35.848412000000003</v>
      </c>
      <c r="I2255" s="297">
        <v>35.454922000000003</v>
      </c>
      <c r="J2255" s="297">
        <v>35.129013</v>
      </c>
      <c r="K2255" s="297">
        <v>34.499412999999997</v>
      </c>
      <c r="L2255" s="297">
        <v>34.359549999999999</v>
      </c>
      <c r="M2255" s="297">
        <v>33.959038</v>
      </c>
      <c r="N2255" s="297">
        <v>34.031002000000001</v>
      </c>
      <c r="O2255" s="297">
        <v>33.803744999999999</v>
      </c>
      <c r="P2255" s="297">
        <v>33.797600000000003</v>
      </c>
      <c r="Q2255" s="297">
        <v>33.748412999999999</v>
      </c>
      <c r="R2255" s="297">
        <v>33.584269999999997</v>
      </c>
      <c r="S2255" s="297">
        <v>33.624412999999997</v>
      </c>
      <c r="T2255" s="297">
        <v>33.651524000000002</v>
      </c>
      <c r="U2255" s="297">
        <v>34.050274000000002</v>
      </c>
      <c r="V2255" s="297">
        <v>33.991813999999998</v>
      </c>
      <c r="W2255" s="297">
        <v>34.055965</v>
      </c>
      <c r="X2255" s="297">
        <v>34.007266999999999</v>
      </c>
      <c r="Y2255" s="297">
        <v>34.07761</v>
      </c>
      <c r="Z2255" s="297">
        <v>34.140945000000002</v>
      </c>
      <c r="AA2255" s="297">
        <v>33.915084999999998</v>
      </c>
      <c r="AB2255" s="297">
        <v>34.036929999999998</v>
      </c>
      <c r="AC2255" s="297">
        <v>34.153323999999998</v>
      </c>
      <c r="AD2255" s="297">
        <v>34.081989</v>
      </c>
      <c r="AE2255" s="297">
        <v>33.966262999999998</v>
      </c>
      <c r="AF2255" s="297">
        <v>34.063392999999998</v>
      </c>
      <c r="AG2255" s="297">
        <v>34.048290000000001</v>
      </c>
      <c r="AH2255" s="296">
        <v>-2.977E-3</v>
      </c>
    </row>
    <row r="2256" spans="1:34" ht="15" customHeight="1" x14ac:dyDescent="0.25">
      <c r="A2256" s="213" t="s">
        <v>2662</v>
      </c>
      <c r="B2256" s="294" t="s">
        <v>2663</v>
      </c>
      <c r="C2256" s="295">
        <v>1.9632609999999999</v>
      </c>
      <c r="D2256" s="295">
        <v>1.9911140000000001</v>
      </c>
      <c r="E2256" s="295">
        <v>2.0229509999999999</v>
      </c>
      <c r="F2256" s="295">
        <v>1.9492659999999999</v>
      </c>
      <c r="G2256" s="295">
        <v>1.9309639999999999</v>
      </c>
      <c r="H2256" s="295">
        <v>1.893561</v>
      </c>
      <c r="I2256" s="295">
        <v>1.8771329999999999</v>
      </c>
      <c r="J2256" s="295">
        <v>1.8653660000000001</v>
      </c>
      <c r="K2256" s="295">
        <v>1.8418840000000001</v>
      </c>
      <c r="L2256" s="295">
        <v>1.843364</v>
      </c>
      <c r="M2256" s="295">
        <v>1.831437</v>
      </c>
      <c r="N2256" s="295">
        <v>1.8349789999999999</v>
      </c>
      <c r="O2256" s="295">
        <v>1.8227390000000001</v>
      </c>
      <c r="P2256" s="295">
        <v>1.816109</v>
      </c>
      <c r="Q2256" s="295">
        <v>1.8157920000000001</v>
      </c>
      <c r="R2256" s="295">
        <v>1.8079130000000001</v>
      </c>
      <c r="S2256" s="295">
        <v>1.805229</v>
      </c>
      <c r="T2256" s="295">
        <v>1.803245</v>
      </c>
      <c r="U2256" s="295">
        <v>1.814559</v>
      </c>
      <c r="V2256" s="295">
        <v>1.8075209999999999</v>
      </c>
      <c r="W2256" s="295">
        <v>1.8072919999999999</v>
      </c>
      <c r="X2256" s="295">
        <v>1.8055570000000001</v>
      </c>
      <c r="Y2256" s="295">
        <v>1.805439</v>
      </c>
      <c r="Z2256" s="295">
        <v>1.8055060000000001</v>
      </c>
      <c r="AA2256" s="295">
        <v>1.7930459999999999</v>
      </c>
      <c r="AB2256" s="295">
        <v>1.7905660000000001</v>
      </c>
      <c r="AC2256" s="295">
        <v>1.7912999999999999</v>
      </c>
      <c r="AD2256" s="295">
        <v>1.788813</v>
      </c>
      <c r="AE2256" s="295">
        <v>1.785466</v>
      </c>
      <c r="AF2256" s="295">
        <v>1.7867500000000001</v>
      </c>
      <c r="AG2256" s="295">
        <v>1.7877940000000001</v>
      </c>
      <c r="AH2256" s="296">
        <v>-3.1159999999999998E-3</v>
      </c>
    </row>
    <row r="2257" spans="1:34" ht="15" customHeight="1" x14ac:dyDescent="0.2">
      <c r="A2257" s="213" t="s">
        <v>2664</v>
      </c>
      <c r="B2257" s="204" t="s">
        <v>2665</v>
      </c>
      <c r="C2257" s="299">
        <v>41.025345000000002</v>
      </c>
      <c r="D2257" s="299">
        <v>40.567528000000003</v>
      </c>
      <c r="E2257" s="299">
        <v>41.284587999999999</v>
      </c>
      <c r="F2257" s="299">
        <v>40.478340000000003</v>
      </c>
      <c r="G2257" s="299">
        <v>39.962066999999998</v>
      </c>
      <c r="H2257" s="299">
        <v>39.306415999999999</v>
      </c>
      <c r="I2257" s="299">
        <v>38.802731000000001</v>
      </c>
      <c r="J2257" s="299">
        <v>38.529240000000001</v>
      </c>
      <c r="K2257" s="299">
        <v>37.834952999999999</v>
      </c>
      <c r="L2257" s="299">
        <v>37.628269000000003</v>
      </c>
      <c r="M2257" s="299">
        <v>37.316276999999999</v>
      </c>
      <c r="N2257" s="299">
        <v>37.466194000000002</v>
      </c>
      <c r="O2257" s="299">
        <v>37.298672000000003</v>
      </c>
      <c r="P2257" s="299">
        <v>37.301479</v>
      </c>
      <c r="Q2257" s="299">
        <v>37.287140000000001</v>
      </c>
      <c r="R2257" s="299">
        <v>37.261279999999999</v>
      </c>
      <c r="S2257" s="299">
        <v>37.322330000000001</v>
      </c>
      <c r="T2257" s="299">
        <v>37.440437000000003</v>
      </c>
      <c r="U2257" s="299">
        <v>37.983046999999999</v>
      </c>
      <c r="V2257" s="299">
        <v>38.021687</v>
      </c>
      <c r="W2257" s="299">
        <v>38.113608999999997</v>
      </c>
      <c r="X2257" s="299">
        <v>38.148209000000001</v>
      </c>
      <c r="Y2257" s="299">
        <v>38.328938000000001</v>
      </c>
      <c r="Z2257" s="299">
        <v>38.536296999999998</v>
      </c>
      <c r="AA2257" s="299">
        <v>38.403556999999999</v>
      </c>
      <c r="AB2257" s="299">
        <v>38.697539999999996</v>
      </c>
      <c r="AC2257" s="299">
        <v>38.893580999999998</v>
      </c>
      <c r="AD2257" s="299">
        <v>38.885666000000001</v>
      </c>
      <c r="AE2257" s="299">
        <v>38.836039999999997</v>
      </c>
      <c r="AF2257" s="299">
        <v>38.977325</v>
      </c>
      <c r="AG2257" s="299">
        <v>39.089722000000002</v>
      </c>
      <c r="AH2257" s="206">
        <v>-1.6100000000000001E-3</v>
      </c>
    </row>
    <row r="2258" spans="1:34" ht="15" customHeight="1" x14ac:dyDescent="0.25">
      <c r="A2258" s="213" t="s">
        <v>2666</v>
      </c>
      <c r="B2258" s="294" t="s">
        <v>2667</v>
      </c>
      <c r="C2258" s="297">
        <v>91.639801000000006</v>
      </c>
      <c r="D2258" s="297">
        <v>82.175629000000001</v>
      </c>
      <c r="E2258" s="297">
        <v>77.791466</v>
      </c>
      <c r="F2258" s="297">
        <v>72.467635999999999</v>
      </c>
      <c r="G2258" s="297">
        <v>71.235175999999996</v>
      </c>
      <c r="H2258" s="297">
        <v>70.567595999999995</v>
      </c>
      <c r="I2258" s="297">
        <v>70.279465000000002</v>
      </c>
      <c r="J2258" s="297">
        <v>70.152717999999993</v>
      </c>
      <c r="K2258" s="297">
        <v>70.268951000000001</v>
      </c>
      <c r="L2258" s="297">
        <v>70.576796999999999</v>
      </c>
      <c r="M2258" s="297">
        <v>70.990050999999994</v>
      </c>
      <c r="N2258" s="297">
        <v>71.483963000000003</v>
      </c>
      <c r="O2258" s="297">
        <v>71.925139999999999</v>
      </c>
      <c r="P2258" s="297">
        <v>72.392775999999998</v>
      </c>
      <c r="Q2258" s="297">
        <v>72.882614000000004</v>
      </c>
      <c r="R2258" s="297">
        <v>73.336769000000004</v>
      </c>
      <c r="S2258" s="297">
        <v>73.870079000000004</v>
      </c>
      <c r="T2258" s="297">
        <v>74.488479999999996</v>
      </c>
      <c r="U2258" s="297">
        <v>74.945510999999996</v>
      </c>
      <c r="V2258" s="297">
        <v>74.592742999999999</v>
      </c>
      <c r="W2258" s="297">
        <v>75.165169000000006</v>
      </c>
      <c r="X2258" s="297">
        <v>75.374733000000006</v>
      </c>
      <c r="Y2258" s="297">
        <v>75.869591</v>
      </c>
      <c r="Z2258" s="297">
        <v>76.379615999999999</v>
      </c>
      <c r="AA2258" s="297">
        <v>76.863677999999993</v>
      </c>
      <c r="AB2258" s="297">
        <v>77.261932000000002</v>
      </c>
      <c r="AC2258" s="297">
        <v>77.692406000000005</v>
      </c>
      <c r="AD2258" s="297">
        <v>78.205726999999996</v>
      </c>
      <c r="AE2258" s="297">
        <v>78.740607999999995</v>
      </c>
      <c r="AF2258" s="297">
        <v>79.630332999999993</v>
      </c>
      <c r="AG2258" s="297">
        <v>80.014106999999996</v>
      </c>
      <c r="AH2258" s="296">
        <v>-4.5120000000000004E-3</v>
      </c>
    </row>
    <row r="2261" spans="1:34" ht="15" customHeight="1" x14ac:dyDescent="0.2">
      <c r="B2261" s="204" t="s">
        <v>2650</v>
      </c>
    </row>
    <row r="2262" spans="1:34" ht="15" customHeight="1" x14ac:dyDescent="0.25">
      <c r="A2262" s="213" t="s">
        <v>2668</v>
      </c>
      <c r="B2262" s="294" t="s">
        <v>2669</v>
      </c>
      <c r="C2262" s="297">
        <v>34.055869999999999</v>
      </c>
      <c r="D2262" s="297">
        <v>31.286180000000002</v>
      </c>
      <c r="E2262" s="297">
        <v>32.819794000000002</v>
      </c>
      <c r="F2262" s="297">
        <v>32.913657999999998</v>
      </c>
      <c r="G2262" s="297">
        <v>32.710788999999998</v>
      </c>
      <c r="H2262" s="297">
        <v>33.123511999999998</v>
      </c>
      <c r="I2262" s="297">
        <v>33.579151000000003</v>
      </c>
      <c r="J2262" s="297">
        <v>34.542541999999997</v>
      </c>
      <c r="K2262" s="297">
        <v>34.784222</v>
      </c>
      <c r="L2262" s="297">
        <v>35.261043999999998</v>
      </c>
      <c r="M2262" s="297">
        <v>35.838721999999997</v>
      </c>
      <c r="N2262" s="297">
        <v>37.151797999999999</v>
      </c>
      <c r="O2262" s="297">
        <v>38.206744999999998</v>
      </c>
      <c r="P2262" s="297">
        <v>38.970638000000001</v>
      </c>
      <c r="Q2262" s="297">
        <v>39.880619000000003</v>
      </c>
      <c r="R2262" s="297">
        <v>41.207703000000002</v>
      </c>
      <c r="S2262" s="297">
        <v>42.468139999999998</v>
      </c>
      <c r="T2262" s="297">
        <v>43.861404</v>
      </c>
      <c r="U2262" s="297">
        <v>46.063198</v>
      </c>
      <c r="V2262" s="297">
        <v>47.004474999999999</v>
      </c>
      <c r="W2262" s="297">
        <v>48.716704999999997</v>
      </c>
      <c r="X2262" s="297">
        <v>49.873725999999998</v>
      </c>
      <c r="Y2262" s="297">
        <v>51.389744</v>
      </c>
      <c r="Z2262" s="297">
        <v>53.148730999999998</v>
      </c>
      <c r="AA2262" s="297">
        <v>54.480266999999998</v>
      </c>
      <c r="AB2262" s="297">
        <v>56.869892</v>
      </c>
      <c r="AC2262" s="297">
        <v>58.985591999999997</v>
      </c>
      <c r="AD2262" s="297">
        <v>60.888396999999998</v>
      </c>
      <c r="AE2262" s="297">
        <v>62.737811999999998</v>
      </c>
      <c r="AF2262" s="297">
        <v>65.293396000000001</v>
      </c>
      <c r="AG2262" s="297">
        <v>67.714241000000001</v>
      </c>
      <c r="AH2262" s="296">
        <v>2.3174E-2</v>
      </c>
    </row>
    <row r="2263" spans="1:34" ht="15" customHeight="1" x14ac:dyDescent="0.25">
      <c r="A2263" s="213" t="s">
        <v>2670</v>
      </c>
      <c r="B2263" s="294" t="s">
        <v>1724</v>
      </c>
      <c r="C2263" s="295">
        <v>1.6765049999999999</v>
      </c>
      <c r="D2263" s="295">
        <v>1.5448820000000001</v>
      </c>
      <c r="E2263" s="295">
        <v>1.6038060000000001</v>
      </c>
      <c r="F2263" s="295">
        <v>1.5953580000000001</v>
      </c>
      <c r="G2263" s="295">
        <v>1.589035</v>
      </c>
      <c r="H2263" s="295">
        <v>1.606349</v>
      </c>
      <c r="I2263" s="295">
        <v>1.6333569999999999</v>
      </c>
      <c r="J2263" s="295">
        <v>1.6807840000000001</v>
      </c>
      <c r="K2263" s="295">
        <v>1.700769</v>
      </c>
      <c r="L2263" s="295">
        <v>1.7322439999999999</v>
      </c>
      <c r="M2263" s="295">
        <v>1.7663500000000001</v>
      </c>
      <c r="N2263" s="295">
        <v>1.8286899999999999</v>
      </c>
      <c r="O2263" s="295">
        <v>1.8783030000000001</v>
      </c>
      <c r="P2263" s="295">
        <v>1.9131590000000001</v>
      </c>
      <c r="Q2263" s="295">
        <v>1.9597720000000001</v>
      </c>
      <c r="R2263" s="295">
        <v>2.021722</v>
      </c>
      <c r="S2263" s="295">
        <v>2.081245</v>
      </c>
      <c r="T2263" s="295">
        <v>2.1442749999999999</v>
      </c>
      <c r="U2263" s="295">
        <v>2.2388699999999999</v>
      </c>
      <c r="V2263" s="295">
        <v>2.283436</v>
      </c>
      <c r="W2263" s="295">
        <v>2.3628459999999998</v>
      </c>
      <c r="X2263" s="295">
        <v>2.4202629999999998</v>
      </c>
      <c r="Y2263" s="295">
        <v>2.4895369999999999</v>
      </c>
      <c r="Z2263" s="295">
        <v>2.5694849999999998</v>
      </c>
      <c r="AA2263" s="295">
        <v>2.63307</v>
      </c>
      <c r="AB2263" s="295">
        <v>2.7365339999999998</v>
      </c>
      <c r="AC2263" s="295">
        <v>2.832516</v>
      </c>
      <c r="AD2263" s="295">
        <v>2.9253749999999998</v>
      </c>
      <c r="AE2263" s="295">
        <v>3.0182280000000001</v>
      </c>
      <c r="AF2263" s="295">
        <v>3.1343920000000001</v>
      </c>
      <c r="AG2263" s="295">
        <v>3.2504189999999999</v>
      </c>
      <c r="AH2263" s="296">
        <v>2.2314000000000001E-2</v>
      </c>
    </row>
    <row r="2265" spans="1:34" ht="15" customHeight="1" x14ac:dyDescent="0.2">
      <c r="B2265" s="204" t="s">
        <v>2654</v>
      </c>
    </row>
    <row r="2266" spans="1:34" ht="15" customHeight="1" x14ac:dyDescent="0.2">
      <c r="B2266" s="204" t="s">
        <v>2671</v>
      </c>
    </row>
    <row r="2267" spans="1:34" ht="15" customHeight="1" x14ac:dyDescent="0.25">
      <c r="A2267" s="213" t="s">
        <v>2672</v>
      </c>
      <c r="B2267" s="294" t="s">
        <v>2636</v>
      </c>
      <c r="C2267" s="297">
        <v>71.787307999999996</v>
      </c>
      <c r="D2267" s="297">
        <v>70.808220000000006</v>
      </c>
      <c r="E2267" s="297">
        <v>72.489295999999996</v>
      </c>
      <c r="F2267" s="297">
        <v>71.706328999999997</v>
      </c>
      <c r="G2267" s="297">
        <v>72.972999999999999</v>
      </c>
      <c r="H2267" s="297">
        <v>74.434578000000002</v>
      </c>
      <c r="I2267" s="297">
        <v>76.107383999999996</v>
      </c>
      <c r="J2267" s="297">
        <v>77.878174000000001</v>
      </c>
      <c r="K2267" s="297">
        <v>79.850837999999996</v>
      </c>
      <c r="L2267" s="297">
        <v>81.905356999999995</v>
      </c>
      <c r="M2267" s="297">
        <v>83.996253999999993</v>
      </c>
      <c r="N2267" s="297">
        <v>85.989142999999999</v>
      </c>
      <c r="O2267" s="297">
        <v>88.047866999999997</v>
      </c>
      <c r="P2267" s="297">
        <v>89.911102</v>
      </c>
      <c r="Q2267" s="297">
        <v>91.690085999999994</v>
      </c>
      <c r="R2267" s="297">
        <v>93.498924000000002</v>
      </c>
      <c r="S2267" s="297">
        <v>95.354836000000006</v>
      </c>
      <c r="T2267" s="297">
        <v>97.133887999999999</v>
      </c>
      <c r="U2267" s="297">
        <v>98.969170000000005</v>
      </c>
      <c r="V2267" s="297">
        <v>100.701134</v>
      </c>
      <c r="W2267" s="297">
        <v>102.615875</v>
      </c>
      <c r="X2267" s="297">
        <v>104.531311</v>
      </c>
      <c r="Y2267" s="297">
        <v>106.540359</v>
      </c>
      <c r="Z2267" s="297">
        <v>108.693916</v>
      </c>
      <c r="AA2267" s="297">
        <v>110.902008</v>
      </c>
      <c r="AB2267" s="297">
        <v>113.170456</v>
      </c>
      <c r="AC2267" s="297">
        <v>115.838516</v>
      </c>
      <c r="AD2267" s="297">
        <v>118.56755800000001</v>
      </c>
      <c r="AE2267" s="297">
        <v>121.31358299999999</v>
      </c>
      <c r="AF2267" s="297">
        <v>124.39059399999999</v>
      </c>
      <c r="AG2267" s="297">
        <v>127.592735</v>
      </c>
      <c r="AH2267" s="296">
        <v>1.9356000000000002E-2</v>
      </c>
    </row>
    <row r="2268" spans="1:34" ht="15" customHeight="1" x14ac:dyDescent="0.25">
      <c r="A2268" s="213" t="s">
        <v>2673</v>
      </c>
      <c r="B2268" s="294" t="s">
        <v>2638</v>
      </c>
      <c r="C2268" s="297">
        <v>114.339417</v>
      </c>
      <c r="D2268" s="297">
        <v>103.507431</v>
      </c>
      <c r="E2268" s="297">
        <v>97.576576000000003</v>
      </c>
      <c r="F2268" s="297">
        <v>94.832047000000003</v>
      </c>
      <c r="G2268" s="297">
        <v>93.935492999999994</v>
      </c>
      <c r="H2268" s="297">
        <v>94.729515000000006</v>
      </c>
      <c r="I2268" s="297">
        <v>95.708793999999997</v>
      </c>
      <c r="J2268" s="297">
        <v>97.756698999999998</v>
      </c>
      <c r="K2268" s="297">
        <v>100.53961200000001</v>
      </c>
      <c r="L2268" s="297">
        <v>103.969139</v>
      </c>
      <c r="M2268" s="297">
        <v>107.752792</v>
      </c>
      <c r="N2268" s="297">
        <v>111.70465900000001</v>
      </c>
      <c r="O2268" s="297">
        <v>115.60573599999999</v>
      </c>
      <c r="P2268" s="297">
        <v>119.464783</v>
      </c>
      <c r="Q2268" s="297">
        <v>123.418541</v>
      </c>
      <c r="R2268" s="297">
        <v>127.465378</v>
      </c>
      <c r="S2268" s="297">
        <v>131.517044</v>
      </c>
      <c r="T2268" s="297">
        <v>135.67486600000001</v>
      </c>
      <c r="U2268" s="297">
        <v>140.03564499999999</v>
      </c>
      <c r="V2268" s="297">
        <v>144.363617</v>
      </c>
      <c r="W2268" s="297">
        <v>148.85534699999999</v>
      </c>
      <c r="X2268" s="297">
        <v>153.62210099999999</v>
      </c>
      <c r="Y2268" s="297">
        <v>158.706177</v>
      </c>
      <c r="Z2268" s="297">
        <v>164.18220500000001</v>
      </c>
      <c r="AA2268" s="297">
        <v>169.75027499999999</v>
      </c>
      <c r="AB2268" s="297">
        <v>175.75344799999999</v>
      </c>
      <c r="AC2268" s="297">
        <v>182.27212499999999</v>
      </c>
      <c r="AD2268" s="297">
        <v>189.14601099999999</v>
      </c>
      <c r="AE2268" s="297">
        <v>196.43414300000001</v>
      </c>
      <c r="AF2268" s="297">
        <v>204.25514200000001</v>
      </c>
      <c r="AG2268" s="297">
        <v>212.70225500000001</v>
      </c>
      <c r="AH2268" s="296">
        <v>2.0906000000000001E-2</v>
      </c>
    </row>
    <row r="2269" spans="1:34" ht="15" customHeight="1" x14ac:dyDescent="0.25">
      <c r="A2269" s="213" t="s">
        <v>2674</v>
      </c>
      <c r="B2269" s="294" t="s">
        <v>2640</v>
      </c>
      <c r="C2269" s="297">
        <v>53.738692999999998</v>
      </c>
      <c r="D2269" s="297">
        <v>55.094337000000003</v>
      </c>
      <c r="E2269" s="297">
        <v>57.364207999999998</v>
      </c>
      <c r="F2269" s="297">
        <v>57.895004</v>
      </c>
      <c r="G2269" s="297">
        <v>58.932217000000001</v>
      </c>
      <c r="H2269" s="297">
        <v>60.301246999999996</v>
      </c>
      <c r="I2269" s="297">
        <v>61.593811000000002</v>
      </c>
      <c r="J2269" s="297">
        <v>62.932720000000003</v>
      </c>
      <c r="K2269" s="297">
        <v>64.431381000000002</v>
      </c>
      <c r="L2269" s="297">
        <v>66.076240999999996</v>
      </c>
      <c r="M2269" s="297">
        <v>67.749229</v>
      </c>
      <c r="N2269" s="297">
        <v>69.492064999999997</v>
      </c>
      <c r="O2269" s="297">
        <v>70.862328000000005</v>
      </c>
      <c r="P2269" s="297">
        <v>72.566231000000002</v>
      </c>
      <c r="Q2269" s="297">
        <v>74.221457999999998</v>
      </c>
      <c r="R2269" s="297">
        <v>76.036224000000004</v>
      </c>
      <c r="S2269" s="297">
        <v>77.553505000000001</v>
      </c>
      <c r="T2269" s="297">
        <v>79.235564999999994</v>
      </c>
      <c r="U2269" s="297">
        <v>81.162223999999995</v>
      </c>
      <c r="V2269" s="297">
        <v>83.022605999999996</v>
      </c>
      <c r="W2269" s="297">
        <v>85.169937000000004</v>
      </c>
      <c r="X2269" s="297">
        <v>87.242035000000001</v>
      </c>
      <c r="Y2269" s="297">
        <v>89.147675000000007</v>
      </c>
      <c r="Z2269" s="297">
        <v>91.108863999999997</v>
      </c>
      <c r="AA2269" s="297">
        <v>93.130393999999995</v>
      </c>
      <c r="AB2269" s="297">
        <v>95.602699000000001</v>
      </c>
      <c r="AC2269" s="297">
        <v>98.430137999999999</v>
      </c>
      <c r="AD2269" s="297">
        <v>101.433739</v>
      </c>
      <c r="AE2269" s="297">
        <v>104.67948199999999</v>
      </c>
      <c r="AF2269" s="297">
        <v>108.119438</v>
      </c>
      <c r="AG2269" s="297">
        <v>111.79383900000001</v>
      </c>
      <c r="AH2269" s="296">
        <v>2.4718E-2</v>
      </c>
    </row>
    <row r="2270" spans="1:34" ht="15" customHeight="1" x14ac:dyDescent="0.25">
      <c r="A2270" s="213" t="s">
        <v>2675</v>
      </c>
      <c r="B2270" s="294" t="s">
        <v>362</v>
      </c>
      <c r="C2270" s="296" t="s">
        <v>635</v>
      </c>
      <c r="D2270" s="296" t="s">
        <v>635</v>
      </c>
      <c r="E2270" s="296" t="s">
        <v>635</v>
      </c>
      <c r="F2270" s="296" t="s">
        <v>635</v>
      </c>
      <c r="G2270" s="296" t="s">
        <v>635</v>
      </c>
      <c r="H2270" s="296" t="s">
        <v>635</v>
      </c>
      <c r="I2270" s="296" t="s">
        <v>635</v>
      </c>
      <c r="J2270" s="296" t="s">
        <v>635</v>
      </c>
      <c r="K2270" s="296" t="s">
        <v>635</v>
      </c>
      <c r="L2270" s="296" t="s">
        <v>635</v>
      </c>
      <c r="M2270" s="296" t="s">
        <v>635</v>
      </c>
      <c r="N2270" s="296" t="s">
        <v>635</v>
      </c>
      <c r="O2270" s="296" t="s">
        <v>635</v>
      </c>
      <c r="P2270" s="296" t="s">
        <v>635</v>
      </c>
      <c r="Q2270" s="296" t="s">
        <v>635</v>
      </c>
      <c r="R2270" s="296" t="s">
        <v>635</v>
      </c>
      <c r="S2270" s="296" t="s">
        <v>635</v>
      </c>
      <c r="T2270" s="296" t="s">
        <v>635</v>
      </c>
      <c r="U2270" s="296" t="s">
        <v>635</v>
      </c>
      <c r="V2270" s="296" t="s">
        <v>635</v>
      </c>
      <c r="W2270" s="296" t="s">
        <v>635</v>
      </c>
      <c r="X2270" s="296" t="s">
        <v>635</v>
      </c>
      <c r="Y2270" s="296" t="s">
        <v>635</v>
      </c>
      <c r="Z2270" s="296" t="s">
        <v>635</v>
      </c>
      <c r="AA2270" s="296" t="s">
        <v>635</v>
      </c>
      <c r="AB2270" s="296" t="s">
        <v>635</v>
      </c>
      <c r="AC2270" s="296" t="s">
        <v>635</v>
      </c>
      <c r="AD2270" s="296" t="s">
        <v>635</v>
      </c>
      <c r="AE2270" s="296" t="s">
        <v>635</v>
      </c>
      <c r="AF2270" s="296" t="s">
        <v>635</v>
      </c>
      <c r="AG2270" s="296" t="s">
        <v>635</v>
      </c>
      <c r="AH2270" s="296" t="s">
        <v>635</v>
      </c>
    </row>
    <row r="2271" spans="1:34" ht="15" customHeight="1" x14ac:dyDescent="0.2">
      <c r="B2271" s="204" t="s">
        <v>2646</v>
      </c>
    </row>
    <row r="2272" spans="1:34" ht="15" customHeight="1" x14ac:dyDescent="0.25">
      <c r="A2272" s="213" t="s">
        <v>2676</v>
      </c>
      <c r="B2272" s="294" t="s">
        <v>2677</v>
      </c>
      <c r="C2272" s="297">
        <v>37.233589000000002</v>
      </c>
      <c r="D2272" s="297">
        <v>38.479351000000001</v>
      </c>
      <c r="E2272" s="297">
        <v>39.908805999999998</v>
      </c>
      <c r="F2272" s="297">
        <v>38.949145999999999</v>
      </c>
      <c r="G2272" s="297">
        <v>38.808056000000001</v>
      </c>
      <c r="H2272" s="297">
        <v>38.559662000000003</v>
      </c>
      <c r="I2272" s="297">
        <v>39.044356999999998</v>
      </c>
      <c r="J2272" s="297">
        <v>39.667999000000002</v>
      </c>
      <c r="K2272" s="297">
        <v>39.983173000000001</v>
      </c>
      <c r="L2272" s="297">
        <v>40.870491000000001</v>
      </c>
      <c r="M2272" s="297">
        <v>41.439877000000003</v>
      </c>
      <c r="N2272" s="297">
        <v>42.568409000000003</v>
      </c>
      <c r="O2272" s="297">
        <v>43.309607999999997</v>
      </c>
      <c r="P2272" s="297">
        <v>44.312545999999998</v>
      </c>
      <c r="Q2272" s="297">
        <v>45.242984999999997</v>
      </c>
      <c r="R2272" s="297">
        <v>46.016154999999998</v>
      </c>
      <c r="S2272" s="297">
        <v>47.064838000000002</v>
      </c>
      <c r="T2272" s="297">
        <v>48.092692999999997</v>
      </c>
      <c r="U2272" s="297">
        <v>49.683548000000002</v>
      </c>
      <c r="V2272" s="297">
        <v>50.624366999999999</v>
      </c>
      <c r="W2272" s="297">
        <v>51.792965000000002</v>
      </c>
      <c r="X2272" s="297">
        <v>52.829281000000002</v>
      </c>
      <c r="Y2272" s="297">
        <v>54.102283</v>
      </c>
      <c r="Z2272" s="297">
        <v>55.445903999999999</v>
      </c>
      <c r="AA2272" s="297">
        <v>56.393616000000002</v>
      </c>
      <c r="AB2272" s="297">
        <v>57.990482</v>
      </c>
      <c r="AC2272" s="297">
        <v>59.700054000000002</v>
      </c>
      <c r="AD2272" s="297">
        <v>61.176406999999998</v>
      </c>
      <c r="AE2272" s="297">
        <v>62.652382000000003</v>
      </c>
      <c r="AF2272" s="297">
        <v>64.619392000000005</v>
      </c>
      <c r="AG2272" s="297">
        <v>66.485625999999996</v>
      </c>
      <c r="AH2272" s="296">
        <v>1.9514E-2</v>
      </c>
    </row>
    <row r="2273" spans="1:34" ht="15" customHeight="1" x14ac:dyDescent="0.25">
      <c r="A2273" s="213" t="s">
        <v>2678</v>
      </c>
      <c r="B2273" s="294" t="s">
        <v>2679</v>
      </c>
      <c r="C2273" s="295">
        <v>1.9632609999999999</v>
      </c>
      <c r="D2273" s="295">
        <v>2.0121150000000001</v>
      </c>
      <c r="E2273" s="295">
        <v>2.0682290000000001</v>
      </c>
      <c r="F2273" s="295">
        <v>2.019965</v>
      </c>
      <c r="G2273" s="295">
        <v>2.0346150000000001</v>
      </c>
      <c r="H2273" s="295">
        <v>2.036772</v>
      </c>
      <c r="I2273" s="295">
        <v>2.0671729999999999</v>
      </c>
      <c r="J2273" s="295">
        <v>2.1063879999999999</v>
      </c>
      <c r="K2273" s="295">
        <v>2.134655</v>
      </c>
      <c r="L2273" s="295">
        <v>2.192672</v>
      </c>
      <c r="M2273" s="295">
        <v>2.2348849999999998</v>
      </c>
      <c r="N2273" s="295">
        <v>2.2953229999999998</v>
      </c>
      <c r="O2273" s="295">
        <v>2.3353069999999998</v>
      </c>
      <c r="P2273" s="295">
        <v>2.3811279999999999</v>
      </c>
      <c r="Q2273" s="295">
        <v>2.4342429999999999</v>
      </c>
      <c r="R2273" s="295">
        <v>2.4771480000000001</v>
      </c>
      <c r="S2273" s="295">
        <v>2.5268190000000001</v>
      </c>
      <c r="T2273" s="295">
        <v>2.5770870000000001</v>
      </c>
      <c r="U2273" s="295">
        <v>2.6476660000000001</v>
      </c>
      <c r="V2273" s="295">
        <v>2.691961</v>
      </c>
      <c r="W2273" s="295">
        <v>2.748564</v>
      </c>
      <c r="X2273" s="295">
        <v>2.8048790000000001</v>
      </c>
      <c r="Y2273" s="295">
        <v>2.8663500000000002</v>
      </c>
      <c r="Z2273" s="295">
        <v>2.932194</v>
      </c>
      <c r="AA2273" s="295">
        <v>2.9814560000000001</v>
      </c>
      <c r="AB2273" s="295">
        <v>3.0506790000000001</v>
      </c>
      <c r="AC2273" s="295">
        <v>3.1311939999999998</v>
      </c>
      <c r="AD2273" s="295">
        <v>3.2108789999999998</v>
      </c>
      <c r="AE2273" s="295">
        <v>3.293377</v>
      </c>
      <c r="AF2273" s="295">
        <v>3.3895249999999999</v>
      </c>
      <c r="AG2273" s="295">
        <v>3.4910009999999998</v>
      </c>
      <c r="AH2273" s="296">
        <v>1.9370999999999999E-2</v>
      </c>
    </row>
    <row r="2274" spans="1:34" ht="15" customHeight="1" x14ac:dyDescent="0.2">
      <c r="A2274" s="213" t="s">
        <v>2680</v>
      </c>
      <c r="B2274" s="204" t="s">
        <v>2665</v>
      </c>
      <c r="C2274" s="299">
        <v>41.025345000000002</v>
      </c>
      <c r="D2274" s="299">
        <v>40.995415000000001</v>
      </c>
      <c r="E2274" s="299">
        <v>42.208629999999999</v>
      </c>
      <c r="F2274" s="299">
        <v>41.946475999999997</v>
      </c>
      <c r="G2274" s="299">
        <v>42.107177999999998</v>
      </c>
      <c r="H2274" s="299">
        <v>42.279198000000001</v>
      </c>
      <c r="I2274" s="299">
        <v>42.731093999999999</v>
      </c>
      <c r="J2274" s="299">
        <v>43.507565</v>
      </c>
      <c r="K2274" s="299">
        <v>43.848903999999997</v>
      </c>
      <c r="L2274" s="299">
        <v>44.758614000000001</v>
      </c>
      <c r="M2274" s="299">
        <v>45.536681999999999</v>
      </c>
      <c r="N2274" s="299">
        <v>46.865391000000002</v>
      </c>
      <c r="O2274" s="299">
        <v>47.787334000000001</v>
      </c>
      <c r="P2274" s="299">
        <v>48.906536000000003</v>
      </c>
      <c r="Q2274" s="299">
        <v>49.986987999999997</v>
      </c>
      <c r="R2274" s="299">
        <v>51.054279000000001</v>
      </c>
      <c r="S2274" s="299">
        <v>52.240893999999997</v>
      </c>
      <c r="T2274" s="299">
        <v>53.507576</v>
      </c>
      <c r="U2274" s="299">
        <v>55.421947000000003</v>
      </c>
      <c r="V2274" s="299">
        <v>56.626099000000004</v>
      </c>
      <c r="W2274" s="299">
        <v>57.963909000000001</v>
      </c>
      <c r="X2274" s="299">
        <v>59.262112000000002</v>
      </c>
      <c r="Y2274" s="299">
        <v>60.851771999999997</v>
      </c>
      <c r="Z2274" s="299">
        <v>62.584086999999997</v>
      </c>
      <c r="AA2274" s="299">
        <v>63.856991000000001</v>
      </c>
      <c r="AB2274" s="299">
        <v>65.931006999999994</v>
      </c>
      <c r="AC2274" s="299">
        <v>67.986023000000003</v>
      </c>
      <c r="AD2274" s="299">
        <v>69.798903999999993</v>
      </c>
      <c r="AE2274" s="299">
        <v>71.634917999999999</v>
      </c>
      <c r="AF2274" s="299">
        <v>73.941283999999996</v>
      </c>
      <c r="AG2274" s="299">
        <v>76.329955999999996</v>
      </c>
      <c r="AH2274" s="206">
        <v>2.0910999999999999E-2</v>
      </c>
    </row>
    <row r="2275" spans="1:34" ht="15" customHeight="1" x14ac:dyDescent="0.25">
      <c r="A2275" s="213" t="s">
        <v>2681</v>
      </c>
      <c r="B2275" s="294" t="s">
        <v>2667</v>
      </c>
      <c r="C2275" s="297">
        <v>91.639801000000006</v>
      </c>
      <c r="D2275" s="297">
        <v>83.042381000000006</v>
      </c>
      <c r="E2275" s="297">
        <v>79.532616000000004</v>
      </c>
      <c r="F2275" s="297">
        <v>75.096007999999998</v>
      </c>
      <c r="G2275" s="297">
        <v>75.058982999999998</v>
      </c>
      <c r="H2275" s="297">
        <v>75.904685999999998</v>
      </c>
      <c r="I2275" s="297">
        <v>77.394515999999996</v>
      </c>
      <c r="J2275" s="297">
        <v>79.217078999999998</v>
      </c>
      <c r="K2275" s="297">
        <v>81.438354000000004</v>
      </c>
      <c r="L2275" s="297">
        <v>83.950699</v>
      </c>
      <c r="M2275" s="297">
        <v>86.628456</v>
      </c>
      <c r="N2275" s="297">
        <v>89.417243999999997</v>
      </c>
      <c r="O2275" s="297">
        <v>92.151031000000003</v>
      </c>
      <c r="P2275" s="297">
        <v>94.915267999999998</v>
      </c>
      <c r="Q2275" s="297">
        <v>97.706138999999993</v>
      </c>
      <c r="R2275" s="297">
        <v>100.48382599999999</v>
      </c>
      <c r="S2275" s="297">
        <v>103.397583</v>
      </c>
      <c r="T2275" s="297">
        <v>106.454369</v>
      </c>
      <c r="U2275" s="297">
        <v>109.354736</v>
      </c>
      <c r="V2275" s="297">
        <v>111.091759</v>
      </c>
      <c r="W2275" s="297">
        <v>114.312637</v>
      </c>
      <c r="X2275" s="297">
        <v>117.092415</v>
      </c>
      <c r="Y2275" s="297">
        <v>120.45204200000001</v>
      </c>
      <c r="Z2275" s="297">
        <v>124.042755</v>
      </c>
      <c r="AA2275" s="297">
        <v>127.808044</v>
      </c>
      <c r="AB2275" s="297">
        <v>131.63514699999999</v>
      </c>
      <c r="AC2275" s="297">
        <v>135.80641199999999</v>
      </c>
      <c r="AD2275" s="297">
        <v>140.377533</v>
      </c>
      <c r="AE2275" s="297">
        <v>145.24079900000001</v>
      </c>
      <c r="AF2275" s="297">
        <v>151.06140099999999</v>
      </c>
      <c r="AG2275" s="297">
        <v>156.242447</v>
      </c>
      <c r="AH2275" s="296">
        <v>1.7944000000000002E-2</v>
      </c>
    </row>
    <row r="2276" spans="1:34" ht="15" customHeight="1" thickBot="1" x14ac:dyDescent="0.25"/>
    <row r="2277" spans="1:34" ht="15" customHeight="1" x14ac:dyDescent="0.2">
      <c r="B2277" s="305" t="s">
        <v>2682</v>
      </c>
      <c r="C2277" s="305"/>
      <c r="D2277" s="305"/>
      <c r="E2277" s="305"/>
      <c r="F2277" s="305"/>
      <c r="G2277" s="305"/>
      <c r="H2277" s="305"/>
      <c r="I2277" s="305"/>
      <c r="J2277" s="305"/>
      <c r="K2277" s="305"/>
      <c r="L2277" s="305"/>
      <c r="M2277" s="305"/>
      <c r="N2277" s="305"/>
      <c r="O2277" s="305"/>
      <c r="P2277" s="305"/>
      <c r="Q2277" s="305"/>
      <c r="R2277" s="305"/>
      <c r="S2277" s="305"/>
      <c r="T2277" s="305"/>
      <c r="U2277" s="305"/>
      <c r="V2277" s="305"/>
      <c r="W2277" s="305"/>
      <c r="X2277" s="305"/>
      <c r="Y2277" s="305"/>
      <c r="Z2277" s="305"/>
      <c r="AA2277" s="305"/>
      <c r="AB2277" s="305"/>
      <c r="AC2277" s="305"/>
      <c r="AD2277" s="305"/>
      <c r="AE2277" s="305"/>
      <c r="AF2277" s="305"/>
      <c r="AG2277" s="305"/>
      <c r="AH2277" s="305"/>
    </row>
    <row r="2278" spans="1:34" ht="15" customHeight="1" x14ac:dyDescent="0.2">
      <c r="B2278" s="208" t="s">
        <v>2683</v>
      </c>
    </row>
    <row r="2279" spans="1:34" ht="15" customHeight="1" x14ac:dyDescent="0.2">
      <c r="B2279" s="208" t="s">
        <v>2684</v>
      </c>
    </row>
    <row r="2280" spans="1:34" ht="15" customHeight="1" x14ac:dyDescent="0.2">
      <c r="B2280" s="208" t="s">
        <v>2685</v>
      </c>
    </row>
    <row r="2281" spans="1:34" ht="15" customHeight="1" x14ac:dyDescent="0.2">
      <c r="B2281" s="208" t="s">
        <v>2686</v>
      </c>
    </row>
    <row r="2282" spans="1:34" ht="15" customHeight="1" x14ac:dyDescent="0.2">
      <c r="B2282" s="208" t="s">
        <v>2687</v>
      </c>
    </row>
    <row r="2283" spans="1:34" ht="15" customHeight="1" x14ac:dyDescent="0.2">
      <c r="B2283" s="208" t="s">
        <v>2688</v>
      </c>
    </row>
    <row r="2284" spans="1:34" ht="15" customHeight="1" x14ac:dyDescent="0.2">
      <c r="B2284" s="208" t="s">
        <v>2689</v>
      </c>
    </row>
    <row r="2285" spans="1:34" ht="15" customHeight="1" x14ac:dyDescent="0.2">
      <c r="B2285" s="208" t="s">
        <v>2690</v>
      </c>
    </row>
    <row r="2286" spans="1:34" ht="15" customHeight="1" x14ac:dyDescent="0.2">
      <c r="B2286" s="208" t="s">
        <v>2691</v>
      </c>
    </row>
    <row r="2287" spans="1:34" ht="15" customHeight="1" x14ac:dyDescent="0.2">
      <c r="B2287" s="208" t="s">
        <v>209</v>
      </c>
    </row>
    <row r="2288" spans="1:34" ht="15" customHeight="1" x14ac:dyDescent="0.2">
      <c r="B2288" s="208" t="s">
        <v>2692</v>
      </c>
    </row>
    <row r="2289" spans="2:2" ht="15" customHeight="1" x14ac:dyDescent="0.2">
      <c r="B2289" s="208" t="s">
        <v>2693</v>
      </c>
    </row>
    <row r="2290" spans="2:2" ht="15" customHeight="1" x14ac:dyDescent="0.2">
      <c r="B2290" s="208" t="s">
        <v>601</v>
      </c>
    </row>
    <row r="2291" spans="2:2" ht="15" customHeight="1" x14ac:dyDescent="0.2">
      <c r="B2291" s="208" t="s">
        <v>616</v>
      </c>
    </row>
    <row r="2292" spans="2:2" ht="15" customHeight="1" x14ac:dyDescent="0.2">
      <c r="B2292" s="208" t="s">
        <v>614</v>
      </c>
    </row>
    <row r="2293" spans="2:2" ht="15" customHeight="1" x14ac:dyDescent="0.2">
      <c r="B2293" s="208" t="s">
        <v>2215</v>
      </c>
    </row>
    <row r="2294" spans="2:2" ht="15" customHeight="1" x14ac:dyDescent="0.2">
      <c r="B2294" s="208" t="s">
        <v>1979</v>
      </c>
    </row>
    <row r="2310" spans="1:34" ht="15" customHeight="1" x14ac:dyDescent="0.25">
      <c r="A2310" s="213" t="s">
        <v>2694</v>
      </c>
      <c r="B2310" s="202" t="s">
        <v>1024</v>
      </c>
      <c r="AH2310" s="292" t="s">
        <v>597</v>
      </c>
    </row>
    <row r="2311" spans="1:34" ht="15" customHeight="1" x14ac:dyDescent="0.2">
      <c r="B2311" s="199" t="s">
        <v>2695</v>
      </c>
      <c r="AH2311" s="292" t="s">
        <v>598</v>
      </c>
    </row>
    <row r="2312" spans="1:34" ht="15" customHeight="1" x14ac:dyDescent="0.2">
      <c r="B2312" s="199" t="s">
        <v>124</v>
      </c>
      <c r="C2312" s="222" t="s">
        <v>124</v>
      </c>
      <c r="D2312" s="222" t="s">
        <v>124</v>
      </c>
      <c r="E2312" s="222" t="s">
        <v>124</v>
      </c>
      <c r="F2312" s="222" t="s">
        <v>124</v>
      </c>
      <c r="G2312" s="222" t="s">
        <v>124</v>
      </c>
      <c r="H2312" s="222" t="s">
        <v>124</v>
      </c>
      <c r="I2312" s="222" t="s">
        <v>124</v>
      </c>
      <c r="J2312" s="222" t="s">
        <v>124</v>
      </c>
      <c r="K2312" s="222" t="s">
        <v>124</v>
      </c>
      <c r="L2312" s="222" t="s">
        <v>124</v>
      </c>
      <c r="M2312" s="222" t="s">
        <v>124</v>
      </c>
      <c r="N2312" s="222" t="s">
        <v>124</v>
      </c>
      <c r="O2312" s="222" t="s">
        <v>124</v>
      </c>
      <c r="P2312" s="222" t="s">
        <v>124</v>
      </c>
      <c r="Q2312" s="222" t="s">
        <v>124</v>
      </c>
      <c r="R2312" s="222" t="s">
        <v>124</v>
      </c>
      <c r="S2312" s="222" t="s">
        <v>124</v>
      </c>
      <c r="T2312" s="222" t="s">
        <v>124</v>
      </c>
      <c r="U2312" s="222" t="s">
        <v>124</v>
      </c>
      <c r="V2312" s="222" t="s">
        <v>124</v>
      </c>
      <c r="W2312" s="222" t="s">
        <v>124</v>
      </c>
      <c r="X2312" s="222" t="s">
        <v>124</v>
      </c>
      <c r="Y2312" s="222" t="s">
        <v>124</v>
      </c>
      <c r="Z2312" s="222" t="s">
        <v>124</v>
      </c>
      <c r="AA2312" s="222" t="s">
        <v>124</v>
      </c>
      <c r="AB2312" s="222" t="s">
        <v>124</v>
      </c>
      <c r="AC2312" s="222" t="s">
        <v>124</v>
      </c>
      <c r="AD2312" s="222" t="s">
        <v>124</v>
      </c>
      <c r="AE2312" s="222" t="s">
        <v>124</v>
      </c>
      <c r="AF2312" s="222" t="s">
        <v>124</v>
      </c>
      <c r="AG2312" s="222" t="s">
        <v>124</v>
      </c>
      <c r="AH2312" s="292" t="s">
        <v>599</v>
      </c>
    </row>
    <row r="2313" spans="1:34" ht="15" customHeight="1" thickBot="1" x14ac:dyDescent="0.25">
      <c r="B2313" s="200" t="s">
        <v>2696</v>
      </c>
      <c r="C2313" s="200">
        <v>2020</v>
      </c>
      <c r="D2313" s="200">
        <v>2021</v>
      </c>
      <c r="E2313" s="200">
        <v>2022</v>
      </c>
      <c r="F2313" s="200">
        <v>2023</v>
      </c>
      <c r="G2313" s="200">
        <v>2024</v>
      </c>
      <c r="H2313" s="200">
        <v>2025</v>
      </c>
      <c r="I2313" s="200">
        <v>2026</v>
      </c>
      <c r="J2313" s="200">
        <v>2027</v>
      </c>
      <c r="K2313" s="200">
        <v>2028</v>
      </c>
      <c r="L2313" s="200">
        <v>2029</v>
      </c>
      <c r="M2313" s="200">
        <v>2030</v>
      </c>
      <c r="N2313" s="200">
        <v>2031</v>
      </c>
      <c r="O2313" s="200">
        <v>2032</v>
      </c>
      <c r="P2313" s="200">
        <v>2033</v>
      </c>
      <c r="Q2313" s="200">
        <v>2034</v>
      </c>
      <c r="R2313" s="200">
        <v>2035</v>
      </c>
      <c r="S2313" s="200">
        <v>2036</v>
      </c>
      <c r="T2313" s="200">
        <v>2037</v>
      </c>
      <c r="U2313" s="200">
        <v>2038</v>
      </c>
      <c r="V2313" s="200">
        <v>2039</v>
      </c>
      <c r="W2313" s="200">
        <v>2040</v>
      </c>
      <c r="X2313" s="200">
        <v>2041</v>
      </c>
      <c r="Y2313" s="200">
        <v>2042</v>
      </c>
      <c r="Z2313" s="200">
        <v>2043</v>
      </c>
      <c r="AA2313" s="200">
        <v>2044</v>
      </c>
      <c r="AB2313" s="200">
        <v>2045</v>
      </c>
      <c r="AC2313" s="200">
        <v>2046</v>
      </c>
      <c r="AD2313" s="200">
        <v>2047</v>
      </c>
      <c r="AE2313" s="200">
        <v>2048</v>
      </c>
      <c r="AF2313" s="200">
        <v>2049</v>
      </c>
      <c r="AG2313" s="200">
        <v>2050</v>
      </c>
      <c r="AH2313" s="293" t="s">
        <v>600</v>
      </c>
    </row>
    <row r="2314" spans="1:34" ht="15" customHeight="1" thickTop="1" x14ac:dyDescent="0.2"/>
    <row r="2315" spans="1:34" ht="15" customHeight="1" x14ac:dyDescent="0.2">
      <c r="B2315" s="204" t="s">
        <v>1984</v>
      </c>
    </row>
    <row r="2316" spans="1:34" ht="15" customHeight="1" x14ac:dyDescent="0.2">
      <c r="B2316" s="204" t="s">
        <v>2697</v>
      </c>
    </row>
    <row r="2317" spans="1:34" ht="15" customHeight="1" x14ac:dyDescent="0.25">
      <c r="A2317" s="213" t="s">
        <v>2698</v>
      </c>
      <c r="B2317" s="294" t="s">
        <v>138</v>
      </c>
      <c r="C2317" s="298">
        <v>79.197906000000003</v>
      </c>
      <c r="D2317" s="298">
        <v>79.297707000000003</v>
      </c>
      <c r="E2317" s="298">
        <v>79.317008999999999</v>
      </c>
      <c r="F2317" s="298">
        <v>79.294212000000002</v>
      </c>
      <c r="G2317" s="298">
        <v>79.342476000000005</v>
      </c>
      <c r="H2317" s="298">
        <v>79.337975</v>
      </c>
      <c r="I2317" s="298">
        <v>79.337975</v>
      </c>
      <c r="J2317" s="298">
        <v>79.337975</v>
      </c>
      <c r="K2317" s="298">
        <v>79.322174000000004</v>
      </c>
      <c r="L2317" s="298">
        <v>79.322174000000004</v>
      </c>
      <c r="M2317" s="298">
        <v>79.322174000000004</v>
      </c>
      <c r="N2317" s="298">
        <v>79.322174000000004</v>
      </c>
      <c r="O2317" s="298">
        <v>79.322174000000004</v>
      </c>
      <c r="P2317" s="298">
        <v>79.322174000000004</v>
      </c>
      <c r="Q2317" s="298">
        <v>79.322174000000004</v>
      </c>
      <c r="R2317" s="298">
        <v>79.322174000000004</v>
      </c>
      <c r="S2317" s="298">
        <v>79.322174000000004</v>
      </c>
      <c r="T2317" s="298">
        <v>79.322174000000004</v>
      </c>
      <c r="U2317" s="298">
        <v>79.322174000000004</v>
      </c>
      <c r="V2317" s="298">
        <v>79.322174000000004</v>
      </c>
      <c r="W2317" s="298">
        <v>79.322174000000004</v>
      </c>
      <c r="X2317" s="298">
        <v>79.322174000000004</v>
      </c>
      <c r="Y2317" s="298">
        <v>79.322174000000004</v>
      </c>
      <c r="Z2317" s="298">
        <v>79.322174000000004</v>
      </c>
      <c r="AA2317" s="298">
        <v>79.322174000000004</v>
      </c>
      <c r="AB2317" s="298">
        <v>79.322174000000004</v>
      </c>
      <c r="AC2317" s="298">
        <v>79.322174000000004</v>
      </c>
      <c r="AD2317" s="298">
        <v>79.322174000000004</v>
      </c>
      <c r="AE2317" s="298">
        <v>79.322174000000004</v>
      </c>
      <c r="AF2317" s="298">
        <v>79.322174000000004</v>
      </c>
      <c r="AG2317" s="298">
        <v>79.322174000000004</v>
      </c>
      <c r="AH2317" s="296">
        <v>5.1999999999999997E-5</v>
      </c>
    </row>
    <row r="2318" spans="1:34" ht="15" customHeight="1" x14ac:dyDescent="0.25">
      <c r="A2318" s="213" t="s">
        <v>2699</v>
      </c>
      <c r="B2318" s="294" t="s">
        <v>2700</v>
      </c>
      <c r="C2318" s="298">
        <v>2.4630000000000001</v>
      </c>
      <c r="D2318" s="298">
        <v>2.5049999999999999</v>
      </c>
      <c r="E2318" s="298">
        <v>2.5049999999999999</v>
      </c>
      <c r="F2318" s="298">
        <v>2.5049999999999999</v>
      </c>
      <c r="G2318" s="298">
        <v>2.6352090000000001</v>
      </c>
      <c r="H2318" s="298">
        <v>2.785209</v>
      </c>
      <c r="I2318" s="298">
        <v>2.9216690000000001</v>
      </c>
      <c r="J2318" s="298">
        <v>3.0680160000000001</v>
      </c>
      <c r="K2318" s="298">
        <v>3.2851880000000002</v>
      </c>
      <c r="L2318" s="298">
        <v>3.4568669999999999</v>
      </c>
      <c r="M2318" s="298">
        <v>3.6349830000000001</v>
      </c>
      <c r="N2318" s="298">
        <v>3.7984290000000001</v>
      </c>
      <c r="O2318" s="298">
        <v>3.9346329999999998</v>
      </c>
      <c r="P2318" s="298">
        <v>4.1067980000000004</v>
      </c>
      <c r="Q2318" s="298">
        <v>4.2665249999999997</v>
      </c>
      <c r="R2318" s="298">
        <v>4.4721000000000002</v>
      </c>
      <c r="S2318" s="298">
        <v>4.6760650000000004</v>
      </c>
      <c r="T2318" s="298">
        <v>4.8880970000000001</v>
      </c>
      <c r="U2318" s="298">
        <v>5.0760350000000001</v>
      </c>
      <c r="V2318" s="298">
        <v>5.2637859999999996</v>
      </c>
      <c r="W2318" s="298">
        <v>5.4325679999999998</v>
      </c>
      <c r="X2318" s="298">
        <v>5.5818149999999997</v>
      </c>
      <c r="Y2318" s="298">
        <v>5.7202859999999998</v>
      </c>
      <c r="Z2318" s="298">
        <v>5.831874</v>
      </c>
      <c r="AA2318" s="298">
        <v>5.977468</v>
      </c>
      <c r="AB2318" s="298">
        <v>6.118074</v>
      </c>
      <c r="AC2318" s="298">
        <v>6.2771749999999997</v>
      </c>
      <c r="AD2318" s="298">
        <v>6.4097720000000002</v>
      </c>
      <c r="AE2318" s="298">
        <v>6.5367730000000002</v>
      </c>
      <c r="AF2318" s="298">
        <v>6.625534</v>
      </c>
      <c r="AG2318" s="298">
        <v>6.7255229999999999</v>
      </c>
      <c r="AH2318" s="296">
        <v>3.4050999999999998E-2</v>
      </c>
    </row>
    <row r="2319" spans="1:34" ht="15" customHeight="1" x14ac:dyDescent="0.25">
      <c r="A2319" s="213" t="s">
        <v>2701</v>
      </c>
      <c r="B2319" s="294" t="s">
        <v>2702</v>
      </c>
      <c r="C2319" s="298">
        <v>3.4816009999999999</v>
      </c>
      <c r="D2319" s="298">
        <v>3.5825939999999998</v>
      </c>
      <c r="E2319" s="298">
        <v>3.5855939999999999</v>
      </c>
      <c r="F2319" s="298">
        <v>3.7178279999999999</v>
      </c>
      <c r="G2319" s="298">
        <v>3.883858</v>
      </c>
      <c r="H2319" s="298">
        <v>4.0378379999999998</v>
      </c>
      <c r="I2319" s="298">
        <v>4.1572060000000004</v>
      </c>
      <c r="J2319" s="298">
        <v>4.2824059999999999</v>
      </c>
      <c r="K2319" s="298">
        <v>4.3715719999999996</v>
      </c>
      <c r="L2319" s="298">
        <v>4.4979250000000004</v>
      </c>
      <c r="M2319" s="298">
        <v>4.6277470000000003</v>
      </c>
      <c r="N2319" s="298">
        <v>4.7620009999999997</v>
      </c>
      <c r="O2319" s="298">
        <v>4.8814479999999998</v>
      </c>
      <c r="P2319" s="298">
        <v>5.0113570000000003</v>
      </c>
      <c r="Q2319" s="298">
        <v>5.150436</v>
      </c>
      <c r="R2319" s="298">
        <v>5.2931999999999997</v>
      </c>
      <c r="S2319" s="298">
        <v>5.4410809999999996</v>
      </c>
      <c r="T2319" s="298">
        <v>5.5900030000000003</v>
      </c>
      <c r="U2319" s="298">
        <v>5.6997960000000001</v>
      </c>
      <c r="V2319" s="298">
        <v>5.8095299999999996</v>
      </c>
      <c r="W2319" s="298">
        <v>5.9221019999999998</v>
      </c>
      <c r="X2319" s="298">
        <v>6.0379360000000002</v>
      </c>
      <c r="Y2319" s="298">
        <v>6.157146</v>
      </c>
      <c r="Z2319" s="298">
        <v>6.2781650000000004</v>
      </c>
      <c r="AA2319" s="298">
        <v>6.3615370000000002</v>
      </c>
      <c r="AB2319" s="298">
        <v>6.4468389999999998</v>
      </c>
      <c r="AC2319" s="298">
        <v>6.5327320000000002</v>
      </c>
      <c r="AD2319" s="298">
        <v>6.61836</v>
      </c>
      <c r="AE2319" s="298">
        <v>6.7040290000000002</v>
      </c>
      <c r="AF2319" s="298">
        <v>6.7907039999999999</v>
      </c>
      <c r="AG2319" s="298">
        <v>6.8350330000000001</v>
      </c>
      <c r="AH2319" s="296">
        <v>2.274E-2</v>
      </c>
    </row>
    <row r="2320" spans="1:34" ht="15" customHeight="1" x14ac:dyDescent="0.25">
      <c r="A2320" s="213" t="s">
        <v>2703</v>
      </c>
      <c r="B2320" s="294" t="s">
        <v>2704</v>
      </c>
      <c r="C2320" s="298">
        <v>2.998901</v>
      </c>
      <c r="D2320" s="298">
        <v>3.0009009999999998</v>
      </c>
      <c r="E2320" s="298">
        <v>3.0441009999999999</v>
      </c>
      <c r="F2320" s="298">
        <v>3.0631010000000001</v>
      </c>
      <c r="G2320" s="298">
        <v>3.0471010000000001</v>
      </c>
      <c r="H2320" s="298">
        <v>3.0471010000000001</v>
      </c>
      <c r="I2320" s="298">
        <v>3.0471010000000001</v>
      </c>
      <c r="J2320" s="298">
        <v>3.0471010000000001</v>
      </c>
      <c r="K2320" s="298">
        <v>2.894101</v>
      </c>
      <c r="L2320" s="298">
        <v>2.894101</v>
      </c>
      <c r="M2320" s="298">
        <v>2.894101</v>
      </c>
      <c r="N2320" s="298">
        <v>2.894101</v>
      </c>
      <c r="O2320" s="298">
        <v>2.894101</v>
      </c>
      <c r="P2320" s="298">
        <v>2.894101</v>
      </c>
      <c r="Q2320" s="298">
        <v>2.894101</v>
      </c>
      <c r="R2320" s="298">
        <v>2.894101</v>
      </c>
      <c r="S2320" s="298">
        <v>2.894101</v>
      </c>
      <c r="T2320" s="298">
        <v>2.894101</v>
      </c>
      <c r="U2320" s="298">
        <v>2.894101</v>
      </c>
      <c r="V2320" s="298">
        <v>2.894101</v>
      </c>
      <c r="W2320" s="298">
        <v>2.894101</v>
      </c>
      <c r="X2320" s="298">
        <v>2.894101</v>
      </c>
      <c r="Y2320" s="298">
        <v>2.894101</v>
      </c>
      <c r="Z2320" s="298">
        <v>2.894101</v>
      </c>
      <c r="AA2320" s="298">
        <v>2.894101</v>
      </c>
      <c r="AB2320" s="298">
        <v>2.894101</v>
      </c>
      <c r="AC2320" s="298">
        <v>2.894101</v>
      </c>
      <c r="AD2320" s="298">
        <v>2.894101</v>
      </c>
      <c r="AE2320" s="298">
        <v>2.894101</v>
      </c>
      <c r="AF2320" s="298">
        <v>2.894101</v>
      </c>
      <c r="AG2320" s="298">
        <v>2.899467</v>
      </c>
      <c r="AH2320" s="296">
        <v>-1.1230000000000001E-3</v>
      </c>
    </row>
    <row r="2321" spans="1:34" ht="15" customHeight="1" x14ac:dyDescent="0.25">
      <c r="A2321" s="213" t="s">
        <v>2705</v>
      </c>
      <c r="B2321" s="294" t="s">
        <v>2706</v>
      </c>
      <c r="C2321" s="298">
        <v>1.7581</v>
      </c>
      <c r="D2321" s="298">
        <v>1.7581</v>
      </c>
      <c r="E2321" s="298">
        <v>1.7581</v>
      </c>
      <c r="F2321" s="298">
        <v>1.7581</v>
      </c>
      <c r="G2321" s="298">
        <v>1.7581</v>
      </c>
      <c r="H2321" s="298">
        <v>1.7581</v>
      </c>
      <c r="I2321" s="298">
        <v>1.7581</v>
      </c>
      <c r="J2321" s="298">
        <v>1.7581</v>
      </c>
      <c r="K2321" s="298">
        <v>1.7581</v>
      </c>
      <c r="L2321" s="298">
        <v>1.7581</v>
      </c>
      <c r="M2321" s="298">
        <v>1.7581</v>
      </c>
      <c r="N2321" s="298">
        <v>1.7581</v>
      </c>
      <c r="O2321" s="298">
        <v>1.7581</v>
      </c>
      <c r="P2321" s="298">
        <v>1.7581</v>
      </c>
      <c r="Q2321" s="298">
        <v>1.7581</v>
      </c>
      <c r="R2321" s="298">
        <v>1.7581</v>
      </c>
      <c r="S2321" s="298">
        <v>1.7581</v>
      </c>
      <c r="T2321" s="298">
        <v>1.7581</v>
      </c>
      <c r="U2321" s="298">
        <v>1.7581</v>
      </c>
      <c r="V2321" s="298">
        <v>1.7581</v>
      </c>
      <c r="W2321" s="298">
        <v>1.7581</v>
      </c>
      <c r="X2321" s="298">
        <v>1.7581</v>
      </c>
      <c r="Y2321" s="298">
        <v>1.7581</v>
      </c>
      <c r="Z2321" s="298">
        <v>1.7581</v>
      </c>
      <c r="AA2321" s="298">
        <v>1.7581</v>
      </c>
      <c r="AB2321" s="298">
        <v>1.7581</v>
      </c>
      <c r="AC2321" s="298">
        <v>1.7581</v>
      </c>
      <c r="AD2321" s="298">
        <v>1.7581</v>
      </c>
      <c r="AE2321" s="298">
        <v>1.7581</v>
      </c>
      <c r="AF2321" s="298">
        <v>1.7581</v>
      </c>
      <c r="AG2321" s="298">
        <v>1.7581</v>
      </c>
      <c r="AH2321" s="296">
        <v>0</v>
      </c>
    </row>
    <row r="2322" spans="1:34" ht="15" customHeight="1" x14ac:dyDescent="0.25">
      <c r="A2322" s="213" t="s">
        <v>2707</v>
      </c>
      <c r="B2322" s="294" t="s">
        <v>2708</v>
      </c>
      <c r="C2322" s="298">
        <v>48.478703000000003</v>
      </c>
      <c r="D2322" s="298">
        <v>60.402000000000001</v>
      </c>
      <c r="E2322" s="298">
        <v>76.383865</v>
      </c>
      <c r="F2322" s="298">
        <v>82.125450000000001</v>
      </c>
      <c r="G2322" s="298">
        <v>92.365059000000002</v>
      </c>
      <c r="H2322" s="298">
        <v>110.376076</v>
      </c>
      <c r="I2322" s="298">
        <v>130.40846300000001</v>
      </c>
      <c r="J2322" s="298">
        <v>145.93447900000001</v>
      </c>
      <c r="K2322" s="298">
        <v>153.220001</v>
      </c>
      <c r="L2322" s="298">
        <v>167.44570899999999</v>
      </c>
      <c r="M2322" s="298">
        <v>175.407501</v>
      </c>
      <c r="N2322" s="298">
        <v>183.329376</v>
      </c>
      <c r="O2322" s="298">
        <v>193.93334999999999</v>
      </c>
      <c r="P2322" s="298">
        <v>203.878525</v>
      </c>
      <c r="Q2322" s="298">
        <v>210.899506</v>
      </c>
      <c r="R2322" s="298">
        <v>220.88748200000001</v>
      </c>
      <c r="S2322" s="298">
        <v>227.83917199999999</v>
      </c>
      <c r="T2322" s="298">
        <v>235.37974500000001</v>
      </c>
      <c r="U2322" s="298">
        <v>243.797211</v>
      </c>
      <c r="V2322" s="298">
        <v>248.54934700000001</v>
      </c>
      <c r="W2322" s="298">
        <v>253.78439299999999</v>
      </c>
      <c r="X2322" s="298">
        <v>263.97317500000003</v>
      </c>
      <c r="Y2322" s="298">
        <v>269.73730499999999</v>
      </c>
      <c r="Z2322" s="298">
        <v>276.528076</v>
      </c>
      <c r="AA2322" s="298">
        <v>284.56835899999999</v>
      </c>
      <c r="AB2322" s="298">
        <v>296.57647700000001</v>
      </c>
      <c r="AC2322" s="298">
        <v>310.17352299999999</v>
      </c>
      <c r="AD2322" s="298">
        <v>324.42993200000001</v>
      </c>
      <c r="AE2322" s="298">
        <v>332.30090300000001</v>
      </c>
      <c r="AF2322" s="298">
        <v>342.27633700000001</v>
      </c>
      <c r="AG2322" s="298">
        <v>351.26238999999998</v>
      </c>
      <c r="AH2322" s="296">
        <v>6.8240999999999996E-2</v>
      </c>
    </row>
    <row r="2323" spans="1:34" ht="15" customHeight="1" x14ac:dyDescent="0.25">
      <c r="A2323" s="213" t="s">
        <v>2709</v>
      </c>
      <c r="B2323" s="294" t="s">
        <v>2710</v>
      </c>
      <c r="C2323" s="298">
        <v>126.500595</v>
      </c>
      <c r="D2323" s="298">
        <v>134.07240300000001</v>
      </c>
      <c r="E2323" s="298">
        <v>136.60929899999999</v>
      </c>
      <c r="F2323" s="298">
        <v>163.074219</v>
      </c>
      <c r="G2323" s="298">
        <v>196.155396</v>
      </c>
      <c r="H2323" s="298">
        <v>196.46838399999999</v>
      </c>
      <c r="I2323" s="298">
        <v>197.182434</v>
      </c>
      <c r="J2323" s="298">
        <v>198.149292</v>
      </c>
      <c r="K2323" s="298">
        <v>198.74606299999999</v>
      </c>
      <c r="L2323" s="298">
        <v>199.17981</v>
      </c>
      <c r="M2323" s="298">
        <v>199.52477999999999</v>
      </c>
      <c r="N2323" s="298">
        <v>200.084442</v>
      </c>
      <c r="O2323" s="298">
        <v>200.77960200000001</v>
      </c>
      <c r="P2323" s="298">
        <v>201.38983200000001</v>
      </c>
      <c r="Q2323" s="298">
        <v>201.90237400000001</v>
      </c>
      <c r="R2323" s="298">
        <v>202.41445899999999</v>
      </c>
      <c r="S2323" s="298">
        <v>202.759827</v>
      </c>
      <c r="T2323" s="298">
        <v>202.98123200000001</v>
      </c>
      <c r="U2323" s="298">
        <v>203.766998</v>
      </c>
      <c r="V2323" s="298">
        <v>203.95251500000001</v>
      </c>
      <c r="W2323" s="298">
        <v>204.529999</v>
      </c>
      <c r="X2323" s="298">
        <v>205.209442</v>
      </c>
      <c r="Y2323" s="298">
        <v>205.32733200000001</v>
      </c>
      <c r="Z2323" s="298">
        <v>205.95929000000001</v>
      </c>
      <c r="AA2323" s="298">
        <v>207.37939499999999</v>
      </c>
      <c r="AB2323" s="298">
        <v>209.13473500000001</v>
      </c>
      <c r="AC2323" s="298">
        <v>210.29690600000001</v>
      </c>
      <c r="AD2323" s="298">
        <v>211.97622699999999</v>
      </c>
      <c r="AE2323" s="298">
        <v>212.20462000000001</v>
      </c>
      <c r="AF2323" s="298">
        <v>214.35385099999999</v>
      </c>
      <c r="AG2323" s="298">
        <v>217.01608300000001</v>
      </c>
      <c r="AH2323" s="296">
        <v>1.8154E-2</v>
      </c>
    </row>
    <row r="2324" spans="1:34" ht="15" customHeight="1" x14ac:dyDescent="0.25">
      <c r="A2324" s="213" t="s">
        <v>2711</v>
      </c>
      <c r="B2324" s="294" t="s">
        <v>2712</v>
      </c>
      <c r="C2324" s="298">
        <v>2.93E-2</v>
      </c>
      <c r="D2324" s="298">
        <v>4.1300000000000003E-2</v>
      </c>
      <c r="E2324" s="298">
        <v>0.4824</v>
      </c>
      <c r="F2324" s="298">
        <v>0.88239999999999996</v>
      </c>
      <c r="G2324" s="298">
        <v>0.88239999999999996</v>
      </c>
      <c r="H2324" s="298">
        <v>0.88239999999999996</v>
      </c>
      <c r="I2324" s="298">
        <v>0.88239999999999996</v>
      </c>
      <c r="J2324" s="298">
        <v>0.88239999999999996</v>
      </c>
      <c r="K2324" s="298">
        <v>2.8824000000000001</v>
      </c>
      <c r="L2324" s="298">
        <v>2.8824000000000001</v>
      </c>
      <c r="M2324" s="298">
        <v>9.9824009999999994</v>
      </c>
      <c r="N2324" s="298">
        <v>9.9824009999999994</v>
      </c>
      <c r="O2324" s="298">
        <v>9.9824009999999994</v>
      </c>
      <c r="P2324" s="298">
        <v>9.9824009999999994</v>
      </c>
      <c r="Q2324" s="298">
        <v>15.182402</v>
      </c>
      <c r="R2324" s="298">
        <v>23.382401000000002</v>
      </c>
      <c r="S2324" s="298">
        <v>23.382401000000002</v>
      </c>
      <c r="T2324" s="298">
        <v>23.382401000000002</v>
      </c>
      <c r="U2324" s="298">
        <v>23.382401000000002</v>
      </c>
      <c r="V2324" s="298">
        <v>23.382401000000002</v>
      </c>
      <c r="W2324" s="298">
        <v>23.382401000000002</v>
      </c>
      <c r="X2324" s="298">
        <v>23.382401000000002</v>
      </c>
      <c r="Y2324" s="298">
        <v>23.382401000000002</v>
      </c>
      <c r="Z2324" s="298">
        <v>23.382401000000002</v>
      </c>
      <c r="AA2324" s="298">
        <v>23.382401000000002</v>
      </c>
      <c r="AB2324" s="298">
        <v>23.382401000000002</v>
      </c>
      <c r="AC2324" s="298">
        <v>23.382401000000002</v>
      </c>
      <c r="AD2324" s="298">
        <v>23.382401000000002</v>
      </c>
      <c r="AE2324" s="298">
        <v>23.382401000000002</v>
      </c>
      <c r="AF2324" s="298">
        <v>23.382401000000002</v>
      </c>
      <c r="AG2324" s="298">
        <v>23.382401000000002</v>
      </c>
      <c r="AH2324" s="296">
        <v>0.24949399999999999</v>
      </c>
    </row>
    <row r="2325" spans="1:34" ht="15" customHeight="1" x14ac:dyDescent="0.2">
      <c r="A2325" s="213" t="s">
        <v>2713</v>
      </c>
      <c r="B2325" s="204" t="s">
        <v>2714</v>
      </c>
      <c r="C2325" s="300">
        <v>264.90808099999998</v>
      </c>
      <c r="D2325" s="300">
        <v>284.66000400000001</v>
      </c>
      <c r="E2325" s="300">
        <v>303.68533300000001</v>
      </c>
      <c r="F2325" s="300">
        <v>336.42028800000003</v>
      </c>
      <c r="G2325" s="300">
        <v>380.06957999999997</v>
      </c>
      <c r="H2325" s="300">
        <v>398.693085</v>
      </c>
      <c r="I2325" s="300">
        <v>419.69534299999998</v>
      </c>
      <c r="J2325" s="300">
        <v>436.45977800000003</v>
      </c>
      <c r="K2325" s="300">
        <v>446.47958399999999</v>
      </c>
      <c r="L2325" s="300">
        <v>461.437073</v>
      </c>
      <c r="M2325" s="300">
        <v>477.15176400000001</v>
      </c>
      <c r="N2325" s="300">
        <v>485.93103000000002</v>
      </c>
      <c r="O2325" s="300">
        <v>497.48580900000002</v>
      </c>
      <c r="P2325" s="300">
        <v>508.34329200000002</v>
      </c>
      <c r="Q2325" s="300">
        <v>521.37561000000005</v>
      </c>
      <c r="R2325" s="300">
        <v>540.42401099999995</v>
      </c>
      <c r="S2325" s="300">
        <v>548.07293700000002</v>
      </c>
      <c r="T2325" s="300">
        <v>556.19586200000003</v>
      </c>
      <c r="U2325" s="300">
        <v>565.69683799999996</v>
      </c>
      <c r="V2325" s="300">
        <v>570.93194600000004</v>
      </c>
      <c r="W2325" s="300">
        <v>577.02581799999996</v>
      </c>
      <c r="X2325" s="300">
        <v>588.15911900000003</v>
      </c>
      <c r="Y2325" s="300">
        <v>594.29882799999996</v>
      </c>
      <c r="Z2325" s="300">
        <v>601.95416299999999</v>
      </c>
      <c r="AA2325" s="300">
        <v>611.64349400000003</v>
      </c>
      <c r="AB2325" s="300">
        <v>625.63287400000002</v>
      </c>
      <c r="AC2325" s="300">
        <v>640.63714600000003</v>
      </c>
      <c r="AD2325" s="300">
        <v>656.79107699999997</v>
      </c>
      <c r="AE2325" s="300">
        <v>665.10308799999996</v>
      </c>
      <c r="AF2325" s="300">
        <v>677.40319799999997</v>
      </c>
      <c r="AG2325" s="300">
        <v>689.20117200000004</v>
      </c>
      <c r="AH2325" s="206">
        <v>3.2384999999999997E-2</v>
      </c>
    </row>
    <row r="2327" spans="1:34" ht="15" customHeight="1" x14ac:dyDescent="0.2">
      <c r="B2327" s="204" t="s">
        <v>2715</v>
      </c>
    </row>
    <row r="2328" spans="1:34" ht="15" customHeight="1" x14ac:dyDescent="0.25">
      <c r="A2328" s="213" t="s">
        <v>2716</v>
      </c>
      <c r="B2328" s="294" t="s">
        <v>138</v>
      </c>
      <c r="C2328" s="298">
        <v>281.94189499999999</v>
      </c>
      <c r="D2328" s="298">
        <v>280.25683600000002</v>
      </c>
      <c r="E2328" s="298">
        <v>286.901611</v>
      </c>
      <c r="F2328" s="298">
        <v>294.25500499999998</v>
      </c>
      <c r="G2328" s="298">
        <v>294.51132200000001</v>
      </c>
      <c r="H2328" s="298">
        <v>294.04620399999999</v>
      </c>
      <c r="I2328" s="298">
        <v>294.13836700000002</v>
      </c>
      <c r="J2328" s="298">
        <v>294.15460200000001</v>
      </c>
      <c r="K2328" s="298">
        <v>294.12368800000002</v>
      </c>
      <c r="L2328" s="298">
        <v>294.10424799999998</v>
      </c>
      <c r="M2328" s="298">
        <v>294.024719</v>
      </c>
      <c r="N2328" s="298">
        <v>293.84027099999997</v>
      </c>
      <c r="O2328" s="298">
        <v>293.62939499999999</v>
      </c>
      <c r="P2328" s="298">
        <v>293.60351600000001</v>
      </c>
      <c r="Q2328" s="298">
        <v>293.54666099999997</v>
      </c>
      <c r="R2328" s="298">
        <v>293.55343599999998</v>
      </c>
      <c r="S2328" s="298">
        <v>293.56500199999999</v>
      </c>
      <c r="T2328" s="298">
        <v>293.53741500000001</v>
      </c>
      <c r="U2328" s="298">
        <v>293.39315800000003</v>
      </c>
      <c r="V2328" s="298">
        <v>293.334656</v>
      </c>
      <c r="W2328" s="298">
        <v>293.16754200000003</v>
      </c>
      <c r="X2328" s="298">
        <v>293.09350599999999</v>
      </c>
      <c r="Y2328" s="298">
        <v>292.979218</v>
      </c>
      <c r="Z2328" s="298">
        <v>292.95187399999998</v>
      </c>
      <c r="AA2328" s="298">
        <v>292.44305400000002</v>
      </c>
      <c r="AB2328" s="298">
        <v>292.59585600000003</v>
      </c>
      <c r="AC2328" s="298">
        <v>292.57513399999999</v>
      </c>
      <c r="AD2328" s="298">
        <v>292.529877</v>
      </c>
      <c r="AE2328" s="298">
        <v>292.66052200000001</v>
      </c>
      <c r="AF2328" s="298">
        <v>292.45419299999998</v>
      </c>
      <c r="AG2328" s="298">
        <v>292.316101</v>
      </c>
      <c r="AH2328" s="296">
        <v>1.2049999999999999E-3</v>
      </c>
    </row>
    <row r="2329" spans="1:34" ht="15" customHeight="1" x14ac:dyDescent="0.25">
      <c r="A2329" s="213" t="s">
        <v>2717</v>
      </c>
      <c r="B2329" s="294" t="s">
        <v>2700</v>
      </c>
      <c r="C2329" s="298">
        <v>15.628645000000001</v>
      </c>
      <c r="D2329" s="298">
        <v>15.463341</v>
      </c>
      <c r="E2329" s="298">
        <v>16.069365000000001</v>
      </c>
      <c r="F2329" s="298">
        <v>16.299558999999999</v>
      </c>
      <c r="G2329" s="298">
        <v>17.356881999999999</v>
      </c>
      <c r="H2329" s="298">
        <v>18.556474999999999</v>
      </c>
      <c r="I2329" s="298">
        <v>19.612358</v>
      </c>
      <c r="J2329" s="298">
        <v>20.756208000000001</v>
      </c>
      <c r="K2329" s="298">
        <v>22.475203</v>
      </c>
      <c r="L2329" s="298">
        <v>23.854721000000001</v>
      </c>
      <c r="M2329" s="298">
        <v>25.270481</v>
      </c>
      <c r="N2329" s="298">
        <v>26.569673999999999</v>
      </c>
      <c r="O2329" s="298">
        <v>27.631900999999999</v>
      </c>
      <c r="P2329" s="298">
        <v>28.996521000000001</v>
      </c>
      <c r="Q2329" s="298">
        <v>30.280927999999999</v>
      </c>
      <c r="R2329" s="298">
        <v>31.891850999999999</v>
      </c>
      <c r="S2329" s="298">
        <v>33.505341000000001</v>
      </c>
      <c r="T2329" s="298">
        <v>35.183242999999997</v>
      </c>
      <c r="U2329" s="298">
        <v>36.690818999999998</v>
      </c>
      <c r="V2329" s="298">
        <v>38.159981000000002</v>
      </c>
      <c r="W2329" s="298">
        <v>39.512225999999998</v>
      </c>
      <c r="X2329" s="298">
        <v>40.698101000000001</v>
      </c>
      <c r="Y2329" s="298">
        <v>41.779651999999999</v>
      </c>
      <c r="Z2329" s="298">
        <v>42.647438000000001</v>
      </c>
      <c r="AA2329" s="298">
        <v>43.823417999999997</v>
      </c>
      <c r="AB2329" s="298">
        <v>44.941166000000003</v>
      </c>
      <c r="AC2329" s="298">
        <v>46.210101999999999</v>
      </c>
      <c r="AD2329" s="298">
        <v>47.245280999999999</v>
      </c>
      <c r="AE2329" s="298">
        <v>48.274250000000002</v>
      </c>
      <c r="AF2329" s="298">
        <v>48.979464999999998</v>
      </c>
      <c r="AG2329" s="298">
        <v>49.777045999999999</v>
      </c>
      <c r="AH2329" s="296">
        <v>3.9370000000000002E-2</v>
      </c>
    </row>
    <row r="2330" spans="1:34" ht="15" customHeight="1" x14ac:dyDescent="0.25">
      <c r="A2330" s="213" t="s">
        <v>2718</v>
      </c>
      <c r="B2330" s="294" t="s">
        <v>2719</v>
      </c>
      <c r="C2330" s="298">
        <v>18.228128000000002</v>
      </c>
      <c r="D2330" s="298">
        <v>19.161155999999998</v>
      </c>
      <c r="E2330" s="298">
        <v>19.361439000000001</v>
      </c>
      <c r="F2330" s="298">
        <v>20.395861</v>
      </c>
      <c r="G2330" s="298">
        <v>21.79063</v>
      </c>
      <c r="H2330" s="298">
        <v>22.948457999999999</v>
      </c>
      <c r="I2330" s="298">
        <v>24.144401999999999</v>
      </c>
      <c r="J2330" s="298">
        <v>25.215429</v>
      </c>
      <c r="K2330" s="298">
        <v>26.087729</v>
      </c>
      <c r="L2330" s="298">
        <v>27.284659999999999</v>
      </c>
      <c r="M2330" s="298">
        <v>28.526857</v>
      </c>
      <c r="N2330" s="298">
        <v>29.714701000000002</v>
      </c>
      <c r="O2330" s="298">
        <v>30.628757</v>
      </c>
      <c r="P2330" s="298">
        <v>31.943622999999999</v>
      </c>
      <c r="Q2330" s="298">
        <v>33.235728999999999</v>
      </c>
      <c r="R2330" s="298">
        <v>34.520511999999997</v>
      </c>
      <c r="S2330" s="298">
        <v>35.732219999999998</v>
      </c>
      <c r="T2330" s="298">
        <v>37.067886000000001</v>
      </c>
      <c r="U2330" s="298">
        <v>37.947631999999999</v>
      </c>
      <c r="V2330" s="298">
        <v>38.891438000000001</v>
      </c>
      <c r="W2330" s="298">
        <v>39.861404</v>
      </c>
      <c r="X2330" s="298">
        <v>40.904228000000003</v>
      </c>
      <c r="Y2330" s="298">
        <v>41.862957000000002</v>
      </c>
      <c r="Z2330" s="298">
        <v>43.016337999999998</v>
      </c>
      <c r="AA2330" s="298">
        <v>43.883521999999999</v>
      </c>
      <c r="AB2330" s="298">
        <v>44.665329</v>
      </c>
      <c r="AC2330" s="298">
        <v>45.655033000000003</v>
      </c>
      <c r="AD2330" s="298">
        <v>46.851624000000001</v>
      </c>
      <c r="AE2330" s="298">
        <v>47.943553999999999</v>
      </c>
      <c r="AF2330" s="298">
        <v>48.802959000000001</v>
      </c>
      <c r="AG2330" s="298">
        <v>49.078854</v>
      </c>
      <c r="AH2330" s="296">
        <v>3.3565999999999999E-2</v>
      </c>
    </row>
    <row r="2331" spans="1:34" ht="15" customHeight="1" x14ac:dyDescent="0.25">
      <c r="A2331" s="213" t="s">
        <v>2720</v>
      </c>
      <c r="B2331" s="294" t="s">
        <v>2721</v>
      </c>
      <c r="C2331" s="298">
        <v>12.319288</v>
      </c>
      <c r="D2331" s="298">
        <v>12.370377</v>
      </c>
      <c r="E2331" s="298">
        <v>12.59713</v>
      </c>
      <c r="F2331" s="298">
        <v>12.565693</v>
      </c>
      <c r="G2331" s="298">
        <v>12.570299</v>
      </c>
      <c r="H2331" s="298">
        <v>12.567693999999999</v>
      </c>
      <c r="I2331" s="298">
        <v>12.569919000000001</v>
      </c>
      <c r="J2331" s="298">
        <v>12.579243</v>
      </c>
      <c r="K2331" s="298">
        <v>12.016175</v>
      </c>
      <c r="L2331" s="298">
        <v>11.753012</v>
      </c>
      <c r="M2331" s="298">
        <v>11.887700000000001</v>
      </c>
      <c r="N2331" s="298">
        <v>11.931297000000001</v>
      </c>
      <c r="O2331" s="298">
        <v>11.803585999999999</v>
      </c>
      <c r="P2331" s="298">
        <v>12.118423</v>
      </c>
      <c r="Q2331" s="298">
        <v>12.032154</v>
      </c>
      <c r="R2331" s="298">
        <v>12.113517999999999</v>
      </c>
      <c r="S2331" s="298">
        <v>12.112394</v>
      </c>
      <c r="T2331" s="298">
        <v>12.019220000000001</v>
      </c>
      <c r="U2331" s="298">
        <v>11.991292</v>
      </c>
      <c r="V2331" s="298">
        <v>11.91245</v>
      </c>
      <c r="W2331" s="298">
        <v>11.99296</v>
      </c>
      <c r="X2331" s="298">
        <v>12.003641999999999</v>
      </c>
      <c r="Y2331" s="298">
        <v>12.003354</v>
      </c>
      <c r="Z2331" s="298">
        <v>11.920165000000001</v>
      </c>
      <c r="AA2331" s="298">
        <v>12.000178999999999</v>
      </c>
      <c r="AB2331" s="298">
        <v>12.001151</v>
      </c>
      <c r="AC2331" s="298">
        <v>11.922852000000001</v>
      </c>
      <c r="AD2331" s="298">
        <v>12.005343</v>
      </c>
      <c r="AE2331" s="298">
        <v>12.002787</v>
      </c>
      <c r="AF2331" s="298">
        <v>12.003052</v>
      </c>
      <c r="AG2331" s="298">
        <v>12.06747</v>
      </c>
      <c r="AH2331" s="296">
        <v>-6.8800000000000003E-4</v>
      </c>
    </row>
    <row r="2332" spans="1:34" ht="15" customHeight="1" x14ac:dyDescent="0.25">
      <c r="A2332" s="213" t="s">
        <v>2722</v>
      </c>
      <c r="B2332" s="294" t="s">
        <v>2723</v>
      </c>
      <c r="C2332" s="298">
        <v>12.115481000000001</v>
      </c>
      <c r="D2332" s="298">
        <v>12.149226000000001</v>
      </c>
      <c r="E2332" s="298">
        <v>12.451771000000001</v>
      </c>
      <c r="F2332" s="298">
        <v>12.437203</v>
      </c>
      <c r="G2332" s="298">
        <v>12.435642</v>
      </c>
      <c r="H2332" s="298">
        <v>12.437322</v>
      </c>
      <c r="I2332" s="298">
        <v>12.437033</v>
      </c>
      <c r="J2332" s="298">
        <v>12.443626999999999</v>
      </c>
      <c r="K2332" s="298">
        <v>11.871834</v>
      </c>
      <c r="L2332" s="298">
        <v>11.608848999999999</v>
      </c>
      <c r="M2332" s="298">
        <v>11.744802</v>
      </c>
      <c r="N2332" s="298">
        <v>11.789743</v>
      </c>
      <c r="O2332" s="298">
        <v>11.662041</v>
      </c>
      <c r="P2332" s="298">
        <v>11.976884</v>
      </c>
      <c r="Q2332" s="298">
        <v>11.890644999999999</v>
      </c>
      <c r="R2332" s="298">
        <v>11.972056</v>
      </c>
      <c r="S2332" s="298">
        <v>11.970922</v>
      </c>
      <c r="T2332" s="298">
        <v>11.878018000000001</v>
      </c>
      <c r="U2332" s="298">
        <v>11.924829000000001</v>
      </c>
      <c r="V2332" s="298">
        <v>11.775126</v>
      </c>
      <c r="W2332" s="298">
        <v>11.851660000000001</v>
      </c>
      <c r="X2332" s="298">
        <v>11.864527000000001</v>
      </c>
      <c r="Y2332" s="298">
        <v>11.864421</v>
      </c>
      <c r="Z2332" s="298">
        <v>11.781700000000001</v>
      </c>
      <c r="AA2332" s="298">
        <v>11.862069999999999</v>
      </c>
      <c r="AB2332" s="298">
        <v>11.862876999999999</v>
      </c>
      <c r="AC2332" s="298">
        <v>11.783652</v>
      </c>
      <c r="AD2332" s="298">
        <v>11.864509999999999</v>
      </c>
      <c r="AE2332" s="298">
        <v>11.86361</v>
      </c>
      <c r="AF2332" s="298">
        <v>11.863892</v>
      </c>
      <c r="AG2332" s="298">
        <v>11.928297000000001</v>
      </c>
      <c r="AH2332" s="296">
        <v>-5.1900000000000004E-4</v>
      </c>
    </row>
    <row r="2333" spans="1:34" ht="15" customHeight="1" x14ac:dyDescent="0.25">
      <c r="A2333" s="213" t="s">
        <v>2724</v>
      </c>
      <c r="B2333" s="294" t="s">
        <v>2725</v>
      </c>
      <c r="C2333" s="298">
        <v>0.20380699999999999</v>
      </c>
      <c r="D2333" s="298">
        <v>0.22115000000000001</v>
      </c>
      <c r="E2333" s="298">
        <v>0.14535899999999999</v>
      </c>
      <c r="F2333" s="298">
        <v>0.12848899999999999</v>
      </c>
      <c r="G2333" s="298">
        <v>0.134657</v>
      </c>
      <c r="H2333" s="298">
        <v>0.13037199999999999</v>
      </c>
      <c r="I2333" s="298">
        <v>0.132886</v>
      </c>
      <c r="J2333" s="298">
        <v>0.13561500000000001</v>
      </c>
      <c r="K2333" s="298">
        <v>0.144342</v>
      </c>
      <c r="L2333" s="298">
        <v>0.14416300000000001</v>
      </c>
      <c r="M2333" s="298">
        <v>0.142898</v>
      </c>
      <c r="N2333" s="298">
        <v>0.14155400000000001</v>
      </c>
      <c r="O2333" s="298">
        <v>0.141545</v>
      </c>
      <c r="P2333" s="298">
        <v>0.14154</v>
      </c>
      <c r="Q2333" s="298">
        <v>0.141509</v>
      </c>
      <c r="R2333" s="298">
        <v>0.141462</v>
      </c>
      <c r="S2333" s="298">
        <v>0.14147299999999999</v>
      </c>
      <c r="T2333" s="298">
        <v>0.14120199999999999</v>
      </c>
      <c r="U2333" s="298">
        <v>6.6463999999999995E-2</v>
      </c>
      <c r="V2333" s="298">
        <v>0.137324</v>
      </c>
      <c r="W2333" s="298">
        <v>0.14130000000000001</v>
      </c>
      <c r="X2333" s="298">
        <v>0.13911499999999999</v>
      </c>
      <c r="Y2333" s="298">
        <v>0.138932</v>
      </c>
      <c r="Z2333" s="298">
        <v>0.138465</v>
      </c>
      <c r="AA2333" s="298">
        <v>0.13810900000000001</v>
      </c>
      <c r="AB2333" s="298">
        <v>0.13827400000000001</v>
      </c>
      <c r="AC2333" s="298">
        <v>0.13919899999999999</v>
      </c>
      <c r="AD2333" s="298">
        <v>0.14083399999999999</v>
      </c>
      <c r="AE2333" s="298">
        <v>0.13917599999999999</v>
      </c>
      <c r="AF2333" s="298">
        <v>0.13916000000000001</v>
      </c>
      <c r="AG2333" s="298">
        <v>0.13917199999999999</v>
      </c>
      <c r="AH2333" s="296">
        <v>-1.2635E-2</v>
      </c>
    </row>
    <row r="2334" spans="1:34" ht="15" customHeight="1" x14ac:dyDescent="0.25">
      <c r="A2334" s="213" t="s">
        <v>2726</v>
      </c>
      <c r="B2334" s="294" t="s">
        <v>2706</v>
      </c>
      <c r="C2334" s="298">
        <v>3.278273</v>
      </c>
      <c r="D2334" s="298">
        <v>3.4841009999999999</v>
      </c>
      <c r="E2334" s="298">
        <v>3.3345760000000002</v>
      </c>
      <c r="F2334" s="298">
        <v>3.2489789999999998</v>
      </c>
      <c r="G2334" s="298">
        <v>3.2450420000000002</v>
      </c>
      <c r="H2334" s="298">
        <v>3.1600250000000001</v>
      </c>
      <c r="I2334" s="298">
        <v>3.1316000000000002</v>
      </c>
      <c r="J2334" s="298">
        <v>3.2486359999999999</v>
      </c>
      <c r="K2334" s="298">
        <v>3.1822910000000002</v>
      </c>
      <c r="L2334" s="298">
        <v>3.1221719999999999</v>
      </c>
      <c r="M2334" s="298">
        <v>3.104066</v>
      </c>
      <c r="N2334" s="298">
        <v>2.8029350000000002</v>
      </c>
      <c r="O2334" s="298">
        <v>3.0389370000000002</v>
      </c>
      <c r="P2334" s="298">
        <v>3.0757850000000002</v>
      </c>
      <c r="Q2334" s="298">
        <v>3.08094</v>
      </c>
      <c r="R2334" s="298">
        <v>2.9297330000000001</v>
      </c>
      <c r="S2334" s="298">
        <v>2.7762129999999998</v>
      </c>
      <c r="T2334" s="298">
        <v>3.0992459999999999</v>
      </c>
      <c r="U2334" s="298">
        <v>2.9992239999999999</v>
      </c>
      <c r="V2334" s="298">
        <v>2.9685440000000001</v>
      </c>
      <c r="W2334" s="298">
        <v>2.7462789999999999</v>
      </c>
      <c r="X2334" s="298">
        <v>2.7676349999999998</v>
      </c>
      <c r="Y2334" s="298">
        <v>3.0125850000000001</v>
      </c>
      <c r="Z2334" s="298">
        <v>3.2444959999999998</v>
      </c>
      <c r="AA2334" s="298">
        <v>2.7681200000000001</v>
      </c>
      <c r="AB2334" s="298">
        <v>2.6188600000000002</v>
      </c>
      <c r="AC2334" s="298">
        <v>3.110773</v>
      </c>
      <c r="AD2334" s="298">
        <v>3.1038670000000002</v>
      </c>
      <c r="AE2334" s="298">
        <v>2.7878880000000001</v>
      </c>
      <c r="AF2334" s="298">
        <v>2.8385799999999999</v>
      </c>
      <c r="AG2334" s="298">
        <v>3.1283500000000002</v>
      </c>
      <c r="AH2334" s="296">
        <v>-1.5590000000000001E-3</v>
      </c>
    </row>
    <row r="2335" spans="1:34" ht="15" customHeight="1" x14ac:dyDescent="0.25">
      <c r="A2335" s="213" t="s">
        <v>2727</v>
      </c>
      <c r="B2335" s="294" t="s">
        <v>2708</v>
      </c>
      <c r="C2335" s="298">
        <v>81.890709000000001</v>
      </c>
      <c r="D2335" s="298">
        <v>109.290344</v>
      </c>
      <c r="E2335" s="298">
        <v>139.75325000000001</v>
      </c>
      <c r="F2335" s="298">
        <v>152.89773600000001</v>
      </c>
      <c r="G2335" s="298">
        <v>176.76319899999999</v>
      </c>
      <c r="H2335" s="298">
        <v>218.16720599999999</v>
      </c>
      <c r="I2335" s="298">
        <v>269.98864700000001</v>
      </c>
      <c r="J2335" s="298">
        <v>311.41729700000002</v>
      </c>
      <c r="K2335" s="298">
        <v>333.677795</v>
      </c>
      <c r="L2335" s="298">
        <v>366.50982699999997</v>
      </c>
      <c r="M2335" s="298">
        <v>390.40521200000001</v>
      </c>
      <c r="N2335" s="298">
        <v>410.64453099999997</v>
      </c>
      <c r="O2335" s="298">
        <v>437.17764299999999</v>
      </c>
      <c r="P2335" s="298">
        <v>463.88647500000002</v>
      </c>
      <c r="Q2335" s="298">
        <v>483.69558699999999</v>
      </c>
      <c r="R2335" s="298">
        <v>508.43530299999998</v>
      </c>
      <c r="S2335" s="298">
        <v>528.48028599999998</v>
      </c>
      <c r="T2335" s="298">
        <v>547.73455799999999</v>
      </c>
      <c r="U2335" s="298">
        <v>568.61749299999997</v>
      </c>
      <c r="V2335" s="298">
        <v>582.64904799999999</v>
      </c>
      <c r="W2335" s="298">
        <v>595.67413299999998</v>
      </c>
      <c r="X2335" s="298">
        <v>618.93621800000005</v>
      </c>
      <c r="Y2335" s="298">
        <v>635.30908199999999</v>
      </c>
      <c r="Z2335" s="298">
        <v>652.73687700000005</v>
      </c>
      <c r="AA2335" s="298">
        <v>671.91430700000001</v>
      </c>
      <c r="AB2335" s="298">
        <v>698.72918700000002</v>
      </c>
      <c r="AC2335" s="298">
        <v>731.67681900000002</v>
      </c>
      <c r="AD2335" s="298">
        <v>766.19695999999999</v>
      </c>
      <c r="AE2335" s="298">
        <v>788.04351799999995</v>
      </c>
      <c r="AF2335" s="298">
        <v>810.38500999999997</v>
      </c>
      <c r="AG2335" s="298">
        <v>832.36554000000001</v>
      </c>
      <c r="AH2335" s="296">
        <v>8.0362000000000003E-2</v>
      </c>
    </row>
    <row r="2336" spans="1:34" ht="15" customHeight="1" x14ac:dyDescent="0.25">
      <c r="A2336" s="213" t="s">
        <v>2728</v>
      </c>
      <c r="B2336" s="294" t="s">
        <v>2710</v>
      </c>
      <c r="C2336" s="298">
        <v>341.96826199999998</v>
      </c>
      <c r="D2336" s="298">
        <v>401.813873</v>
      </c>
      <c r="E2336" s="298">
        <v>412.82543900000002</v>
      </c>
      <c r="F2336" s="298">
        <v>484.59835800000002</v>
      </c>
      <c r="G2336" s="298">
        <v>600.550659</v>
      </c>
      <c r="H2336" s="298">
        <v>625.75647000000004</v>
      </c>
      <c r="I2336" s="298">
        <v>628.370544</v>
      </c>
      <c r="J2336" s="298">
        <v>631.79315199999996</v>
      </c>
      <c r="K2336" s="298">
        <v>634.33691399999998</v>
      </c>
      <c r="L2336" s="298">
        <v>636.27496299999996</v>
      </c>
      <c r="M2336" s="298">
        <v>637.39288299999998</v>
      </c>
      <c r="N2336" s="298">
        <v>638.83386199999995</v>
      </c>
      <c r="O2336" s="298">
        <v>640.89434800000004</v>
      </c>
      <c r="P2336" s="298">
        <v>643.00781199999994</v>
      </c>
      <c r="Q2336" s="298">
        <v>644.86737100000005</v>
      </c>
      <c r="R2336" s="298">
        <v>646.69519000000003</v>
      </c>
      <c r="S2336" s="298">
        <v>648.213257</v>
      </c>
      <c r="T2336" s="298">
        <v>648.93896500000005</v>
      </c>
      <c r="U2336" s="298">
        <v>650.57031199999994</v>
      </c>
      <c r="V2336" s="298">
        <v>651.43487500000003</v>
      </c>
      <c r="W2336" s="298">
        <v>652.78259300000002</v>
      </c>
      <c r="X2336" s="298">
        <v>654.61663799999997</v>
      </c>
      <c r="Y2336" s="298">
        <v>653.967896</v>
      </c>
      <c r="Z2336" s="298">
        <v>656.69506799999999</v>
      </c>
      <c r="AA2336" s="298">
        <v>661.853882</v>
      </c>
      <c r="AB2336" s="298">
        <v>667.29589799999997</v>
      </c>
      <c r="AC2336" s="298">
        <v>671.37487799999997</v>
      </c>
      <c r="AD2336" s="298">
        <v>677.07275400000003</v>
      </c>
      <c r="AE2336" s="298">
        <v>679.76763900000003</v>
      </c>
      <c r="AF2336" s="298">
        <v>686.22015399999998</v>
      </c>
      <c r="AG2336" s="298">
        <v>695.13586399999997</v>
      </c>
      <c r="AH2336" s="296">
        <v>2.3928000000000001E-2</v>
      </c>
    </row>
    <row r="2337" spans="1:34" ht="15" customHeight="1" x14ac:dyDescent="0.25">
      <c r="A2337" s="213" t="s">
        <v>2729</v>
      </c>
      <c r="B2337" s="294" t="s">
        <v>2712</v>
      </c>
      <c r="C2337" s="298">
        <v>0.11166</v>
      </c>
      <c r="D2337" s="298">
        <v>0.12831300000000001</v>
      </c>
      <c r="E2337" s="298">
        <v>1.464351</v>
      </c>
      <c r="F2337" s="298">
        <v>3.0777030000000001</v>
      </c>
      <c r="G2337" s="298">
        <v>3.3921869999999998</v>
      </c>
      <c r="H2337" s="298">
        <v>3.3924829999999999</v>
      </c>
      <c r="I2337" s="298">
        <v>3.3925100000000001</v>
      </c>
      <c r="J2337" s="298">
        <v>3.3912490000000002</v>
      </c>
      <c r="K2337" s="298">
        <v>9.6721140000000005</v>
      </c>
      <c r="L2337" s="298">
        <v>11.240379000000001</v>
      </c>
      <c r="M2337" s="298">
        <v>35.214343999999997</v>
      </c>
      <c r="N2337" s="298">
        <v>41.540233999999998</v>
      </c>
      <c r="O2337" s="298">
        <v>41.527240999999997</v>
      </c>
      <c r="P2337" s="298">
        <v>41.466800999999997</v>
      </c>
      <c r="Q2337" s="298">
        <v>57.788184999999999</v>
      </c>
      <c r="R2337" s="298">
        <v>83.697120999999996</v>
      </c>
      <c r="S2337" s="298">
        <v>92.615913000000006</v>
      </c>
      <c r="T2337" s="298">
        <v>93.859527999999997</v>
      </c>
      <c r="U2337" s="298">
        <v>94.032989999999998</v>
      </c>
      <c r="V2337" s="298">
        <v>94.072540000000004</v>
      </c>
      <c r="W2337" s="298">
        <v>94.064216999999999</v>
      </c>
      <c r="X2337" s="298">
        <v>94.032432999999997</v>
      </c>
      <c r="Y2337" s="298">
        <v>94.004478000000006</v>
      </c>
      <c r="Z2337" s="298">
        <v>93.997169</v>
      </c>
      <c r="AA2337" s="298">
        <v>93.959327999999999</v>
      </c>
      <c r="AB2337" s="298">
        <v>93.939003</v>
      </c>
      <c r="AC2337" s="298">
        <v>93.949791000000005</v>
      </c>
      <c r="AD2337" s="298">
        <v>93.922484999999995</v>
      </c>
      <c r="AE2337" s="298">
        <v>93.909874000000002</v>
      </c>
      <c r="AF2337" s="298">
        <v>93.868919000000005</v>
      </c>
      <c r="AG2337" s="298">
        <v>93.782096999999993</v>
      </c>
      <c r="AH2337" s="296">
        <v>0.25162499999999999</v>
      </c>
    </row>
    <row r="2338" spans="1:34" ht="15" customHeight="1" x14ac:dyDescent="0.2">
      <c r="A2338" s="213" t="s">
        <v>2730</v>
      </c>
      <c r="B2338" s="204" t="s">
        <v>2731</v>
      </c>
      <c r="C2338" s="300">
        <v>755.36682099999996</v>
      </c>
      <c r="D2338" s="300">
        <v>841.96832300000005</v>
      </c>
      <c r="E2338" s="300">
        <v>892.30718999999999</v>
      </c>
      <c r="F2338" s="300">
        <v>987.33886700000005</v>
      </c>
      <c r="G2338" s="300">
        <v>1130.1801760000001</v>
      </c>
      <c r="H2338" s="300">
        <v>1198.594971</v>
      </c>
      <c r="I2338" s="300">
        <v>1255.348389</v>
      </c>
      <c r="J2338" s="300">
        <v>1302.5557859999999</v>
      </c>
      <c r="K2338" s="300">
        <v>1335.571899</v>
      </c>
      <c r="L2338" s="300">
        <v>1374.144043</v>
      </c>
      <c r="M2338" s="300">
        <v>1425.826172</v>
      </c>
      <c r="N2338" s="300">
        <v>1455.877563</v>
      </c>
      <c r="O2338" s="300">
        <v>1486.3317870000001</v>
      </c>
      <c r="P2338" s="300">
        <v>1518.098999</v>
      </c>
      <c r="Q2338" s="300">
        <v>1558.5275879999999</v>
      </c>
      <c r="R2338" s="300">
        <v>1613.8366699999999</v>
      </c>
      <c r="S2338" s="300">
        <v>1647.0006100000001</v>
      </c>
      <c r="T2338" s="300">
        <v>1671.4399410000001</v>
      </c>
      <c r="U2338" s="300">
        <v>1696.2429199999999</v>
      </c>
      <c r="V2338" s="300">
        <v>1713.4235839999999</v>
      </c>
      <c r="W2338" s="300">
        <v>1729.8013920000001</v>
      </c>
      <c r="X2338" s="300">
        <v>1757.05249</v>
      </c>
      <c r="Y2338" s="300">
        <v>1774.919189</v>
      </c>
      <c r="Z2338" s="300">
        <v>1797.2094729999999</v>
      </c>
      <c r="AA2338" s="300">
        <v>1822.645874</v>
      </c>
      <c r="AB2338" s="300">
        <v>1856.7863769999999</v>
      </c>
      <c r="AC2338" s="300">
        <v>1896.4754640000001</v>
      </c>
      <c r="AD2338" s="300">
        <v>1938.928101</v>
      </c>
      <c r="AE2338" s="300">
        <v>1965.3901370000001</v>
      </c>
      <c r="AF2338" s="300">
        <v>1995.552246</v>
      </c>
      <c r="AG2338" s="300">
        <v>2027.6513669999999</v>
      </c>
      <c r="AH2338" s="206">
        <v>3.3461999999999999E-2</v>
      </c>
    </row>
    <row r="2340" spans="1:34" ht="15" customHeight="1" x14ac:dyDescent="0.2">
      <c r="B2340" s="204" t="s">
        <v>2732</v>
      </c>
    </row>
    <row r="2341" spans="1:34" ht="15" customHeight="1" x14ac:dyDescent="0.2">
      <c r="B2341" s="204" t="s">
        <v>2697</v>
      </c>
    </row>
    <row r="2342" spans="1:34" ht="15" customHeight="1" x14ac:dyDescent="0.25">
      <c r="A2342" s="213" t="s">
        <v>2733</v>
      </c>
      <c r="B2342" s="294" t="s">
        <v>138</v>
      </c>
      <c r="C2342" s="298">
        <v>0.23593</v>
      </c>
      <c r="D2342" s="298">
        <v>0.23593</v>
      </c>
      <c r="E2342" s="298">
        <v>0.23593</v>
      </c>
      <c r="F2342" s="298">
        <v>0.23593</v>
      </c>
      <c r="G2342" s="298">
        <v>0.23593</v>
      </c>
      <c r="H2342" s="298">
        <v>0.23593</v>
      </c>
      <c r="I2342" s="298">
        <v>0.23593</v>
      </c>
      <c r="J2342" s="298">
        <v>0.23593</v>
      </c>
      <c r="K2342" s="298">
        <v>0.23593</v>
      </c>
      <c r="L2342" s="298">
        <v>0.23593</v>
      </c>
      <c r="M2342" s="298">
        <v>0.23593</v>
      </c>
      <c r="N2342" s="298">
        <v>0.23593</v>
      </c>
      <c r="O2342" s="298">
        <v>0.23593</v>
      </c>
      <c r="P2342" s="298">
        <v>0.23593</v>
      </c>
      <c r="Q2342" s="298">
        <v>0.23593</v>
      </c>
      <c r="R2342" s="298">
        <v>0.23593</v>
      </c>
      <c r="S2342" s="298">
        <v>0.23593</v>
      </c>
      <c r="T2342" s="298">
        <v>0.23593</v>
      </c>
      <c r="U2342" s="298">
        <v>0.23593</v>
      </c>
      <c r="V2342" s="298">
        <v>0.23593</v>
      </c>
      <c r="W2342" s="298">
        <v>0.23593</v>
      </c>
      <c r="X2342" s="298">
        <v>0.23593</v>
      </c>
      <c r="Y2342" s="298">
        <v>0.23593</v>
      </c>
      <c r="Z2342" s="298">
        <v>0.23593</v>
      </c>
      <c r="AA2342" s="298">
        <v>0.23593</v>
      </c>
      <c r="AB2342" s="298">
        <v>0.23593</v>
      </c>
      <c r="AC2342" s="298">
        <v>0.23593</v>
      </c>
      <c r="AD2342" s="298">
        <v>0.23593</v>
      </c>
      <c r="AE2342" s="298">
        <v>0.23593</v>
      </c>
      <c r="AF2342" s="298">
        <v>0.23593</v>
      </c>
      <c r="AG2342" s="298">
        <v>0.23593</v>
      </c>
      <c r="AH2342" s="296">
        <v>0</v>
      </c>
    </row>
    <row r="2343" spans="1:34" ht="15" customHeight="1" x14ac:dyDescent="0.25">
      <c r="A2343" s="213" t="s">
        <v>2734</v>
      </c>
      <c r="B2343" s="294" t="s">
        <v>2735</v>
      </c>
      <c r="C2343" s="298">
        <v>0</v>
      </c>
      <c r="D2343" s="298">
        <v>0</v>
      </c>
      <c r="E2343" s="298">
        <v>0</v>
      </c>
      <c r="F2343" s="298">
        <v>0</v>
      </c>
      <c r="G2343" s="298">
        <v>0</v>
      </c>
      <c r="H2343" s="298">
        <v>0</v>
      </c>
      <c r="I2343" s="298">
        <v>0</v>
      </c>
      <c r="J2343" s="298">
        <v>0</v>
      </c>
      <c r="K2343" s="298">
        <v>0</v>
      </c>
      <c r="L2343" s="298">
        <v>0</v>
      </c>
      <c r="M2343" s="298">
        <v>0</v>
      </c>
      <c r="N2343" s="298">
        <v>0</v>
      </c>
      <c r="O2343" s="298">
        <v>0</v>
      </c>
      <c r="P2343" s="298">
        <v>0</v>
      </c>
      <c r="Q2343" s="298">
        <v>0</v>
      </c>
      <c r="R2343" s="298">
        <v>0</v>
      </c>
      <c r="S2343" s="298">
        <v>0</v>
      </c>
      <c r="T2343" s="298">
        <v>0</v>
      </c>
      <c r="U2343" s="298">
        <v>0</v>
      </c>
      <c r="V2343" s="298">
        <v>0</v>
      </c>
      <c r="W2343" s="298">
        <v>0</v>
      </c>
      <c r="X2343" s="298">
        <v>0</v>
      </c>
      <c r="Y2343" s="298">
        <v>0</v>
      </c>
      <c r="Z2343" s="298">
        <v>0</v>
      </c>
      <c r="AA2343" s="298">
        <v>0</v>
      </c>
      <c r="AB2343" s="298">
        <v>0</v>
      </c>
      <c r="AC2343" s="298">
        <v>0</v>
      </c>
      <c r="AD2343" s="298">
        <v>0</v>
      </c>
      <c r="AE2343" s="298">
        <v>0</v>
      </c>
      <c r="AF2343" s="298">
        <v>0</v>
      </c>
      <c r="AG2343" s="298">
        <v>0</v>
      </c>
      <c r="AH2343" s="296" t="s">
        <v>635</v>
      </c>
    </row>
    <row r="2344" spans="1:34" ht="15" customHeight="1" x14ac:dyDescent="0.25">
      <c r="A2344" s="213" t="s">
        <v>2736</v>
      </c>
      <c r="B2344" s="294" t="s">
        <v>2737</v>
      </c>
      <c r="C2344" s="298">
        <v>0.44550000000000001</v>
      </c>
      <c r="D2344" s="298">
        <v>0.44550000000000001</v>
      </c>
      <c r="E2344" s="298">
        <v>0.44550000000000001</v>
      </c>
      <c r="F2344" s="298">
        <v>0.44550000000000001</v>
      </c>
      <c r="G2344" s="298">
        <v>0.44550000000000001</v>
      </c>
      <c r="H2344" s="298">
        <v>0.44550000000000001</v>
      </c>
      <c r="I2344" s="298">
        <v>0.44550000000000001</v>
      </c>
      <c r="J2344" s="298">
        <v>0.44550000000000001</v>
      </c>
      <c r="K2344" s="298">
        <v>0.44550000000000001</v>
      </c>
      <c r="L2344" s="298">
        <v>0.44550000000000001</v>
      </c>
      <c r="M2344" s="298">
        <v>0.44550000000000001</v>
      </c>
      <c r="N2344" s="298">
        <v>0.44550000000000001</v>
      </c>
      <c r="O2344" s="298">
        <v>0.44550000000000001</v>
      </c>
      <c r="P2344" s="298">
        <v>0.44550000000000001</v>
      </c>
      <c r="Q2344" s="298">
        <v>0.44550000000000001</v>
      </c>
      <c r="R2344" s="298">
        <v>0.44550000000000001</v>
      </c>
      <c r="S2344" s="298">
        <v>0.44550000000000001</v>
      </c>
      <c r="T2344" s="298">
        <v>0.44550000000000001</v>
      </c>
      <c r="U2344" s="298">
        <v>0.44550000000000001</v>
      </c>
      <c r="V2344" s="298">
        <v>0.44550000000000001</v>
      </c>
      <c r="W2344" s="298">
        <v>0.44550000000000001</v>
      </c>
      <c r="X2344" s="298">
        <v>0.44550000000000001</v>
      </c>
      <c r="Y2344" s="298">
        <v>0.44550000000000001</v>
      </c>
      <c r="Z2344" s="298">
        <v>0.44550000000000001</v>
      </c>
      <c r="AA2344" s="298">
        <v>0.44550000000000001</v>
      </c>
      <c r="AB2344" s="298">
        <v>0.44550000000000001</v>
      </c>
      <c r="AC2344" s="298">
        <v>0.44550000000000001</v>
      </c>
      <c r="AD2344" s="298">
        <v>0.44550000000000001</v>
      </c>
      <c r="AE2344" s="298">
        <v>0.44550000000000001</v>
      </c>
      <c r="AF2344" s="298">
        <v>0.44550000000000001</v>
      </c>
      <c r="AG2344" s="298">
        <v>0.44550000000000001</v>
      </c>
      <c r="AH2344" s="296">
        <v>0</v>
      </c>
    </row>
    <row r="2345" spans="1:34" ht="15" customHeight="1" x14ac:dyDescent="0.25">
      <c r="A2345" s="213" t="s">
        <v>2738</v>
      </c>
      <c r="B2345" s="294" t="s">
        <v>2739</v>
      </c>
      <c r="C2345" s="298">
        <v>4.714207</v>
      </c>
      <c r="D2345" s="298">
        <v>4.7887029999999999</v>
      </c>
      <c r="E2345" s="298">
        <v>4.8670070000000001</v>
      </c>
      <c r="F2345" s="298">
        <v>4.8570159999999998</v>
      </c>
      <c r="G2345" s="298">
        <v>4.8868819999999999</v>
      </c>
      <c r="H2345" s="298">
        <v>4.9138169999999999</v>
      </c>
      <c r="I2345" s="298">
        <v>4.9378970000000004</v>
      </c>
      <c r="J2345" s="298">
        <v>4.952788</v>
      </c>
      <c r="K2345" s="298">
        <v>4.9664650000000004</v>
      </c>
      <c r="L2345" s="298">
        <v>4.980556</v>
      </c>
      <c r="M2345" s="298">
        <v>5.0043949999999997</v>
      </c>
      <c r="N2345" s="298">
        <v>5.0270219999999997</v>
      </c>
      <c r="O2345" s="298">
        <v>5.0400859999999996</v>
      </c>
      <c r="P2345" s="298">
        <v>5.049112</v>
      </c>
      <c r="Q2345" s="298">
        <v>5.0593469999999998</v>
      </c>
      <c r="R2345" s="298">
        <v>5.0655900000000003</v>
      </c>
      <c r="S2345" s="298">
        <v>5.0665079999999998</v>
      </c>
      <c r="T2345" s="298">
        <v>5.073372</v>
      </c>
      <c r="U2345" s="298">
        <v>5.085369</v>
      </c>
      <c r="V2345" s="298">
        <v>5.093102</v>
      </c>
      <c r="W2345" s="298">
        <v>5.0919210000000001</v>
      </c>
      <c r="X2345" s="298">
        <v>5.0966810000000002</v>
      </c>
      <c r="Y2345" s="298">
        <v>5.1162330000000003</v>
      </c>
      <c r="Z2345" s="298">
        <v>5.1388449999999999</v>
      </c>
      <c r="AA2345" s="298">
        <v>5.1509929999999997</v>
      </c>
      <c r="AB2345" s="298">
        <v>5.1636410000000001</v>
      </c>
      <c r="AC2345" s="298">
        <v>5.1820050000000002</v>
      </c>
      <c r="AD2345" s="298">
        <v>5.2141799999999998</v>
      </c>
      <c r="AE2345" s="298">
        <v>5.2382759999999999</v>
      </c>
      <c r="AF2345" s="298">
        <v>5.2705900000000003</v>
      </c>
      <c r="AG2345" s="298">
        <v>5.299137</v>
      </c>
      <c r="AH2345" s="296">
        <v>3.9060000000000002E-3</v>
      </c>
    </row>
    <row r="2346" spans="1:34" ht="15" customHeight="1" x14ac:dyDescent="0.25">
      <c r="A2346" s="213" t="s">
        <v>2740</v>
      </c>
      <c r="B2346" s="294" t="s">
        <v>2708</v>
      </c>
      <c r="C2346" s="298">
        <v>34.239333999999999</v>
      </c>
      <c r="D2346" s="298">
        <v>39.751953</v>
      </c>
      <c r="E2346" s="298">
        <v>44.044002999999996</v>
      </c>
      <c r="F2346" s="298">
        <v>47.444648999999998</v>
      </c>
      <c r="G2346" s="298">
        <v>50.822887000000001</v>
      </c>
      <c r="H2346" s="298">
        <v>54.973213000000001</v>
      </c>
      <c r="I2346" s="298">
        <v>58.803448000000003</v>
      </c>
      <c r="J2346" s="298">
        <v>63.294491000000001</v>
      </c>
      <c r="K2346" s="298">
        <v>67.026306000000005</v>
      </c>
      <c r="L2346" s="298">
        <v>70.982330000000005</v>
      </c>
      <c r="M2346" s="298">
        <v>74.344230999999994</v>
      </c>
      <c r="N2346" s="298">
        <v>78.446419000000006</v>
      </c>
      <c r="O2346" s="298">
        <v>81.635857000000001</v>
      </c>
      <c r="P2346" s="298">
        <v>86.076294000000004</v>
      </c>
      <c r="Q2346" s="298">
        <v>89.697533000000007</v>
      </c>
      <c r="R2346" s="298">
        <v>94.353508000000005</v>
      </c>
      <c r="S2346" s="298">
        <v>99.126518000000004</v>
      </c>
      <c r="T2346" s="298">
        <v>103.322311</v>
      </c>
      <c r="U2346" s="298">
        <v>107.62473300000001</v>
      </c>
      <c r="V2346" s="298">
        <v>112.002617</v>
      </c>
      <c r="W2346" s="298">
        <v>116.709534</v>
      </c>
      <c r="X2346" s="298">
        <v>121.542686</v>
      </c>
      <c r="Y2346" s="298">
        <v>126.718796</v>
      </c>
      <c r="Z2346" s="298">
        <v>130.63232400000001</v>
      </c>
      <c r="AA2346" s="298">
        <v>135.660416</v>
      </c>
      <c r="AB2346" s="298">
        <v>140.57498200000001</v>
      </c>
      <c r="AC2346" s="298">
        <v>145.875305</v>
      </c>
      <c r="AD2346" s="298">
        <v>151.40124499999999</v>
      </c>
      <c r="AE2346" s="298">
        <v>156.614609</v>
      </c>
      <c r="AF2346" s="298">
        <v>161.284424</v>
      </c>
      <c r="AG2346" s="298">
        <v>166.106155</v>
      </c>
      <c r="AH2346" s="296">
        <v>5.4052000000000003E-2</v>
      </c>
    </row>
    <row r="2347" spans="1:34" ht="15" customHeight="1" x14ac:dyDescent="0.25">
      <c r="A2347" s="213" t="s">
        <v>2741</v>
      </c>
      <c r="B2347" s="294" t="s">
        <v>2710</v>
      </c>
      <c r="C2347" s="298">
        <v>0.56911400000000001</v>
      </c>
      <c r="D2347" s="298">
        <v>0.57269099999999995</v>
      </c>
      <c r="E2347" s="298">
        <v>0.57284400000000002</v>
      </c>
      <c r="F2347" s="298">
        <v>0.57284400000000002</v>
      </c>
      <c r="G2347" s="298">
        <v>0.57357999999999998</v>
      </c>
      <c r="H2347" s="298">
        <v>0.57515000000000005</v>
      </c>
      <c r="I2347" s="298">
        <v>0.57545299999999999</v>
      </c>
      <c r="J2347" s="298">
        <v>0.57726100000000002</v>
      </c>
      <c r="K2347" s="298">
        <v>0.57757099999999995</v>
      </c>
      <c r="L2347" s="298">
        <v>0.57787299999999997</v>
      </c>
      <c r="M2347" s="298">
        <v>0.57799599999999995</v>
      </c>
      <c r="N2347" s="298">
        <v>0.57860400000000001</v>
      </c>
      <c r="O2347" s="298">
        <v>0.57860500000000004</v>
      </c>
      <c r="P2347" s="298">
        <v>0.581565</v>
      </c>
      <c r="Q2347" s="298">
        <v>0.58184499999999995</v>
      </c>
      <c r="R2347" s="298">
        <v>0.58238900000000005</v>
      </c>
      <c r="S2347" s="298">
        <v>0.58240000000000003</v>
      </c>
      <c r="T2347" s="298">
        <v>0.582422</v>
      </c>
      <c r="U2347" s="298">
        <v>0.58270299999999997</v>
      </c>
      <c r="V2347" s="298">
        <v>0.58277800000000002</v>
      </c>
      <c r="W2347" s="298">
        <v>0.58304599999999995</v>
      </c>
      <c r="X2347" s="298">
        <v>0.58359700000000003</v>
      </c>
      <c r="Y2347" s="298">
        <v>0.58519699999999997</v>
      </c>
      <c r="Z2347" s="298">
        <v>0.58545100000000005</v>
      </c>
      <c r="AA2347" s="298">
        <v>0.58624100000000001</v>
      </c>
      <c r="AB2347" s="298">
        <v>0.58650000000000002</v>
      </c>
      <c r="AC2347" s="298">
        <v>0.58679599999999998</v>
      </c>
      <c r="AD2347" s="298">
        <v>0.58738999999999997</v>
      </c>
      <c r="AE2347" s="298">
        <v>0.58765199999999995</v>
      </c>
      <c r="AF2347" s="298">
        <v>0.58791599999999999</v>
      </c>
      <c r="AG2347" s="298">
        <v>0.58818099999999995</v>
      </c>
      <c r="AH2347" s="296">
        <v>1.0989999999999999E-3</v>
      </c>
    </row>
    <row r="2348" spans="1:34" ht="15" customHeight="1" x14ac:dyDescent="0.2">
      <c r="A2348" s="213" t="s">
        <v>2742</v>
      </c>
      <c r="B2348" s="204" t="s">
        <v>2743</v>
      </c>
      <c r="C2348" s="300">
        <v>40.204085999999997</v>
      </c>
      <c r="D2348" s="300">
        <v>45.794772999999999</v>
      </c>
      <c r="E2348" s="300">
        <v>50.165283000000002</v>
      </c>
      <c r="F2348" s="300">
        <v>53.555939000000002</v>
      </c>
      <c r="G2348" s="300">
        <v>56.964779</v>
      </c>
      <c r="H2348" s="300">
        <v>61.143608</v>
      </c>
      <c r="I2348" s="300">
        <v>64.998230000000007</v>
      </c>
      <c r="J2348" s="300">
        <v>69.505973999999995</v>
      </c>
      <c r="K2348" s="300">
        <v>73.251769999999993</v>
      </c>
      <c r="L2348" s="300">
        <v>77.222190999999995</v>
      </c>
      <c r="M2348" s="300">
        <v>80.608046999999999</v>
      </c>
      <c r="N2348" s="300">
        <v>84.733474999999999</v>
      </c>
      <c r="O2348" s="300">
        <v>87.935981999999996</v>
      </c>
      <c r="P2348" s="300">
        <v>92.388405000000006</v>
      </c>
      <c r="Q2348" s="300">
        <v>96.020156999999998</v>
      </c>
      <c r="R2348" s="300">
        <v>100.68291499999999</v>
      </c>
      <c r="S2348" s="300">
        <v>105.456856</v>
      </c>
      <c r="T2348" s="300">
        <v>109.659531</v>
      </c>
      <c r="U2348" s="300">
        <v>113.974236</v>
      </c>
      <c r="V2348" s="300">
        <v>118.35992400000001</v>
      </c>
      <c r="W2348" s="300">
        <v>123.065933</v>
      </c>
      <c r="X2348" s="300">
        <v>127.90439600000001</v>
      </c>
      <c r="Y2348" s="300">
        <v>133.101654</v>
      </c>
      <c r="Z2348" s="300">
        <v>137.03805500000001</v>
      </c>
      <c r="AA2348" s="300">
        <v>142.07908599999999</v>
      </c>
      <c r="AB2348" s="300">
        <v>147.006561</v>
      </c>
      <c r="AC2348" s="300">
        <v>152.32553100000001</v>
      </c>
      <c r="AD2348" s="300">
        <v>157.88424699999999</v>
      </c>
      <c r="AE2348" s="300">
        <v>163.12196399999999</v>
      </c>
      <c r="AF2348" s="300">
        <v>167.82437100000001</v>
      </c>
      <c r="AG2348" s="300">
        <v>172.67489599999999</v>
      </c>
      <c r="AH2348" s="206">
        <v>4.9780999999999999E-2</v>
      </c>
    </row>
    <row r="2350" spans="1:34" ht="15" customHeight="1" x14ac:dyDescent="0.2">
      <c r="B2350" s="204" t="s">
        <v>2715</v>
      </c>
    </row>
    <row r="2351" spans="1:34" ht="15" customHeight="1" x14ac:dyDescent="0.25">
      <c r="A2351" s="213" t="s">
        <v>2744</v>
      </c>
      <c r="B2351" s="294" t="s">
        <v>138</v>
      </c>
      <c r="C2351" s="298">
        <v>1.221724</v>
      </c>
      <c r="D2351" s="298">
        <v>1.221724</v>
      </c>
      <c r="E2351" s="298">
        <v>1.221724</v>
      </c>
      <c r="F2351" s="298">
        <v>1.221724</v>
      </c>
      <c r="G2351" s="298">
        <v>1.221724</v>
      </c>
      <c r="H2351" s="298">
        <v>1.221724</v>
      </c>
      <c r="I2351" s="298">
        <v>1.221724</v>
      </c>
      <c r="J2351" s="298">
        <v>1.221724</v>
      </c>
      <c r="K2351" s="298">
        <v>1.221724</v>
      </c>
      <c r="L2351" s="298">
        <v>1.221724</v>
      </c>
      <c r="M2351" s="298">
        <v>1.221724</v>
      </c>
      <c r="N2351" s="298">
        <v>1.221724</v>
      </c>
      <c r="O2351" s="298">
        <v>1.221724</v>
      </c>
      <c r="P2351" s="298">
        <v>1.221724</v>
      </c>
      <c r="Q2351" s="298">
        <v>1.221724</v>
      </c>
      <c r="R2351" s="298">
        <v>1.221724</v>
      </c>
      <c r="S2351" s="298">
        <v>1.221724</v>
      </c>
      <c r="T2351" s="298">
        <v>1.221724</v>
      </c>
      <c r="U2351" s="298">
        <v>1.221724</v>
      </c>
      <c r="V2351" s="298">
        <v>1.221724</v>
      </c>
      <c r="W2351" s="298">
        <v>1.221724</v>
      </c>
      <c r="X2351" s="298">
        <v>1.221724</v>
      </c>
      <c r="Y2351" s="298">
        <v>1.221724</v>
      </c>
      <c r="Z2351" s="298">
        <v>1.221724</v>
      </c>
      <c r="AA2351" s="298">
        <v>1.221724</v>
      </c>
      <c r="AB2351" s="298">
        <v>1.221724</v>
      </c>
      <c r="AC2351" s="298">
        <v>1.221724</v>
      </c>
      <c r="AD2351" s="298">
        <v>1.221724</v>
      </c>
      <c r="AE2351" s="298">
        <v>1.221724</v>
      </c>
      <c r="AF2351" s="298">
        <v>1.221724</v>
      </c>
      <c r="AG2351" s="298">
        <v>1.221724</v>
      </c>
      <c r="AH2351" s="296">
        <v>0</v>
      </c>
    </row>
    <row r="2352" spans="1:34" ht="15" customHeight="1" x14ac:dyDescent="0.25">
      <c r="A2352" s="213" t="s">
        <v>2745</v>
      </c>
      <c r="B2352" s="294" t="s">
        <v>2735</v>
      </c>
      <c r="C2352" s="298">
        <v>0</v>
      </c>
      <c r="D2352" s="298">
        <v>0</v>
      </c>
      <c r="E2352" s="298">
        <v>0</v>
      </c>
      <c r="F2352" s="298">
        <v>0</v>
      </c>
      <c r="G2352" s="298">
        <v>0</v>
      </c>
      <c r="H2352" s="298">
        <v>0</v>
      </c>
      <c r="I2352" s="298">
        <v>0</v>
      </c>
      <c r="J2352" s="298">
        <v>0</v>
      </c>
      <c r="K2352" s="298">
        <v>0</v>
      </c>
      <c r="L2352" s="298">
        <v>0</v>
      </c>
      <c r="M2352" s="298">
        <v>0</v>
      </c>
      <c r="N2352" s="298">
        <v>0</v>
      </c>
      <c r="O2352" s="298">
        <v>0</v>
      </c>
      <c r="P2352" s="298">
        <v>0</v>
      </c>
      <c r="Q2352" s="298">
        <v>0</v>
      </c>
      <c r="R2352" s="298">
        <v>0</v>
      </c>
      <c r="S2352" s="298">
        <v>0</v>
      </c>
      <c r="T2352" s="298">
        <v>0</v>
      </c>
      <c r="U2352" s="298">
        <v>0</v>
      </c>
      <c r="V2352" s="298">
        <v>0</v>
      </c>
      <c r="W2352" s="298">
        <v>0</v>
      </c>
      <c r="X2352" s="298">
        <v>0</v>
      </c>
      <c r="Y2352" s="298">
        <v>0</v>
      </c>
      <c r="Z2352" s="298">
        <v>0</v>
      </c>
      <c r="AA2352" s="298">
        <v>0</v>
      </c>
      <c r="AB2352" s="298">
        <v>0</v>
      </c>
      <c r="AC2352" s="298">
        <v>0</v>
      </c>
      <c r="AD2352" s="298">
        <v>0</v>
      </c>
      <c r="AE2352" s="298">
        <v>0</v>
      </c>
      <c r="AF2352" s="298">
        <v>0</v>
      </c>
      <c r="AG2352" s="298">
        <v>0</v>
      </c>
      <c r="AH2352" s="296" t="s">
        <v>635</v>
      </c>
    </row>
    <row r="2353" spans="1:34" ht="15" customHeight="1" x14ac:dyDescent="0.25">
      <c r="A2353" s="213" t="s">
        <v>2746</v>
      </c>
      <c r="B2353" s="294" t="s">
        <v>2737</v>
      </c>
      <c r="C2353" s="298">
        <v>3.428404</v>
      </c>
      <c r="D2353" s="298">
        <v>3.428404</v>
      </c>
      <c r="E2353" s="298">
        <v>3.416404</v>
      </c>
      <c r="F2353" s="298">
        <v>3.416404</v>
      </c>
      <c r="G2353" s="298">
        <v>3.416404</v>
      </c>
      <c r="H2353" s="298">
        <v>3.416404</v>
      </c>
      <c r="I2353" s="298">
        <v>3.416404</v>
      </c>
      <c r="J2353" s="298">
        <v>3.416404</v>
      </c>
      <c r="K2353" s="298">
        <v>3.416404</v>
      </c>
      <c r="L2353" s="298">
        <v>3.416404</v>
      </c>
      <c r="M2353" s="298">
        <v>3.416404</v>
      </c>
      <c r="N2353" s="298">
        <v>3.416404</v>
      </c>
      <c r="O2353" s="298">
        <v>3.416404</v>
      </c>
      <c r="P2353" s="298">
        <v>3.416404</v>
      </c>
      <c r="Q2353" s="298">
        <v>3.416404</v>
      </c>
      <c r="R2353" s="298">
        <v>3.416404</v>
      </c>
      <c r="S2353" s="298">
        <v>3.416404</v>
      </c>
      <c r="T2353" s="298">
        <v>3.416404</v>
      </c>
      <c r="U2353" s="298">
        <v>3.416404</v>
      </c>
      <c r="V2353" s="298">
        <v>3.416404</v>
      </c>
      <c r="W2353" s="298">
        <v>3.416404</v>
      </c>
      <c r="X2353" s="298">
        <v>3.416404</v>
      </c>
      <c r="Y2353" s="298">
        <v>3.416404</v>
      </c>
      <c r="Z2353" s="298">
        <v>3.416404</v>
      </c>
      <c r="AA2353" s="298">
        <v>3.416404</v>
      </c>
      <c r="AB2353" s="298">
        <v>3.416404</v>
      </c>
      <c r="AC2353" s="298">
        <v>3.416404</v>
      </c>
      <c r="AD2353" s="298">
        <v>3.416404</v>
      </c>
      <c r="AE2353" s="298">
        <v>3.416404</v>
      </c>
      <c r="AF2353" s="298">
        <v>3.416404</v>
      </c>
      <c r="AG2353" s="298">
        <v>3.416404</v>
      </c>
      <c r="AH2353" s="296">
        <v>-1.17E-4</v>
      </c>
    </row>
    <row r="2354" spans="1:34" ht="15" customHeight="1" x14ac:dyDescent="0.25">
      <c r="A2354" s="213" t="s">
        <v>2747</v>
      </c>
      <c r="B2354" s="294" t="s">
        <v>2739</v>
      </c>
      <c r="C2354" s="298">
        <v>26.064444999999999</v>
      </c>
      <c r="D2354" s="298">
        <v>26.482403000000001</v>
      </c>
      <c r="E2354" s="298">
        <v>26.915334999999999</v>
      </c>
      <c r="F2354" s="298">
        <v>26.859289</v>
      </c>
      <c r="G2354" s="298">
        <v>27.026835999999999</v>
      </c>
      <c r="H2354" s="298">
        <v>27.177961</v>
      </c>
      <c r="I2354" s="298">
        <v>27.313065999999999</v>
      </c>
      <c r="J2354" s="298">
        <v>27.396608000000001</v>
      </c>
      <c r="K2354" s="298">
        <v>27.473341000000001</v>
      </c>
      <c r="L2354" s="298">
        <v>27.552392999999999</v>
      </c>
      <c r="M2354" s="298">
        <v>27.686142</v>
      </c>
      <c r="N2354" s="298">
        <v>27.813092999999999</v>
      </c>
      <c r="O2354" s="298">
        <v>27.886389000000001</v>
      </c>
      <c r="P2354" s="298">
        <v>27.937028999999999</v>
      </c>
      <c r="Q2354" s="298">
        <v>27.994453</v>
      </c>
      <c r="R2354" s="298">
        <v>28.02948</v>
      </c>
      <c r="S2354" s="298">
        <v>28.034625999999999</v>
      </c>
      <c r="T2354" s="298">
        <v>28.073139000000001</v>
      </c>
      <c r="U2354" s="298">
        <v>28.140443999999999</v>
      </c>
      <c r="V2354" s="298">
        <v>28.183838000000002</v>
      </c>
      <c r="W2354" s="298">
        <v>28.177204</v>
      </c>
      <c r="X2354" s="298">
        <v>28.203907000000001</v>
      </c>
      <c r="Y2354" s="298">
        <v>28.313601999999999</v>
      </c>
      <c r="Z2354" s="298">
        <v>28.440472</v>
      </c>
      <c r="AA2354" s="298">
        <v>28.508627000000001</v>
      </c>
      <c r="AB2354" s="298">
        <v>28.579584000000001</v>
      </c>
      <c r="AC2354" s="298">
        <v>28.682618999999999</v>
      </c>
      <c r="AD2354" s="298">
        <v>28.863129000000001</v>
      </c>
      <c r="AE2354" s="298">
        <v>28.99832</v>
      </c>
      <c r="AF2354" s="298">
        <v>29.179614999999998</v>
      </c>
      <c r="AG2354" s="298">
        <v>29.339777000000002</v>
      </c>
      <c r="AH2354" s="296">
        <v>3.954E-3</v>
      </c>
    </row>
    <row r="2355" spans="1:34" ht="15" customHeight="1" x14ac:dyDescent="0.25">
      <c r="A2355" s="213" t="s">
        <v>2748</v>
      </c>
      <c r="B2355" s="294" t="s">
        <v>2708</v>
      </c>
      <c r="C2355" s="298">
        <v>47.266570999999999</v>
      </c>
      <c r="D2355" s="298">
        <v>54.841788999999999</v>
      </c>
      <c r="E2355" s="298">
        <v>60.763069000000002</v>
      </c>
      <c r="F2355" s="298">
        <v>65.542670999999999</v>
      </c>
      <c r="G2355" s="298">
        <v>70.223213000000001</v>
      </c>
      <c r="H2355" s="298">
        <v>75.928200000000004</v>
      </c>
      <c r="I2355" s="298">
        <v>81.331421000000006</v>
      </c>
      <c r="J2355" s="298">
        <v>87.467429999999993</v>
      </c>
      <c r="K2355" s="298">
        <v>92.692336999999995</v>
      </c>
      <c r="L2355" s="298">
        <v>98.234138000000002</v>
      </c>
      <c r="M2355" s="298">
        <v>103.115921</v>
      </c>
      <c r="N2355" s="298">
        <v>108.892189</v>
      </c>
      <c r="O2355" s="298">
        <v>113.59684799999999</v>
      </c>
      <c r="P2355" s="298">
        <v>119.72313699999999</v>
      </c>
      <c r="Q2355" s="298">
        <v>124.96577499999999</v>
      </c>
      <c r="R2355" s="298">
        <v>131.51448099999999</v>
      </c>
      <c r="S2355" s="298">
        <v>138.26942399999999</v>
      </c>
      <c r="T2355" s="298">
        <v>144.29583700000001</v>
      </c>
      <c r="U2355" s="298">
        <v>150.490814</v>
      </c>
      <c r="V2355" s="298">
        <v>156.76284799999999</v>
      </c>
      <c r="W2355" s="298">
        <v>163.46658300000001</v>
      </c>
      <c r="X2355" s="298">
        <v>170.329803</v>
      </c>
      <c r="Y2355" s="298">
        <v>177.646896</v>
      </c>
      <c r="Z2355" s="298">
        <v>183.50402800000001</v>
      </c>
      <c r="AA2355" s="298">
        <v>190.712738</v>
      </c>
      <c r="AB2355" s="298">
        <v>197.87292500000001</v>
      </c>
      <c r="AC2355" s="298">
        <v>205.59979200000001</v>
      </c>
      <c r="AD2355" s="298">
        <v>213.51220699999999</v>
      </c>
      <c r="AE2355" s="298">
        <v>221.143539</v>
      </c>
      <c r="AF2355" s="298">
        <v>228.167587</v>
      </c>
      <c r="AG2355" s="298">
        <v>235.383713</v>
      </c>
      <c r="AH2355" s="296">
        <v>5.4972E-2</v>
      </c>
    </row>
    <row r="2356" spans="1:34" ht="15" customHeight="1" x14ac:dyDescent="0.25">
      <c r="A2356" s="213" t="s">
        <v>2749</v>
      </c>
      <c r="B2356" s="294" t="s">
        <v>2710</v>
      </c>
      <c r="C2356" s="298">
        <v>0.77385400000000004</v>
      </c>
      <c r="D2356" s="298">
        <v>0.77977300000000005</v>
      </c>
      <c r="E2356" s="298">
        <v>0.78003</v>
      </c>
      <c r="F2356" s="298">
        <v>0.78003</v>
      </c>
      <c r="G2356" s="298">
        <v>0.78126899999999999</v>
      </c>
      <c r="H2356" s="298">
        <v>0.783856</v>
      </c>
      <c r="I2356" s="298">
        <v>0.78431099999999998</v>
      </c>
      <c r="J2356" s="298">
        <v>0.78734700000000002</v>
      </c>
      <c r="K2356" s="298">
        <v>0.78785300000000003</v>
      </c>
      <c r="L2356" s="298">
        <v>0.78835500000000003</v>
      </c>
      <c r="M2356" s="298">
        <v>0.78850799999999999</v>
      </c>
      <c r="N2356" s="298">
        <v>0.78948600000000002</v>
      </c>
      <c r="O2356" s="298">
        <v>0.78948600000000002</v>
      </c>
      <c r="P2356" s="298">
        <v>0.79447800000000002</v>
      </c>
      <c r="Q2356" s="298">
        <v>0.79493199999999997</v>
      </c>
      <c r="R2356" s="298">
        <v>0.795848</v>
      </c>
      <c r="S2356" s="298">
        <v>0.79586000000000001</v>
      </c>
      <c r="T2356" s="298">
        <v>0.79588199999999998</v>
      </c>
      <c r="U2356" s="298">
        <v>0.79633200000000004</v>
      </c>
      <c r="V2356" s="298">
        <v>0.796408</v>
      </c>
      <c r="W2356" s="298">
        <v>0.79677100000000001</v>
      </c>
      <c r="X2356" s="298">
        <v>0.79753499999999999</v>
      </c>
      <c r="Y2356" s="298">
        <v>0.80006299999999997</v>
      </c>
      <c r="Z2356" s="298">
        <v>0.80032400000000004</v>
      </c>
      <c r="AA2356" s="298">
        <v>0.80149300000000001</v>
      </c>
      <c r="AB2356" s="298">
        <v>0.80175799999999997</v>
      </c>
      <c r="AC2356" s="298">
        <v>0.80206900000000003</v>
      </c>
      <c r="AD2356" s="298">
        <v>0.802902</v>
      </c>
      <c r="AE2356" s="298">
        <v>0.80317000000000005</v>
      </c>
      <c r="AF2356" s="298">
        <v>0.80343900000000001</v>
      </c>
      <c r="AG2356" s="298">
        <v>0.80371000000000004</v>
      </c>
      <c r="AH2356" s="296">
        <v>1.263E-3</v>
      </c>
    </row>
    <row r="2357" spans="1:34" ht="15" customHeight="1" x14ac:dyDescent="0.2">
      <c r="A2357" s="213" t="s">
        <v>2750</v>
      </c>
      <c r="B2357" s="204" t="s">
        <v>2751</v>
      </c>
      <c r="C2357" s="300">
        <v>78.754997000000003</v>
      </c>
      <c r="D2357" s="300">
        <v>86.754088999999993</v>
      </c>
      <c r="E2357" s="300">
        <v>93.096558000000002</v>
      </c>
      <c r="F2357" s="300">
        <v>97.820114000000004</v>
      </c>
      <c r="G2357" s="300">
        <v>102.669449</v>
      </c>
      <c r="H2357" s="300">
        <v>108.52815200000001</v>
      </c>
      <c r="I2357" s="300">
        <v>114.066925</v>
      </c>
      <c r="J2357" s="300">
        <v>120.289513</v>
      </c>
      <c r="K2357" s="300">
        <v>125.59166</v>
      </c>
      <c r="L2357" s="300">
        <v>131.21301299999999</v>
      </c>
      <c r="M2357" s="300">
        <v>136.22869900000001</v>
      </c>
      <c r="N2357" s="300">
        <v>142.132904</v>
      </c>
      <c r="O2357" s="300">
        <v>146.91085799999999</v>
      </c>
      <c r="P2357" s="300">
        <v>153.09277299999999</v>
      </c>
      <c r="Q2357" s="300">
        <v>158.39329499999999</v>
      </c>
      <c r="R2357" s="300">
        <v>164.97795099999999</v>
      </c>
      <c r="S2357" s="300">
        <v>171.738022</v>
      </c>
      <c r="T2357" s="300">
        <v>177.80299400000001</v>
      </c>
      <c r="U2357" s="300">
        <v>184.06570400000001</v>
      </c>
      <c r="V2357" s="300">
        <v>190.38121000000001</v>
      </c>
      <c r="W2357" s="300">
        <v>197.07868999999999</v>
      </c>
      <c r="X2357" s="300">
        <v>203.96937600000001</v>
      </c>
      <c r="Y2357" s="300">
        <v>211.398697</v>
      </c>
      <c r="Z2357" s="300">
        <v>217.38294999999999</v>
      </c>
      <c r="AA2357" s="300">
        <v>224.66099500000001</v>
      </c>
      <c r="AB2357" s="300">
        <v>231.89239499999999</v>
      </c>
      <c r="AC2357" s="300">
        <v>239.72259500000001</v>
      </c>
      <c r="AD2357" s="300">
        <v>247.81636</v>
      </c>
      <c r="AE2357" s="300">
        <v>255.58315999999999</v>
      </c>
      <c r="AF2357" s="300">
        <v>262.78875699999998</v>
      </c>
      <c r="AG2357" s="300">
        <v>270.165344</v>
      </c>
      <c r="AH2357" s="206">
        <v>4.1945999999999997E-2</v>
      </c>
    </row>
    <row r="2360" spans="1:34" ht="15" customHeight="1" x14ac:dyDescent="0.2">
      <c r="B2360" s="204" t="s">
        <v>2752</v>
      </c>
    </row>
    <row r="2361" spans="1:34" ht="15" customHeight="1" x14ac:dyDescent="0.2">
      <c r="B2361" s="204" t="s">
        <v>2753</v>
      </c>
    </row>
    <row r="2362" spans="1:34" ht="15" customHeight="1" x14ac:dyDescent="0.25">
      <c r="A2362" s="213" t="s">
        <v>2754</v>
      </c>
      <c r="B2362" s="294" t="s">
        <v>2755</v>
      </c>
      <c r="C2362" s="298">
        <v>79.433837999999994</v>
      </c>
      <c r="D2362" s="298">
        <v>79.533637999999996</v>
      </c>
      <c r="E2362" s="298">
        <v>79.552940000000007</v>
      </c>
      <c r="F2362" s="298">
        <v>79.530144000000007</v>
      </c>
      <c r="G2362" s="298">
        <v>79.578406999999999</v>
      </c>
      <c r="H2362" s="298">
        <v>79.573905999999994</v>
      </c>
      <c r="I2362" s="298">
        <v>79.573905999999994</v>
      </c>
      <c r="J2362" s="298">
        <v>79.573905999999994</v>
      </c>
      <c r="K2362" s="298">
        <v>79.558104999999998</v>
      </c>
      <c r="L2362" s="298">
        <v>79.558104999999998</v>
      </c>
      <c r="M2362" s="298">
        <v>79.558104999999998</v>
      </c>
      <c r="N2362" s="298">
        <v>79.558104999999998</v>
      </c>
      <c r="O2362" s="298">
        <v>79.558104999999998</v>
      </c>
      <c r="P2362" s="298">
        <v>79.558104999999998</v>
      </c>
      <c r="Q2362" s="298">
        <v>79.558104999999998</v>
      </c>
      <c r="R2362" s="298">
        <v>79.558104999999998</v>
      </c>
      <c r="S2362" s="298">
        <v>79.558104999999998</v>
      </c>
      <c r="T2362" s="298">
        <v>79.558104999999998</v>
      </c>
      <c r="U2362" s="298">
        <v>79.558104999999998</v>
      </c>
      <c r="V2362" s="298">
        <v>79.558104999999998</v>
      </c>
      <c r="W2362" s="298">
        <v>79.558104999999998</v>
      </c>
      <c r="X2362" s="298">
        <v>79.558104999999998</v>
      </c>
      <c r="Y2362" s="298">
        <v>79.558104999999998</v>
      </c>
      <c r="Z2362" s="298">
        <v>79.558104999999998</v>
      </c>
      <c r="AA2362" s="298">
        <v>79.558104999999998</v>
      </c>
      <c r="AB2362" s="298">
        <v>79.558104999999998</v>
      </c>
      <c r="AC2362" s="298">
        <v>79.558104999999998</v>
      </c>
      <c r="AD2362" s="298">
        <v>79.558104999999998</v>
      </c>
      <c r="AE2362" s="298">
        <v>79.558104999999998</v>
      </c>
      <c r="AF2362" s="298">
        <v>79.558104999999998</v>
      </c>
      <c r="AG2362" s="298">
        <v>79.558104999999998</v>
      </c>
      <c r="AH2362" s="296">
        <v>5.1999999999999997E-5</v>
      </c>
    </row>
    <row r="2363" spans="1:34" ht="15" customHeight="1" x14ac:dyDescent="0.25">
      <c r="A2363" s="213" t="s">
        <v>2756</v>
      </c>
      <c r="B2363" s="294" t="s">
        <v>2757</v>
      </c>
      <c r="C2363" s="298">
        <v>2.4630000000000001</v>
      </c>
      <c r="D2363" s="298">
        <v>2.5049999999999999</v>
      </c>
      <c r="E2363" s="298">
        <v>2.5049999999999999</v>
      </c>
      <c r="F2363" s="298">
        <v>2.5049999999999999</v>
      </c>
      <c r="G2363" s="298">
        <v>2.6352090000000001</v>
      </c>
      <c r="H2363" s="298">
        <v>2.785209</v>
      </c>
      <c r="I2363" s="298">
        <v>2.9216690000000001</v>
      </c>
      <c r="J2363" s="298">
        <v>3.0680160000000001</v>
      </c>
      <c r="K2363" s="298">
        <v>3.2851880000000002</v>
      </c>
      <c r="L2363" s="298">
        <v>3.4568669999999999</v>
      </c>
      <c r="M2363" s="298">
        <v>3.6349830000000001</v>
      </c>
      <c r="N2363" s="298">
        <v>3.7984290000000001</v>
      </c>
      <c r="O2363" s="298">
        <v>3.9346329999999998</v>
      </c>
      <c r="P2363" s="298">
        <v>4.1067980000000004</v>
      </c>
      <c r="Q2363" s="298">
        <v>4.2665249999999997</v>
      </c>
      <c r="R2363" s="298">
        <v>4.4721000000000002</v>
      </c>
      <c r="S2363" s="298">
        <v>4.6760650000000004</v>
      </c>
      <c r="T2363" s="298">
        <v>4.8880970000000001</v>
      </c>
      <c r="U2363" s="298">
        <v>5.0760350000000001</v>
      </c>
      <c r="V2363" s="298">
        <v>5.2637859999999996</v>
      </c>
      <c r="W2363" s="298">
        <v>5.4325679999999998</v>
      </c>
      <c r="X2363" s="298">
        <v>5.5818149999999997</v>
      </c>
      <c r="Y2363" s="298">
        <v>5.7202859999999998</v>
      </c>
      <c r="Z2363" s="298">
        <v>5.831874</v>
      </c>
      <c r="AA2363" s="298">
        <v>5.977468</v>
      </c>
      <c r="AB2363" s="298">
        <v>6.118074</v>
      </c>
      <c r="AC2363" s="298">
        <v>6.2771749999999997</v>
      </c>
      <c r="AD2363" s="298">
        <v>6.4097720000000002</v>
      </c>
      <c r="AE2363" s="298">
        <v>6.5367730000000002</v>
      </c>
      <c r="AF2363" s="298">
        <v>6.625534</v>
      </c>
      <c r="AG2363" s="298">
        <v>6.7255229999999999</v>
      </c>
      <c r="AH2363" s="296">
        <v>3.4050999999999998E-2</v>
      </c>
    </row>
    <row r="2364" spans="1:34" ht="15" customHeight="1" x14ac:dyDescent="0.25">
      <c r="A2364" s="213" t="s">
        <v>2758</v>
      </c>
      <c r="B2364" s="294" t="s">
        <v>2759</v>
      </c>
      <c r="C2364" s="298">
        <v>3.927101</v>
      </c>
      <c r="D2364" s="298">
        <v>4.0280940000000003</v>
      </c>
      <c r="E2364" s="298">
        <v>4.0310949999999997</v>
      </c>
      <c r="F2364" s="298">
        <v>4.1633279999999999</v>
      </c>
      <c r="G2364" s="298">
        <v>4.329358</v>
      </c>
      <c r="H2364" s="298">
        <v>4.4833379999999998</v>
      </c>
      <c r="I2364" s="298">
        <v>4.6027060000000004</v>
      </c>
      <c r="J2364" s="298">
        <v>4.7279059999999999</v>
      </c>
      <c r="K2364" s="298">
        <v>4.8170719999999996</v>
      </c>
      <c r="L2364" s="298">
        <v>4.9434250000000004</v>
      </c>
      <c r="M2364" s="298">
        <v>5.0732470000000003</v>
      </c>
      <c r="N2364" s="298">
        <v>5.2074999999999996</v>
      </c>
      <c r="O2364" s="298">
        <v>5.3269479999999998</v>
      </c>
      <c r="P2364" s="298">
        <v>5.4568570000000003</v>
      </c>
      <c r="Q2364" s="298">
        <v>5.595936</v>
      </c>
      <c r="R2364" s="298">
        <v>5.7387009999999998</v>
      </c>
      <c r="S2364" s="298">
        <v>5.8865809999999996</v>
      </c>
      <c r="T2364" s="298">
        <v>6.0355030000000003</v>
      </c>
      <c r="U2364" s="298">
        <v>6.1452960000000001</v>
      </c>
      <c r="V2364" s="298">
        <v>6.2550309999999998</v>
      </c>
      <c r="W2364" s="298">
        <v>6.3676019999999998</v>
      </c>
      <c r="X2364" s="298">
        <v>6.4834370000000003</v>
      </c>
      <c r="Y2364" s="298">
        <v>6.6026470000000002</v>
      </c>
      <c r="Z2364" s="298">
        <v>6.7236649999999996</v>
      </c>
      <c r="AA2364" s="298">
        <v>6.8070370000000002</v>
      </c>
      <c r="AB2364" s="298">
        <v>6.8923399999999999</v>
      </c>
      <c r="AC2364" s="298">
        <v>6.9782320000000002</v>
      </c>
      <c r="AD2364" s="298">
        <v>7.06386</v>
      </c>
      <c r="AE2364" s="298">
        <v>7.1495290000000002</v>
      </c>
      <c r="AF2364" s="298">
        <v>7.2362039999999999</v>
      </c>
      <c r="AG2364" s="298">
        <v>7.2805340000000003</v>
      </c>
      <c r="AH2364" s="296">
        <v>2.0789999999999999E-2</v>
      </c>
    </row>
    <row r="2365" spans="1:34" ht="15" customHeight="1" x14ac:dyDescent="0.25">
      <c r="A2365" s="213" t="s">
        <v>2760</v>
      </c>
      <c r="B2365" s="294" t="s">
        <v>2761</v>
      </c>
      <c r="C2365" s="298">
        <v>7.7131080000000001</v>
      </c>
      <c r="D2365" s="298">
        <v>7.7896039999999998</v>
      </c>
      <c r="E2365" s="298">
        <v>7.9111079999999996</v>
      </c>
      <c r="F2365" s="298">
        <v>7.9201170000000003</v>
      </c>
      <c r="G2365" s="298">
        <v>7.9339829999999996</v>
      </c>
      <c r="H2365" s="298">
        <v>7.9609180000000004</v>
      </c>
      <c r="I2365" s="298">
        <v>7.984998</v>
      </c>
      <c r="J2365" s="298">
        <v>7.9998889999999996</v>
      </c>
      <c r="K2365" s="298">
        <v>7.8605660000000004</v>
      </c>
      <c r="L2365" s="298">
        <v>7.8746559999999999</v>
      </c>
      <c r="M2365" s="298">
        <v>7.8984949999999996</v>
      </c>
      <c r="N2365" s="298">
        <v>7.9211229999999997</v>
      </c>
      <c r="O2365" s="298">
        <v>7.9341869999999997</v>
      </c>
      <c r="P2365" s="298">
        <v>7.9432130000000001</v>
      </c>
      <c r="Q2365" s="298">
        <v>7.9534479999999999</v>
      </c>
      <c r="R2365" s="298">
        <v>7.9596910000000003</v>
      </c>
      <c r="S2365" s="298">
        <v>7.9606089999999998</v>
      </c>
      <c r="T2365" s="298">
        <v>7.967473</v>
      </c>
      <c r="U2365" s="298">
        <v>7.9794700000000001</v>
      </c>
      <c r="V2365" s="298">
        <v>7.9872030000000001</v>
      </c>
      <c r="W2365" s="298">
        <v>7.9860220000000002</v>
      </c>
      <c r="X2365" s="298">
        <v>7.9907820000000003</v>
      </c>
      <c r="Y2365" s="298">
        <v>8.0103340000000003</v>
      </c>
      <c r="Z2365" s="298">
        <v>8.0329460000000008</v>
      </c>
      <c r="AA2365" s="298">
        <v>8.0450940000000006</v>
      </c>
      <c r="AB2365" s="298">
        <v>8.057741</v>
      </c>
      <c r="AC2365" s="298">
        <v>8.0761059999999993</v>
      </c>
      <c r="AD2365" s="298">
        <v>8.1082800000000006</v>
      </c>
      <c r="AE2365" s="298">
        <v>8.132377</v>
      </c>
      <c r="AF2365" s="298">
        <v>8.1646900000000002</v>
      </c>
      <c r="AG2365" s="298">
        <v>8.1986050000000006</v>
      </c>
      <c r="AH2365" s="296">
        <v>2.0370000000000002E-3</v>
      </c>
    </row>
    <row r="2366" spans="1:34" ht="15" customHeight="1" x14ac:dyDescent="0.25">
      <c r="A2366" s="213" t="s">
        <v>2762</v>
      </c>
      <c r="B2366" s="294" t="s">
        <v>2763</v>
      </c>
      <c r="C2366" s="298">
        <v>84.476134999999999</v>
      </c>
      <c r="D2366" s="298">
        <v>101.912048</v>
      </c>
      <c r="E2366" s="298">
        <v>122.185974</v>
      </c>
      <c r="F2366" s="298">
        <v>131.32820100000001</v>
      </c>
      <c r="G2366" s="298">
        <v>144.946045</v>
      </c>
      <c r="H2366" s="298">
        <v>167.10739100000001</v>
      </c>
      <c r="I2366" s="298">
        <v>190.97001599999999</v>
      </c>
      <c r="J2366" s="298">
        <v>210.987076</v>
      </c>
      <c r="K2366" s="298">
        <v>222.00441000000001</v>
      </c>
      <c r="L2366" s="298">
        <v>240.18614199999999</v>
      </c>
      <c r="M2366" s="298">
        <v>251.509827</v>
      </c>
      <c r="N2366" s="298">
        <v>263.533905</v>
      </c>
      <c r="O2366" s="298">
        <v>277.32730099999998</v>
      </c>
      <c r="P2366" s="298">
        <v>291.71292099999999</v>
      </c>
      <c r="Q2366" s="298">
        <v>302.35513300000002</v>
      </c>
      <c r="R2366" s="298">
        <v>316.99908399999998</v>
      </c>
      <c r="S2366" s="298">
        <v>328.72378500000002</v>
      </c>
      <c r="T2366" s="298">
        <v>340.46014400000001</v>
      </c>
      <c r="U2366" s="298">
        <v>353.18005399999998</v>
      </c>
      <c r="V2366" s="298">
        <v>362.31005900000002</v>
      </c>
      <c r="W2366" s="298">
        <v>372.25201399999997</v>
      </c>
      <c r="X2366" s="298">
        <v>387.273956</v>
      </c>
      <c r="Y2366" s="298">
        <v>398.21417200000002</v>
      </c>
      <c r="Z2366" s="298">
        <v>408.91848800000002</v>
      </c>
      <c r="AA2366" s="298">
        <v>421.98687699999999</v>
      </c>
      <c r="AB2366" s="298">
        <v>438.90954599999998</v>
      </c>
      <c r="AC2366" s="298">
        <v>457.806915</v>
      </c>
      <c r="AD2366" s="298">
        <v>477.58926400000001</v>
      </c>
      <c r="AE2366" s="298">
        <v>490.67358400000001</v>
      </c>
      <c r="AF2366" s="298">
        <v>505.318848</v>
      </c>
      <c r="AG2366" s="298">
        <v>519.12664800000005</v>
      </c>
      <c r="AH2366" s="296">
        <v>6.2392000000000003E-2</v>
      </c>
    </row>
    <row r="2367" spans="1:34" ht="15" customHeight="1" x14ac:dyDescent="0.25">
      <c r="A2367" s="213" t="s">
        <v>2764</v>
      </c>
      <c r="B2367" s="294" t="s">
        <v>2765</v>
      </c>
      <c r="C2367" s="298">
        <v>127.099007</v>
      </c>
      <c r="D2367" s="298">
        <v>134.68640099999999</v>
      </c>
      <c r="E2367" s="298">
        <v>137.66455099999999</v>
      </c>
      <c r="F2367" s="298">
        <v>164.52946499999999</v>
      </c>
      <c r="G2367" s="298">
        <v>197.61137400000001</v>
      </c>
      <c r="H2367" s="298">
        <v>197.92593400000001</v>
      </c>
      <c r="I2367" s="298">
        <v>198.640289</v>
      </c>
      <c r="J2367" s="298">
        <v>199.608948</v>
      </c>
      <c r="K2367" s="298">
        <v>202.206039</v>
      </c>
      <c r="L2367" s="298">
        <v>202.64007599999999</v>
      </c>
      <c r="M2367" s="298">
        <v>210.08519000000001</v>
      </c>
      <c r="N2367" s="298">
        <v>210.64544699999999</v>
      </c>
      <c r="O2367" s="298">
        <v>211.34060700000001</v>
      </c>
      <c r="P2367" s="298">
        <v>211.95379600000001</v>
      </c>
      <c r="Q2367" s="298">
        <v>217.66662600000001</v>
      </c>
      <c r="R2367" s="298">
        <v>226.379242</v>
      </c>
      <c r="S2367" s="298">
        <v>226.724625</v>
      </c>
      <c r="T2367" s="298">
        <v>226.94605999999999</v>
      </c>
      <c r="U2367" s="298">
        <v>227.732101</v>
      </c>
      <c r="V2367" s="298">
        <v>227.91769400000001</v>
      </c>
      <c r="W2367" s="298">
        <v>228.495453</v>
      </c>
      <c r="X2367" s="298">
        <v>229.17544599999999</v>
      </c>
      <c r="Y2367" s="298">
        <v>229.29492200000001</v>
      </c>
      <c r="Z2367" s="298">
        <v>229.92713900000001</v>
      </c>
      <c r="AA2367" s="298">
        <v>231.348038</v>
      </c>
      <c r="AB2367" s="298">
        <v>233.10363799999999</v>
      </c>
      <c r="AC2367" s="298">
        <v>234.266098</v>
      </c>
      <c r="AD2367" s="298">
        <v>235.94601399999999</v>
      </c>
      <c r="AE2367" s="298">
        <v>236.174667</v>
      </c>
      <c r="AF2367" s="298">
        <v>238.324173</v>
      </c>
      <c r="AG2367" s="298">
        <v>240.98666399999999</v>
      </c>
      <c r="AH2367" s="296">
        <v>2.1555000000000001E-2</v>
      </c>
    </row>
    <row r="2368" spans="1:34" ht="15" customHeight="1" x14ac:dyDescent="0.2">
      <c r="A2368" s="213" t="s">
        <v>2766</v>
      </c>
      <c r="B2368" s="204" t="s">
        <v>2767</v>
      </c>
      <c r="C2368" s="300">
        <v>305.11218300000002</v>
      </c>
      <c r="D2368" s="300">
        <v>330.45477299999999</v>
      </c>
      <c r="E2368" s="300">
        <v>353.85067700000002</v>
      </c>
      <c r="F2368" s="300">
        <v>389.97625699999998</v>
      </c>
      <c r="G2368" s="300">
        <v>437.03436299999998</v>
      </c>
      <c r="H2368" s="300">
        <v>459.83670000000001</v>
      </c>
      <c r="I2368" s="300">
        <v>484.69357300000001</v>
      </c>
      <c r="J2368" s="300">
        <v>505.96572900000001</v>
      </c>
      <c r="K2368" s="300">
        <v>519.73138400000005</v>
      </c>
      <c r="L2368" s="300">
        <v>538.65930200000003</v>
      </c>
      <c r="M2368" s="300">
        <v>557.75982699999997</v>
      </c>
      <c r="N2368" s="300">
        <v>570.66455099999996</v>
      </c>
      <c r="O2368" s="300">
        <v>585.42175299999997</v>
      </c>
      <c r="P2368" s="300">
        <v>600.73168899999996</v>
      </c>
      <c r="Q2368" s="300">
        <v>617.39575200000002</v>
      </c>
      <c r="R2368" s="300">
        <v>641.10693400000002</v>
      </c>
      <c r="S2368" s="300">
        <v>653.52978499999995</v>
      </c>
      <c r="T2368" s="300">
        <v>665.85540800000001</v>
      </c>
      <c r="U2368" s="300">
        <v>679.67108199999996</v>
      </c>
      <c r="V2368" s="300">
        <v>689.29187000000002</v>
      </c>
      <c r="W2368" s="300">
        <v>700.09179700000004</v>
      </c>
      <c r="X2368" s="300">
        <v>716.06353799999999</v>
      </c>
      <c r="Y2368" s="300">
        <v>727.40045199999997</v>
      </c>
      <c r="Z2368" s="300">
        <v>738.99218800000006</v>
      </c>
      <c r="AA2368" s="300">
        <v>753.72259499999996</v>
      </c>
      <c r="AB2368" s="300">
        <v>772.63946499999997</v>
      </c>
      <c r="AC2368" s="300">
        <v>792.96264599999995</v>
      </c>
      <c r="AD2368" s="300">
        <v>814.67529300000001</v>
      </c>
      <c r="AE2368" s="300">
        <v>828.22503700000004</v>
      </c>
      <c r="AF2368" s="300">
        <v>845.22753899999998</v>
      </c>
      <c r="AG2368" s="300">
        <v>861.87609899999995</v>
      </c>
      <c r="AH2368" s="206">
        <v>3.5221000000000002E-2</v>
      </c>
    </row>
    <row r="2370" spans="1:34" ht="15" customHeight="1" x14ac:dyDescent="0.2">
      <c r="B2370" s="204" t="s">
        <v>1856</v>
      </c>
    </row>
    <row r="2371" spans="1:34" ht="15" customHeight="1" x14ac:dyDescent="0.25">
      <c r="A2371" s="213" t="s">
        <v>2768</v>
      </c>
      <c r="B2371" s="294" t="s">
        <v>2755</v>
      </c>
      <c r="C2371" s="298">
        <v>283.16360500000002</v>
      </c>
      <c r="D2371" s="298">
        <v>281.47854599999999</v>
      </c>
      <c r="E2371" s="298">
        <v>288.12332199999997</v>
      </c>
      <c r="F2371" s="298">
        <v>295.47671500000001</v>
      </c>
      <c r="G2371" s="298">
        <v>295.73303199999998</v>
      </c>
      <c r="H2371" s="298">
        <v>295.26791400000002</v>
      </c>
      <c r="I2371" s="298">
        <v>295.36007699999999</v>
      </c>
      <c r="J2371" s="298">
        <v>295.37631199999998</v>
      </c>
      <c r="K2371" s="298">
        <v>295.34539799999999</v>
      </c>
      <c r="L2371" s="298">
        <v>295.32595800000001</v>
      </c>
      <c r="M2371" s="298">
        <v>295.24642899999998</v>
      </c>
      <c r="N2371" s="298">
        <v>295.061981</v>
      </c>
      <c r="O2371" s="298">
        <v>294.85110500000002</v>
      </c>
      <c r="P2371" s="298">
        <v>294.82522599999999</v>
      </c>
      <c r="Q2371" s="298">
        <v>294.768372</v>
      </c>
      <c r="R2371" s="298">
        <v>294.77514600000001</v>
      </c>
      <c r="S2371" s="298">
        <v>294.78671300000002</v>
      </c>
      <c r="T2371" s="298">
        <v>294.75912499999998</v>
      </c>
      <c r="U2371" s="298">
        <v>294.614868</v>
      </c>
      <c r="V2371" s="298">
        <v>294.55636600000003</v>
      </c>
      <c r="W2371" s="298">
        <v>294.389252</v>
      </c>
      <c r="X2371" s="298">
        <v>294.31521600000002</v>
      </c>
      <c r="Y2371" s="298">
        <v>294.20092799999998</v>
      </c>
      <c r="Z2371" s="298">
        <v>294.17358400000001</v>
      </c>
      <c r="AA2371" s="298">
        <v>293.66476399999999</v>
      </c>
      <c r="AB2371" s="298">
        <v>293.817566</v>
      </c>
      <c r="AC2371" s="298">
        <v>293.79684400000002</v>
      </c>
      <c r="AD2371" s="298">
        <v>293.75158699999997</v>
      </c>
      <c r="AE2371" s="298">
        <v>293.88223299999999</v>
      </c>
      <c r="AF2371" s="298">
        <v>293.67590300000001</v>
      </c>
      <c r="AG2371" s="298">
        <v>293.53781099999998</v>
      </c>
      <c r="AH2371" s="296">
        <v>1.1999999999999999E-3</v>
      </c>
    </row>
    <row r="2372" spans="1:34" ht="15" customHeight="1" x14ac:dyDescent="0.25">
      <c r="A2372" s="213" t="s">
        <v>2769</v>
      </c>
      <c r="B2372" s="294" t="s">
        <v>2757</v>
      </c>
      <c r="C2372" s="298">
        <v>15.628645000000001</v>
      </c>
      <c r="D2372" s="298">
        <v>15.463341</v>
      </c>
      <c r="E2372" s="298">
        <v>16.069365000000001</v>
      </c>
      <c r="F2372" s="298">
        <v>16.299558999999999</v>
      </c>
      <c r="G2372" s="298">
        <v>17.356881999999999</v>
      </c>
      <c r="H2372" s="298">
        <v>18.556474999999999</v>
      </c>
      <c r="I2372" s="298">
        <v>19.612358</v>
      </c>
      <c r="J2372" s="298">
        <v>20.756208000000001</v>
      </c>
      <c r="K2372" s="298">
        <v>22.475203</v>
      </c>
      <c r="L2372" s="298">
        <v>23.854721000000001</v>
      </c>
      <c r="M2372" s="298">
        <v>25.270481</v>
      </c>
      <c r="N2372" s="298">
        <v>26.569673999999999</v>
      </c>
      <c r="O2372" s="298">
        <v>27.631900999999999</v>
      </c>
      <c r="P2372" s="298">
        <v>28.996521000000001</v>
      </c>
      <c r="Q2372" s="298">
        <v>30.280927999999999</v>
      </c>
      <c r="R2372" s="298">
        <v>31.891850999999999</v>
      </c>
      <c r="S2372" s="298">
        <v>33.505341000000001</v>
      </c>
      <c r="T2372" s="298">
        <v>35.183242999999997</v>
      </c>
      <c r="U2372" s="298">
        <v>36.690818999999998</v>
      </c>
      <c r="V2372" s="298">
        <v>38.159981000000002</v>
      </c>
      <c r="W2372" s="298">
        <v>39.512225999999998</v>
      </c>
      <c r="X2372" s="298">
        <v>40.698101000000001</v>
      </c>
      <c r="Y2372" s="298">
        <v>41.779651999999999</v>
      </c>
      <c r="Z2372" s="298">
        <v>42.647438000000001</v>
      </c>
      <c r="AA2372" s="298">
        <v>43.823417999999997</v>
      </c>
      <c r="AB2372" s="298">
        <v>44.941166000000003</v>
      </c>
      <c r="AC2372" s="298">
        <v>46.210101999999999</v>
      </c>
      <c r="AD2372" s="298">
        <v>47.245280999999999</v>
      </c>
      <c r="AE2372" s="298">
        <v>48.274250000000002</v>
      </c>
      <c r="AF2372" s="298">
        <v>48.979464999999998</v>
      </c>
      <c r="AG2372" s="298">
        <v>49.777045999999999</v>
      </c>
      <c r="AH2372" s="296">
        <v>3.9370000000000002E-2</v>
      </c>
    </row>
    <row r="2373" spans="1:34" ht="15" customHeight="1" x14ac:dyDescent="0.25">
      <c r="A2373" s="213" t="s">
        <v>2770</v>
      </c>
      <c r="B2373" s="294" t="s">
        <v>2759</v>
      </c>
      <c r="C2373" s="298">
        <v>21.656531999999999</v>
      </c>
      <c r="D2373" s="298">
        <v>22.589559999999999</v>
      </c>
      <c r="E2373" s="298">
        <v>22.777843000000001</v>
      </c>
      <c r="F2373" s="298">
        <v>23.812263000000002</v>
      </c>
      <c r="G2373" s="298">
        <v>25.207035000000001</v>
      </c>
      <c r="H2373" s="298">
        <v>26.364861000000001</v>
      </c>
      <c r="I2373" s="298">
        <v>27.560805999999999</v>
      </c>
      <c r="J2373" s="298">
        <v>28.631831999999999</v>
      </c>
      <c r="K2373" s="298">
        <v>29.504131000000001</v>
      </c>
      <c r="L2373" s="298">
        <v>30.701065</v>
      </c>
      <c r="M2373" s="298">
        <v>31.943259999999999</v>
      </c>
      <c r="N2373" s="298">
        <v>33.131104000000001</v>
      </c>
      <c r="O2373" s="298">
        <v>34.045161999999998</v>
      </c>
      <c r="P2373" s="298">
        <v>35.360027000000002</v>
      </c>
      <c r="Q2373" s="298">
        <v>36.652133999999997</v>
      </c>
      <c r="R2373" s="298">
        <v>37.936915999999997</v>
      </c>
      <c r="S2373" s="298">
        <v>39.148623999999998</v>
      </c>
      <c r="T2373" s="298">
        <v>40.484290999999999</v>
      </c>
      <c r="U2373" s="298">
        <v>41.364037000000003</v>
      </c>
      <c r="V2373" s="298">
        <v>42.307842000000001</v>
      </c>
      <c r="W2373" s="298">
        <v>43.277808999999998</v>
      </c>
      <c r="X2373" s="298">
        <v>44.320633000000001</v>
      </c>
      <c r="Y2373" s="298">
        <v>45.279361999999999</v>
      </c>
      <c r="Z2373" s="298">
        <v>46.432743000000002</v>
      </c>
      <c r="AA2373" s="298">
        <v>47.299926999999997</v>
      </c>
      <c r="AB2373" s="298">
        <v>48.081733999999997</v>
      </c>
      <c r="AC2373" s="298">
        <v>49.071438000000001</v>
      </c>
      <c r="AD2373" s="298">
        <v>50.268028000000001</v>
      </c>
      <c r="AE2373" s="298">
        <v>51.359959000000003</v>
      </c>
      <c r="AF2373" s="298">
        <v>52.219363999999999</v>
      </c>
      <c r="AG2373" s="298">
        <v>52.495258</v>
      </c>
      <c r="AH2373" s="296">
        <v>2.9954000000000001E-2</v>
      </c>
    </row>
    <row r="2374" spans="1:34" ht="15" customHeight="1" x14ac:dyDescent="0.25">
      <c r="A2374" s="213" t="s">
        <v>2771</v>
      </c>
      <c r="B2374" s="294" t="s">
        <v>2772</v>
      </c>
      <c r="C2374" s="298">
        <v>38.383735999999999</v>
      </c>
      <c r="D2374" s="298">
        <v>38.852778999999998</v>
      </c>
      <c r="E2374" s="298">
        <v>39.512466000000003</v>
      </c>
      <c r="F2374" s="298">
        <v>39.424979999999998</v>
      </c>
      <c r="G2374" s="298">
        <v>39.597136999999996</v>
      </c>
      <c r="H2374" s="298">
        <v>39.745654999999999</v>
      </c>
      <c r="I2374" s="298">
        <v>39.882984</v>
      </c>
      <c r="J2374" s="298">
        <v>39.975853000000001</v>
      </c>
      <c r="K2374" s="298">
        <v>39.489516999999999</v>
      </c>
      <c r="L2374" s="298">
        <v>39.305405</v>
      </c>
      <c r="M2374" s="298">
        <v>39.573841000000002</v>
      </c>
      <c r="N2374" s="298">
        <v>39.744391999999998</v>
      </c>
      <c r="O2374" s="298">
        <v>39.689976000000001</v>
      </c>
      <c r="P2374" s="298">
        <v>40.05545</v>
      </c>
      <c r="Q2374" s="298">
        <v>40.026608000000003</v>
      </c>
      <c r="R2374" s="298">
        <v>40.142997999999999</v>
      </c>
      <c r="S2374" s="298">
        <v>40.147018000000003</v>
      </c>
      <c r="T2374" s="298">
        <v>40.092360999999997</v>
      </c>
      <c r="U2374" s="298">
        <v>40.131737000000001</v>
      </c>
      <c r="V2374" s="298">
        <v>40.096286999999997</v>
      </c>
      <c r="W2374" s="298">
        <v>40.170166000000002</v>
      </c>
      <c r="X2374" s="298">
        <v>40.207549999999998</v>
      </c>
      <c r="Y2374" s="298">
        <v>40.316955999999998</v>
      </c>
      <c r="Z2374" s="298">
        <v>40.360638000000002</v>
      </c>
      <c r="AA2374" s="298">
        <v>40.508803999999998</v>
      </c>
      <c r="AB2374" s="298">
        <v>40.580734</v>
      </c>
      <c r="AC2374" s="298">
        <v>40.605468999999999</v>
      </c>
      <c r="AD2374" s="298">
        <v>40.868473000000002</v>
      </c>
      <c r="AE2374" s="298">
        <v>41.001106</v>
      </c>
      <c r="AF2374" s="298">
        <v>41.182667000000002</v>
      </c>
      <c r="AG2374" s="298">
        <v>41.407246000000001</v>
      </c>
      <c r="AH2374" s="296">
        <v>2.5309999999999998E-3</v>
      </c>
    </row>
    <row r="2375" spans="1:34" ht="15" customHeight="1" x14ac:dyDescent="0.25">
      <c r="A2375" s="213" t="s">
        <v>2773</v>
      </c>
      <c r="B2375" s="294" t="s">
        <v>2763</v>
      </c>
      <c r="C2375" s="298">
        <v>132.43554700000001</v>
      </c>
      <c r="D2375" s="298">
        <v>167.616241</v>
      </c>
      <c r="E2375" s="298">
        <v>203.85089099999999</v>
      </c>
      <c r="F2375" s="298">
        <v>221.689392</v>
      </c>
      <c r="G2375" s="298">
        <v>250.23144500000001</v>
      </c>
      <c r="H2375" s="298">
        <v>297.25543199999998</v>
      </c>
      <c r="I2375" s="298">
        <v>354.45166</v>
      </c>
      <c r="J2375" s="298">
        <v>402.13336199999998</v>
      </c>
      <c r="K2375" s="298">
        <v>429.55242900000002</v>
      </c>
      <c r="L2375" s="298">
        <v>467.86611900000003</v>
      </c>
      <c r="M2375" s="298">
        <v>496.62518299999999</v>
      </c>
      <c r="N2375" s="298">
        <v>522.33966099999998</v>
      </c>
      <c r="O2375" s="298">
        <v>553.81341599999996</v>
      </c>
      <c r="P2375" s="298">
        <v>586.68536400000005</v>
      </c>
      <c r="Q2375" s="298">
        <v>611.74230999999997</v>
      </c>
      <c r="R2375" s="298">
        <v>642.87951699999996</v>
      </c>
      <c r="S2375" s="298">
        <v>669.52587900000003</v>
      </c>
      <c r="T2375" s="298">
        <v>695.129639</v>
      </c>
      <c r="U2375" s="298">
        <v>722.10754399999996</v>
      </c>
      <c r="V2375" s="298">
        <v>742.380493</v>
      </c>
      <c r="W2375" s="298">
        <v>761.88696300000004</v>
      </c>
      <c r="X2375" s="298">
        <v>792.03369099999998</v>
      </c>
      <c r="Y2375" s="298">
        <v>815.96856700000001</v>
      </c>
      <c r="Z2375" s="298">
        <v>839.48541299999999</v>
      </c>
      <c r="AA2375" s="298">
        <v>865.39514199999996</v>
      </c>
      <c r="AB2375" s="298">
        <v>899.22094700000002</v>
      </c>
      <c r="AC2375" s="298">
        <v>940.38738999999998</v>
      </c>
      <c r="AD2375" s="298">
        <v>982.81304899999998</v>
      </c>
      <c r="AE2375" s="298">
        <v>1011.974976</v>
      </c>
      <c r="AF2375" s="298">
        <v>1041.3911129999999</v>
      </c>
      <c r="AG2375" s="298">
        <v>1070.877563</v>
      </c>
      <c r="AH2375" s="296">
        <v>7.2155999999999998E-2</v>
      </c>
    </row>
    <row r="2376" spans="1:34" ht="15" customHeight="1" x14ac:dyDescent="0.25">
      <c r="A2376" s="213" t="s">
        <v>2774</v>
      </c>
      <c r="B2376" s="294" t="s">
        <v>2765</v>
      </c>
      <c r="C2376" s="298">
        <v>342.85379</v>
      </c>
      <c r="D2376" s="298">
        <v>402.72198500000002</v>
      </c>
      <c r="E2376" s="298">
        <v>415.06982399999998</v>
      </c>
      <c r="F2376" s="298">
        <v>488.45608499999997</v>
      </c>
      <c r="G2376" s="298">
        <v>604.72412099999997</v>
      </c>
      <c r="H2376" s="298">
        <v>629.93280000000004</v>
      </c>
      <c r="I2376" s="298">
        <v>632.54736300000002</v>
      </c>
      <c r="J2376" s="298">
        <v>635.97174099999995</v>
      </c>
      <c r="K2376" s="298">
        <v>644.796875</v>
      </c>
      <c r="L2376" s="298">
        <v>648.30364999999995</v>
      </c>
      <c r="M2376" s="298">
        <v>673.39575200000002</v>
      </c>
      <c r="N2376" s="298">
        <v>681.16357400000004</v>
      </c>
      <c r="O2376" s="298">
        <v>683.21105999999997</v>
      </c>
      <c r="P2376" s="298">
        <v>685.26910399999997</v>
      </c>
      <c r="Q2376" s="298">
        <v>703.45050000000003</v>
      </c>
      <c r="R2376" s="298">
        <v>731.18817100000001</v>
      </c>
      <c r="S2376" s="298">
        <v>741.625</v>
      </c>
      <c r="T2376" s="298">
        <v>743.59436000000005</v>
      </c>
      <c r="U2376" s="298">
        <v>745.39959699999997</v>
      </c>
      <c r="V2376" s="298">
        <v>746.30383300000005</v>
      </c>
      <c r="W2376" s="298">
        <v>747.64355499999999</v>
      </c>
      <c r="X2376" s="298">
        <v>749.446594</v>
      </c>
      <c r="Y2376" s="298">
        <v>748.77239999999995</v>
      </c>
      <c r="Z2376" s="298">
        <v>751.492615</v>
      </c>
      <c r="AA2376" s="298">
        <v>756.61474599999997</v>
      </c>
      <c r="AB2376" s="298">
        <v>762.03668200000004</v>
      </c>
      <c r="AC2376" s="298">
        <v>766.12670900000001</v>
      </c>
      <c r="AD2376" s="298">
        <v>771.79815699999995</v>
      </c>
      <c r="AE2376" s="298">
        <v>774.48065199999996</v>
      </c>
      <c r="AF2376" s="298">
        <v>780.892517</v>
      </c>
      <c r="AG2376" s="298">
        <v>789.72167999999999</v>
      </c>
      <c r="AH2376" s="296">
        <v>2.8202999999999999E-2</v>
      </c>
    </row>
    <row r="2377" spans="1:34" ht="15" customHeight="1" x14ac:dyDescent="0.2">
      <c r="A2377" s="213" t="s">
        <v>2775</v>
      </c>
      <c r="B2377" s="204" t="s">
        <v>2776</v>
      </c>
      <c r="C2377" s="300">
        <v>834.12182600000006</v>
      </c>
      <c r="D2377" s="300">
        <v>928.72247300000004</v>
      </c>
      <c r="E2377" s="300">
        <v>985.40368699999999</v>
      </c>
      <c r="F2377" s="300">
        <v>1085.158936</v>
      </c>
      <c r="G2377" s="300">
        <v>1232.8496090000001</v>
      </c>
      <c r="H2377" s="300">
        <v>1307.123169</v>
      </c>
      <c r="I2377" s="300">
        <v>1369.415283</v>
      </c>
      <c r="J2377" s="300">
        <v>1422.8452150000001</v>
      </c>
      <c r="K2377" s="300">
        <v>1461.1635739999999</v>
      </c>
      <c r="L2377" s="300">
        <v>1505.3569339999999</v>
      </c>
      <c r="M2377" s="300">
        <v>1562.054932</v>
      </c>
      <c r="N2377" s="300">
        <v>1598.010376</v>
      </c>
      <c r="O2377" s="300">
        <v>1633.2426760000001</v>
      </c>
      <c r="P2377" s="300">
        <v>1671.19165</v>
      </c>
      <c r="Q2377" s="300">
        <v>1716.9208980000001</v>
      </c>
      <c r="R2377" s="300">
        <v>1778.814697</v>
      </c>
      <c r="S2377" s="300">
        <v>1818.738525</v>
      </c>
      <c r="T2377" s="300">
        <v>1849.2430420000001</v>
      </c>
      <c r="U2377" s="300">
        <v>1880.3085940000001</v>
      </c>
      <c r="V2377" s="300">
        <v>1903.8048100000001</v>
      </c>
      <c r="W2377" s="300">
        <v>1926.880005</v>
      </c>
      <c r="X2377" s="300">
        <v>1961.0217290000001</v>
      </c>
      <c r="Y2377" s="300">
        <v>1986.317871</v>
      </c>
      <c r="Z2377" s="300">
        <v>2014.592529</v>
      </c>
      <c r="AA2377" s="300">
        <v>2047.306885</v>
      </c>
      <c r="AB2377" s="300">
        <v>2088.678711</v>
      </c>
      <c r="AC2377" s="300">
        <v>2136.1979980000001</v>
      </c>
      <c r="AD2377" s="300">
        <v>2186.7446289999998</v>
      </c>
      <c r="AE2377" s="300">
        <v>2220.9731449999999</v>
      </c>
      <c r="AF2377" s="300">
        <v>2258.3410640000002</v>
      </c>
      <c r="AG2377" s="300">
        <v>2297.8166500000002</v>
      </c>
      <c r="AH2377" s="206">
        <v>3.4354999999999997E-2</v>
      </c>
    </row>
    <row r="2378" spans="1:34" ht="15" customHeight="1" thickBot="1" x14ac:dyDescent="0.25"/>
    <row r="2379" spans="1:34" ht="15" customHeight="1" x14ac:dyDescent="0.2">
      <c r="B2379" s="305" t="s">
        <v>2093</v>
      </c>
      <c r="C2379" s="305"/>
      <c r="D2379" s="305"/>
      <c r="E2379" s="305"/>
      <c r="F2379" s="305"/>
      <c r="G2379" s="305"/>
      <c r="H2379" s="305"/>
      <c r="I2379" s="305"/>
      <c r="J2379" s="305"/>
      <c r="K2379" s="305"/>
      <c r="L2379" s="305"/>
      <c r="M2379" s="305"/>
      <c r="N2379" s="305"/>
      <c r="O2379" s="305"/>
      <c r="P2379" s="305"/>
      <c r="Q2379" s="305"/>
      <c r="R2379" s="305"/>
      <c r="S2379" s="305"/>
      <c r="T2379" s="305"/>
      <c r="U2379" s="305"/>
      <c r="V2379" s="305"/>
      <c r="W2379" s="305"/>
      <c r="X2379" s="305"/>
      <c r="Y2379" s="305"/>
      <c r="Z2379" s="305"/>
      <c r="AA2379" s="305"/>
      <c r="AB2379" s="305"/>
      <c r="AC2379" s="305"/>
      <c r="AD2379" s="305"/>
      <c r="AE2379" s="305"/>
      <c r="AF2379" s="305"/>
      <c r="AG2379" s="305"/>
      <c r="AH2379" s="305"/>
    </row>
    <row r="2380" spans="1:34" ht="15" customHeight="1" x14ac:dyDescent="0.2">
      <c r="B2380" s="208" t="s">
        <v>2777</v>
      </c>
    </row>
    <row r="2381" spans="1:34" ht="15" customHeight="1" x14ac:dyDescent="0.2">
      <c r="B2381" s="208" t="s">
        <v>2778</v>
      </c>
    </row>
    <row r="2382" spans="1:34" ht="15" customHeight="1" x14ac:dyDescent="0.2">
      <c r="B2382" s="208" t="s">
        <v>2779</v>
      </c>
    </row>
    <row r="2383" spans="1:34" ht="15" customHeight="1" x14ac:dyDescent="0.2">
      <c r="B2383" s="208" t="s">
        <v>2780</v>
      </c>
    </row>
    <row r="2384" spans="1:34" ht="15" customHeight="1" x14ac:dyDescent="0.2">
      <c r="B2384" s="208" t="s">
        <v>2781</v>
      </c>
    </row>
    <row r="2385" spans="2:2" ht="15" customHeight="1" x14ac:dyDescent="0.2">
      <c r="B2385" s="208" t="s">
        <v>2782</v>
      </c>
    </row>
    <row r="2386" spans="2:2" ht="15" customHeight="1" x14ac:dyDescent="0.2">
      <c r="B2386" s="208" t="s">
        <v>2783</v>
      </c>
    </row>
    <row r="2387" spans="2:2" ht="15" customHeight="1" x14ac:dyDescent="0.2">
      <c r="B2387" s="208" t="s">
        <v>2784</v>
      </c>
    </row>
    <row r="2388" spans="2:2" ht="15" customHeight="1" x14ac:dyDescent="0.2">
      <c r="B2388" s="208" t="s">
        <v>2785</v>
      </c>
    </row>
    <row r="2389" spans="2:2" ht="15" customHeight="1" x14ac:dyDescent="0.2">
      <c r="B2389" s="208" t="s">
        <v>2786</v>
      </c>
    </row>
    <row r="2390" spans="2:2" ht="15" customHeight="1" x14ac:dyDescent="0.2">
      <c r="B2390" s="208" t="s">
        <v>2101</v>
      </c>
    </row>
    <row r="2391" spans="2:2" ht="15" customHeight="1" x14ac:dyDescent="0.2">
      <c r="B2391" s="208" t="s">
        <v>2102</v>
      </c>
    </row>
    <row r="2392" spans="2:2" ht="15" customHeight="1" x14ac:dyDescent="0.2">
      <c r="B2392" s="208" t="s">
        <v>2103</v>
      </c>
    </row>
    <row r="2393" spans="2:2" ht="15" customHeight="1" x14ac:dyDescent="0.2">
      <c r="B2393" s="208" t="s">
        <v>2787</v>
      </c>
    </row>
    <row r="2394" spans="2:2" ht="15" customHeight="1" x14ac:dyDescent="0.2">
      <c r="B2394" s="208" t="s">
        <v>2788</v>
      </c>
    </row>
    <row r="2395" spans="2:2" ht="15" customHeight="1" x14ac:dyDescent="0.2">
      <c r="B2395" s="208" t="s">
        <v>601</v>
      </c>
    </row>
    <row r="2396" spans="2:2" ht="15" customHeight="1" x14ac:dyDescent="0.2">
      <c r="B2396" s="208" t="s">
        <v>614</v>
      </c>
    </row>
    <row r="2397" spans="2:2" ht="15" customHeight="1" x14ac:dyDescent="0.2">
      <c r="B2397" s="208" t="s">
        <v>2215</v>
      </c>
    </row>
    <row r="2398" spans="2:2" ht="15" customHeight="1" x14ac:dyDescent="0.2">
      <c r="B2398" s="208" t="s">
        <v>1979</v>
      </c>
    </row>
    <row r="2410" spans="1:34" ht="15" customHeight="1" x14ac:dyDescent="0.25">
      <c r="A2410" s="213" t="s">
        <v>2789</v>
      </c>
      <c r="B2410" s="202" t="s">
        <v>1025</v>
      </c>
      <c r="AH2410" s="292" t="s">
        <v>597</v>
      </c>
    </row>
    <row r="2411" spans="1:34" ht="15" customHeight="1" x14ac:dyDescent="0.2">
      <c r="B2411" s="199" t="s">
        <v>123</v>
      </c>
      <c r="AH2411" s="292" t="s">
        <v>598</v>
      </c>
    </row>
    <row r="2412" spans="1:34" ht="15" customHeight="1" x14ac:dyDescent="0.2">
      <c r="B2412" s="199" t="s">
        <v>124</v>
      </c>
      <c r="C2412" s="222" t="s">
        <v>124</v>
      </c>
      <c r="D2412" s="222" t="s">
        <v>124</v>
      </c>
      <c r="E2412" s="222" t="s">
        <v>124</v>
      </c>
      <c r="F2412" s="222" t="s">
        <v>124</v>
      </c>
      <c r="G2412" s="222" t="s">
        <v>124</v>
      </c>
      <c r="H2412" s="222" t="s">
        <v>124</v>
      </c>
      <c r="I2412" s="222" t="s">
        <v>124</v>
      </c>
      <c r="J2412" s="222" t="s">
        <v>124</v>
      </c>
      <c r="K2412" s="222" t="s">
        <v>124</v>
      </c>
      <c r="L2412" s="222" t="s">
        <v>124</v>
      </c>
      <c r="M2412" s="222" t="s">
        <v>124</v>
      </c>
      <c r="N2412" s="222" t="s">
        <v>124</v>
      </c>
      <c r="O2412" s="222" t="s">
        <v>124</v>
      </c>
      <c r="P2412" s="222" t="s">
        <v>124</v>
      </c>
      <c r="Q2412" s="222" t="s">
        <v>124</v>
      </c>
      <c r="R2412" s="222" t="s">
        <v>124</v>
      </c>
      <c r="S2412" s="222" t="s">
        <v>124</v>
      </c>
      <c r="T2412" s="222" t="s">
        <v>124</v>
      </c>
      <c r="U2412" s="222" t="s">
        <v>124</v>
      </c>
      <c r="V2412" s="222" t="s">
        <v>124</v>
      </c>
      <c r="W2412" s="222" t="s">
        <v>124</v>
      </c>
      <c r="X2412" s="222" t="s">
        <v>124</v>
      </c>
      <c r="Y2412" s="222" t="s">
        <v>124</v>
      </c>
      <c r="Z2412" s="222" t="s">
        <v>124</v>
      </c>
      <c r="AA2412" s="222" t="s">
        <v>124</v>
      </c>
      <c r="AB2412" s="222" t="s">
        <v>124</v>
      </c>
      <c r="AC2412" s="222" t="s">
        <v>124</v>
      </c>
      <c r="AD2412" s="222" t="s">
        <v>124</v>
      </c>
      <c r="AE2412" s="222" t="s">
        <v>124</v>
      </c>
      <c r="AF2412" s="222" t="s">
        <v>124</v>
      </c>
      <c r="AG2412" s="222" t="s">
        <v>124</v>
      </c>
      <c r="AH2412" s="292" t="s">
        <v>599</v>
      </c>
    </row>
    <row r="2413" spans="1:34" ht="15" customHeight="1" thickBot="1" x14ac:dyDescent="0.25">
      <c r="B2413" s="200" t="s">
        <v>1033</v>
      </c>
      <c r="C2413" s="200">
        <v>2020</v>
      </c>
      <c r="D2413" s="200">
        <v>2021</v>
      </c>
      <c r="E2413" s="200">
        <v>2022</v>
      </c>
      <c r="F2413" s="200">
        <v>2023</v>
      </c>
      <c r="G2413" s="200">
        <v>2024</v>
      </c>
      <c r="H2413" s="200">
        <v>2025</v>
      </c>
      <c r="I2413" s="200">
        <v>2026</v>
      </c>
      <c r="J2413" s="200">
        <v>2027</v>
      </c>
      <c r="K2413" s="200">
        <v>2028</v>
      </c>
      <c r="L2413" s="200">
        <v>2029</v>
      </c>
      <c r="M2413" s="200">
        <v>2030</v>
      </c>
      <c r="N2413" s="200">
        <v>2031</v>
      </c>
      <c r="O2413" s="200">
        <v>2032</v>
      </c>
      <c r="P2413" s="200">
        <v>2033</v>
      </c>
      <c r="Q2413" s="200">
        <v>2034</v>
      </c>
      <c r="R2413" s="200">
        <v>2035</v>
      </c>
      <c r="S2413" s="200">
        <v>2036</v>
      </c>
      <c r="T2413" s="200">
        <v>2037</v>
      </c>
      <c r="U2413" s="200">
        <v>2038</v>
      </c>
      <c r="V2413" s="200">
        <v>2039</v>
      </c>
      <c r="W2413" s="200">
        <v>2040</v>
      </c>
      <c r="X2413" s="200">
        <v>2041</v>
      </c>
      <c r="Y2413" s="200">
        <v>2042</v>
      </c>
      <c r="Z2413" s="200">
        <v>2043</v>
      </c>
      <c r="AA2413" s="200">
        <v>2044</v>
      </c>
      <c r="AB2413" s="200">
        <v>2045</v>
      </c>
      <c r="AC2413" s="200">
        <v>2046</v>
      </c>
      <c r="AD2413" s="200">
        <v>2047</v>
      </c>
      <c r="AE2413" s="200">
        <v>2048</v>
      </c>
      <c r="AF2413" s="200">
        <v>2049</v>
      </c>
      <c r="AG2413" s="200">
        <v>2050</v>
      </c>
      <c r="AH2413" s="293" t="s">
        <v>600</v>
      </c>
    </row>
    <row r="2414" spans="1:34" ht="15" customHeight="1" thickTop="1" x14ac:dyDescent="0.2"/>
    <row r="2415" spans="1:34" ht="15" customHeight="1" x14ac:dyDescent="0.2">
      <c r="B2415" s="204" t="s">
        <v>2790</v>
      </c>
    </row>
    <row r="2417" spans="1:34" ht="15" customHeight="1" x14ac:dyDescent="0.2">
      <c r="A2417" s="213" t="s">
        <v>2791</v>
      </c>
      <c r="B2417" s="204" t="s">
        <v>2792</v>
      </c>
      <c r="C2417" s="205">
        <v>0.45751199999999997</v>
      </c>
      <c r="D2417" s="205">
        <v>0.45433299999999999</v>
      </c>
      <c r="E2417" s="205">
        <v>0.443909</v>
      </c>
      <c r="F2417" s="205">
        <v>0.448911</v>
      </c>
      <c r="G2417" s="205">
        <v>0.45432600000000001</v>
      </c>
      <c r="H2417" s="205">
        <v>0.45631699999999997</v>
      </c>
      <c r="I2417" s="205">
        <v>0.45534000000000002</v>
      </c>
      <c r="J2417" s="205">
        <v>0.45182099999999997</v>
      </c>
      <c r="K2417" s="205">
        <v>0.44889299999999999</v>
      </c>
      <c r="L2417" s="205">
        <v>0.444799</v>
      </c>
      <c r="M2417" s="205">
        <v>0.44039800000000001</v>
      </c>
      <c r="N2417" s="205">
        <v>0.43509900000000001</v>
      </c>
      <c r="O2417" s="205">
        <v>0.42979099999999998</v>
      </c>
      <c r="P2417" s="205">
        <v>0.423655</v>
      </c>
      <c r="Q2417" s="205">
        <v>0.416962</v>
      </c>
      <c r="R2417" s="205">
        <v>0.40978399999999998</v>
      </c>
      <c r="S2417" s="205">
        <v>0.40250999999999998</v>
      </c>
      <c r="T2417" s="205">
        <v>0.39616499999999999</v>
      </c>
      <c r="U2417" s="205">
        <v>0.3906</v>
      </c>
      <c r="V2417" s="205">
        <v>0.38444800000000001</v>
      </c>
      <c r="W2417" s="205">
        <v>0.37942199999999998</v>
      </c>
      <c r="X2417" s="205">
        <v>0.37479000000000001</v>
      </c>
      <c r="Y2417" s="205">
        <v>0.37020500000000001</v>
      </c>
      <c r="Z2417" s="205">
        <v>0.36615700000000001</v>
      </c>
      <c r="AA2417" s="205">
        <v>0.36159400000000003</v>
      </c>
      <c r="AB2417" s="205">
        <v>0.35714499999999999</v>
      </c>
      <c r="AC2417" s="205">
        <v>0.35383199999999998</v>
      </c>
      <c r="AD2417" s="205">
        <v>0.35059000000000001</v>
      </c>
      <c r="AE2417" s="205">
        <v>0.34657500000000002</v>
      </c>
      <c r="AF2417" s="205">
        <v>0.34247</v>
      </c>
      <c r="AG2417" s="205">
        <v>0.33811099999999999</v>
      </c>
      <c r="AH2417" s="206">
        <v>-1.0030000000000001E-2</v>
      </c>
    </row>
    <row r="2419" spans="1:34" ht="15" customHeight="1" x14ac:dyDescent="0.2">
      <c r="A2419" s="213" t="s">
        <v>2793</v>
      </c>
      <c r="B2419" s="204" t="s">
        <v>2794</v>
      </c>
      <c r="C2419" s="205">
        <v>0.131216</v>
      </c>
      <c r="D2419" s="205">
        <v>0.131216</v>
      </c>
      <c r="E2419" s="205">
        <v>0.131216</v>
      </c>
      <c r="F2419" s="205">
        <v>0.131216</v>
      </c>
      <c r="G2419" s="205">
        <v>0.131216</v>
      </c>
      <c r="H2419" s="205">
        <v>0.131216</v>
      </c>
      <c r="I2419" s="205">
        <v>0.131216</v>
      </c>
      <c r="J2419" s="205">
        <v>0.131216</v>
      </c>
      <c r="K2419" s="205">
        <v>0.131216</v>
      </c>
      <c r="L2419" s="205">
        <v>0.131216</v>
      </c>
      <c r="M2419" s="205">
        <v>0.131216</v>
      </c>
      <c r="N2419" s="205">
        <v>0.131216</v>
      </c>
      <c r="O2419" s="205">
        <v>0.131216</v>
      </c>
      <c r="P2419" s="205">
        <v>0.131216</v>
      </c>
      <c r="Q2419" s="205">
        <v>0.131216</v>
      </c>
      <c r="R2419" s="205">
        <v>0.131216</v>
      </c>
      <c r="S2419" s="205">
        <v>0.131216</v>
      </c>
      <c r="T2419" s="205">
        <v>0.131216</v>
      </c>
      <c r="U2419" s="205">
        <v>0.131216</v>
      </c>
      <c r="V2419" s="205">
        <v>0.131216</v>
      </c>
      <c r="W2419" s="205">
        <v>0.131216</v>
      </c>
      <c r="X2419" s="205">
        <v>0.131216</v>
      </c>
      <c r="Y2419" s="205">
        <v>0.131216</v>
      </c>
      <c r="Z2419" s="205">
        <v>0.131216</v>
      </c>
      <c r="AA2419" s="205">
        <v>0.131216</v>
      </c>
      <c r="AB2419" s="205">
        <v>0.131216</v>
      </c>
      <c r="AC2419" s="205">
        <v>0.131216</v>
      </c>
      <c r="AD2419" s="205">
        <v>0.131216</v>
      </c>
      <c r="AE2419" s="205">
        <v>0.131216</v>
      </c>
      <c r="AF2419" s="205">
        <v>0.131216</v>
      </c>
      <c r="AG2419" s="205">
        <v>0.131216</v>
      </c>
      <c r="AH2419" s="206">
        <v>0</v>
      </c>
    </row>
    <row r="2421" spans="1:34" ht="15" customHeight="1" x14ac:dyDescent="0.2">
      <c r="A2421" s="213" t="s">
        <v>2795</v>
      </c>
      <c r="B2421" s="204" t="s">
        <v>2796</v>
      </c>
      <c r="C2421" s="205">
        <v>2.4349829999999999</v>
      </c>
      <c r="D2421" s="205">
        <v>2.4103940000000001</v>
      </c>
      <c r="E2421" s="205">
        <v>2.4423859999999999</v>
      </c>
      <c r="F2421" s="205">
        <v>2.4542799999999998</v>
      </c>
      <c r="G2421" s="205">
        <v>2.4660890000000002</v>
      </c>
      <c r="H2421" s="205">
        <v>2.483581</v>
      </c>
      <c r="I2421" s="205">
        <v>2.493573</v>
      </c>
      <c r="J2421" s="205">
        <v>2.5009929999999998</v>
      </c>
      <c r="K2421" s="205">
        <v>2.5043090000000001</v>
      </c>
      <c r="L2421" s="205">
        <v>2.5094889999999999</v>
      </c>
      <c r="M2421" s="205">
        <v>2.5218639999999999</v>
      </c>
      <c r="N2421" s="205">
        <v>2.54087</v>
      </c>
      <c r="O2421" s="205">
        <v>2.548273</v>
      </c>
      <c r="P2421" s="205">
        <v>2.5546419999999999</v>
      </c>
      <c r="Q2421" s="205">
        <v>2.5604019999999998</v>
      </c>
      <c r="R2421" s="205">
        <v>2.573331</v>
      </c>
      <c r="S2421" s="205">
        <v>2.5835149999999998</v>
      </c>
      <c r="T2421" s="205">
        <v>2.595269</v>
      </c>
      <c r="U2421" s="205">
        <v>2.6118899999999998</v>
      </c>
      <c r="V2421" s="205">
        <v>2.627891</v>
      </c>
      <c r="W2421" s="205">
        <v>2.6434540000000002</v>
      </c>
      <c r="X2421" s="205">
        <v>2.663767</v>
      </c>
      <c r="Y2421" s="205">
        <v>2.687821</v>
      </c>
      <c r="Z2421" s="205">
        <v>2.7147329999999998</v>
      </c>
      <c r="AA2421" s="205">
        <v>2.7412200000000002</v>
      </c>
      <c r="AB2421" s="205">
        <v>2.7734009999999998</v>
      </c>
      <c r="AC2421" s="205">
        <v>2.7965499999999999</v>
      </c>
      <c r="AD2421" s="205">
        <v>2.8346179999999999</v>
      </c>
      <c r="AE2421" s="205">
        <v>2.8641700000000001</v>
      </c>
      <c r="AF2421" s="205">
        <v>2.8970020000000001</v>
      </c>
      <c r="AG2421" s="205">
        <v>2.9304329999999998</v>
      </c>
      <c r="AH2421" s="206">
        <v>6.1929999999999997E-3</v>
      </c>
    </row>
    <row r="2422" spans="1:34" ht="15" customHeight="1" x14ac:dyDescent="0.25">
      <c r="A2422" s="213" t="s">
        <v>2797</v>
      </c>
      <c r="B2422" s="294" t="s">
        <v>2755</v>
      </c>
      <c r="C2422" s="295">
        <v>1.2289E-2</v>
      </c>
      <c r="D2422" s="295">
        <v>1.2248E-2</v>
      </c>
      <c r="E2422" s="295">
        <v>1.4031E-2</v>
      </c>
      <c r="F2422" s="295">
        <v>1.5814000000000002E-2</v>
      </c>
      <c r="G2422" s="295">
        <v>1.6705999999999999E-2</v>
      </c>
      <c r="H2422" s="295">
        <v>1.7597000000000002E-2</v>
      </c>
      <c r="I2422" s="295">
        <v>1.8488999999999998E-2</v>
      </c>
      <c r="J2422" s="295">
        <v>1.9380000000000001E-2</v>
      </c>
      <c r="K2422" s="295">
        <v>1.9826E-2</v>
      </c>
      <c r="L2422" s="295">
        <v>2.0271999999999998E-2</v>
      </c>
      <c r="M2422" s="295">
        <v>2.0716999999999999E-2</v>
      </c>
      <c r="N2422" s="295">
        <v>2.1163000000000001E-2</v>
      </c>
      <c r="O2422" s="295">
        <v>2.1163000000000001E-2</v>
      </c>
      <c r="P2422" s="295">
        <v>2.1163000000000001E-2</v>
      </c>
      <c r="Q2422" s="295">
        <v>2.1163000000000001E-2</v>
      </c>
      <c r="R2422" s="295">
        <v>2.1163000000000001E-2</v>
      </c>
      <c r="S2422" s="295">
        <v>2.1163000000000001E-2</v>
      </c>
      <c r="T2422" s="295">
        <v>2.1163000000000001E-2</v>
      </c>
      <c r="U2422" s="295">
        <v>2.1163000000000001E-2</v>
      </c>
      <c r="V2422" s="295">
        <v>2.1163000000000001E-2</v>
      </c>
      <c r="W2422" s="295">
        <v>2.1163000000000001E-2</v>
      </c>
      <c r="X2422" s="295">
        <v>2.1163000000000001E-2</v>
      </c>
      <c r="Y2422" s="295">
        <v>2.1163000000000001E-2</v>
      </c>
      <c r="Z2422" s="295">
        <v>2.1163000000000001E-2</v>
      </c>
      <c r="AA2422" s="295">
        <v>2.1163000000000001E-2</v>
      </c>
      <c r="AB2422" s="295">
        <v>2.1163000000000001E-2</v>
      </c>
      <c r="AC2422" s="295">
        <v>2.1163000000000001E-2</v>
      </c>
      <c r="AD2422" s="295">
        <v>2.1163000000000001E-2</v>
      </c>
      <c r="AE2422" s="295">
        <v>2.1163000000000001E-2</v>
      </c>
      <c r="AF2422" s="295">
        <v>2.1163000000000001E-2</v>
      </c>
      <c r="AG2422" s="295">
        <v>2.1163000000000001E-2</v>
      </c>
      <c r="AH2422" s="296">
        <v>1.8284999999999999E-2</v>
      </c>
    </row>
    <row r="2423" spans="1:34" ht="15" customHeight="1" x14ac:dyDescent="0.25">
      <c r="A2423" s="213" t="s">
        <v>2798</v>
      </c>
      <c r="B2423" s="294" t="s">
        <v>2799</v>
      </c>
      <c r="C2423" s="295">
        <v>0.16345499999999999</v>
      </c>
      <c r="D2423" s="295">
        <v>0.16238900000000001</v>
      </c>
      <c r="E2423" s="295">
        <v>0.16277800000000001</v>
      </c>
      <c r="F2423" s="295">
        <v>0.16192300000000001</v>
      </c>
      <c r="G2423" s="295">
        <v>0.16106699999999999</v>
      </c>
      <c r="H2423" s="295">
        <v>0.160188</v>
      </c>
      <c r="I2423" s="295">
        <v>0.15889600000000001</v>
      </c>
      <c r="J2423" s="295">
        <v>0.157332</v>
      </c>
      <c r="K2423" s="295">
        <v>0.15552099999999999</v>
      </c>
      <c r="L2423" s="295">
        <v>0.15378</v>
      </c>
      <c r="M2423" s="295">
        <v>0.152199</v>
      </c>
      <c r="N2423" s="295">
        <v>0.15068200000000001</v>
      </c>
      <c r="O2423" s="295">
        <v>0.14929000000000001</v>
      </c>
      <c r="P2423" s="295">
        <v>0.14813000000000001</v>
      </c>
      <c r="Q2423" s="295">
        <v>0.146095</v>
      </c>
      <c r="R2423" s="295">
        <v>0.14769099999999999</v>
      </c>
      <c r="S2423" s="295">
        <v>0.14918999999999999</v>
      </c>
      <c r="T2423" s="295">
        <v>0.150589</v>
      </c>
      <c r="U2423" s="295">
        <v>0.152061</v>
      </c>
      <c r="V2423" s="295">
        <v>0.15356700000000001</v>
      </c>
      <c r="W2423" s="295">
        <v>0.15520999999999999</v>
      </c>
      <c r="X2423" s="295">
        <v>0.156971</v>
      </c>
      <c r="Y2423" s="295">
        <v>0.15872900000000001</v>
      </c>
      <c r="Z2423" s="295">
        <v>0.16056300000000001</v>
      </c>
      <c r="AA2423" s="295">
        <v>0.16247800000000001</v>
      </c>
      <c r="AB2423" s="295">
        <v>0.16441700000000001</v>
      </c>
      <c r="AC2423" s="295">
        <v>0.16634699999999999</v>
      </c>
      <c r="AD2423" s="295">
        <v>0.16828099999999999</v>
      </c>
      <c r="AE2423" s="295">
        <v>0.17033799999999999</v>
      </c>
      <c r="AF2423" s="295">
        <v>0.172482</v>
      </c>
      <c r="AG2423" s="295">
        <v>0.174732</v>
      </c>
      <c r="AH2423" s="296">
        <v>2.2260000000000001E-3</v>
      </c>
    </row>
    <row r="2424" spans="1:34" ht="15" customHeight="1" x14ac:dyDescent="0.25">
      <c r="A2424" s="213" t="s">
        <v>2800</v>
      </c>
      <c r="B2424" s="294" t="s">
        <v>2801</v>
      </c>
      <c r="C2424" s="295">
        <v>1.35443</v>
      </c>
      <c r="D2424" s="295">
        <v>1.3546860000000001</v>
      </c>
      <c r="E2424" s="295">
        <v>1.3948849999999999</v>
      </c>
      <c r="F2424" s="295">
        <v>1.400493</v>
      </c>
      <c r="G2424" s="295">
        <v>1.4093169999999999</v>
      </c>
      <c r="H2424" s="295">
        <v>1.420372</v>
      </c>
      <c r="I2424" s="295">
        <v>1.4279390000000001</v>
      </c>
      <c r="J2424" s="295">
        <v>1.4338040000000001</v>
      </c>
      <c r="K2424" s="295">
        <v>1.4361889999999999</v>
      </c>
      <c r="L2424" s="295">
        <v>1.440266</v>
      </c>
      <c r="M2424" s="295">
        <v>1.449335</v>
      </c>
      <c r="N2424" s="295">
        <v>1.4597599999999999</v>
      </c>
      <c r="O2424" s="295">
        <v>1.465265</v>
      </c>
      <c r="P2424" s="295">
        <v>1.4676439999999999</v>
      </c>
      <c r="Q2424" s="295">
        <v>1.469241</v>
      </c>
      <c r="R2424" s="295">
        <v>1.4744969999999999</v>
      </c>
      <c r="S2424" s="295">
        <v>1.478361</v>
      </c>
      <c r="T2424" s="295">
        <v>1.483511</v>
      </c>
      <c r="U2424" s="295">
        <v>1.493263</v>
      </c>
      <c r="V2424" s="295">
        <v>1.5015499999999999</v>
      </c>
      <c r="W2424" s="295">
        <v>1.5086539999999999</v>
      </c>
      <c r="X2424" s="295">
        <v>1.5205439999999999</v>
      </c>
      <c r="Y2424" s="295">
        <v>1.534778</v>
      </c>
      <c r="Z2424" s="295">
        <v>1.5508310000000001</v>
      </c>
      <c r="AA2424" s="295">
        <v>1.566098</v>
      </c>
      <c r="AB2424" s="295">
        <v>1.5824149999999999</v>
      </c>
      <c r="AC2424" s="295">
        <v>1.5988100000000001</v>
      </c>
      <c r="AD2424" s="295">
        <v>1.617537</v>
      </c>
      <c r="AE2424" s="295">
        <v>1.63527</v>
      </c>
      <c r="AF2424" s="295">
        <v>1.655443</v>
      </c>
      <c r="AG2424" s="295">
        <v>1.6759630000000001</v>
      </c>
      <c r="AH2424" s="296">
        <v>7.1250000000000003E-3</v>
      </c>
    </row>
    <row r="2425" spans="1:34" ht="15" customHeight="1" x14ac:dyDescent="0.25">
      <c r="A2425" s="213" t="s">
        <v>2802</v>
      </c>
      <c r="B2425" s="294" t="s">
        <v>2803</v>
      </c>
      <c r="C2425" s="295">
        <v>0.90481</v>
      </c>
      <c r="D2425" s="295">
        <v>0.88107100000000005</v>
      </c>
      <c r="E2425" s="295">
        <v>0.87069200000000002</v>
      </c>
      <c r="F2425" s="295">
        <v>0.87605100000000002</v>
      </c>
      <c r="G2425" s="295">
        <v>0.879</v>
      </c>
      <c r="H2425" s="295">
        <v>0.88542399999999999</v>
      </c>
      <c r="I2425" s="295">
        <v>0.88824899999999996</v>
      </c>
      <c r="J2425" s="295">
        <v>0.89047699999999996</v>
      </c>
      <c r="K2425" s="295">
        <v>0.89277300000000004</v>
      </c>
      <c r="L2425" s="295">
        <v>0.89517199999999997</v>
      </c>
      <c r="M2425" s="295">
        <v>0.899613</v>
      </c>
      <c r="N2425" s="295">
        <v>0.90926399999999996</v>
      </c>
      <c r="O2425" s="295">
        <v>0.91255399999999998</v>
      </c>
      <c r="P2425" s="295">
        <v>0.91770499999999999</v>
      </c>
      <c r="Q2425" s="295">
        <v>0.92390300000000003</v>
      </c>
      <c r="R2425" s="295">
        <v>0.92998000000000003</v>
      </c>
      <c r="S2425" s="295">
        <v>0.93480099999999999</v>
      </c>
      <c r="T2425" s="295">
        <v>0.94000700000000004</v>
      </c>
      <c r="U2425" s="295">
        <v>0.94540199999999996</v>
      </c>
      <c r="V2425" s="295">
        <v>0.95161099999999998</v>
      </c>
      <c r="W2425" s="295">
        <v>0.95842700000000003</v>
      </c>
      <c r="X2425" s="295">
        <v>0.96508899999999997</v>
      </c>
      <c r="Y2425" s="295">
        <v>0.97315099999999999</v>
      </c>
      <c r="Z2425" s="295">
        <v>0.98217600000000005</v>
      </c>
      <c r="AA2425" s="295">
        <v>0.99148099999999995</v>
      </c>
      <c r="AB2425" s="295">
        <v>1.0054069999999999</v>
      </c>
      <c r="AC2425" s="295">
        <v>1.010229</v>
      </c>
      <c r="AD2425" s="295">
        <v>1.0276369999999999</v>
      </c>
      <c r="AE2425" s="295">
        <v>1.037398</v>
      </c>
      <c r="AF2425" s="295">
        <v>1.047914</v>
      </c>
      <c r="AG2425" s="295">
        <v>1.058575</v>
      </c>
      <c r="AH2425" s="296">
        <v>5.2459999999999998E-3</v>
      </c>
    </row>
    <row r="2427" spans="1:34" ht="15" customHeight="1" x14ac:dyDescent="0.2">
      <c r="A2427" s="213" t="s">
        <v>2804</v>
      </c>
      <c r="B2427" s="204" t="s">
        <v>2056</v>
      </c>
      <c r="C2427" s="205">
        <v>1.331656</v>
      </c>
      <c r="D2427" s="205">
        <v>1.516716</v>
      </c>
      <c r="E2427" s="205">
        <v>1.5437369999999999</v>
      </c>
      <c r="F2427" s="205">
        <v>1.5753509999999999</v>
      </c>
      <c r="G2427" s="205">
        <v>1.5821099999999999</v>
      </c>
      <c r="H2427" s="205">
        <v>1.5888739999999999</v>
      </c>
      <c r="I2427" s="205">
        <v>1.595691</v>
      </c>
      <c r="J2427" s="205">
        <v>1.602471</v>
      </c>
      <c r="K2427" s="205">
        <v>1.6092489999999999</v>
      </c>
      <c r="L2427" s="205">
        <v>1.6160159999999999</v>
      </c>
      <c r="M2427" s="205">
        <v>1.6228020000000001</v>
      </c>
      <c r="N2427" s="205">
        <v>1.6218090000000001</v>
      </c>
      <c r="O2427" s="205">
        <v>1.620954</v>
      </c>
      <c r="P2427" s="205">
        <v>1.620123</v>
      </c>
      <c r="Q2427" s="205">
        <v>1.619237</v>
      </c>
      <c r="R2427" s="205">
        <v>1.6184080000000001</v>
      </c>
      <c r="S2427" s="205">
        <v>1.617488</v>
      </c>
      <c r="T2427" s="205">
        <v>1.616493</v>
      </c>
      <c r="U2427" s="205">
        <v>1.6154999999999999</v>
      </c>
      <c r="V2427" s="205">
        <v>1.614554</v>
      </c>
      <c r="W2427" s="205">
        <v>1.613723</v>
      </c>
      <c r="X2427" s="205">
        <v>1.622198</v>
      </c>
      <c r="Y2427" s="205">
        <v>1.624452</v>
      </c>
      <c r="Z2427" s="205">
        <v>1.6236330000000001</v>
      </c>
      <c r="AA2427" s="205">
        <v>1.630333</v>
      </c>
      <c r="AB2427" s="205">
        <v>1.638765</v>
      </c>
      <c r="AC2427" s="205">
        <v>1.6472739999999999</v>
      </c>
      <c r="AD2427" s="205">
        <v>1.6571130000000001</v>
      </c>
      <c r="AE2427" s="205">
        <v>1.6668270000000001</v>
      </c>
      <c r="AF2427" s="205">
        <v>1.682777</v>
      </c>
      <c r="AG2427" s="205">
        <v>1.698785</v>
      </c>
      <c r="AH2427" s="206">
        <v>8.149E-3</v>
      </c>
    </row>
    <row r="2428" spans="1:34" ht="15" customHeight="1" x14ac:dyDescent="0.25">
      <c r="A2428" s="213" t="s">
        <v>2805</v>
      </c>
      <c r="B2428" s="294" t="s">
        <v>2806</v>
      </c>
      <c r="C2428" s="295">
        <v>2.0695999999999999E-2</v>
      </c>
      <c r="D2428" s="295">
        <v>2.1385000000000001E-2</v>
      </c>
      <c r="E2428" s="295">
        <v>2.0244000000000002E-2</v>
      </c>
      <c r="F2428" s="295">
        <v>2.0889999999999999E-2</v>
      </c>
      <c r="G2428" s="295">
        <v>2.0712000000000001E-2</v>
      </c>
      <c r="H2428" s="295">
        <v>2.0358000000000001E-2</v>
      </c>
      <c r="I2428" s="295">
        <v>1.9987999999999999E-2</v>
      </c>
      <c r="J2428" s="295">
        <v>1.9567999999999999E-2</v>
      </c>
      <c r="K2428" s="295">
        <v>1.9035E-2</v>
      </c>
      <c r="L2428" s="295">
        <v>1.8599999999999998E-2</v>
      </c>
      <c r="M2428" s="295">
        <v>1.8121999999999999E-2</v>
      </c>
      <c r="N2428" s="295">
        <v>1.7815999999999999E-2</v>
      </c>
      <c r="O2428" s="295">
        <v>1.7461000000000001E-2</v>
      </c>
      <c r="P2428" s="295">
        <v>1.7233999999999999E-2</v>
      </c>
      <c r="Q2428" s="295">
        <v>1.7044E-2</v>
      </c>
      <c r="R2428" s="295">
        <v>1.6931000000000002E-2</v>
      </c>
      <c r="S2428" s="295">
        <v>1.6846E-2</v>
      </c>
      <c r="T2428" s="295">
        <v>1.6806000000000001E-2</v>
      </c>
      <c r="U2428" s="295">
        <v>1.6781000000000001E-2</v>
      </c>
      <c r="V2428" s="295">
        <v>1.6875000000000001E-2</v>
      </c>
      <c r="W2428" s="295">
        <v>1.6924999999999999E-2</v>
      </c>
      <c r="X2428" s="295">
        <v>1.7033E-2</v>
      </c>
      <c r="Y2428" s="295">
        <v>1.7191999999999999E-2</v>
      </c>
      <c r="Z2428" s="295">
        <v>1.7378999999999999E-2</v>
      </c>
      <c r="AA2428" s="295">
        <v>1.7603000000000001E-2</v>
      </c>
      <c r="AB2428" s="295">
        <v>1.7871000000000001E-2</v>
      </c>
      <c r="AC2428" s="295">
        <v>1.805E-2</v>
      </c>
      <c r="AD2428" s="295">
        <v>1.8305999999999999E-2</v>
      </c>
      <c r="AE2428" s="295">
        <v>1.8568000000000001E-2</v>
      </c>
      <c r="AF2428" s="295">
        <v>1.8886E-2</v>
      </c>
      <c r="AG2428" s="295">
        <v>1.9217000000000001E-2</v>
      </c>
      <c r="AH2428" s="296">
        <v>-2.4689999999999998E-3</v>
      </c>
    </row>
    <row r="2429" spans="1:34" ht="15" customHeight="1" x14ac:dyDescent="0.25">
      <c r="A2429" s="213" t="s">
        <v>2807</v>
      </c>
      <c r="B2429" s="294" t="s">
        <v>2808</v>
      </c>
      <c r="C2429" s="295">
        <v>1.0145219999999999</v>
      </c>
      <c r="D2429" s="295">
        <v>1.120045</v>
      </c>
      <c r="E2429" s="295">
        <v>1.108233</v>
      </c>
      <c r="F2429" s="295">
        <v>1.1098079999999999</v>
      </c>
      <c r="G2429" s="295">
        <v>1.1074930000000001</v>
      </c>
      <c r="H2429" s="295">
        <v>1.1097109999999999</v>
      </c>
      <c r="I2429" s="295">
        <v>1.110063</v>
      </c>
      <c r="J2429" s="295">
        <v>1.1099950000000001</v>
      </c>
      <c r="K2429" s="295">
        <v>1.110088</v>
      </c>
      <c r="L2429" s="295">
        <v>1.109396</v>
      </c>
      <c r="M2429" s="295">
        <v>1.109607</v>
      </c>
      <c r="N2429" s="295">
        <v>1.1099159999999999</v>
      </c>
      <c r="O2429" s="295">
        <v>1.110895</v>
      </c>
      <c r="P2429" s="295">
        <v>1.113478</v>
      </c>
      <c r="Q2429" s="295">
        <v>1.1171530000000001</v>
      </c>
      <c r="R2429" s="295">
        <v>1.1214090000000001</v>
      </c>
      <c r="S2429" s="295">
        <v>1.1239760000000001</v>
      </c>
      <c r="T2429" s="295">
        <v>1.1267419999999999</v>
      </c>
      <c r="U2429" s="295">
        <v>1.1300209999999999</v>
      </c>
      <c r="V2429" s="295">
        <v>1.1342410000000001</v>
      </c>
      <c r="W2429" s="295">
        <v>1.139008</v>
      </c>
      <c r="X2429" s="295">
        <v>1.143327</v>
      </c>
      <c r="Y2429" s="295">
        <v>1.1488700000000001</v>
      </c>
      <c r="Z2429" s="295">
        <v>1.1553389999999999</v>
      </c>
      <c r="AA2429" s="295">
        <v>1.162115</v>
      </c>
      <c r="AB2429" s="295">
        <v>1.1685939999999999</v>
      </c>
      <c r="AC2429" s="295">
        <v>1.175678</v>
      </c>
      <c r="AD2429" s="295">
        <v>1.1825190000000001</v>
      </c>
      <c r="AE2429" s="295">
        <v>1.1902790000000001</v>
      </c>
      <c r="AF2429" s="295">
        <v>1.198693</v>
      </c>
      <c r="AG2429" s="295">
        <v>1.207211</v>
      </c>
      <c r="AH2429" s="296">
        <v>5.8129999999999996E-3</v>
      </c>
    </row>
    <row r="2430" spans="1:34" ht="15" customHeight="1" x14ac:dyDescent="0.25">
      <c r="A2430" s="213" t="s">
        <v>2809</v>
      </c>
      <c r="B2430" s="294" t="s">
        <v>2810</v>
      </c>
      <c r="C2430" s="295">
        <v>0.22708700000000001</v>
      </c>
      <c r="D2430" s="295">
        <v>0.268152</v>
      </c>
      <c r="E2430" s="295">
        <v>0.25878800000000002</v>
      </c>
      <c r="F2430" s="295">
        <v>0.26499</v>
      </c>
      <c r="G2430" s="295">
        <v>0.26540200000000003</v>
      </c>
      <c r="H2430" s="295">
        <v>0.26579799999999998</v>
      </c>
      <c r="I2430" s="295">
        <v>0.26619100000000001</v>
      </c>
      <c r="J2430" s="295">
        <v>0.26691100000000001</v>
      </c>
      <c r="K2430" s="295">
        <v>0.267289</v>
      </c>
      <c r="L2430" s="295">
        <v>0.26771</v>
      </c>
      <c r="M2430" s="295">
        <v>0.26918900000000001</v>
      </c>
      <c r="N2430" s="295">
        <v>0.26889800000000003</v>
      </c>
      <c r="O2430" s="295">
        <v>0.26927699999999999</v>
      </c>
      <c r="P2430" s="295">
        <v>0.269397</v>
      </c>
      <c r="Q2430" s="295">
        <v>0.26981899999999998</v>
      </c>
      <c r="R2430" s="295">
        <v>0.27024199999999998</v>
      </c>
      <c r="S2430" s="295">
        <v>0.26932899999999999</v>
      </c>
      <c r="T2430" s="295">
        <v>0.265098</v>
      </c>
      <c r="U2430" s="295">
        <v>0.262687</v>
      </c>
      <c r="V2430" s="295">
        <v>0.26302900000000001</v>
      </c>
      <c r="W2430" s="295">
        <v>0.26337300000000002</v>
      </c>
      <c r="X2430" s="295">
        <v>0.26371800000000001</v>
      </c>
      <c r="Y2430" s="295">
        <v>0.26406499999999999</v>
      </c>
      <c r="Z2430" s="295">
        <v>0.263598</v>
      </c>
      <c r="AA2430" s="295">
        <v>0.263936</v>
      </c>
      <c r="AB2430" s="295">
        <v>0.26427600000000001</v>
      </c>
      <c r="AC2430" s="295">
        <v>0.26504499999999998</v>
      </c>
      <c r="AD2430" s="295">
        <v>0.26540000000000002</v>
      </c>
      <c r="AE2430" s="295">
        <v>0.26575799999999999</v>
      </c>
      <c r="AF2430" s="295">
        <v>0.27254</v>
      </c>
      <c r="AG2430" s="295">
        <v>0.27727000000000002</v>
      </c>
      <c r="AH2430" s="296">
        <v>6.6779999999999999E-3</v>
      </c>
    </row>
    <row r="2431" spans="1:34" ht="15" customHeight="1" x14ac:dyDescent="0.25">
      <c r="A2431" s="213" t="s">
        <v>2811</v>
      </c>
      <c r="B2431" s="294" t="s">
        <v>2812</v>
      </c>
      <c r="C2431" s="295">
        <v>0</v>
      </c>
      <c r="D2431" s="295">
        <v>0</v>
      </c>
      <c r="E2431" s="295">
        <v>0</v>
      </c>
      <c r="F2431" s="295">
        <v>0</v>
      </c>
      <c r="G2431" s="295">
        <v>0</v>
      </c>
      <c r="H2431" s="295">
        <v>0</v>
      </c>
      <c r="I2431" s="295">
        <v>0</v>
      </c>
      <c r="J2431" s="295">
        <v>0</v>
      </c>
      <c r="K2431" s="295">
        <v>0</v>
      </c>
      <c r="L2431" s="295">
        <v>0</v>
      </c>
      <c r="M2431" s="295">
        <v>0</v>
      </c>
      <c r="N2431" s="295">
        <v>0</v>
      </c>
      <c r="O2431" s="295">
        <v>0</v>
      </c>
      <c r="P2431" s="295">
        <v>0</v>
      </c>
      <c r="Q2431" s="295">
        <v>0</v>
      </c>
      <c r="R2431" s="295">
        <v>0</v>
      </c>
      <c r="S2431" s="295">
        <v>0</v>
      </c>
      <c r="T2431" s="295">
        <v>0</v>
      </c>
      <c r="U2431" s="295">
        <v>0</v>
      </c>
      <c r="V2431" s="295">
        <v>0</v>
      </c>
      <c r="W2431" s="295">
        <v>0</v>
      </c>
      <c r="X2431" s="295">
        <v>0</v>
      </c>
      <c r="Y2431" s="295">
        <v>0</v>
      </c>
      <c r="Z2431" s="295">
        <v>0</v>
      </c>
      <c r="AA2431" s="295">
        <v>0</v>
      </c>
      <c r="AB2431" s="295">
        <v>0</v>
      </c>
      <c r="AC2431" s="295">
        <v>0</v>
      </c>
      <c r="AD2431" s="295">
        <v>0</v>
      </c>
      <c r="AE2431" s="295">
        <v>0</v>
      </c>
      <c r="AF2431" s="295">
        <v>0</v>
      </c>
      <c r="AG2431" s="295">
        <v>0</v>
      </c>
      <c r="AH2431" s="296" t="s">
        <v>635</v>
      </c>
    </row>
    <row r="2432" spans="1:34" ht="15" customHeight="1" x14ac:dyDescent="0.25">
      <c r="A2432" s="213" t="s">
        <v>2813</v>
      </c>
      <c r="B2432" s="294" t="s">
        <v>2814</v>
      </c>
      <c r="C2432" s="295">
        <v>0</v>
      </c>
      <c r="D2432" s="295">
        <v>0</v>
      </c>
      <c r="E2432" s="295">
        <v>0</v>
      </c>
      <c r="F2432" s="295">
        <v>2.745E-3</v>
      </c>
      <c r="G2432" s="295">
        <v>2.14E-3</v>
      </c>
      <c r="H2432" s="295">
        <v>2.33E-3</v>
      </c>
      <c r="I2432" s="295">
        <v>2.6329999999999999E-3</v>
      </c>
      <c r="J2432" s="295">
        <v>1.5709999999999999E-3</v>
      </c>
      <c r="K2432" s="295">
        <v>1.31E-3</v>
      </c>
      <c r="L2432" s="295">
        <v>1.2830000000000001E-3</v>
      </c>
      <c r="M2432" s="295">
        <v>2.745E-3</v>
      </c>
      <c r="N2432" s="295">
        <v>2.5569999999999998E-3</v>
      </c>
      <c r="O2432" s="295">
        <v>1.302E-3</v>
      </c>
      <c r="P2432" s="295">
        <v>1.31E-3</v>
      </c>
      <c r="Q2432" s="295">
        <v>1.31E-3</v>
      </c>
      <c r="R2432" s="295">
        <v>1.31E-3</v>
      </c>
      <c r="S2432" s="295">
        <v>9.4200000000000002E-4</v>
      </c>
      <c r="T2432" s="295">
        <v>9.4200000000000002E-4</v>
      </c>
      <c r="U2432" s="295">
        <v>9.0200000000000002E-4</v>
      </c>
      <c r="V2432" s="295">
        <v>9.0200000000000002E-4</v>
      </c>
      <c r="W2432" s="295">
        <v>9.0200000000000002E-4</v>
      </c>
      <c r="X2432" s="295">
        <v>9.0200000000000002E-4</v>
      </c>
      <c r="Y2432" s="295">
        <v>8.3799999999999999E-4</v>
      </c>
      <c r="Z2432" s="295">
        <v>5.8E-5</v>
      </c>
      <c r="AA2432" s="295">
        <v>0</v>
      </c>
      <c r="AB2432" s="295">
        <v>0</v>
      </c>
      <c r="AC2432" s="295">
        <v>0</v>
      </c>
      <c r="AD2432" s="295">
        <v>9.9999999999999995E-7</v>
      </c>
      <c r="AE2432" s="295">
        <v>9.0200000000000002E-4</v>
      </c>
      <c r="AF2432" s="295">
        <v>9.0200000000000002E-4</v>
      </c>
      <c r="AG2432" s="295">
        <v>9.0200000000000002E-4</v>
      </c>
      <c r="AH2432" s="296" t="s">
        <v>635</v>
      </c>
    </row>
    <row r="2433" spans="1:34" ht="15" customHeight="1" x14ac:dyDescent="0.25">
      <c r="A2433" s="213" t="s">
        <v>2815</v>
      </c>
      <c r="B2433" s="294" t="s">
        <v>2816</v>
      </c>
      <c r="C2433" s="295">
        <v>6.9350999999999996E-2</v>
      </c>
      <c r="D2433" s="295">
        <v>0.10713399999999999</v>
      </c>
      <c r="E2433" s="295">
        <v>0.156473</v>
      </c>
      <c r="F2433" s="295">
        <v>0.17691899999999999</v>
      </c>
      <c r="G2433" s="295">
        <v>0.186361</v>
      </c>
      <c r="H2433" s="295">
        <v>0.19067700000000001</v>
      </c>
      <c r="I2433" s="295">
        <v>0.19681499999999999</v>
      </c>
      <c r="J2433" s="295">
        <v>0.204426</v>
      </c>
      <c r="K2433" s="295">
        <v>0.21152699999999999</v>
      </c>
      <c r="L2433" s="295">
        <v>0.219027</v>
      </c>
      <c r="M2433" s="295">
        <v>0.22314000000000001</v>
      </c>
      <c r="N2433" s="295">
        <v>0.22262199999999999</v>
      </c>
      <c r="O2433" s="295">
        <v>0.22201899999999999</v>
      </c>
      <c r="P2433" s="295">
        <v>0.21870500000000001</v>
      </c>
      <c r="Q2433" s="295">
        <v>0.21391099999999999</v>
      </c>
      <c r="R2433" s="295">
        <v>0.20851700000000001</v>
      </c>
      <c r="S2433" s="295">
        <v>0.206395</v>
      </c>
      <c r="T2433" s="295">
        <v>0.20690500000000001</v>
      </c>
      <c r="U2433" s="295">
        <v>0.20510900000000001</v>
      </c>
      <c r="V2433" s="295">
        <v>0.19950699999999999</v>
      </c>
      <c r="W2433" s="295">
        <v>0.19351499999999999</v>
      </c>
      <c r="X2433" s="295">
        <v>0.197218</v>
      </c>
      <c r="Y2433" s="295">
        <v>0.19348899999999999</v>
      </c>
      <c r="Z2433" s="295">
        <v>0.18726000000000001</v>
      </c>
      <c r="AA2433" s="295">
        <v>0.18667900000000001</v>
      </c>
      <c r="AB2433" s="295">
        <v>0.188024</v>
      </c>
      <c r="AC2433" s="295">
        <v>0.188501</v>
      </c>
      <c r="AD2433" s="295">
        <v>0.190888</v>
      </c>
      <c r="AE2433" s="295">
        <v>0.19132099999999999</v>
      </c>
      <c r="AF2433" s="295">
        <v>0.19175600000000001</v>
      </c>
      <c r="AG2433" s="295">
        <v>0.194184</v>
      </c>
      <c r="AH2433" s="296">
        <v>3.4916999999999997E-2</v>
      </c>
    </row>
    <row r="2435" spans="1:34" ht="15" customHeight="1" x14ac:dyDescent="0.2">
      <c r="A2435" s="213" t="s">
        <v>2817</v>
      </c>
      <c r="B2435" s="204" t="s">
        <v>2646</v>
      </c>
      <c r="C2435" s="205">
        <v>6.9892469999999998</v>
      </c>
      <c r="D2435" s="205">
        <v>7.647767</v>
      </c>
      <c r="E2435" s="205">
        <v>8.1620500000000007</v>
      </c>
      <c r="F2435" s="205">
        <v>9.0320909999999994</v>
      </c>
      <c r="G2435" s="205">
        <v>10.05791</v>
      </c>
      <c r="H2435" s="205">
        <v>10.554788</v>
      </c>
      <c r="I2435" s="205">
        <v>10.731877000000001</v>
      </c>
      <c r="J2435" s="205">
        <v>11.059958999999999</v>
      </c>
      <c r="K2435" s="205">
        <v>11.250163000000001</v>
      </c>
      <c r="L2435" s="205">
        <v>11.557999000000001</v>
      </c>
      <c r="M2435" s="205">
        <v>11.972022000000001</v>
      </c>
      <c r="N2435" s="205">
        <v>12.222474999999999</v>
      </c>
      <c r="O2435" s="205">
        <v>12.431069000000001</v>
      </c>
      <c r="P2435" s="205">
        <v>12.661788</v>
      </c>
      <c r="Q2435" s="205">
        <v>12.97574</v>
      </c>
      <c r="R2435" s="205">
        <v>13.412763999999999</v>
      </c>
      <c r="S2435" s="205">
        <v>13.656935000000001</v>
      </c>
      <c r="T2435" s="205">
        <v>13.847401</v>
      </c>
      <c r="U2435" s="205">
        <v>14.026551</v>
      </c>
      <c r="V2435" s="205">
        <v>14.110263</v>
      </c>
      <c r="W2435" s="205">
        <v>14.220264</v>
      </c>
      <c r="X2435" s="205">
        <v>14.416359</v>
      </c>
      <c r="Y2435" s="205">
        <v>14.539232999999999</v>
      </c>
      <c r="Z2435" s="205">
        <v>14.707656999999999</v>
      </c>
      <c r="AA2435" s="205">
        <v>14.873734000000001</v>
      </c>
      <c r="AB2435" s="205">
        <v>15.127509999999999</v>
      </c>
      <c r="AC2435" s="205">
        <v>15.407783999999999</v>
      </c>
      <c r="AD2435" s="205">
        <v>15.735134</v>
      </c>
      <c r="AE2435" s="205">
        <v>15.944193</v>
      </c>
      <c r="AF2435" s="205">
        <v>16.183862999999999</v>
      </c>
      <c r="AG2435" s="205">
        <v>16.410440000000001</v>
      </c>
      <c r="AH2435" s="206">
        <v>2.886E-2</v>
      </c>
    </row>
    <row r="2436" spans="1:34" ht="15" customHeight="1" x14ac:dyDescent="0.25">
      <c r="A2436" s="213" t="s">
        <v>2818</v>
      </c>
      <c r="B2436" s="294" t="s">
        <v>2755</v>
      </c>
      <c r="C2436" s="295">
        <v>2.5221230000000001</v>
      </c>
      <c r="D2436" s="295">
        <v>2.4703900000000001</v>
      </c>
      <c r="E2436" s="295">
        <v>2.550287</v>
      </c>
      <c r="F2436" s="295">
        <v>2.6191059999999999</v>
      </c>
      <c r="G2436" s="295">
        <v>2.5573450000000002</v>
      </c>
      <c r="H2436" s="295">
        <v>2.5245009999999999</v>
      </c>
      <c r="I2436" s="295">
        <v>2.4515349999999998</v>
      </c>
      <c r="J2436" s="295">
        <v>2.433996</v>
      </c>
      <c r="K2436" s="295">
        <v>2.4153210000000001</v>
      </c>
      <c r="L2436" s="295">
        <v>2.411651</v>
      </c>
      <c r="M2436" s="295">
        <v>2.4064999999999999</v>
      </c>
      <c r="N2436" s="295">
        <v>2.4033370000000001</v>
      </c>
      <c r="O2436" s="295">
        <v>2.3924370000000001</v>
      </c>
      <c r="P2436" s="295">
        <v>2.3838059999999999</v>
      </c>
      <c r="Q2436" s="295">
        <v>2.3782220000000001</v>
      </c>
      <c r="R2436" s="295">
        <v>2.3736760000000001</v>
      </c>
      <c r="S2436" s="295">
        <v>2.3673419999999998</v>
      </c>
      <c r="T2436" s="295">
        <v>2.3630499999999999</v>
      </c>
      <c r="U2436" s="295">
        <v>2.3544450000000001</v>
      </c>
      <c r="V2436" s="295">
        <v>2.3416640000000002</v>
      </c>
      <c r="W2436" s="295">
        <v>2.3338839999999998</v>
      </c>
      <c r="X2436" s="295">
        <v>2.3270529999999998</v>
      </c>
      <c r="Y2436" s="295">
        <v>2.3209930000000001</v>
      </c>
      <c r="Z2436" s="295">
        <v>2.3165520000000002</v>
      </c>
      <c r="AA2436" s="295">
        <v>2.3039960000000002</v>
      </c>
      <c r="AB2436" s="295">
        <v>2.2991329999999999</v>
      </c>
      <c r="AC2436" s="295">
        <v>2.2907649999999999</v>
      </c>
      <c r="AD2436" s="295">
        <v>2.2866439999999999</v>
      </c>
      <c r="AE2436" s="295">
        <v>2.2843230000000001</v>
      </c>
      <c r="AF2436" s="295">
        <v>2.280335</v>
      </c>
      <c r="AG2436" s="295">
        <v>2.2735080000000001</v>
      </c>
      <c r="AH2436" s="296">
        <v>-3.4529999999999999E-3</v>
      </c>
    </row>
    <row r="2437" spans="1:34" ht="15" customHeight="1" x14ac:dyDescent="0.25">
      <c r="A2437" s="213" t="s">
        <v>2819</v>
      </c>
      <c r="B2437" s="294" t="s">
        <v>2757</v>
      </c>
      <c r="C2437" s="295">
        <v>0.13980699999999999</v>
      </c>
      <c r="D2437" s="295">
        <v>0.136294</v>
      </c>
      <c r="E2437" s="295">
        <v>0.14283699999999999</v>
      </c>
      <c r="F2437" s="295">
        <v>0.14507500000000001</v>
      </c>
      <c r="G2437" s="295">
        <v>0.15068999999999999</v>
      </c>
      <c r="H2437" s="295">
        <v>0.159276</v>
      </c>
      <c r="I2437" s="295">
        <v>0.16339300000000001</v>
      </c>
      <c r="J2437" s="295">
        <v>0.17166799999999999</v>
      </c>
      <c r="K2437" s="295">
        <v>0.18447</v>
      </c>
      <c r="L2437" s="295">
        <v>0.19550500000000001</v>
      </c>
      <c r="M2437" s="295">
        <v>0.20671900000000001</v>
      </c>
      <c r="N2437" s="295">
        <v>0.217196</v>
      </c>
      <c r="O2437" s="295">
        <v>0.22500999999999999</v>
      </c>
      <c r="P2437" s="295">
        <v>0.23528499999999999</v>
      </c>
      <c r="Q2437" s="295">
        <v>0.245174</v>
      </c>
      <c r="R2437" s="295">
        <v>0.25771300000000003</v>
      </c>
      <c r="S2437" s="295">
        <v>0.27001199999999997</v>
      </c>
      <c r="T2437" s="295">
        <v>0.28304000000000001</v>
      </c>
      <c r="U2437" s="295">
        <v>0.29422900000000002</v>
      </c>
      <c r="V2437" s="295">
        <v>0.304396</v>
      </c>
      <c r="W2437" s="295">
        <v>0.314305</v>
      </c>
      <c r="X2437" s="295">
        <v>0.32286100000000001</v>
      </c>
      <c r="Y2437" s="295">
        <v>0.33069700000000002</v>
      </c>
      <c r="Z2437" s="295">
        <v>0.33694000000000002</v>
      </c>
      <c r="AA2437" s="295">
        <v>0.34493699999999999</v>
      </c>
      <c r="AB2437" s="295">
        <v>0.35279100000000002</v>
      </c>
      <c r="AC2437" s="295">
        <v>0.36144199999999999</v>
      </c>
      <c r="AD2437" s="295">
        <v>0.36892200000000003</v>
      </c>
      <c r="AE2437" s="295">
        <v>0.37639600000000001</v>
      </c>
      <c r="AF2437" s="295">
        <v>0.38148799999999999</v>
      </c>
      <c r="AG2437" s="295">
        <v>0.38670700000000002</v>
      </c>
      <c r="AH2437" s="296">
        <v>3.4494999999999998E-2</v>
      </c>
    </row>
    <row r="2438" spans="1:34" ht="15" customHeight="1" x14ac:dyDescent="0.25">
      <c r="A2438" s="213" t="s">
        <v>2820</v>
      </c>
      <c r="B2438" s="294" t="s">
        <v>2821</v>
      </c>
      <c r="C2438" s="295">
        <v>0.29455799999999999</v>
      </c>
      <c r="D2438" s="295">
        <v>0.30295499999999997</v>
      </c>
      <c r="E2438" s="295">
        <v>0.306645</v>
      </c>
      <c r="F2438" s="295">
        <v>0.31494499999999997</v>
      </c>
      <c r="G2438" s="295">
        <v>0.32712000000000002</v>
      </c>
      <c r="H2438" s="295">
        <v>0.33619500000000002</v>
      </c>
      <c r="I2438" s="295">
        <v>0.34770099999999998</v>
      </c>
      <c r="J2438" s="295">
        <v>0.35702099999999998</v>
      </c>
      <c r="K2438" s="295">
        <v>0.36231799999999997</v>
      </c>
      <c r="L2438" s="295">
        <v>0.37375000000000003</v>
      </c>
      <c r="M2438" s="295">
        <v>0.38544299999999998</v>
      </c>
      <c r="N2438" s="295">
        <v>0.39695200000000003</v>
      </c>
      <c r="O2438" s="295">
        <v>0.40321600000000002</v>
      </c>
      <c r="P2438" s="295">
        <v>0.41711399999999998</v>
      </c>
      <c r="Q2438" s="295">
        <v>0.429788</v>
      </c>
      <c r="R2438" s="295">
        <v>0.44145499999999999</v>
      </c>
      <c r="S2438" s="295">
        <v>0.45154300000000003</v>
      </c>
      <c r="T2438" s="295">
        <v>0.46375300000000003</v>
      </c>
      <c r="U2438" s="295">
        <v>0.47088400000000002</v>
      </c>
      <c r="V2438" s="295">
        <v>0.47914200000000001</v>
      </c>
      <c r="W2438" s="295">
        <v>0.487647</v>
      </c>
      <c r="X2438" s="295">
        <v>0.49712499999999998</v>
      </c>
      <c r="Y2438" s="295">
        <v>0.50504400000000005</v>
      </c>
      <c r="Z2438" s="295">
        <v>0.51580999999999999</v>
      </c>
      <c r="AA2438" s="295">
        <v>0.52440900000000001</v>
      </c>
      <c r="AB2438" s="295">
        <v>0.53153099999999998</v>
      </c>
      <c r="AC2438" s="295">
        <v>0.54166499999999995</v>
      </c>
      <c r="AD2438" s="295">
        <v>0.55590399999999995</v>
      </c>
      <c r="AE2438" s="295">
        <v>0.56929399999999997</v>
      </c>
      <c r="AF2438" s="295">
        <v>0.57769700000000002</v>
      </c>
      <c r="AG2438" s="295">
        <v>0.579264</v>
      </c>
      <c r="AH2438" s="296">
        <v>2.2799E-2</v>
      </c>
    </row>
    <row r="2439" spans="1:34" ht="15" customHeight="1" x14ac:dyDescent="0.25">
      <c r="A2439" s="213" t="s">
        <v>2822</v>
      </c>
      <c r="B2439" s="294" t="s">
        <v>2801</v>
      </c>
      <c r="C2439" s="295">
        <v>0.204482</v>
      </c>
      <c r="D2439" s="295">
        <v>0.20510900000000001</v>
      </c>
      <c r="E2439" s="295">
        <v>0.208425</v>
      </c>
      <c r="F2439" s="295">
        <v>0.20802899999999999</v>
      </c>
      <c r="G2439" s="295">
        <v>0.20807400000000001</v>
      </c>
      <c r="H2439" s="295">
        <v>0.20799000000000001</v>
      </c>
      <c r="I2439" s="295">
        <v>0.208012</v>
      </c>
      <c r="J2439" s="295">
        <v>0.20813200000000001</v>
      </c>
      <c r="K2439" s="295">
        <v>0.19941600000000001</v>
      </c>
      <c r="L2439" s="295">
        <v>0.19533600000000001</v>
      </c>
      <c r="M2439" s="295">
        <v>0.19772700000000001</v>
      </c>
      <c r="N2439" s="295">
        <v>0.198408</v>
      </c>
      <c r="O2439" s="295">
        <v>0.19610900000000001</v>
      </c>
      <c r="P2439" s="295">
        <v>0.201512</v>
      </c>
      <c r="Q2439" s="295">
        <v>0.19983500000000001</v>
      </c>
      <c r="R2439" s="295">
        <v>0.20144000000000001</v>
      </c>
      <c r="S2439" s="295">
        <v>0.201407</v>
      </c>
      <c r="T2439" s="295">
        <v>0.19964499999999999</v>
      </c>
      <c r="U2439" s="295">
        <v>0.19955700000000001</v>
      </c>
      <c r="V2439" s="295">
        <v>0.198159</v>
      </c>
      <c r="W2439" s="295">
        <v>0.199295</v>
      </c>
      <c r="X2439" s="295">
        <v>0.19939000000000001</v>
      </c>
      <c r="Y2439" s="295">
        <v>0.19938600000000001</v>
      </c>
      <c r="Z2439" s="295">
        <v>0.198243</v>
      </c>
      <c r="AA2439" s="295">
        <v>0.19933699999999999</v>
      </c>
      <c r="AB2439" s="295">
        <v>0.199349</v>
      </c>
      <c r="AC2439" s="295">
        <v>0.19827500000000001</v>
      </c>
      <c r="AD2439" s="295">
        <v>0.19939000000000001</v>
      </c>
      <c r="AE2439" s="295">
        <v>0.199349</v>
      </c>
      <c r="AF2439" s="295">
        <v>0.19935700000000001</v>
      </c>
      <c r="AG2439" s="295">
        <v>0.20022499999999999</v>
      </c>
      <c r="AH2439" s="296">
        <v>-7.0100000000000002E-4</v>
      </c>
    </row>
    <row r="2440" spans="1:34" ht="15" customHeight="1" x14ac:dyDescent="0.25">
      <c r="A2440" s="213" t="s">
        <v>2823</v>
      </c>
      <c r="B2440" s="294" t="s">
        <v>2723</v>
      </c>
      <c r="C2440" s="295">
        <v>0.16355900000000001</v>
      </c>
      <c r="D2440" s="295">
        <v>0.16401499999999999</v>
      </c>
      <c r="E2440" s="295">
        <v>0.168099</v>
      </c>
      <c r="F2440" s="295">
        <v>0.167902</v>
      </c>
      <c r="G2440" s="295">
        <v>0.167881</v>
      </c>
      <c r="H2440" s="295">
        <v>0.167904</v>
      </c>
      <c r="I2440" s="295">
        <v>0.16789999999999999</v>
      </c>
      <c r="J2440" s="295">
        <v>0.167989</v>
      </c>
      <c r="K2440" s="295">
        <v>0.16027</v>
      </c>
      <c r="L2440" s="295">
        <v>0.156719</v>
      </c>
      <c r="M2440" s="295">
        <v>0.158555</v>
      </c>
      <c r="N2440" s="295">
        <v>0.159162</v>
      </c>
      <c r="O2440" s="295">
        <v>0.15743799999999999</v>
      </c>
      <c r="P2440" s="295">
        <v>0.161688</v>
      </c>
      <c r="Q2440" s="295">
        <v>0.160524</v>
      </c>
      <c r="R2440" s="295">
        <v>0.16162299999999999</v>
      </c>
      <c r="S2440" s="295">
        <v>0.161607</v>
      </c>
      <c r="T2440" s="295">
        <v>0.160353</v>
      </c>
      <c r="U2440" s="295">
        <v>0.16098499999999999</v>
      </c>
      <c r="V2440" s="295">
        <v>0.15896399999999999</v>
      </c>
      <c r="W2440" s="295">
        <v>0.159997</v>
      </c>
      <c r="X2440" s="295">
        <v>0.16017100000000001</v>
      </c>
      <c r="Y2440" s="295">
        <v>0.16017000000000001</v>
      </c>
      <c r="Z2440" s="295">
        <v>0.159053</v>
      </c>
      <c r="AA2440" s="295">
        <v>0.160138</v>
      </c>
      <c r="AB2440" s="295">
        <v>0.16014900000000001</v>
      </c>
      <c r="AC2440" s="295">
        <v>0.159079</v>
      </c>
      <c r="AD2440" s="295">
        <v>0.16017100000000001</v>
      </c>
      <c r="AE2440" s="295">
        <v>0.160159</v>
      </c>
      <c r="AF2440" s="295">
        <v>0.160163</v>
      </c>
      <c r="AG2440" s="295">
        <v>0.16103200000000001</v>
      </c>
      <c r="AH2440" s="296">
        <v>-5.1900000000000004E-4</v>
      </c>
    </row>
    <row r="2441" spans="1:34" ht="15" customHeight="1" x14ac:dyDescent="0.25">
      <c r="A2441" s="213" t="s">
        <v>2824</v>
      </c>
      <c r="B2441" s="294" t="s">
        <v>2725</v>
      </c>
      <c r="C2441" s="295">
        <v>4.0923000000000001E-2</v>
      </c>
      <c r="D2441" s="295">
        <v>4.1093999999999999E-2</v>
      </c>
      <c r="E2441" s="295">
        <v>4.0326000000000001E-2</v>
      </c>
      <c r="F2441" s="295">
        <v>4.0126000000000002E-2</v>
      </c>
      <c r="G2441" s="295">
        <v>4.0191999999999999E-2</v>
      </c>
      <c r="H2441" s="295">
        <v>4.0085999999999997E-2</v>
      </c>
      <c r="I2441" s="295">
        <v>4.0112000000000002E-2</v>
      </c>
      <c r="J2441" s="295">
        <v>4.0142999999999998E-2</v>
      </c>
      <c r="K2441" s="295">
        <v>3.9146E-2</v>
      </c>
      <c r="L2441" s="295">
        <v>3.8616999999999999E-2</v>
      </c>
      <c r="M2441" s="295">
        <v>3.9172999999999999E-2</v>
      </c>
      <c r="N2441" s="295">
        <v>3.9246999999999997E-2</v>
      </c>
      <c r="O2441" s="295">
        <v>3.8670999999999997E-2</v>
      </c>
      <c r="P2441" s="295">
        <v>3.9823999999999998E-2</v>
      </c>
      <c r="Q2441" s="295">
        <v>3.9312E-2</v>
      </c>
      <c r="R2441" s="295">
        <v>3.9816999999999998E-2</v>
      </c>
      <c r="S2441" s="295">
        <v>3.9799000000000001E-2</v>
      </c>
      <c r="T2441" s="295">
        <v>3.9292000000000001E-2</v>
      </c>
      <c r="U2441" s="295">
        <v>3.8572000000000002E-2</v>
      </c>
      <c r="V2441" s="295">
        <v>3.9194E-2</v>
      </c>
      <c r="W2441" s="295">
        <v>3.9296999999999999E-2</v>
      </c>
      <c r="X2441" s="295">
        <v>3.9218999999999997E-2</v>
      </c>
      <c r="Y2441" s="295">
        <v>3.9217000000000002E-2</v>
      </c>
      <c r="Z2441" s="295">
        <v>3.9190000000000003E-2</v>
      </c>
      <c r="AA2441" s="295">
        <v>3.9198999999999998E-2</v>
      </c>
      <c r="AB2441" s="295">
        <v>3.9199999999999999E-2</v>
      </c>
      <c r="AC2441" s="295">
        <v>3.9196000000000002E-2</v>
      </c>
      <c r="AD2441" s="295">
        <v>3.9218999999999997E-2</v>
      </c>
      <c r="AE2441" s="295">
        <v>3.9190000000000003E-2</v>
      </c>
      <c r="AF2441" s="295">
        <v>3.9194E-2</v>
      </c>
      <c r="AG2441" s="295">
        <v>3.9192999999999999E-2</v>
      </c>
      <c r="AH2441" s="296">
        <v>-1.439E-3</v>
      </c>
    </row>
    <row r="2442" spans="1:34" ht="15" customHeight="1" x14ac:dyDescent="0.25">
      <c r="A2442" s="213" t="s">
        <v>2825</v>
      </c>
      <c r="B2442" s="294" t="s">
        <v>2826</v>
      </c>
      <c r="C2442" s="295">
        <v>2.9326000000000001E-2</v>
      </c>
      <c r="D2442" s="295">
        <v>3.0709E-2</v>
      </c>
      <c r="E2442" s="295">
        <v>2.964E-2</v>
      </c>
      <c r="F2442" s="295">
        <v>2.8917999999999999E-2</v>
      </c>
      <c r="G2442" s="295">
        <v>2.8173E-2</v>
      </c>
      <c r="H2442" s="295">
        <v>2.7123999999999999E-2</v>
      </c>
      <c r="I2442" s="295">
        <v>2.6089999999999999E-2</v>
      </c>
      <c r="J2442" s="295">
        <v>2.6868E-2</v>
      </c>
      <c r="K2442" s="295">
        <v>2.6119E-2</v>
      </c>
      <c r="L2442" s="295">
        <v>2.5588E-2</v>
      </c>
      <c r="M2442" s="295">
        <v>2.5392000000000001E-2</v>
      </c>
      <c r="N2442" s="295">
        <v>2.2912999999999999E-2</v>
      </c>
      <c r="O2442" s="295">
        <v>2.4746000000000001E-2</v>
      </c>
      <c r="P2442" s="295">
        <v>2.4958000000000001E-2</v>
      </c>
      <c r="Q2442" s="295">
        <v>2.4944999999999998E-2</v>
      </c>
      <c r="R2442" s="295">
        <v>2.3675000000000002E-2</v>
      </c>
      <c r="S2442" s="295">
        <v>2.2373000000000001E-2</v>
      </c>
      <c r="T2442" s="295">
        <v>2.4933E-2</v>
      </c>
      <c r="U2442" s="295">
        <v>2.4050999999999999E-2</v>
      </c>
      <c r="V2442" s="295">
        <v>2.368E-2</v>
      </c>
      <c r="W2442" s="295">
        <v>2.1846000000000001E-2</v>
      </c>
      <c r="X2442" s="295">
        <v>2.1956E-2</v>
      </c>
      <c r="Y2442" s="295">
        <v>2.3845000000000002E-2</v>
      </c>
      <c r="Z2442" s="295">
        <v>2.5633E-2</v>
      </c>
      <c r="AA2442" s="295">
        <v>2.1787999999999998E-2</v>
      </c>
      <c r="AB2442" s="295">
        <v>2.0558E-2</v>
      </c>
      <c r="AC2442" s="295">
        <v>2.4331999999999999E-2</v>
      </c>
      <c r="AD2442" s="295">
        <v>2.4237000000000002E-2</v>
      </c>
      <c r="AE2442" s="295">
        <v>2.1736999999999999E-2</v>
      </c>
      <c r="AF2442" s="295">
        <v>2.2109E-2</v>
      </c>
      <c r="AG2442" s="295">
        <v>2.4303000000000002E-2</v>
      </c>
      <c r="AH2442" s="296">
        <v>-6.2420000000000002E-3</v>
      </c>
    </row>
    <row r="2443" spans="1:34" ht="15" customHeight="1" x14ac:dyDescent="0.25">
      <c r="A2443" s="213" t="s">
        <v>2827</v>
      </c>
      <c r="B2443" s="294" t="s">
        <v>2828</v>
      </c>
      <c r="C2443" s="295">
        <v>0.73886200000000002</v>
      </c>
      <c r="D2443" s="295">
        <v>0.95929200000000003</v>
      </c>
      <c r="E2443" s="295">
        <v>1.241563</v>
      </c>
      <c r="F2443" s="295">
        <v>1.375319</v>
      </c>
      <c r="G2443" s="295">
        <v>1.542475</v>
      </c>
      <c r="H2443" s="295">
        <v>1.8985449999999999</v>
      </c>
      <c r="I2443" s="295">
        <v>2.2701699999999998</v>
      </c>
      <c r="J2443" s="295">
        <v>2.6069779999999998</v>
      </c>
      <c r="K2443" s="295">
        <v>2.7745869999999999</v>
      </c>
      <c r="L2443" s="295">
        <v>3.0471499999999998</v>
      </c>
      <c r="M2443" s="295">
        <v>3.2458490000000002</v>
      </c>
      <c r="N2443" s="295">
        <v>3.4195549999999999</v>
      </c>
      <c r="O2443" s="295">
        <v>3.6300300000000001</v>
      </c>
      <c r="P2443" s="295">
        <v>3.8425090000000002</v>
      </c>
      <c r="Q2443" s="295">
        <v>4.0059100000000001</v>
      </c>
      <c r="R2443" s="295">
        <v>4.2098100000000001</v>
      </c>
      <c r="S2443" s="295">
        <v>4.3711190000000002</v>
      </c>
      <c r="T2443" s="295">
        <v>4.5342330000000004</v>
      </c>
      <c r="U2443" s="295">
        <v>4.7089840000000001</v>
      </c>
      <c r="V2443" s="295">
        <v>4.8128549999999999</v>
      </c>
      <c r="W2443" s="295">
        <v>4.918622</v>
      </c>
      <c r="X2443" s="295">
        <v>5.1047580000000004</v>
      </c>
      <c r="Y2443" s="295">
        <v>5.2344059999999999</v>
      </c>
      <c r="Z2443" s="295">
        <v>5.3787370000000001</v>
      </c>
      <c r="AA2443" s="295">
        <v>5.5249490000000003</v>
      </c>
      <c r="AB2443" s="295">
        <v>5.742737</v>
      </c>
      <c r="AC2443" s="295">
        <v>5.9992619999999999</v>
      </c>
      <c r="AD2443" s="295">
        <v>6.2735709999999996</v>
      </c>
      <c r="AE2443" s="295">
        <v>6.4545240000000002</v>
      </c>
      <c r="AF2443" s="295">
        <v>6.6406710000000002</v>
      </c>
      <c r="AG2443" s="295">
        <v>6.8109970000000004</v>
      </c>
      <c r="AH2443" s="296">
        <v>7.6849000000000001E-2</v>
      </c>
    </row>
    <row r="2444" spans="1:34" ht="15" customHeight="1" x14ac:dyDescent="0.25">
      <c r="A2444" s="213" t="s">
        <v>2829</v>
      </c>
      <c r="B2444" s="294" t="s">
        <v>2765</v>
      </c>
      <c r="C2444" s="295">
        <v>3.0600890000000001</v>
      </c>
      <c r="D2444" s="295">
        <v>3.543018</v>
      </c>
      <c r="E2444" s="295">
        <v>3.6826539999999999</v>
      </c>
      <c r="F2444" s="295">
        <v>4.3406989999999999</v>
      </c>
      <c r="G2444" s="295">
        <v>5.2440329999999999</v>
      </c>
      <c r="H2444" s="295">
        <v>5.4011570000000004</v>
      </c>
      <c r="I2444" s="295">
        <v>5.2649759999999999</v>
      </c>
      <c r="J2444" s="295">
        <v>5.2552940000000001</v>
      </c>
      <c r="K2444" s="295">
        <v>5.2879329999999998</v>
      </c>
      <c r="L2444" s="295">
        <v>5.3090169999999999</v>
      </c>
      <c r="M2444" s="295">
        <v>5.504391</v>
      </c>
      <c r="N2444" s="295">
        <v>5.564114</v>
      </c>
      <c r="O2444" s="295">
        <v>5.5595210000000002</v>
      </c>
      <c r="P2444" s="295">
        <v>5.5566040000000001</v>
      </c>
      <c r="Q2444" s="295">
        <v>5.691865</v>
      </c>
      <c r="R2444" s="295">
        <v>5.9049950000000004</v>
      </c>
      <c r="S2444" s="295">
        <v>5.9731389999999998</v>
      </c>
      <c r="T2444" s="295">
        <v>5.9787460000000001</v>
      </c>
      <c r="U2444" s="295">
        <v>5.9744010000000003</v>
      </c>
      <c r="V2444" s="295">
        <v>5.950367</v>
      </c>
      <c r="W2444" s="295">
        <v>5.9446649999999996</v>
      </c>
      <c r="X2444" s="295">
        <v>5.9432159999999996</v>
      </c>
      <c r="Y2444" s="295">
        <v>5.9248609999999999</v>
      </c>
      <c r="Z2444" s="295">
        <v>5.93574</v>
      </c>
      <c r="AA2444" s="295">
        <v>5.9543179999999998</v>
      </c>
      <c r="AB2444" s="295">
        <v>5.9814109999999996</v>
      </c>
      <c r="AC2444" s="295">
        <v>5.9920439999999999</v>
      </c>
      <c r="AD2444" s="295">
        <v>6.0264660000000001</v>
      </c>
      <c r="AE2444" s="295">
        <v>6.03857</v>
      </c>
      <c r="AF2444" s="295">
        <v>6.0822060000000002</v>
      </c>
      <c r="AG2444" s="295">
        <v>6.1354350000000002</v>
      </c>
      <c r="AH2444" s="296">
        <v>2.3459000000000001E-2</v>
      </c>
    </row>
    <row r="2446" spans="1:34" ht="15" customHeight="1" x14ac:dyDescent="0.2">
      <c r="A2446" s="213" t="s">
        <v>2830</v>
      </c>
      <c r="B2446" s="204" t="s">
        <v>2831</v>
      </c>
      <c r="C2446" s="205">
        <v>11.344614999999999</v>
      </c>
      <c r="D2446" s="205">
        <v>12.160427</v>
      </c>
      <c r="E2446" s="205">
        <v>12.723299000000001</v>
      </c>
      <c r="F2446" s="205">
        <v>13.64185</v>
      </c>
      <c r="G2446" s="205">
        <v>14.691649999999999</v>
      </c>
      <c r="H2446" s="205">
        <v>15.214774999999999</v>
      </c>
      <c r="I2446" s="205">
        <v>15.407698</v>
      </c>
      <c r="J2446" s="205">
        <v>15.746460000000001</v>
      </c>
      <c r="K2446" s="205">
        <v>15.94383</v>
      </c>
      <c r="L2446" s="205">
        <v>16.259518</v>
      </c>
      <c r="M2446" s="205">
        <v>16.688303000000001</v>
      </c>
      <c r="N2446" s="205">
        <v>16.951468999999999</v>
      </c>
      <c r="O2446" s="205">
        <v>17.161303</v>
      </c>
      <c r="P2446" s="205">
        <v>17.391424000000001</v>
      </c>
      <c r="Q2446" s="205">
        <v>17.703558000000001</v>
      </c>
      <c r="R2446" s="205">
        <v>18.145503999999999</v>
      </c>
      <c r="S2446" s="205">
        <v>18.391663000000001</v>
      </c>
      <c r="T2446" s="205">
        <v>18.586544</v>
      </c>
      <c r="U2446" s="205">
        <v>18.775756999999999</v>
      </c>
      <c r="V2446" s="205">
        <v>18.868373999999999</v>
      </c>
      <c r="W2446" s="205">
        <v>18.988078999999999</v>
      </c>
      <c r="X2446" s="205">
        <v>19.20833</v>
      </c>
      <c r="Y2446" s="205">
        <v>19.352927999999999</v>
      </c>
      <c r="Z2446" s="205">
        <v>19.543396000000001</v>
      </c>
      <c r="AA2446" s="205">
        <v>19.738095999999999</v>
      </c>
      <c r="AB2446" s="205">
        <v>20.028037999999999</v>
      </c>
      <c r="AC2446" s="205">
        <v>20.336656999999999</v>
      </c>
      <c r="AD2446" s="205">
        <v>20.708672</v>
      </c>
      <c r="AE2446" s="205">
        <v>20.95298</v>
      </c>
      <c r="AF2446" s="205">
        <v>21.237328000000002</v>
      </c>
      <c r="AG2446" s="205">
        <v>21.508986</v>
      </c>
      <c r="AH2446" s="206">
        <v>2.1552999999999999E-2</v>
      </c>
    </row>
    <row r="2448" spans="1:34" ht="15" customHeight="1" x14ac:dyDescent="0.2">
      <c r="B2448" s="204" t="s">
        <v>2832</v>
      </c>
    </row>
    <row r="2449" spans="1:34" ht="15" customHeight="1" x14ac:dyDescent="0.25">
      <c r="A2449" s="213" t="s">
        <v>2833</v>
      </c>
      <c r="B2449" s="294" t="s">
        <v>2834</v>
      </c>
      <c r="C2449" s="295">
        <v>1.133613</v>
      </c>
      <c r="D2449" s="295">
        <v>1.2481439999999999</v>
      </c>
      <c r="E2449" s="295">
        <v>1.265447</v>
      </c>
      <c r="F2449" s="295">
        <v>1.2710440000000001</v>
      </c>
      <c r="G2449" s="295">
        <v>1.277336</v>
      </c>
      <c r="H2449" s="295">
        <v>1.2860450000000001</v>
      </c>
      <c r="I2449" s="295">
        <v>1.2903530000000001</v>
      </c>
      <c r="J2449" s="295">
        <v>1.2934509999999999</v>
      </c>
      <c r="K2449" s="295">
        <v>1.2975479999999999</v>
      </c>
      <c r="L2449" s="295">
        <v>1.3005359999999999</v>
      </c>
      <c r="M2449" s="295">
        <v>1.3046679999999999</v>
      </c>
      <c r="N2449" s="295">
        <v>1.3177319999999999</v>
      </c>
      <c r="O2449" s="295">
        <v>1.323108</v>
      </c>
      <c r="P2449" s="295">
        <v>1.330333</v>
      </c>
      <c r="Q2449" s="295">
        <v>1.338808</v>
      </c>
      <c r="R2449" s="295">
        <v>1.3480650000000001</v>
      </c>
      <c r="S2449" s="295">
        <v>1.355367</v>
      </c>
      <c r="T2449" s="295">
        <v>1.3634759999999999</v>
      </c>
      <c r="U2449" s="295">
        <v>1.372201</v>
      </c>
      <c r="V2449" s="295">
        <v>1.3821509999999999</v>
      </c>
      <c r="W2449" s="295">
        <v>1.3927620000000001</v>
      </c>
      <c r="X2449" s="295">
        <v>1.4031260000000001</v>
      </c>
      <c r="Y2449" s="295">
        <v>1.4149050000000001</v>
      </c>
      <c r="Z2449" s="295">
        <v>1.426971</v>
      </c>
      <c r="AA2449" s="295">
        <v>1.440293</v>
      </c>
      <c r="AB2449" s="295">
        <v>1.4601010000000001</v>
      </c>
      <c r="AC2449" s="295">
        <v>1.4675640000000001</v>
      </c>
      <c r="AD2449" s="295">
        <v>1.494367</v>
      </c>
      <c r="AE2449" s="295">
        <v>1.5106329999999999</v>
      </c>
      <c r="AF2449" s="295">
        <v>1.5269250000000001</v>
      </c>
      <c r="AG2449" s="295">
        <v>1.543531</v>
      </c>
      <c r="AH2449" s="296">
        <v>1.0342E-2</v>
      </c>
    </row>
    <row r="2450" spans="1:34" ht="15" customHeight="1" x14ac:dyDescent="0.25">
      <c r="A2450" s="213" t="s">
        <v>2835</v>
      </c>
      <c r="B2450" s="294" t="s">
        <v>2836</v>
      </c>
      <c r="C2450" s="295">
        <v>9.9999999999999995E-7</v>
      </c>
      <c r="D2450" s="295">
        <v>1.3500000000000001E-3</v>
      </c>
      <c r="E2450" s="295">
        <v>1.346E-3</v>
      </c>
      <c r="F2450" s="295">
        <v>1.4289999999999999E-3</v>
      </c>
      <c r="G2450" s="295">
        <v>4.2299999999999998E-4</v>
      </c>
      <c r="H2450" s="295">
        <v>4.2299999999999998E-4</v>
      </c>
      <c r="I2450" s="295">
        <v>0</v>
      </c>
      <c r="J2450" s="295">
        <v>4.2299999999999998E-4</v>
      </c>
      <c r="K2450" s="295">
        <v>0</v>
      </c>
      <c r="L2450" s="295">
        <v>8.8999999999999995E-5</v>
      </c>
      <c r="M2450" s="295">
        <v>0</v>
      </c>
      <c r="N2450" s="295">
        <v>6.9999999999999999E-6</v>
      </c>
      <c r="O2450" s="295">
        <v>7.9999999999999996E-6</v>
      </c>
      <c r="P2450" s="295">
        <v>0</v>
      </c>
      <c r="Q2450" s="295">
        <v>0</v>
      </c>
      <c r="R2450" s="295">
        <v>0</v>
      </c>
      <c r="S2450" s="295">
        <v>4.2299999999999998E-4</v>
      </c>
      <c r="T2450" s="295">
        <v>4.2299999999999998E-4</v>
      </c>
      <c r="U2450" s="295">
        <v>4.6299999999999998E-4</v>
      </c>
      <c r="V2450" s="295">
        <v>4.6299999999999998E-4</v>
      </c>
      <c r="W2450" s="295">
        <v>4.6299999999999998E-4</v>
      </c>
      <c r="X2450" s="295">
        <v>4.6299999999999998E-4</v>
      </c>
      <c r="Y2450" s="295">
        <v>4.6299999999999998E-4</v>
      </c>
      <c r="Z2450" s="295">
        <v>1.289E-3</v>
      </c>
      <c r="AA2450" s="295">
        <v>1.346E-3</v>
      </c>
      <c r="AB2450" s="295">
        <v>1.346E-3</v>
      </c>
      <c r="AC2450" s="295">
        <v>1.346E-3</v>
      </c>
      <c r="AD2450" s="295">
        <v>1.346E-3</v>
      </c>
      <c r="AE2450" s="295">
        <v>4.6299999999999998E-4</v>
      </c>
      <c r="AF2450" s="295">
        <v>4.6299999999999998E-4</v>
      </c>
      <c r="AG2450" s="295">
        <v>4.6299999999999998E-4</v>
      </c>
      <c r="AH2450" s="296">
        <v>0.23289000000000001</v>
      </c>
    </row>
    <row r="2451" spans="1:34" ht="15" customHeight="1" x14ac:dyDescent="0.25">
      <c r="A2451" s="213" t="s">
        <v>2837</v>
      </c>
      <c r="B2451" s="294" t="s">
        <v>2838</v>
      </c>
      <c r="C2451" s="295">
        <v>-9.8394999999999996E-2</v>
      </c>
      <c r="D2451" s="295">
        <v>-0.10806399999999999</v>
      </c>
      <c r="E2451" s="295">
        <v>-0.13831599999999999</v>
      </c>
      <c r="F2451" s="295">
        <v>-0.14177500000000001</v>
      </c>
      <c r="G2451" s="295">
        <v>-0.14955299999999999</v>
      </c>
      <c r="H2451" s="295">
        <v>-0.15639900000000001</v>
      </c>
      <c r="I2451" s="295">
        <v>-0.160302</v>
      </c>
      <c r="J2451" s="295">
        <v>-0.16431100000000001</v>
      </c>
      <c r="K2451" s="295">
        <v>-0.16842499999999999</v>
      </c>
      <c r="L2451" s="295">
        <v>-0.17263000000000001</v>
      </c>
      <c r="M2451" s="295">
        <v>-0.17693999999999999</v>
      </c>
      <c r="N2451" s="295">
        <v>-0.19000700000000001</v>
      </c>
      <c r="O2451" s="295">
        <v>-0.19475899999999999</v>
      </c>
      <c r="P2451" s="295">
        <v>-0.19962199999999999</v>
      </c>
      <c r="Q2451" s="295">
        <v>-0.20461099999999999</v>
      </c>
      <c r="R2451" s="295">
        <v>-0.209726</v>
      </c>
      <c r="S2451" s="295">
        <v>-0.21496799999999999</v>
      </c>
      <c r="T2451" s="295">
        <v>-0.22035099999999999</v>
      </c>
      <c r="U2451" s="295">
        <v>-0.22586100000000001</v>
      </c>
      <c r="V2451" s="295">
        <v>-0.23149800000000001</v>
      </c>
      <c r="W2451" s="295">
        <v>-0.237292</v>
      </c>
      <c r="X2451" s="295">
        <v>-0.243228</v>
      </c>
      <c r="Y2451" s="295">
        <v>-0.249306</v>
      </c>
      <c r="Z2451" s="295">
        <v>-0.25554300000000002</v>
      </c>
      <c r="AA2451" s="295">
        <v>-0.26192100000000001</v>
      </c>
      <c r="AB2451" s="295">
        <v>-0.27498299999999998</v>
      </c>
      <c r="AC2451" s="295">
        <v>-0.27518300000000001</v>
      </c>
      <c r="AD2451" s="295">
        <v>-0.29488700000000001</v>
      </c>
      <c r="AE2451" s="295">
        <v>-0.30224899999999999</v>
      </c>
      <c r="AF2451" s="295">
        <v>-0.30980799999999997</v>
      </c>
      <c r="AG2451" s="295">
        <v>-0.31756600000000001</v>
      </c>
      <c r="AH2451" s="296">
        <v>3.9829000000000003E-2</v>
      </c>
    </row>
    <row r="2452" spans="1:34" ht="15" customHeight="1" x14ac:dyDescent="0.2">
      <c r="A2452" s="213" t="s">
        <v>2839</v>
      </c>
      <c r="B2452" s="204" t="s">
        <v>2840</v>
      </c>
      <c r="C2452" s="205">
        <v>1.035218</v>
      </c>
      <c r="D2452" s="205">
        <v>1.1414299999999999</v>
      </c>
      <c r="E2452" s="205">
        <v>1.128477</v>
      </c>
      <c r="F2452" s="205">
        <v>1.1306970000000001</v>
      </c>
      <c r="G2452" s="205">
        <v>1.128206</v>
      </c>
      <c r="H2452" s="205">
        <v>1.130069</v>
      </c>
      <c r="I2452" s="205">
        <v>1.1300509999999999</v>
      </c>
      <c r="J2452" s="205">
        <v>1.1295630000000001</v>
      </c>
      <c r="K2452" s="205">
        <v>1.1291230000000001</v>
      </c>
      <c r="L2452" s="205">
        <v>1.127996</v>
      </c>
      <c r="M2452" s="205">
        <v>1.1277280000000001</v>
      </c>
      <c r="N2452" s="205">
        <v>1.127731</v>
      </c>
      <c r="O2452" s="205">
        <v>1.1283559999999999</v>
      </c>
      <c r="P2452" s="205">
        <v>1.130711</v>
      </c>
      <c r="Q2452" s="205">
        <v>1.1341969999999999</v>
      </c>
      <c r="R2452" s="205">
        <v>1.138339</v>
      </c>
      <c r="S2452" s="205">
        <v>1.140822</v>
      </c>
      <c r="T2452" s="205">
        <v>1.1435470000000001</v>
      </c>
      <c r="U2452" s="205">
        <v>1.1468020000000001</v>
      </c>
      <c r="V2452" s="205">
        <v>1.151116</v>
      </c>
      <c r="W2452" s="205">
        <v>1.1559330000000001</v>
      </c>
      <c r="X2452" s="205">
        <v>1.160361</v>
      </c>
      <c r="Y2452" s="205">
        <v>1.166061</v>
      </c>
      <c r="Z2452" s="205">
        <v>1.172717</v>
      </c>
      <c r="AA2452" s="205">
        <v>1.179718</v>
      </c>
      <c r="AB2452" s="205">
        <v>1.1864650000000001</v>
      </c>
      <c r="AC2452" s="205">
        <v>1.1937279999999999</v>
      </c>
      <c r="AD2452" s="205">
        <v>1.200825</v>
      </c>
      <c r="AE2452" s="205">
        <v>1.208847</v>
      </c>
      <c r="AF2452" s="205">
        <v>1.217579</v>
      </c>
      <c r="AG2452" s="205">
        <v>1.2264280000000001</v>
      </c>
      <c r="AH2452" s="206">
        <v>5.666E-3</v>
      </c>
    </row>
    <row r="2455" spans="1:34" ht="15" customHeight="1" x14ac:dyDescent="0.2">
      <c r="B2455" s="204" t="s">
        <v>2841</v>
      </c>
    </row>
    <row r="2456" spans="1:34" ht="15" customHeight="1" x14ac:dyDescent="0.2">
      <c r="B2456" s="204" t="s">
        <v>2842</v>
      </c>
    </row>
    <row r="2458" spans="1:34" ht="15" customHeight="1" x14ac:dyDescent="0.2">
      <c r="A2458" s="213" t="s">
        <v>2843</v>
      </c>
      <c r="B2458" s="204" t="s">
        <v>2050</v>
      </c>
      <c r="C2458" s="205">
        <v>0.27982400000000002</v>
      </c>
      <c r="D2458" s="205">
        <v>0.32071699999999997</v>
      </c>
      <c r="E2458" s="205">
        <v>0.35361799999999999</v>
      </c>
      <c r="F2458" s="205">
        <v>0.38002000000000002</v>
      </c>
      <c r="G2458" s="205">
        <v>0.40817700000000001</v>
      </c>
      <c r="H2458" s="205">
        <v>0.43098999999999998</v>
      </c>
      <c r="I2458" s="205">
        <v>0.45727699999999999</v>
      </c>
      <c r="J2458" s="205">
        <v>0.486734</v>
      </c>
      <c r="K2458" s="205">
        <v>0.51718900000000001</v>
      </c>
      <c r="L2458" s="205">
        <v>0.54669900000000005</v>
      </c>
      <c r="M2458" s="205">
        <v>0.58058299999999996</v>
      </c>
      <c r="N2458" s="205">
        <v>0.61256999999999995</v>
      </c>
      <c r="O2458" s="205">
        <v>0.64334800000000003</v>
      </c>
      <c r="P2458" s="205">
        <v>0.67493199999999998</v>
      </c>
      <c r="Q2458" s="205">
        <v>0.70849499999999999</v>
      </c>
      <c r="R2458" s="205">
        <v>0.74302800000000002</v>
      </c>
      <c r="S2458" s="205">
        <v>0.77892899999999998</v>
      </c>
      <c r="T2458" s="205">
        <v>0.81736699999999995</v>
      </c>
      <c r="U2458" s="205">
        <v>0.85011999999999999</v>
      </c>
      <c r="V2458" s="205">
        <v>0.88812500000000005</v>
      </c>
      <c r="W2458" s="205">
        <v>0.92653700000000005</v>
      </c>
      <c r="X2458" s="205">
        <v>0.96557000000000004</v>
      </c>
      <c r="Y2458" s="205">
        <v>1.005617</v>
      </c>
      <c r="Z2458" s="205">
        <v>1.045633</v>
      </c>
      <c r="AA2458" s="205">
        <v>1.0865199999999999</v>
      </c>
      <c r="AB2458" s="205">
        <v>1.126142</v>
      </c>
      <c r="AC2458" s="205">
        <v>1.167511</v>
      </c>
      <c r="AD2458" s="205">
        <v>1.21296</v>
      </c>
      <c r="AE2458" s="205">
        <v>1.2558910000000001</v>
      </c>
      <c r="AF2458" s="205">
        <v>1.2983389999999999</v>
      </c>
      <c r="AG2458" s="205">
        <v>1.344705</v>
      </c>
      <c r="AH2458" s="206">
        <v>5.3719000000000003E-2</v>
      </c>
    </row>
    <row r="2459" spans="1:34" ht="15" customHeight="1" x14ac:dyDescent="0.25">
      <c r="A2459" s="213" t="s">
        <v>2844</v>
      </c>
      <c r="B2459" s="294" t="s">
        <v>2845</v>
      </c>
      <c r="C2459" s="295">
        <v>4.1875999999999997E-2</v>
      </c>
      <c r="D2459" s="295">
        <v>4.5830999999999997E-2</v>
      </c>
      <c r="E2459" s="295">
        <v>4.6117999999999999E-2</v>
      </c>
      <c r="F2459" s="295">
        <v>4.5619E-2</v>
      </c>
      <c r="G2459" s="295">
        <v>4.5566000000000002E-2</v>
      </c>
      <c r="H2459" s="295">
        <v>4.4778999999999999E-2</v>
      </c>
      <c r="I2459" s="295">
        <v>4.4589999999999998E-2</v>
      </c>
      <c r="J2459" s="295">
        <v>4.4705000000000002E-2</v>
      </c>
      <c r="K2459" s="295">
        <v>4.4933000000000001E-2</v>
      </c>
      <c r="L2459" s="295">
        <v>4.5137999999999998E-2</v>
      </c>
      <c r="M2459" s="295">
        <v>4.5601999999999997E-2</v>
      </c>
      <c r="N2459" s="295">
        <v>4.5950999999999999E-2</v>
      </c>
      <c r="O2459" s="295">
        <v>4.6161000000000001E-2</v>
      </c>
      <c r="P2459" s="295">
        <v>4.6390000000000001E-2</v>
      </c>
      <c r="Q2459" s="295">
        <v>4.6642999999999997E-2</v>
      </c>
      <c r="R2459" s="295">
        <v>4.6836999999999997E-2</v>
      </c>
      <c r="S2459" s="295">
        <v>4.7087999999999998E-2</v>
      </c>
      <c r="T2459" s="295">
        <v>4.7438000000000001E-2</v>
      </c>
      <c r="U2459" s="295">
        <v>4.7509999999999997E-2</v>
      </c>
      <c r="V2459" s="295">
        <v>4.7744000000000002E-2</v>
      </c>
      <c r="W2459" s="295">
        <v>4.7961999999999998E-2</v>
      </c>
      <c r="X2459" s="295">
        <v>4.8198999999999999E-2</v>
      </c>
      <c r="Y2459" s="295">
        <v>4.8433999999999998E-2</v>
      </c>
      <c r="Z2459" s="295">
        <v>4.8627999999999998E-2</v>
      </c>
      <c r="AA2459" s="295">
        <v>4.8779999999999997E-2</v>
      </c>
      <c r="AB2459" s="295">
        <v>4.8828000000000003E-2</v>
      </c>
      <c r="AC2459" s="295">
        <v>4.8940999999999998E-2</v>
      </c>
      <c r="AD2459" s="295">
        <v>4.9234E-2</v>
      </c>
      <c r="AE2459" s="295">
        <v>4.9318000000000001E-2</v>
      </c>
      <c r="AF2459" s="295">
        <v>4.9361000000000002E-2</v>
      </c>
      <c r="AG2459" s="295">
        <v>4.9486000000000002E-2</v>
      </c>
      <c r="AH2459" s="296">
        <v>5.581E-3</v>
      </c>
    </row>
    <row r="2460" spans="1:34" ht="15" customHeight="1" x14ac:dyDescent="0.25">
      <c r="A2460" s="213" t="s">
        <v>2846</v>
      </c>
      <c r="B2460" s="294" t="s">
        <v>2847</v>
      </c>
      <c r="C2460" s="295">
        <v>1.3027E-2</v>
      </c>
      <c r="D2460" s="295">
        <v>1.5183E-2</v>
      </c>
      <c r="E2460" s="295">
        <v>1.7817E-2</v>
      </c>
      <c r="F2460" s="295">
        <v>1.9005000000000001E-2</v>
      </c>
      <c r="G2460" s="295">
        <v>2.0483999999999999E-2</v>
      </c>
      <c r="H2460" s="295">
        <v>2.1389999999999999E-2</v>
      </c>
      <c r="I2460" s="295">
        <v>2.2734999999999998E-2</v>
      </c>
      <c r="J2460" s="295">
        <v>2.3963000000000002E-2</v>
      </c>
      <c r="K2460" s="295">
        <v>2.5274999999999999E-2</v>
      </c>
      <c r="L2460" s="295">
        <v>2.6539E-2</v>
      </c>
      <c r="M2460" s="295">
        <v>2.7795E-2</v>
      </c>
      <c r="N2460" s="295">
        <v>2.8951000000000001E-2</v>
      </c>
      <c r="O2460" s="295">
        <v>3.0151000000000001E-2</v>
      </c>
      <c r="P2460" s="295">
        <v>3.1366999999999999E-2</v>
      </c>
      <c r="Q2460" s="295">
        <v>3.2542000000000001E-2</v>
      </c>
      <c r="R2460" s="295">
        <v>3.3729000000000002E-2</v>
      </c>
      <c r="S2460" s="295">
        <v>3.4930999999999997E-2</v>
      </c>
      <c r="T2460" s="295">
        <v>3.61E-2</v>
      </c>
      <c r="U2460" s="295">
        <v>3.7217E-2</v>
      </c>
      <c r="V2460" s="295">
        <v>3.8406000000000003E-2</v>
      </c>
      <c r="W2460" s="295">
        <v>3.9655000000000003E-2</v>
      </c>
      <c r="X2460" s="295">
        <v>4.0898999999999998E-2</v>
      </c>
      <c r="Y2460" s="295">
        <v>4.2190999999999999E-2</v>
      </c>
      <c r="Z2460" s="295">
        <v>4.3469000000000001E-2</v>
      </c>
      <c r="AA2460" s="295">
        <v>4.4774000000000001E-2</v>
      </c>
      <c r="AB2460" s="295">
        <v>4.6102999999999998E-2</v>
      </c>
      <c r="AC2460" s="295">
        <v>4.7516000000000003E-2</v>
      </c>
      <c r="AD2460" s="295">
        <v>4.8974999999999998E-2</v>
      </c>
      <c r="AE2460" s="295">
        <v>5.0460999999999999E-2</v>
      </c>
      <c r="AF2460" s="295">
        <v>5.1894000000000003E-2</v>
      </c>
      <c r="AG2460" s="295">
        <v>5.3342000000000001E-2</v>
      </c>
      <c r="AH2460" s="296">
        <v>4.8111000000000001E-2</v>
      </c>
    </row>
    <row r="2461" spans="1:34" ht="15" customHeight="1" x14ac:dyDescent="0.25">
      <c r="A2461" s="213" t="s">
        <v>2848</v>
      </c>
      <c r="B2461" s="294" t="s">
        <v>2828</v>
      </c>
      <c r="C2461" s="295">
        <v>0.224748</v>
      </c>
      <c r="D2461" s="295">
        <v>0.25952999999999998</v>
      </c>
      <c r="E2461" s="295">
        <v>0.28950999999999999</v>
      </c>
      <c r="F2461" s="295">
        <v>0.31522600000000001</v>
      </c>
      <c r="G2461" s="295">
        <v>0.34195799999999998</v>
      </c>
      <c r="H2461" s="295">
        <v>0.36465500000000001</v>
      </c>
      <c r="I2461" s="295">
        <v>0.38978800000000002</v>
      </c>
      <c r="J2461" s="295">
        <v>0.41790300000000002</v>
      </c>
      <c r="K2461" s="295">
        <v>0.44681700000000002</v>
      </c>
      <c r="L2461" s="295">
        <v>0.47486</v>
      </c>
      <c r="M2461" s="295">
        <v>0.50702400000000003</v>
      </c>
      <c r="N2461" s="295">
        <v>0.53750600000000004</v>
      </c>
      <c r="O2461" s="295">
        <v>0.56687399999999999</v>
      </c>
      <c r="P2461" s="295">
        <v>0.59701300000000002</v>
      </c>
      <c r="Q2461" s="295">
        <v>0.62914899999999996</v>
      </c>
      <c r="R2461" s="295">
        <v>0.66230100000000003</v>
      </c>
      <c r="S2461" s="295">
        <v>0.69674899999999995</v>
      </c>
      <c r="T2461" s="295">
        <v>0.73366699999999996</v>
      </c>
      <c r="U2461" s="295">
        <v>0.76523300000000005</v>
      </c>
      <c r="V2461" s="295">
        <v>0.80181400000000003</v>
      </c>
      <c r="W2461" s="295">
        <v>0.838758</v>
      </c>
      <c r="X2461" s="295">
        <v>0.87630799999999998</v>
      </c>
      <c r="Y2461" s="295">
        <v>0.91482699999999995</v>
      </c>
      <c r="Z2461" s="295">
        <v>0.95336900000000002</v>
      </c>
      <c r="AA2461" s="295">
        <v>0.99279799999999996</v>
      </c>
      <c r="AB2461" s="295">
        <v>1.0310410000000001</v>
      </c>
      <c r="AC2461" s="295">
        <v>1.0708819999999999</v>
      </c>
      <c r="AD2461" s="295">
        <v>1.114576</v>
      </c>
      <c r="AE2461" s="295">
        <v>1.1559360000000001</v>
      </c>
      <c r="AF2461" s="295">
        <v>1.196906</v>
      </c>
      <c r="AG2461" s="295">
        <v>1.241698</v>
      </c>
      <c r="AH2461" s="296">
        <v>5.8630000000000002E-2</v>
      </c>
    </row>
    <row r="2462" spans="1:34" ht="15" customHeight="1" x14ac:dyDescent="0.25">
      <c r="A2462" s="213" t="s">
        <v>2849</v>
      </c>
      <c r="B2462" s="294" t="s">
        <v>2765</v>
      </c>
      <c r="C2462" s="295">
        <v>1.7200000000000001E-4</v>
      </c>
      <c r="D2462" s="295">
        <v>1.74E-4</v>
      </c>
      <c r="E2462" s="295">
        <v>1.73E-4</v>
      </c>
      <c r="F2462" s="295">
        <v>1.7100000000000001E-4</v>
      </c>
      <c r="G2462" s="295">
        <v>1.7000000000000001E-4</v>
      </c>
      <c r="H2462" s="295">
        <v>1.65E-4</v>
      </c>
      <c r="I2462" s="295">
        <v>1.64E-4</v>
      </c>
      <c r="J2462" s="295">
        <v>1.63E-4</v>
      </c>
      <c r="K2462" s="295">
        <v>1.63E-4</v>
      </c>
      <c r="L2462" s="295">
        <v>1.6200000000000001E-4</v>
      </c>
      <c r="M2462" s="295">
        <v>1.6200000000000001E-4</v>
      </c>
      <c r="N2462" s="295">
        <v>1.6200000000000001E-4</v>
      </c>
      <c r="O2462" s="295">
        <v>1.6200000000000001E-4</v>
      </c>
      <c r="P2462" s="295">
        <v>1.6100000000000001E-4</v>
      </c>
      <c r="Q2462" s="295">
        <v>1.6100000000000001E-4</v>
      </c>
      <c r="R2462" s="295">
        <v>1.6100000000000001E-4</v>
      </c>
      <c r="S2462" s="295">
        <v>1.6100000000000001E-4</v>
      </c>
      <c r="T2462" s="295">
        <v>1.6100000000000001E-4</v>
      </c>
      <c r="U2462" s="295">
        <v>1.6000000000000001E-4</v>
      </c>
      <c r="V2462" s="295">
        <v>1.6100000000000001E-4</v>
      </c>
      <c r="W2462" s="295">
        <v>1.6200000000000001E-4</v>
      </c>
      <c r="X2462" s="295">
        <v>1.63E-4</v>
      </c>
      <c r="Y2462" s="295">
        <v>1.65E-4</v>
      </c>
      <c r="Z2462" s="295">
        <v>1.6699999999999999E-4</v>
      </c>
      <c r="AA2462" s="295">
        <v>1.6899999999999999E-4</v>
      </c>
      <c r="AB2462" s="295">
        <v>1.7000000000000001E-4</v>
      </c>
      <c r="AC2462" s="295">
        <v>1.7200000000000001E-4</v>
      </c>
      <c r="AD2462" s="295">
        <v>1.74E-4</v>
      </c>
      <c r="AE2462" s="295">
        <v>1.76E-4</v>
      </c>
      <c r="AF2462" s="295">
        <v>1.7799999999999999E-4</v>
      </c>
      <c r="AG2462" s="295">
        <v>1.8000000000000001E-4</v>
      </c>
      <c r="AH2462" s="296">
        <v>1.374E-3</v>
      </c>
    </row>
    <row r="2464" spans="1:34" ht="15" customHeight="1" x14ac:dyDescent="0.2">
      <c r="A2464" s="213" t="s">
        <v>2850</v>
      </c>
      <c r="B2464" s="204" t="s">
        <v>2052</v>
      </c>
      <c r="C2464" s="205">
        <v>0.246143</v>
      </c>
      <c r="D2464" s="205">
        <v>0.27621200000000001</v>
      </c>
      <c r="E2464" s="205">
        <v>0.29548200000000002</v>
      </c>
      <c r="F2464" s="205">
        <v>0.302537</v>
      </c>
      <c r="G2464" s="205">
        <v>0.31115300000000001</v>
      </c>
      <c r="H2464" s="205">
        <v>0.32383299999999998</v>
      </c>
      <c r="I2464" s="205">
        <v>0.33554400000000001</v>
      </c>
      <c r="J2464" s="205">
        <v>0.35487800000000003</v>
      </c>
      <c r="K2464" s="205">
        <v>0.36702000000000001</v>
      </c>
      <c r="L2464" s="205">
        <v>0.38123800000000002</v>
      </c>
      <c r="M2464" s="205">
        <v>0.39169500000000002</v>
      </c>
      <c r="N2464" s="205">
        <v>0.40658899999999998</v>
      </c>
      <c r="O2464" s="205">
        <v>0.411414</v>
      </c>
      <c r="P2464" s="205">
        <v>0.426537</v>
      </c>
      <c r="Q2464" s="205">
        <v>0.43382199999999999</v>
      </c>
      <c r="R2464" s="205">
        <v>0.45155400000000001</v>
      </c>
      <c r="S2464" s="205">
        <v>0.47020299999999998</v>
      </c>
      <c r="T2464" s="205">
        <v>0.48383900000000002</v>
      </c>
      <c r="U2464" s="205">
        <v>0.49467</v>
      </c>
      <c r="V2464" s="205">
        <v>0.50775899999999996</v>
      </c>
      <c r="W2464" s="205">
        <v>0.52286999999999995</v>
      </c>
      <c r="X2464" s="205">
        <v>0.53813800000000001</v>
      </c>
      <c r="Y2464" s="205">
        <v>0.55597099999999999</v>
      </c>
      <c r="Z2464" s="205">
        <v>0.56083799999999995</v>
      </c>
      <c r="AA2464" s="205">
        <v>0.57489800000000002</v>
      </c>
      <c r="AB2464" s="205">
        <v>0.58586400000000005</v>
      </c>
      <c r="AC2464" s="205">
        <v>0.600518</v>
      </c>
      <c r="AD2464" s="205">
        <v>0.61634199999999995</v>
      </c>
      <c r="AE2464" s="205">
        <v>0.62701799999999996</v>
      </c>
      <c r="AF2464" s="205">
        <v>0.63078400000000001</v>
      </c>
      <c r="AG2464" s="205">
        <v>0.63648700000000002</v>
      </c>
      <c r="AH2464" s="206">
        <v>3.2175000000000002E-2</v>
      </c>
    </row>
    <row r="2465" spans="1:34" ht="15" customHeight="1" x14ac:dyDescent="0.25">
      <c r="A2465" s="213" t="s">
        <v>2851</v>
      </c>
      <c r="B2465" s="294" t="s">
        <v>2826</v>
      </c>
      <c r="C2465" s="295">
        <v>7.3691999999999994E-2</v>
      </c>
      <c r="D2465" s="295">
        <v>7.4771000000000004E-2</v>
      </c>
      <c r="E2465" s="295">
        <v>7.4763999999999997E-2</v>
      </c>
      <c r="F2465" s="295">
        <v>7.3534000000000002E-2</v>
      </c>
      <c r="G2465" s="295">
        <v>7.3245000000000005E-2</v>
      </c>
      <c r="H2465" s="295">
        <v>7.1374999999999994E-2</v>
      </c>
      <c r="I2465" s="295">
        <v>7.0848999999999995E-2</v>
      </c>
      <c r="J2465" s="295">
        <v>7.0451E-2</v>
      </c>
      <c r="K2465" s="295">
        <v>7.0455000000000004E-2</v>
      </c>
      <c r="L2465" s="295">
        <v>7.0278999999999994E-2</v>
      </c>
      <c r="M2465" s="295">
        <v>7.0495000000000002E-2</v>
      </c>
      <c r="N2465" s="295">
        <v>7.0365999999999998E-2</v>
      </c>
      <c r="O2465" s="295">
        <v>7.0212999999999998E-2</v>
      </c>
      <c r="P2465" s="295">
        <v>7.0060999999999998E-2</v>
      </c>
      <c r="Q2465" s="295">
        <v>6.9983000000000004E-2</v>
      </c>
      <c r="R2465" s="295">
        <v>6.9874000000000006E-2</v>
      </c>
      <c r="S2465" s="295">
        <v>6.9837999999999997E-2</v>
      </c>
      <c r="T2465" s="295">
        <v>6.9871000000000003E-2</v>
      </c>
      <c r="U2465" s="295">
        <v>6.9458000000000006E-2</v>
      </c>
      <c r="V2465" s="295">
        <v>6.9417999999999994E-2</v>
      </c>
      <c r="W2465" s="295">
        <v>6.9345000000000004E-2</v>
      </c>
      <c r="X2465" s="295">
        <v>6.9290000000000004E-2</v>
      </c>
      <c r="Y2465" s="295">
        <v>6.9236000000000006E-2</v>
      </c>
      <c r="Z2465" s="295">
        <v>6.9093000000000002E-2</v>
      </c>
      <c r="AA2465" s="295">
        <v>6.8950999999999998E-2</v>
      </c>
      <c r="AB2465" s="295">
        <v>6.8748000000000004E-2</v>
      </c>
      <c r="AC2465" s="295">
        <v>6.8580000000000002E-2</v>
      </c>
      <c r="AD2465" s="295">
        <v>6.8497000000000002E-2</v>
      </c>
      <c r="AE2465" s="295">
        <v>6.8274000000000001E-2</v>
      </c>
      <c r="AF2465" s="295">
        <v>6.7988999999999994E-2</v>
      </c>
      <c r="AG2465" s="295">
        <v>6.7805000000000004E-2</v>
      </c>
      <c r="AH2465" s="296">
        <v>-2.771E-3</v>
      </c>
    </row>
    <row r="2466" spans="1:34" ht="15" customHeight="1" x14ac:dyDescent="0.25">
      <c r="A2466" s="213" t="s">
        <v>2852</v>
      </c>
      <c r="B2466" s="294" t="s">
        <v>2828</v>
      </c>
      <c r="C2466" s="295">
        <v>0.16556000000000001</v>
      </c>
      <c r="D2466" s="295">
        <v>0.19445999999999999</v>
      </c>
      <c r="E2466" s="295">
        <v>0.213751</v>
      </c>
      <c r="F2466" s="295">
        <v>0.22212799999999999</v>
      </c>
      <c r="G2466" s="295">
        <v>0.23104</v>
      </c>
      <c r="H2466" s="295">
        <v>0.245749</v>
      </c>
      <c r="I2466" s="295">
        <v>0.25803100000000001</v>
      </c>
      <c r="J2466" s="295">
        <v>0.27777200000000002</v>
      </c>
      <c r="K2466" s="295">
        <v>0.28991299999999998</v>
      </c>
      <c r="L2466" s="295">
        <v>0.30431799999999998</v>
      </c>
      <c r="M2466" s="295">
        <v>0.31456000000000001</v>
      </c>
      <c r="N2466" s="295">
        <v>0.32959300000000002</v>
      </c>
      <c r="O2466" s="295">
        <v>0.33458599999999999</v>
      </c>
      <c r="P2466" s="295">
        <v>0.34983999999999998</v>
      </c>
      <c r="Q2466" s="295">
        <v>0.357211</v>
      </c>
      <c r="R2466" s="295">
        <v>0.37506</v>
      </c>
      <c r="S2466" s="295">
        <v>0.39375300000000002</v>
      </c>
      <c r="T2466" s="295">
        <v>0.40736</v>
      </c>
      <c r="U2466" s="295">
        <v>0.418628</v>
      </c>
      <c r="V2466" s="295">
        <v>0.43176100000000001</v>
      </c>
      <c r="W2466" s="295">
        <v>0.44695200000000002</v>
      </c>
      <c r="X2466" s="295">
        <v>0.462283</v>
      </c>
      <c r="Y2466" s="295">
        <v>0.480161</v>
      </c>
      <c r="Z2466" s="295">
        <v>0.48518499999999998</v>
      </c>
      <c r="AA2466" s="295">
        <v>0.49939099999999997</v>
      </c>
      <c r="AB2466" s="295">
        <v>0.51058000000000003</v>
      </c>
      <c r="AC2466" s="295">
        <v>0.52541599999999999</v>
      </c>
      <c r="AD2466" s="295">
        <v>0.54133100000000001</v>
      </c>
      <c r="AE2466" s="295">
        <v>0.55223299999999997</v>
      </c>
      <c r="AF2466" s="295">
        <v>0.55629600000000001</v>
      </c>
      <c r="AG2466" s="295">
        <v>0.56219200000000003</v>
      </c>
      <c r="AH2466" s="296">
        <v>4.1591999999999997E-2</v>
      </c>
    </row>
    <row r="2467" spans="1:34" ht="15" customHeight="1" x14ac:dyDescent="0.25">
      <c r="A2467" s="213" t="s">
        <v>2853</v>
      </c>
      <c r="B2467" s="294" t="s">
        <v>2765</v>
      </c>
      <c r="C2467" s="295">
        <v>6.8910000000000004E-3</v>
      </c>
      <c r="D2467" s="295">
        <v>6.9810000000000002E-3</v>
      </c>
      <c r="E2467" s="295">
        <v>6.9670000000000001E-3</v>
      </c>
      <c r="F2467" s="295">
        <v>6.8739999999999999E-3</v>
      </c>
      <c r="G2467" s="295">
        <v>6.868E-3</v>
      </c>
      <c r="H2467" s="295">
        <v>6.7089999999999997E-3</v>
      </c>
      <c r="I2467" s="295">
        <v>6.6639999999999998E-3</v>
      </c>
      <c r="J2467" s="295">
        <v>6.6550000000000003E-3</v>
      </c>
      <c r="K2467" s="295">
        <v>6.6519999999999999E-3</v>
      </c>
      <c r="L2467" s="295">
        <v>6.6410000000000002E-3</v>
      </c>
      <c r="M2467" s="295">
        <v>6.6400000000000001E-3</v>
      </c>
      <c r="N2467" s="295">
        <v>6.6299999999999996E-3</v>
      </c>
      <c r="O2467" s="295">
        <v>6.6150000000000002E-3</v>
      </c>
      <c r="P2467" s="295">
        <v>6.6360000000000004E-3</v>
      </c>
      <c r="Q2467" s="295">
        <v>6.6280000000000002E-3</v>
      </c>
      <c r="R2467" s="295">
        <v>6.62E-3</v>
      </c>
      <c r="S2467" s="295">
        <v>6.613E-3</v>
      </c>
      <c r="T2467" s="295">
        <v>6.607E-3</v>
      </c>
      <c r="U2467" s="295">
        <v>6.5849999999999997E-3</v>
      </c>
      <c r="V2467" s="295">
        <v>6.5789999999999998E-3</v>
      </c>
      <c r="W2467" s="295">
        <v>6.5729999999999998E-3</v>
      </c>
      <c r="X2467" s="295">
        <v>6.5649999999999997E-3</v>
      </c>
      <c r="Y2467" s="295">
        <v>6.574E-3</v>
      </c>
      <c r="Z2467" s="295">
        <v>6.5599999999999999E-3</v>
      </c>
      <c r="AA2467" s="295">
        <v>6.5570000000000003E-3</v>
      </c>
      <c r="AB2467" s="295">
        <v>6.5360000000000001E-3</v>
      </c>
      <c r="AC2467" s="295">
        <v>6.522E-3</v>
      </c>
      <c r="AD2467" s="295">
        <v>6.515E-3</v>
      </c>
      <c r="AE2467" s="295">
        <v>6.5110000000000003E-3</v>
      </c>
      <c r="AF2467" s="295">
        <v>6.4989999999999996E-3</v>
      </c>
      <c r="AG2467" s="295">
        <v>6.489E-3</v>
      </c>
      <c r="AH2467" s="296">
        <v>-1.9980000000000002E-3</v>
      </c>
    </row>
    <row r="2468" spans="1:34" ht="15" customHeight="1" thickBot="1" x14ac:dyDescent="0.25"/>
    <row r="2469" spans="1:34" ht="15" customHeight="1" x14ac:dyDescent="0.2">
      <c r="B2469" s="305" t="s">
        <v>2854</v>
      </c>
      <c r="C2469" s="305"/>
      <c r="D2469" s="305"/>
      <c r="E2469" s="305"/>
      <c r="F2469" s="305"/>
      <c r="G2469" s="305"/>
      <c r="H2469" s="305"/>
      <c r="I2469" s="305"/>
      <c r="J2469" s="305"/>
      <c r="K2469" s="305"/>
      <c r="L2469" s="305"/>
      <c r="M2469" s="305"/>
      <c r="N2469" s="305"/>
      <c r="O2469" s="305"/>
      <c r="P2469" s="305"/>
      <c r="Q2469" s="305"/>
      <c r="R2469" s="305"/>
      <c r="S2469" s="305"/>
      <c r="T2469" s="305"/>
      <c r="U2469" s="305"/>
      <c r="V2469" s="305"/>
      <c r="W2469" s="305"/>
      <c r="X2469" s="305"/>
      <c r="Y2469" s="305"/>
      <c r="Z2469" s="305"/>
      <c r="AA2469" s="305"/>
      <c r="AB2469" s="305"/>
      <c r="AC2469" s="305"/>
      <c r="AD2469" s="305"/>
      <c r="AE2469" s="305"/>
      <c r="AF2469" s="305"/>
      <c r="AG2469" s="305"/>
      <c r="AH2469" s="305"/>
    </row>
    <row r="2470" spans="1:34" ht="15" customHeight="1" x14ac:dyDescent="0.2">
      <c r="B2470" s="208" t="s">
        <v>2855</v>
      </c>
    </row>
    <row r="2471" spans="1:34" ht="15" customHeight="1" x14ac:dyDescent="0.2">
      <c r="B2471" s="208" t="s">
        <v>2856</v>
      </c>
    </row>
    <row r="2472" spans="1:34" ht="15" customHeight="1" x14ac:dyDescent="0.2">
      <c r="B2472" s="208" t="s">
        <v>2857</v>
      </c>
    </row>
    <row r="2473" spans="1:34" ht="15" customHeight="1" x14ac:dyDescent="0.2">
      <c r="B2473" s="208" t="s">
        <v>2858</v>
      </c>
    </row>
    <row r="2474" spans="1:34" ht="15" customHeight="1" x14ac:dyDescent="0.2">
      <c r="B2474" s="208" t="s">
        <v>2460</v>
      </c>
    </row>
    <row r="2475" spans="1:34" ht="15" customHeight="1" x14ac:dyDescent="0.2">
      <c r="B2475" s="208" t="s">
        <v>2859</v>
      </c>
    </row>
    <row r="2476" spans="1:34" ht="15" customHeight="1" x14ac:dyDescent="0.2">
      <c r="B2476" s="208" t="s">
        <v>2860</v>
      </c>
    </row>
    <row r="2477" spans="1:34" ht="15" customHeight="1" x14ac:dyDescent="0.2">
      <c r="B2477" s="208" t="s">
        <v>2861</v>
      </c>
    </row>
    <row r="2478" spans="1:34" ht="15" customHeight="1" x14ac:dyDescent="0.2">
      <c r="B2478" s="208" t="s">
        <v>2862</v>
      </c>
    </row>
    <row r="2479" spans="1:34" ht="15" customHeight="1" x14ac:dyDescent="0.2">
      <c r="B2479" s="208" t="s">
        <v>2863</v>
      </c>
    </row>
    <row r="2480" spans="1:34" ht="15" customHeight="1" x14ac:dyDescent="0.2">
      <c r="B2480" s="208" t="s">
        <v>2864</v>
      </c>
    </row>
    <row r="2481" spans="2:2" ht="15" customHeight="1" x14ac:dyDescent="0.2">
      <c r="B2481" s="208" t="s">
        <v>2786</v>
      </c>
    </row>
    <row r="2482" spans="2:2" ht="15" customHeight="1" x14ac:dyDescent="0.2">
      <c r="B2482" s="208" t="s">
        <v>2865</v>
      </c>
    </row>
    <row r="2483" spans="2:2" ht="15" customHeight="1" x14ac:dyDescent="0.2">
      <c r="B2483" s="208" t="s">
        <v>2866</v>
      </c>
    </row>
    <row r="2484" spans="2:2" ht="15" customHeight="1" x14ac:dyDescent="0.2">
      <c r="B2484" s="208" t="s">
        <v>2867</v>
      </c>
    </row>
    <row r="2485" spans="2:2" ht="15" customHeight="1" x14ac:dyDescent="0.2">
      <c r="B2485" s="208" t="s">
        <v>601</v>
      </c>
    </row>
    <row r="2486" spans="2:2" ht="15" customHeight="1" x14ac:dyDescent="0.2">
      <c r="B2486" s="208" t="s">
        <v>616</v>
      </c>
    </row>
    <row r="2487" spans="2:2" ht="15" customHeight="1" x14ac:dyDescent="0.2">
      <c r="B2487" s="208" t="s">
        <v>614</v>
      </c>
    </row>
    <row r="2488" spans="2:2" ht="15" customHeight="1" x14ac:dyDescent="0.2">
      <c r="B2488" s="208" t="s">
        <v>2215</v>
      </c>
    </row>
    <row r="2489" spans="2:2" ht="15" customHeight="1" x14ac:dyDescent="0.2">
      <c r="B2489" s="208" t="s">
        <v>1979</v>
      </c>
    </row>
    <row r="2510" spans="1:34" ht="15" customHeight="1" x14ac:dyDescent="0.25">
      <c r="A2510" s="213" t="s">
        <v>2868</v>
      </c>
      <c r="B2510" s="202" t="s">
        <v>1026</v>
      </c>
      <c r="AH2510" s="292" t="s">
        <v>597</v>
      </c>
    </row>
    <row r="2511" spans="1:34" ht="15" customHeight="1" x14ac:dyDescent="0.2">
      <c r="B2511" s="199" t="s">
        <v>2869</v>
      </c>
      <c r="AH2511" s="292" t="s">
        <v>598</v>
      </c>
    </row>
    <row r="2512" spans="1:34" ht="15" customHeight="1" x14ac:dyDescent="0.2">
      <c r="B2512" s="199" t="s">
        <v>124</v>
      </c>
      <c r="C2512" s="222" t="s">
        <v>124</v>
      </c>
      <c r="D2512" s="222" t="s">
        <v>124</v>
      </c>
      <c r="E2512" s="222" t="s">
        <v>124</v>
      </c>
      <c r="F2512" s="222" t="s">
        <v>124</v>
      </c>
      <c r="G2512" s="222" t="s">
        <v>124</v>
      </c>
      <c r="H2512" s="222" t="s">
        <v>124</v>
      </c>
      <c r="I2512" s="222" t="s">
        <v>124</v>
      </c>
      <c r="J2512" s="222" t="s">
        <v>124</v>
      </c>
      <c r="K2512" s="222" t="s">
        <v>124</v>
      </c>
      <c r="L2512" s="222" t="s">
        <v>124</v>
      </c>
      <c r="M2512" s="222" t="s">
        <v>124</v>
      </c>
      <c r="N2512" s="222" t="s">
        <v>124</v>
      </c>
      <c r="O2512" s="222" t="s">
        <v>124</v>
      </c>
      <c r="P2512" s="222" t="s">
        <v>124</v>
      </c>
      <c r="Q2512" s="222" t="s">
        <v>124</v>
      </c>
      <c r="R2512" s="222" t="s">
        <v>124</v>
      </c>
      <c r="S2512" s="222" t="s">
        <v>124</v>
      </c>
      <c r="T2512" s="222" t="s">
        <v>124</v>
      </c>
      <c r="U2512" s="222" t="s">
        <v>124</v>
      </c>
      <c r="V2512" s="222" t="s">
        <v>124</v>
      </c>
      <c r="W2512" s="222" t="s">
        <v>124</v>
      </c>
      <c r="X2512" s="222" t="s">
        <v>124</v>
      </c>
      <c r="Y2512" s="222" t="s">
        <v>124</v>
      </c>
      <c r="Z2512" s="222" t="s">
        <v>124</v>
      </c>
      <c r="AA2512" s="222" t="s">
        <v>124</v>
      </c>
      <c r="AB2512" s="222" t="s">
        <v>124</v>
      </c>
      <c r="AC2512" s="222" t="s">
        <v>124</v>
      </c>
      <c r="AD2512" s="222" t="s">
        <v>124</v>
      </c>
      <c r="AE2512" s="222" t="s">
        <v>124</v>
      </c>
      <c r="AF2512" s="222" t="s">
        <v>124</v>
      </c>
      <c r="AG2512" s="222" t="s">
        <v>124</v>
      </c>
      <c r="AH2512" s="292" t="s">
        <v>599</v>
      </c>
    </row>
    <row r="2513" spans="1:34" ht="15" customHeight="1" thickBot="1" x14ac:dyDescent="0.25">
      <c r="B2513" s="200" t="s">
        <v>1033</v>
      </c>
      <c r="C2513" s="200">
        <v>2020</v>
      </c>
      <c r="D2513" s="200">
        <v>2021</v>
      </c>
      <c r="E2513" s="200">
        <v>2022</v>
      </c>
      <c r="F2513" s="200">
        <v>2023</v>
      </c>
      <c r="G2513" s="200">
        <v>2024</v>
      </c>
      <c r="H2513" s="200">
        <v>2025</v>
      </c>
      <c r="I2513" s="200">
        <v>2026</v>
      </c>
      <c r="J2513" s="200">
        <v>2027</v>
      </c>
      <c r="K2513" s="200">
        <v>2028</v>
      </c>
      <c r="L2513" s="200">
        <v>2029</v>
      </c>
      <c r="M2513" s="200">
        <v>2030</v>
      </c>
      <c r="N2513" s="200">
        <v>2031</v>
      </c>
      <c r="O2513" s="200">
        <v>2032</v>
      </c>
      <c r="P2513" s="200">
        <v>2033</v>
      </c>
      <c r="Q2513" s="200">
        <v>2034</v>
      </c>
      <c r="R2513" s="200">
        <v>2035</v>
      </c>
      <c r="S2513" s="200">
        <v>2036</v>
      </c>
      <c r="T2513" s="200">
        <v>2037</v>
      </c>
      <c r="U2513" s="200">
        <v>2038</v>
      </c>
      <c r="V2513" s="200">
        <v>2039</v>
      </c>
      <c r="W2513" s="200">
        <v>2040</v>
      </c>
      <c r="X2513" s="200">
        <v>2041</v>
      </c>
      <c r="Y2513" s="200">
        <v>2042</v>
      </c>
      <c r="Z2513" s="200">
        <v>2043</v>
      </c>
      <c r="AA2513" s="200">
        <v>2044</v>
      </c>
      <c r="AB2513" s="200">
        <v>2045</v>
      </c>
      <c r="AC2513" s="200">
        <v>2046</v>
      </c>
      <c r="AD2513" s="200">
        <v>2047</v>
      </c>
      <c r="AE2513" s="200">
        <v>2048</v>
      </c>
      <c r="AF2513" s="200">
        <v>2049</v>
      </c>
      <c r="AG2513" s="200">
        <v>2050</v>
      </c>
      <c r="AH2513" s="293" t="s">
        <v>600</v>
      </c>
    </row>
    <row r="2514" spans="1:34" ht="15" customHeight="1" thickTop="1" x14ac:dyDescent="0.2"/>
    <row r="2515" spans="1:34" ht="15" customHeight="1" x14ac:dyDescent="0.2">
      <c r="B2515" s="204" t="s">
        <v>1034</v>
      </c>
    </row>
    <row r="2516" spans="1:34" ht="15" customHeight="1" x14ac:dyDescent="0.25">
      <c r="A2516" s="213" t="s">
        <v>2870</v>
      </c>
      <c r="B2516" s="294" t="s">
        <v>2871</v>
      </c>
      <c r="C2516" s="297">
        <v>60.108082000000003</v>
      </c>
      <c r="D2516" s="297">
        <v>63.177208</v>
      </c>
      <c r="E2516" s="297">
        <v>62.781494000000002</v>
      </c>
      <c r="F2516" s="297">
        <v>61.538372000000003</v>
      </c>
      <c r="G2516" s="297">
        <v>60.346130000000002</v>
      </c>
      <c r="H2516" s="297">
        <v>59.275139000000003</v>
      </c>
      <c r="I2516" s="297">
        <v>58.300766000000003</v>
      </c>
      <c r="J2516" s="297">
        <v>57.462356999999997</v>
      </c>
      <c r="K2516" s="297">
        <v>56.681801</v>
      </c>
      <c r="L2516" s="297">
        <v>55.982779999999998</v>
      </c>
      <c r="M2516" s="297">
        <v>55.315024999999999</v>
      </c>
      <c r="N2516" s="297">
        <v>54.691352999999999</v>
      </c>
      <c r="O2516" s="297">
        <v>54.084465000000002</v>
      </c>
      <c r="P2516" s="297">
        <v>53.517066999999997</v>
      </c>
      <c r="Q2516" s="297">
        <v>52.979652000000002</v>
      </c>
      <c r="R2516" s="297">
        <v>52.486656000000004</v>
      </c>
      <c r="S2516" s="297">
        <v>52.005844000000003</v>
      </c>
      <c r="T2516" s="297">
        <v>51.531798999999999</v>
      </c>
      <c r="U2516" s="297">
        <v>51.065151</v>
      </c>
      <c r="V2516" s="297">
        <v>50.631087999999998</v>
      </c>
      <c r="W2516" s="297">
        <v>50.198234999999997</v>
      </c>
      <c r="X2516" s="297">
        <v>49.771210000000004</v>
      </c>
      <c r="Y2516" s="297">
        <v>49.355080000000001</v>
      </c>
      <c r="Z2516" s="297">
        <v>48.942695999999998</v>
      </c>
      <c r="AA2516" s="297">
        <v>48.557563999999999</v>
      </c>
      <c r="AB2516" s="297">
        <v>48.195380999999998</v>
      </c>
      <c r="AC2516" s="297">
        <v>47.822296000000001</v>
      </c>
      <c r="AD2516" s="297">
        <v>47.439731999999999</v>
      </c>
      <c r="AE2516" s="297">
        <v>47.075733</v>
      </c>
      <c r="AF2516" s="297">
        <v>46.724243000000001</v>
      </c>
      <c r="AG2516" s="297">
        <v>46.389004</v>
      </c>
      <c r="AH2516" s="296">
        <v>-8.5990000000000007E-3</v>
      </c>
    </row>
    <row r="2517" spans="1:34" ht="15" customHeight="1" x14ac:dyDescent="0.25">
      <c r="A2517" s="213" t="s">
        <v>2872</v>
      </c>
      <c r="B2517" s="294" t="s">
        <v>152</v>
      </c>
      <c r="C2517" s="297">
        <v>263.65716600000002</v>
      </c>
      <c r="D2517" s="297">
        <v>256.867706</v>
      </c>
      <c r="E2517" s="297">
        <v>264.13818400000002</v>
      </c>
      <c r="F2517" s="297">
        <v>263.72912600000001</v>
      </c>
      <c r="G2517" s="297">
        <v>263.817902</v>
      </c>
      <c r="H2517" s="297">
        <v>263.58706699999999</v>
      </c>
      <c r="I2517" s="297">
        <v>262.95755000000003</v>
      </c>
      <c r="J2517" s="297">
        <v>262.24722300000002</v>
      </c>
      <c r="K2517" s="297">
        <v>261.63696299999998</v>
      </c>
      <c r="L2517" s="297">
        <v>261.04617300000001</v>
      </c>
      <c r="M2517" s="297">
        <v>260.17697099999998</v>
      </c>
      <c r="N2517" s="297">
        <v>259.54852299999999</v>
      </c>
      <c r="O2517" s="297">
        <v>259.078461</v>
      </c>
      <c r="P2517" s="297">
        <v>258.62597699999998</v>
      </c>
      <c r="Q2517" s="297">
        <v>258.17697099999998</v>
      </c>
      <c r="R2517" s="297">
        <v>257.86639400000001</v>
      </c>
      <c r="S2517" s="297">
        <v>257.62194799999997</v>
      </c>
      <c r="T2517" s="297">
        <v>257.38165300000003</v>
      </c>
      <c r="U2517" s="297">
        <v>257.15997299999998</v>
      </c>
      <c r="V2517" s="297">
        <v>256.95428500000003</v>
      </c>
      <c r="W2517" s="297">
        <v>256.84594700000002</v>
      </c>
      <c r="X2517" s="297">
        <v>256.73416099999997</v>
      </c>
      <c r="Y2517" s="297">
        <v>256.646637</v>
      </c>
      <c r="Z2517" s="297">
        <v>256.56930499999999</v>
      </c>
      <c r="AA2517" s="297">
        <v>256.54748499999999</v>
      </c>
      <c r="AB2517" s="297">
        <v>256.49404900000002</v>
      </c>
      <c r="AC2517" s="297">
        <v>256.45806900000002</v>
      </c>
      <c r="AD2517" s="297">
        <v>256.37350500000002</v>
      </c>
      <c r="AE2517" s="297">
        <v>256.26474000000002</v>
      </c>
      <c r="AF2517" s="297">
        <v>256.09179699999999</v>
      </c>
      <c r="AG2517" s="297">
        <v>255.91404700000001</v>
      </c>
      <c r="AH2517" s="296">
        <v>-9.9299999999999996E-4</v>
      </c>
    </row>
    <row r="2518" spans="1:34" ht="15" customHeight="1" x14ac:dyDescent="0.25">
      <c r="A2518" s="213" t="s">
        <v>2873</v>
      </c>
      <c r="B2518" s="294" t="s">
        <v>2874</v>
      </c>
      <c r="C2518" s="297">
        <v>570.48431400000004</v>
      </c>
      <c r="D2518" s="297">
        <v>598.31042500000001</v>
      </c>
      <c r="E2518" s="297">
        <v>607.84130900000002</v>
      </c>
      <c r="F2518" s="297">
        <v>557.05529799999999</v>
      </c>
      <c r="G2518" s="297">
        <v>515.14605700000004</v>
      </c>
      <c r="H2518" s="297">
        <v>481.74890099999999</v>
      </c>
      <c r="I2518" s="297">
        <v>488.783142</v>
      </c>
      <c r="J2518" s="297">
        <v>479.04965199999998</v>
      </c>
      <c r="K2518" s="297">
        <v>476.77001999999999</v>
      </c>
      <c r="L2518" s="297">
        <v>476.884277</v>
      </c>
      <c r="M2518" s="297">
        <v>469.79437300000001</v>
      </c>
      <c r="N2518" s="297">
        <v>465.82058699999999</v>
      </c>
      <c r="O2518" s="297">
        <v>461.92935199999999</v>
      </c>
      <c r="P2518" s="297">
        <v>461.59082000000001</v>
      </c>
      <c r="Q2518" s="297">
        <v>461.584137</v>
      </c>
      <c r="R2518" s="297">
        <v>454.36996499999998</v>
      </c>
      <c r="S2518" s="297">
        <v>454.64376800000002</v>
      </c>
      <c r="T2518" s="297">
        <v>453.872681</v>
      </c>
      <c r="U2518" s="297">
        <v>451.25384500000001</v>
      </c>
      <c r="V2518" s="297">
        <v>452.75158699999997</v>
      </c>
      <c r="W2518" s="297">
        <v>455.82284499999997</v>
      </c>
      <c r="X2518" s="297">
        <v>455.58132899999998</v>
      </c>
      <c r="Y2518" s="297">
        <v>458.26495399999999</v>
      </c>
      <c r="Z2518" s="297">
        <v>459.11712599999998</v>
      </c>
      <c r="AA2518" s="297">
        <v>459.89819299999999</v>
      </c>
      <c r="AB2518" s="297">
        <v>457.45315599999998</v>
      </c>
      <c r="AC2518" s="297">
        <v>457.20471199999997</v>
      </c>
      <c r="AD2518" s="297">
        <v>457.63998400000003</v>
      </c>
      <c r="AE2518" s="297">
        <v>460.78539999999998</v>
      </c>
      <c r="AF2518" s="297">
        <v>463.39822400000003</v>
      </c>
      <c r="AG2518" s="297">
        <v>465.27792399999998</v>
      </c>
      <c r="AH2518" s="296">
        <v>-6.7720000000000002E-3</v>
      </c>
    </row>
    <row r="2519" spans="1:34" ht="15" customHeight="1" x14ac:dyDescent="0.2">
      <c r="A2519" s="213" t="s">
        <v>2875</v>
      </c>
      <c r="B2519" s="204" t="s">
        <v>2876</v>
      </c>
      <c r="C2519" s="299">
        <v>894.24957300000005</v>
      </c>
      <c r="D2519" s="299">
        <v>918.35534700000005</v>
      </c>
      <c r="E2519" s="299">
        <v>934.760986</v>
      </c>
      <c r="F2519" s="299">
        <v>882.32275400000003</v>
      </c>
      <c r="G2519" s="299">
        <v>839.31005900000002</v>
      </c>
      <c r="H2519" s="299">
        <v>804.61108400000001</v>
      </c>
      <c r="I2519" s="299">
        <v>810.04144299999996</v>
      </c>
      <c r="J2519" s="299">
        <v>798.759277</v>
      </c>
      <c r="K2519" s="299">
        <v>795.08874500000002</v>
      </c>
      <c r="L2519" s="299">
        <v>793.91320800000005</v>
      </c>
      <c r="M2519" s="299">
        <v>785.28637700000002</v>
      </c>
      <c r="N2519" s="299">
        <v>780.06042500000001</v>
      </c>
      <c r="O2519" s="299">
        <v>775.09228499999995</v>
      </c>
      <c r="P2519" s="299">
        <v>773.73388699999998</v>
      </c>
      <c r="Q2519" s="299">
        <v>772.740723</v>
      </c>
      <c r="R2519" s="299">
        <v>764.72302200000001</v>
      </c>
      <c r="S2519" s="299">
        <v>764.27160600000002</v>
      </c>
      <c r="T2519" s="299">
        <v>762.78613299999995</v>
      </c>
      <c r="U2519" s="299">
        <v>759.47900400000003</v>
      </c>
      <c r="V2519" s="299">
        <v>760.33697500000005</v>
      </c>
      <c r="W2519" s="299">
        <v>762.86706500000003</v>
      </c>
      <c r="X2519" s="299">
        <v>762.08667000000003</v>
      </c>
      <c r="Y2519" s="299">
        <v>764.26666299999999</v>
      </c>
      <c r="Z2519" s="299">
        <v>764.62914999999998</v>
      </c>
      <c r="AA2519" s="299">
        <v>765.00323500000002</v>
      </c>
      <c r="AB2519" s="299">
        <v>762.14257799999996</v>
      </c>
      <c r="AC2519" s="299">
        <v>761.48510699999997</v>
      </c>
      <c r="AD2519" s="299">
        <v>761.45324700000003</v>
      </c>
      <c r="AE2519" s="299">
        <v>764.125854</v>
      </c>
      <c r="AF2519" s="299">
        <v>766.21423300000004</v>
      </c>
      <c r="AG2519" s="299">
        <v>767.58093299999996</v>
      </c>
      <c r="AH2519" s="206">
        <v>-5.078E-3</v>
      </c>
    </row>
    <row r="2521" spans="1:34" ht="15" customHeight="1" x14ac:dyDescent="0.2">
      <c r="B2521" s="204" t="s">
        <v>1051</v>
      </c>
    </row>
    <row r="2522" spans="1:34" ht="15" customHeight="1" x14ac:dyDescent="0.25">
      <c r="A2522" s="213" t="s">
        <v>2877</v>
      </c>
      <c r="B2522" s="294" t="s">
        <v>2871</v>
      </c>
      <c r="C2522" s="297">
        <v>56.642887000000002</v>
      </c>
      <c r="D2522" s="297">
        <v>59.647162999999999</v>
      </c>
      <c r="E2522" s="297">
        <v>60.784874000000002</v>
      </c>
      <c r="F2522" s="297">
        <v>61.035294</v>
      </c>
      <c r="G2522" s="297">
        <v>61.388072999999999</v>
      </c>
      <c r="H2522" s="297">
        <v>61.844456000000001</v>
      </c>
      <c r="I2522" s="297">
        <v>61.893402000000002</v>
      </c>
      <c r="J2522" s="297">
        <v>61.914985999999999</v>
      </c>
      <c r="K2522" s="297">
        <v>61.778275000000001</v>
      </c>
      <c r="L2522" s="297">
        <v>61.686745000000002</v>
      </c>
      <c r="M2522" s="297">
        <v>61.495865000000002</v>
      </c>
      <c r="N2522" s="297">
        <v>61.432254999999998</v>
      </c>
      <c r="O2522" s="297">
        <v>61.350250000000003</v>
      </c>
      <c r="P2522" s="297">
        <v>61.336342000000002</v>
      </c>
      <c r="Q2522" s="297">
        <v>61.333511000000001</v>
      </c>
      <c r="R2522" s="297">
        <v>61.347836000000001</v>
      </c>
      <c r="S2522" s="297">
        <v>61.355308999999998</v>
      </c>
      <c r="T2522" s="297">
        <v>61.337093000000003</v>
      </c>
      <c r="U2522" s="297">
        <v>61.294823000000001</v>
      </c>
      <c r="V2522" s="297">
        <v>61.305546</v>
      </c>
      <c r="W2522" s="297">
        <v>61.245167000000002</v>
      </c>
      <c r="X2522" s="297">
        <v>61.209530000000001</v>
      </c>
      <c r="Y2522" s="297">
        <v>61.199126999999997</v>
      </c>
      <c r="Z2522" s="297">
        <v>61.185768000000003</v>
      </c>
      <c r="AA2522" s="297">
        <v>61.215904000000002</v>
      </c>
      <c r="AB2522" s="297">
        <v>61.262332999999998</v>
      </c>
      <c r="AC2522" s="297">
        <v>61.259887999999997</v>
      </c>
      <c r="AD2522" s="297">
        <v>61.267783999999999</v>
      </c>
      <c r="AE2522" s="297">
        <v>61.307152000000002</v>
      </c>
      <c r="AF2522" s="297">
        <v>61.355350000000001</v>
      </c>
      <c r="AG2522" s="297">
        <v>61.411335000000001</v>
      </c>
      <c r="AH2522" s="296">
        <v>2.6979999999999999E-3</v>
      </c>
    </row>
    <row r="2523" spans="1:34" ht="15" customHeight="1" x14ac:dyDescent="0.25">
      <c r="A2523" s="213" t="s">
        <v>2878</v>
      </c>
      <c r="B2523" s="294" t="s">
        <v>152</v>
      </c>
      <c r="C2523" s="297">
        <v>175.778763</v>
      </c>
      <c r="D2523" s="297">
        <v>181.564514</v>
      </c>
      <c r="E2523" s="297">
        <v>180.04887400000001</v>
      </c>
      <c r="F2523" s="297">
        <v>185.89201399999999</v>
      </c>
      <c r="G2523" s="297">
        <v>189.37307699999999</v>
      </c>
      <c r="H2523" s="297">
        <v>192.49598700000001</v>
      </c>
      <c r="I2523" s="297">
        <v>192.84600800000001</v>
      </c>
      <c r="J2523" s="297">
        <v>192.95509300000001</v>
      </c>
      <c r="K2523" s="297">
        <v>193.01878400000001</v>
      </c>
      <c r="L2523" s="297">
        <v>192.944458</v>
      </c>
      <c r="M2523" s="297">
        <v>192.49848900000001</v>
      </c>
      <c r="N2523" s="297">
        <v>192.556274</v>
      </c>
      <c r="O2523" s="297">
        <v>192.83213799999999</v>
      </c>
      <c r="P2523" s="297">
        <v>193.09115600000001</v>
      </c>
      <c r="Q2523" s="297">
        <v>193.31826799999999</v>
      </c>
      <c r="R2523" s="297">
        <v>193.66265899999999</v>
      </c>
      <c r="S2523" s="297">
        <v>194.07968099999999</v>
      </c>
      <c r="T2523" s="297">
        <v>194.45474200000001</v>
      </c>
      <c r="U2523" s="297">
        <v>194.772491</v>
      </c>
      <c r="V2523" s="297">
        <v>195.05796799999999</v>
      </c>
      <c r="W2523" s="297">
        <v>195.39013700000001</v>
      </c>
      <c r="X2523" s="297">
        <v>195.776016</v>
      </c>
      <c r="Y2523" s="297">
        <v>196.176346</v>
      </c>
      <c r="Z2523" s="297">
        <v>196.54634100000001</v>
      </c>
      <c r="AA2523" s="297">
        <v>196.94589199999999</v>
      </c>
      <c r="AB2523" s="297">
        <v>197.24295000000001</v>
      </c>
      <c r="AC2523" s="297">
        <v>197.52404799999999</v>
      </c>
      <c r="AD2523" s="297">
        <v>197.71935999999999</v>
      </c>
      <c r="AE2523" s="297">
        <v>197.84622200000001</v>
      </c>
      <c r="AF2523" s="297">
        <v>197.879257</v>
      </c>
      <c r="AG2523" s="297">
        <v>197.857269</v>
      </c>
      <c r="AH2523" s="296">
        <v>3.9519999999999998E-3</v>
      </c>
    </row>
    <row r="2524" spans="1:34" ht="15" customHeight="1" x14ac:dyDescent="0.25">
      <c r="A2524" s="213" t="s">
        <v>2879</v>
      </c>
      <c r="B2524" s="294" t="s">
        <v>160</v>
      </c>
      <c r="C2524" s="297">
        <v>1.642593</v>
      </c>
      <c r="D2524" s="297">
        <v>1.4910140000000001</v>
      </c>
      <c r="E2524" s="297">
        <v>1.338022</v>
      </c>
      <c r="F2524" s="297">
        <v>1.4693430000000001</v>
      </c>
      <c r="G2524" s="297">
        <v>1.441144</v>
      </c>
      <c r="H2524" s="297">
        <v>1.429233</v>
      </c>
      <c r="I2524" s="297">
        <v>1.4228430000000001</v>
      </c>
      <c r="J2524" s="297">
        <v>1.421278</v>
      </c>
      <c r="K2524" s="297">
        <v>1.4130750000000001</v>
      </c>
      <c r="L2524" s="297">
        <v>1.4009119999999999</v>
      </c>
      <c r="M2524" s="297">
        <v>1.3886430000000001</v>
      </c>
      <c r="N2524" s="297">
        <v>1.374905</v>
      </c>
      <c r="O2524" s="297">
        <v>1.3604799999999999</v>
      </c>
      <c r="P2524" s="297">
        <v>1.347269</v>
      </c>
      <c r="Q2524" s="297">
        <v>1.334627</v>
      </c>
      <c r="R2524" s="297">
        <v>1.3201719999999999</v>
      </c>
      <c r="S2524" s="297">
        <v>1.30264</v>
      </c>
      <c r="T2524" s="297">
        <v>1.2931779999999999</v>
      </c>
      <c r="U2524" s="297">
        <v>1.2850969999999999</v>
      </c>
      <c r="V2524" s="297">
        <v>1.280529</v>
      </c>
      <c r="W2524" s="297">
        <v>1.27088</v>
      </c>
      <c r="X2524" s="297">
        <v>1.263598</v>
      </c>
      <c r="Y2524" s="297">
        <v>1.2561990000000001</v>
      </c>
      <c r="Z2524" s="297">
        <v>1.246624</v>
      </c>
      <c r="AA2524" s="297">
        <v>1.238443</v>
      </c>
      <c r="AB2524" s="297">
        <v>1.233786</v>
      </c>
      <c r="AC2524" s="297">
        <v>1.2258800000000001</v>
      </c>
      <c r="AD2524" s="297">
        <v>1.2187269999999999</v>
      </c>
      <c r="AE2524" s="297">
        <v>1.2136929999999999</v>
      </c>
      <c r="AF2524" s="297">
        <v>1.2040599999999999</v>
      </c>
      <c r="AG2524" s="297">
        <v>1.194474</v>
      </c>
      <c r="AH2524" s="296">
        <v>-1.0562999999999999E-2</v>
      </c>
    </row>
    <row r="2525" spans="1:34" ht="15" customHeight="1" x14ac:dyDescent="0.25">
      <c r="A2525" s="213" t="s">
        <v>2880</v>
      </c>
      <c r="B2525" s="294" t="s">
        <v>2874</v>
      </c>
      <c r="C2525" s="297">
        <v>483.49215700000002</v>
      </c>
      <c r="D2525" s="297">
        <v>510.58193999999997</v>
      </c>
      <c r="E2525" s="297">
        <v>526.91015600000003</v>
      </c>
      <c r="F2525" s="297">
        <v>487.96182299999998</v>
      </c>
      <c r="G2525" s="297">
        <v>456.09713699999998</v>
      </c>
      <c r="H2525" s="297">
        <v>433.16171300000002</v>
      </c>
      <c r="I2525" s="297">
        <v>438.28741500000001</v>
      </c>
      <c r="J2525" s="297">
        <v>428.46914700000002</v>
      </c>
      <c r="K2525" s="297">
        <v>425.358093</v>
      </c>
      <c r="L2525" s="297">
        <v>423.95431500000001</v>
      </c>
      <c r="M2525" s="297">
        <v>415.80703699999998</v>
      </c>
      <c r="N2525" s="297">
        <v>410.68936200000002</v>
      </c>
      <c r="O2525" s="297">
        <v>406.34600799999998</v>
      </c>
      <c r="P2525" s="297">
        <v>405.16430700000001</v>
      </c>
      <c r="Q2525" s="297">
        <v>404.40225199999998</v>
      </c>
      <c r="R2525" s="297">
        <v>396.70461999999998</v>
      </c>
      <c r="S2525" s="297">
        <v>396.20336900000001</v>
      </c>
      <c r="T2525" s="297">
        <v>395.09448200000003</v>
      </c>
      <c r="U2525" s="297">
        <v>392.45950299999998</v>
      </c>
      <c r="V2525" s="297">
        <v>393.58071899999999</v>
      </c>
      <c r="W2525" s="297">
        <v>396.15756199999998</v>
      </c>
      <c r="X2525" s="297">
        <v>396.27633700000001</v>
      </c>
      <c r="Y2525" s="297">
        <v>398.75494400000002</v>
      </c>
      <c r="Z2525" s="297">
        <v>400.30926499999998</v>
      </c>
      <c r="AA2525" s="297">
        <v>401.55825800000002</v>
      </c>
      <c r="AB2525" s="297">
        <v>400.70117199999999</v>
      </c>
      <c r="AC2525" s="297">
        <v>401.44152800000001</v>
      </c>
      <c r="AD2525" s="297">
        <v>403.188873</v>
      </c>
      <c r="AE2525" s="297">
        <v>407.354309</v>
      </c>
      <c r="AF2525" s="297">
        <v>411.43124399999999</v>
      </c>
      <c r="AG2525" s="297">
        <v>415.06643700000001</v>
      </c>
      <c r="AH2525" s="296">
        <v>-5.0740000000000004E-3</v>
      </c>
    </row>
    <row r="2526" spans="1:34" ht="15" customHeight="1" x14ac:dyDescent="0.2">
      <c r="A2526" s="213" t="s">
        <v>2881</v>
      </c>
      <c r="B2526" s="204" t="s">
        <v>2882</v>
      </c>
      <c r="C2526" s="299">
        <v>717.55639599999995</v>
      </c>
      <c r="D2526" s="299">
        <v>753.28460700000005</v>
      </c>
      <c r="E2526" s="299">
        <v>769.081909</v>
      </c>
      <c r="F2526" s="299">
        <v>736.35845900000004</v>
      </c>
      <c r="G2526" s="299">
        <v>708.29943800000001</v>
      </c>
      <c r="H2526" s="299">
        <v>688.93139599999995</v>
      </c>
      <c r="I2526" s="299">
        <v>694.44970699999999</v>
      </c>
      <c r="J2526" s="299">
        <v>684.76049799999998</v>
      </c>
      <c r="K2526" s="299">
        <v>681.56823699999995</v>
      </c>
      <c r="L2526" s="299">
        <v>679.98644999999999</v>
      </c>
      <c r="M2526" s="299">
        <v>671.19006300000001</v>
      </c>
      <c r="N2526" s="299">
        <v>666.05279499999995</v>
      </c>
      <c r="O2526" s="299">
        <v>661.88885500000004</v>
      </c>
      <c r="P2526" s="299">
        <v>660.93908699999997</v>
      </c>
      <c r="Q2526" s="299">
        <v>660.38867200000004</v>
      </c>
      <c r="R2526" s="299">
        <v>653.03527799999995</v>
      </c>
      <c r="S2526" s="299">
        <v>652.94104000000004</v>
      </c>
      <c r="T2526" s="299">
        <v>652.17950399999995</v>
      </c>
      <c r="U2526" s="299">
        <v>649.81188999999995</v>
      </c>
      <c r="V2526" s="299">
        <v>651.22473100000002</v>
      </c>
      <c r="W2526" s="299">
        <v>654.06372099999999</v>
      </c>
      <c r="X2526" s="299">
        <v>654.52551300000005</v>
      </c>
      <c r="Y2526" s="299">
        <v>657.38659700000005</v>
      </c>
      <c r="Z2526" s="299">
        <v>659.28796399999999</v>
      </c>
      <c r="AA2526" s="299">
        <v>660.95849599999997</v>
      </c>
      <c r="AB2526" s="299">
        <v>660.440247</v>
      </c>
      <c r="AC2526" s="299">
        <v>661.45135500000004</v>
      </c>
      <c r="AD2526" s="299">
        <v>663.39477499999998</v>
      </c>
      <c r="AE2526" s="299">
        <v>667.72137499999997</v>
      </c>
      <c r="AF2526" s="299">
        <v>671.86993399999994</v>
      </c>
      <c r="AG2526" s="299">
        <v>675.52954099999999</v>
      </c>
      <c r="AH2526" s="206">
        <v>-2.0100000000000001E-3</v>
      </c>
    </row>
    <row r="2528" spans="1:34" ht="15" customHeight="1" x14ac:dyDescent="0.2">
      <c r="B2528" s="204" t="s">
        <v>2402</v>
      </c>
    </row>
    <row r="2529" spans="1:34" ht="15" customHeight="1" x14ac:dyDescent="0.25">
      <c r="A2529" s="213" t="s">
        <v>2883</v>
      </c>
      <c r="B2529" s="294" t="s">
        <v>2871</v>
      </c>
      <c r="C2529" s="297">
        <v>341.908051</v>
      </c>
      <c r="D2529" s="297">
        <v>353.32757600000002</v>
      </c>
      <c r="E2529" s="297">
        <v>361.38400300000001</v>
      </c>
      <c r="F2529" s="297">
        <v>369.04244999999997</v>
      </c>
      <c r="G2529" s="297">
        <v>370.51104700000002</v>
      </c>
      <c r="H2529" s="297">
        <v>375.77230800000001</v>
      </c>
      <c r="I2529" s="297">
        <v>380.09518400000002</v>
      </c>
      <c r="J2529" s="297">
        <v>384.124908</v>
      </c>
      <c r="K2529" s="297">
        <v>388.04244999999997</v>
      </c>
      <c r="L2529" s="297">
        <v>392.37100199999998</v>
      </c>
      <c r="M2529" s="297">
        <v>395.93762199999998</v>
      </c>
      <c r="N2529" s="297">
        <v>399.757812</v>
      </c>
      <c r="O2529" s="297">
        <v>402.976562</v>
      </c>
      <c r="P2529" s="297">
        <v>405.81369000000001</v>
      </c>
      <c r="Q2529" s="297">
        <v>410.037598</v>
      </c>
      <c r="R2529" s="297">
        <v>413.132812</v>
      </c>
      <c r="S2529" s="297">
        <v>416.63220200000001</v>
      </c>
      <c r="T2529" s="297">
        <v>420.24127199999998</v>
      </c>
      <c r="U2529" s="297">
        <v>422.58960000000002</v>
      </c>
      <c r="V2529" s="297">
        <v>425.06411700000001</v>
      </c>
      <c r="W2529" s="297">
        <v>425.874146</v>
      </c>
      <c r="X2529" s="297">
        <v>428.05911300000002</v>
      </c>
      <c r="Y2529" s="297">
        <v>430.68170199999997</v>
      </c>
      <c r="Z2529" s="297">
        <v>432.58242799999999</v>
      </c>
      <c r="AA2529" s="297">
        <v>435.15167200000002</v>
      </c>
      <c r="AB2529" s="297">
        <v>438.65173299999998</v>
      </c>
      <c r="AC2529" s="297">
        <v>440.70697000000001</v>
      </c>
      <c r="AD2529" s="297">
        <v>444.06356799999998</v>
      </c>
      <c r="AE2529" s="297">
        <v>448.18124399999999</v>
      </c>
      <c r="AF2529" s="297">
        <v>451.93463100000002</v>
      </c>
      <c r="AG2529" s="297">
        <v>456.79296900000003</v>
      </c>
      <c r="AH2529" s="296">
        <v>9.7029999999999998E-3</v>
      </c>
    </row>
    <row r="2530" spans="1:34" ht="15" customHeight="1" x14ac:dyDescent="0.25">
      <c r="A2530" s="213" t="s">
        <v>2884</v>
      </c>
      <c r="B2530" s="294" t="s">
        <v>2885</v>
      </c>
      <c r="C2530" s="297">
        <v>550.94439699999998</v>
      </c>
      <c r="D2530" s="297">
        <v>550.71331799999996</v>
      </c>
      <c r="E2530" s="297">
        <v>555.59667999999999</v>
      </c>
      <c r="F2530" s="297">
        <v>571.28967299999999</v>
      </c>
      <c r="G2530" s="297">
        <v>588.47192399999994</v>
      </c>
      <c r="H2530" s="297">
        <v>604.543091</v>
      </c>
      <c r="I2530" s="297">
        <v>614.95599400000003</v>
      </c>
      <c r="J2530" s="297">
        <v>616.39538600000003</v>
      </c>
      <c r="K2530" s="297">
        <v>620.85223399999995</v>
      </c>
      <c r="L2530" s="297">
        <v>625.84301800000003</v>
      </c>
      <c r="M2530" s="297">
        <v>629.95782499999996</v>
      </c>
      <c r="N2530" s="297">
        <v>635.01538100000005</v>
      </c>
      <c r="O2530" s="297">
        <v>638.02770999999996</v>
      </c>
      <c r="P2530" s="297">
        <v>641.75482199999999</v>
      </c>
      <c r="Q2530" s="297">
        <v>647.13171399999999</v>
      </c>
      <c r="R2530" s="297">
        <v>651.52569600000004</v>
      </c>
      <c r="S2530" s="297">
        <v>655.84832800000004</v>
      </c>
      <c r="T2530" s="297">
        <v>660.56158400000004</v>
      </c>
      <c r="U2530" s="297">
        <v>665.88818400000002</v>
      </c>
      <c r="V2530" s="297">
        <v>672.17291299999999</v>
      </c>
      <c r="W2530" s="297">
        <v>677.75933799999996</v>
      </c>
      <c r="X2530" s="297">
        <v>682.851135</v>
      </c>
      <c r="Y2530" s="297">
        <v>690.99426300000005</v>
      </c>
      <c r="Z2530" s="297">
        <v>699.96643100000006</v>
      </c>
      <c r="AA2530" s="297">
        <v>705.97607400000004</v>
      </c>
      <c r="AB2530" s="297">
        <v>709.71765100000005</v>
      </c>
      <c r="AC2530" s="297">
        <v>717.22436500000003</v>
      </c>
      <c r="AD2530" s="297">
        <v>723.29388400000005</v>
      </c>
      <c r="AE2530" s="297">
        <v>729.15747099999999</v>
      </c>
      <c r="AF2530" s="297">
        <v>735.52880900000002</v>
      </c>
      <c r="AG2530" s="297">
        <v>742.79583700000001</v>
      </c>
      <c r="AH2530" s="296">
        <v>1.0009000000000001E-2</v>
      </c>
    </row>
    <row r="2531" spans="1:34" ht="15" customHeight="1" x14ac:dyDescent="0.25">
      <c r="A2531" s="213" t="s">
        <v>2886</v>
      </c>
      <c r="B2531" s="294" t="s">
        <v>160</v>
      </c>
      <c r="C2531" s="297">
        <v>92.321938000000003</v>
      </c>
      <c r="D2531" s="297">
        <v>84.211699999999993</v>
      </c>
      <c r="E2531" s="297">
        <v>84.258292999999995</v>
      </c>
      <c r="F2531" s="297">
        <v>92.026756000000006</v>
      </c>
      <c r="G2531" s="297">
        <v>91.834045000000003</v>
      </c>
      <c r="H2531" s="297">
        <v>89.030411000000001</v>
      </c>
      <c r="I2531" s="297">
        <v>88.391746999999995</v>
      </c>
      <c r="J2531" s="297">
        <v>86.922866999999997</v>
      </c>
      <c r="K2531" s="297">
        <v>84.652061000000003</v>
      </c>
      <c r="L2531" s="297">
        <v>82.592895999999996</v>
      </c>
      <c r="M2531" s="297">
        <v>82.240157999999994</v>
      </c>
      <c r="N2531" s="297">
        <v>81.895874000000006</v>
      </c>
      <c r="O2531" s="297">
        <v>80.894585000000006</v>
      </c>
      <c r="P2531" s="297">
        <v>79.803352000000004</v>
      </c>
      <c r="Q2531" s="297">
        <v>79.403060999999994</v>
      </c>
      <c r="R2531" s="297">
        <v>79.551010000000005</v>
      </c>
      <c r="S2531" s="297">
        <v>79.198607999999993</v>
      </c>
      <c r="T2531" s="297">
        <v>79.228927999999996</v>
      </c>
      <c r="U2531" s="297">
        <v>79.597076000000001</v>
      </c>
      <c r="V2531" s="297">
        <v>79.730721000000003</v>
      </c>
      <c r="W2531" s="297">
        <v>79.124611000000002</v>
      </c>
      <c r="X2531" s="297">
        <v>79.323158000000006</v>
      </c>
      <c r="Y2531" s="297">
        <v>80.841835000000003</v>
      </c>
      <c r="Z2531" s="297">
        <v>82.238426000000004</v>
      </c>
      <c r="AA2531" s="297">
        <v>82.678032000000002</v>
      </c>
      <c r="AB2531" s="297">
        <v>83.703177999999994</v>
      </c>
      <c r="AC2531" s="297">
        <v>83.877953000000005</v>
      </c>
      <c r="AD2531" s="297">
        <v>83.835068000000007</v>
      </c>
      <c r="AE2531" s="297">
        <v>84.216515000000001</v>
      </c>
      <c r="AF2531" s="297">
        <v>84.321404000000001</v>
      </c>
      <c r="AG2531" s="297">
        <v>85.143096999999997</v>
      </c>
      <c r="AH2531" s="296">
        <v>-2.6949999999999999E-3</v>
      </c>
    </row>
    <row r="2532" spans="1:34" ht="15" customHeight="1" x14ac:dyDescent="0.25">
      <c r="A2532" s="213" t="s">
        <v>2887</v>
      </c>
      <c r="B2532" s="294" t="s">
        <v>2874</v>
      </c>
      <c r="C2532" s="297">
        <v>374.85830700000002</v>
      </c>
      <c r="D2532" s="297">
        <v>377.22268700000001</v>
      </c>
      <c r="E2532" s="297">
        <v>397.453552</v>
      </c>
      <c r="F2532" s="297">
        <v>372.89389</v>
      </c>
      <c r="G2532" s="297">
        <v>347.59716800000001</v>
      </c>
      <c r="H2532" s="297">
        <v>329.44296300000002</v>
      </c>
      <c r="I2532" s="297">
        <v>340.02780200000001</v>
      </c>
      <c r="J2532" s="297">
        <v>334.73809799999998</v>
      </c>
      <c r="K2532" s="297">
        <v>334.63964800000002</v>
      </c>
      <c r="L2532" s="297">
        <v>334.58819599999998</v>
      </c>
      <c r="M2532" s="297">
        <v>331.07086199999998</v>
      </c>
      <c r="N2532" s="297">
        <v>329.84957900000001</v>
      </c>
      <c r="O2532" s="297">
        <v>325.691101</v>
      </c>
      <c r="P2532" s="297">
        <v>324.60833700000001</v>
      </c>
      <c r="Q2532" s="297">
        <v>324.249664</v>
      </c>
      <c r="R2532" s="297">
        <v>318.855682</v>
      </c>
      <c r="S2532" s="297">
        <v>318.655914</v>
      </c>
      <c r="T2532" s="297">
        <v>317.18221999999997</v>
      </c>
      <c r="U2532" s="297">
        <v>313.93936200000002</v>
      </c>
      <c r="V2532" s="297">
        <v>314.073059</v>
      </c>
      <c r="W2532" s="297">
        <v>314.58312999999998</v>
      </c>
      <c r="X2532" s="297">
        <v>314.44641100000001</v>
      </c>
      <c r="Y2532" s="297">
        <v>316.63562000000002</v>
      </c>
      <c r="Z2532" s="297">
        <v>317.533997</v>
      </c>
      <c r="AA2532" s="297">
        <v>318.12380999999999</v>
      </c>
      <c r="AB2532" s="297">
        <v>315.512024</v>
      </c>
      <c r="AC2532" s="297">
        <v>314.07595800000001</v>
      </c>
      <c r="AD2532" s="297">
        <v>314.255157</v>
      </c>
      <c r="AE2532" s="297">
        <v>315.80612200000002</v>
      </c>
      <c r="AF2532" s="297">
        <v>316.528931</v>
      </c>
      <c r="AG2532" s="297">
        <v>317.12237499999998</v>
      </c>
      <c r="AH2532" s="296">
        <v>-5.5599999999999998E-3</v>
      </c>
    </row>
    <row r="2533" spans="1:34" ht="15" customHeight="1" x14ac:dyDescent="0.2">
      <c r="A2533" s="213" t="s">
        <v>2888</v>
      </c>
      <c r="B2533" s="204" t="s">
        <v>2889</v>
      </c>
      <c r="C2533" s="299">
        <v>1360.0327150000001</v>
      </c>
      <c r="D2533" s="299">
        <v>1365.47522</v>
      </c>
      <c r="E2533" s="299">
        <v>1398.6926269999999</v>
      </c>
      <c r="F2533" s="299">
        <v>1405.252808</v>
      </c>
      <c r="G2533" s="299">
        <v>1398.4141850000001</v>
      </c>
      <c r="H2533" s="299">
        <v>1398.788818</v>
      </c>
      <c r="I2533" s="299">
        <v>1423.470703</v>
      </c>
      <c r="J2533" s="299">
        <v>1422.1811520000001</v>
      </c>
      <c r="K2533" s="299">
        <v>1428.1864009999999</v>
      </c>
      <c r="L2533" s="299">
        <v>1435.3950199999999</v>
      </c>
      <c r="M2533" s="299">
        <v>1439.206543</v>
      </c>
      <c r="N2533" s="299">
        <v>1446.518677</v>
      </c>
      <c r="O2533" s="299">
        <v>1447.5898440000001</v>
      </c>
      <c r="P2533" s="299">
        <v>1451.980225</v>
      </c>
      <c r="Q2533" s="299">
        <v>1460.8220209999999</v>
      </c>
      <c r="R2533" s="299">
        <v>1463.065186</v>
      </c>
      <c r="S2533" s="299">
        <v>1470.334961</v>
      </c>
      <c r="T2533" s="299">
        <v>1477.2139890000001</v>
      </c>
      <c r="U2533" s="299">
        <v>1482.0141599999999</v>
      </c>
      <c r="V2533" s="299">
        <v>1491.0407709999999</v>
      </c>
      <c r="W2533" s="299">
        <v>1497.3413089999999</v>
      </c>
      <c r="X2533" s="299">
        <v>1504.6798100000001</v>
      </c>
      <c r="Y2533" s="299">
        <v>1519.153442</v>
      </c>
      <c r="Z2533" s="299">
        <v>1532.321289</v>
      </c>
      <c r="AA2533" s="299">
        <v>1541.929443</v>
      </c>
      <c r="AB2533" s="299">
        <v>1547.5844729999999</v>
      </c>
      <c r="AC2533" s="299">
        <v>1555.885254</v>
      </c>
      <c r="AD2533" s="299">
        <v>1565.4476320000001</v>
      </c>
      <c r="AE2533" s="299">
        <v>1577.3614500000001</v>
      </c>
      <c r="AF2533" s="299">
        <v>1588.313721</v>
      </c>
      <c r="AG2533" s="299">
        <v>1601.8542480000001</v>
      </c>
      <c r="AH2533" s="206">
        <v>5.47E-3</v>
      </c>
    </row>
    <row r="2535" spans="1:34" ht="15" customHeight="1" x14ac:dyDescent="0.2">
      <c r="B2535" s="204" t="s">
        <v>1108</v>
      </c>
    </row>
    <row r="2536" spans="1:34" ht="15" customHeight="1" x14ac:dyDescent="0.25">
      <c r="A2536" s="213" t="s">
        <v>2890</v>
      </c>
      <c r="B2536" s="294" t="s">
        <v>2891</v>
      </c>
      <c r="C2536" s="297">
        <v>1545.431519</v>
      </c>
      <c r="D2536" s="297">
        <v>1637.3736570000001</v>
      </c>
      <c r="E2536" s="297">
        <v>1692.0327150000001</v>
      </c>
      <c r="F2536" s="297">
        <v>1695.987793</v>
      </c>
      <c r="G2536" s="297">
        <v>1694.552124</v>
      </c>
      <c r="H2536" s="297">
        <v>1683.2666019999999</v>
      </c>
      <c r="I2536" s="297">
        <v>1676.000366</v>
      </c>
      <c r="J2536" s="297">
        <v>1662.780518</v>
      </c>
      <c r="K2536" s="297">
        <v>1653.9174800000001</v>
      </c>
      <c r="L2536" s="297">
        <v>1643.3461910000001</v>
      </c>
      <c r="M2536" s="297">
        <v>1639.0688479999999</v>
      </c>
      <c r="N2536" s="297">
        <v>1627.845337</v>
      </c>
      <c r="O2536" s="297">
        <v>1621.8999020000001</v>
      </c>
      <c r="P2536" s="297">
        <v>1618.1657709999999</v>
      </c>
      <c r="Q2536" s="297">
        <v>1616.4891359999999</v>
      </c>
      <c r="R2536" s="297">
        <v>1615.7514650000001</v>
      </c>
      <c r="S2536" s="297">
        <v>1613.6892089999999</v>
      </c>
      <c r="T2536" s="297">
        <v>1611.768311</v>
      </c>
      <c r="U2536" s="297">
        <v>1611.6521</v>
      </c>
      <c r="V2536" s="297">
        <v>1612.7730710000001</v>
      </c>
      <c r="W2536" s="297">
        <v>1615.112183</v>
      </c>
      <c r="X2536" s="297">
        <v>1620.024658</v>
      </c>
      <c r="Y2536" s="297">
        <v>1623.266846</v>
      </c>
      <c r="Z2536" s="297">
        <v>1630.4846190000001</v>
      </c>
      <c r="AA2536" s="297">
        <v>1635.8321530000001</v>
      </c>
      <c r="AB2536" s="297">
        <v>1642.989014</v>
      </c>
      <c r="AC2536" s="297">
        <v>1647.7714840000001</v>
      </c>
      <c r="AD2536" s="297">
        <v>1652.735962</v>
      </c>
      <c r="AE2536" s="297">
        <v>1659.0297849999999</v>
      </c>
      <c r="AF2536" s="297">
        <v>1665.266846</v>
      </c>
      <c r="AG2536" s="297">
        <v>1671.6595460000001</v>
      </c>
      <c r="AH2536" s="296">
        <v>2.6210000000000001E-3</v>
      </c>
    </row>
    <row r="2537" spans="1:34" ht="15" customHeight="1" x14ac:dyDescent="0.25">
      <c r="A2537" s="213" t="s">
        <v>2892</v>
      </c>
      <c r="B2537" s="294" t="s">
        <v>2893</v>
      </c>
      <c r="C2537" s="297">
        <v>42.139533999999998</v>
      </c>
      <c r="D2537" s="297">
        <v>46.438675000000003</v>
      </c>
      <c r="E2537" s="297">
        <v>45.385807</v>
      </c>
      <c r="F2537" s="297">
        <v>43.799003999999996</v>
      </c>
      <c r="G2537" s="297">
        <v>42.216763</v>
      </c>
      <c r="H2537" s="297">
        <v>42.105328</v>
      </c>
      <c r="I2537" s="297">
        <v>40.226821999999999</v>
      </c>
      <c r="J2537" s="297">
        <v>40.406596999999998</v>
      </c>
      <c r="K2537" s="297">
        <v>40.853119</v>
      </c>
      <c r="L2537" s="297">
        <v>41.305016000000002</v>
      </c>
      <c r="M2537" s="297">
        <v>41.160721000000002</v>
      </c>
      <c r="N2537" s="297">
        <v>42.040461999999998</v>
      </c>
      <c r="O2537" s="297">
        <v>42.920586</v>
      </c>
      <c r="P2537" s="297">
        <v>43.617393</v>
      </c>
      <c r="Q2537" s="297">
        <v>44.338645999999997</v>
      </c>
      <c r="R2537" s="297">
        <v>45.212542999999997</v>
      </c>
      <c r="S2537" s="297">
        <v>45.943604000000001</v>
      </c>
      <c r="T2537" s="297">
        <v>46.726154000000001</v>
      </c>
      <c r="U2537" s="297">
        <v>47.706260999999998</v>
      </c>
      <c r="V2537" s="297">
        <v>48.503605</v>
      </c>
      <c r="W2537" s="297">
        <v>50.064506999999999</v>
      </c>
      <c r="X2537" s="297">
        <v>50.931609999999999</v>
      </c>
      <c r="Y2537" s="297">
        <v>52.288479000000002</v>
      </c>
      <c r="Z2537" s="297">
        <v>53.558643000000004</v>
      </c>
      <c r="AA2537" s="297">
        <v>54.889805000000003</v>
      </c>
      <c r="AB2537" s="297">
        <v>55.777473000000001</v>
      </c>
      <c r="AC2537" s="297">
        <v>57.239784</v>
      </c>
      <c r="AD2537" s="297">
        <v>58.388930999999999</v>
      </c>
      <c r="AE2537" s="297">
        <v>59.480732000000003</v>
      </c>
      <c r="AF2537" s="297">
        <v>60.685080999999997</v>
      </c>
      <c r="AG2537" s="297">
        <v>62.004173000000002</v>
      </c>
      <c r="AH2537" s="296">
        <v>1.2957E-2</v>
      </c>
    </row>
    <row r="2538" spans="1:34" ht="15" customHeight="1" x14ac:dyDescent="0.25">
      <c r="A2538" s="213" t="s">
        <v>2894</v>
      </c>
      <c r="B2538" s="294" t="s">
        <v>2874</v>
      </c>
      <c r="C2538" s="297">
        <v>3.1234850000000001</v>
      </c>
      <c r="D2538" s="297">
        <v>4.1029140000000002</v>
      </c>
      <c r="E2538" s="297">
        <v>4.7489540000000003</v>
      </c>
      <c r="F2538" s="297">
        <v>4.9184109999999999</v>
      </c>
      <c r="G2538" s="297">
        <v>4.9687289999999997</v>
      </c>
      <c r="H2538" s="297">
        <v>5.1754389999999999</v>
      </c>
      <c r="I2538" s="297">
        <v>5.7157169999999997</v>
      </c>
      <c r="J2538" s="297">
        <v>6.1375400000000004</v>
      </c>
      <c r="K2538" s="297">
        <v>6.6229129999999996</v>
      </c>
      <c r="L2538" s="297">
        <v>7.1552429999999996</v>
      </c>
      <c r="M2538" s="297">
        <v>7.635472</v>
      </c>
      <c r="N2538" s="297">
        <v>8.1817759999999993</v>
      </c>
      <c r="O2538" s="297">
        <v>8.8130019999999991</v>
      </c>
      <c r="P2538" s="297">
        <v>9.6003720000000001</v>
      </c>
      <c r="Q2538" s="297">
        <v>10.442796</v>
      </c>
      <c r="R2538" s="297">
        <v>11.091685</v>
      </c>
      <c r="S2538" s="297">
        <v>12.023014</v>
      </c>
      <c r="T2538" s="297">
        <v>12.974373999999999</v>
      </c>
      <c r="U2538" s="297">
        <v>13.933661000000001</v>
      </c>
      <c r="V2538" s="297">
        <v>15.044953</v>
      </c>
      <c r="W2538" s="297">
        <v>16.302237000000002</v>
      </c>
      <c r="X2538" s="297">
        <v>17.42557</v>
      </c>
      <c r="Y2538" s="297">
        <v>18.676390000000001</v>
      </c>
      <c r="Z2538" s="297">
        <v>19.878551000000002</v>
      </c>
      <c r="AA2538" s="297">
        <v>21.077126</v>
      </c>
      <c r="AB2538" s="297">
        <v>22.141141999999999</v>
      </c>
      <c r="AC2538" s="297">
        <v>23.251434</v>
      </c>
      <c r="AD2538" s="297">
        <v>24.446912999999999</v>
      </c>
      <c r="AE2538" s="297">
        <v>25.765408999999998</v>
      </c>
      <c r="AF2538" s="297">
        <v>27.050281999999999</v>
      </c>
      <c r="AG2538" s="297">
        <v>28.284839999999999</v>
      </c>
      <c r="AH2538" s="296">
        <v>7.621E-2</v>
      </c>
    </row>
    <row r="2539" spans="1:34" ht="15" customHeight="1" x14ac:dyDescent="0.2">
      <c r="A2539" s="213" t="s">
        <v>2895</v>
      </c>
      <c r="B2539" s="204" t="s">
        <v>2896</v>
      </c>
      <c r="C2539" s="299">
        <v>1590.6945800000001</v>
      </c>
      <c r="D2539" s="299">
        <v>1687.915283</v>
      </c>
      <c r="E2539" s="299">
        <v>1742.1674800000001</v>
      </c>
      <c r="F2539" s="299">
        <v>1744.7052000000001</v>
      </c>
      <c r="G2539" s="299">
        <v>1741.7376710000001</v>
      </c>
      <c r="H2539" s="299">
        <v>1730.5473629999999</v>
      </c>
      <c r="I2539" s="299">
        <v>1721.942871</v>
      </c>
      <c r="J2539" s="299">
        <v>1709.324707</v>
      </c>
      <c r="K2539" s="299">
        <v>1701.3935550000001</v>
      </c>
      <c r="L2539" s="299">
        <v>1691.806519</v>
      </c>
      <c r="M2539" s="299">
        <v>1687.865112</v>
      </c>
      <c r="N2539" s="299">
        <v>1678.067505</v>
      </c>
      <c r="O2539" s="299">
        <v>1673.633423</v>
      </c>
      <c r="P2539" s="299">
        <v>1671.3835449999999</v>
      </c>
      <c r="Q2539" s="299">
        <v>1671.2705080000001</v>
      </c>
      <c r="R2539" s="299">
        <v>1672.055664</v>
      </c>
      <c r="S2539" s="299">
        <v>1671.655884</v>
      </c>
      <c r="T2539" s="299">
        <v>1671.4688719999999</v>
      </c>
      <c r="U2539" s="299">
        <v>1673.2921140000001</v>
      </c>
      <c r="V2539" s="299">
        <v>1676.321655</v>
      </c>
      <c r="W2539" s="299">
        <v>1681.4788820000001</v>
      </c>
      <c r="X2539" s="299">
        <v>1688.381836</v>
      </c>
      <c r="Y2539" s="299">
        <v>1694.231689</v>
      </c>
      <c r="Z2539" s="299">
        <v>1703.9217530000001</v>
      </c>
      <c r="AA2539" s="299">
        <v>1711.799072</v>
      </c>
      <c r="AB2539" s="299">
        <v>1720.9075929999999</v>
      </c>
      <c r="AC2539" s="299">
        <v>1728.2626949999999</v>
      </c>
      <c r="AD2539" s="299">
        <v>1735.5717770000001</v>
      </c>
      <c r="AE2539" s="299">
        <v>1744.275879</v>
      </c>
      <c r="AF2539" s="299">
        <v>1753.002197</v>
      </c>
      <c r="AG2539" s="299">
        <v>1761.948486</v>
      </c>
      <c r="AH2539" s="206">
        <v>3.4139999999999999E-3</v>
      </c>
    </row>
    <row r="2541" spans="1:34" ht="15" customHeight="1" x14ac:dyDescent="0.2">
      <c r="B2541" s="204" t="s">
        <v>2897</v>
      </c>
    </row>
    <row r="2542" spans="1:34" ht="15" customHeight="1" x14ac:dyDescent="0.25">
      <c r="A2542" s="213" t="s">
        <v>2898</v>
      </c>
      <c r="B2542" s="294" t="s">
        <v>2871</v>
      </c>
      <c r="C2542" s="297">
        <v>11.653502</v>
      </c>
      <c r="D2542" s="297">
        <v>8.8027909999999991</v>
      </c>
      <c r="E2542" s="297">
        <v>8.9753270000000001</v>
      </c>
      <c r="F2542" s="297">
        <v>8.3597450000000002</v>
      </c>
      <c r="G2542" s="297">
        <v>7.9565669999999997</v>
      </c>
      <c r="H2542" s="297">
        <v>7.5755990000000004</v>
      </c>
      <c r="I2542" s="297">
        <v>7.3044729999999998</v>
      </c>
      <c r="J2542" s="297">
        <v>6.9142130000000002</v>
      </c>
      <c r="K2542" s="297">
        <v>6.6695520000000004</v>
      </c>
      <c r="L2542" s="297">
        <v>6.5385770000000001</v>
      </c>
      <c r="M2542" s="297">
        <v>6.391222</v>
      </c>
      <c r="N2542" s="297">
        <v>6.1452929999999997</v>
      </c>
      <c r="O2542" s="297">
        <v>6.0814500000000002</v>
      </c>
      <c r="P2542" s="297">
        <v>6.0375189999999996</v>
      </c>
      <c r="Q2542" s="297">
        <v>6.0185849999999999</v>
      </c>
      <c r="R2542" s="297">
        <v>5.9378909999999996</v>
      </c>
      <c r="S2542" s="297">
        <v>5.8698639999999997</v>
      </c>
      <c r="T2542" s="297">
        <v>5.7360119999999997</v>
      </c>
      <c r="U2542" s="297">
        <v>5.4954900000000002</v>
      </c>
      <c r="V2542" s="297">
        <v>5.4178360000000003</v>
      </c>
      <c r="W2542" s="297">
        <v>5.3522860000000003</v>
      </c>
      <c r="X2542" s="297">
        <v>5.1473199999999997</v>
      </c>
      <c r="Y2542" s="297">
        <v>4.9383609999999996</v>
      </c>
      <c r="Z2542" s="297">
        <v>4.6994220000000002</v>
      </c>
      <c r="AA2542" s="297">
        <v>4.4846510000000004</v>
      </c>
      <c r="AB2542" s="297">
        <v>4.2341899999999999</v>
      </c>
      <c r="AC2542" s="297">
        <v>4.2342719999999998</v>
      </c>
      <c r="AD2542" s="297">
        <v>4.2566800000000002</v>
      </c>
      <c r="AE2542" s="297">
        <v>4.2827989999999998</v>
      </c>
      <c r="AF2542" s="297">
        <v>4.3047399999999998</v>
      </c>
      <c r="AG2542" s="297">
        <v>4.316859</v>
      </c>
      <c r="AH2542" s="296">
        <v>-3.2561E-2</v>
      </c>
    </row>
    <row r="2543" spans="1:34" ht="15" customHeight="1" x14ac:dyDescent="0.25">
      <c r="A2543" s="213" t="s">
        <v>2899</v>
      </c>
      <c r="B2543" s="294" t="s">
        <v>152</v>
      </c>
      <c r="C2543" s="297">
        <v>642.6875</v>
      </c>
      <c r="D2543" s="297">
        <v>540.27563499999997</v>
      </c>
      <c r="E2543" s="297">
        <v>539.14160200000003</v>
      </c>
      <c r="F2543" s="297">
        <v>559.65887499999997</v>
      </c>
      <c r="G2543" s="297">
        <v>552.88568099999998</v>
      </c>
      <c r="H2543" s="297">
        <v>573.24426300000005</v>
      </c>
      <c r="I2543" s="297">
        <v>581.11334199999999</v>
      </c>
      <c r="J2543" s="297">
        <v>580.76330600000006</v>
      </c>
      <c r="K2543" s="297">
        <v>570.66101100000003</v>
      </c>
      <c r="L2543" s="297">
        <v>568.49078399999996</v>
      </c>
      <c r="M2543" s="297">
        <v>559.53942900000004</v>
      </c>
      <c r="N2543" s="297">
        <v>562.09002699999996</v>
      </c>
      <c r="O2543" s="297">
        <v>561.58917199999996</v>
      </c>
      <c r="P2543" s="297">
        <v>561.22564699999998</v>
      </c>
      <c r="Q2543" s="297">
        <v>562.36718800000006</v>
      </c>
      <c r="R2543" s="297">
        <v>556.81909199999996</v>
      </c>
      <c r="S2543" s="297">
        <v>558.74359100000004</v>
      </c>
      <c r="T2543" s="297">
        <v>565.25769000000003</v>
      </c>
      <c r="U2543" s="297">
        <v>575.50982699999997</v>
      </c>
      <c r="V2543" s="297">
        <v>584.72595200000001</v>
      </c>
      <c r="W2543" s="297">
        <v>594.19152799999995</v>
      </c>
      <c r="X2543" s="297">
        <v>598.64788799999997</v>
      </c>
      <c r="Y2543" s="297">
        <v>607.19891399999995</v>
      </c>
      <c r="Z2543" s="297">
        <v>618.40832499999999</v>
      </c>
      <c r="AA2543" s="297">
        <v>626.63995399999999</v>
      </c>
      <c r="AB2543" s="297">
        <v>634.93633999999997</v>
      </c>
      <c r="AC2543" s="297">
        <v>637.96826199999998</v>
      </c>
      <c r="AD2543" s="297">
        <v>642.36834699999997</v>
      </c>
      <c r="AE2543" s="297">
        <v>649.48675500000002</v>
      </c>
      <c r="AF2543" s="297">
        <v>656.23138400000005</v>
      </c>
      <c r="AG2543" s="297">
        <v>665.01580799999999</v>
      </c>
      <c r="AH2543" s="296">
        <v>1.139E-3</v>
      </c>
    </row>
    <row r="2544" spans="1:34" ht="15" customHeight="1" x14ac:dyDescent="0.25">
      <c r="A2544" s="213" t="s">
        <v>2900</v>
      </c>
      <c r="B2544" s="294" t="s">
        <v>160</v>
      </c>
      <c r="C2544" s="297">
        <v>767.19012499999997</v>
      </c>
      <c r="D2544" s="297">
        <v>930.716858</v>
      </c>
      <c r="E2544" s="297">
        <v>978.39868200000001</v>
      </c>
      <c r="F2544" s="297">
        <v>844.36645499999997</v>
      </c>
      <c r="G2544" s="297">
        <v>752.49548300000004</v>
      </c>
      <c r="H2544" s="297">
        <v>658.20703100000003</v>
      </c>
      <c r="I2544" s="297">
        <v>673.86676</v>
      </c>
      <c r="J2544" s="297">
        <v>650.15826400000003</v>
      </c>
      <c r="K2544" s="297">
        <v>655.45727499999998</v>
      </c>
      <c r="L2544" s="297">
        <v>656.91430700000001</v>
      </c>
      <c r="M2544" s="297">
        <v>647.702271</v>
      </c>
      <c r="N2544" s="297">
        <v>635.59783900000002</v>
      </c>
      <c r="O2544" s="297">
        <v>624.37353499999995</v>
      </c>
      <c r="P2544" s="297">
        <v>622.93029799999999</v>
      </c>
      <c r="Q2544" s="297">
        <v>621.48968500000001</v>
      </c>
      <c r="R2544" s="297">
        <v>607.42028800000003</v>
      </c>
      <c r="S2544" s="297">
        <v>606.02636700000005</v>
      </c>
      <c r="T2544" s="297">
        <v>597.20080600000006</v>
      </c>
      <c r="U2544" s="297">
        <v>579.61285399999997</v>
      </c>
      <c r="V2544" s="297">
        <v>574.300659</v>
      </c>
      <c r="W2544" s="297">
        <v>572.28137200000003</v>
      </c>
      <c r="X2544" s="297">
        <v>568.86340299999995</v>
      </c>
      <c r="Y2544" s="297">
        <v>569.09582499999999</v>
      </c>
      <c r="Z2544" s="297">
        <v>562.61010699999997</v>
      </c>
      <c r="AA2544" s="297">
        <v>558.381348</v>
      </c>
      <c r="AB2544" s="297">
        <v>545.456909</v>
      </c>
      <c r="AC2544" s="297">
        <v>542.55859399999997</v>
      </c>
      <c r="AD2544" s="297">
        <v>541.66674799999998</v>
      </c>
      <c r="AE2544" s="297">
        <v>544.67614700000001</v>
      </c>
      <c r="AF2544" s="297">
        <v>546.58868399999994</v>
      </c>
      <c r="AG2544" s="297">
        <v>545.11450200000002</v>
      </c>
      <c r="AH2544" s="296">
        <v>-1.1327E-2</v>
      </c>
    </row>
    <row r="2545" spans="1:34" ht="15" customHeight="1" x14ac:dyDescent="0.25">
      <c r="A2545" s="213" t="s">
        <v>2901</v>
      </c>
      <c r="B2545" s="294" t="s">
        <v>154</v>
      </c>
      <c r="C2545" s="297">
        <v>10.426985</v>
      </c>
      <c r="D2545" s="297">
        <v>10.422738000000001</v>
      </c>
      <c r="E2545" s="297">
        <v>10.438307</v>
      </c>
      <c r="F2545" s="297">
        <v>10.444221000000001</v>
      </c>
      <c r="G2545" s="297">
        <v>10.471384</v>
      </c>
      <c r="H2545" s="297">
        <v>10.502203</v>
      </c>
      <c r="I2545" s="297">
        <v>10.529329000000001</v>
      </c>
      <c r="J2545" s="297">
        <v>10.558714999999999</v>
      </c>
      <c r="K2545" s="297">
        <v>10.602878</v>
      </c>
      <c r="L2545" s="297">
        <v>10.638318</v>
      </c>
      <c r="M2545" s="297">
        <v>10.674689000000001</v>
      </c>
      <c r="N2545" s="297">
        <v>10.708067</v>
      </c>
      <c r="O2545" s="297">
        <v>10.735355999999999</v>
      </c>
      <c r="P2545" s="297">
        <v>10.770414000000001</v>
      </c>
      <c r="Q2545" s="297">
        <v>10.803411000000001</v>
      </c>
      <c r="R2545" s="297">
        <v>10.844797</v>
      </c>
      <c r="S2545" s="297">
        <v>10.886248999999999</v>
      </c>
      <c r="T2545" s="297">
        <v>10.929354999999999</v>
      </c>
      <c r="U2545" s="297">
        <v>10.968085</v>
      </c>
      <c r="V2545" s="297">
        <v>11.00583</v>
      </c>
      <c r="W2545" s="297">
        <v>11.040569</v>
      </c>
      <c r="X2545" s="297">
        <v>11.071035</v>
      </c>
      <c r="Y2545" s="297">
        <v>11.098820999999999</v>
      </c>
      <c r="Z2545" s="297">
        <v>11.121115</v>
      </c>
      <c r="AA2545" s="297">
        <v>11.151327</v>
      </c>
      <c r="AB2545" s="297">
        <v>11.180042</v>
      </c>
      <c r="AC2545" s="297">
        <v>11.212643</v>
      </c>
      <c r="AD2545" s="297">
        <v>11.239236999999999</v>
      </c>
      <c r="AE2545" s="297">
        <v>11.265672</v>
      </c>
      <c r="AF2545" s="297">
        <v>11.283789000000001</v>
      </c>
      <c r="AG2545" s="297">
        <v>11.304278999999999</v>
      </c>
      <c r="AH2545" s="296">
        <v>2.696E-3</v>
      </c>
    </row>
    <row r="2546" spans="1:34" ht="15" customHeight="1" x14ac:dyDescent="0.2">
      <c r="A2546" s="213" t="s">
        <v>2902</v>
      </c>
      <c r="B2546" s="204" t="s">
        <v>2903</v>
      </c>
      <c r="C2546" s="299">
        <v>1431.95813</v>
      </c>
      <c r="D2546" s="299">
        <v>1490.218018</v>
      </c>
      <c r="E2546" s="299">
        <v>1536.9539789999999</v>
      </c>
      <c r="F2546" s="299">
        <v>1422.8292240000001</v>
      </c>
      <c r="G2546" s="299">
        <v>1323.809082</v>
      </c>
      <c r="H2546" s="299">
        <v>1249.529053</v>
      </c>
      <c r="I2546" s="299">
        <v>1272.8138429999999</v>
      </c>
      <c r="J2546" s="299">
        <v>1248.394409</v>
      </c>
      <c r="K2546" s="299">
        <v>1243.3907469999999</v>
      </c>
      <c r="L2546" s="299">
        <v>1242.581909</v>
      </c>
      <c r="M2546" s="299">
        <v>1224.3076169999999</v>
      </c>
      <c r="N2546" s="299">
        <v>1214.541138</v>
      </c>
      <c r="O2546" s="299">
        <v>1202.7795410000001</v>
      </c>
      <c r="P2546" s="299">
        <v>1200.9638669999999</v>
      </c>
      <c r="Q2546" s="299">
        <v>1200.6789550000001</v>
      </c>
      <c r="R2546" s="299">
        <v>1181.022095</v>
      </c>
      <c r="S2546" s="299">
        <v>1181.5261230000001</v>
      </c>
      <c r="T2546" s="299">
        <v>1179.1239009999999</v>
      </c>
      <c r="U2546" s="299">
        <v>1171.5863039999999</v>
      </c>
      <c r="V2546" s="299">
        <v>1175.450317</v>
      </c>
      <c r="W2546" s="299">
        <v>1182.8657229999999</v>
      </c>
      <c r="X2546" s="299">
        <v>1183.729736</v>
      </c>
      <c r="Y2546" s="299">
        <v>1192.3320309999999</v>
      </c>
      <c r="Z2546" s="299">
        <v>1196.8388669999999</v>
      </c>
      <c r="AA2546" s="299">
        <v>1200.6573490000001</v>
      </c>
      <c r="AB2546" s="299">
        <v>1195.807495</v>
      </c>
      <c r="AC2546" s="299">
        <v>1195.973755</v>
      </c>
      <c r="AD2546" s="299">
        <v>1199.5310059999999</v>
      </c>
      <c r="AE2546" s="299">
        <v>1209.7113039999999</v>
      </c>
      <c r="AF2546" s="299">
        <v>1218.4085689999999</v>
      </c>
      <c r="AG2546" s="299">
        <v>1225.7514650000001</v>
      </c>
      <c r="AH2546" s="206">
        <v>-5.1700000000000001E-3</v>
      </c>
    </row>
    <row r="2548" spans="1:34" ht="15" customHeight="1" x14ac:dyDescent="0.2">
      <c r="B2548" s="204" t="s">
        <v>2904</v>
      </c>
    </row>
    <row r="2549" spans="1:34" ht="15" customHeight="1" x14ac:dyDescent="0.25">
      <c r="A2549" s="213" t="s">
        <v>2905</v>
      </c>
      <c r="B2549" s="294" t="s">
        <v>2891</v>
      </c>
      <c r="C2549" s="297">
        <v>2015.744019</v>
      </c>
      <c r="D2549" s="297">
        <v>2122.3283689999998</v>
      </c>
      <c r="E2549" s="297">
        <v>2185.9584960000002</v>
      </c>
      <c r="F2549" s="297">
        <v>2195.9638669999999</v>
      </c>
      <c r="G2549" s="297">
        <v>2194.7539059999999</v>
      </c>
      <c r="H2549" s="297">
        <v>2187.7341310000002</v>
      </c>
      <c r="I2549" s="297">
        <v>2183.5942380000001</v>
      </c>
      <c r="J2549" s="297">
        <v>2173.1970209999999</v>
      </c>
      <c r="K2549" s="297">
        <v>2167.0893550000001</v>
      </c>
      <c r="L2549" s="297">
        <v>2159.9252929999998</v>
      </c>
      <c r="M2549" s="297">
        <v>2158.2084960000002</v>
      </c>
      <c r="N2549" s="297">
        <v>2149.8720699999999</v>
      </c>
      <c r="O2549" s="297">
        <v>2146.392578</v>
      </c>
      <c r="P2549" s="297">
        <v>2144.8706050000001</v>
      </c>
      <c r="Q2549" s="297">
        <v>2146.8583979999999</v>
      </c>
      <c r="R2549" s="297">
        <v>2148.6567380000001</v>
      </c>
      <c r="S2549" s="297">
        <v>2149.55249</v>
      </c>
      <c r="T2549" s="297">
        <v>2150.6145019999999</v>
      </c>
      <c r="U2549" s="297">
        <v>2152.0971679999998</v>
      </c>
      <c r="V2549" s="297">
        <v>2155.1916500000002</v>
      </c>
      <c r="W2549" s="297">
        <v>2157.781982</v>
      </c>
      <c r="X2549" s="297">
        <v>2164.2116700000001</v>
      </c>
      <c r="Y2549" s="297">
        <v>2169.4411620000001</v>
      </c>
      <c r="Z2549" s="297">
        <v>2177.8950199999999</v>
      </c>
      <c r="AA2549" s="297">
        <v>2185.241943</v>
      </c>
      <c r="AB2549" s="297">
        <v>2195.3325199999999</v>
      </c>
      <c r="AC2549" s="297">
        <v>2201.794922</v>
      </c>
      <c r="AD2549" s="297">
        <v>2209.763672</v>
      </c>
      <c r="AE2549" s="297">
        <v>2219.8767090000001</v>
      </c>
      <c r="AF2549" s="297">
        <v>2229.585693</v>
      </c>
      <c r="AG2549" s="297">
        <v>2240.5698240000002</v>
      </c>
      <c r="AH2549" s="296">
        <v>3.5309999999999999E-3</v>
      </c>
    </row>
    <row r="2550" spans="1:34" ht="15" customHeight="1" x14ac:dyDescent="0.25">
      <c r="A2550" s="213" t="s">
        <v>2906</v>
      </c>
      <c r="B2550" s="294" t="s">
        <v>152</v>
      </c>
      <c r="C2550" s="297">
        <v>1675.2073969999999</v>
      </c>
      <c r="D2550" s="297">
        <v>1575.8598629999999</v>
      </c>
      <c r="E2550" s="297">
        <v>1584.3111570000001</v>
      </c>
      <c r="F2550" s="297">
        <v>1624.3686520000001</v>
      </c>
      <c r="G2550" s="297">
        <v>1636.7653809999999</v>
      </c>
      <c r="H2550" s="297">
        <v>1675.9758300000001</v>
      </c>
      <c r="I2550" s="297">
        <v>1692.0996090000001</v>
      </c>
      <c r="J2550" s="297">
        <v>1692.767578</v>
      </c>
      <c r="K2550" s="297">
        <v>1687.022217</v>
      </c>
      <c r="L2550" s="297">
        <v>1689.6293949999999</v>
      </c>
      <c r="M2550" s="297">
        <v>1683.333496</v>
      </c>
      <c r="N2550" s="297">
        <v>1691.2504879999999</v>
      </c>
      <c r="O2550" s="297">
        <v>1694.4479980000001</v>
      </c>
      <c r="P2550" s="297">
        <v>1698.3149410000001</v>
      </c>
      <c r="Q2550" s="297">
        <v>1705.332764</v>
      </c>
      <c r="R2550" s="297">
        <v>1705.0863039999999</v>
      </c>
      <c r="S2550" s="297">
        <v>1712.237061</v>
      </c>
      <c r="T2550" s="297">
        <v>1724.381836</v>
      </c>
      <c r="U2550" s="297">
        <v>1741.036865</v>
      </c>
      <c r="V2550" s="297">
        <v>1757.4147949999999</v>
      </c>
      <c r="W2550" s="297">
        <v>1774.2513429999999</v>
      </c>
      <c r="X2550" s="297">
        <v>1784.940918</v>
      </c>
      <c r="Y2550" s="297">
        <v>1803.3046879999999</v>
      </c>
      <c r="Z2550" s="297">
        <v>1825.0489500000001</v>
      </c>
      <c r="AA2550" s="297">
        <v>1840.999268</v>
      </c>
      <c r="AB2550" s="297">
        <v>1854.168457</v>
      </c>
      <c r="AC2550" s="297">
        <v>1866.4145510000001</v>
      </c>
      <c r="AD2550" s="297">
        <v>1878.144043</v>
      </c>
      <c r="AE2550" s="297">
        <v>1892.2358400000001</v>
      </c>
      <c r="AF2550" s="297">
        <v>1906.41626</v>
      </c>
      <c r="AG2550" s="297">
        <v>1923.587158</v>
      </c>
      <c r="AH2550" s="296">
        <v>4.6189999999999998E-3</v>
      </c>
    </row>
    <row r="2551" spans="1:34" ht="15" customHeight="1" x14ac:dyDescent="0.25">
      <c r="A2551" s="213" t="s">
        <v>2907</v>
      </c>
      <c r="B2551" s="294" t="s">
        <v>160</v>
      </c>
      <c r="C2551" s="297">
        <v>861.15466300000003</v>
      </c>
      <c r="D2551" s="297">
        <v>1016.4195560000001</v>
      </c>
      <c r="E2551" s="297">
        <v>1063.994995</v>
      </c>
      <c r="F2551" s="297">
        <v>937.86254899999994</v>
      </c>
      <c r="G2551" s="297">
        <v>845.77069100000006</v>
      </c>
      <c r="H2551" s="297">
        <v>748.66668700000002</v>
      </c>
      <c r="I2551" s="297">
        <v>763.68133499999999</v>
      </c>
      <c r="J2551" s="297">
        <v>738.50244099999998</v>
      </c>
      <c r="K2551" s="297">
        <v>741.52239999999995</v>
      </c>
      <c r="L2551" s="297">
        <v>740.90808100000004</v>
      </c>
      <c r="M2551" s="297">
        <v>731.33105499999999</v>
      </c>
      <c r="N2551" s="297">
        <v>718.868652</v>
      </c>
      <c r="O2551" s="297">
        <v>706.628601</v>
      </c>
      <c r="P2551" s="297">
        <v>704.08093299999996</v>
      </c>
      <c r="Q2551" s="297">
        <v>702.22735599999999</v>
      </c>
      <c r="R2551" s="297">
        <v>688.29150400000003</v>
      </c>
      <c r="S2551" s="297">
        <v>686.52758800000004</v>
      </c>
      <c r="T2551" s="297">
        <v>677.72289999999998</v>
      </c>
      <c r="U2551" s="297">
        <v>660.49499500000002</v>
      </c>
      <c r="V2551" s="297">
        <v>655.31188999999995</v>
      </c>
      <c r="W2551" s="297">
        <v>652.67687999999998</v>
      </c>
      <c r="X2551" s="297">
        <v>649.45013400000005</v>
      </c>
      <c r="Y2551" s="297">
        <v>651.193848</v>
      </c>
      <c r="Z2551" s="297">
        <v>646.09515399999998</v>
      </c>
      <c r="AA2551" s="297">
        <v>642.29785200000003</v>
      </c>
      <c r="AB2551" s="297">
        <v>630.39386000000002</v>
      </c>
      <c r="AC2551" s="297">
        <v>627.66241500000001</v>
      </c>
      <c r="AD2551" s="297">
        <v>626.72051999999996</v>
      </c>
      <c r="AE2551" s="297">
        <v>630.10632299999997</v>
      </c>
      <c r="AF2551" s="297">
        <v>632.11413600000003</v>
      </c>
      <c r="AG2551" s="297">
        <v>631.45208700000001</v>
      </c>
      <c r="AH2551" s="296">
        <v>-1.0288E-2</v>
      </c>
    </row>
    <row r="2552" spans="1:34" ht="15" customHeight="1" x14ac:dyDescent="0.25">
      <c r="A2552" s="213" t="s">
        <v>2908</v>
      </c>
      <c r="B2552" s="294" t="s">
        <v>154</v>
      </c>
      <c r="C2552" s="297">
        <v>10.426985</v>
      </c>
      <c r="D2552" s="297">
        <v>10.422738000000001</v>
      </c>
      <c r="E2552" s="297">
        <v>10.438307</v>
      </c>
      <c r="F2552" s="297">
        <v>10.444221000000001</v>
      </c>
      <c r="G2552" s="297">
        <v>10.471384</v>
      </c>
      <c r="H2552" s="297">
        <v>10.502203</v>
      </c>
      <c r="I2552" s="297">
        <v>10.529329000000001</v>
      </c>
      <c r="J2552" s="297">
        <v>10.558714999999999</v>
      </c>
      <c r="K2552" s="297">
        <v>10.602878</v>
      </c>
      <c r="L2552" s="297">
        <v>10.638318</v>
      </c>
      <c r="M2552" s="297">
        <v>10.674689000000001</v>
      </c>
      <c r="N2552" s="297">
        <v>10.708067</v>
      </c>
      <c r="O2552" s="297">
        <v>10.735355999999999</v>
      </c>
      <c r="P2552" s="297">
        <v>10.770414000000001</v>
      </c>
      <c r="Q2552" s="297">
        <v>10.803411000000001</v>
      </c>
      <c r="R2552" s="297">
        <v>10.844797</v>
      </c>
      <c r="S2552" s="297">
        <v>10.886248999999999</v>
      </c>
      <c r="T2552" s="297">
        <v>10.929354999999999</v>
      </c>
      <c r="U2552" s="297">
        <v>10.968085</v>
      </c>
      <c r="V2552" s="297">
        <v>11.00583</v>
      </c>
      <c r="W2552" s="297">
        <v>11.040569</v>
      </c>
      <c r="X2552" s="297">
        <v>11.071035</v>
      </c>
      <c r="Y2552" s="297">
        <v>11.098820999999999</v>
      </c>
      <c r="Z2552" s="297">
        <v>11.121115</v>
      </c>
      <c r="AA2552" s="297">
        <v>11.151327</v>
      </c>
      <c r="AB2552" s="297">
        <v>11.180042</v>
      </c>
      <c r="AC2552" s="297">
        <v>11.212643</v>
      </c>
      <c r="AD2552" s="297">
        <v>11.239236999999999</v>
      </c>
      <c r="AE2552" s="297">
        <v>11.265672</v>
      </c>
      <c r="AF2552" s="297">
        <v>11.283789000000001</v>
      </c>
      <c r="AG2552" s="297">
        <v>11.304278999999999</v>
      </c>
      <c r="AH2552" s="296">
        <v>2.696E-3</v>
      </c>
    </row>
    <row r="2553" spans="1:34" ht="15" customHeight="1" x14ac:dyDescent="0.2">
      <c r="A2553" s="213" t="s">
        <v>2909</v>
      </c>
      <c r="B2553" s="204" t="s">
        <v>179</v>
      </c>
      <c r="C2553" s="299">
        <v>4562.5327150000003</v>
      </c>
      <c r="D2553" s="299">
        <v>4725.0307620000003</v>
      </c>
      <c r="E2553" s="299">
        <v>4844.703125</v>
      </c>
      <c r="F2553" s="299">
        <v>4768.6396480000003</v>
      </c>
      <c r="G2553" s="299">
        <v>4687.7612300000001</v>
      </c>
      <c r="H2553" s="299">
        <v>4622.8789059999999</v>
      </c>
      <c r="I2553" s="299">
        <v>4649.904297</v>
      </c>
      <c r="J2553" s="299">
        <v>4615.0253910000001</v>
      </c>
      <c r="K2553" s="299">
        <v>4606.2368159999996</v>
      </c>
      <c r="L2553" s="299">
        <v>4601.1010740000002</v>
      </c>
      <c r="M2553" s="299">
        <v>4583.5478519999997</v>
      </c>
      <c r="N2553" s="299">
        <v>4570.6992190000001</v>
      </c>
      <c r="O2553" s="299">
        <v>4558.2045900000003</v>
      </c>
      <c r="P2553" s="299">
        <v>4558.0371089999999</v>
      </c>
      <c r="Q2553" s="299">
        <v>4565.2216799999997</v>
      </c>
      <c r="R2553" s="299">
        <v>4552.8793949999999</v>
      </c>
      <c r="S2553" s="299">
        <v>4559.2036129999997</v>
      </c>
      <c r="T2553" s="299">
        <v>4563.6484380000002</v>
      </c>
      <c r="U2553" s="299">
        <v>4564.5971680000002</v>
      </c>
      <c r="V2553" s="299">
        <v>4578.9243159999996</v>
      </c>
      <c r="W2553" s="299">
        <v>4595.7504879999997</v>
      </c>
      <c r="X2553" s="299">
        <v>4609.6733400000003</v>
      </c>
      <c r="Y2553" s="299">
        <v>4635.0380859999996</v>
      </c>
      <c r="Z2553" s="299">
        <v>4660.1601559999999</v>
      </c>
      <c r="AA2553" s="299">
        <v>4679.6904299999997</v>
      </c>
      <c r="AB2553" s="299">
        <v>4691.0751950000003</v>
      </c>
      <c r="AC2553" s="299">
        <v>4707.0844729999999</v>
      </c>
      <c r="AD2553" s="299">
        <v>4725.8676759999998</v>
      </c>
      <c r="AE2553" s="299">
        <v>4753.484375</v>
      </c>
      <c r="AF2553" s="299">
        <v>4779.3999020000001</v>
      </c>
      <c r="AG2553" s="299">
        <v>4806.9135740000002</v>
      </c>
      <c r="AH2553" s="206">
        <v>1.7409999999999999E-3</v>
      </c>
    </row>
    <row r="2555" spans="1:34" ht="15" customHeight="1" x14ac:dyDescent="0.2">
      <c r="B2555" s="204" t="s">
        <v>2910</v>
      </c>
    </row>
    <row r="2556" spans="1:34" ht="15" customHeight="1" x14ac:dyDescent="0.2">
      <c r="A2556" s="213" t="s">
        <v>2911</v>
      </c>
      <c r="B2556" s="204" t="s">
        <v>2912</v>
      </c>
      <c r="C2556" s="300">
        <v>13.808783999999999</v>
      </c>
      <c r="D2556" s="300">
        <v>14.203673999999999</v>
      </c>
      <c r="E2556" s="300">
        <v>14.46245</v>
      </c>
      <c r="F2556" s="300">
        <v>14.138265000000001</v>
      </c>
      <c r="G2556" s="300">
        <v>13.805294999999999</v>
      </c>
      <c r="H2556" s="300">
        <v>13.524595</v>
      </c>
      <c r="I2556" s="300">
        <v>13.515679</v>
      </c>
      <c r="J2556" s="300">
        <v>13.329349000000001</v>
      </c>
      <c r="K2556" s="300">
        <v>13.221638</v>
      </c>
      <c r="L2556" s="300">
        <v>13.126839</v>
      </c>
      <c r="M2556" s="300">
        <v>12.999368</v>
      </c>
      <c r="N2556" s="300">
        <v>12.888603</v>
      </c>
      <c r="O2556" s="300">
        <v>12.781941</v>
      </c>
      <c r="P2556" s="300">
        <v>12.712507</v>
      </c>
      <c r="Q2556" s="300">
        <v>12.665851999999999</v>
      </c>
      <c r="R2556" s="300">
        <v>12.567372000000001</v>
      </c>
      <c r="S2556" s="300">
        <v>12.522671000000001</v>
      </c>
      <c r="T2556" s="300">
        <v>12.474708</v>
      </c>
      <c r="U2556" s="300">
        <v>12.419048999999999</v>
      </c>
      <c r="V2556" s="300">
        <v>12.401407000000001</v>
      </c>
      <c r="W2556" s="300">
        <v>12.391838</v>
      </c>
      <c r="X2556" s="300">
        <v>12.375634</v>
      </c>
      <c r="Y2556" s="300">
        <v>12.391113000000001</v>
      </c>
      <c r="Z2556" s="300">
        <v>12.406655000000001</v>
      </c>
      <c r="AA2556" s="300">
        <v>12.407935</v>
      </c>
      <c r="AB2556" s="300">
        <v>12.388228</v>
      </c>
      <c r="AC2556" s="300">
        <v>12.38123</v>
      </c>
      <c r="AD2556" s="300">
        <v>12.381842000000001</v>
      </c>
      <c r="AE2556" s="300">
        <v>12.405657</v>
      </c>
      <c r="AF2556" s="300">
        <v>12.42489</v>
      </c>
      <c r="AG2556" s="300">
        <v>12.448029999999999</v>
      </c>
      <c r="AH2556" s="206">
        <v>-3.4520000000000002E-3</v>
      </c>
    </row>
    <row r="2557" spans="1:34" ht="15" customHeight="1" thickBot="1" x14ac:dyDescent="0.25"/>
    <row r="2558" spans="1:34" ht="15" customHeight="1" x14ac:dyDescent="0.2">
      <c r="B2558" s="305" t="s">
        <v>2913</v>
      </c>
      <c r="C2558" s="305"/>
      <c r="D2558" s="305"/>
      <c r="E2558" s="305"/>
      <c r="F2558" s="305"/>
      <c r="G2558" s="305"/>
      <c r="H2558" s="305"/>
      <c r="I2558" s="305"/>
      <c r="J2558" s="305"/>
      <c r="K2558" s="305"/>
      <c r="L2558" s="305"/>
      <c r="M2558" s="305"/>
      <c r="N2558" s="305"/>
      <c r="O2558" s="305"/>
      <c r="P2558" s="305"/>
      <c r="Q2558" s="305"/>
      <c r="R2558" s="305"/>
      <c r="S2558" s="305"/>
      <c r="T2558" s="305"/>
      <c r="U2558" s="305"/>
      <c r="V2558" s="305"/>
      <c r="W2558" s="305"/>
      <c r="X2558" s="305"/>
      <c r="Y2558" s="305"/>
      <c r="Z2558" s="305"/>
      <c r="AA2558" s="305"/>
      <c r="AB2558" s="305"/>
      <c r="AC2558" s="305"/>
      <c r="AD2558" s="305"/>
      <c r="AE2558" s="305"/>
      <c r="AF2558" s="305"/>
      <c r="AG2558" s="305"/>
      <c r="AH2558" s="305"/>
    </row>
    <row r="2559" spans="1:34" ht="15" customHeight="1" x14ac:dyDescent="0.2">
      <c r="B2559" s="208" t="s">
        <v>2914</v>
      </c>
    </row>
    <row r="2560" spans="1:34" ht="15" customHeight="1" x14ac:dyDescent="0.2">
      <c r="B2560" s="208" t="s">
        <v>2915</v>
      </c>
    </row>
    <row r="2561" spans="2:2" ht="15" customHeight="1" x14ac:dyDescent="0.2">
      <c r="B2561" s="208" t="s">
        <v>2916</v>
      </c>
    </row>
    <row r="2562" spans="2:2" ht="15" customHeight="1" x14ac:dyDescent="0.2">
      <c r="B2562" s="208" t="s">
        <v>2917</v>
      </c>
    </row>
    <row r="2563" spans="2:2" ht="15" customHeight="1" x14ac:dyDescent="0.2">
      <c r="B2563" s="208" t="s">
        <v>2918</v>
      </c>
    </row>
    <row r="2564" spans="2:2" ht="15" customHeight="1" x14ac:dyDescent="0.2">
      <c r="B2564" s="208" t="s">
        <v>2919</v>
      </c>
    </row>
    <row r="2565" spans="2:2" ht="15" customHeight="1" x14ac:dyDescent="0.2">
      <c r="B2565" s="208" t="s">
        <v>2920</v>
      </c>
    </row>
    <row r="2566" spans="2:2" ht="15" customHeight="1" x14ac:dyDescent="0.2">
      <c r="B2566" s="208" t="s">
        <v>601</v>
      </c>
    </row>
    <row r="2567" spans="2:2" ht="15" customHeight="1" x14ac:dyDescent="0.2">
      <c r="B2567" s="208" t="s">
        <v>2921</v>
      </c>
    </row>
    <row r="2568" spans="2:2" ht="15" customHeight="1" x14ac:dyDescent="0.2">
      <c r="B2568" s="208" t="s">
        <v>2922</v>
      </c>
    </row>
    <row r="2569" spans="2:2" ht="15" customHeight="1" x14ac:dyDescent="0.2">
      <c r="B2569" s="208" t="s">
        <v>2923</v>
      </c>
    </row>
    <row r="2570" spans="2:2" ht="15" customHeight="1" x14ac:dyDescent="0.2">
      <c r="B2570" s="208" t="s">
        <v>2924</v>
      </c>
    </row>
    <row r="2571" spans="2:2" ht="15" customHeight="1" x14ac:dyDescent="0.2">
      <c r="B2571" s="208" t="s">
        <v>2925</v>
      </c>
    </row>
    <row r="2572" spans="2:2" ht="15" customHeight="1" x14ac:dyDescent="0.2">
      <c r="B2572" s="208" t="s">
        <v>2926</v>
      </c>
    </row>
    <row r="2573" spans="2:2" ht="15" customHeight="1" x14ac:dyDescent="0.2">
      <c r="B2573" s="208" t="s">
        <v>2215</v>
      </c>
    </row>
    <row r="2574" spans="2:2" ht="15" customHeight="1" x14ac:dyDescent="0.2">
      <c r="B2574" s="208" t="s">
        <v>1979</v>
      </c>
    </row>
    <row r="2585" spans="1:34" ht="15" customHeight="1" x14ac:dyDescent="0.25">
      <c r="A2585" s="213" t="s">
        <v>2927</v>
      </c>
      <c r="B2585" s="202" t="s">
        <v>1027</v>
      </c>
      <c r="AH2585" s="292" t="s">
        <v>597</v>
      </c>
    </row>
    <row r="2586" spans="1:34" ht="15" customHeight="1" x14ac:dyDescent="0.2">
      <c r="B2586" s="199" t="s">
        <v>2869</v>
      </c>
      <c r="AH2586" s="292" t="s">
        <v>598</v>
      </c>
    </row>
    <row r="2587" spans="1:34" ht="15" customHeight="1" x14ac:dyDescent="0.2">
      <c r="B2587" s="199" t="s">
        <v>124</v>
      </c>
      <c r="C2587" s="222" t="s">
        <v>124</v>
      </c>
      <c r="D2587" s="222" t="s">
        <v>124</v>
      </c>
      <c r="E2587" s="222" t="s">
        <v>124</v>
      </c>
      <c r="F2587" s="222" t="s">
        <v>124</v>
      </c>
      <c r="G2587" s="222" t="s">
        <v>124</v>
      </c>
      <c r="H2587" s="222" t="s">
        <v>124</v>
      </c>
      <c r="I2587" s="222" t="s">
        <v>124</v>
      </c>
      <c r="J2587" s="222" t="s">
        <v>124</v>
      </c>
      <c r="K2587" s="222" t="s">
        <v>124</v>
      </c>
      <c r="L2587" s="222" t="s">
        <v>124</v>
      </c>
      <c r="M2587" s="222" t="s">
        <v>124</v>
      </c>
      <c r="N2587" s="222" t="s">
        <v>124</v>
      </c>
      <c r="O2587" s="222" t="s">
        <v>124</v>
      </c>
      <c r="P2587" s="222" t="s">
        <v>124</v>
      </c>
      <c r="Q2587" s="222" t="s">
        <v>124</v>
      </c>
      <c r="R2587" s="222" t="s">
        <v>124</v>
      </c>
      <c r="S2587" s="222" t="s">
        <v>124</v>
      </c>
      <c r="T2587" s="222" t="s">
        <v>124</v>
      </c>
      <c r="U2587" s="222" t="s">
        <v>124</v>
      </c>
      <c r="V2587" s="222" t="s">
        <v>124</v>
      </c>
      <c r="W2587" s="222" t="s">
        <v>124</v>
      </c>
      <c r="X2587" s="222" t="s">
        <v>124</v>
      </c>
      <c r="Y2587" s="222" t="s">
        <v>124</v>
      </c>
      <c r="Z2587" s="222" t="s">
        <v>124</v>
      </c>
      <c r="AA2587" s="222" t="s">
        <v>124</v>
      </c>
      <c r="AB2587" s="222" t="s">
        <v>124</v>
      </c>
      <c r="AC2587" s="222" t="s">
        <v>124</v>
      </c>
      <c r="AD2587" s="222" t="s">
        <v>124</v>
      </c>
      <c r="AE2587" s="222" t="s">
        <v>124</v>
      </c>
      <c r="AF2587" s="222" t="s">
        <v>124</v>
      </c>
      <c r="AG2587" s="222" t="s">
        <v>124</v>
      </c>
      <c r="AH2587" s="292" t="s">
        <v>599</v>
      </c>
    </row>
    <row r="2588" spans="1:34" ht="15" customHeight="1" thickBot="1" x14ac:dyDescent="0.25">
      <c r="B2588" s="200" t="s">
        <v>2928</v>
      </c>
      <c r="C2588" s="200">
        <v>2020</v>
      </c>
      <c r="D2588" s="200">
        <v>2021</v>
      </c>
      <c r="E2588" s="200">
        <v>2022</v>
      </c>
      <c r="F2588" s="200">
        <v>2023</v>
      </c>
      <c r="G2588" s="200">
        <v>2024</v>
      </c>
      <c r="H2588" s="200">
        <v>2025</v>
      </c>
      <c r="I2588" s="200">
        <v>2026</v>
      </c>
      <c r="J2588" s="200">
        <v>2027</v>
      </c>
      <c r="K2588" s="200">
        <v>2028</v>
      </c>
      <c r="L2588" s="200">
        <v>2029</v>
      </c>
      <c r="M2588" s="200">
        <v>2030</v>
      </c>
      <c r="N2588" s="200">
        <v>2031</v>
      </c>
      <c r="O2588" s="200">
        <v>2032</v>
      </c>
      <c r="P2588" s="200">
        <v>2033</v>
      </c>
      <c r="Q2588" s="200">
        <v>2034</v>
      </c>
      <c r="R2588" s="200">
        <v>2035</v>
      </c>
      <c r="S2588" s="200">
        <v>2036</v>
      </c>
      <c r="T2588" s="200">
        <v>2037</v>
      </c>
      <c r="U2588" s="200">
        <v>2038</v>
      </c>
      <c r="V2588" s="200">
        <v>2039</v>
      </c>
      <c r="W2588" s="200">
        <v>2040</v>
      </c>
      <c r="X2588" s="200">
        <v>2041</v>
      </c>
      <c r="Y2588" s="200">
        <v>2042</v>
      </c>
      <c r="Z2588" s="200">
        <v>2043</v>
      </c>
      <c r="AA2588" s="200">
        <v>2044</v>
      </c>
      <c r="AB2588" s="200">
        <v>2045</v>
      </c>
      <c r="AC2588" s="200">
        <v>2046</v>
      </c>
      <c r="AD2588" s="200">
        <v>2047</v>
      </c>
      <c r="AE2588" s="200">
        <v>2048</v>
      </c>
      <c r="AF2588" s="200">
        <v>2049</v>
      </c>
      <c r="AG2588" s="200">
        <v>2050</v>
      </c>
      <c r="AH2588" s="293" t="s">
        <v>600</v>
      </c>
    </row>
    <row r="2589" spans="1:34" ht="15" customHeight="1" thickTop="1" x14ac:dyDescent="0.2"/>
    <row r="2590" spans="1:34" ht="15" customHeight="1" x14ac:dyDescent="0.2">
      <c r="B2590" s="204" t="s">
        <v>2929</v>
      </c>
    </row>
    <row r="2591" spans="1:34" ht="15" customHeight="1" x14ac:dyDescent="0.25">
      <c r="A2591" s="213" t="s">
        <v>2930</v>
      </c>
      <c r="B2591" s="294" t="s">
        <v>2931</v>
      </c>
      <c r="C2591" s="297">
        <v>307.59814499999999</v>
      </c>
      <c r="D2591" s="297">
        <v>312.778839</v>
      </c>
      <c r="E2591" s="297">
        <v>321.38452100000001</v>
      </c>
      <c r="F2591" s="297">
        <v>311.87103300000001</v>
      </c>
      <c r="G2591" s="297">
        <v>303.97335800000002</v>
      </c>
      <c r="H2591" s="297">
        <v>297.32064800000001</v>
      </c>
      <c r="I2591" s="297">
        <v>295.863831</v>
      </c>
      <c r="J2591" s="297">
        <v>291.98452800000001</v>
      </c>
      <c r="K2591" s="297">
        <v>289.26251200000002</v>
      </c>
      <c r="L2591" s="297">
        <v>286.77685500000001</v>
      </c>
      <c r="M2591" s="297">
        <v>283.30493200000001</v>
      </c>
      <c r="N2591" s="297">
        <v>280.50811800000002</v>
      </c>
      <c r="O2591" s="297">
        <v>277.783051</v>
      </c>
      <c r="P2591" s="297">
        <v>275.58743299999998</v>
      </c>
      <c r="Q2591" s="297">
        <v>273.42669699999999</v>
      </c>
      <c r="R2591" s="297">
        <v>270.58840900000001</v>
      </c>
      <c r="S2591" s="297">
        <v>268.778595</v>
      </c>
      <c r="T2591" s="297">
        <v>266.85220299999997</v>
      </c>
      <c r="U2591" s="297">
        <v>264.73507699999999</v>
      </c>
      <c r="V2591" s="297">
        <v>263.18112200000002</v>
      </c>
      <c r="W2591" s="297">
        <v>261.93319700000001</v>
      </c>
      <c r="X2591" s="297">
        <v>260.34912100000003</v>
      </c>
      <c r="Y2591" s="297">
        <v>259.05801400000001</v>
      </c>
      <c r="Z2591" s="297">
        <v>257.58462500000002</v>
      </c>
      <c r="AA2591" s="297">
        <v>256.15670799999998</v>
      </c>
      <c r="AB2591" s="297">
        <v>254.35043300000001</v>
      </c>
      <c r="AC2591" s="297">
        <v>252.75598099999999</v>
      </c>
      <c r="AD2591" s="297">
        <v>251.23277300000001</v>
      </c>
      <c r="AE2591" s="297">
        <v>249.93119799999999</v>
      </c>
      <c r="AF2591" s="297">
        <v>248.51722699999999</v>
      </c>
      <c r="AG2591" s="297">
        <v>247.06724500000001</v>
      </c>
      <c r="AH2591" s="296">
        <v>-7.2779999999999997E-3</v>
      </c>
    </row>
    <row r="2592" spans="1:34" ht="15" customHeight="1" x14ac:dyDescent="0.25">
      <c r="A2592" s="213" t="s">
        <v>2932</v>
      </c>
      <c r="B2592" s="294" t="s">
        <v>2933</v>
      </c>
      <c r="C2592" s="297">
        <v>95.442847999999998</v>
      </c>
      <c r="D2592" s="297">
        <v>93.915503999999999</v>
      </c>
      <c r="E2592" s="297">
        <v>106.71717099999999</v>
      </c>
      <c r="F2592" s="297">
        <v>99.279961</v>
      </c>
      <c r="G2592" s="297">
        <v>92.925040999999993</v>
      </c>
      <c r="H2592" s="297">
        <v>88.186713999999995</v>
      </c>
      <c r="I2592" s="297">
        <v>90.544730999999999</v>
      </c>
      <c r="J2592" s="297">
        <v>89.677368000000001</v>
      </c>
      <c r="K2592" s="297">
        <v>90.204552000000007</v>
      </c>
      <c r="L2592" s="297">
        <v>91.024612000000005</v>
      </c>
      <c r="M2592" s="297">
        <v>90.599174000000005</v>
      </c>
      <c r="N2592" s="297">
        <v>90.815094000000002</v>
      </c>
      <c r="O2592" s="297">
        <v>90.951240999999996</v>
      </c>
      <c r="P2592" s="297">
        <v>91.797379000000006</v>
      </c>
      <c r="Q2592" s="297">
        <v>92.653892999999997</v>
      </c>
      <c r="R2592" s="297">
        <v>92.158462999999998</v>
      </c>
      <c r="S2592" s="297">
        <v>93.220757000000006</v>
      </c>
      <c r="T2592" s="297">
        <v>94.126464999999996</v>
      </c>
      <c r="U2592" s="297">
        <v>94.561920000000001</v>
      </c>
      <c r="V2592" s="297">
        <v>95.865959000000004</v>
      </c>
      <c r="W2592" s="297">
        <v>97.563170999999997</v>
      </c>
      <c r="X2592" s="297">
        <v>98.591117999999994</v>
      </c>
      <c r="Y2592" s="297">
        <v>100.206146</v>
      </c>
      <c r="Z2592" s="297">
        <v>101.43151899999999</v>
      </c>
      <c r="AA2592" s="297">
        <v>102.729752</v>
      </c>
      <c r="AB2592" s="297">
        <v>103.259621</v>
      </c>
      <c r="AC2592" s="297">
        <v>104.20916</v>
      </c>
      <c r="AD2592" s="297">
        <v>105.393021</v>
      </c>
      <c r="AE2592" s="297">
        <v>107.160751</v>
      </c>
      <c r="AF2592" s="297">
        <v>108.74818399999999</v>
      </c>
      <c r="AG2592" s="297">
        <v>110.272285</v>
      </c>
      <c r="AH2592" s="296">
        <v>4.8260000000000004E-3</v>
      </c>
    </row>
    <row r="2593" spans="1:34" ht="15" customHeight="1" x14ac:dyDescent="0.25">
      <c r="A2593" s="213" t="s">
        <v>2934</v>
      </c>
      <c r="B2593" s="294" t="s">
        <v>2935</v>
      </c>
      <c r="C2593" s="297">
        <v>130.74357599999999</v>
      </c>
      <c r="D2593" s="297">
        <v>133.167709</v>
      </c>
      <c r="E2593" s="297">
        <v>134.223007</v>
      </c>
      <c r="F2593" s="297">
        <v>127.971603</v>
      </c>
      <c r="G2593" s="297">
        <v>122.810852</v>
      </c>
      <c r="H2593" s="297">
        <v>118.843689</v>
      </c>
      <c r="I2593" s="297">
        <v>119.724586</v>
      </c>
      <c r="J2593" s="297">
        <v>118.46996300000001</v>
      </c>
      <c r="K2593" s="297">
        <v>118.19564099999999</v>
      </c>
      <c r="L2593" s="297">
        <v>118.15928599999999</v>
      </c>
      <c r="M2593" s="297">
        <v>117.27533699999999</v>
      </c>
      <c r="N2593" s="297">
        <v>116.815315</v>
      </c>
      <c r="O2593" s="297">
        <v>116.340546</v>
      </c>
      <c r="P2593" s="297">
        <v>116.31755800000001</v>
      </c>
      <c r="Q2593" s="297">
        <v>116.278572</v>
      </c>
      <c r="R2593" s="297">
        <v>115.43942300000001</v>
      </c>
      <c r="S2593" s="297">
        <v>115.512001</v>
      </c>
      <c r="T2593" s="297">
        <v>115.430359</v>
      </c>
      <c r="U2593" s="297">
        <v>115.086792</v>
      </c>
      <c r="V2593" s="297">
        <v>115.21051</v>
      </c>
      <c r="W2593" s="297">
        <v>115.524559</v>
      </c>
      <c r="X2593" s="297">
        <v>115.492142</v>
      </c>
      <c r="Y2593" s="297">
        <v>115.75309</v>
      </c>
      <c r="Z2593" s="297">
        <v>115.848045</v>
      </c>
      <c r="AA2593" s="297">
        <v>115.985069</v>
      </c>
      <c r="AB2593" s="297">
        <v>115.773735</v>
      </c>
      <c r="AC2593" s="297">
        <v>115.80127</v>
      </c>
      <c r="AD2593" s="297">
        <v>115.979584</v>
      </c>
      <c r="AE2593" s="297">
        <v>116.42343099999999</v>
      </c>
      <c r="AF2593" s="297">
        <v>116.792374</v>
      </c>
      <c r="AG2593" s="297">
        <v>117.111786</v>
      </c>
      <c r="AH2593" s="296">
        <v>-3.6640000000000002E-3</v>
      </c>
    </row>
    <row r="2594" spans="1:34" ht="15" customHeight="1" x14ac:dyDescent="0.25">
      <c r="A2594" s="213" t="s">
        <v>2936</v>
      </c>
      <c r="B2594" s="294" t="s">
        <v>2937</v>
      </c>
      <c r="C2594" s="297">
        <v>34.114445000000003</v>
      </c>
      <c r="D2594" s="297">
        <v>35.048977000000001</v>
      </c>
      <c r="E2594" s="297">
        <v>35.314673999999997</v>
      </c>
      <c r="F2594" s="297">
        <v>32.104584000000003</v>
      </c>
      <c r="G2594" s="297">
        <v>29.359788999999999</v>
      </c>
      <c r="H2594" s="297">
        <v>27.245691000000001</v>
      </c>
      <c r="I2594" s="297">
        <v>27.473348999999999</v>
      </c>
      <c r="J2594" s="297">
        <v>26.707743000000001</v>
      </c>
      <c r="K2594" s="297">
        <v>26.386023000000002</v>
      </c>
      <c r="L2594" s="297">
        <v>26.168312</v>
      </c>
      <c r="M2594" s="297">
        <v>25.598859999999998</v>
      </c>
      <c r="N2594" s="297">
        <v>25.226683000000001</v>
      </c>
      <c r="O2594" s="297">
        <v>24.843126000000002</v>
      </c>
      <c r="P2594" s="297">
        <v>24.705479</v>
      </c>
      <c r="Q2594" s="297">
        <v>24.588706999999999</v>
      </c>
      <c r="R2594" s="297">
        <v>24.112776</v>
      </c>
      <c r="S2594" s="297">
        <v>24.066561</v>
      </c>
      <c r="T2594" s="297">
        <v>23.972307000000001</v>
      </c>
      <c r="U2594" s="297">
        <v>23.783669</v>
      </c>
      <c r="V2594" s="297">
        <v>23.847145000000001</v>
      </c>
      <c r="W2594" s="297">
        <v>24.029675999999998</v>
      </c>
      <c r="X2594" s="297">
        <v>24.077235999999999</v>
      </c>
      <c r="Y2594" s="297">
        <v>24.27984</v>
      </c>
      <c r="Z2594" s="297">
        <v>24.368092999999998</v>
      </c>
      <c r="AA2594" s="297">
        <v>24.459451999999999</v>
      </c>
      <c r="AB2594" s="297">
        <v>24.368773000000001</v>
      </c>
      <c r="AC2594" s="297">
        <v>24.367342000000001</v>
      </c>
      <c r="AD2594" s="297">
        <v>24.430060999999998</v>
      </c>
      <c r="AE2594" s="297">
        <v>24.607809</v>
      </c>
      <c r="AF2594" s="297">
        <v>24.727077000000001</v>
      </c>
      <c r="AG2594" s="297">
        <v>24.798514999999998</v>
      </c>
      <c r="AH2594" s="296">
        <v>-1.0574999999999999E-2</v>
      </c>
    </row>
    <row r="2595" spans="1:34" ht="15" customHeight="1" x14ac:dyDescent="0.25">
      <c r="A2595" s="213" t="s">
        <v>2938</v>
      </c>
      <c r="B2595" s="294" t="s">
        <v>2939</v>
      </c>
      <c r="C2595" s="297">
        <v>12.861537999999999</v>
      </c>
      <c r="D2595" s="297">
        <v>13.081633999999999</v>
      </c>
      <c r="E2595" s="297">
        <v>13.200181000000001</v>
      </c>
      <c r="F2595" s="297">
        <v>12.658249</v>
      </c>
      <c r="G2595" s="297">
        <v>12.189411</v>
      </c>
      <c r="H2595" s="297">
        <v>11.830123</v>
      </c>
      <c r="I2595" s="297">
        <v>11.918348</v>
      </c>
      <c r="J2595" s="297">
        <v>11.804180000000001</v>
      </c>
      <c r="K2595" s="297">
        <v>11.771701</v>
      </c>
      <c r="L2595" s="297">
        <v>11.756069</v>
      </c>
      <c r="M2595" s="297">
        <v>11.665188000000001</v>
      </c>
      <c r="N2595" s="297">
        <v>11.608809000000001</v>
      </c>
      <c r="O2595" s="297">
        <v>11.545681</v>
      </c>
      <c r="P2595" s="297">
        <v>11.535377</v>
      </c>
      <c r="Q2595" s="297">
        <v>11.530934</v>
      </c>
      <c r="R2595" s="297">
        <v>11.456899</v>
      </c>
      <c r="S2595" s="297">
        <v>11.472206</v>
      </c>
      <c r="T2595" s="297">
        <v>11.480973000000001</v>
      </c>
      <c r="U2595" s="297">
        <v>11.466060000000001</v>
      </c>
      <c r="V2595" s="297">
        <v>11.497547000000001</v>
      </c>
      <c r="W2595" s="297">
        <v>11.548748</v>
      </c>
      <c r="X2595" s="297">
        <v>11.56916</v>
      </c>
      <c r="Y2595" s="297">
        <v>11.616785999999999</v>
      </c>
      <c r="Z2595" s="297">
        <v>11.64367</v>
      </c>
      <c r="AA2595" s="297">
        <v>11.673097</v>
      </c>
      <c r="AB2595" s="297">
        <v>11.669503000000001</v>
      </c>
      <c r="AC2595" s="297">
        <v>11.684950000000001</v>
      </c>
      <c r="AD2595" s="297">
        <v>11.714180000000001</v>
      </c>
      <c r="AE2595" s="297">
        <v>11.766358</v>
      </c>
      <c r="AF2595" s="297">
        <v>11.808498999999999</v>
      </c>
      <c r="AG2595" s="297">
        <v>11.842511</v>
      </c>
      <c r="AH2595" s="296">
        <v>-2.748E-3</v>
      </c>
    </row>
    <row r="2596" spans="1:34" ht="15" customHeight="1" x14ac:dyDescent="0.25">
      <c r="A2596" s="213" t="s">
        <v>2940</v>
      </c>
      <c r="B2596" s="294" t="s">
        <v>2941</v>
      </c>
      <c r="C2596" s="297">
        <v>26.903013000000001</v>
      </c>
      <c r="D2596" s="297">
        <v>28.26643</v>
      </c>
      <c r="E2596" s="297">
        <v>29.058848999999999</v>
      </c>
      <c r="F2596" s="297">
        <v>27.132681000000002</v>
      </c>
      <c r="G2596" s="297">
        <v>25.505590000000002</v>
      </c>
      <c r="H2596" s="297">
        <v>24.282833</v>
      </c>
      <c r="I2596" s="297">
        <v>24.884418</v>
      </c>
      <c r="J2596" s="297">
        <v>24.634689000000002</v>
      </c>
      <c r="K2596" s="297">
        <v>24.735689000000001</v>
      </c>
      <c r="L2596" s="297">
        <v>24.90457</v>
      </c>
      <c r="M2596" s="297">
        <v>24.749676000000001</v>
      </c>
      <c r="N2596" s="297">
        <v>24.740385</v>
      </c>
      <c r="O2596" s="297">
        <v>24.702061</v>
      </c>
      <c r="P2596" s="297">
        <v>24.842559999999999</v>
      </c>
      <c r="Q2596" s="297">
        <v>24.985716</v>
      </c>
      <c r="R2596" s="297">
        <v>24.778535999999999</v>
      </c>
      <c r="S2596" s="297">
        <v>24.957519999999999</v>
      </c>
      <c r="T2596" s="297">
        <v>25.068840000000002</v>
      </c>
      <c r="U2596" s="297">
        <v>25.064748999999999</v>
      </c>
      <c r="V2596" s="297">
        <v>25.271452</v>
      </c>
      <c r="W2596" s="297">
        <v>25.562975000000002</v>
      </c>
      <c r="X2596" s="297">
        <v>25.699255000000001</v>
      </c>
      <c r="Y2596" s="297">
        <v>25.956002999999999</v>
      </c>
      <c r="Z2596" s="297">
        <v>26.124472000000001</v>
      </c>
      <c r="AA2596" s="297">
        <v>26.292273000000002</v>
      </c>
      <c r="AB2596" s="297">
        <v>26.284041999999999</v>
      </c>
      <c r="AC2596" s="297">
        <v>26.369192000000002</v>
      </c>
      <c r="AD2596" s="297">
        <v>26.514433</v>
      </c>
      <c r="AE2596" s="297">
        <v>26.777253999999999</v>
      </c>
      <c r="AF2596" s="297">
        <v>27.004148000000001</v>
      </c>
      <c r="AG2596" s="297">
        <v>27.202014999999999</v>
      </c>
      <c r="AH2596" s="296">
        <v>3.68E-4</v>
      </c>
    </row>
    <row r="2597" spans="1:34" ht="15" customHeight="1" x14ac:dyDescent="0.25">
      <c r="A2597" s="213" t="s">
        <v>2942</v>
      </c>
      <c r="B2597" s="294" t="s">
        <v>2943</v>
      </c>
      <c r="C2597" s="297">
        <v>7.9311749999999996</v>
      </c>
      <c r="D2597" s="297">
        <v>8.1700999999999997</v>
      </c>
      <c r="E2597" s="297">
        <v>8.257714</v>
      </c>
      <c r="F2597" s="297">
        <v>7.5323000000000002</v>
      </c>
      <c r="G2597" s="297">
        <v>6.9049699999999996</v>
      </c>
      <c r="H2597" s="297">
        <v>6.4164649999999996</v>
      </c>
      <c r="I2597" s="297">
        <v>6.472264</v>
      </c>
      <c r="J2597" s="297">
        <v>6.2880000000000003</v>
      </c>
      <c r="K2597" s="297">
        <v>6.2061169999999999</v>
      </c>
      <c r="L2597" s="297">
        <v>6.1460910000000002</v>
      </c>
      <c r="M2597" s="297">
        <v>6.0004600000000003</v>
      </c>
      <c r="N2597" s="297">
        <v>5.8970260000000003</v>
      </c>
      <c r="O2597" s="297">
        <v>5.7867930000000003</v>
      </c>
      <c r="P2597" s="297">
        <v>5.7300060000000004</v>
      </c>
      <c r="Q2597" s="297">
        <v>5.6742419999999996</v>
      </c>
      <c r="R2597" s="297">
        <v>5.5322930000000001</v>
      </c>
      <c r="S2597" s="297">
        <v>5.4865899999999996</v>
      </c>
      <c r="T2597" s="297">
        <v>5.4272900000000002</v>
      </c>
      <c r="U2597" s="297">
        <v>5.3445669999999996</v>
      </c>
      <c r="V2597" s="297">
        <v>5.3168550000000003</v>
      </c>
      <c r="W2597" s="297">
        <v>5.313491</v>
      </c>
      <c r="X2597" s="297">
        <v>5.2789469999999996</v>
      </c>
      <c r="Y2597" s="297">
        <v>5.2771619999999997</v>
      </c>
      <c r="Z2597" s="297">
        <v>5.2550489999999996</v>
      </c>
      <c r="AA2597" s="297">
        <v>5.238804</v>
      </c>
      <c r="AB2597" s="297">
        <v>5.1891030000000002</v>
      </c>
      <c r="AC2597" s="297">
        <v>5.1639340000000002</v>
      </c>
      <c r="AD2597" s="297">
        <v>5.1570049999999998</v>
      </c>
      <c r="AE2597" s="297">
        <v>5.1754369999999996</v>
      </c>
      <c r="AF2597" s="297">
        <v>5.1826299999999996</v>
      </c>
      <c r="AG2597" s="297">
        <v>5.180898</v>
      </c>
      <c r="AH2597" s="296">
        <v>-1.4094000000000001E-2</v>
      </c>
    </row>
    <row r="2598" spans="1:34" ht="15" customHeight="1" x14ac:dyDescent="0.25">
      <c r="A2598" s="213" t="s">
        <v>2944</v>
      </c>
      <c r="B2598" s="294" t="s">
        <v>2945</v>
      </c>
      <c r="C2598" s="297">
        <v>24.218019000000002</v>
      </c>
      <c r="D2598" s="297">
        <v>24.292954999999999</v>
      </c>
      <c r="E2598" s="297">
        <v>24.320747000000001</v>
      </c>
      <c r="F2598" s="297">
        <v>22.133831000000001</v>
      </c>
      <c r="G2598" s="297">
        <v>20.356369000000001</v>
      </c>
      <c r="H2598" s="297">
        <v>18.846819</v>
      </c>
      <c r="I2598" s="297">
        <v>18.971678000000001</v>
      </c>
      <c r="J2598" s="297">
        <v>18.466373000000001</v>
      </c>
      <c r="K2598" s="297">
        <v>18.322676000000001</v>
      </c>
      <c r="L2598" s="297">
        <v>18.264641000000001</v>
      </c>
      <c r="M2598" s="297">
        <v>17.732223999999999</v>
      </c>
      <c r="N2598" s="297">
        <v>17.378077999999999</v>
      </c>
      <c r="O2598" s="297">
        <v>17.044632</v>
      </c>
      <c r="P2598" s="297">
        <v>16.878319000000001</v>
      </c>
      <c r="Q2598" s="297">
        <v>16.738894999999999</v>
      </c>
      <c r="R2598" s="297">
        <v>16.361719000000001</v>
      </c>
      <c r="S2598" s="297">
        <v>16.278593000000001</v>
      </c>
      <c r="T2598" s="297">
        <v>16.155242999999999</v>
      </c>
      <c r="U2598" s="297">
        <v>15.958385</v>
      </c>
      <c r="V2598" s="297">
        <v>15.919478</v>
      </c>
      <c r="W2598" s="297">
        <v>15.679679</v>
      </c>
      <c r="X2598" s="297">
        <v>15.388271</v>
      </c>
      <c r="Y2598" s="297">
        <v>15.218555</v>
      </c>
      <c r="Z2598" s="297">
        <v>15.028582999999999</v>
      </c>
      <c r="AA2598" s="297">
        <v>14.871048999999999</v>
      </c>
      <c r="AB2598" s="297">
        <v>14.626336</v>
      </c>
      <c r="AC2598" s="297">
        <v>14.455496999999999</v>
      </c>
      <c r="AD2598" s="297">
        <v>14.328859</v>
      </c>
      <c r="AE2598" s="297">
        <v>14.277595</v>
      </c>
      <c r="AF2598" s="297">
        <v>14.207210999999999</v>
      </c>
      <c r="AG2598" s="297">
        <v>14.137124</v>
      </c>
      <c r="AH2598" s="296">
        <v>-1.7783E-2</v>
      </c>
    </row>
    <row r="2599" spans="1:34" ht="15" customHeight="1" x14ac:dyDescent="0.25">
      <c r="A2599" s="213" t="s">
        <v>2946</v>
      </c>
      <c r="B2599" s="294" t="s">
        <v>2947</v>
      </c>
      <c r="C2599" s="297">
        <v>4.2165160000000004</v>
      </c>
      <c r="D2599" s="297">
        <v>4.3939579999999996</v>
      </c>
      <c r="E2599" s="297">
        <v>4.4924350000000004</v>
      </c>
      <c r="F2599" s="297">
        <v>4.1457290000000002</v>
      </c>
      <c r="G2599" s="297">
        <v>3.845987</v>
      </c>
      <c r="H2599" s="297">
        <v>3.6178949999999999</v>
      </c>
      <c r="I2599" s="297">
        <v>3.695138</v>
      </c>
      <c r="J2599" s="297">
        <v>3.635389</v>
      </c>
      <c r="K2599" s="297">
        <v>3.631926</v>
      </c>
      <c r="L2599" s="297">
        <v>3.6393179999999998</v>
      </c>
      <c r="M2599" s="297">
        <v>3.5950190000000002</v>
      </c>
      <c r="N2599" s="297">
        <v>3.5731950000000001</v>
      </c>
      <c r="O2599" s="297">
        <v>3.5448249999999999</v>
      </c>
      <c r="P2599" s="297">
        <v>3.5467019999999998</v>
      </c>
      <c r="Q2599" s="297">
        <v>3.5469330000000001</v>
      </c>
      <c r="R2599" s="297">
        <v>3.4905979999999999</v>
      </c>
      <c r="S2599" s="297">
        <v>3.4919389999999999</v>
      </c>
      <c r="T2599" s="297">
        <v>3.4823270000000002</v>
      </c>
      <c r="U2599" s="297">
        <v>3.4550749999999999</v>
      </c>
      <c r="V2599" s="297">
        <v>3.4609930000000002</v>
      </c>
      <c r="W2599" s="297">
        <v>3.4807359999999998</v>
      </c>
      <c r="X2599" s="297">
        <v>3.4775299999999998</v>
      </c>
      <c r="Y2599" s="297">
        <v>3.4935640000000001</v>
      </c>
      <c r="Z2599" s="297">
        <v>3.493528</v>
      </c>
      <c r="AA2599" s="297">
        <v>3.4944350000000002</v>
      </c>
      <c r="AB2599" s="297">
        <v>3.4700060000000001</v>
      </c>
      <c r="AC2599" s="297">
        <v>3.459082</v>
      </c>
      <c r="AD2599" s="297">
        <v>3.4580280000000001</v>
      </c>
      <c r="AE2599" s="297">
        <v>3.474008</v>
      </c>
      <c r="AF2599" s="297">
        <v>3.4825309999999998</v>
      </c>
      <c r="AG2599" s="297">
        <v>3.4851679999999998</v>
      </c>
      <c r="AH2599" s="296">
        <v>-6.3299999999999997E-3</v>
      </c>
    </row>
    <row r="2600" spans="1:34" ht="15" customHeight="1" x14ac:dyDescent="0.25">
      <c r="A2600" s="213" t="s">
        <v>2948</v>
      </c>
      <c r="B2600" s="294" t="s">
        <v>2949</v>
      </c>
      <c r="C2600" s="297">
        <v>3.0514030000000001</v>
      </c>
      <c r="D2600" s="297">
        <v>3.2031990000000001</v>
      </c>
      <c r="E2600" s="297">
        <v>3.2972009999999998</v>
      </c>
      <c r="F2600" s="297">
        <v>3.0620150000000002</v>
      </c>
      <c r="G2600" s="297">
        <v>2.8570760000000002</v>
      </c>
      <c r="H2600" s="297">
        <v>2.7018620000000002</v>
      </c>
      <c r="I2600" s="297">
        <v>2.772586</v>
      </c>
      <c r="J2600" s="297">
        <v>2.7390189999999999</v>
      </c>
      <c r="K2600" s="297">
        <v>2.7508499999999998</v>
      </c>
      <c r="L2600" s="297">
        <v>2.7741539999999998</v>
      </c>
      <c r="M2600" s="297">
        <v>2.759754</v>
      </c>
      <c r="N2600" s="297">
        <v>2.7654070000000002</v>
      </c>
      <c r="O2600" s="297">
        <v>2.7688640000000002</v>
      </c>
      <c r="P2600" s="297">
        <v>2.799242</v>
      </c>
      <c r="Q2600" s="297">
        <v>2.8319299999999998</v>
      </c>
      <c r="R2600" s="297">
        <v>2.818308</v>
      </c>
      <c r="S2600" s="297">
        <v>2.8501660000000002</v>
      </c>
      <c r="T2600" s="297">
        <v>2.872474</v>
      </c>
      <c r="U2600" s="297">
        <v>2.8794209999999998</v>
      </c>
      <c r="V2600" s="297">
        <v>2.9133650000000002</v>
      </c>
      <c r="W2600" s="297">
        <v>2.9586809999999999</v>
      </c>
      <c r="X2600" s="297">
        <v>2.984191</v>
      </c>
      <c r="Y2600" s="297">
        <v>3.0258959999999999</v>
      </c>
      <c r="Z2600" s="297">
        <v>3.0533290000000002</v>
      </c>
      <c r="AA2600" s="297">
        <v>3.081143</v>
      </c>
      <c r="AB2600" s="297">
        <v>3.0860089999999998</v>
      </c>
      <c r="AC2600" s="297">
        <v>3.102204</v>
      </c>
      <c r="AD2600" s="297">
        <v>3.1267969999999998</v>
      </c>
      <c r="AE2600" s="297">
        <v>3.1665070000000002</v>
      </c>
      <c r="AF2600" s="297">
        <v>3.1991550000000002</v>
      </c>
      <c r="AG2600" s="297">
        <v>3.2260369999999998</v>
      </c>
      <c r="AH2600" s="296">
        <v>1.8569999999999999E-3</v>
      </c>
    </row>
    <row r="2601" spans="1:34" ht="15" customHeight="1" x14ac:dyDescent="0.25">
      <c r="A2601" s="213" t="s">
        <v>2950</v>
      </c>
      <c r="B2601" s="294" t="s">
        <v>2951</v>
      </c>
      <c r="C2601" s="297">
        <v>23.975632000000001</v>
      </c>
      <c r="D2601" s="297">
        <v>24.352122999999999</v>
      </c>
      <c r="E2601" s="297">
        <v>24.346927999999998</v>
      </c>
      <c r="F2601" s="297">
        <v>22.012978</v>
      </c>
      <c r="G2601" s="297">
        <v>20.106524</v>
      </c>
      <c r="H2601" s="297">
        <v>18.689056000000001</v>
      </c>
      <c r="I2601" s="297">
        <v>18.914076000000001</v>
      </c>
      <c r="J2601" s="297">
        <v>18.504048999999998</v>
      </c>
      <c r="K2601" s="297">
        <v>18.452480000000001</v>
      </c>
      <c r="L2601" s="297">
        <v>18.520420000000001</v>
      </c>
      <c r="M2601" s="297">
        <v>18.380533</v>
      </c>
      <c r="N2601" s="297">
        <v>18.403009000000001</v>
      </c>
      <c r="O2601" s="297">
        <v>18.439240999999999</v>
      </c>
      <c r="P2601" s="297">
        <v>18.654240000000001</v>
      </c>
      <c r="Q2601" s="297">
        <v>18.887487</v>
      </c>
      <c r="R2601" s="297">
        <v>18.838484000000001</v>
      </c>
      <c r="S2601" s="297">
        <v>19.121307000000002</v>
      </c>
      <c r="T2601" s="297">
        <v>19.348932000000001</v>
      </c>
      <c r="U2601" s="297">
        <v>19.470886</v>
      </c>
      <c r="V2601" s="297">
        <v>19.758227999999999</v>
      </c>
      <c r="W2601" s="297">
        <v>20.092949000000001</v>
      </c>
      <c r="X2601" s="297">
        <v>20.251767999999998</v>
      </c>
      <c r="Y2601" s="297">
        <v>20.475334</v>
      </c>
      <c r="Z2601" s="297">
        <v>20.596236999999999</v>
      </c>
      <c r="AA2601" s="297">
        <v>20.709816</v>
      </c>
      <c r="AB2601" s="297">
        <v>20.662676000000001</v>
      </c>
      <c r="AC2601" s="297">
        <v>20.691832999999999</v>
      </c>
      <c r="AD2601" s="297">
        <v>20.768201999999999</v>
      </c>
      <c r="AE2601" s="297">
        <v>20.941189000000001</v>
      </c>
      <c r="AF2601" s="297">
        <v>21.073222999999999</v>
      </c>
      <c r="AG2601" s="297">
        <v>21.175118999999999</v>
      </c>
      <c r="AH2601" s="296">
        <v>-4.1320000000000003E-3</v>
      </c>
    </row>
    <row r="2602" spans="1:34" ht="15" customHeight="1" x14ac:dyDescent="0.25">
      <c r="A2602" s="213" t="s">
        <v>2952</v>
      </c>
      <c r="B2602" s="294" t="s">
        <v>2953</v>
      </c>
      <c r="C2602" s="297">
        <v>9.9354420000000001</v>
      </c>
      <c r="D2602" s="297">
        <v>9.9485709999999994</v>
      </c>
      <c r="E2602" s="297">
        <v>9.7962009999999999</v>
      </c>
      <c r="F2602" s="297">
        <v>8.7124279999999992</v>
      </c>
      <c r="G2602" s="297">
        <v>7.8156189999999999</v>
      </c>
      <c r="H2602" s="297">
        <v>7.1205230000000004</v>
      </c>
      <c r="I2602" s="297">
        <v>7.0501230000000001</v>
      </c>
      <c r="J2602" s="297">
        <v>6.7340049999999998</v>
      </c>
      <c r="K2602" s="297">
        <v>6.5431379999999999</v>
      </c>
      <c r="L2602" s="297">
        <v>6.3856250000000001</v>
      </c>
      <c r="M2602" s="297">
        <v>6.1486869999999998</v>
      </c>
      <c r="N2602" s="297">
        <v>5.9596479999999996</v>
      </c>
      <c r="O2602" s="297">
        <v>5.7682419999999999</v>
      </c>
      <c r="P2602" s="297">
        <v>5.6241450000000004</v>
      </c>
      <c r="Q2602" s="297">
        <v>5.476064</v>
      </c>
      <c r="R2602" s="297">
        <v>5.240081</v>
      </c>
      <c r="S2602" s="297">
        <v>5.0905389999999997</v>
      </c>
      <c r="T2602" s="297">
        <v>4.9307990000000004</v>
      </c>
      <c r="U2602" s="297">
        <v>4.7520410000000002</v>
      </c>
      <c r="V2602" s="297">
        <v>4.6212530000000003</v>
      </c>
      <c r="W2602" s="297">
        <v>4.508038</v>
      </c>
      <c r="X2602" s="297">
        <v>4.3643369999999999</v>
      </c>
      <c r="Y2602" s="297">
        <v>4.2429480000000002</v>
      </c>
      <c r="Z2602" s="297">
        <v>4.1050589999999998</v>
      </c>
      <c r="AA2602" s="297">
        <v>3.966186</v>
      </c>
      <c r="AB2602" s="297">
        <v>3.796573</v>
      </c>
      <c r="AC2602" s="297">
        <v>3.6407590000000001</v>
      </c>
      <c r="AD2602" s="297">
        <v>3.490561</v>
      </c>
      <c r="AE2602" s="297">
        <v>3.3526850000000001</v>
      </c>
      <c r="AF2602" s="297">
        <v>3.2007140000000001</v>
      </c>
      <c r="AG2602" s="297">
        <v>3.0367440000000001</v>
      </c>
      <c r="AH2602" s="296">
        <v>-3.8739999999999997E-2</v>
      </c>
    </row>
    <row r="2603" spans="1:34" ht="15" customHeight="1" x14ac:dyDescent="0.25">
      <c r="A2603" s="213" t="s">
        <v>2954</v>
      </c>
      <c r="B2603" s="294" t="s">
        <v>2955</v>
      </c>
      <c r="C2603" s="297">
        <v>8.9638030000000004</v>
      </c>
      <c r="D2603" s="297">
        <v>9.9966950000000008</v>
      </c>
      <c r="E2603" s="297">
        <v>10.211330999999999</v>
      </c>
      <c r="F2603" s="297">
        <v>9.3826400000000003</v>
      </c>
      <c r="G2603" s="297">
        <v>8.6808390000000006</v>
      </c>
      <c r="H2603" s="297">
        <v>8.1326450000000001</v>
      </c>
      <c r="I2603" s="297">
        <v>8.2598590000000005</v>
      </c>
      <c r="J2603" s="297">
        <v>8.0854599999999994</v>
      </c>
      <c r="K2603" s="297">
        <v>8.0359350000000003</v>
      </c>
      <c r="L2603" s="297">
        <v>8.0051039999999993</v>
      </c>
      <c r="M2603" s="297">
        <v>7.8422340000000004</v>
      </c>
      <c r="N2603" s="297">
        <v>7.723929</v>
      </c>
      <c r="O2603" s="297">
        <v>7.5802449999999997</v>
      </c>
      <c r="P2603" s="297">
        <v>7.4851109999999998</v>
      </c>
      <c r="Q2603" s="297">
        <v>7.370501</v>
      </c>
      <c r="R2603" s="297">
        <v>7.1299830000000002</v>
      </c>
      <c r="S2603" s="297">
        <v>7.000813</v>
      </c>
      <c r="T2603" s="297">
        <v>6.841869</v>
      </c>
      <c r="U2603" s="297">
        <v>6.6423750000000004</v>
      </c>
      <c r="V2603" s="297">
        <v>6.5074269999999999</v>
      </c>
      <c r="W2603" s="297">
        <v>6.4032679999999997</v>
      </c>
      <c r="X2603" s="297">
        <v>6.2627670000000002</v>
      </c>
      <c r="Y2603" s="297">
        <v>6.1622919999999999</v>
      </c>
      <c r="Z2603" s="297">
        <v>6.0418669999999999</v>
      </c>
      <c r="AA2603" s="297">
        <v>5.9338860000000002</v>
      </c>
      <c r="AB2603" s="297">
        <v>5.793126</v>
      </c>
      <c r="AC2603" s="297">
        <v>5.686693</v>
      </c>
      <c r="AD2603" s="297">
        <v>5.6052989999999996</v>
      </c>
      <c r="AE2603" s="297">
        <v>5.5607569999999997</v>
      </c>
      <c r="AF2603" s="297">
        <v>5.512181</v>
      </c>
      <c r="AG2603" s="297">
        <v>5.4641909999999996</v>
      </c>
      <c r="AH2603" s="296">
        <v>-1.6364E-2</v>
      </c>
    </row>
    <row r="2604" spans="1:34" ht="15" customHeight="1" x14ac:dyDescent="0.25">
      <c r="A2604" s="213" t="s">
        <v>2956</v>
      </c>
      <c r="B2604" s="294" t="s">
        <v>2957</v>
      </c>
      <c r="C2604" s="297">
        <v>221.77037000000001</v>
      </c>
      <c r="D2604" s="297">
        <v>233.28064000000001</v>
      </c>
      <c r="E2604" s="297">
        <v>225.94375600000001</v>
      </c>
      <c r="F2604" s="297">
        <v>209.78062399999999</v>
      </c>
      <c r="G2604" s="297">
        <v>195.606628</v>
      </c>
      <c r="H2604" s="297">
        <v>184.935226</v>
      </c>
      <c r="I2604" s="297">
        <v>189.18604999999999</v>
      </c>
      <c r="J2604" s="297">
        <v>187.06260700000001</v>
      </c>
      <c r="K2604" s="297">
        <v>187.64196799999999</v>
      </c>
      <c r="L2604" s="297">
        <v>188.79556299999999</v>
      </c>
      <c r="M2604" s="297">
        <v>187.57226600000001</v>
      </c>
      <c r="N2604" s="297">
        <v>187.422684</v>
      </c>
      <c r="O2604" s="297">
        <v>187.00692699999999</v>
      </c>
      <c r="P2604" s="297">
        <v>187.976089</v>
      </c>
      <c r="Q2604" s="297">
        <v>189.20294200000001</v>
      </c>
      <c r="R2604" s="297">
        <v>187.602158</v>
      </c>
      <c r="S2604" s="297">
        <v>188.84435999999999</v>
      </c>
      <c r="T2604" s="297">
        <v>189.566406</v>
      </c>
      <c r="U2604" s="297">
        <v>189.42253099999999</v>
      </c>
      <c r="V2604" s="297">
        <v>190.93156400000001</v>
      </c>
      <c r="W2604" s="297">
        <v>193.09225499999999</v>
      </c>
      <c r="X2604" s="297">
        <v>194.13742099999999</v>
      </c>
      <c r="Y2604" s="297">
        <v>196.19944799999999</v>
      </c>
      <c r="Z2604" s="297">
        <v>197.55557300000001</v>
      </c>
      <c r="AA2604" s="297">
        <v>198.929596</v>
      </c>
      <c r="AB2604" s="297">
        <v>198.99359100000001</v>
      </c>
      <c r="AC2604" s="297">
        <v>199.79161099999999</v>
      </c>
      <c r="AD2604" s="297">
        <v>201.10891699999999</v>
      </c>
      <c r="AE2604" s="297">
        <v>203.388901</v>
      </c>
      <c r="AF2604" s="297">
        <v>205.33639500000001</v>
      </c>
      <c r="AG2604" s="297">
        <v>207.01666299999999</v>
      </c>
      <c r="AH2604" s="296">
        <v>-2.2920000000000002E-3</v>
      </c>
    </row>
    <row r="2605" spans="1:34" ht="15" customHeight="1" x14ac:dyDescent="0.25">
      <c r="A2605" s="213" t="s">
        <v>2958</v>
      </c>
      <c r="B2605" s="294" t="s">
        <v>2959</v>
      </c>
      <c r="C2605" s="297">
        <v>-17.476317999999999</v>
      </c>
      <c r="D2605" s="297">
        <v>-15.541931</v>
      </c>
      <c r="E2605" s="297">
        <v>-15.803772</v>
      </c>
      <c r="F2605" s="297">
        <v>-15.457947000000001</v>
      </c>
      <c r="G2605" s="297">
        <v>-13.627991</v>
      </c>
      <c r="H2605" s="297">
        <v>-13.559082</v>
      </c>
      <c r="I2605" s="297">
        <v>-15.689575</v>
      </c>
      <c r="J2605" s="297">
        <v>-16.034119</v>
      </c>
      <c r="K2605" s="297">
        <v>-17.052489999999999</v>
      </c>
      <c r="L2605" s="297">
        <v>-17.407409999999999</v>
      </c>
      <c r="M2605" s="297">
        <v>-17.938110000000002</v>
      </c>
      <c r="N2605" s="297">
        <v>-18.777038999999998</v>
      </c>
      <c r="O2605" s="297">
        <v>-19.013183999999999</v>
      </c>
      <c r="P2605" s="297">
        <v>-19.745728</v>
      </c>
      <c r="Q2605" s="297">
        <v>-20.452819999999999</v>
      </c>
      <c r="R2605" s="297">
        <v>-20.825073</v>
      </c>
      <c r="S2605" s="297">
        <v>-21.900269000000002</v>
      </c>
      <c r="T2605" s="297">
        <v>-22.770325</v>
      </c>
      <c r="U2605" s="297">
        <v>-23.144409</v>
      </c>
      <c r="V2605" s="297">
        <v>-23.965881</v>
      </c>
      <c r="W2605" s="297">
        <v>-24.824341</v>
      </c>
      <c r="X2605" s="297">
        <v>-25.836548000000001</v>
      </c>
      <c r="Y2605" s="297">
        <v>-26.698485999999999</v>
      </c>
      <c r="Z2605" s="297">
        <v>-27.500548999999999</v>
      </c>
      <c r="AA2605" s="297">
        <v>-28.518127</v>
      </c>
      <c r="AB2605" s="297">
        <v>-29.180907999999999</v>
      </c>
      <c r="AC2605" s="297">
        <v>-29.694396999999999</v>
      </c>
      <c r="AD2605" s="297">
        <v>-30.854431000000002</v>
      </c>
      <c r="AE2605" s="297">
        <v>-31.877991000000002</v>
      </c>
      <c r="AF2605" s="297">
        <v>-32.577271000000003</v>
      </c>
      <c r="AG2605" s="297">
        <v>-33.435302999999998</v>
      </c>
      <c r="AH2605" s="296">
        <v>2.1860999999999998E-2</v>
      </c>
    </row>
    <row r="2606" spans="1:34" ht="15" customHeight="1" x14ac:dyDescent="0.2">
      <c r="A2606" s="213" t="s">
        <v>2960</v>
      </c>
      <c r="B2606" s="204" t="s">
        <v>2961</v>
      </c>
      <c r="C2606" s="299">
        <v>894.24957300000005</v>
      </c>
      <c r="D2606" s="299">
        <v>918.35534700000005</v>
      </c>
      <c r="E2606" s="299">
        <v>934.760986</v>
      </c>
      <c r="F2606" s="299">
        <v>882.32275400000003</v>
      </c>
      <c r="G2606" s="299">
        <v>839.31005900000002</v>
      </c>
      <c r="H2606" s="299">
        <v>804.61108400000001</v>
      </c>
      <c r="I2606" s="299">
        <v>810.04144299999996</v>
      </c>
      <c r="J2606" s="299">
        <v>798.759277</v>
      </c>
      <c r="K2606" s="299">
        <v>795.08874500000002</v>
      </c>
      <c r="L2606" s="299">
        <v>793.91320800000005</v>
      </c>
      <c r="M2606" s="299">
        <v>785.28637700000002</v>
      </c>
      <c r="N2606" s="299">
        <v>780.06042500000001</v>
      </c>
      <c r="O2606" s="299">
        <v>775.09228499999995</v>
      </c>
      <c r="P2606" s="299">
        <v>773.73388699999998</v>
      </c>
      <c r="Q2606" s="299">
        <v>772.740723</v>
      </c>
      <c r="R2606" s="299">
        <v>764.72302200000001</v>
      </c>
      <c r="S2606" s="299">
        <v>764.27160600000002</v>
      </c>
      <c r="T2606" s="299">
        <v>762.78613299999995</v>
      </c>
      <c r="U2606" s="299">
        <v>759.47900400000003</v>
      </c>
      <c r="V2606" s="299">
        <v>760.33697500000005</v>
      </c>
      <c r="W2606" s="299">
        <v>762.86706500000003</v>
      </c>
      <c r="X2606" s="299">
        <v>762.08667000000003</v>
      </c>
      <c r="Y2606" s="299">
        <v>764.26666299999999</v>
      </c>
      <c r="Z2606" s="299">
        <v>764.62914999999998</v>
      </c>
      <c r="AA2606" s="299">
        <v>765.00323500000002</v>
      </c>
      <c r="AB2606" s="299">
        <v>762.14257799999996</v>
      </c>
      <c r="AC2606" s="299">
        <v>761.48510699999997</v>
      </c>
      <c r="AD2606" s="299">
        <v>761.45324700000003</v>
      </c>
      <c r="AE2606" s="299">
        <v>764.125854</v>
      </c>
      <c r="AF2606" s="299">
        <v>766.21423300000004</v>
      </c>
      <c r="AG2606" s="299">
        <v>767.58093299999996</v>
      </c>
      <c r="AH2606" s="206">
        <v>-5.078E-3</v>
      </c>
    </row>
    <row r="2608" spans="1:34" ht="15" customHeight="1" x14ac:dyDescent="0.2">
      <c r="B2608" s="204" t="s">
        <v>2962</v>
      </c>
    </row>
    <row r="2609" spans="1:34" ht="15" customHeight="1" x14ac:dyDescent="0.25">
      <c r="A2609" s="213" t="s">
        <v>2963</v>
      </c>
      <c r="B2609" s="294" t="s">
        <v>2964</v>
      </c>
      <c r="C2609" s="297">
        <v>122.869125</v>
      </c>
      <c r="D2609" s="297">
        <v>127.85902400000001</v>
      </c>
      <c r="E2609" s="297">
        <v>127.290085</v>
      </c>
      <c r="F2609" s="297">
        <v>125.632133</v>
      </c>
      <c r="G2609" s="297">
        <v>124.876846</v>
      </c>
      <c r="H2609" s="297">
        <v>124.211494</v>
      </c>
      <c r="I2609" s="297">
        <v>124.092995</v>
      </c>
      <c r="J2609" s="297">
        <v>123.373604</v>
      </c>
      <c r="K2609" s="297">
        <v>122.725883</v>
      </c>
      <c r="L2609" s="297">
        <v>122.02424600000001</v>
      </c>
      <c r="M2609" s="297">
        <v>121.027283</v>
      </c>
      <c r="N2609" s="297">
        <v>120.403824</v>
      </c>
      <c r="O2609" s="297">
        <v>119.86209100000001</v>
      </c>
      <c r="P2609" s="297">
        <v>119.34382600000001</v>
      </c>
      <c r="Q2609" s="297">
        <v>118.817459</v>
      </c>
      <c r="R2609" s="297">
        <v>118.21045700000001</v>
      </c>
      <c r="S2609" s="297">
        <v>117.788948</v>
      </c>
      <c r="T2609" s="297">
        <v>117.298119</v>
      </c>
      <c r="U2609" s="297">
        <v>116.72642500000001</v>
      </c>
      <c r="V2609" s="297">
        <v>116.221306</v>
      </c>
      <c r="W2609" s="297">
        <v>115.737015</v>
      </c>
      <c r="X2609" s="297">
        <v>115.223831</v>
      </c>
      <c r="Y2609" s="297">
        <v>114.74711600000001</v>
      </c>
      <c r="Z2609" s="297">
        <v>114.227699</v>
      </c>
      <c r="AA2609" s="297">
        <v>113.730003</v>
      </c>
      <c r="AB2609" s="297">
        <v>113.126137</v>
      </c>
      <c r="AC2609" s="297">
        <v>112.52922100000001</v>
      </c>
      <c r="AD2609" s="297">
        <v>111.889656</v>
      </c>
      <c r="AE2609" s="297">
        <v>111.26017</v>
      </c>
      <c r="AF2609" s="297">
        <v>110.56111900000001</v>
      </c>
      <c r="AG2609" s="297">
        <v>109.829239</v>
      </c>
      <c r="AH2609" s="296">
        <v>-3.7330000000000002E-3</v>
      </c>
    </row>
    <row r="2610" spans="1:34" ht="15" customHeight="1" x14ac:dyDescent="0.25">
      <c r="A2610" s="213" t="s">
        <v>2965</v>
      </c>
      <c r="B2610" s="294" t="s">
        <v>2966</v>
      </c>
      <c r="C2610" s="297">
        <v>62.286835000000004</v>
      </c>
      <c r="D2610" s="297">
        <v>60.540264000000001</v>
      </c>
      <c r="E2610" s="297">
        <v>66.385970999999998</v>
      </c>
      <c r="F2610" s="297">
        <v>61.173779000000003</v>
      </c>
      <c r="G2610" s="297">
        <v>56.741374999999998</v>
      </c>
      <c r="H2610" s="297">
        <v>53.336238999999999</v>
      </c>
      <c r="I2610" s="297">
        <v>54.260860000000001</v>
      </c>
      <c r="J2610" s="297">
        <v>53.220528000000002</v>
      </c>
      <c r="K2610" s="297">
        <v>53.015621000000003</v>
      </c>
      <c r="L2610" s="297">
        <v>52.976761000000003</v>
      </c>
      <c r="M2610" s="297">
        <v>52.195056999999998</v>
      </c>
      <c r="N2610" s="297">
        <v>51.849181999999999</v>
      </c>
      <c r="O2610" s="297">
        <v>51.475121000000001</v>
      </c>
      <c r="P2610" s="297">
        <v>51.490715000000002</v>
      </c>
      <c r="Q2610" s="297">
        <v>51.517941</v>
      </c>
      <c r="R2610" s="297">
        <v>50.756827999999999</v>
      </c>
      <c r="S2610" s="297">
        <v>50.855572000000002</v>
      </c>
      <c r="T2610" s="297">
        <v>50.832386</v>
      </c>
      <c r="U2610" s="297">
        <v>50.581062000000003</v>
      </c>
      <c r="V2610" s="297">
        <v>50.811171999999999</v>
      </c>
      <c r="W2610" s="297">
        <v>51.214367000000003</v>
      </c>
      <c r="X2610" s="297">
        <v>51.312553000000001</v>
      </c>
      <c r="Y2610" s="297">
        <v>51.711975000000002</v>
      </c>
      <c r="Z2610" s="297">
        <v>51.942661000000001</v>
      </c>
      <c r="AA2610" s="297">
        <v>52.199782999999996</v>
      </c>
      <c r="AB2610" s="297">
        <v>52.080939999999998</v>
      </c>
      <c r="AC2610" s="297">
        <v>52.192039000000001</v>
      </c>
      <c r="AD2610" s="297">
        <v>52.422710000000002</v>
      </c>
      <c r="AE2610" s="297">
        <v>52.942627000000002</v>
      </c>
      <c r="AF2610" s="297">
        <v>53.38644</v>
      </c>
      <c r="AG2610" s="297">
        <v>53.797707000000003</v>
      </c>
      <c r="AH2610" s="296">
        <v>-4.8719999999999996E-3</v>
      </c>
    </row>
    <row r="2611" spans="1:34" ht="15" customHeight="1" x14ac:dyDescent="0.25">
      <c r="A2611" s="213" t="s">
        <v>2967</v>
      </c>
      <c r="B2611" s="294" t="s">
        <v>2968</v>
      </c>
      <c r="C2611" s="297">
        <v>35.869453</v>
      </c>
      <c r="D2611" s="297">
        <v>35.90654</v>
      </c>
      <c r="E2611" s="297">
        <v>35.769165000000001</v>
      </c>
      <c r="F2611" s="297">
        <v>35.570895999999998</v>
      </c>
      <c r="G2611" s="297">
        <v>35.632976999999997</v>
      </c>
      <c r="H2611" s="297">
        <v>35.693420000000003</v>
      </c>
      <c r="I2611" s="297">
        <v>35.838081000000003</v>
      </c>
      <c r="J2611" s="297">
        <v>35.865726000000002</v>
      </c>
      <c r="K2611" s="297">
        <v>35.926952</v>
      </c>
      <c r="L2611" s="297">
        <v>35.978630000000003</v>
      </c>
      <c r="M2611" s="297">
        <v>35.894730000000003</v>
      </c>
      <c r="N2611" s="297">
        <v>35.936214</v>
      </c>
      <c r="O2611" s="297">
        <v>36.040478</v>
      </c>
      <c r="P2611" s="297">
        <v>36.175944999999999</v>
      </c>
      <c r="Q2611" s="297">
        <v>36.319386000000002</v>
      </c>
      <c r="R2611" s="297">
        <v>36.456364000000001</v>
      </c>
      <c r="S2611" s="297">
        <v>36.643486000000003</v>
      </c>
      <c r="T2611" s="297">
        <v>36.820942000000002</v>
      </c>
      <c r="U2611" s="297">
        <v>36.981887999999998</v>
      </c>
      <c r="V2611" s="297">
        <v>37.159325000000003</v>
      </c>
      <c r="W2611" s="297">
        <v>37.354075999999999</v>
      </c>
      <c r="X2611" s="297">
        <v>37.561069000000003</v>
      </c>
      <c r="Y2611" s="297">
        <v>37.782150000000001</v>
      </c>
      <c r="Z2611" s="297">
        <v>38.002949000000001</v>
      </c>
      <c r="AA2611" s="297">
        <v>38.230193999999997</v>
      </c>
      <c r="AB2611" s="297">
        <v>38.433807000000002</v>
      </c>
      <c r="AC2611" s="297">
        <v>38.644416999999997</v>
      </c>
      <c r="AD2611" s="297">
        <v>38.844760999999998</v>
      </c>
      <c r="AE2611" s="297">
        <v>39.045741999999997</v>
      </c>
      <c r="AF2611" s="297">
        <v>39.230564000000001</v>
      </c>
      <c r="AG2611" s="297">
        <v>39.403458000000001</v>
      </c>
      <c r="AH2611" s="296">
        <v>3.137E-3</v>
      </c>
    </row>
    <row r="2612" spans="1:34" ht="15" customHeight="1" x14ac:dyDescent="0.25">
      <c r="A2612" s="213" t="s">
        <v>2969</v>
      </c>
      <c r="B2612" s="294" t="s">
        <v>2970</v>
      </c>
      <c r="C2612" s="297">
        <v>57.990825999999998</v>
      </c>
      <c r="D2612" s="297">
        <v>59.528927000000003</v>
      </c>
      <c r="E2612" s="297">
        <v>59.819598999999997</v>
      </c>
      <c r="F2612" s="297">
        <v>54.475085999999997</v>
      </c>
      <c r="G2612" s="297">
        <v>49.988998000000002</v>
      </c>
      <c r="H2612" s="297">
        <v>46.492710000000002</v>
      </c>
      <c r="I2612" s="297">
        <v>46.151665000000001</v>
      </c>
      <c r="J2612" s="297">
        <v>44.167060999999997</v>
      </c>
      <c r="K2612" s="297">
        <v>42.985244999999999</v>
      </c>
      <c r="L2612" s="297">
        <v>42.017467000000003</v>
      </c>
      <c r="M2612" s="297">
        <v>40.496765000000003</v>
      </c>
      <c r="N2612" s="297">
        <v>39.361649</v>
      </c>
      <c r="O2612" s="297">
        <v>38.267513000000001</v>
      </c>
      <c r="P2612" s="297">
        <v>37.519072999999999</v>
      </c>
      <c r="Q2612" s="297">
        <v>36.827674999999999</v>
      </c>
      <c r="R2612" s="297">
        <v>35.604626000000003</v>
      </c>
      <c r="S2612" s="297">
        <v>35.060364</v>
      </c>
      <c r="T2612" s="297">
        <v>34.458817000000003</v>
      </c>
      <c r="U2612" s="297">
        <v>33.737910999999997</v>
      </c>
      <c r="V2612" s="297">
        <v>33.377521999999999</v>
      </c>
      <c r="W2612" s="297">
        <v>33.089027000000002</v>
      </c>
      <c r="X2612" s="297">
        <v>32.63306</v>
      </c>
      <c r="Y2612" s="297">
        <v>32.383510999999999</v>
      </c>
      <c r="Z2612" s="297">
        <v>32.057879999999997</v>
      </c>
      <c r="AA2612" s="297">
        <v>31.763404999999999</v>
      </c>
      <c r="AB2612" s="297">
        <v>31.267834000000001</v>
      </c>
      <c r="AC2612" s="297">
        <v>30.936416999999999</v>
      </c>
      <c r="AD2612" s="297">
        <v>30.707325000000001</v>
      </c>
      <c r="AE2612" s="297">
        <v>30.653100999999999</v>
      </c>
      <c r="AF2612" s="297">
        <v>30.57114</v>
      </c>
      <c r="AG2612" s="297">
        <v>30.474883999999999</v>
      </c>
      <c r="AH2612" s="296">
        <v>-2.1218000000000001E-2</v>
      </c>
    </row>
    <row r="2613" spans="1:34" ht="15" customHeight="1" x14ac:dyDescent="0.25">
      <c r="A2613" s="213" t="s">
        <v>2971</v>
      </c>
      <c r="B2613" s="294" t="s">
        <v>2939</v>
      </c>
      <c r="C2613" s="297">
        <v>27.99118</v>
      </c>
      <c r="D2613" s="297">
        <v>28.375710000000002</v>
      </c>
      <c r="E2613" s="297">
        <v>28.539300999999998</v>
      </c>
      <c r="F2613" s="297">
        <v>27.868079999999999</v>
      </c>
      <c r="G2613" s="297">
        <v>27.444932999999999</v>
      </c>
      <c r="H2613" s="297">
        <v>27.15943</v>
      </c>
      <c r="I2613" s="297">
        <v>27.476921000000001</v>
      </c>
      <c r="J2613" s="297">
        <v>27.483191999999999</v>
      </c>
      <c r="K2613" s="297">
        <v>27.606338999999998</v>
      </c>
      <c r="L2613" s="297">
        <v>27.73715</v>
      </c>
      <c r="M2613" s="297">
        <v>27.670202</v>
      </c>
      <c r="N2613" s="297">
        <v>27.727958999999998</v>
      </c>
      <c r="O2613" s="297">
        <v>27.817432</v>
      </c>
      <c r="P2613" s="297">
        <v>27.980872999999999</v>
      </c>
      <c r="Q2613" s="297">
        <v>28.144214999999999</v>
      </c>
      <c r="R2613" s="297">
        <v>28.204585999999999</v>
      </c>
      <c r="S2613" s="297">
        <v>28.384003</v>
      </c>
      <c r="T2613" s="297">
        <v>28.535608</v>
      </c>
      <c r="U2613" s="297">
        <v>28.644207000000002</v>
      </c>
      <c r="V2613" s="297">
        <v>28.811980999999999</v>
      </c>
      <c r="W2613" s="297">
        <v>29.008675</v>
      </c>
      <c r="X2613" s="297">
        <v>29.188085999999998</v>
      </c>
      <c r="Y2613" s="297">
        <v>29.403926999999999</v>
      </c>
      <c r="Z2613" s="297">
        <v>29.597878000000001</v>
      </c>
      <c r="AA2613" s="297">
        <v>29.795292</v>
      </c>
      <c r="AB2613" s="297">
        <v>29.93918</v>
      </c>
      <c r="AC2613" s="297">
        <v>30.107737</v>
      </c>
      <c r="AD2613" s="297">
        <v>30.282444000000002</v>
      </c>
      <c r="AE2613" s="297">
        <v>30.480561999999999</v>
      </c>
      <c r="AF2613" s="297">
        <v>30.657406000000002</v>
      </c>
      <c r="AG2613" s="297">
        <v>30.816700000000001</v>
      </c>
      <c r="AH2613" s="296">
        <v>3.2109999999999999E-3</v>
      </c>
    </row>
    <row r="2614" spans="1:34" ht="15" customHeight="1" x14ac:dyDescent="0.25">
      <c r="A2614" s="213" t="s">
        <v>2972</v>
      </c>
      <c r="B2614" s="294" t="s">
        <v>2945</v>
      </c>
      <c r="C2614" s="297">
        <v>61.309319000000002</v>
      </c>
      <c r="D2614" s="297">
        <v>61.521236000000002</v>
      </c>
      <c r="E2614" s="297">
        <v>60.654114</v>
      </c>
      <c r="F2614" s="297">
        <v>54.250244000000002</v>
      </c>
      <c r="G2614" s="297">
        <v>48.958641</v>
      </c>
      <c r="H2614" s="297">
        <v>44.889750999999997</v>
      </c>
      <c r="I2614" s="297">
        <v>44.768410000000003</v>
      </c>
      <c r="J2614" s="297">
        <v>43.095730000000003</v>
      </c>
      <c r="K2614" s="297">
        <v>41.986721000000003</v>
      </c>
      <c r="L2614" s="297">
        <v>41.055878</v>
      </c>
      <c r="M2614" s="297">
        <v>38.949730000000002</v>
      </c>
      <c r="N2614" s="297">
        <v>37.345142000000003</v>
      </c>
      <c r="O2614" s="297">
        <v>35.870891999999998</v>
      </c>
      <c r="P2614" s="297">
        <v>34.813392999999998</v>
      </c>
      <c r="Q2614" s="297">
        <v>33.874825000000001</v>
      </c>
      <c r="R2614" s="297">
        <v>32.504494000000001</v>
      </c>
      <c r="S2614" s="297">
        <v>31.806819999999998</v>
      </c>
      <c r="T2614" s="297">
        <v>31.0916</v>
      </c>
      <c r="U2614" s="297">
        <v>30.295224999999999</v>
      </c>
      <c r="V2614" s="297">
        <v>29.840813000000001</v>
      </c>
      <c r="W2614" s="297">
        <v>29.365278</v>
      </c>
      <c r="X2614" s="297">
        <v>28.793880000000001</v>
      </c>
      <c r="Y2614" s="297">
        <v>28.425212999999999</v>
      </c>
      <c r="Z2614" s="297">
        <v>27.988610999999999</v>
      </c>
      <c r="AA2614" s="297">
        <v>27.601282000000001</v>
      </c>
      <c r="AB2614" s="297">
        <v>27.057796</v>
      </c>
      <c r="AC2614" s="297">
        <v>26.672003</v>
      </c>
      <c r="AD2614" s="297">
        <v>26.390478000000002</v>
      </c>
      <c r="AE2614" s="297">
        <v>26.272766000000001</v>
      </c>
      <c r="AF2614" s="297">
        <v>26.147627</v>
      </c>
      <c r="AG2614" s="297">
        <v>26.016390000000001</v>
      </c>
      <c r="AH2614" s="296">
        <v>-2.8169E-2</v>
      </c>
    </row>
    <row r="2615" spans="1:34" ht="15" customHeight="1" x14ac:dyDescent="0.25">
      <c r="A2615" s="213" t="s">
        <v>2973</v>
      </c>
      <c r="B2615" s="294" t="s">
        <v>2937</v>
      </c>
      <c r="C2615" s="297">
        <v>74.825316999999998</v>
      </c>
      <c r="D2615" s="297">
        <v>76.924278000000001</v>
      </c>
      <c r="E2615" s="297">
        <v>77.376914999999997</v>
      </c>
      <c r="F2615" s="297">
        <v>70.525642000000005</v>
      </c>
      <c r="G2615" s="297">
        <v>64.779419000000004</v>
      </c>
      <c r="H2615" s="297">
        <v>60.380034999999999</v>
      </c>
      <c r="I2615" s="297">
        <v>61.144813999999997</v>
      </c>
      <c r="J2615" s="297">
        <v>59.701920000000001</v>
      </c>
      <c r="K2615" s="297">
        <v>59.239387999999998</v>
      </c>
      <c r="L2615" s="297">
        <v>58.986401000000001</v>
      </c>
      <c r="M2615" s="297">
        <v>57.752754000000003</v>
      </c>
      <c r="N2615" s="297">
        <v>57.012596000000002</v>
      </c>
      <c r="O2615" s="297">
        <v>56.244736000000003</v>
      </c>
      <c r="P2615" s="297">
        <v>55.977179999999997</v>
      </c>
      <c r="Q2615" s="297">
        <v>55.727061999999997</v>
      </c>
      <c r="R2615" s="297">
        <v>54.607821999999999</v>
      </c>
      <c r="S2615" s="297">
        <v>54.425606000000002</v>
      </c>
      <c r="T2615" s="297">
        <v>54.088679999999997</v>
      </c>
      <c r="U2615" s="297">
        <v>53.494888000000003</v>
      </c>
      <c r="V2615" s="297">
        <v>53.427025</v>
      </c>
      <c r="W2615" s="297">
        <v>53.544186000000003</v>
      </c>
      <c r="X2615" s="297">
        <v>53.377124999999999</v>
      </c>
      <c r="Y2615" s="297">
        <v>53.514538000000002</v>
      </c>
      <c r="Z2615" s="297">
        <v>53.441887000000001</v>
      </c>
      <c r="AA2615" s="297">
        <v>53.386116000000001</v>
      </c>
      <c r="AB2615" s="297">
        <v>52.950882</v>
      </c>
      <c r="AC2615" s="297">
        <v>52.737628999999998</v>
      </c>
      <c r="AD2615" s="297">
        <v>52.671138999999997</v>
      </c>
      <c r="AE2615" s="297">
        <v>52.867764000000001</v>
      </c>
      <c r="AF2615" s="297">
        <v>52.960087000000001</v>
      </c>
      <c r="AG2615" s="297">
        <v>52.968375999999999</v>
      </c>
      <c r="AH2615" s="296">
        <v>-1.1449000000000001E-2</v>
      </c>
    </row>
    <row r="2616" spans="1:34" ht="15" customHeight="1" x14ac:dyDescent="0.25">
      <c r="A2616" s="213" t="s">
        <v>2974</v>
      </c>
      <c r="B2616" s="294" t="s">
        <v>2975</v>
      </c>
      <c r="C2616" s="297">
        <v>37.850696999999997</v>
      </c>
      <c r="D2616" s="297">
        <v>38.654552000000002</v>
      </c>
      <c r="E2616" s="297">
        <v>38.691673000000002</v>
      </c>
      <c r="F2616" s="297">
        <v>35.087032000000001</v>
      </c>
      <c r="G2616" s="297">
        <v>32.085529000000001</v>
      </c>
      <c r="H2616" s="297">
        <v>29.822382000000001</v>
      </c>
      <c r="I2616" s="297">
        <v>30.131701</v>
      </c>
      <c r="J2616" s="297">
        <v>29.415258000000001</v>
      </c>
      <c r="K2616" s="297">
        <v>29.249697000000001</v>
      </c>
      <c r="L2616" s="297">
        <v>29.217504999999999</v>
      </c>
      <c r="M2616" s="297">
        <v>28.766289</v>
      </c>
      <c r="N2616" s="297">
        <v>28.587907999999999</v>
      </c>
      <c r="O2616" s="297">
        <v>28.407993000000001</v>
      </c>
      <c r="P2616" s="297">
        <v>28.470724000000001</v>
      </c>
      <c r="Q2616" s="297">
        <v>28.528299000000001</v>
      </c>
      <c r="R2616" s="297">
        <v>28.16938</v>
      </c>
      <c r="S2616" s="297">
        <v>28.280470000000001</v>
      </c>
      <c r="T2616" s="297">
        <v>28.302782000000001</v>
      </c>
      <c r="U2616" s="297">
        <v>28.181967</v>
      </c>
      <c r="V2616" s="297">
        <v>28.290054000000001</v>
      </c>
      <c r="W2616" s="297">
        <v>28.511593000000001</v>
      </c>
      <c r="X2616" s="297">
        <v>28.546782</v>
      </c>
      <c r="Y2616" s="297">
        <v>28.655259999999998</v>
      </c>
      <c r="Z2616" s="297">
        <v>28.638275</v>
      </c>
      <c r="AA2616" s="297">
        <v>28.541385999999999</v>
      </c>
      <c r="AB2616" s="297">
        <v>28.195167999999999</v>
      </c>
      <c r="AC2616" s="297">
        <v>27.919819</v>
      </c>
      <c r="AD2616" s="297">
        <v>27.680586000000002</v>
      </c>
      <c r="AE2616" s="297">
        <v>27.448983999999999</v>
      </c>
      <c r="AF2616" s="297">
        <v>27.116304</v>
      </c>
      <c r="AG2616" s="297">
        <v>26.605699999999999</v>
      </c>
      <c r="AH2616" s="296">
        <v>-1.1682E-2</v>
      </c>
    </row>
    <row r="2617" spans="1:34" ht="15" customHeight="1" x14ac:dyDescent="0.25">
      <c r="A2617" s="213" t="s">
        <v>2976</v>
      </c>
      <c r="B2617" s="294" t="s">
        <v>2977</v>
      </c>
      <c r="C2617" s="297">
        <v>49.879772000000003</v>
      </c>
      <c r="D2617" s="297">
        <v>54.020409000000001</v>
      </c>
      <c r="E2617" s="297">
        <v>57.033893999999997</v>
      </c>
      <c r="F2617" s="297">
        <v>54.216137000000003</v>
      </c>
      <c r="G2617" s="297">
        <v>51.693171999999997</v>
      </c>
      <c r="H2617" s="297">
        <v>49.813170999999997</v>
      </c>
      <c r="I2617" s="297">
        <v>51.980437999999999</v>
      </c>
      <c r="J2617" s="297">
        <v>52.114089999999997</v>
      </c>
      <c r="K2617" s="297">
        <v>52.947226999999998</v>
      </c>
      <c r="L2617" s="297">
        <v>53.870220000000003</v>
      </c>
      <c r="M2617" s="297">
        <v>53.940562999999997</v>
      </c>
      <c r="N2617" s="297">
        <v>54.282893999999999</v>
      </c>
      <c r="O2617" s="297">
        <v>54.515503000000002</v>
      </c>
      <c r="P2617" s="297">
        <v>55.145766999999999</v>
      </c>
      <c r="Q2617" s="297">
        <v>55.741923999999997</v>
      </c>
      <c r="R2617" s="297">
        <v>55.409267</v>
      </c>
      <c r="S2617" s="297">
        <v>55.988838000000001</v>
      </c>
      <c r="T2617" s="297">
        <v>56.364750000000001</v>
      </c>
      <c r="U2617" s="297">
        <v>56.474536999999998</v>
      </c>
      <c r="V2617" s="297">
        <v>57.129406000000003</v>
      </c>
      <c r="W2617" s="297">
        <v>58.070141</v>
      </c>
      <c r="X2617" s="297">
        <v>58.662711999999999</v>
      </c>
      <c r="Y2617" s="297">
        <v>59.635170000000002</v>
      </c>
      <c r="Z2617" s="297">
        <v>60.400368</v>
      </c>
      <c r="AA2617" s="297">
        <v>61.254680999999998</v>
      </c>
      <c r="AB2617" s="297">
        <v>61.735087999999998</v>
      </c>
      <c r="AC2617" s="297">
        <v>62.528934</v>
      </c>
      <c r="AD2617" s="297">
        <v>63.621558999999998</v>
      </c>
      <c r="AE2617" s="297">
        <v>65.141341999999995</v>
      </c>
      <c r="AF2617" s="297">
        <v>66.645470000000003</v>
      </c>
      <c r="AG2617" s="297">
        <v>68.197922000000005</v>
      </c>
      <c r="AH2617" s="296">
        <v>1.0481000000000001E-2</v>
      </c>
    </row>
    <row r="2618" spans="1:34" ht="15" customHeight="1" x14ac:dyDescent="0.25">
      <c r="A2618" s="213" t="s">
        <v>2978</v>
      </c>
      <c r="B2618" s="294" t="s">
        <v>2979</v>
      </c>
      <c r="C2618" s="297">
        <v>186.68383800000001</v>
      </c>
      <c r="D2618" s="297">
        <v>209.95373499999999</v>
      </c>
      <c r="E2618" s="297">
        <v>217.52117899999999</v>
      </c>
      <c r="F2618" s="297">
        <v>217.559448</v>
      </c>
      <c r="G2618" s="297">
        <v>216.09750399999999</v>
      </c>
      <c r="H2618" s="297">
        <v>217.13278199999999</v>
      </c>
      <c r="I2618" s="297">
        <v>218.60382100000001</v>
      </c>
      <c r="J2618" s="297">
        <v>216.323364</v>
      </c>
      <c r="K2618" s="297">
        <v>215.88516200000001</v>
      </c>
      <c r="L2618" s="297">
        <v>216.12222299999999</v>
      </c>
      <c r="M2618" s="297">
        <v>214.49670399999999</v>
      </c>
      <c r="N2618" s="297">
        <v>213.54537999999999</v>
      </c>
      <c r="O2618" s="297">
        <v>213.38717700000001</v>
      </c>
      <c r="P2618" s="297">
        <v>214.02160599999999</v>
      </c>
      <c r="Q2618" s="297">
        <v>214.88992300000001</v>
      </c>
      <c r="R2618" s="297">
        <v>213.111481</v>
      </c>
      <c r="S2618" s="297">
        <v>213.70697000000001</v>
      </c>
      <c r="T2618" s="297">
        <v>214.38580300000001</v>
      </c>
      <c r="U2618" s="297">
        <v>214.69375600000001</v>
      </c>
      <c r="V2618" s="297">
        <v>216.156128</v>
      </c>
      <c r="W2618" s="297">
        <v>218.16937300000001</v>
      </c>
      <c r="X2618" s="297">
        <v>219.22640999999999</v>
      </c>
      <c r="Y2618" s="297">
        <v>221.127747</v>
      </c>
      <c r="Z2618" s="297">
        <v>222.989746</v>
      </c>
      <c r="AA2618" s="297">
        <v>224.45639</v>
      </c>
      <c r="AB2618" s="297">
        <v>225.65344200000001</v>
      </c>
      <c r="AC2618" s="297">
        <v>227.18313599999999</v>
      </c>
      <c r="AD2618" s="297">
        <v>228.88415499999999</v>
      </c>
      <c r="AE2618" s="297">
        <v>231.60833700000001</v>
      </c>
      <c r="AF2618" s="297">
        <v>234.59375</v>
      </c>
      <c r="AG2618" s="297">
        <v>237.419128</v>
      </c>
      <c r="AH2618" s="296">
        <v>8.0459999999999993E-3</v>
      </c>
    </row>
    <row r="2619" spans="1:34" ht="15" customHeight="1" x14ac:dyDescent="0.2">
      <c r="A2619" s="213" t="s">
        <v>2980</v>
      </c>
      <c r="B2619" s="204" t="s">
        <v>2981</v>
      </c>
      <c r="C2619" s="299">
        <v>717.55639599999995</v>
      </c>
      <c r="D2619" s="299">
        <v>753.28466800000001</v>
      </c>
      <c r="E2619" s="299">
        <v>769.081909</v>
      </c>
      <c r="F2619" s="299">
        <v>736.35845900000004</v>
      </c>
      <c r="G2619" s="299">
        <v>708.29943800000001</v>
      </c>
      <c r="H2619" s="299">
        <v>688.93139599999995</v>
      </c>
      <c r="I2619" s="299">
        <v>694.44970699999999</v>
      </c>
      <c r="J2619" s="299">
        <v>684.76049799999998</v>
      </c>
      <c r="K2619" s="299">
        <v>681.56823699999995</v>
      </c>
      <c r="L2619" s="299">
        <v>679.98644999999999</v>
      </c>
      <c r="M2619" s="299">
        <v>671.19006300000001</v>
      </c>
      <c r="N2619" s="299">
        <v>666.05279499999995</v>
      </c>
      <c r="O2619" s="299">
        <v>661.88891599999999</v>
      </c>
      <c r="P2619" s="299">
        <v>660.93908699999997</v>
      </c>
      <c r="Q2619" s="299">
        <v>660.38867200000004</v>
      </c>
      <c r="R2619" s="299">
        <v>653.03527799999995</v>
      </c>
      <c r="S2619" s="299">
        <v>652.94104000000004</v>
      </c>
      <c r="T2619" s="299">
        <v>652.17950399999995</v>
      </c>
      <c r="U2619" s="299">
        <v>649.81188999999995</v>
      </c>
      <c r="V2619" s="299">
        <v>651.22473100000002</v>
      </c>
      <c r="W2619" s="299">
        <v>654.06372099999999</v>
      </c>
      <c r="X2619" s="299">
        <v>654.52551300000005</v>
      </c>
      <c r="Y2619" s="299">
        <v>657.38659700000005</v>
      </c>
      <c r="Z2619" s="299">
        <v>659.28796399999999</v>
      </c>
      <c r="AA2619" s="299">
        <v>660.95849599999997</v>
      </c>
      <c r="AB2619" s="299">
        <v>660.440247</v>
      </c>
      <c r="AC2619" s="299">
        <v>661.45135500000004</v>
      </c>
      <c r="AD2619" s="299">
        <v>663.39477499999998</v>
      </c>
      <c r="AE2619" s="299">
        <v>667.72137499999997</v>
      </c>
      <c r="AF2619" s="299">
        <v>671.86987299999998</v>
      </c>
      <c r="AG2619" s="299">
        <v>675.52954099999999</v>
      </c>
      <c r="AH2619" s="206">
        <v>-2.0100000000000001E-3</v>
      </c>
    </row>
    <row r="2622" spans="1:34" ht="15" customHeight="1" x14ac:dyDescent="0.2">
      <c r="B2622" s="204" t="s">
        <v>2982</v>
      </c>
    </row>
    <row r="2623" spans="1:34" ht="15" customHeight="1" x14ac:dyDescent="0.2">
      <c r="B2623" s="204" t="s">
        <v>2983</v>
      </c>
    </row>
    <row r="2624" spans="1:34" ht="15" customHeight="1" x14ac:dyDescent="0.25">
      <c r="A2624" s="213" t="s">
        <v>2984</v>
      </c>
      <c r="B2624" s="294" t="s">
        <v>2985</v>
      </c>
      <c r="C2624" s="297">
        <v>234.85891699999999</v>
      </c>
      <c r="D2624" s="297">
        <v>252.341049</v>
      </c>
      <c r="E2624" s="297">
        <v>236.63531499999999</v>
      </c>
      <c r="F2624" s="297">
        <v>237.615768</v>
      </c>
      <c r="G2624" s="297">
        <v>235.01251199999999</v>
      </c>
      <c r="H2624" s="297">
        <v>235.02162200000001</v>
      </c>
      <c r="I2624" s="297">
        <v>237.54557800000001</v>
      </c>
      <c r="J2624" s="297">
        <v>236.261459</v>
      </c>
      <c r="K2624" s="297">
        <v>237.75109900000001</v>
      </c>
      <c r="L2624" s="297">
        <v>239.62390099999999</v>
      </c>
      <c r="M2624" s="297">
        <v>237.67472799999999</v>
      </c>
      <c r="N2624" s="297">
        <v>238.157028</v>
      </c>
      <c r="O2624" s="297">
        <v>238.50744599999999</v>
      </c>
      <c r="P2624" s="297">
        <v>238.75323499999999</v>
      </c>
      <c r="Q2624" s="297">
        <v>241.08019999999999</v>
      </c>
      <c r="R2624" s="297">
        <v>241.31613200000001</v>
      </c>
      <c r="S2624" s="297">
        <v>243.90273999999999</v>
      </c>
      <c r="T2624" s="297">
        <v>245.92855800000001</v>
      </c>
      <c r="U2624" s="297">
        <v>246.371216</v>
      </c>
      <c r="V2624" s="297">
        <v>249.045074</v>
      </c>
      <c r="W2624" s="297">
        <v>248.96466100000001</v>
      </c>
      <c r="X2624" s="297">
        <v>249.209473</v>
      </c>
      <c r="Y2624" s="297">
        <v>250.48391699999999</v>
      </c>
      <c r="Z2624" s="297">
        <v>251.03727699999999</v>
      </c>
      <c r="AA2624" s="297">
        <v>251.90052800000001</v>
      </c>
      <c r="AB2624" s="297">
        <v>252.520859</v>
      </c>
      <c r="AC2624" s="297">
        <v>253.651535</v>
      </c>
      <c r="AD2624" s="297">
        <v>255.38687100000001</v>
      </c>
      <c r="AE2624" s="297">
        <v>257.14172400000001</v>
      </c>
      <c r="AF2624" s="297">
        <v>257.612122</v>
      </c>
      <c r="AG2624" s="297">
        <v>259.87759399999999</v>
      </c>
      <c r="AH2624" s="296">
        <v>3.3800000000000002E-3</v>
      </c>
    </row>
    <row r="2625" spans="1:34" ht="15" customHeight="1" x14ac:dyDescent="0.25">
      <c r="A2625" s="213" t="s">
        <v>2986</v>
      </c>
      <c r="B2625" s="294" t="s">
        <v>2987</v>
      </c>
      <c r="C2625" s="297">
        <v>77.754088999999993</v>
      </c>
      <c r="D2625" s="297">
        <v>81.338036000000002</v>
      </c>
      <c r="E2625" s="297">
        <v>84.293380999999997</v>
      </c>
      <c r="F2625" s="297">
        <v>82.992996000000005</v>
      </c>
      <c r="G2625" s="297">
        <v>81.829468000000006</v>
      </c>
      <c r="H2625" s="297">
        <v>81.071822999999995</v>
      </c>
      <c r="I2625" s="297">
        <v>82.429328999999996</v>
      </c>
      <c r="J2625" s="297">
        <v>82.542061000000004</v>
      </c>
      <c r="K2625" s="297">
        <v>83.051879999999997</v>
      </c>
      <c r="L2625" s="297">
        <v>83.560355999999999</v>
      </c>
      <c r="M2625" s="297">
        <v>83.332534999999993</v>
      </c>
      <c r="N2625" s="297">
        <v>83.508713</v>
      </c>
      <c r="O2625" s="297">
        <v>83.580573999999999</v>
      </c>
      <c r="P2625" s="297">
        <v>83.998412999999999</v>
      </c>
      <c r="Q2625" s="297">
        <v>84.530227999999994</v>
      </c>
      <c r="R2625" s="297">
        <v>84.611587999999998</v>
      </c>
      <c r="S2625" s="297">
        <v>85.280106000000004</v>
      </c>
      <c r="T2625" s="297">
        <v>85.803673000000003</v>
      </c>
      <c r="U2625" s="297">
        <v>86.101639000000006</v>
      </c>
      <c r="V2625" s="297">
        <v>86.757232999999999</v>
      </c>
      <c r="W2625" s="297">
        <v>87.476105000000004</v>
      </c>
      <c r="X2625" s="297">
        <v>88.056991999999994</v>
      </c>
      <c r="Y2625" s="297">
        <v>88.767532000000003</v>
      </c>
      <c r="Z2625" s="297">
        <v>89.373656999999994</v>
      </c>
      <c r="AA2625" s="297">
        <v>90.026420999999999</v>
      </c>
      <c r="AB2625" s="297">
        <v>90.479843000000002</v>
      </c>
      <c r="AC2625" s="297">
        <v>91.043487999999996</v>
      </c>
      <c r="AD2625" s="297">
        <v>91.725571000000002</v>
      </c>
      <c r="AE2625" s="297">
        <v>92.536422999999999</v>
      </c>
      <c r="AF2625" s="297">
        <v>93.356055999999995</v>
      </c>
      <c r="AG2625" s="297">
        <v>94.155899000000005</v>
      </c>
      <c r="AH2625" s="296">
        <v>6.4000000000000003E-3</v>
      </c>
    </row>
    <row r="2626" spans="1:34" ht="15" customHeight="1" x14ac:dyDescent="0.25">
      <c r="A2626" s="213" t="s">
        <v>2988</v>
      </c>
      <c r="B2626" s="294" t="s">
        <v>2989</v>
      </c>
      <c r="C2626" s="297">
        <v>48.389740000000003</v>
      </c>
      <c r="D2626" s="297">
        <v>49.136406000000001</v>
      </c>
      <c r="E2626" s="297">
        <v>49.641334999999998</v>
      </c>
      <c r="F2626" s="297">
        <v>47.620434000000003</v>
      </c>
      <c r="G2626" s="297">
        <v>46.124125999999997</v>
      </c>
      <c r="H2626" s="297">
        <v>44.778297000000002</v>
      </c>
      <c r="I2626" s="297">
        <v>44.665084999999998</v>
      </c>
      <c r="J2626" s="297">
        <v>43.958613999999997</v>
      </c>
      <c r="K2626" s="297">
        <v>43.444491999999997</v>
      </c>
      <c r="L2626" s="297">
        <v>42.945343000000001</v>
      </c>
      <c r="M2626" s="297">
        <v>42.350445000000001</v>
      </c>
      <c r="N2626" s="297">
        <v>41.897331000000001</v>
      </c>
      <c r="O2626" s="297">
        <v>41.370319000000002</v>
      </c>
      <c r="P2626" s="297">
        <v>40.949317999999998</v>
      </c>
      <c r="Q2626" s="297">
        <v>40.600197000000001</v>
      </c>
      <c r="R2626" s="297">
        <v>40.108395000000002</v>
      </c>
      <c r="S2626" s="297">
        <v>39.798172000000001</v>
      </c>
      <c r="T2626" s="297">
        <v>39.520741000000001</v>
      </c>
      <c r="U2626" s="297">
        <v>39.248019999999997</v>
      </c>
      <c r="V2626" s="297">
        <v>39.085850000000001</v>
      </c>
      <c r="W2626" s="297">
        <v>38.913780000000003</v>
      </c>
      <c r="X2626" s="297">
        <v>38.740299</v>
      </c>
      <c r="Y2626" s="297">
        <v>38.748150000000003</v>
      </c>
      <c r="Z2626" s="297">
        <v>38.755512000000003</v>
      </c>
      <c r="AA2626" s="297">
        <v>38.700294</v>
      </c>
      <c r="AB2626" s="297">
        <v>38.585346000000001</v>
      </c>
      <c r="AC2626" s="297">
        <v>38.551796000000003</v>
      </c>
      <c r="AD2626" s="297">
        <v>38.647331000000001</v>
      </c>
      <c r="AE2626" s="297">
        <v>38.734222000000003</v>
      </c>
      <c r="AF2626" s="297">
        <v>38.880504999999999</v>
      </c>
      <c r="AG2626" s="297">
        <v>38.992092</v>
      </c>
      <c r="AH2626" s="296">
        <v>-7.1720000000000004E-3</v>
      </c>
    </row>
    <row r="2627" spans="1:34" ht="15" customHeight="1" x14ac:dyDescent="0.25">
      <c r="A2627" s="213" t="s">
        <v>2990</v>
      </c>
      <c r="B2627" s="294" t="s">
        <v>2991</v>
      </c>
      <c r="C2627" s="297">
        <v>274.055115</v>
      </c>
      <c r="D2627" s="297">
        <v>273.22607399999998</v>
      </c>
      <c r="E2627" s="297">
        <v>287.83407599999998</v>
      </c>
      <c r="F2627" s="297">
        <v>271.28033399999998</v>
      </c>
      <c r="G2627" s="297">
        <v>277.35867300000001</v>
      </c>
      <c r="H2627" s="297">
        <v>281.49627700000002</v>
      </c>
      <c r="I2627" s="297">
        <v>287.37924199999998</v>
      </c>
      <c r="J2627" s="297">
        <v>289.08364899999998</v>
      </c>
      <c r="K2627" s="297">
        <v>291.98559599999999</v>
      </c>
      <c r="L2627" s="297">
        <v>295.08017000000001</v>
      </c>
      <c r="M2627" s="297">
        <v>298.62469499999997</v>
      </c>
      <c r="N2627" s="297">
        <v>302.26589999999999</v>
      </c>
      <c r="O2627" s="297">
        <v>304.41748000000001</v>
      </c>
      <c r="P2627" s="297">
        <v>307.01284800000002</v>
      </c>
      <c r="Q2627" s="297">
        <v>310.13983200000001</v>
      </c>
      <c r="R2627" s="297">
        <v>312.73834199999999</v>
      </c>
      <c r="S2627" s="297">
        <v>314.46933000000001</v>
      </c>
      <c r="T2627" s="297">
        <v>316.698395</v>
      </c>
      <c r="U2627" s="297">
        <v>318.66934199999997</v>
      </c>
      <c r="V2627" s="297">
        <v>319.64822400000003</v>
      </c>
      <c r="W2627" s="297">
        <v>320.49014299999999</v>
      </c>
      <c r="X2627" s="297">
        <v>321.61831699999999</v>
      </c>
      <c r="Y2627" s="297">
        <v>324.64001500000001</v>
      </c>
      <c r="Z2627" s="297">
        <v>327.09045400000002</v>
      </c>
      <c r="AA2627" s="297">
        <v>328.312073</v>
      </c>
      <c r="AB2627" s="297">
        <v>329.79299900000001</v>
      </c>
      <c r="AC2627" s="297">
        <v>331.21896400000003</v>
      </c>
      <c r="AD2627" s="297">
        <v>332.78866599999998</v>
      </c>
      <c r="AE2627" s="297">
        <v>334.50640900000002</v>
      </c>
      <c r="AF2627" s="297">
        <v>338.123627</v>
      </c>
      <c r="AG2627" s="297">
        <v>341.30886800000002</v>
      </c>
      <c r="AH2627" s="296">
        <v>7.3419999999999996E-3</v>
      </c>
    </row>
    <row r="2628" spans="1:34" ht="15" customHeight="1" x14ac:dyDescent="0.25">
      <c r="A2628" s="213" t="s">
        <v>2992</v>
      </c>
      <c r="B2628" s="294" t="s">
        <v>2993</v>
      </c>
      <c r="C2628" s="297">
        <v>12.118354999999999</v>
      </c>
      <c r="D2628" s="297">
        <v>11.984050999999999</v>
      </c>
      <c r="E2628" s="297">
        <v>12.262828000000001</v>
      </c>
      <c r="F2628" s="297">
        <v>11.766088</v>
      </c>
      <c r="G2628" s="297">
        <v>11.384823000000001</v>
      </c>
      <c r="H2628" s="297">
        <v>11.074557</v>
      </c>
      <c r="I2628" s="297">
        <v>11.062010000000001</v>
      </c>
      <c r="J2628" s="297">
        <v>10.873384</v>
      </c>
      <c r="K2628" s="297">
        <v>10.741047999999999</v>
      </c>
      <c r="L2628" s="297">
        <v>10.628978</v>
      </c>
      <c r="M2628" s="297">
        <v>10.473836</v>
      </c>
      <c r="N2628" s="297">
        <v>10.385560999999999</v>
      </c>
      <c r="O2628" s="297">
        <v>10.262959</v>
      </c>
      <c r="P2628" s="297">
        <v>10.165127</v>
      </c>
      <c r="Q2628" s="297">
        <v>10.104671</v>
      </c>
      <c r="R2628" s="297">
        <v>10.04537</v>
      </c>
      <c r="S2628" s="297">
        <v>10.013339</v>
      </c>
      <c r="T2628" s="297">
        <v>9.9460580000000007</v>
      </c>
      <c r="U2628" s="297">
        <v>9.8906349999999996</v>
      </c>
      <c r="V2628" s="297">
        <v>9.876258</v>
      </c>
      <c r="W2628" s="297">
        <v>9.8887160000000005</v>
      </c>
      <c r="X2628" s="297">
        <v>9.9507779999999997</v>
      </c>
      <c r="Y2628" s="297">
        <v>10.007453</v>
      </c>
      <c r="Z2628" s="297">
        <v>10.063302999999999</v>
      </c>
      <c r="AA2628" s="297">
        <v>10.149203</v>
      </c>
      <c r="AB2628" s="297">
        <v>10.219402000000001</v>
      </c>
      <c r="AC2628" s="297">
        <v>10.284331</v>
      </c>
      <c r="AD2628" s="297">
        <v>10.337400000000001</v>
      </c>
      <c r="AE2628" s="297">
        <v>10.425941999999999</v>
      </c>
      <c r="AF2628" s="297">
        <v>10.517499000000001</v>
      </c>
      <c r="AG2628" s="297">
        <v>10.614215</v>
      </c>
      <c r="AH2628" s="296">
        <v>-4.4079999999999996E-3</v>
      </c>
    </row>
    <row r="2629" spans="1:34" ht="15" customHeight="1" x14ac:dyDescent="0.25">
      <c r="A2629" s="213" t="s">
        <v>2994</v>
      </c>
      <c r="B2629" s="294" t="s">
        <v>2995</v>
      </c>
      <c r="C2629" s="297">
        <v>22.215022999999999</v>
      </c>
      <c r="D2629" s="297">
        <v>21.624437</v>
      </c>
      <c r="E2629" s="297">
        <v>21.923233</v>
      </c>
      <c r="F2629" s="297">
        <v>21.285800999999999</v>
      </c>
      <c r="G2629" s="297">
        <v>20.398610999999999</v>
      </c>
      <c r="H2629" s="297">
        <v>19.586528999999999</v>
      </c>
      <c r="I2629" s="297">
        <v>19.083780000000001</v>
      </c>
      <c r="J2629" s="297">
        <v>18.343617999999999</v>
      </c>
      <c r="K2629" s="297">
        <v>17.597698000000001</v>
      </c>
      <c r="L2629" s="297">
        <v>16.88158</v>
      </c>
      <c r="M2629" s="297">
        <v>16.126583</v>
      </c>
      <c r="N2629" s="297">
        <v>15.462766999999999</v>
      </c>
      <c r="O2629" s="297">
        <v>14.721582</v>
      </c>
      <c r="P2629" s="297">
        <v>14.042809999999999</v>
      </c>
      <c r="Q2629" s="297">
        <v>13.262026000000001</v>
      </c>
      <c r="R2629" s="297">
        <v>12.997840999999999</v>
      </c>
      <c r="S2629" s="297">
        <v>12.781694999999999</v>
      </c>
      <c r="T2629" s="297">
        <v>12.542173999999999</v>
      </c>
      <c r="U2629" s="297">
        <v>12.321282</v>
      </c>
      <c r="V2629" s="297">
        <v>12.141503999999999</v>
      </c>
      <c r="W2629" s="297">
        <v>12.032222000000001</v>
      </c>
      <c r="X2629" s="297">
        <v>11.930440000000001</v>
      </c>
      <c r="Y2629" s="297">
        <v>11.829758</v>
      </c>
      <c r="Z2629" s="297">
        <v>11.739212</v>
      </c>
      <c r="AA2629" s="297">
        <v>11.672807000000001</v>
      </c>
      <c r="AB2629" s="297">
        <v>11.585675999999999</v>
      </c>
      <c r="AC2629" s="297">
        <v>11.513026999999999</v>
      </c>
      <c r="AD2629" s="297">
        <v>11.446412</v>
      </c>
      <c r="AE2629" s="297">
        <v>11.412533</v>
      </c>
      <c r="AF2629" s="297">
        <v>11.391109999999999</v>
      </c>
      <c r="AG2629" s="297">
        <v>11.379828</v>
      </c>
      <c r="AH2629" s="296">
        <v>-2.2051000000000001E-2</v>
      </c>
    </row>
    <row r="2630" spans="1:34" ht="15" customHeight="1" x14ac:dyDescent="0.25">
      <c r="A2630" s="213" t="s">
        <v>2996</v>
      </c>
      <c r="B2630" s="294" t="s">
        <v>2997</v>
      </c>
      <c r="C2630" s="297">
        <v>89.595603999999994</v>
      </c>
      <c r="D2630" s="297">
        <v>77.026024000000007</v>
      </c>
      <c r="E2630" s="297">
        <v>82.233017000000004</v>
      </c>
      <c r="F2630" s="297">
        <v>86.321365</v>
      </c>
      <c r="G2630" s="297">
        <v>85.596412999999998</v>
      </c>
      <c r="H2630" s="297">
        <v>83.606605999999999</v>
      </c>
      <c r="I2630" s="297">
        <v>83.278564000000003</v>
      </c>
      <c r="J2630" s="297">
        <v>81.589545999999999</v>
      </c>
      <c r="K2630" s="297">
        <v>79.309089999999998</v>
      </c>
      <c r="L2630" s="297">
        <v>77.714782999999997</v>
      </c>
      <c r="M2630" s="297">
        <v>77.631125999999995</v>
      </c>
      <c r="N2630" s="297">
        <v>76.324355999999995</v>
      </c>
      <c r="O2630" s="297">
        <v>74.131675999999999</v>
      </c>
      <c r="P2630" s="297">
        <v>72.017143000000004</v>
      </c>
      <c r="Q2630" s="297">
        <v>71.008521999999999</v>
      </c>
      <c r="R2630" s="297">
        <v>70.158187999999996</v>
      </c>
      <c r="S2630" s="297">
        <v>69.204002000000003</v>
      </c>
      <c r="T2630" s="297">
        <v>68.875320000000002</v>
      </c>
      <c r="U2630" s="297">
        <v>69.103752</v>
      </c>
      <c r="V2630" s="297">
        <v>69.095885999999993</v>
      </c>
      <c r="W2630" s="297">
        <v>67.856842</v>
      </c>
      <c r="X2630" s="297">
        <v>67.811324999999997</v>
      </c>
      <c r="Y2630" s="297">
        <v>69.148109000000005</v>
      </c>
      <c r="Z2630" s="297">
        <v>70.097755000000006</v>
      </c>
      <c r="AA2630" s="297">
        <v>69.296325999999993</v>
      </c>
      <c r="AB2630" s="297">
        <v>68.906684999999996</v>
      </c>
      <c r="AC2630" s="297">
        <v>68.509208999999998</v>
      </c>
      <c r="AD2630" s="297">
        <v>68.007499999999993</v>
      </c>
      <c r="AE2630" s="297">
        <v>68.190635999999998</v>
      </c>
      <c r="AF2630" s="297">
        <v>67.934096999999994</v>
      </c>
      <c r="AG2630" s="297">
        <v>68.829780999999997</v>
      </c>
      <c r="AH2630" s="296">
        <v>-8.7500000000000008E-3</v>
      </c>
    </row>
    <row r="2631" spans="1:34" ht="15" customHeight="1" x14ac:dyDescent="0.25">
      <c r="A2631" s="213" t="s">
        <v>2998</v>
      </c>
      <c r="B2631" s="294" t="s">
        <v>2999</v>
      </c>
      <c r="C2631" s="297">
        <v>14.437156999999999</v>
      </c>
      <c r="D2631" s="297">
        <v>15.086054000000001</v>
      </c>
      <c r="E2631" s="297">
        <v>15.787689</v>
      </c>
      <c r="F2631" s="297">
        <v>14.918604</v>
      </c>
      <c r="G2631" s="297">
        <v>14.310209</v>
      </c>
      <c r="H2631" s="297">
        <v>13.976006</v>
      </c>
      <c r="I2631" s="297">
        <v>14.184021</v>
      </c>
      <c r="J2631" s="297">
        <v>14.031825</v>
      </c>
      <c r="K2631" s="297">
        <v>13.933887</v>
      </c>
      <c r="L2631" s="297">
        <v>13.831080999999999</v>
      </c>
      <c r="M2631" s="297">
        <v>13.697125</v>
      </c>
      <c r="N2631" s="297">
        <v>13.647211</v>
      </c>
      <c r="O2631" s="297">
        <v>13.564062</v>
      </c>
      <c r="P2631" s="297">
        <v>13.506828000000001</v>
      </c>
      <c r="Q2631" s="297">
        <v>13.470701</v>
      </c>
      <c r="R2631" s="297">
        <v>13.350671999999999</v>
      </c>
      <c r="S2631" s="297">
        <v>13.333427</v>
      </c>
      <c r="T2631" s="297">
        <v>13.311468</v>
      </c>
      <c r="U2631" s="297">
        <v>13.268954000000001</v>
      </c>
      <c r="V2631" s="297">
        <v>13.290844</v>
      </c>
      <c r="W2631" s="297">
        <v>13.294447</v>
      </c>
      <c r="X2631" s="297">
        <v>13.280491</v>
      </c>
      <c r="Y2631" s="297">
        <v>13.331262000000001</v>
      </c>
      <c r="Z2631" s="297">
        <v>13.357405999999999</v>
      </c>
      <c r="AA2631" s="297">
        <v>13.326373</v>
      </c>
      <c r="AB2631" s="297">
        <v>13.244016</v>
      </c>
      <c r="AC2631" s="297">
        <v>13.156122</v>
      </c>
      <c r="AD2631" s="297">
        <v>13.085699999999999</v>
      </c>
      <c r="AE2631" s="297">
        <v>13.011286999999999</v>
      </c>
      <c r="AF2631" s="297">
        <v>12.922525</v>
      </c>
      <c r="AG2631" s="297">
        <v>12.848001999999999</v>
      </c>
      <c r="AH2631" s="296">
        <v>-3.8800000000000002E-3</v>
      </c>
    </row>
    <row r="2632" spans="1:34" ht="15" customHeight="1" x14ac:dyDescent="0.25">
      <c r="A2632" s="213" t="s">
        <v>3000</v>
      </c>
      <c r="B2632" s="294" t="s">
        <v>3001</v>
      </c>
      <c r="C2632" s="297">
        <v>27.931298999999999</v>
      </c>
      <c r="D2632" s="297">
        <v>27.770073</v>
      </c>
      <c r="E2632" s="297">
        <v>29.683067000000001</v>
      </c>
      <c r="F2632" s="297">
        <v>28.457274999999999</v>
      </c>
      <c r="G2632" s="297">
        <v>27.677271000000001</v>
      </c>
      <c r="H2632" s="297">
        <v>27.225363000000002</v>
      </c>
      <c r="I2632" s="297">
        <v>27.921253</v>
      </c>
      <c r="J2632" s="297">
        <v>27.715085999999999</v>
      </c>
      <c r="K2632" s="297">
        <v>27.660381000000001</v>
      </c>
      <c r="L2632" s="297">
        <v>27.675947000000001</v>
      </c>
      <c r="M2632" s="297">
        <v>27.452221000000002</v>
      </c>
      <c r="N2632" s="297">
        <v>27.597498000000002</v>
      </c>
      <c r="O2632" s="297">
        <v>27.596278999999999</v>
      </c>
      <c r="P2632" s="297">
        <v>27.683416000000001</v>
      </c>
      <c r="Q2632" s="297">
        <v>27.819140999999998</v>
      </c>
      <c r="R2632" s="297">
        <v>27.657067999999999</v>
      </c>
      <c r="S2632" s="297">
        <v>27.739767000000001</v>
      </c>
      <c r="T2632" s="297">
        <v>27.750696000000001</v>
      </c>
      <c r="U2632" s="297">
        <v>27.708888999999999</v>
      </c>
      <c r="V2632" s="297">
        <v>27.772929999999999</v>
      </c>
      <c r="W2632" s="297">
        <v>27.837102999999999</v>
      </c>
      <c r="X2632" s="297">
        <v>27.958245999999999</v>
      </c>
      <c r="Y2632" s="297">
        <v>28.256435</v>
      </c>
      <c r="Z2632" s="297">
        <v>28.568574999999999</v>
      </c>
      <c r="AA2632" s="297">
        <v>28.814261999999999</v>
      </c>
      <c r="AB2632" s="297">
        <v>28.880687999999999</v>
      </c>
      <c r="AC2632" s="297">
        <v>28.950437999999998</v>
      </c>
      <c r="AD2632" s="297">
        <v>29.036531</v>
      </c>
      <c r="AE2632" s="297">
        <v>29.277830000000002</v>
      </c>
      <c r="AF2632" s="297">
        <v>29.567509000000001</v>
      </c>
      <c r="AG2632" s="297">
        <v>29.851535999999999</v>
      </c>
      <c r="AH2632" s="296">
        <v>2.2190000000000001E-3</v>
      </c>
    </row>
    <row r="2633" spans="1:34" ht="15" customHeight="1" x14ac:dyDescent="0.25">
      <c r="A2633" s="213" t="s">
        <v>3002</v>
      </c>
      <c r="B2633" s="294" t="s">
        <v>3003</v>
      </c>
      <c r="C2633" s="297">
        <v>12.421818</v>
      </c>
      <c r="D2633" s="297">
        <v>12.204938</v>
      </c>
      <c r="E2633" s="297">
        <v>13.101281999999999</v>
      </c>
      <c r="F2633" s="297">
        <v>12.36755</v>
      </c>
      <c r="G2633" s="297">
        <v>11.850394</v>
      </c>
      <c r="H2633" s="297">
        <v>11.656466</v>
      </c>
      <c r="I2633" s="297">
        <v>11.981365</v>
      </c>
      <c r="J2633" s="297">
        <v>11.877971000000001</v>
      </c>
      <c r="K2633" s="297">
        <v>11.863505999999999</v>
      </c>
      <c r="L2633" s="297">
        <v>11.885723</v>
      </c>
      <c r="M2633" s="297">
        <v>11.791779999999999</v>
      </c>
      <c r="N2633" s="297">
        <v>11.836262</v>
      </c>
      <c r="O2633" s="297">
        <v>11.794048</v>
      </c>
      <c r="P2633" s="297">
        <v>11.812594000000001</v>
      </c>
      <c r="Q2633" s="297">
        <v>11.867362</v>
      </c>
      <c r="R2633" s="297">
        <v>11.782016</v>
      </c>
      <c r="S2633" s="297">
        <v>11.847403</v>
      </c>
      <c r="T2633" s="297">
        <v>11.879695999999999</v>
      </c>
      <c r="U2633" s="297">
        <v>11.895709999999999</v>
      </c>
      <c r="V2633" s="297">
        <v>11.970908</v>
      </c>
      <c r="W2633" s="297">
        <v>12.047338999999999</v>
      </c>
      <c r="X2633" s="297">
        <v>12.144425</v>
      </c>
      <c r="Y2633" s="297">
        <v>12.308946000000001</v>
      </c>
      <c r="Z2633" s="297">
        <v>12.462960000000001</v>
      </c>
      <c r="AA2633" s="297">
        <v>12.58098</v>
      </c>
      <c r="AB2633" s="297">
        <v>12.598388</v>
      </c>
      <c r="AC2633" s="297">
        <v>12.648839000000001</v>
      </c>
      <c r="AD2633" s="297">
        <v>12.713229</v>
      </c>
      <c r="AE2633" s="297">
        <v>12.824315</v>
      </c>
      <c r="AF2633" s="297">
        <v>12.945603</v>
      </c>
      <c r="AG2633" s="297">
        <v>13.056774000000001</v>
      </c>
      <c r="AH2633" s="296">
        <v>1.663E-3</v>
      </c>
    </row>
    <row r="2634" spans="1:34" ht="15" customHeight="1" x14ac:dyDescent="0.25">
      <c r="A2634" s="213" t="s">
        <v>3004</v>
      </c>
      <c r="B2634" s="294" t="s">
        <v>3005</v>
      </c>
      <c r="C2634" s="297">
        <v>12.803372</v>
      </c>
      <c r="D2634" s="297">
        <v>13.026845</v>
      </c>
      <c r="E2634" s="297">
        <v>13.725657</v>
      </c>
      <c r="F2634" s="297">
        <v>13.198650000000001</v>
      </c>
      <c r="G2634" s="297">
        <v>12.525378999999999</v>
      </c>
      <c r="H2634" s="297">
        <v>12.152336999999999</v>
      </c>
      <c r="I2634" s="297">
        <v>12.342669000000001</v>
      </c>
      <c r="J2634" s="297">
        <v>12.319622000000001</v>
      </c>
      <c r="K2634" s="297">
        <v>12.335634000000001</v>
      </c>
      <c r="L2634" s="297">
        <v>12.280257000000001</v>
      </c>
      <c r="M2634" s="297">
        <v>12.145538</v>
      </c>
      <c r="N2634" s="297">
        <v>12.105727999999999</v>
      </c>
      <c r="O2634" s="297">
        <v>12.036825</v>
      </c>
      <c r="P2634" s="297">
        <v>12.054835000000001</v>
      </c>
      <c r="Q2634" s="297">
        <v>12.155035</v>
      </c>
      <c r="R2634" s="297">
        <v>12.105644</v>
      </c>
      <c r="S2634" s="297">
        <v>12.21383</v>
      </c>
      <c r="T2634" s="297">
        <v>12.317619000000001</v>
      </c>
      <c r="U2634" s="297">
        <v>12.325685999999999</v>
      </c>
      <c r="V2634" s="297">
        <v>12.466459</v>
      </c>
      <c r="W2634" s="297">
        <v>12.634496</v>
      </c>
      <c r="X2634" s="297">
        <v>12.762821000000001</v>
      </c>
      <c r="Y2634" s="297">
        <v>12.948206000000001</v>
      </c>
      <c r="Z2634" s="297">
        <v>13.118150999999999</v>
      </c>
      <c r="AA2634" s="297">
        <v>13.250800999999999</v>
      </c>
      <c r="AB2634" s="297">
        <v>13.323012</v>
      </c>
      <c r="AC2634" s="297">
        <v>13.418272</v>
      </c>
      <c r="AD2634" s="297">
        <v>13.572647999999999</v>
      </c>
      <c r="AE2634" s="297">
        <v>13.771132</v>
      </c>
      <c r="AF2634" s="297">
        <v>13.923992</v>
      </c>
      <c r="AG2634" s="297">
        <v>14.066259000000001</v>
      </c>
      <c r="AH2634" s="296">
        <v>3.1410000000000001E-3</v>
      </c>
    </row>
    <row r="2635" spans="1:34" ht="15" customHeight="1" x14ac:dyDescent="0.25">
      <c r="A2635" s="213" t="s">
        <v>3006</v>
      </c>
      <c r="B2635" s="294" t="s">
        <v>3007</v>
      </c>
      <c r="C2635" s="297">
        <v>23.949027999999998</v>
      </c>
      <c r="D2635" s="297">
        <v>24.279340999999999</v>
      </c>
      <c r="E2635" s="297">
        <v>25.520948000000001</v>
      </c>
      <c r="F2635" s="297">
        <v>24.409497999999999</v>
      </c>
      <c r="G2635" s="297">
        <v>23.523567</v>
      </c>
      <c r="H2635" s="297">
        <v>22.929276000000002</v>
      </c>
      <c r="I2635" s="297">
        <v>23.628903999999999</v>
      </c>
      <c r="J2635" s="297">
        <v>23.648022000000001</v>
      </c>
      <c r="K2635" s="297">
        <v>23.702594999999999</v>
      </c>
      <c r="L2635" s="297">
        <v>23.526899</v>
      </c>
      <c r="M2635" s="297">
        <v>23.072548000000001</v>
      </c>
      <c r="N2635" s="297">
        <v>23.041979000000001</v>
      </c>
      <c r="O2635" s="297">
        <v>23.09516</v>
      </c>
      <c r="P2635" s="297">
        <v>23.275644</v>
      </c>
      <c r="Q2635" s="297">
        <v>23.526897000000002</v>
      </c>
      <c r="R2635" s="297">
        <v>23.534289999999999</v>
      </c>
      <c r="S2635" s="297">
        <v>23.785231</v>
      </c>
      <c r="T2635" s="297">
        <v>23.957305999999999</v>
      </c>
      <c r="U2635" s="297">
        <v>24.044343999999999</v>
      </c>
      <c r="V2635" s="297">
        <v>24.346367000000001</v>
      </c>
      <c r="W2635" s="297">
        <v>24.615750999999999</v>
      </c>
      <c r="X2635" s="297">
        <v>24.848728000000001</v>
      </c>
      <c r="Y2635" s="297">
        <v>25.176722999999999</v>
      </c>
      <c r="Z2635" s="297">
        <v>25.423662</v>
      </c>
      <c r="AA2635" s="297">
        <v>25.713497</v>
      </c>
      <c r="AB2635" s="297">
        <v>25.797279</v>
      </c>
      <c r="AC2635" s="297">
        <v>25.865438000000001</v>
      </c>
      <c r="AD2635" s="297">
        <v>25.959658000000001</v>
      </c>
      <c r="AE2635" s="297">
        <v>26.090174000000001</v>
      </c>
      <c r="AF2635" s="297">
        <v>26.240950000000002</v>
      </c>
      <c r="AG2635" s="297">
        <v>26.315434</v>
      </c>
      <c r="AH2635" s="296">
        <v>3.1459999999999999E-3</v>
      </c>
    </row>
    <row r="2636" spans="1:34" ht="15" customHeight="1" x14ac:dyDescent="0.25">
      <c r="A2636" s="213" t="s">
        <v>3008</v>
      </c>
      <c r="B2636" s="294" t="s">
        <v>3009</v>
      </c>
      <c r="C2636" s="297">
        <v>6.9345189999999999</v>
      </c>
      <c r="D2636" s="297">
        <v>6.9040600000000003</v>
      </c>
      <c r="E2636" s="297">
        <v>7.4431820000000002</v>
      </c>
      <c r="F2636" s="297">
        <v>7.2733290000000004</v>
      </c>
      <c r="G2636" s="297">
        <v>7.0672290000000002</v>
      </c>
      <c r="H2636" s="297">
        <v>6.9710580000000002</v>
      </c>
      <c r="I2636" s="297">
        <v>7.1926860000000001</v>
      </c>
      <c r="J2636" s="297">
        <v>7.2285000000000004</v>
      </c>
      <c r="K2636" s="297">
        <v>7.257549</v>
      </c>
      <c r="L2636" s="297">
        <v>7.3168759999999997</v>
      </c>
      <c r="M2636" s="297">
        <v>7.3265120000000001</v>
      </c>
      <c r="N2636" s="297">
        <v>7.4154939999999998</v>
      </c>
      <c r="O2636" s="297">
        <v>7.4272910000000003</v>
      </c>
      <c r="P2636" s="297">
        <v>7.4519500000000001</v>
      </c>
      <c r="Q2636" s="297">
        <v>7.4913100000000004</v>
      </c>
      <c r="R2636" s="297">
        <v>7.4620439999999997</v>
      </c>
      <c r="S2636" s="297">
        <v>7.5104870000000004</v>
      </c>
      <c r="T2636" s="297">
        <v>7.5487460000000004</v>
      </c>
      <c r="U2636" s="297">
        <v>7.5970490000000002</v>
      </c>
      <c r="V2636" s="297">
        <v>7.6759620000000002</v>
      </c>
      <c r="W2636" s="297">
        <v>7.7677820000000004</v>
      </c>
      <c r="X2636" s="297">
        <v>7.8396059999999999</v>
      </c>
      <c r="Y2636" s="297">
        <v>7.9612889999999998</v>
      </c>
      <c r="Z2636" s="297">
        <v>8.0800199999999993</v>
      </c>
      <c r="AA2636" s="297">
        <v>8.1757380000000008</v>
      </c>
      <c r="AB2636" s="297">
        <v>8.2182440000000003</v>
      </c>
      <c r="AC2636" s="297">
        <v>8.2809340000000002</v>
      </c>
      <c r="AD2636" s="297">
        <v>8.3371279999999999</v>
      </c>
      <c r="AE2636" s="297">
        <v>8.4374269999999996</v>
      </c>
      <c r="AF2636" s="297">
        <v>8.5435689999999997</v>
      </c>
      <c r="AG2636" s="297">
        <v>8.6682559999999995</v>
      </c>
      <c r="AH2636" s="296">
        <v>7.4660000000000004E-3</v>
      </c>
    </row>
    <row r="2637" spans="1:34" ht="15" customHeight="1" x14ac:dyDescent="0.25">
      <c r="A2637" s="213" t="s">
        <v>3010</v>
      </c>
      <c r="B2637" s="294" t="s">
        <v>3011</v>
      </c>
      <c r="C2637" s="297">
        <v>11.691917</v>
      </c>
      <c r="D2637" s="297">
        <v>11.811082000000001</v>
      </c>
      <c r="E2637" s="297">
        <v>12.64071</v>
      </c>
      <c r="F2637" s="297">
        <v>12.170439999999999</v>
      </c>
      <c r="G2637" s="297">
        <v>11.676261</v>
      </c>
      <c r="H2637" s="297">
        <v>11.291903</v>
      </c>
      <c r="I2637" s="297">
        <v>11.367010000000001</v>
      </c>
      <c r="J2637" s="297">
        <v>11.198143999999999</v>
      </c>
      <c r="K2637" s="297">
        <v>11.05402</v>
      </c>
      <c r="L2637" s="297">
        <v>10.962776</v>
      </c>
      <c r="M2637" s="297">
        <v>10.790157000000001</v>
      </c>
      <c r="N2637" s="297">
        <v>10.745564</v>
      </c>
      <c r="O2637" s="297">
        <v>10.720974</v>
      </c>
      <c r="P2637" s="297">
        <v>10.635090999999999</v>
      </c>
      <c r="Q2637" s="297">
        <v>10.49084</v>
      </c>
      <c r="R2637" s="297">
        <v>10.375519000000001</v>
      </c>
      <c r="S2637" s="297">
        <v>10.345661</v>
      </c>
      <c r="T2637" s="297">
        <v>10.243732</v>
      </c>
      <c r="U2637" s="297">
        <v>10.215586</v>
      </c>
      <c r="V2637" s="297">
        <v>10.226876000000001</v>
      </c>
      <c r="W2637" s="297">
        <v>10.268604</v>
      </c>
      <c r="X2637" s="297">
        <v>10.37879</v>
      </c>
      <c r="Y2637" s="297">
        <v>10.500907</v>
      </c>
      <c r="Z2637" s="297">
        <v>10.635657999999999</v>
      </c>
      <c r="AA2637" s="297">
        <v>10.832217</v>
      </c>
      <c r="AB2637" s="297">
        <v>10.985906</v>
      </c>
      <c r="AC2637" s="297">
        <v>11.136895000000001</v>
      </c>
      <c r="AD2637" s="297">
        <v>11.239361000000001</v>
      </c>
      <c r="AE2637" s="297">
        <v>11.388021999999999</v>
      </c>
      <c r="AF2637" s="297">
        <v>11.535475</v>
      </c>
      <c r="AG2637" s="297">
        <v>11.693218</v>
      </c>
      <c r="AH2637" s="296">
        <v>3.9999999999999998E-6</v>
      </c>
    </row>
    <row r="2638" spans="1:34" ht="15" customHeight="1" x14ac:dyDescent="0.25">
      <c r="A2638" s="213" t="s">
        <v>3012</v>
      </c>
      <c r="B2638" s="294" t="s">
        <v>3013</v>
      </c>
      <c r="C2638" s="297">
        <v>22.897141000000001</v>
      </c>
      <c r="D2638" s="297">
        <v>23.357579999999999</v>
      </c>
      <c r="E2638" s="297">
        <v>25.242262</v>
      </c>
      <c r="F2638" s="297">
        <v>24.077404000000001</v>
      </c>
      <c r="G2638" s="297">
        <v>23.015014999999998</v>
      </c>
      <c r="H2638" s="297">
        <v>22.246638999999998</v>
      </c>
      <c r="I2638" s="297">
        <v>22.702514999999998</v>
      </c>
      <c r="J2638" s="297">
        <v>22.468170000000001</v>
      </c>
      <c r="K2638" s="297">
        <v>22.429127000000001</v>
      </c>
      <c r="L2638" s="297">
        <v>22.404308</v>
      </c>
      <c r="M2638" s="297">
        <v>22.167164</v>
      </c>
      <c r="N2638" s="297">
        <v>22.116168999999999</v>
      </c>
      <c r="O2638" s="297">
        <v>22.043248999999999</v>
      </c>
      <c r="P2638" s="297">
        <v>22.115065000000001</v>
      </c>
      <c r="Q2638" s="297">
        <v>22.210920000000002</v>
      </c>
      <c r="R2638" s="297">
        <v>22.075876000000001</v>
      </c>
      <c r="S2638" s="297">
        <v>22.168845999999998</v>
      </c>
      <c r="T2638" s="297">
        <v>22.218378000000001</v>
      </c>
      <c r="U2638" s="297">
        <v>22.216802999999999</v>
      </c>
      <c r="V2638" s="297">
        <v>22.397252999999999</v>
      </c>
      <c r="W2638" s="297">
        <v>22.622976000000001</v>
      </c>
      <c r="X2638" s="297">
        <v>22.78265</v>
      </c>
      <c r="Y2638" s="297">
        <v>23.093349</v>
      </c>
      <c r="Z2638" s="297">
        <v>23.315445</v>
      </c>
      <c r="AA2638" s="297">
        <v>23.523132</v>
      </c>
      <c r="AB2638" s="297">
        <v>23.579951999999999</v>
      </c>
      <c r="AC2638" s="297">
        <v>23.680095999999999</v>
      </c>
      <c r="AD2638" s="297">
        <v>23.811088999999999</v>
      </c>
      <c r="AE2638" s="297">
        <v>24.017448000000002</v>
      </c>
      <c r="AF2638" s="297">
        <v>24.237331000000001</v>
      </c>
      <c r="AG2638" s="297">
        <v>24.420683</v>
      </c>
      <c r="AH2638" s="296">
        <v>2.15E-3</v>
      </c>
    </row>
    <row r="2639" spans="1:34" ht="15" customHeight="1" x14ac:dyDescent="0.25">
      <c r="A2639" s="213" t="s">
        <v>3014</v>
      </c>
      <c r="B2639" s="294" t="s">
        <v>3015</v>
      </c>
      <c r="C2639" s="297">
        <v>99.372451999999996</v>
      </c>
      <c r="D2639" s="297">
        <v>96.521773999999994</v>
      </c>
      <c r="E2639" s="297">
        <v>102.553833</v>
      </c>
      <c r="F2639" s="297">
        <v>101.748566</v>
      </c>
      <c r="G2639" s="297">
        <v>100.684196</v>
      </c>
      <c r="H2639" s="297">
        <v>99.834084000000004</v>
      </c>
      <c r="I2639" s="297">
        <v>101.947479</v>
      </c>
      <c r="J2639" s="297">
        <v>102.079826</v>
      </c>
      <c r="K2639" s="297">
        <v>102.60894</v>
      </c>
      <c r="L2639" s="297">
        <v>103.284126</v>
      </c>
      <c r="M2639" s="297">
        <v>103.44523599999999</v>
      </c>
      <c r="N2639" s="297">
        <v>104.169479</v>
      </c>
      <c r="O2639" s="297">
        <v>104.457634</v>
      </c>
      <c r="P2639" s="297">
        <v>104.92364499999999</v>
      </c>
      <c r="Q2639" s="297">
        <v>105.60204299999999</v>
      </c>
      <c r="R2639" s="297">
        <v>105.815147</v>
      </c>
      <c r="S2639" s="297">
        <v>106.650108</v>
      </c>
      <c r="T2639" s="297">
        <v>107.290001</v>
      </c>
      <c r="U2639" s="297">
        <v>107.991692</v>
      </c>
      <c r="V2639" s="297">
        <v>109.060982</v>
      </c>
      <c r="W2639" s="297">
        <v>110.53183</v>
      </c>
      <c r="X2639" s="297">
        <v>111.84786200000001</v>
      </c>
      <c r="Y2639" s="297">
        <v>113.5466</v>
      </c>
      <c r="Z2639" s="297">
        <v>115.193146</v>
      </c>
      <c r="AA2639" s="297">
        <v>116.738342</v>
      </c>
      <c r="AB2639" s="297">
        <v>117.907173</v>
      </c>
      <c r="AC2639" s="297">
        <v>119.23921199999999</v>
      </c>
      <c r="AD2639" s="297">
        <v>120.48007200000001</v>
      </c>
      <c r="AE2639" s="297">
        <v>121.927826</v>
      </c>
      <c r="AF2639" s="297">
        <v>123.362022</v>
      </c>
      <c r="AG2639" s="297">
        <v>124.740143</v>
      </c>
      <c r="AH2639" s="296">
        <v>7.607E-3</v>
      </c>
    </row>
    <row r="2640" spans="1:34" ht="15" customHeight="1" x14ac:dyDescent="0.2">
      <c r="A2640" s="213" t="s">
        <v>3016</v>
      </c>
      <c r="B2640" s="204" t="s">
        <v>3017</v>
      </c>
      <c r="C2640" s="299">
        <v>991.42541500000004</v>
      </c>
      <c r="D2640" s="299">
        <v>997.63793899999996</v>
      </c>
      <c r="E2640" s="299">
        <v>1020.521667</v>
      </c>
      <c r="F2640" s="299">
        <v>997.50402799999995</v>
      </c>
      <c r="G2640" s="299">
        <v>990.03411900000003</v>
      </c>
      <c r="H2640" s="299">
        <v>984.91900599999997</v>
      </c>
      <c r="I2640" s="299">
        <v>998.71154799999999</v>
      </c>
      <c r="J2640" s="299">
        <v>995.219604</v>
      </c>
      <c r="K2640" s="299">
        <v>996.72656199999994</v>
      </c>
      <c r="L2640" s="299">
        <v>999.60314900000003</v>
      </c>
      <c r="M2640" s="299">
        <v>998.10235599999999</v>
      </c>
      <c r="N2640" s="299">
        <v>1000.6769410000001</v>
      </c>
      <c r="O2640" s="299">
        <v>999.72753899999998</v>
      </c>
      <c r="P2640" s="299">
        <v>1000.397888</v>
      </c>
      <c r="Q2640" s="299">
        <v>1005.360046</v>
      </c>
      <c r="R2640" s="299">
        <v>1006.134155</v>
      </c>
      <c r="S2640" s="299">
        <v>1011.044006</v>
      </c>
      <c r="T2640" s="299">
        <v>1015.832581</v>
      </c>
      <c r="U2640" s="299">
        <v>1018.970581</v>
      </c>
      <c r="V2640" s="299">
        <v>1024.858643</v>
      </c>
      <c r="W2640" s="299">
        <v>1027.2429199999999</v>
      </c>
      <c r="X2640" s="299">
        <v>1031.1613769999999</v>
      </c>
      <c r="Y2640" s="299">
        <v>1040.7486570000001</v>
      </c>
      <c r="Z2640" s="299">
        <v>1048.3122559999999</v>
      </c>
      <c r="AA2640" s="299">
        <v>1053.012939</v>
      </c>
      <c r="AB2640" s="299">
        <v>1056.6254879999999</v>
      </c>
      <c r="AC2640" s="299">
        <v>1061.1485600000001</v>
      </c>
      <c r="AD2640" s="299">
        <v>1066.5751949999999</v>
      </c>
      <c r="AE2640" s="299">
        <v>1073.6933590000001</v>
      </c>
      <c r="AF2640" s="299">
        <v>1081.0939940000001</v>
      </c>
      <c r="AG2640" s="299">
        <v>1090.8186040000001</v>
      </c>
      <c r="AH2640" s="206">
        <v>3.1900000000000001E-3</v>
      </c>
    </row>
    <row r="2641" spans="1:34" ht="15" customHeight="1" x14ac:dyDescent="0.2">
      <c r="B2641" s="204" t="s">
        <v>3018</v>
      </c>
    </row>
    <row r="2642" spans="1:34" ht="15" customHeight="1" x14ac:dyDescent="0.25">
      <c r="A2642" s="213" t="s">
        <v>3019</v>
      </c>
      <c r="B2642" s="294" t="s">
        <v>3020</v>
      </c>
      <c r="C2642" s="297">
        <v>81.432120999999995</v>
      </c>
      <c r="D2642" s="297">
        <v>85.506195000000005</v>
      </c>
      <c r="E2642" s="297">
        <v>91.435799000000003</v>
      </c>
      <c r="F2642" s="297">
        <v>90.235839999999996</v>
      </c>
      <c r="G2642" s="297">
        <v>89.00412</v>
      </c>
      <c r="H2642" s="297">
        <v>88.804405000000003</v>
      </c>
      <c r="I2642" s="297">
        <v>90.670867999999999</v>
      </c>
      <c r="J2642" s="297">
        <v>91.435989000000006</v>
      </c>
      <c r="K2642" s="297">
        <v>92.444175999999999</v>
      </c>
      <c r="L2642" s="297">
        <v>93.339493000000004</v>
      </c>
      <c r="M2642" s="297">
        <v>94.046028000000007</v>
      </c>
      <c r="N2642" s="297">
        <v>94.878699999999995</v>
      </c>
      <c r="O2642" s="297">
        <v>95.718627999999995</v>
      </c>
      <c r="P2642" s="297">
        <v>96.628417999999996</v>
      </c>
      <c r="Q2642" s="297">
        <v>97.801147</v>
      </c>
      <c r="R2642" s="297">
        <v>98.635345000000001</v>
      </c>
      <c r="S2642" s="297">
        <v>99.871612999999996</v>
      </c>
      <c r="T2642" s="297">
        <v>101.07854500000001</v>
      </c>
      <c r="U2642" s="297">
        <v>101.9627</v>
      </c>
      <c r="V2642" s="297">
        <v>103.274368</v>
      </c>
      <c r="W2642" s="297">
        <v>104.574608</v>
      </c>
      <c r="X2642" s="297">
        <v>105.78619399999999</v>
      </c>
      <c r="Y2642" s="297">
        <v>107.14791099999999</v>
      </c>
      <c r="Z2642" s="297">
        <v>108.380669</v>
      </c>
      <c r="AA2642" s="297">
        <v>109.648956</v>
      </c>
      <c r="AB2642" s="297">
        <v>110.75427999999999</v>
      </c>
      <c r="AC2642" s="297">
        <v>111.92016599999999</v>
      </c>
      <c r="AD2642" s="297">
        <v>113.25376900000001</v>
      </c>
      <c r="AE2642" s="297">
        <v>114.72051999999999</v>
      </c>
      <c r="AF2642" s="297">
        <v>116.148056</v>
      </c>
      <c r="AG2642" s="297">
        <v>117.56379699999999</v>
      </c>
      <c r="AH2642" s="296">
        <v>1.2316000000000001E-2</v>
      </c>
    </row>
    <row r="2643" spans="1:34" ht="15" customHeight="1" x14ac:dyDescent="0.25">
      <c r="A2643" s="213" t="s">
        <v>3021</v>
      </c>
      <c r="B2643" s="294" t="s">
        <v>3022</v>
      </c>
      <c r="C2643" s="297">
        <v>73.454246999999995</v>
      </c>
      <c r="D2643" s="297">
        <v>71.503624000000002</v>
      </c>
      <c r="E2643" s="297">
        <v>75.152366999999998</v>
      </c>
      <c r="F2643" s="297">
        <v>75.958466000000001</v>
      </c>
      <c r="G2643" s="297">
        <v>76.766402999999997</v>
      </c>
      <c r="H2643" s="297">
        <v>78.054114999999996</v>
      </c>
      <c r="I2643" s="297">
        <v>80.335075000000003</v>
      </c>
      <c r="J2643" s="297">
        <v>81.557686000000004</v>
      </c>
      <c r="K2643" s="297">
        <v>82.523071000000002</v>
      </c>
      <c r="L2643" s="297">
        <v>83.478499999999997</v>
      </c>
      <c r="M2643" s="297">
        <v>84.340523000000005</v>
      </c>
      <c r="N2643" s="297">
        <v>85.559212000000002</v>
      </c>
      <c r="O2643" s="297">
        <v>86.495399000000006</v>
      </c>
      <c r="P2643" s="297">
        <v>87.450417000000002</v>
      </c>
      <c r="Q2643" s="297">
        <v>88.506836000000007</v>
      </c>
      <c r="R2643" s="297">
        <v>89.400101000000006</v>
      </c>
      <c r="S2643" s="297">
        <v>90.247162000000003</v>
      </c>
      <c r="T2643" s="297">
        <v>90.943489</v>
      </c>
      <c r="U2643" s="297">
        <v>91.811179999999993</v>
      </c>
      <c r="V2643" s="297">
        <v>92.853545999999994</v>
      </c>
      <c r="W2643" s="297">
        <v>94.152480999999995</v>
      </c>
      <c r="X2643" s="297">
        <v>95.496902000000006</v>
      </c>
      <c r="Y2643" s="297">
        <v>96.926429999999996</v>
      </c>
      <c r="Z2643" s="297">
        <v>98.543059999999997</v>
      </c>
      <c r="AA2643" s="297">
        <v>100.29980500000001</v>
      </c>
      <c r="AB2643" s="297">
        <v>101.879211</v>
      </c>
      <c r="AC2643" s="297">
        <v>103.450699</v>
      </c>
      <c r="AD2643" s="297">
        <v>104.993584</v>
      </c>
      <c r="AE2643" s="297">
        <v>106.782516</v>
      </c>
      <c r="AF2643" s="297">
        <v>108.68364699999999</v>
      </c>
      <c r="AG2643" s="297">
        <v>110.656853</v>
      </c>
      <c r="AH2643" s="296">
        <v>1.3753E-2</v>
      </c>
    </row>
    <row r="2644" spans="1:34" ht="15" customHeight="1" x14ac:dyDescent="0.25">
      <c r="A2644" s="213" t="s">
        <v>3023</v>
      </c>
      <c r="B2644" s="294" t="s">
        <v>3024</v>
      </c>
      <c r="C2644" s="297">
        <v>81.459579000000005</v>
      </c>
      <c r="D2644" s="297">
        <v>79.006850999999997</v>
      </c>
      <c r="E2644" s="297">
        <v>83.040779000000001</v>
      </c>
      <c r="F2644" s="297">
        <v>82.772636000000006</v>
      </c>
      <c r="G2644" s="297">
        <v>81.266716000000002</v>
      </c>
      <c r="H2644" s="297">
        <v>79.887023999999997</v>
      </c>
      <c r="I2644" s="297">
        <v>80.352660999999998</v>
      </c>
      <c r="J2644" s="297">
        <v>79.423423999999997</v>
      </c>
      <c r="K2644" s="297">
        <v>79.327538000000004</v>
      </c>
      <c r="L2644" s="297">
        <v>79.332024000000004</v>
      </c>
      <c r="M2644" s="297">
        <v>79.137969999999996</v>
      </c>
      <c r="N2644" s="297">
        <v>78.895454000000001</v>
      </c>
      <c r="O2644" s="297">
        <v>78.338852000000003</v>
      </c>
      <c r="P2644" s="297">
        <v>78.217849999999999</v>
      </c>
      <c r="Q2644" s="297">
        <v>78.204650999999998</v>
      </c>
      <c r="R2644" s="297">
        <v>77.596016000000006</v>
      </c>
      <c r="S2644" s="297">
        <v>77.260650999999996</v>
      </c>
      <c r="T2644" s="297">
        <v>76.976685000000003</v>
      </c>
      <c r="U2644" s="297">
        <v>76.547791000000004</v>
      </c>
      <c r="V2644" s="297">
        <v>76.413253999999995</v>
      </c>
      <c r="W2644" s="297">
        <v>76.300407000000007</v>
      </c>
      <c r="X2644" s="297">
        <v>76.073836999999997</v>
      </c>
      <c r="Y2644" s="297">
        <v>76.393912999999998</v>
      </c>
      <c r="Z2644" s="297">
        <v>76.703513999999998</v>
      </c>
      <c r="AA2644" s="297">
        <v>76.857360999999997</v>
      </c>
      <c r="AB2644" s="297">
        <v>76.525229999999993</v>
      </c>
      <c r="AC2644" s="297">
        <v>76.502403000000001</v>
      </c>
      <c r="AD2644" s="297">
        <v>76.529777999999993</v>
      </c>
      <c r="AE2644" s="297">
        <v>76.723877000000002</v>
      </c>
      <c r="AF2644" s="297">
        <v>76.907082000000003</v>
      </c>
      <c r="AG2644" s="297">
        <v>76.896750999999995</v>
      </c>
      <c r="AH2644" s="296">
        <v>-1.92E-3</v>
      </c>
    </row>
    <row r="2645" spans="1:34" ht="15" customHeight="1" x14ac:dyDescent="0.2">
      <c r="A2645" s="213" t="s">
        <v>3025</v>
      </c>
      <c r="B2645" s="204" t="s">
        <v>3026</v>
      </c>
      <c r="C2645" s="299">
        <v>236.345947</v>
      </c>
      <c r="D2645" s="299">
        <v>236.01667800000001</v>
      </c>
      <c r="E2645" s="299">
        <v>249.62893700000001</v>
      </c>
      <c r="F2645" s="299">
        <v>248.966949</v>
      </c>
      <c r="G2645" s="299">
        <v>247.03723099999999</v>
      </c>
      <c r="H2645" s="299">
        <v>246.745544</v>
      </c>
      <c r="I2645" s="299">
        <v>251.35861199999999</v>
      </c>
      <c r="J2645" s="299">
        <v>252.417114</v>
      </c>
      <c r="K2645" s="299">
        <v>254.29480000000001</v>
      </c>
      <c r="L2645" s="299">
        <v>256.15002399999997</v>
      </c>
      <c r="M2645" s="299">
        <v>257.52453600000001</v>
      </c>
      <c r="N2645" s="299">
        <v>259.33337399999999</v>
      </c>
      <c r="O2645" s="299">
        <v>260.55285600000002</v>
      </c>
      <c r="P2645" s="299">
        <v>262.29669200000001</v>
      </c>
      <c r="Q2645" s="299">
        <v>264.51263399999999</v>
      </c>
      <c r="R2645" s="299">
        <v>265.63146999999998</v>
      </c>
      <c r="S2645" s="299">
        <v>267.37942500000003</v>
      </c>
      <c r="T2645" s="299">
        <v>268.998718</v>
      </c>
      <c r="U2645" s="299">
        <v>270.32165500000002</v>
      </c>
      <c r="V2645" s="299">
        <v>272.54116800000003</v>
      </c>
      <c r="W2645" s="299">
        <v>275.02749599999999</v>
      </c>
      <c r="X2645" s="299">
        <v>277.35693400000002</v>
      </c>
      <c r="Y2645" s="299">
        <v>280.46826199999998</v>
      </c>
      <c r="Z2645" s="299">
        <v>283.62725799999998</v>
      </c>
      <c r="AA2645" s="299">
        <v>286.80612200000002</v>
      </c>
      <c r="AB2645" s="299">
        <v>289.15872200000001</v>
      </c>
      <c r="AC2645" s="299">
        <v>291.87326000000002</v>
      </c>
      <c r="AD2645" s="299">
        <v>294.77713</v>
      </c>
      <c r="AE2645" s="299">
        <v>298.22692899999998</v>
      </c>
      <c r="AF2645" s="299">
        <v>301.73876999999999</v>
      </c>
      <c r="AG2645" s="299">
        <v>305.11740099999997</v>
      </c>
      <c r="AH2645" s="206">
        <v>8.5500000000000003E-3</v>
      </c>
    </row>
    <row r="2646" spans="1:34" ht="15" customHeight="1" x14ac:dyDescent="0.25">
      <c r="A2646" s="213" t="s">
        <v>3027</v>
      </c>
      <c r="B2646" s="294" t="s">
        <v>2959</v>
      </c>
      <c r="C2646" s="297">
        <v>132.26135300000001</v>
      </c>
      <c r="D2646" s="297">
        <v>131.82055700000001</v>
      </c>
      <c r="E2646" s="297">
        <v>128.54174800000001</v>
      </c>
      <c r="F2646" s="297">
        <v>158.78185999999999</v>
      </c>
      <c r="G2646" s="297">
        <v>161.342896</v>
      </c>
      <c r="H2646" s="297">
        <v>167.124268</v>
      </c>
      <c r="I2646" s="297">
        <v>173.40051299999999</v>
      </c>
      <c r="J2646" s="297">
        <v>174.544434</v>
      </c>
      <c r="K2646" s="297">
        <v>177.16503900000001</v>
      </c>
      <c r="L2646" s="297">
        <v>179.64184599999999</v>
      </c>
      <c r="M2646" s="297">
        <v>183.57934599999999</v>
      </c>
      <c r="N2646" s="297">
        <v>186.50842299999999</v>
      </c>
      <c r="O2646" s="297">
        <v>187.30969200000001</v>
      </c>
      <c r="P2646" s="297">
        <v>189.28564499999999</v>
      </c>
      <c r="Q2646" s="297">
        <v>190.949341</v>
      </c>
      <c r="R2646" s="297">
        <v>191.29956100000001</v>
      </c>
      <c r="S2646" s="297">
        <v>191.91149899999999</v>
      </c>
      <c r="T2646" s="297">
        <v>192.382812</v>
      </c>
      <c r="U2646" s="297">
        <v>192.721924</v>
      </c>
      <c r="V2646" s="297">
        <v>193.64099100000001</v>
      </c>
      <c r="W2646" s="297">
        <v>195.07092299999999</v>
      </c>
      <c r="X2646" s="297">
        <v>196.16149899999999</v>
      </c>
      <c r="Y2646" s="297">
        <v>197.93652299999999</v>
      </c>
      <c r="Z2646" s="297">
        <v>200.38183599999999</v>
      </c>
      <c r="AA2646" s="297">
        <v>202.11035200000001</v>
      </c>
      <c r="AB2646" s="297">
        <v>201.80053699999999</v>
      </c>
      <c r="AC2646" s="297">
        <v>202.86340300000001</v>
      </c>
      <c r="AD2646" s="297">
        <v>204.095337</v>
      </c>
      <c r="AE2646" s="297">
        <v>205.44103999999999</v>
      </c>
      <c r="AF2646" s="297">
        <v>205.48107899999999</v>
      </c>
      <c r="AG2646" s="297">
        <v>205.91821300000001</v>
      </c>
      <c r="AH2646" s="296">
        <v>1.4866000000000001E-2</v>
      </c>
    </row>
    <row r="2647" spans="1:34" ht="15" customHeight="1" x14ac:dyDescent="0.2">
      <c r="A2647" s="213" t="s">
        <v>3028</v>
      </c>
      <c r="B2647" s="204" t="s">
        <v>3029</v>
      </c>
      <c r="C2647" s="299">
        <v>1360.0327150000001</v>
      </c>
      <c r="D2647" s="299">
        <v>1365.47522</v>
      </c>
      <c r="E2647" s="299">
        <v>1398.6923830000001</v>
      </c>
      <c r="F2647" s="299">
        <v>1405.252808</v>
      </c>
      <c r="G2647" s="299">
        <v>1398.4141850000001</v>
      </c>
      <c r="H2647" s="299">
        <v>1398.788818</v>
      </c>
      <c r="I2647" s="299">
        <v>1423.470703</v>
      </c>
      <c r="J2647" s="299">
        <v>1422.1811520000001</v>
      </c>
      <c r="K2647" s="299">
        <v>1428.1864009999999</v>
      </c>
      <c r="L2647" s="299">
        <v>1435.3950199999999</v>
      </c>
      <c r="M2647" s="299">
        <v>1439.2062989999999</v>
      </c>
      <c r="N2647" s="299">
        <v>1446.518677</v>
      </c>
      <c r="O2647" s="299">
        <v>1447.5900879999999</v>
      </c>
      <c r="P2647" s="299">
        <v>1451.980225</v>
      </c>
      <c r="Q2647" s="299">
        <v>1460.8220209999999</v>
      </c>
      <c r="R2647" s="299">
        <v>1463.065186</v>
      </c>
      <c r="S2647" s="299">
        <v>1470.334961</v>
      </c>
      <c r="T2647" s="299">
        <v>1477.214111</v>
      </c>
      <c r="U2647" s="299">
        <v>1482.0141599999999</v>
      </c>
      <c r="V2647" s="299">
        <v>1491.0407709999999</v>
      </c>
      <c r="W2647" s="299">
        <v>1497.3413089999999</v>
      </c>
      <c r="X2647" s="299">
        <v>1504.6798100000001</v>
      </c>
      <c r="Y2647" s="299">
        <v>1519.153442</v>
      </c>
      <c r="Z2647" s="299">
        <v>1532.321289</v>
      </c>
      <c r="AA2647" s="299">
        <v>1541.929443</v>
      </c>
      <c r="AB2647" s="299">
        <v>1547.584717</v>
      </c>
      <c r="AC2647" s="299">
        <v>1555.885254</v>
      </c>
      <c r="AD2647" s="299">
        <v>1565.4476320000001</v>
      </c>
      <c r="AE2647" s="299">
        <v>1577.361328</v>
      </c>
      <c r="AF2647" s="299">
        <v>1588.3138429999999</v>
      </c>
      <c r="AG2647" s="299">
        <v>1601.8542480000001</v>
      </c>
      <c r="AH2647" s="206">
        <v>5.47E-3</v>
      </c>
    </row>
    <row r="2649" spans="1:34" ht="15" customHeight="1" x14ac:dyDescent="0.2">
      <c r="B2649" s="204" t="s">
        <v>3030</v>
      </c>
    </row>
    <row r="2650" spans="1:34" ht="15" customHeight="1" x14ac:dyDescent="0.25">
      <c r="A2650" s="213" t="s">
        <v>3031</v>
      </c>
      <c r="B2650" s="294" t="s">
        <v>3032</v>
      </c>
      <c r="C2650" s="297">
        <v>904.27911400000005</v>
      </c>
      <c r="D2650" s="297">
        <v>942.85497999999995</v>
      </c>
      <c r="E2650" s="297">
        <v>943.067993</v>
      </c>
      <c r="F2650" s="297">
        <v>943.00067100000001</v>
      </c>
      <c r="G2650" s="297">
        <v>939.32257100000004</v>
      </c>
      <c r="H2650" s="297">
        <v>933.349243</v>
      </c>
      <c r="I2650" s="297">
        <v>926.54754600000001</v>
      </c>
      <c r="J2650" s="297">
        <v>919.42901600000005</v>
      </c>
      <c r="K2650" s="297">
        <v>912.54559300000005</v>
      </c>
      <c r="L2650" s="297">
        <v>904.94897500000002</v>
      </c>
      <c r="M2650" s="297">
        <v>897.98632799999996</v>
      </c>
      <c r="N2650" s="297">
        <v>891.37872300000004</v>
      </c>
      <c r="O2650" s="297">
        <v>885.28222700000003</v>
      </c>
      <c r="P2650" s="297">
        <v>880.69311500000003</v>
      </c>
      <c r="Q2650" s="297">
        <v>877.00018299999999</v>
      </c>
      <c r="R2650" s="297">
        <v>873.67077600000005</v>
      </c>
      <c r="S2650" s="297">
        <v>870.68829300000004</v>
      </c>
      <c r="T2650" s="297">
        <v>867.76916500000004</v>
      </c>
      <c r="U2650" s="297">
        <v>865.15380900000002</v>
      </c>
      <c r="V2650" s="297">
        <v>863.50585899999999</v>
      </c>
      <c r="W2650" s="297">
        <v>862.51525900000001</v>
      </c>
      <c r="X2650" s="297">
        <v>861.46539299999995</v>
      </c>
      <c r="Y2650" s="297">
        <v>861.37567100000001</v>
      </c>
      <c r="Z2650" s="297">
        <v>861.927368</v>
      </c>
      <c r="AA2650" s="297">
        <v>862.77783199999999</v>
      </c>
      <c r="AB2650" s="297">
        <v>863.27038600000003</v>
      </c>
      <c r="AC2650" s="297">
        <v>863.97289999999998</v>
      </c>
      <c r="AD2650" s="297">
        <v>864.92761199999995</v>
      </c>
      <c r="AE2650" s="297">
        <v>866.34954800000003</v>
      </c>
      <c r="AF2650" s="297">
        <v>868.12591599999996</v>
      </c>
      <c r="AG2650" s="297">
        <v>869.86596699999996</v>
      </c>
      <c r="AH2650" s="296">
        <v>-1.292E-3</v>
      </c>
    </row>
    <row r="2651" spans="1:34" ht="15" customHeight="1" x14ac:dyDescent="0.25">
      <c r="A2651" s="213" t="s">
        <v>3033</v>
      </c>
      <c r="B2651" s="294" t="s">
        <v>3034</v>
      </c>
      <c r="C2651" s="297">
        <v>53.542090999999999</v>
      </c>
      <c r="D2651" s="297">
        <v>54.759529000000001</v>
      </c>
      <c r="E2651" s="297">
        <v>55.482467999999997</v>
      </c>
      <c r="F2651" s="297">
        <v>55.509407000000003</v>
      </c>
      <c r="G2651" s="297">
        <v>55.672339999999998</v>
      </c>
      <c r="H2651" s="297">
        <v>56.106979000000003</v>
      </c>
      <c r="I2651" s="297">
        <v>56.264766999999999</v>
      </c>
      <c r="J2651" s="297">
        <v>56.302112999999999</v>
      </c>
      <c r="K2651" s="297">
        <v>56.288012999999999</v>
      </c>
      <c r="L2651" s="297">
        <v>56.206688</v>
      </c>
      <c r="M2651" s="297">
        <v>56.204922000000003</v>
      </c>
      <c r="N2651" s="297">
        <v>56.350639000000001</v>
      </c>
      <c r="O2651" s="297">
        <v>56.513461999999997</v>
      </c>
      <c r="P2651" s="297">
        <v>56.749885999999996</v>
      </c>
      <c r="Q2651" s="297">
        <v>57.121524999999998</v>
      </c>
      <c r="R2651" s="297">
        <v>57.525199999999998</v>
      </c>
      <c r="S2651" s="297">
        <v>57.877665999999998</v>
      </c>
      <c r="T2651" s="297">
        <v>58.259070999999999</v>
      </c>
      <c r="U2651" s="297">
        <v>58.718975</v>
      </c>
      <c r="V2651" s="297">
        <v>59.195335</v>
      </c>
      <c r="W2651" s="297">
        <v>59.674079999999996</v>
      </c>
      <c r="X2651" s="297">
        <v>60.225501999999999</v>
      </c>
      <c r="Y2651" s="297">
        <v>60.889682999999998</v>
      </c>
      <c r="Z2651" s="297">
        <v>61.646210000000004</v>
      </c>
      <c r="AA2651" s="297">
        <v>62.362591000000002</v>
      </c>
      <c r="AB2651" s="297">
        <v>63.045032999999997</v>
      </c>
      <c r="AC2651" s="297">
        <v>63.794013999999997</v>
      </c>
      <c r="AD2651" s="297">
        <v>64.424010999999993</v>
      </c>
      <c r="AE2651" s="297">
        <v>65.098929999999996</v>
      </c>
      <c r="AF2651" s="297">
        <v>65.803641999999996</v>
      </c>
      <c r="AG2651" s="297">
        <v>66.506645000000006</v>
      </c>
      <c r="AH2651" s="296">
        <v>7.254E-3</v>
      </c>
    </row>
    <row r="2652" spans="1:34" ht="15" customHeight="1" x14ac:dyDescent="0.25">
      <c r="A2652" s="213" t="s">
        <v>3035</v>
      </c>
      <c r="B2652" s="294" t="s">
        <v>3036</v>
      </c>
      <c r="C2652" s="297">
        <v>8.2636230000000008</v>
      </c>
      <c r="D2652" s="297">
        <v>10.271302</v>
      </c>
      <c r="E2652" s="297">
        <v>11.719951</v>
      </c>
      <c r="F2652" s="297">
        <v>12.809244</v>
      </c>
      <c r="G2652" s="297">
        <v>13.618319</v>
      </c>
      <c r="H2652" s="297">
        <v>14.222448999999999</v>
      </c>
      <c r="I2652" s="297">
        <v>14.636587</v>
      </c>
      <c r="J2652" s="297">
        <v>14.929592</v>
      </c>
      <c r="K2652" s="297">
        <v>15.093887</v>
      </c>
      <c r="L2652" s="297">
        <v>15.188133000000001</v>
      </c>
      <c r="M2652" s="297">
        <v>15.279733999999999</v>
      </c>
      <c r="N2652" s="297">
        <v>15.318968</v>
      </c>
      <c r="O2652" s="297">
        <v>15.36801</v>
      </c>
      <c r="P2652" s="297">
        <v>15.386333</v>
      </c>
      <c r="Q2652" s="297">
        <v>15.394204</v>
      </c>
      <c r="R2652" s="297">
        <v>15.393783000000001</v>
      </c>
      <c r="S2652" s="297">
        <v>15.384971</v>
      </c>
      <c r="T2652" s="297">
        <v>15.36637</v>
      </c>
      <c r="U2652" s="297">
        <v>15.344125999999999</v>
      </c>
      <c r="V2652" s="297">
        <v>15.305338000000001</v>
      </c>
      <c r="W2652" s="297">
        <v>15.283193000000001</v>
      </c>
      <c r="X2652" s="297">
        <v>15.214755</v>
      </c>
      <c r="Y2652" s="297">
        <v>15.162725999999999</v>
      </c>
      <c r="Z2652" s="297">
        <v>15.113659999999999</v>
      </c>
      <c r="AA2652" s="297">
        <v>15.042194</v>
      </c>
      <c r="AB2652" s="297">
        <v>14.952479</v>
      </c>
      <c r="AC2652" s="297">
        <v>14.877848</v>
      </c>
      <c r="AD2652" s="297">
        <v>14.780730999999999</v>
      </c>
      <c r="AE2652" s="297">
        <v>14.681354000000001</v>
      </c>
      <c r="AF2652" s="297">
        <v>14.546476</v>
      </c>
      <c r="AG2652" s="297">
        <v>14.425675999999999</v>
      </c>
      <c r="AH2652" s="296">
        <v>1.8745000000000001E-2</v>
      </c>
    </row>
    <row r="2653" spans="1:34" ht="15" customHeight="1" x14ac:dyDescent="0.25">
      <c r="A2653" s="213" t="s">
        <v>3037</v>
      </c>
      <c r="B2653" s="294" t="s">
        <v>3038</v>
      </c>
      <c r="C2653" s="297">
        <v>359.52908300000001</v>
      </c>
      <c r="D2653" s="297">
        <v>362.41863999999998</v>
      </c>
      <c r="E2653" s="297">
        <v>369.38763399999999</v>
      </c>
      <c r="F2653" s="297">
        <v>368.276184</v>
      </c>
      <c r="G2653" s="297">
        <v>368.50448599999999</v>
      </c>
      <c r="H2653" s="297">
        <v>369.647156</v>
      </c>
      <c r="I2653" s="297">
        <v>367.53649899999999</v>
      </c>
      <c r="J2653" s="297">
        <v>364.45172100000002</v>
      </c>
      <c r="K2653" s="297">
        <v>361.31601000000001</v>
      </c>
      <c r="L2653" s="297">
        <v>358.01626599999997</v>
      </c>
      <c r="M2653" s="297">
        <v>355.28076199999998</v>
      </c>
      <c r="N2653" s="297">
        <v>353.35586499999999</v>
      </c>
      <c r="O2653" s="297">
        <v>351.08822600000002</v>
      </c>
      <c r="P2653" s="297">
        <v>349.47885100000002</v>
      </c>
      <c r="Q2653" s="297">
        <v>348.82653800000003</v>
      </c>
      <c r="R2653" s="297">
        <v>348.859375</v>
      </c>
      <c r="S2653" s="297">
        <v>348.63793900000002</v>
      </c>
      <c r="T2653" s="297">
        <v>348.90432700000002</v>
      </c>
      <c r="U2653" s="297">
        <v>350.116241</v>
      </c>
      <c r="V2653" s="297">
        <v>351.441956</v>
      </c>
      <c r="W2653" s="297">
        <v>352.658142</v>
      </c>
      <c r="X2653" s="297">
        <v>354.391479</v>
      </c>
      <c r="Y2653" s="297">
        <v>357.76544200000001</v>
      </c>
      <c r="Z2653" s="297">
        <v>361.68597399999999</v>
      </c>
      <c r="AA2653" s="297">
        <v>364.85589599999997</v>
      </c>
      <c r="AB2653" s="297">
        <v>367.92251599999997</v>
      </c>
      <c r="AC2653" s="297">
        <v>371.095215</v>
      </c>
      <c r="AD2653" s="297">
        <v>374.04760700000003</v>
      </c>
      <c r="AE2653" s="297">
        <v>377.44927999999999</v>
      </c>
      <c r="AF2653" s="297">
        <v>380.79714999999999</v>
      </c>
      <c r="AG2653" s="297">
        <v>384.31878699999999</v>
      </c>
      <c r="AH2653" s="296">
        <v>2.225E-3</v>
      </c>
    </row>
    <row r="2654" spans="1:34" ht="15" customHeight="1" x14ac:dyDescent="0.25">
      <c r="A2654" s="213" t="s">
        <v>3039</v>
      </c>
      <c r="B2654" s="294" t="s">
        <v>3040</v>
      </c>
      <c r="C2654" s="297">
        <v>2.7755230000000002</v>
      </c>
      <c r="D2654" s="297">
        <v>3.3604609999999999</v>
      </c>
      <c r="E2654" s="297">
        <v>3.8133949999999999</v>
      </c>
      <c r="F2654" s="297">
        <v>3.9078719999999998</v>
      </c>
      <c r="G2654" s="297">
        <v>3.9154070000000001</v>
      </c>
      <c r="H2654" s="297">
        <v>3.909284</v>
      </c>
      <c r="I2654" s="297">
        <v>4.0499419999999997</v>
      </c>
      <c r="J2654" s="297">
        <v>4.0723450000000003</v>
      </c>
      <c r="K2654" s="297">
        <v>4.0865710000000002</v>
      </c>
      <c r="L2654" s="297">
        <v>4.0934080000000002</v>
      </c>
      <c r="M2654" s="297">
        <v>4.0909990000000001</v>
      </c>
      <c r="N2654" s="297">
        <v>4.0924620000000003</v>
      </c>
      <c r="O2654" s="297">
        <v>4.1096009999999996</v>
      </c>
      <c r="P2654" s="297">
        <v>4.1427350000000001</v>
      </c>
      <c r="Q2654" s="297">
        <v>4.1804860000000001</v>
      </c>
      <c r="R2654" s="297">
        <v>4.17692</v>
      </c>
      <c r="S2654" s="297">
        <v>4.2076250000000002</v>
      </c>
      <c r="T2654" s="297">
        <v>4.2277129999999996</v>
      </c>
      <c r="U2654" s="297">
        <v>4.2386929999999996</v>
      </c>
      <c r="V2654" s="297">
        <v>4.2702410000000004</v>
      </c>
      <c r="W2654" s="297">
        <v>4.3259970000000001</v>
      </c>
      <c r="X2654" s="297">
        <v>4.3543960000000004</v>
      </c>
      <c r="Y2654" s="297">
        <v>4.4040679999999996</v>
      </c>
      <c r="Z2654" s="297">
        <v>4.4471699999999998</v>
      </c>
      <c r="AA2654" s="297">
        <v>4.4867290000000004</v>
      </c>
      <c r="AB2654" s="297">
        <v>4.5008569999999999</v>
      </c>
      <c r="AC2654" s="297">
        <v>4.5322319999999996</v>
      </c>
      <c r="AD2654" s="297">
        <v>4.5631750000000002</v>
      </c>
      <c r="AE2654" s="297">
        <v>4.611224</v>
      </c>
      <c r="AF2654" s="297">
        <v>4.6487439999999998</v>
      </c>
      <c r="AG2654" s="297">
        <v>4.6814010000000001</v>
      </c>
      <c r="AH2654" s="296">
        <v>1.7578E-2</v>
      </c>
    </row>
    <row r="2655" spans="1:34" ht="15" customHeight="1" x14ac:dyDescent="0.25">
      <c r="A2655" s="213" t="s">
        <v>3041</v>
      </c>
      <c r="B2655" s="294" t="s">
        <v>3042</v>
      </c>
      <c r="C2655" s="297">
        <v>30.264963000000002</v>
      </c>
      <c r="D2655" s="297">
        <v>31.604566999999999</v>
      </c>
      <c r="E2655" s="297">
        <v>31.873379</v>
      </c>
      <c r="F2655" s="297">
        <v>31.212311</v>
      </c>
      <c r="G2655" s="297">
        <v>30.930948000000001</v>
      </c>
      <c r="H2655" s="297">
        <v>30.190722000000001</v>
      </c>
      <c r="I2655" s="297">
        <v>30.228338000000001</v>
      </c>
      <c r="J2655" s="297">
        <v>29.825239</v>
      </c>
      <c r="K2655" s="297">
        <v>29.802826</v>
      </c>
      <c r="L2655" s="297">
        <v>29.845686000000001</v>
      </c>
      <c r="M2655" s="297">
        <v>29.730494</v>
      </c>
      <c r="N2655" s="297">
        <v>29.531094</v>
      </c>
      <c r="O2655" s="297">
        <v>29.365026</v>
      </c>
      <c r="P2655" s="297">
        <v>29.292121999999999</v>
      </c>
      <c r="Q2655" s="297">
        <v>29.231766</v>
      </c>
      <c r="R2655" s="297">
        <v>29.045649000000001</v>
      </c>
      <c r="S2655" s="297">
        <v>28.774709999999999</v>
      </c>
      <c r="T2655" s="297">
        <v>28.484235999999999</v>
      </c>
      <c r="U2655" s="297">
        <v>28.114750000000001</v>
      </c>
      <c r="V2655" s="297">
        <v>27.914380999999999</v>
      </c>
      <c r="W2655" s="297">
        <v>27.703661</v>
      </c>
      <c r="X2655" s="297">
        <v>27.597853000000001</v>
      </c>
      <c r="Y2655" s="297">
        <v>27.623711</v>
      </c>
      <c r="Z2655" s="297">
        <v>27.603729000000001</v>
      </c>
      <c r="AA2655" s="297">
        <v>27.544287000000001</v>
      </c>
      <c r="AB2655" s="297">
        <v>27.320958999999998</v>
      </c>
      <c r="AC2655" s="297">
        <v>27.206852000000001</v>
      </c>
      <c r="AD2655" s="297">
        <v>27.128934999999998</v>
      </c>
      <c r="AE2655" s="297">
        <v>27.118469000000001</v>
      </c>
      <c r="AF2655" s="297">
        <v>27.071798000000001</v>
      </c>
      <c r="AG2655" s="297">
        <v>27.080938</v>
      </c>
      <c r="AH2655" s="296">
        <v>-3.699E-3</v>
      </c>
    </row>
    <row r="2656" spans="1:34" ht="15" customHeight="1" x14ac:dyDescent="0.25">
      <c r="A2656" s="213" t="s">
        <v>3043</v>
      </c>
      <c r="B2656" s="294" t="s">
        <v>3044</v>
      </c>
      <c r="C2656" s="297">
        <v>5.3777889999999999</v>
      </c>
      <c r="D2656" s="297">
        <v>5.43065</v>
      </c>
      <c r="E2656" s="297">
        <v>5.3328199999999999</v>
      </c>
      <c r="F2656" s="297">
        <v>5.2014050000000003</v>
      </c>
      <c r="G2656" s="297">
        <v>5.0738269999999996</v>
      </c>
      <c r="H2656" s="297">
        <v>4.9558400000000002</v>
      </c>
      <c r="I2656" s="297">
        <v>4.7980720000000003</v>
      </c>
      <c r="J2656" s="297">
        <v>4.6354870000000004</v>
      </c>
      <c r="K2656" s="297">
        <v>4.4795550000000004</v>
      </c>
      <c r="L2656" s="297">
        <v>4.3246599999999997</v>
      </c>
      <c r="M2656" s="297">
        <v>4.1737359999999999</v>
      </c>
      <c r="N2656" s="297">
        <v>4.0974510000000004</v>
      </c>
      <c r="O2656" s="297">
        <v>4.0173860000000001</v>
      </c>
      <c r="P2656" s="297">
        <v>3.946069</v>
      </c>
      <c r="Q2656" s="297">
        <v>3.8794650000000002</v>
      </c>
      <c r="R2656" s="297">
        <v>3.8073800000000002</v>
      </c>
      <c r="S2656" s="297">
        <v>3.7308859999999999</v>
      </c>
      <c r="T2656" s="297">
        <v>3.6569769999999999</v>
      </c>
      <c r="U2656" s="297">
        <v>3.5837639999999999</v>
      </c>
      <c r="V2656" s="297">
        <v>3.513309</v>
      </c>
      <c r="W2656" s="297">
        <v>3.4375209999999998</v>
      </c>
      <c r="X2656" s="297">
        <v>3.3982480000000002</v>
      </c>
      <c r="Y2656" s="297">
        <v>3.373278</v>
      </c>
      <c r="Z2656" s="297">
        <v>3.352249</v>
      </c>
      <c r="AA2656" s="297">
        <v>3.3223470000000002</v>
      </c>
      <c r="AB2656" s="297">
        <v>3.2886419999999998</v>
      </c>
      <c r="AC2656" s="297">
        <v>3.2568830000000002</v>
      </c>
      <c r="AD2656" s="297">
        <v>3.2224270000000002</v>
      </c>
      <c r="AE2656" s="297">
        <v>3.189295</v>
      </c>
      <c r="AF2656" s="297">
        <v>3.1580180000000002</v>
      </c>
      <c r="AG2656" s="297">
        <v>3.128037</v>
      </c>
      <c r="AH2656" s="296">
        <v>-1.7899999999999999E-2</v>
      </c>
    </row>
    <row r="2657" spans="1:34" ht="15" customHeight="1" x14ac:dyDescent="0.25">
      <c r="A2657" s="213" t="s">
        <v>3045</v>
      </c>
      <c r="B2657" s="294" t="s">
        <v>3046</v>
      </c>
      <c r="C2657" s="297">
        <v>63.003520999999999</v>
      </c>
      <c r="D2657" s="297">
        <v>64.753624000000002</v>
      </c>
      <c r="E2657" s="297">
        <v>73.489861000000005</v>
      </c>
      <c r="F2657" s="297">
        <v>73.133148000000006</v>
      </c>
      <c r="G2657" s="297">
        <v>72.467735000000005</v>
      </c>
      <c r="H2657" s="297">
        <v>69.047363000000004</v>
      </c>
      <c r="I2657" s="297">
        <v>69.016425999999996</v>
      </c>
      <c r="J2657" s="297">
        <v>67.741355999999996</v>
      </c>
      <c r="K2657" s="297">
        <v>67.452797000000004</v>
      </c>
      <c r="L2657" s="297">
        <v>67.196540999999996</v>
      </c>
      <c r="M2657" s="297">
        <v>68.966155999999998</v>
      </c>
      <c r="N2657" s="297">
        <v>67.379020999999995</v>
      </c>
      <c r="O2657" s="297">
        <v>67.266006000000004</v>
      </c>
      <c r="P2657" s="297">
        <v>67.142798999999997</v>
      </c>
      <c r="Q2657" s="297">
        <v>67.038719</v>
      </c>
      <c r="R2657" s="297">
        <v>66.919075000000007</v>
      </c>
      <c r="S2657" s="297">
        <v>66.831505000000007</v>
      </c>
      <c r="T2657" s="297">
        <v>66.972328000000005</v>
      </c>
      <c r="U2657" s="297">
        <v>66.677802999999997</v>
      </c>
      <c r="V2657" s="297">
        <v>66.706314000000006</v>
      </c>
      <c r="W2657" s="297">
        <v>65.666015999999999</v>
      </c>
      <c r="X2657" s="297">
        <v>66.289710999999997</v>
      </c>
      <c r="Y2657" s="297">
        <v>65.166573</v>
      </c>
      <c r="Z2657" s="297">
        <v>65.137642</v>
      </c>
      <c r="AA2657" s="297">
        <v>64.458190999999999</v>
      </c>
      <c r="AB2657" s="297">
        <v>64.899895000000001</v>
      </c>
      <c r="AC2657" s="297">
        <v>64.283225999999999</v>
      </c>
      <c r="AD2657" s="297">
        <v>63.93045</v>
      </c>
      <c r="AE2657" s="297">
        <v>63.861190999999998</v>
      </c>
      <c r="AF2657" s="297">
        <v>63.819355000000002</v>
      </c>
      <c r="AG2657" s="297">
        <v>63.684277000000002</v>
      </c>
      <c r="AH2657" s="296">
        <v>3.5799999999999997E-4</v>
      </c>
    </row>
    <row r="2658" spans="1:34" ht="15" customHeight="1" x14ac:dyDescent="0.25">
      <c r="A2658" s="213" t="s">
        <v>3047</v>
      </c>
      <c r="B2658" s="294" t="s">
        <v>3048</v>
      </c>
      <c r="C2658" s="297">
        <v>13.080392</v>
      </c>
      <c r="D2658" s="297">
        <v>13.053706999999999</v>
      </c>
      <c r="E2658" s="297">
        <v>13.237491</v>
      </c>
      <c r="F2658" s="297">
        <v>13.289782000000001</v>
      </c>
      <c r="G2658" s="297">
        <v>13.264649</v>
      </c>
      <c r="H2658" s="297">
        <v>13.234987</v>
      </c>
      <c r="I2658" s="297">
        <v>13.166449999999999</v>
      </c>
      <c r="J2658" s="297">
        <v>13.072906</v>
      </c>
      <c r="K2658" s="297">
        <v>12.963584000000001</v>
      </c>
      <c r="L2658" s="297">
        <v>12.842649</v>
      </c>
      <c r="M2658" s="297">
        <v>12.747776</v>
      </c>
      <c r="N2658" s="297">
        <v>12.677905000000001</v>
      </c>
      <c r="O2658" s="297">
        <v>12.619675000000001</v>
      </c>
      <c r="P2658" s="297">
        <v>12.565855000000001</v>
      </c>
      <c r="Q2658" s="297">
        <v>12.522382</v>
      </c>
      <c r="R2658" s="297">
        <v>12.471348000000001</v>
      </c>
      <c r="S2658" s="297">
        <v>12.397804000000001</v>
      </c>
      <c r="T2658" s="297">
        <v>12.316922</v>
      </c>
      <c r="U2658" s="297">
        <v>12.244918</v>
      </c>
      <c r="V2658" s="297">
        <v>12.180816999999999</v>
      </c>
      <c r="W2658" s="297">
        <v>12.125921999999999</v>
      </c>
      <c r="X2658" s="297">
        <v>12.068764</v>
      </c>
      <c r="Y2658" s="297">
        <v>12.026557</v>
      </c>
      <c r="Z2658" s="297">
        <v>11.992486</v>
      </c>
      <c r="AA2658" s="297">
        <v>11.951636000000001</v>
      </c>
      <c r="AB2658" s="297">
        <v>11.901759</v>
      </c>
      <c r="AC2658" s="297">
        <v>11.848591000000001</v>
      </c>
      <c r="AD2658" s="297">
        <v>11.792425</v>
      </c>
      <c r="AE2658" s="297">
        <v>11.743327000000001</v>
      </c>
      <c r="AF2658" s="297">
        <v>11.691045000000001</v>
      </c>
      <c r="AG2658" s="297">
        <v>11.633711</v>
      </c>
      <c r="AH2658" s="296">
        <v>-3.8990000000000001E-3</v>
      </c>
    </row>
    <row r="2659" spans="1:34" ht="15" customHeight="1" x14ac:dyDescent="0.25">
      <c r="A2659" s="213" t="s">
        <v>3049</v>
      </c>
      <c r="B2659" s="294" t="s">
        <v>3050</v>
      </c>
      <c r="C2659" s="297">
        <v>131.874054</v>
      </c>
      <c r="D2659" s="297">
        <v>179.388138</v>
      </c>
      <c r="E2659" s="297">
        <v>200.27979999999999</v>
      </c>
      <c r="F2659" s="297">
        <v>209.80407700000001</v>
      </c>
      <c r="G2659" s="297">
        <v>214.76638800000001</v>
      </c>
      <c r="H2659" s="297">
        <v>218.95048499999999</v>
      </c>
      <c r="I2659" s="297">
        <v>220.325378</v>
      </c>
      <c r="J2659" s="297">
        <v>221.48841899999999</v>
      </c>
      <c r="K2659" s="297">
        <v>223.44477800000001</v>
      </c>
      <c r="L2659" s="297">
        <v>225.04077100000001</v>
      </c>
      <c r="M2659" s="297">
        <v>227.253311</v>
      </c>
      <c r="N2659" s="297">
        <v>229.963089</v>
      </c>
      <c r="O2659" s="297">
        <v>233.26675399999999</v>
      </c>
      <c r="P2659" s="297">
        <v>236.71977200000001</v>
      </c>
      <c r="Q2659" s="297">
        <v>240.19612100000001</v>
      </c>
      <c r="R2659" s="297">
        <v>243.614914</v>
      </c>
      <c r="S2659" s="297">
        <v>246.26873800000001</v>
      </c>
      <c r="T2659" s="297">
        <v>248.597443</v>
      </c>
      <c r="U2659" s="297">
        <v>251.23594700000001</v>
      </c>
      <c r="V2659" s="297">
        <v>253.98255900000001</v>
      </c>
      <c r="W2659" s="297">
        <v>257.23239100000001</v>
      </c>
      <c r="X2659" s="297">
        <v>260.41662600000001</v>
      </c>
      <c r="Y2659" s="297">
        <v>264.018799</v>
      </c>
      <c r="Z2659" s="297">
        <v>267.74993899999998</v>
      </c>
      <c r="AA2659" s="297">
        <v>271.69207799999998</v>
      </c>
      <c r="AB2659" s="297">
        <v>275.36956800000002</v>
      </c>
      <c r="AC2659" s="297">
        <v>278.87085000000002</v>
      </c>
      <c r="AD2659" s="297">
        <v>282.02630599999998</v>
      </c>
      <c r="AE2659" s="297">
        <v>284.93881199999998</v>
      </c>
      <c r="AF2659" s="297">
        <v>287.60742199999999</v>
      </c>
      <c r="AG2659" s="297">
        <v>290.295929</v>
      </c>
      <c r="AH2659" s="296">
        <v>2.6651000000000001E-2</v>
      </c>
    </row>
    <row r="2660" spans="1:34" ht="15" customHeight="1" x14ac:dyDescent="0.25">
      <c r="A2660" s="213" t="s">
        <v>3051</v>
      </c>
      <c r="B2660" s="294" t="s">
        <v>3052</v>
      </c>
      <c r="C2660" s="297">
        <v>37.970557999999997</v>
      </c>
      <c r="D2660" s="297">
        <v>38.517749999999999</v>
      </c>
      <c r="E2660" s="297">
        <v>38.518889999999999</v>
      </c>
      <c r="F2660" s="297">
        <v>37.551654999999997</v>
      </c>
      <c r="G2660" s="297">
        <v>36.929183999999999</v>
      </c>
      <c r="H2660" s="297">
        <v>36.891520999999997</v>
      </c>
      <c r="I2660" s="297">
        <v>36.792304999999999</v>
      </c>
      <c r="J2660" s="297">
        <v>36.768101000000001</v>
      </c>
      <c r="K2660" s="297">
        <v>36.956909000000003</v>
      </c>
      <c r="L2660" s="297">
        <v>36.860767000000003</v>
      </c>
      <c r="M2660" s="297">
        <v>36.706696000000001</v>
      </c>
      <c r="N2660" s="297">
        <v>36.699717999999997</v>
      </c>
      <c r="O2660" s="297">
        <v>36.755226</v>
      </c>
      <c r="P2660" s="297">
        <v>36.816681000000003</v>
      </c>
      <c r="Q2660" s="297">
        <v>36.881805</v>
      </c>
      <c r="R2660" s="297">
        <v>36.948340999999999</v>
      </c>
      <c r="S2660" s="297">
        <v>37.015362000000003</v>
      </c>
      <c r="T2660" s="297">
        <v>37.085467999999999</v>
      </c>
      <c r="U2660" s="297">
        <v>37.158470000000001</v>
      </c>
      <c r="V2660" s="297">
        <v>37.233767999999998</v>
      </c>
      <c r="W2660" s="297">
        <v>37.310062000000002</v>
      </c>
      <c r="X2660" s="297">
        <v>37.373592000000002</v>
      </c>
      <c r="Y2660" s="297">
        <v>37.451678999999999</v>
      </c>
      <c r="Z2660" s="297">
        <v>37.534725000000002</v>
      </c>
      <c r="AA2660" s="297">
        <v>37.608367999999999</v>
      </c>
      <c r="AB2660" s="297">
        <v>37.678196</v>
      </c>
      <c r="AC2660" s="297">
        <v>37.749447000000004</v>
      </c>
      <c r="AD2660" s="297">
        <v>37.818171999999997</v>
      </c>
      <c r="AE2660" s="297">
        <v>37.889294</v>
      </c>
      <c r="AF2660" s="297">
        <v>37.952057000000003</v>
      </c>
      <c r="AG2660" s="297">
        <v>38.015121000000001</v>
      </c>
      <c r="AH2660" s="296">
        <v>3.8999999999999999E-5</v>
      </c>
    </row>
    <row r="2661" spans="1:34" ht="15" customHeight="1" x14ac:dyDescent="0.25">
      <c r="A2661" s="213" t="s">
        <v>3053</v>
      </c>
      <c r="B2661" s="294" t="s">
        <v>292</v>
      </c>
      <c r="C2661" s="297">
        <v>4.4984500000000001</v>
      </c>
      <c r="D2661" s="297">
        <v>4.5794629999999996</v>
      </c>
      <c r="E2661" s="297">
        <v>4.6312389999999999</v>
      </c>
      <c r="F2661" s="297">
        <v>4.6683659999999998</v>
      </c>
      <c r="G2661" s="297">
        <v>4.6909489999999998</v>
      </c>
      <c r="H2661" s="297">
        <v>4.7022550000000001</v>
      </c>
      <c r="I2661" s="297">
        <v>4.7076900000000004</v>
      </c>
      <c r="J2661" s="297">
        <v>4.6951280000000004</v>
      </c>
      <c r="K2661" s="297">
        <v>4.6856260000000001</v>
      </c>
      <c r="L2661" s="297">
        <v>4.6780030000000004</v>
      </c>
      <c r="M2661" s="297">
        <v>4.6702950000000003</v>
      </c>
      <c r="N2661" s="297">
        <v>4.6638760000000001</v>
      </c>
      <c r="O2661" s="297">
        <v>4.6572360000000002</v>
      </c>
      <c r="P2661" s="297">
        <v>4.6520380000000001</v>
      </c>
      <c r="Q2661" s="297">
        <v>4.6498949999999999</v>
      </c>
      <c r="R2661" s="297">
        <v>4.6459400000000004</v>
      </c>
      <c r="S2661" s="297">
        <v>4.6401669999999999</v>
      </c>
      <c r="T2661" s="297">
        <v>4.6349260000000001</v>
      </c>
      <c r="U2661" s="297">
        <v>4.6308749999999996</v>
      </c>
      <c r="V2661" s="297">
        <v>4.6264620000000001</v>
      </c>
      <c r="W2661" s="297">
        <v>4.6217579999999998</v>
      </c>
      <c r="X2661" s="297">
        <v>4.6188589999999996</v>
      </c>
      <c r="Y2661" s="297">
        <v>4.6179139999999999</v>
      </c>
      <c r="Z2661" s="297">
        <v>4.6152879999999996</v>
      </c>
      <c r="AA2661" s="297">
        <v>4.6150960000000003</v>
      </c>
      <c r="AB2661" s="297">
        <v>4.6179399999999999</v>
      </c>
      <c r="AC2661" s="297">
        <v>4.6205870000000004</v>
      </c>
      <c r="AD2661" s="297">
        <v>4.6222409999999998</v>
      </c>
      <c r="AE2661" s="297">
        <v>4.6233019999999998</v>
      </c>
      <c r="AF2661" s="297">
        <v>4.6223590000000003</v>
      </c>
      <c r="AG2661" s="297">
        <v>4.6198800000000002</v>
      </c>
      <c r="AH2661" s="296">
        <v>8.8800000000000001E-4</v>
      </c>
    </row>
    <row r="2662" spans="1:34" ht="15" customHeight="1" x14ac:dyDescent="0.25">
      <c r="A2662" s="213" t="s">
        <v>3054</v>
      </c>
      <c r="B2662" s="294" t="s">
        <v>3055</v>
      </c>
      <c r="C2662" s="297">
        <v>37.472785999999999</v>
      </c>
      <c r="D2662" s="297">
        <v>40.423488999999996</v>
      </c>
      <c r="E2662" s="297">
        <v>40.141787999999998</v>
      </c>
      <c r="F2662" s="297">
        <v>38.091464999999999</v>
      </c>
      <c r="G2662" s="297">
        <v>36.097538</v>
      </c>
      <c r="H2662" s="297">
        <v>35.27758</v>
      </c>
      <c r="I2662" s="297">
        <v>33.075744999999998</v>
      </c>
      <c r="J2662" s="297">
        <v>32.785407999999997</v>
      </c>
      <c r="K2662" s="297">
        <v>32.727276000000003</v>
      </c>
      <c r="L2662" s="297">
        <v>32.698284000000001</v>
      </c>
      <c r="M2662" s="297">
        <v>32.443153000000002</v>
      </c>
      <c r="N2662" s="297">
        <v>32.508183000000002</v>
      </c>
      <c r="O2662" s="297">
        <v>32.782173</v>
      </c>
      <c r="P2662" s="297">
        <v>32.916988000000003</v>
      </c>
      <c r="Q2662" s="297">
        <v>33.031849000000001</v>
      </c>
      <c r="R2662" s="297">
        <v>33.290042999999997</v>
      </c>
      <c r="S2662" s="297">
        <v>33.459426999999998</v>
      </c>
      <c r="T2662" s="297">
        <v>33.684376</v>
      </c>
      <c r="U2662" s="297">
        <v>33.940860999999998</v>
      </c>
      <c r="V2662" s="297">
        <v>34.167171000000003</v>
      </c>
      <c r="W2662" s="297">
        <v>34.525866999999998</v>
      </c>
      <c r="X2662" s="297">
        <v>34.732807000000001</v>
      </c>
      <c r="Y2662" s="297">
        <v>35.031157999999998</v>
      </c>
      <c r="Z2662" s="297">
        <v>35.450015999999998</v>
      </c>
      <c r="AA2662" s="297">
        <v>35.869067999999999</v>
      </c>
      <c r="AB2662" s="297">
        <v>36.152031000000001</v>
      </c>
      <c r="AC2662" s="297">
        <v>36.573345000000003</v>
      </c>
      <c r="AD2662" s="297">
        <v>36.80735</v>
      </c>
      <c r="AE2662" s="297">
        <v>37.119307999999997</v>
      </c>
      <c r="AF2662" s="297">
        <v>37.492351999999997</v>
      </c>
      <c r="AG2662" s="297">
        <v>37.913722999999997</v>
      </c>
      <c r="AH2662" s="296">
        <v>3.8999999999999999E-4</v>
      </c>
    </row>
    <row r="2663" spans="1:34" ht="15" customHeight="1" x14ac:dyDescent="0.25">
      <c r="A2663" s="213" t="s">
        <v>3056</v>
      </c>
      <c r="B2663" s="294" t="s">
        <v>2959</v>
      </c>
      <c r="C2663" s="297">
        <v>-61.237183000000002</v>
      </c>
      <c r="D2663" s="297">
        <v>-63.501221000000001</v>
      </c>
      <c r="E2663" s="297">
        <v>-48.809204000000001</v>
      </c>
      <c r="F2663" s="297">
        <v>-51.750121999999998</v>
      </c>
      <c r="G2663" s="297">
        <v>-53.516724000000004</v>
      </c>
      <c r="H2663" s="297">
        <v>-59.938599000000004</v>
      </c>
      <c r="I2663" s="297">
        <v>-59.203003000000002</v>
      </c>
      <c r="J2663" s="297">
        <v>-60.872070000000001</v>
      </c>
      <c r="K2663" s="297">
        <v>-60.449950999999999</v>
      </c>
      <c r="L2663" s="297">
        <v>-60.134033000000002</v>
      </c>
      <c r="M2663" s="297">
        <v>-57.669189000000003</v>
      </c>
      <c r="N2663" s="297">
        <v>-59.949584999999999</v>
      </c>
      <c r="O2663" s="297">
        <v>-59.457520000000002</v>
      </c>
      <c r="P2663" s="297">
        <v>-59.119629000000003</v>
      </c>
      <c r="Q2663" s="297">
        <v>-58.684448000000003</v>
      </c>
      <c r="R2663" s="297">
        <v>-58.313110000000002</v>
      </c>
      <c r="S2663" s="297">
        <v>-58.259155</v>
      </c>
      <c r="T2663" s="297">
        <v>-58.490479000000001</v>
      </c>
      <c r="U2663" s="297">
        <v>-57.867187999999999</v>
      </c>
      <c r="V2663" s="297">
        <v>-57.721679999999999</v>
      </c>
      <c r="W2663" s="297">
        <v>-55.600830000000002</v>
      </c>
      <c r="X2663" s="297">
        <v>-53.766235000000002</v>
      </c>
      <c r="Y2663" s="297">
        <v>-54.675536999999998</v>
      </c>
      <c r="Z2663" s="297">
        <v>-54.334595</v>
      </c>
      <c r="AA2663" s="297">
        <v>-54.787354000000001</v>
      </c>
      <c r="AB2663" s="297">
        <v>-54.012695000000001</v>
      </c>
      <c r="AC2663" s="297">
        <v>-54.419677999999998</v>
      </c>
      <c r="AD2663" s="297">
        <v>-54.519409000000003</v>
      </c>
      <c r="AE2663" s="297">
        <v>-54.397461</v>
      </c>
      <c r="AF2663" s="297">
        <v>-54.333984000000001</v>
      </c>
      <c r="AG2663" s="297">
        <v>-54.221435999999997</v>
      </c>
      <c r="AH2663" s="296">
        <v>-4.0480000000000004E-3</v>
      </c>
    </row>
    <row r="2664" spans="1:34" ht="15" customHeight="1" x14ac:dyDescent="0.2">
      <c r="A2664" s="213" t="s">
        <v>3057</v>
      </c>
      <c r="B2664" s="204" t="s">
        <v>3058</v>
      </c>
      <c r="C2664" s="299">
        <v>1590.6945800000001</v>
      </c>
      <c r="D2664" s="299">
        <v>1687.915283</v>
      </c>
      <c r="E2664" s="299">
        <v>1742.1674800000001</v>
      </c>
      <c r="F2664" s="299">
        <v>1744.7052000000001</v>
      </c>
      <c r="G2664" s="299">
        <v>1741.7376710000001</v>
      </c>
      <c r="H2664" s="299">
        <v>1730.5473629999999</v>
      </c>
      <c r="I2664" s="299">
        <v>1721.942871</v>
      </c>
      <c r="J2664" s="299">
        <v>1709.324707</v>
      </c>
      <c r="K2664" s="299">
        <v>1701.3935550000001</v>
      </c>
      <c r="L2664" s="299">
        <v>1691.806519</v>
      </c>
      <c r="M2664" s="299">
        <v>1687.865112</v>
      </c>
      <c r="N2664" s="299">
        <v>1678.067505</v>
      </c>
      <c r="O2664" s="299">
        <v>1673.633423</v>
      </c>
      <c r="P2664" s="299">
        <v>1671.3835449999999</v>
      </c>
      <c r="Q2664" s="299">
        <v>1671.2705080000001</v>
      </c>
      <c r="R2664" s="299">
        <v>1672.055664</v>
      </c>
      <c r="S2664" s="299">
        <v>1671.655884</v>
      </c>
      <c r="T2664" s="299">
        <v>1671.4688719999999</v>
      </c>
      <c r="U2664" s="299">
        <v>1673.2921140000001</v>
      </c>
      <c r="V2664" s="299">
        <v>1676.321655</v>
      </c>
      <c r="W2664" s="299">
        <v>1681.4788820000001</v>
      </c>
      <c r="X2664" s="299">
        <v>1688.381836</v>
      </c>
      <c r="Y2664" s="299">
        <v>1694.231689</v>
      </c>
      <c r="Z2664" s="299">
        <v>1703.9217530000001</v>
      </c>
      <c r="AA2664" s="299">
        <v>1711.799072</v>
      </c>
      <c r="AB2664" s="299">
        <v>1720.9075929999999</v>
      </c>
      <c r="AC2664" s="299">
        <v>1728.2626949999999</v>
      </c>
      <c r="AD2664" s="299">
        <v>1735.5717770000001</v>
      </c>
      <c r="AE2664" s="299">
        <v>1744.275879</v>
      </c>
      <c r="AF2664" s="299">
        <v>1753.002197</v>
      </c>
      <c r="AG2664" s="299">
        <v>1761.948486</v>
      </c>
      <c r="AH2664" s="206">
        <v>3.4139999999999999E-3</v>
      </c>
    </row>
    <row r="2667" spans="1:34" ht="15" customHeight="1" x14ac:dyDescent="0.2">
      <c r="B2667" s="204" t="s">
        <v>3059</v>
      </c>
    </row>
    <row r="2668" spans="1:34" ht="15" customHeight="1" x14ac:dyDescent="0.25">
      <c r="A2668" s="213" t="s">
        <v>3060</v>
      </c>
      <c r="B2668" s="294" t="s">
        <v>3061</v>
      </c>
      <c r="C2668" s="297">
        <v>201.470169</v>
      </c>
      <c r="D2668" s="297">
        <v>201.254715</v>
      </c>
      <c r="E2668" s="297">
        <v>204.35900899999999</v>
      </c>
      <c r="F2668" s="297">
        <v>205.31710799999999</v>
      </c>
      <c r="G2668" s="297">
        <v>206.65707399999999</v>
      </c>
      <c r="H2668" s="297">
        <v>207.87309300000001</v>
      </c>
      <c r="I2668" s="297">
        <v>208.49337800000001</v>
      </c>
      <c r="J2668" s="297">
        <v>208.72467</v>
      </c>
      <c r="K2668" s="297">
        <v>207.85609400000001</v>
      </c>
      <c r="L2668" s="297">
        <v>207.471802</v>
      </c>
      <c r="M2668" s="297">
        <v>208.13400300000001</v>
      </c>
      <c r="N2668" s="297">
        <v>208.67877200000001</v>
      </c>
      <c r="O2668" s="297">
        <v>208.48156700000001</v>
      </c>
      <c r="P2668" s="297">
        <v>208.635986</v>
      </c>
      <c r="Q2668" s="297">
        <v>208.00067100000001</v>
      </c>
      <c r="R2668" s="297">
        <v>207.97081</v>
      </c>
      <c r="S2668" s="297">
        <v>207.647873</v>
      </c>
      <c r="T2668" s="297">
        <v>207.37039200000001</v>
      </c>
      <c r="U2668" s="297">
        <v>207.755112</v>
      </c>
      <c r="V2668" s="297">
        <v>207.82409699999999</v>
      </c>
      <c r="W2668" s="297">
        <v>208.12565599999999</v>
      </c>
      <c r="X2668" s="297">
        <v>208.81547499999999</v>
      </c>
      <c r="Y2668" s="297">
        <v>209.720291</v>
      </c>
      <c r="Z2668" s="297">
        <v>210.73916600000001</v>
      </c>
      <c r="AA2668" s="297">
        <v>211.84600800000001</v>
      </c>
      <c r="AB2668" s="297">
        <v>212.96043399999999</v>
      </c>
      <c r="AC2668" s="297">
        <v>214.086975</v>
      </c>
      <c r="AD2668" s="297">
        <v>215.64413500000001</v>
      </c>
      <c r="AE2668" s="297">
        <v>216.92718500000001</v>
      </c>
      <c r="AF2668" s="297">
        <v>218.43533300000001</v>
      </c>
      <c r="AG2668" s="297">
        <v>220.03282200000001</v>
      </c>
      <c r="AH2668" s="296">
        <v>2.9420000000000002E-3</v>
      </c>
    </row>
    <row r="2669" spans="1:34" ht="15" customHeight="1" x14ac:dyDescent="0.25">
      <c r="A2669" s="213" t="s">
        <v>3062</v>
      </c>
      <c r="B2669" s="294" t="s">
        <v>3063</v>
      </c>
      <c r="C2669" s="297">
        <v>19.182486999999998</v>
      </c>
      <c r="D2669" s="297">
        <v>19.241236000000001</v>
      </c>
      <c r="E2669" s="297">
        <v>19.552336</v>
      </c>
      <c r="F2669" s="297">
        <v>19.515165</v>
      </c>
      <c r="G2669" s="297">
        <v>19.519380999999999</v>
      </c>
      <c r="H2669" s="297">
        <v>19.51153</v>
      </c>
      <c r="I2669" s="297">
        <v>19.513582</v>
      </c>
      <c r="J2669" s="297">
        <v>19.524844999999999</v>
      </c>
      <c r="K2669" s="297">
        <v>18.707169</v>
      </c>
      <c r="L2669" s="297">
        <v>18.324511999999999</v>
      </c>
      <c r="M2669" s="297">
        <v>18.548805000000002</v>
      </c>
      <c r="N2669" s="297">
        <v>18.612663000000001</v>
      </c>
      <c r="O2669" s="297">
        <v>18.396979999999999</v>
      </c>
      <c r="P2669" s="297">
        <v>18.903846999999999</v>
      </c>
      <c r="Q2669" s="297">
        <v>18.746566999999999</v>
      </c>
      <c r="R2669" s="297">
        <v>18.897053</v>
      </c>
      <c r="S2669" s="297">
        <v>18.893979999999999</v>
      </c>
      <c r="T2669" s="297">
        <v>18.728677999999999</v>
      </c>
      <c r="U2669" s="297">
        <v>18.720462999999999</v>
      </c>
      <c r="V2669" s="297">
        <v>18.589251999999998</v>
      </c>
      <c r="W2669" s="297">
        <v>18.695848000000002</v>
      </c>
      <c r="X2669" s="297">
        <v>18.704756</v>
      </c>
      <c r="Y2669" s="297">
        <v>18.704443000000001</v>
      </c>
      <c r="Z2669" s="297">
        <v>18.597173999999999</v>
      </c>
      <c r="AA2669" s="297">
        <v>18.699836999999999</v>
      </c>
      <c r="AB2669" s="297">
        <v>18.700946999999999</v>
      </c>
      <c r="AC2669" s="297">
        <v>18.600180000000002</v>
      </c>
      <c r="AD2669" s="297">
        <v>18.704785999999999</v>
      </c>
      <c r="AE2669" s="297">
        <v>18.700911000000001</v>
      </c>
      <c r="AF2669" s="297">
        <v>18.701653</v>
      </c>
      <c r="AG2669" s="297">
        <v>18.783148000000001</v>
      </c>
      <c r="AH2669" s="296">
        <v>-7.0100000000000002E-4</v>
      </c>
    </row>
    <row r="2670" spans="1:34" ht="15" customHeight="1" x14ac:dyDescent="0.25">
      <c r="A2670" s="213" t="s">
        <v>3064</v>
      </c>
      <c r="B2670" s="294" t="s">
        <v>3065</v>
      </c>
      <c r="C2670" s="297">
        <v>182.287689</v>
      </c>
      <c r="D2670" s="297">
        <v>182.013474</v>
      </c>
      <c r="E2670" s="297">
        <v>184.80668600000001</v>
      </c>
      <c r="F2670" s="297">
        <v>185.80195599999999</v>
      </c>
      <c r="G2670" s="297">
        <v>187.13769500000001</v>
      </c>
      <c r="H2670" s="297">
        <v>188.361557</v>
      </c>
      <c r="I2670" s="297">
        <v>188.979782</v>
      </c>
      <c r="J2670" s="297">
        <v>189.199814</v>
      </c>
      <c r="K2670" s="297">
        <v>189.14894100000001</v>
      </c>
      <c r="L2670" s="297">
        <v>189.14730800000001</v>
      </c>
      <c r="M2670" s="297">
        <v>189.58519000000001</v>
      </c>
      <c r="N2670" s="297">
        <v>190.066101</v>
      </c>
      <c r="O2670" s="297">
        <v>190.08457899999999</v>
      </c>
      <c r="P2670" s="297">
        <v>189.73213200000001</v>
      </c>
      <c r="Q2670" s="297">
        <v>189.25410500000001</v>
      </c>
      <c r="R2670" s="297">
        <v>189.07376099999999</v>
      </c>
      <c r="S2670" s="297">
        <v>188.75389100000001</v>
      </c>
      <c r="T2670" s="297">
        <v>188.64172400000001</v>
      </c>
      <c r="U2670" s="297">
        <v>189.03465299999999</v>
      </c>
      <c r="V2670" s="297">
        <v>189.234848</v>
      </c>
      <c r="W2670" s="297">
        <v>189.42981</v>
      </c>
      <c r="X2670" s="297">
        <v>190.11071799999999</v>
      </c>
      <c r="Y2670" s="297">
        <v>191.01585399999999</v>
      </c>
      <c r="Z2670" s="297">
        <v>192.14201399999999</v>
      </c>
      <c r="AA2670" s="297">
        <v>193.14617899999999</v>
      </c>
      <c r="AB2670" s="297">
        <v>194.259491</v>
      </c>
      <c r="AC2670" s="297">
        <v>195.486786</v>
      </c>
      <c r="AD2670" s="297">
        <v>196.939346</v>
      </c>
      <c r="AE2670" s="297">
        <v>198.22628800000001</v>
      </c>
      <c r="AF2670" s="297">
        <v>199.73367300000001</v>
      </c>
      <c r="AG2670" s="297">
        <v>201.24968000000001</v>
      </c>
      <c r="AH2670" s="296">
        <v>3.3040000000000001E-3</v>
      </c>
    </row>
    <row r="2671" spans="1:34" ht="15" customHeight="1" x14ac:dyDescent="0.25">
      <c r="A2671" s="213" t="s">
        <v>3066</v>
      </c>
      <c r="B2671" s="294" t="s">
        <v>3067</v>
      </c>
      <c r="C2671" s="297">
        <v>26.698747999999998</v>
      </c>
      <c r="D2671" s="297">
        <v>27.459880999999999</v>
      </c>
      <c r="E2671" s="297">
        <v>27.794291000000001</v>
      </c>
      <c r="F2671" s="297">
        <v>28.546654</v>
      </c>
      <c r="G2671" s="297">
        <v>29.650167</v>
      </c>
      <c r="H2671" s="297">
        <v>30.472726999999999</v>
      </c>
      <c r="I2671" s="297">
        <v>31.515581000000001</v>
      </c>
      <c r="J2671" s="297">
        <v>32.360427999999999</v>
      </c>
      <c r="K2671" s="297">
        <v>32.840508</v>
      </c>
      <c r="L2671" s="297">
        <v>33.876663000000001</v>
      </c>
      <c r="M2671" s="297">
        <v>34.936562000000002</v>
      </c>
      <c r="N2671" s="297">
        <v>35.979762999999998</v>
      </c>
      <c r="O2671" s="297">
        <v>36.547535000000003</v>
      </c>
      <c r="P2671" s="297">
        <v>37.807243</v>
      </c>
      <c r="Q2671" s="297">
        <v>38.955993999999997</v>
      </c>
      <c r="R2671" s="297">
        <v>40.013508000000002</v>
      </c>
      <c r="S2671" s="297">
        <v>40.927875999999998</v>
      </c>
      <c r="T2671" s="297">
        <v>42.034537999999998</v>
      </c>
      <c r="U2671" s="297">
        <v>42.680934999999998</v>
      </c>
      <c r="V2671" s="297">
        <v>43.429442999999999</v>
      </c>
      <c r="W2671" s="297">
        <v>44.200339999999997</v>
      </c>
      <c r="X2671" s="297">
        <v>45.059443999999999</v>
      </c>
      <c r="Y2671" s="297">
        <v>45.777180000000001</v>
      </c>
      <c r="Z2671" s="297">
        <v>46.753014</v>
      </c>
      <c r="AA2671" s="297">
        <v>47.532387</v>
      </c>
      <c r="AB2671" s="297">
        <v>48.177970999999999</v>
      </c>
      <c r="AC2671" s="297">
        <v>49.096522999999998</v>
      </c>
      <c r="AD2671" s="297">
        <v>50.387104000000001</v>
      </c>
      <c r="AE2671" s="297">
        <v>51.600769</v>
      </c>
      <c r="AF2671" s="297">
        <v>52.362461000000003</v>
      </c>
      <c r="AG2671" s="297">
        <v>52.504508999999999</v>
      </c>
      <c r="AH2671" s="296">
        <v>2.2799E-2</v>
      </c>
    </row>
    <row r="2672" spans="1:34" ht="15" customHeight="1" x14ac:dyDescent="0.25">
      <c r="A2672" s="213" t="s">
        <v>3068</v>
      </c>
      <c r="B2672" s="294" t="s">
        <v>3069</v>
      </c>
      <c r="C2672" s="297">
        <v>84.880218999999997</v>
      </c>
      <c r="D2672" s="297">
        <v>82.653267</v>
      </c>
      <c r="E2672" s="297">
        <v>81.679596000000004</v>
      </c>
      <c r="F2672" s="297">
        <v>82.182297000000005</v>
      </c>
      <c r="G2672" s="297">
        <v>82.459023000000002</v>
      </c>
      <c r="H2672" s="297">
        <v>83.061606999999995</v>
      </c>
      <c r="I2672" s="297">
        <v>83.326652999999993</v>
      </c>
      <c r="J2672" s="297">
        <v>83.535599000000005</v>
      </c>
      <c r="K2672" s="297">
        <v>83.751045000000005</v>
      </c>
      <c r="L2672" s="297">
        <v>83.976050999999998</v>
      </c>
      <c r="M2672" s="297">
        <v>84.392730999999998</v>
      </c>
      <c r="N2672" s="297">
        <v>85.298064999999994</v>
      </c>
      <c r="O2672" s="297">
        <v>85.606719999999996</v>
      </c>
      <c r="P2672" s="297">
        <v>86.089911999999998</v>
      </c>
      <c r="Q2672" s="297">
        <v>86.671349000000006</v>
      </c>
      <c r="R2672" s="297">
        <v>87.241455000000002</v>
      </c>
      <c r="S2672" s="297">
        <v>87.693680000000001</v>
      </c>
      <c r="T2672" s="297">
        <v>88.182036999999994</v>
      </c>
      <c r="U2672" s="297">
        <v>88.688186999999999</v>
      </c>
      <c r="V2672" s="297">
        <v>89.270660000000007</v>
      </c>
      <c r="W2672" s="297">
        <v>89.910004000000001</v>
      </c>
      <c r="X2672" s="297">
        <v>90.534972999999994</v>
      </c>
      <c r="Y2672" s="297">
        <v>91.291259999999994</v>
      </c>
      <c r="Z2672" s="297">
        <v>92.137885999999995</v>
      </c>
      <c r="AA2672" s="297">
        <v>93.010802999999996</v>
      </c>
      <c r="AB2672" s="297">
        <v>94.317192000000006</v>
      </c>
      <c r="AC2672" s="297">
        <v>94.769553999999999</v>
      </c>
      <c r="AD2672" s="297">
        <v>96.402602999999999</v>
      </c>
      <c r="AE2672" s="297">
        <v>97.318320999999997</v>
      </c>
      <c r="AF2672" s="297">
        <v>98.304824999999994</v>
      </c>
      <c r="AG2672" s="297">
        <v>99.304924</v>
      </c>
      <c r="AH2672" s="296">
        <v>5.2459999999999998E-3</v>
      </c>
    </row>
    <row r="2673" spans="1:34" ht="15" customHeight="1" x14ac:dyDescent="0.25">
      <c r="A2673" s="213" t="s">
        <v>3070</v>
      </c>
      <c r="B2673" s="294" t="s">
        <v>3071</v>
      </c>
      <c r="C2673" s="297">
        <v>70.829643000000004</v>
      </c>
      <c r="D2673" s="297">
        <v>78.096656999999993</v>
      </c>
      <c r="E2673" s="297">
        <v>77.210396000000003</v>
      </c>
      <c r="F2673" s="297">
        <v>77.362305000000006</v>
      </c>
      <c r="G2673" s="297">
        <v>77.191849000000005</v>
      </c>
      <c r="H2673" s="297">
        <v>77.319312999999994</v>
      </c>
      <c r="I2673" s="297">
        <v>77.318084999999996</v>
      </c>
      <c r="J2673" s="297">
        <v>77.284706</v>
      </c>
      <c r="K2673" s="297">
        <v>77.254585000000006</v>
      </c>
      <c r="L2673" s="297">
        <v>77.177475000000001</v>
      </c>
      <c r="M2673" s="297">
        <v>77.159187000000003</v>
      </c>
      <c r="N2673" s="297">
        <v>77.159392999999994</v>
      </c>
      <c r="O2673" s="297">
        <v>77.202110000000005</v>
      </c>
      <c r="P2673" s="297">
        <v>77.363258000000002</v>
      </c>
      <c r="Q2673" s="297">
        <v>77.601776000000001</v>
      </c>
      <c r="R2673" s="297">
        <v>77.885185000000007</v>
      </c>
      <c r="S2673" s="297">
        <v>78.055083999999994</v>
      </c>
      <c r="T2673" s="297">
        <v>78.241523999999998</v>
      </c>
      <c r="U2673" s="297">
        <v>78.464225999999996</v>
      </c>
      <c r="V2673" s="297">
        <v>78.759345999999994</v>
      </c>
      <c r="W2673" s="297">
        <v>79.088936000000004</v>
      </c>
      <c r="X2673" s="297">
        <v>79.391869</v>
      </c>
      <c r="Y2673" s="297">
        <v>79.781906000000006</v>
      </c>
      <c r="Z2673" s="297">
        <v>80.237342999999996</v>
      </c>
      <c r="AA2673" s="297">
        <v>80.716301000000001</v>
      </c>
      <c r="AB2673" s="297">
        <v>81.177909999999997</v>
      </c>
      <c r="AC2673" s="297">
        <v>81.674850000000006</v>
      </c>
      <c r="AD2673" s="297">
        <v>82.160454000000001</v>
      </c>
      <c r="AE2673" s="297">
        <v>82.709305000000001</v>
      </c>
      <c r="AF2673" s="297">
        <v>83.306763000000004</v>
      </c>
      <c r="AG2673" s="297">
        <v>83.912200999999996</v>
      </c>
      <c r="AH2673" s="296">
        <v>5.666E-3</v>
      </c>
    </row>
    <row r="2674" spans="1:34" ht="15" customHeight="1" x14ac:dyDescent="0.25">
      <c r="A2674" s="213" t="s">
        <v>3072</v>
      </c>
      <c r="B2674" s="294" t="s">
        <v>3073</v>
      </c>
      <c r="C2674" s="297">
        <v>0</v>
      </c>
      <c r="D2674" s="297">
        <v>0</v>
      </c>
      <c r="E2674" s="297">
        <v>0</v>
      </c>
      <c r="F2674" s="297">
        <v>0</v>
      </c>
      <c r="G2674" s="297">
        <v>0</v>
      </c>
      <c r="H2674" s="297">
        <v>0</v>
      </c>
      <c r="I2674" s="297">
        <v>0</v>
      </c>
      <c r="J2674" s="297">
        <v>0</v>
      </c>
      <c r="K2674" s="297">
        <v>0</v>
      </c>
      <c r="L2674" s="297">
        <v>0</v>
      </c>
      <c r="M2674" s="297">
        <v>0</v>
      </c>
      <c r="N2674" s="297">
        <v>0</v>
      </c>
      <c r="O2674" s="297">
        <v>0</v>
      </c>
      <c r="P2674" s="297">
        <v>0</v>
      </c>
      <c r="Q2674" s="297">
        <v>0</v>
      </c>
      <c r="R2674" s="297">
        <v>0</v>
      </c>
      <c r="S2674" s="297">
        <v>0</v>
      </c>
      <c r="T2674" s="297">
        <v>0</v>
      </c>
      <c r="U2674" s="297">
        <v>0</v>
      </c>
      <c r="V2674" s="297">
        <v>0</v>
      </c>
      <c r="W2674" s="297">
        <v>0</v>
      </c>
      <c r="X2674" s="297">
        <v>0</v>
      </c>
      <c r="Y2674" s="297">
        <v>0</v>
      </c>
      <c r="Z2674" s="297">
        <v>0</v>
      </c>
      <c r="AA2674" s="297">
        <v>0</v>
      </c>
      <c r="AB2674" s="297">
        <v>0</v>
      </c>
      <c r="AC2674" s="297">
        <v>0</v>
      </c>
      <c r="AD2674" s="297">
        <v>0</v>
      </c>
      <c r="AE2674" s="297">
        <v>0</v>
      </c>
      <c r="AF2674" s="297">
        <v>0</v>
      </c>
      <c r="AG2674" s="297">
        <v>0</v>
      </c>
      <c r="AH2674" s="296" t="s">
        <v>635</v>
      </c>
    </row>
    <row r="2675" spans="1:34" ht="15" customHeight="1" x14ac:dyDescent="0.25">
      <c r="A2675" s="213" t="s">
        <v>3074</v>
      </c>
      <c r="B2675" s="294" t="s">
        <v>280</v>
      </c>
      <c r="C2675" s="297">
        <v>16.516017999999999</v>
      </c>
      <c r="D2675" s="297">
        <v>19.502715999999999</v>
      </c>
      <c r="E2675" s="297">
        <v>18.821621</v>
      </c>
      <c r="F2675" s="297">
        <v>19.27272</v>
      </c>
      <c r="G2675" s="297">
        <v>19.302710999999999</v>
      </c>
      <c r="H2675" s="297">
        <v>19.331475999999999</v>
      </c>
      <c r="I2675" s="297">
        <v>19.360082999999999</v>
      </c>
      <c r="J2675" s="297">
        <v>19.412452999999999</v>
      </c>
      <c r="K2675" s="297">
        <v>19.439934000000001</v>
      </c>
      <c r="L2675" s="297">
        <v>19.470572000000001</v>
      </c>
      <c r="M2675" s="297">
        <v>19.578104</v>
      </c>
      <c r="N2675" s="297">
        <v>19.556971000000001</v>
      </c>
      <c r="O2675" s="297">
        <v>19.584517999999999</v>
      </c>
      <c r="P2675" s="297">
        <v>19.593264000000001</v>
      </c>
      <c r="Q2675" s="297">
        <v>19.623964000000001</v>
      </c>
      <c r="R2675" s="297">
        <v>19.654716000000001</v>
      </c>
      <c r="S2675" s="297">
        <v>19.588263000000001</v>
      </c>
      <c r="T2675" s="297">
        <v>19.280570999999998</v>
      </c>
      <c r="U2675" s="297">
        <v>19.105195999999999</v>
      </c>
      <c r="V2675" s="297">
        <v>19.130108</v>
      </c>
      <c r="W2675" s="297">
        <v>19.155111000000002</v>
      </c>
      <c r="X2675" s="297">
        <v>19.180212000000001</v>
      </c>
      <c r="Y2675" s="297">
        <v>19.205418000000002</v>
      </c>
      <c r="Z2675" s="297">
        <v>19.171448000000002</v>
      </c>
      <c r="AA2675" s="297">
        <v>19.196058000000001</v>
      </c>
      <c r="AB2675" s="297">
        <v>19.220811999999999</v>
      </c>
      <c r="AC2675" s="297">
        <v>19.276727999999999</v>
      </c>
      <c r="AD2675" s="297">
        <v>19.302548999999999</v>
      </c>
      <c r="AE2675" s="297">
        <v>19.328555999999999</v>
      </c>
      <c r="AF2675" s="297">
        <v>19.821826999999999</v>
      </c>
      <c r="AG2675" s="297">
        <v>20.165873999999999</v>
      </c>
      <c r="AH2675" s="296">
        <v>6.6779999999999999E-3</v>
      </c>
    </row>
    <row r="2676" spans="1:34" ht="15" customHeight="1" x14ac:dyDescent="0.25">
      <c r="A2676" s="213" t="s">
        <v>3075</v>
      </c>
      <c r="B2676" s="294" t="s">
        <v>3076</v>
      </c>
      <c r="C2676" s="297">
        <v>0</v>
      </c>
      <c r="D2676" s="297">
        <v>0</v>
      </c>
      <c r="E2676" s="297">
        <v>0</v>
      </c>
      <c r="F2676" s="297">
        <v>0.20080100000000001</v>
      </c>
      <c r="G2676" s="297">
        <v>0.156556</v>
      </c>
      <c r="H2676" s="297">
        <v>0.170431</v>
      </c>
      <c r="I2676" s="297">
        <v>0.19262199999999999</v>
      </c>
      <c r="J2676" s="297">
        <v>0.114883</v>
      </c>
      <c r="K2676" s="297">
        <v>9.5811999999999994E-2</v>
      </c>
      <c r="L2676" s="297">
        <v>9.3842999999999996E-2</v>
      </c>
      <c r="M2676" s="297">
        <v>0.20080100000000001</v>
      </c>
      <c r="N2676" s="297">
        <v>0.18707799999999999</v>
      </c>
      <c r="O2676" s="297">
        <v>9.5250000000000001E-2</v>
      </c>
      <c r="P2676" s="297">
        <v>9.5811999999999994E-2</v>
      </c>
      <c r="Q2676" s="297">
        <v>9.5811999999999994E-2</v>
      </c>
      <c r="R2676" s="297">
        <v>9.5811999999999994E-2</v>
      </c>
      <c r="S2676" s="297">
        <v>6.8919999999999995E-2</v>
      </c>
      <c r="T2676" s="297">
        <v>6.8919999999999995E-2</v>
      </c>
      <c r="U2676" s="297">
        <v>6.5972000000000003E-2</v>
      </c>
      <c r="V2676" s="297">
        <v>6.5972000000000003E-2</v>
      </c>
      <c r="W2676" s="297">
        <v>6.5972000000000003E-2</v>
      </c>
      <c r="X2676" s="297">
        <v>6.5972000000000003E-2</v>
      </c>
      <c r="Y2676" s="297">
        <v>6.1268999999999997E-2</v>
      </c>
      <c r="Z2676" s="297">
        <v>4.2329999999999998E-3</v>
      </c>
      <c r="AA2676" s="297">
        <v>0</v>
      </c>
      <c r="AB2676" s="297">
        <v>0</v>
      </c>
      <c r="AC2676" s="297">
        <v>2.0000000000000002E-5</v>
      </c>
      <c r="AD2676" s="297">
        <v>4.3000000000000002E-5</v>
      </c>
      <c r="AE2676" s="297">
        <v>6.5972000000000003E-2</v>
      </c>
      <c r="AF2676" s="297">
        <v>6.5972000000000003E-2</v>
      </c>
      <c r="AG2676" s="297">
        <v>6.5972000000000003E-2</v>
      </c>
      <c r="AH2676" s="296" t="s">
        <v>635</v>
      </c>
    </row>
    <row r="2677" spans="1:34" ht="15" customHeight="1" x14ac:dyDescent="0.25">
      <c r="A2677" s="213" t="s">
        <v>3077</v>
      </c>
      <c r="B2677" s="294" t="s">
        <v>3078</v>
      </c>
      <c r="C2677" s="297">
        <v>5.07301</v>
      </c>
      <c r="D2677" s="297">
        <v>7.8368399999999996</v>
      </c>
      <c r="E2677" s="297">
        <v>11.445973</v>
      </c>
      <c r="F2677" s="297">
        <v>12.941616</v>
      </c>
      <c r="G2677" s="297">
        <v>13.632334</v>
      </c>
      <c r="H2677" s="297">
        <v>13.948059000000001</v>
      </c>
      <c r="I2677" s="297">
        <v>14.397038999999999</v>
      </c>
      <c r="J2677" s="297">
        <v>14.953734000000001</v>
      </c>
      <c r="K2677" s="297">
        <v>15.473186</v>
      </c>
      <c r="L2677" s="297">
        <v>16.021806999999999</v>
      </c>
      <c r="M2677" s="297">
        <v>16.322690999999999</v>
      </c>
      <c r="N2677" s="297">
        <v>16.284790000000001</v>
      </c>
      <c r="O2677" s="297">
        <v>16.240662</v>
      </c>
      <c r="P2677" s="297">
        <v>15.998271000000001</v>
      </c>
      <c r="Q2677" s="297">
        <v>15.647591</v>
      </c>
      <c r="R2677" s="297">
        <v>15.252991</v>
      </c>
      <c r="S2677" s="297">
        <v>15.097758000000001</v>
      </c>
      <c r="T2677" s="297">
        <v>15.135097</v>
      </c>
      <c r="U2677" s="297">
        <v>15.003752</v>
      </c>
      <c r="V2677" s="297">
        <v>14.593966</v>
      </c>
      <c r="W2677" s="297">
        <v>14.155626</v>
      </c>
      <c r="X2677" s="297">
        <v>14.426477</v>
      </c>
      <c r="Y2677" s="297">
        <v>14.153715999999999</v>
      </c>
      <c r="Z2677" s="297">
        <v>13.698045</v>
      </c>
      <c r="AA2677" s="297">
        <v>13.655567</v>
      </c>
      <c r="AB2677" s="297">
        <v>13.753971999999999</v>
      </c>
      <c r="AC2677" s="297">
        <v>13.788872</v>
      </c>
      <c r="AD2677" s="297">
        <v>13.963437000000001</v>
      </c>
      <c r="AE2677" s="297">
        <v>13.995122</v>
      </c>
      <c r="AF2677" s="297">
        <v>14.026930999999999</v>
      </c>
      <c r="AG2677" s="297">
        <v>14.20459</v>
      </c>
      <c r="AH2677" s="296">
        <v>3.4916999999999997E-2</v>
      </c>
    </row>
    <row r="2678" spans="1:34" ht="15" customHeight="1" thickBot="1" x14ac:dyDescent="0.25">
      <c r="A2678" s="213" t="s">
        <v>3079</v>
      </c>
      <c r="B2678" s="204" t="s">
        <v>653</v>
      </c>
      <c r="C2678" s="299">
        <v>405.467804</v>
      </c>
      <c r="D2678" s="299">
        <v>416.80407700000001</v>
      </c>
      <c r="E2678" s="299">
        <v>421.31088299999999</v>
      </c>
      <c r="F2678" s="299">
        <v>425.82351699999998</v>
      </c>
      <c r="G2678" s="299">
        <v>429.049713</v>
      </c>
      <c r="H2678" s="299">
        <v>432.17672700000003</v>
      </c>
      <c r="I2678" s="299">
        <v>434.60342400000002</v>
      </c>
      <c r="J2678" s="299">
        <v>436.38644399999998</v>
      </c>
      <c r="K2678" s="299">
        <v>436.71115099999997</v>
      </c>
      <c r="L2678" s="299">
        <v>438.088257</v>
      </c>
      <c r="M2678" s="299">
        <v>440.72406000000001</v>
      </c>
      <c r="N2678" s="299">
        <v>443.144836</v>
      </c>
      <c r="O2678" s="299">
        <v>443.758331</v>
      </c>
      <c r="P2678" s="299">
        <v>445.58373999999998</v>
      </c>
      <c r="Q2678" s="299">
        <v>446.59716800000001</v>
      </c>
      <c r="R2678" s="299">
        <v>448.11450200000002</v>
      </c>
      <c r="S2678" s="299">
        <v>449.079407</v>
      </c>
      <c r="T2678" s="299">
        <v>450.31308000000001</v>
      </c>
      <c r="U2678" s="299">
        <v>451.763397</v>
      </c>
      <c r="V2678" s="299">
        <v>453.073578</v>
      </c>
      <c r="W2678" s="299">
        <v>454.70166</v>
      </c>
      <c r="X2678" s="299">
        <v>457.47445699999997</v>
      </c>
      <c r="Y2678" s="299">
        <v>459.99102800000003</v>
      </c>
      <c r="Z2678" s="299">
        <v>462.74115</v>
      </c>
      <c r="AA2678" s="299">
        <v>465.95712300000002</v>
      </c>
      <c r="AB2678" s="299">
        <v>469.60830700000002</v>
      </c>
      <c r="AC2678" s="299">
        <v>472.69357300000001</v>
      </c>
      <c r="AD2678" s="299">
        <v>477.860321</v>
      </c>
      <c r="AE2678" s="299">
        <v>481.94525099999998</v>
      </c>
      <c r="AF2678" s="299">
        <v>486.32409699999999</v>
      </c>
      <c r="AG2678" s="299">
        <v>490.19088699999998</v>
      </c>
      <c r="AH2678" s="206">
        <v>6.3449999999999999E-3</v>
      </c>
    </row>
    <row r="2679" spans="1:34" ht="15" customHeight="1" x14ac:dyDescent="0.2">
      <c r="B2679" s="305" t="s">
        <v>3080</v>
      </c>
      <c r="C2679" s="305"/>
      <c r="D2679" s="305"/>
      <c r="E2679" s="305"/>
      <c r="F2679" s="305"/>
      <c r="G2679" s="305"/>
      <c r="H2679" s="305"/>
      <c r="I2679" s="305"/>
      <c r="J2679" s="305"/>
      <c r="K2679" s="305"/>
      <c r="L2679" s="305"/>
      <c r="M2679" s="305"/>
      <c r="N2679" s="305"/>
      <c r="O2679" s="305"/>
      <c r="P2679" s="305"/>
      <c r="Q2679" s="305"/>
      <c r="R2679" s="305"/>
      <c r="S2679" s="305"/>
      <c r="T2679" s="305"/>
      <c r="U2679" s="305"/>
      <c r="V2679" s="305"/>
      <c r="W2679" s="305"/>
      <c r="X2679" s="305"/>
      <c r="Y2679" s="305"/>
      <c r="Z2679" s="305"/>
      <c r="AA2679" s="305"/>
      <c r="AB2679" s="305"/>
      <c r="AC2679" s="305"/>
      <c r="AD2679" s="305"/>
      <c r="AE2679" s="305"/>
      <c r="AF2679" s="305"/>
      <c r="AG2679" s="305"/>
      <c r="AH2679" s="305"/>
    </row>
    <row r="2680" spans="1:34" ht="15" customHeight="1" x14ac:dyDescent="0.2">
      <c r="B2680" s="208" t="s">
        <v>3081</v>
      </c>
    </row>
    <row r="2681" spans="1:34" ht="15" customHeight="1" x14ac:dyDescent="0.2">
      <c r="B2681" s="208" t="s">
        <v>3082</v>
      </c>
    </row>
    <row r="2682" spans="1:34" ht="15" customHeight="1" x14ac:dyDescent="0.2">
      <c r="B2682" s="208" t="s">
        <v>3083</v>
      </c>
    </row>
    <row r="2683" spans="1:34" ht="15" customHeight="1" x14ac:dyDescent="0.2">
      <c r="B2683" s="208" t="s">
        <v>1581</v>
      </c>
    </row>
    <row r="2684" spans="1:34" ht="15" customHeight="1" x14ac:dyDescent="0.2">
      <c r="B2684" s="208" t="s">
        <v>3084</v>
      </c>
    </row>
    <row r="2685" spans="1:34" ht="15" customHeight="1" x14ac:dyDescent="0.2">
      <c r="B2685" s="208" t="s">
        <v>3085</v>
      </c>
    </row>
    <row r="2686" spans="1:34" ht="15" customHeight="1" x14ac:dyDescent="0.2">
      <c r="B2686" s="208" t="s">
        <v>3086</v>
      </c>
    </row>
    <row r="2687" spans="1:34" ht="15" customHeight="1" x14ac:dyDescent="0.2">
      <c r="B2687" s="208" t="s">
        <v>3087</v>
      </c>
    </row>
    <row r="2688" spans="1:34" ht="15" customHeight="1" x14ac:dyDescent="0.2">
      <c r="B2688" s="208" t="s">
        <v>3088</v>
      </c>
    </row>
    <row r="2689" spans="2:2" ht="15" customHeight="1" x14ac:dyDescent="0.2">
      <c r="B2689" s="208" t="s">
        <v>3089</v>
      </c>
    </row>
    <row r="2690" spans="2:2" ht="15" customHeight="1" x14ac:dyDescent="0.2">
      <c r="B2690" s="208" t="s">
        <v>3090</v>
      </c>
    </row>
    <row r="2691" spans="2:2" ht="15" customHeight="1" x14ac:dyDescent="0.2">
      <c r="B2691" s="208" t="s">
        <v>1696</v>
      </c>
    </row>
    <row r="2692" spans="2:2" ht="15" customHeight="1" x14ac:dyDescent="0.2">
      <c r="B2692" s="208" t="s">
        <v>3091</v>
      </c>
    </row>
    <row r="2693" spans="2:2" ht="15" customHeight="1" x14ac:dyDescent="0.2">
      <c r="B2693" s="208" t="s">
        <v>3092</v>
      </c>
    </row>
    <row r="2694" spans="2:2" ht="15" customHeight="1" x14ac:dyDescent="0.2">
      <c r="B2694" s="208" t="s">
        <v>3093</v>
      </c>
    </row>
    <row r="2695" spans="2:2" ht="15" customHeight="1" x14ac:dyDescent="0.2">
      <c r="B2695" s="208" t="s">
        <v>2922</v>
      </c>
    </row>
    <row r="2696" spans="2:2" ht="15" customHeight="1" x14ac:dyDescent="0.2">
      <c r="B2696" s="208" t="s">
        <v>3094</v>
      </c>
    </row>
    <row r="2697" spans="2:2" ht="15" customHeight="1" x14ac:dyDescent="0.2">
      <c r="B2697" s="208" t="s">
        <v>3095</v>
      </c>
    </row>
    <row r="2698" spans="2:2" ht="15" customHeight="1" x14ac:dyDescent="0.2">
      <c r="B2698" s="208" t="s">
        <v>3096</v>
      </c>
    </row>
    <row r="2699" spans="2:2" ht="15" customHeight="1" x14ac:dyDescent="0.2">
      <c r="B2699" s="208" t="s">
        <v>601</v>
      </c>
    </row>
    <row r="2700" spans="2:2" ht="15" customHeight="1" x14ac:dyDescent="0.2">
      <c r="B2700" s="208" t="s">
        <v>614</v>
      </c>
    </row>
    <row r="2701" spans="2:2" ht="15" customHeight="1" x14ac:dyDescent="0.2">
      <c r="B2701" s="208" t="s">
        <v>2215</v>
      </c>
    </row>
    <row r="2702" spans="2:2" ht="15" customHeight="1" x14ac:dyDescent="0.2">
      <c r="B2702" s="208" t="s">
        <v>1979</v>
      </c>
    </row>
    <row r="2735" spans="1:34" ht="15" customHeight="1" x14ac:dyDescent="0.25">
      <c r="A2735" s="213" t="s">
        <v>3097</v>
      </c>
      <c r="B2735" s="202" t="s">
        <v>1028</v>
      </c>
      <c r="AH2735" s="292" t="s">
        <v>597</v>
      </c>
    </row>
    <row r="2736" spans="1:34" ht="15" customHeight="1" x14ac:dyDescent="0.2">
      <c r="B2736" s="199" t="s">
        <v>3098</v>
      </c>
      <c r="AH2736" s="292" t="s">
        <v>598</v>
      </c>
    </row>
    <row r="2737" spans="1:34" ht="15" customHeight="1" x14ac:dyDescent="0.2">
      <c r="B2737" s="199" t="s">
        <v>124</v>
      </c>
      <c r="C2737" s="222" t="s">
        <v>124</v>
      </c>
      <c r="D2737" s="222" t="s">
        <v>124</v>
      </c>
      <c r="E2737" s="222" t="s">
        <v>124</v>
      </c>
      <c r="F2737" s="222" t="s">
        <v>124</v>
      </c>
      <c r="G2737" s="222" t="s">
        <v>124</v>
      </c>
      <c r="H2737" s="222" t="s">
        <v>124</v>
      </c>
      <c r="I2737" s="222" t="s">
        <v>124</v>
      </c>
      <c r="J2737" s="222" t="s">
        <v>124</v>
      </c>
      <c r="K2737" s="222" t="s">
        <v>124</v>
      </c>
      <c r="L2737" s="222" t="s">
        <v>124</v>
      </c>
      <c r="M2737" s="222" t="s">
        <v>124</v>
      </c>
      <c r="N2737" s="222" t="s">
        <v>124</v>
      </c>
      <c r="O2737" s="222" t="s">
        <v>124</v>
      </c>
      <c r="P2737" s="222" t="s">
        <v>124</v>
      </c>
      <c r="Q2737" s="222" t="s">
        <v>124</v>
      </c>
      <c r="R2737" s="222" t="s">
        <v>124</v>
      </c>
      <c r="S2737" s="222" t="s">
        <v>124</v>
      </c>
      <c r="T2737" s="222" t="s">
        <v>124</v>
      </c>
      <c r="U2737" s="222" t="s">
        <v>124</v>
      </c>
      <c r="V2737" s="222" t="s">
        <v>124</v>
      </c>
      <c r="W2737" s="222" t="s">
        <v>124</v>
      </c>
      <c r="X2737" s="222" t="s">
        <v>124</v>
      </c>
      <c r="Y2737" s="222" t="s">
        <v>124</v>
      </c>
      <c r="Z2737" s="222" t="s">
        <v>124</v>
      </c>
      <c r="AA2737" s="222" t="s">
        <v>124</v>
      </c>
      <c r="AB2737" s="222" t="s">
        <v>124</v>
      </c>
      <c r="AC2737" s="222" t="s">
        <v>124</v>
      </c>
      <c r="AD2737" s="222" t="s">
        <v>124</v>
      </c>
      <c r="AE2737" s="222" t="s">
        <v>124</v>
      </c>
      <c r="AF2737" s="222" t="s">
        <v>124</v>
      </c>
      <c r="AG2737" s="222" t="s">
        <v>124</v>
      </c>
      <c r="AH2737" s="292" t="s">
        <v>599</v>
      </c>
    </row>
    <row r="2738" spans="1:34" ht="15" customHeight="1" thickBot="1" x14ac:dyDescent="0.25">
      <c r="B2738" s="200" t="s">
        <v>3099</v>
      </c>
      <c r="C2738" s="200">
        <v>2020</v>
      </c>
      <c r="D2738" s="200">
        <v>2021</v>
      </c>
      <c r="E2738" s="200">
        <v>2022</v>
      </c>
      <c r="F2738" s="200">
        <v>2023</v>
      </c>
      <c r="G2738" s="200">
        <v>2024</v>
      </c>
      <c r="H2738" s="200">
        <v>2025</v>
      </c>
      <c r="I2738" s="200">
        <v>2026</v>
      </c>
      <c r="J2738" s="200">
        <v>2027</v>
      </c>
      <c r="K2738" s="200">
        <v>2028</v>
      </c>
      <c r="L2738" s="200">
        <v>2029</v>
      </c>
      <c r="M2738" s="200">
        <v>2030</v>
      </c>
      <c r="N2738" s="200">
        <v>2031</v>
      </c>
      <c r="O2738" s="200">
        <v>2032</v>
      </c>
      <c r="P2738" s="200">
        <v>2033</v>
      </c>
      <c r="Q2738" s="200">
        <v>2034</v>
      </c>
      <c r="R2738" s="200">
        <v>2035</v>
      </c>
      <c r="S2738" s="200">
        <v>2036</v>
      </c>
      <c r="T2738" s="200">
        <v>2037</v>
      </c>
      <c r="U2738" s="200">
        <v>2038</v>
      </c>
      <c r="V2738" s="200">
        <v>2039</v>
      </c>
      <c r="W2738" s="200">
        <v>2040</v>
      </c>
      <c r="X2738" s="200">
        <v>2041</v>
      </c>
      <c r="Y2738" s="200">
        <v>2042</v>
      </c>
      <c r="Z2738" s="200">
        <v>2043</v>
      </c>
      <c r="AA2738" s="200">
        <v>2044</v>
      </c>
      <c r="AB2738" s="200">
        <v>2045</v>
      </c>
      <c r="AC2738" s="200">
        <v>2046</v>
      </c>
      <c r="AD2738" s="200">
        <v>2047</v>
      </c>
      <c r="AE2738" s="200">
        <v>2048</v>
      </c>
      <c r="AF2738" s="200">
        <v>2049</v>
      </c>
      <c r="AG2738" s="200">
        <v>2050</v>
      </c>
      <c r="AH2738" s="293" t="s">
        <v>600</v>
      </c>
    </row>
    <row r="2739" spans="1:34" ht="15" customHeight="1" thickTop="1" x14ac:dyDescent="0.2"/>
    <row r="2740" spans="1:34" ht="15" customHeight="1" x14ac:dyDescent="0.2">
      <c r="A2740" s="213" t="s">
        <v>3100</v>
      </c>
      <c r="B2740" s="204" t="s">
        <v>3101</v>
      </c>
      <c r="C2740" s="299">
        <v>18171.386718999998</v>
      </c>
      <c r="D2740" s="299">
        <v>18739.230468999998</v>
      </c>
      <c r="E2740" s="299">
        <v>19535.0625</v>
      </c>
      <c r="F2740" s="299">
        <v>20170.175781000002</v>
      </c>
      <c r="G2740" s="299">
        <v>20682.980468999998</v>
      </c>
      <c r="H2740" s="299">
        <v>21192.648438</v>
      </c>
      <c r="I2740" s="299">
        <v>21653.730468999998</v>
      </c>
      <c r="J2740" s="299">
        <v>22078.480468999998</v>
      </c>
      <c r="K2740" s="299">
        <v>22477.355468999998</v>
      </c>
      <c r="L2740" s="299">
        <v>22858.132812</v>
      </c>
      <c r="M2740" s="299">
        <v>23288.818359000001</v>
      </c>
      <c r="N2740" s="299">
        <v>23759.802734000001</v>
      </c>
      <c r="O2740" s="299">
        <v>24256.835938</v>
      </c>
      <c r="P2740" s="299">
        <v>24769.533202999999</v>
      </c>
      <c r="Q2740" s="299">
        <v>25310.607422000001</v>
      </c>
      <c r="R2740" s="299">
        <v>25841.998047000001</v>
      </c>
      <c r="S2740" s="299">
        <v>26331.703125</v>
      </c>
      <c r="T2740" s="299">
        <v>26809.158202999999</v>
      </c>
      <c r="U2740" s="299">
        <v>27307.626952999999</v>
      </c>
      <c r="V2740" s="299">
        <v>27826.453125</v>
      </c>
      <c r="W2740" s="299">
        <v>28370.613281000002</v>
      </c>
      <c r="X2740" s="299">
        <v>28925.115234000001</v>
      </c>
      <c r="Y2740" s="299">
        <v>29509.078125</v>
      </c>
      <c r="Z2740" s="299">
        <v>30115.902343999998</v>
      </c>
      <c r="AA2740" s="299">
        <v>30722.546875</v>
      </c>
      <c r="AB2740" s="299">
        <v>31317.330077999999</v>
      </c>
      <c r="AC2740" s="299">
        <v>31908.9375</v>
      </c>
      <c r="AD2740" s="299">
        <v>32501.925781000002</v>
      </c>
      <c r="AE2740" s="299">
        <v>33120.199219000002</v>
      </c>
      <c r="AF2740" s="299">
        <v>33745.574219000002</v>
      </c>
      <c r="AG2740" s="299">
        <v>34364.589844000002</v>
      </c>
      <c r="AH2740" s="206">
        <v>2.1465999999999999E-2</v>
      </c>
    </row>
    <row r="2741" spans="1:34" ht="15" customHeight="1" x14ac:dyDescent="0.2">
      <c r="B2741" s="204" t="s">
        <v>3102</v>
      </c>
    </row>
    <row r="2742" spans="1:34" ht="15" customHeight="1" x14ac:dyDescent="0.25">
      <c r="A2742" s="213" t="s">
        <v>3103</v>
      </c>
      <c r="B2742" s="294" t="s">
        <v>3104</v>
      </c>
      <c r="C2742" s="297">
        <v>12557.270508</v>
      </c>
      <c r="D2742" s="297">
        <v>12903.865234000001</v>
      </c>
      <c r="E2742" s="297">
        <v>13414.222656</v>
      </c>
      <c r="F2742" s="297">
        <v>13844.089844</v>
      </c>
      <c r="G2742" s="297">
        <v>14203.004883</v>
      </c>
      <c r="H2742" s="297">
        <v>14554.882812</v>
      </c>
      <c r="I2742" s="297">
        <v>14919.525390999999</v>
      </c>
      <c r="J2742" s="297">
        <v>15294.282227</v>
      </c>
      <c r="K2742" s="297">
        <v>15666.987305000001</v>
      </c>
      <c r="L2742" s="297">
        <v>16047.299805000001</v>
      </c>
      <c r="M2742" s="297">
        <v>16466.035156000002</v>
      </c>
      <c r="N2742" s="297">
        <v>16916.582031000002</v>
      </c>
      <c r="O2742" s="297">
        <v>17368.457031000002</v>
      </c>
      <c r="P2742" s="297">
        <v>17825.175781000002</v>
      </c>
      <c r="Q2742" s="297">
        <v>18295.669922000001</v>
      </c>
      <c r="R2742" s="297">
        <v>18760.757812</v>
      </c>
      <c r="S2742" s="297">
        <v>19203.412109000001</v>
      </c>
      <c r="T2742" s="297">
        <v>19623.150390999999</v>
      </c>
      <c r="U2742" s="297">
        <v>20051.341797000001</v>
      </c>
      <c r="V2742" s="297">
        <v>20493.957031000002</v>
      </c>
      <c r="W2742" s="297">
        <v>20943.1875</v>
      </c>
      <c r="X2742" s="297">
        <v>21395.675781000002</v>
      </c>
      <c r="Y2742" s="297">
        <v>21869.087890999999</v>
      </c>
      <c r="Z2742" s="297">
        <v>22348.296875</v>
      </c>
      <c r="AA2742" s="297">
        <v>22819.150390999999</v>
      </c>
      <c r="AB2742" s="297">
        <v>23291.439452999999</v>
      </c>
      <c r="AC2742" s="297">
        <v>23759.302734000001</v>
      </c>
      <c r="AD2742" s="297">
        <v>24230.296875</v>
      </c>
      <c r="AE2742" s="297">
        <v>24723.117188</v>
      </c>
      <c r="AF2742" s="297">
        <v>25228.609375</v>
      </c>
      <c r="AG2742" s="297">
        <v>25740.035156000002</v>
      </c>
      <c r="AH2742" s="296">
        <v>2.4212999999999998E-2</v>
      </c>
    </row>
    <row r="2743" spans="1:34" ht="15" customHeight="1" x14ac:dyDescent="0.25">
      <c r="A2743" s="213" t="s">
        <v>3105</v>
      </c>
      <c r="B2743" s="294" t="s">
        <v>3106</v>
      </c>
      <c r="C2743" s="297">
        <v>2574.9560550000001</v>
      </c>
      <c r="D2743" s="297">
        <v>2568.4560550000001</v>
      </c>
      <c r="E2743" s="297">
        <v>2705.1672359999998</v>
      </c>
      <c r="F2743" s="297">
        <v>2853.6103520000001</v>
      </c>
      <c r="G2743" s="297">
        <v>2987.4804690000001</v>
      </c>
      <c r="H2743" s="297">
        <v>3130.9191890000002</v>
      </c>
      <c r="I2743" s="297">
        <v>3260.7497560000002</v>
      </c>
      <c r="J2743" s="297">
        <v>3368.663818</v>
      </c>
      <c r="K2743" s="297">
        <v>3466.2509770000001</v>
      </c>
      <c r="L2743" s="297">
        <v>3560.4804690000001</v>
      </c>
      <c r="M2743" s="297">
        <v>3661.841797</v>
      </c>
      <c r="N2743" s="297">
        <v>3772.0590820000002</v>
      </c>
      <c r="O2743" s="297">
        <v>3884.7072750000002</v>
      </c>
      <c r="P2743" s="297">
        <v>4004.7854000000002</v>
      </c>
      <c r="Q2743" s="297">
        <v>4139.2255859999996</v>
      </c>
      <c r="R2743" s="297">
        <v>4269.3930659999996</v>
      </c>
      <c r="S2743" s="297">
        <v>4370.7998049999997</v>
      </c>
      <c r="T2743" s="297">
        <v>4464.2744140000004</v>
      </c>
      <c r="U2743" s="297">
        <v>4573.2407229999999</v>
      </c>
      <c r="V2743" s="297">
        <v>4690.5195309999999</v>
      </c>
      <c r="W2743" s="297">
        <v>4816.0815430000002</v>
      </c>
      <c r="X2743" s="297">
        <v>4950.2680659999996</v>
      </c>
      <c r="Y2743" s="297">
        <v>5091.3847660000001</v>
      </c>
      <c r="Z2743" s="297">
        <v>5241.5141599999997</v>
      </c>
      <c r="AA2743" s="297">
        <v>5388.3178710000002</v>
      </c>
      <c r="AB2743" s="297">
        <v>5530.0185549999997</v>
      </c>
      <c r="AC2743" s="297">
        <v>5670.9877930000002</v>
      </c>
      <c r="AD2743" s="297">
        <v>5814.2358400000003</v>
      </c>
      <c r="AE2743" s="297">
        <v>5968.9804690000001</v>
      </c>
      <c r="AF2743" s="297">
        <v>6126.9677730000003</v>
      </c>
      <c r="AG2743" s="297">
        <v>6279.0976559999999</v>
      </c>
      <c r="AH2743" s="296">
        <v>3.0158999999999998E-2</v>
      </c>
    </row>
    <row r="2744" spans="1:34" ht="15" customHeight="1" x14ac:dyDescent="0.25">
      <c r="A2744" s="213" t="s">
        <v>3107</v>
      </c>
      <c r="B2744" s="294" t="s">
        <v>3108</v>
      </c>
      <c r="C2744" s="297">
        <v>3367.2709960000002</v>
      </c>
      <c r="D2744" s="297">
        <v>3378.3308109999998</v>
      </c>
      <c r="E2744" s="297">
        <v>3386.3442380000001</v>
      </c>
      <c r="F2744" s="297">
        <v>3387.0803219999998</v>
      </c>
      <c r="G2744" s="297">
        <v>3406.7304690000001</v>
      </c>
      <c r="H2744" s="297">
        <v>3430.9895019999999</v>
      </c>
      <c r="I2744" s="297">
        <v>3449.8312989999999</v>
      </c>
      <c r="J2744" s="297">
        <v>3470.3134770000001</v>
      </c>
      <c r="K2744" s="297">
        <v>3493.476318</v>
      </c>
      <c r="L2744" s="297">
        <v>3509.1091310000002</v>
      </c>
      <c r="M2744" s="297">
        <v>3530.5397950000001</v>
      </c>
      <c r="N2744" s="297">
        <v>3550.7333979999999</v>
      </c>
      <c r="O2744" s="297">
        <v>3576.569336</v>
      </c>
      <c r="P2744" s="297">
        <v>3602.9956050000001</v>
      </c>
      <c r="Q2744" s="297">
        <v>3631.4091800000001</v>
      </c>
      <c r="R2744" s="297">
        <v>3660.98999</v>
      </c>
      <c r="S2744" s="297">
        <v>3689.7619629999999</v>
      </c>
      <c r="T2744" s="297">
        <v>3714.9580080000001</v>
      </c>
      <c r="U2744" s="297">
        <v>3738.7917480000001</v>
      </c>
      <c r="V2744" s="297">
        <v>3762.1831050000001</v>
      </c>
      <c r="W2744" s="297">
        <v>3792.8999020000001</v>
      </c>
      <c r="X2744" s="297">
        <v>3818.2927249999998</v>
      </c>
      <c r="Y2744" s="297">
        <v>3847.5812989999999</v>
      </c>
      <c r="Z2744" s="297">
        <v>3880.5026859999998</v>
      </c>
      <c r="AA2744" s="297">
        <v>3916.3339839999999</v>
      </c>
      <c r="AB2744" s="297">
        <v>3952.1430660000001</v>
      </c>
      <c r="AC2744" s="297">
        <v>3987.0783689999998</v>
      </c>
      <c r="AD2744" s="297">
        <v>4020.102539</v>
      </c>
      <c r="AE2744" s="297">
        <v>4052.8195799999999</v>
      </c>
      <c r="AF2744" s="297">
        <v>4087.2089839999999</v>
      </c>
      <c r="AG2744" s="297">
        <v>4123.1528319999998</v>
      </c>
      <c r="AH2744" s="296">
        <v>6.7730000000000004E-3</v>
      </c>
    </row>
    <row r="2745" spans="1:34" ht="15" customHeight="1" x14ac:dyDescent="0.25">
      <c r="A2745" s="213" t="s">
        <v>3109</v>
      </c>
      <c r="B2745" s="294" t="s">
        <v>3110</v>
      </c>
      <c r="C2745" s="297">
        <v>2197.998779</v>
      </c>
      <c r="D2745" s="297">
        <v>2412.930664</v>
      </c>
      <c r="E2745" s="297">
        <v>2658.7460940000001</v>
      </c>
      <c r="F2745" s="297">
        <v>2857.7219239999999</v>
      </c>
      <c r="G2745" s="297">
        <v>3021.494385</v>
      </c>
      <c r="H2745" s="297">
        <v>3172.6489259999998</v>
      </c>
      <c r="I2745" s="297">
        <v>3289.8247070000002</v>
      </c>
      <c r="J2745" s="297">
        <v>3378.3544919999999</v>
      </c>
      <c r="K2745" s="297">
        <v>3453.905029</v>
      </c>
      <c r="L2745" s="297">
        <v>3520.8640140000002</v>
      </c>
      <c r="M2745" s="297">
        <v>3587.77124</v>
      </c>
      <c r="N2745" s="297">
        <v>3660.3352049999999</v>
      </c>
      <c r="O2745" s="297">
        <v>3739.2890619999998</v>
      </c>
      <c r="P2745" s="297">
        <v>3825.3083499999998</v>
      </c>
      <c r="Q2745" s="297">
        <v>3925.4877929999998</v>
      </c>
      <c r="R2745" s="297">
        <v>4026.4125979999999</v>
      </c>
      <c r="S2745" s="297">
        <v>4127.0073240000002</v>
      </c>
      <c r="T2745" s="297">
        <v>4231.3559569999998</v>
      </c>
      <c r="U2745" s="297">
        <v>4335.4907229999999</v>
      </c>
      <c r="V2745" s="297">
        <v>4450.3515619999998</v>
      </c>
      <c r="W2745" s="297">
        <v>4567.3305659999996</v>
      </c>
      <c r="X2745" s="297">
        <v>4688.9340819999998</v>
      </c>
      <c r="Y2745" s="297">
        <v>4824.3129879999997</v>
      </c>
      <c r="Z2745" s="297">
        <v>4967.2880859999996</v>
      </c>
      <c r="AA2745" s="297">
        <v>5118.5419920000004</v>
      </c>
      <c r="AB2745" s="297">
        <v>5266.9223629999997</v>
      </c>
      <c r="AC2745" s="297">
        <v>5423.6899409999996</v>
      </c>
      <c r="AD2745" s="297">
        <v>5584.9438479999999</v>
      </c>
      <c r="AE2745" s="297">
        <v>5749.8071289999998</v>
      </c>
      <c r="AF2745" s="297">
        <v>5916.8715819999998</v>
      </c>
      <c r="AG2745" s="297">
        <v>6071.8012699999999</v>
      </c>
      <c r="AH2745" s="296">
        <v>3.4450000000000001E-2</v>
      </c>
    </row>
    <row r="2746" spans="1:34" ht="15" customHeight="1" x14ac:dyDescent="0.25">
      <c r="A2746" s="213" t="s">
        <v>3111</v>
      </c>
      <c r="B2746" s="294" t="s">
        <v>3112</v>
      </c>
      <c r="C2746" s="297">
        <v>2965.3303219999998</v>
      </c>
      <c r="D2746" s="297">
        <v>3172.7260740000002</v>
      </c>
      <c r="E2746" s="297">
        <v>3372.9582519999999</v>
      </c>
      <c r="F2746" s="297">
        <v>3476.6320799999999</v>
      </c>
      <c r="G2746" s="297">
        <v>3581.4609380000002</v>
      </c>
      <c r="H2746" s="297">
        <v>3720.1652829999998</v>
      </c>
      <c r="I2746" s="297">
        <v>3874.1821289999998</v>
      </c>
      <c r="J2746" s="297">
        <v>4029.4328609999998</v>
      </c>
      <c r="K2746" s="297">
        <v>4199.9946289999998</v>
      </c>
      <c r="L2746" s="297">
        <v>4388.0107420000004</v>
      </c>
      <c r="M2746" s="297">
        <v>4588.955078</v>
      </c>
      <c r="N2746" s="297">
        <v>4797.9755859999996</v>
      </c>
      <c r="O2746" s="297">
        <v>4996.8168949999999</v>
      </c>
      <c r="P2746" s="297">
        <v>5186.4301759999998</v>
      </c>
      <c r="Q2746" s="297">
        <v>5404.0317379999997</v>
      </c>
      <c r="R2746" s="297">
        <v>5622.7714839999999</v>
      </c>
      <c r="S2746" s="297">
        <v>5813.9047849999997</v>
      </c>
      <c r="T2746" s="297">
        <v>5988.7778319999998</v>
      </c>
      <c r="U2746" s="297">
        <v>6181.5249020000001</v>
      </c>
      <c r="V2746" s="297">
        <v>6384.5195309999999</v>
      </c>
      <c r="W2746" s="297">
        <v>6578.2416990000002</v>
      </c>
      <c r="X2746" s="297">
        <v>6782.1298829999996</v>
      </c>
      <c r="Y2746" s="297">
        <v>7007.0161129999997</v>
      </c>
      <c r="Z2746" s="297">
        <v>7233.3623049999997</v>
      </c>
      <c r="AA2746" s="297">
        <v>7455.078125</v>
      </c>
      <c r="AB2746" s="297">
        <v>7693.2260740000002</v>
      </c>
      <c r="AC2746" s="297">
        <v>7928.185547</v>
      </c>
      <c r="AD2746" s="297">
        <v>8170.2651370000003</v>
      </c>
      <c r="AE2746" s="297">
        <v>8431.4775389999995</v>
      </c>
      <c r="AF2746" s="297">
        <v>8705.7597659999992</v>
      </c>
      <c r="AG2746" s="297">
        <v>8976.5009769999997</v>
      </c>
      <c r="AH2746" s="296">
        <v>3.7610999999999999E-2</v>
      </c>
    </row>
    <row r="2748" spans="1:34" ht="15" customHeight="1" x14ac:dyDescent="0.2">
      <c r="B2748" s="204" t="s">
        <v>3113</v>
      </c>
    </row>
    <row r="2749" spans="1:34" ht="15" customHeight="1" x14ac:dyDescent="0.2">
      <c r="B2749" s="204" t="s">
        <v>3114</v>
      </c>
    </row>
    <row r="2750" spans="1:34" ht="15" customHeight="1" x14ac:dyDescent="0.25">
      <c r="A2750" s="213" t="s">
        <v>3115</v>
      </c>
      <c r="B2750" s="294" t="s">
        <v>3116</v>
      </c>
      <c r="C2750" s="295">
        <v>3.832544</v>
      </c>
      <c r="D2750" s="295">
        <v>3.827248</v>
      </c>
      <c r="E2750" s="295">
        <v>3.7415859999999999</v>
      </c>
      <c r="F2750" s="295">
        <v>3.6690770000000001</v>
      </c>
      <c r="G2750" s="295">
        <v>3.6103399999999999</v>
      </c>
      <c r="H2750" s="295">
        <v>3.5529579999999998</v>
      </c>
      <c r="I2750" s="295">
        <v>3.488569</v>
      </c>
      <c r="J2750" s="295">
        <v>3.422539</v>
      </c>
      <c r="K2750" s="295">
        <v>3.366495</v>
      </c>
      <c r="L2750" s="295">
        <v>3.315194</v>
      </c>
      <c r="M2750" s="295">
        <v>3.2606169999999999</v>
      </c>
      <c r="N2750" s="295">
        <v>3.2042109999999999</v>
      </c>
      <c r="O2750" s="295">
        <v>3.144946</v>
      </c>
      <c r="P2750" s="295">
        <v>3.087396</v>
      </c>
      <c r="Q2750" s="295">
        <v>3.0333999999999999</v>
      </c>
      <c r="R2750" s="295">
        <v>2.9825650000000001</v>
      </c>
      <c r="S2750" s="295">
        <v>2.937198</v>
      </c>
      <c r="T2750" s="295">
        <v>2.8962240000000001</v>
      </c>
      <c r="U2750" s="295">
        <v>2.855502</v>
      </c>
      <c r="V2750" s="295">
        <v>2.814613</v>
      </c>
      <c r="W2750" s="295">
        <v>2.7706119999999999</v>
      </c>
      <c r="X2750" s="295">
        <v>2.730172</v>
      </c>
      <c r="Y2750" s="295">
        <v>2.6934279999999999</v>
      </c>
      <c r="Z2750" s="295">
        <v>2.6577000000000002</v>
      </c>
      <c r="AA2750" s="295">
        <v>2.6206119999999999</v>
      </c>
      <c r="AB2750" s="295">
        <v>2.5858279999999998</v>
      </c>
      <c r="AC2750" s="295">
        <v>2.5534249999999998</v>
      </c>
      <c r="AD2750" s="295">
        <v>2.5220799999999999</v>
      </c>
      <c r="AE2750" s="295">
        <v>2.4907140000000001</v>
      </c>
      <c r="AF2750" s="295">
        <v>2.4615399999999998</v>
      </c>
      <c r="AG2750" s="295">
        <v>2.4352260000000001</v>
      </c>
      <c r="AH2750" s="296">
        <v>-1.5003000000000001E-2</v>
      </c>
    </row>
    <row r="2751" spans="1:34" ht="15" customHeight="1" x14ac:dyDescent="0.25">
      <c r="A2751" s="213" t="s">
        <v>3117</v>
      </c>
      <c r="B2751" s="294" t="s">
        <v>3118</v>
      </c>
      <c r="C2751" s="295">
        <v>5.113766</v>
      </c>
      <c r="D2751" s="295">
        <v>5.0750120000000001</v>
      </c>
      <c r="E2751" s="295">
        <v>4.9658879999999996</v>
      </c>
      <c r="F2751" s="295">
        <v>4.8454829999999998</v>
      </c>
      <c r="G2751" s="295">
        <v>4.74803</v>
      </c>
      <c r="H2751" s="295">
        <v>4.6454310000000003</v>
      </c>
      <c r="I2751" s="295">
        <v>4.53505</v>
      </c>
      <c r="J2751" s="295">
        <v>4.4426269999999999</v>
      </c>
      <c r="K2751" s="295">
        <v>4.3680289999999999</v>
      </c>
      <c r="L2751" s="295">
        <v>4.3016329999999998</v>
      </c>
      <c r="M2751" s="295">
        <v>4.232278</v>
      </c>
      <c r="N2751" s="295">
        <v>4.1602569999999996</v>
      </c>
      <c r="O2751" s="295">
        <v>4.0818370000000002</v>
      </c>
      <c r="P2751" s="295">
        <v>4.0067009999999996</v>
      </c>
      <c r="Q2751" s="295">
        <v>3.9350000000000001</v>
      </c>
      <c r="R2751" s="295">
        <v>3.8694060000000001</v>
      </c>
      <c r="S2751" s="295">
        <v>3.8109959999999998</v>
      </c>
      <c r="T2751" s="295">
        <v>3.7585410000000001</v>
      </c>
      <c r="U2751" s="295">
        <v>3.704688</v>
      </c>
      <c r="V2751" s="295">
        <v>3.650798</v>
      </c>
      <c r="W2751" s="295">
        <v>3.5932189999999999</v>
      </c>
      <c r="X2751" s="295">
        <v>3.5413480000000002</v>
      </c>
      <c r="Y2751" s="295">
        <v>3.4936419999999999</v>
      </c>
      <c r="Z2751" s="295">
        <v>3.4470619999999998</v>
      </c>
      <c r="AA2751" s="295">
        <v>3.3987270000000001</v>
      </c>
      <c r="AB2751" s="295">
        <v>3.3533879999999998</v>
      </c>
      <c r="AC2751" s="295">
        <v>3.3116889999999999</v>
      </c>
      <c r="AD2751" s="295">
        <v>3.271703</v>
      </c>
      <c r="AE2751" s="295">
        <v>3.232802</v>
      </c>
      <c r="AF2751" s="295">
        <v>3.1960839999999999</v>
      </c>
      <c r="AG2751" s="295">
        <v>3.1620949999999999</v>
      </c>
      <c r="AH2751" s="296">
        <v>-1.5896E-2</v>
      </c>
    </row>
    <row r="2753" spans="1:34" ht="15" customHeight="1" x14ac:dyDescent="0.2">
      <c r="B2753" s="204" t="s">
        <v>3119</v>
      </c>
    </row>
    <row r="2754" spans="1:34" ht="15" customHeight="1" x14ac:dyDescent="0.25">
      <c r="A2754" s="213" t="s">
        <v>3120</v>
      </c>
      <c r="B2754" s="294" t="s">
        <v>3121</v>
      </c>
      <c r="C2754" s="301">
        <v>1.1333930000000001</v>
      </c>
      <c r="D2754" s="301">
        <v>1.1453469999999999</v>
      </c>
      <c r="E2754" s="301">
        <v>1.1587609999999999</v>
      </c>
      <c r="F2754" s="301">
        <v>1.1745000000000001</v>
      </c>
      <c r="G2754" s="301">
        <v>1.194232</v>
      </c>
      <c r="H2754" s="301">
        <v>1.219112</v>
      </c>
      <c r="I2754" s="301">
        <v>1.2481370000000001</v>
      </c>
      <c r="J2754" s="301">
        <v>1.2798369999999999</v>
      </c>
      <c r="K2754" s="301">
        <v>1.3135479999999999</v>
      </c>
      <c r="L2754" s="301">
        <v>1.3481639999999999</v>
      </c>
      <c r="M2754" s="301">
        <v>1.383068</v>
      </c>
      <c r="N2754" s="301">
        <v>1.417729</v>
      </c>
      <c r="O2754" s="301">
        <v>1.4521109999999999</v>
      </c>
      <c r="P2754" s="301">
        <v>1.486008</v>
      </c>
      <c r="Q2754" s="301">
        <v>1.5194220000000001</v>
      </c>
      <c r="R2754" s="301">
        <v>1.55294</v>
      </c>
      <c r="S2754" s="301">
        <v>1.586435</v>
      </c>
      <c r="T2754" s="301">
        <v>1.619775</v>
      </c>
      <c r="U2754" s="301">
        <v>1.6537599999999999</v>
      </c>
      <c r="V2754" s="301">
        <v>1.6879740000000001</v>
      </c>
      <c r="W2754" s="301">
        <v>1.7236860000000001</v>
      </c>
      <c r="X2754" s="301">
        <v>1.7606919999999999</v>
      </c>
      <c r="Y2754" s="301">
        <v>1.7993969999999999</v>
      </c>
      <c r="Z2754" s="301">
        <v>1.8406629999999999</v>
      </c>
      <c r="AA2754" s="301">
        <v>1.884592</v>
      </c>
      <c r="AB2754" s="301">
        <v>1.93102</v>
      </c>
      <c r="AC2754" s="301">
        <v>1.9811719999999999</v>
      </c>
      <c r="AD2754" s="301">
        <v>2.0344150000000001</v>
      </c>
      <c r="AE2754" s="301">
        <v>2.0905969999999998</v>
      </c>
      <c r="AF2754" s="301">
        <v>2.1500840000000001</v>
      </c>
      <c r="AG2754" s="301">
        <v>2.2131599999999998</v>
      </c>
      <c r="AH2754" s="296">
        <v>2.2557000000000001E-2</v>
      </c>
    </row>
    <row r="2755" spans="1:34" ht="15" customHeight="1" x14ac:dyDescent="0.2">
      <c r="B2755" s="204" t="s">
        <v>3122</v>
      </c>
    </row>
    <row r="2756" spans="1:34" ht="15" customHeight="1" x14ac:dyDescent="0.25">
      <c r="A2756" s="213" t="s">
        <v>3123</v>
      </c>
      <c r="B2756" s="294" t="s">
        <v>3124</v>
      </c>
      <c r="C2756" s="295">
        <v>2.5820530000000002</v>
      </c>
      <c r="D2756" s="295">
        <v>2.6387659999999999</v>
      </c>
      <c r="E2756" s="295">
        <v>2.6835849999999999</v>
      </c>
      <c r="F2756" s="295">
        <v>2.7171799999999999</v>
      </c>
      <c r="G2756" s="295">
        <v>2.7631049999999999</v>
      </c>
      <c r="H2756" s="295">
        <v>2.8213539999999999</v>
      </c>
      <c r="I2756" s="295">
        <v>2.8897490000000001</v>
      </c>
      <c r="J2756" s="295">
        <v>2.9630329999999998</v>
      </c>
      <c r="K2756" s="295">
        <v>3.039053</v>
      </c>
      <c r="L2756" s="295">
        <v>3.1142129999999999</v>
      </c>
      <c r="M2756" s="295">
        <v>3.1902919999999999</v>
      </c>
      <c r="N2756" s="295">
        <v>3.263738</v>
      </c>
      <c r="O2756" s="295">
        <v>3.3368479999999998</v>
      </c>
      <c r="P2756" s="295">
        <v>3.4094600000000002</v>
      </c>
      <c r="Q2756" s="295">
        <v>3.4812639999999999</v>
      </c>
      <c r="R2756" s="295">
        <v>3.5539329999999998</v>
      </c>
      <c r="S2756" s="295">
        <v>3.6268220000000002</v>
      </c>
      <c r="T2756" s="295">
        <v>3.6992039999999999</v>
      </c>
      <c r="U2756" s="295">
        <v>3.7745799999999998</v>
      </c>
      <c r="V2756" s="295">
        <v>3.8498800000000002</v>
      </c>
      <c r="W2756" s="295">
        <v>3.9310100000000001</v>
      </c>
      <c r="X2756" s="295">
        <v>4.0133460000000003</v>
      </c>
      <c r="Y2756" s="295">
        <v>4.0985820000000004</v>
      </c>
      <c r="Z2756" s="295">
        <v>4.189845</v>
      </c>
      <c r="AA2756" s="295">
        <v>4.2859309999999997</v>
      </c>
      <c r="AB2756" s="295">
        <v>4.3860400000000004</v>
      </c>
      <c r="AC2756" s="295">
        <v>4.4970020000000002</v>
      </c>
      <c r="AD2756" s="295">
        <v>4.6137050000000004</v>
      </c>
      <c r="AE2756" s="295">
        <v>4.7355980000000004</v>
      </c>
      <c r="AF2756" s="295">
        <v>4.8656949999999997</v>
      </c>
      <c r="AG2756" s="295">
        <v>5.0034159999999996</v>
      </c>
      <c r="AH2756" s="296">
        <v>2.2296E-2</v>
      </c>
    </row>
    <row r="2757" spans="1:34" ht="15" customHeight="1" x14ac:dyDescent="0.25">
      <c r="A2757" s="213" t="s">
        <v>3125</v>
      </c>
      <c r="B2757" s="294" t="s">
        <v>3126</v>
      </c>
      <c r="C2757" s="295">
        <v>1.9516309999999999</v>
      </c>
      <c r="D2757" s="295">
        <v>2.0577890000000001</v>
      </c>
      <c r="E2757" s="295">
        <v>2.122052</v>
      </c>
      <c r="F2757" s="295">
        <v>2.0816300000000001</v>
      </c>
      <c r="G2757" s="295">
        <v>2.1316869999999999</v>
      </c>
      <c r="H2757" s="295">
        <v>2.201317</v>
      </c>
      <c r="I2757" s="295">
        <v>2.2985829999999998</v>
      </c>
      <c r="J2757" s="295">
        <v>2.4037890000000002</v>
      </c>
      <c r="K2757" s="295">
        <v>2.5059339999999999</v>
      </c>
      <c r="L2757" s="295">
        <v>2.577642</v>
      </c>
      <c r="M2757" s="295">
        <v>2.6492179999999999</v>
      </c>
      <c r="N2757" s="295">
        <v>2.714585</v>
      </c>
      <c r="O2757" s="295">
        <v>2.8001290000000001</v>
      </c>
      <c r="P2757" s="295">
        <v>2.8847109999999998</v>
      </c>
      <c r="Q2757" s="295">
        <v>2.9590860000000001</v>
      </c>
      <c r="R2757" s="295">
        <v>3.0421649999999998</v>
      </c>
      <c r="S2757" s="295">
        <v>3.127494</v>
      </c>
      <c r="T2757" s="295">
        <v>3.2011530000000001</v>
      </c>
      <c r="U2757" s="295">
        <v>3.2943709999999999</v>
      </c>
      <c r="V2757" s="295">
        <v>3.371607</v>
      </c>
      <c r="W2757" s="295">
        <v>3.4917449999999999</v>
      </c>
      <c r="X2757" s="295">
        <v>3.594611</v>
      </c>
      <c r="Y2757" s="295">
        <v>3.6971690000000001</v>
      </c>
      <c r="Z2757" s="295">
        <v>3.816065</v>
      </c>
      <c r="AA2757" s="295">
        <v>3.9292349999999998</v>
      </c>
      <c r="AB2757" s="295">
        <v>4.0297390000000002</v>
      </c>
      <c r="AC2757" s="295">
        <v>4.1824560000000002</v>
      </c>
      <c r="AD2757" s="295">
        <v>4.3223570000000002</v>
      </c>
      <c r="AE2757" s="295">
        <v>4.4531900000000002</v>
      </c>
      <c r="AF2757" s="295">
        <v>4.6024520000000004</v>
      </c>
      <c r="AG2757" s="295">
        <v>4.7650620000000004</v>
      </c>
      <c r="AH2757" s="296">
        <v>3.0202E-2</v>
      </c>
    </row>
    <row r="2758" spans="1:34" ht="15" customHeight="1" x14ac:dyDescent="0.2">
      <c r="B2758" s="204" t="s">
        <v>3127</v>
      </c>
    </row>
    <row r="2759" spans="1:34" ht="15" customHeight="1" x14ac:dyDescent="0.25">
      <c r="A2759" s="213" t="s">
        <v>3128</v>
      </c>
      <c r="B2759" s="294" t="s">
        <v>3129</v>
      </c>
      <c r="C2759" s="295">
        <v>1.9266589999999999</v>
      </c>
      <c r="D2759" s="295">
        <v>1.99298</v>
      </c>
      <c r="E2759" s="295">
        <v>2.0543870000000002</v>
      </c>
      <c r="F2759" s="295">
        <v>2.0831849999999998</v>
      </c>
      <c r="G2759" s="295">
        <v>2.1256360000000001</v>
      </c>
      <c r="H2759" s="295">
        <v>2.1747899999999998</v>
      </c>
      <c r="I2759" s="295">
        <v>2.2227380000000001</v>
      </c>
      <c r="J2759" s="295">
        <v>2.2697880000000001</v>
      </c>
      <c r="K2759" s="295">
        <v>2.3182689999999999</v>
      </c>
      <c r="L2759" s="295">
        <v>2.3638750000000002</v>
      </c>
      <c r="M2759" s="295">
        <v>2.4075579999999999</v>
      </c>
      <c r="N2759" s="295">
        <v>2.4490859999999999</v>
      </c>
      <c r="O2759" s="295">
        <v>2.496715</v>
      </c>
      <c r="P2759" s="295">
        <v>2.544073</v>
      </c>
      <c r="Q2759" s="295">
        <v>2.5889899999999999</v>
      </c>
      <c r="R2759" s="295">
        <v>2.6352660000000001</v>
      </c>
      <c r="S2759" s="295">
        <v>2.6811500000000001</v>
      </c>
      <c r="T2759" s="295">
        <v>2.7251699999999999</v>
      </c>
      <c r="U2759" s="295">
        <v>2.7747289999999998</v>
      </c>
      <c r="V2759" s="295">
        <v>2.8209369999999998</v>
      </c>
      <c r="W2759" s="295">
        <v>2.8768319999999998</v>
      </c>
      <c r="X2759" s="295">
        <v>2.9304860000000001</v>
      </c>
      <c r="Y2759" s="295">
        <v>2.9856750000000001</v>
      </c>
      <c r="Z2759" s="295">
        <v>3.0472519999999998</v>
      </c>
      <c r="AA2759" s="295">
        <v>3.110004</v>
      </c>
      <c r="AB2759" s="295">
        <v>3.1717119999999999</v>
      </c>
      <c r="AC2759" s="295">
        <v>3.2465220000000001</v>
      </c>
      <c r="AD2759" s="295">
        <v>3.32179</v>
      </c>
      <c r="AE2759" s="295">
        <v>3.3987090000000002</v>
      </c>
      <c r="AF2759" s="295">
        <v>3.4837189999999998</v>
      </c>
      <c r="AG2759" s="295">
        <v>3.5755240000000001</v>
      </c>
      <c r="AH2759" s="296">
        <v>2.0825E-2</v>
      </c>
    </row>
    <row r="2760" spans="1:34" ht="15" customHeight="1" x14ac:dyDescent="0.25">
      <c r="A2760" s="213" t="s">
        <v>3130</v>
      </c>
      <c r="B2760" s="294" t="s">
        <v>3131</v>
      </c>
      <c r="C2760" s="295">
        <v>1.3982950000000001</v>
      </c>
      <c r="D2760" s="295">
        <v>1.5529230000000001</v>
      </c>
      <c r="E2760" s="295">
        <v>1.6397040000000001</v>
      </c>
      <c r="F2760" s="295">
        <v>1.612792</v>
      </c>
      <c r="G2760" s="295">
        <v>1.662588</v>
      </c>
      <c r="H2760" s="295">
        <v>1.729846</v>
      </c>
      <c r="I2760" s="295">
        <v>1.813204</v>
      </c>
      <c r="J2760" s="295">
        <v>1.8957040000000001</v>
      </c>
      <c r="K2760" s="295">
        <v>1.9910859999999999</v>
      </c>
      <c r="L2760" s="295">
        <v>2.067876</v>
      </c>
      <c r="M2760" s="295">
        <v>2.138665</v>
      </c>
      <c r="N2760" s="295">
        <v>2.199716</v>
      </c>
      <c r="O2760" s="295">
        <v>2.2804869999999999</v>
      </c>
      <c r="P2760" s="295">
        <v>2.3569870000000002</v>
      </c>
      <c r="Q2760" s="295">
        <v>2.4204279999999998</v>
      </c>
      <c r="R2760" s="295">
        <v>2.4901800000000001</v>
      </c>
      <c r="S2760" s="295">
        <v>2.5602040000000001</v>
      </c>
      <c r="T2760" s="295">
        <v>2.6193080000000002</v>
      </c>
      <c r="U2760" s="295">
        <v>2.6958259999999998</v>
      </c>
      <c r="V2760" s="295">
        <v>2.7578710000000002</v>
      </c>
      <c r="W2760" s="295">
        <v>2.859429</v>
      </c>
      <c r="X2760" s="295">
        <v>2.945649</v>
      </c>
      <c r="Y2760" s="295">
        <v>3.0297420000000002</v>
      </c>
      <c r="Z2760" s="295">
        <v>3.1290589999999998</v>
      </c>
      <c r="AA2760" s="295">
        <v>3.223462</v>
      </c>
      <c r="AB2760" s="295">
        <v>3.3057569999999998</v>
      </c>
      <c r="AC2760" s="295">
        <v>3.4355380000000002</v>
      </c>
      <c r="AD2760" s="295">
        <v>3.5530179999999998</v>
      </c>
      <c r="AE2760" s="295">
        <v>3.663367</v>
      </c>
      <c r="AF2760" s="295">
        <v>3.790505</v>
      </c>
      <c r="AG2760" s="295">
        <v>3.9289179999999999</v>
      </c>
      <c r="AH2760" s="296">
        <v>3.5036999999999999E-2</v>
      </c>
    </row>
    <row r="2761" spans="1:34" ht="15" customHeight="1" x14ac:dyDescent="0.25">
      <c r="A2761" s="213" t="s">
        <v>3132</v>
      </c>
      <c r="B2761" s="294" t="s">
        <v>3133</v>
      </c>
      <c r="C2761" s="295">
        <v>2.206836</v>
      </c>
      <c r="D2761" s="295">
        <v>2.3111869999999999</v>
      </c>
      <c r="E2761" s="295">
        <v>2.3805019999999999</v>
      </c>
      <c r="F2761" s="295">
        <v>2.4404530000000002</v>
      </c>
      <c r="G2761" s="295">
        <v>2.5112320000000001</v>
      </c>
      <c r="H2761" s="295">
        <v>2.5631089999999999</v>
      </c>
      <c r="I2761" s="295">
        <v>2.5902080000000001</v>
      </c>
      <c r="J2761" s="295">
        <v>2.614967</v>
      </c>
      <c r="K2761" s="295">
        <v>2.6337069999999998</v>
      </c>
      <c r="L2761" s="295">
        <v>2.6455860000000002</v>
      </c>
      <c r="M2761" s="295">
        <v>2.6515789999999999</v>
      </c>
      <c r="N2761" s="295">
        <v>2.6553089999999999</v>
      </c>
      <c r="O2761" s="295">
        <v>2.6508250000000002</v>
      </c>
      <c r="P2761" s="295">
        <v>2.6478139999999999</v>
      </c>
      <c r="Q2761" s="295">
        <v>2.6498249999999999</v>
      </c>
      <c r="R2761" s="295">
        <v>2.649721</v>
      </c>
      <c r="S2761" s="295">
        <v>2.6479620000000001</v>
      </c>
      <c r="T2761" s="295">
        <v>2.649219</v>
      </c>
      <c r="U2761" s="295">
        <v>2.6511650000000002</v>
      </c>
      <c r="V2761" s="295">
        <v>2.6497920000000001</v>
      </c>
      <c r="W2761" s="295">
        <v>2.6461109999999999</v>
      </c>
      <c r="X2761" s="295">
        <v>2.6438640000000002</v>
      </c>
      <c r="Y2761" s="295">
        <v>2.6476950000000001</v>
      </c>
      <c r="Z2761" s="295">
        <v>2.651437</v>
      </c>
      <c r="AA2761" s="295">
        <v>2.6535039999999999</v>
      </c>
      <c r="AB2761" s="295">
        <v>2.6545749999999999</v>
      </c>
      <c r="AC2761" s="295">
        <v>2.6504189999999999</v>
      </c>
      <c r="AD2761" s="295">
        <v>2.6451959999999999</v>
      </c>
      <c r="AE2761" s="295">
        <v>2.6429840000000002</v>
      </c>
      <c r="AF2761" s="295">
        <v>2.6463009999999998</v>
      </c>
      <c r="AG2761" s="295">
        <v>2.6513149999999999</v>
      </c>
      <c r="AH2761" s="296">
        <v>6.1349999999999998E-3</v>
      </c>
    </row>
    <row r="2762" spans="1:34" ht="15" customHeight="1" x14ac:dyDescent="0.25">
      <c r="A2762" s="213" t="s">
        <v>3134</v>
      </c>
      <c r="B2762" s="294" t="s">
        <v>3135</v>
      </c>
      <c r="C2762" s="295">
        <v>2.0644990000000001</v>
      </c>
      <c r="D2762" s="295">
        <v>2.1073360000000001</v>
      </c>
      <c r="E2762" s="295">
        <v>2.1662569999999999</v>
      </c>
      <c r="F2762" s="295">
        <v>2.2130369999999999</v>
      </c>
      <c r="G2762" s="295">
        <v>2.2548729999999999</v>
      </c>
      <c r="H2762" s="295">
        <v>2.29684</v>
      </c>
      <c r="I2762" s="295">
        <v>2.332608</v>
      </c>
      <c r="J2762" s="295">
        <v>2.366441</v>
      </c>
      <c r="K2762" s="295">
        <v>2.4</v>
      </c>
      <c r="L2762" s="295">
        <v>2.4337399999999998</v>
      </c>
      <c r="M2762" s="295">
        <v>2.4690430000000001</v>
      </c>
      <c r="N2762" s="295">
        <v>2.5069020000000002</v>
      </c>
      <c r="O2762" s="295">
        <v>2.5469789999999999</v>
      </c>
      <c r="P2762" s="295">
        <v>2.5876990000000002</v>
      </c>
      <c r="Q2762" s="295">
        <v>2.629111</v>
      </c>
      <c r="R2762" s="295">
        <v>2.670633</v>
      </c>
      <c r="S2762" s="295">
        <v>2.7114690000000001</v>
      </c>
      <c r="T2762" s="295">
        <v>2.7531150000000002</v>
      </c>
      <c r="U2762" s="295">
        <v>2.797345</v>
      </c>
      <c r="V2762" s="295">
        <v>2.8412500000000001</v>
      </c>
      <c r="W2762" s="295">
        <v>2.886485</v>
      </c>
      <c r="X2762" s="295">
        <v>2.9331100000000001</v>
      </c>
      <c r="Y2762" s="295">
        <v>2.982586</v>
      </c>
      <c r="Z2762" s="295">
        <v>3.0362089999999999</v>
      </c>
      <c r="AA2762" s="295">
        <v>3.0926559999999998</v>
      </c>
      <c r="AB2762" s="295">
        <v>3.1511230000000001</v>
      </c>
      <c r="AC2762" s="295">
        <v>3.212993</v>
      </c>
      <c r="AD2762" s="295">
        <v>3.2788539999999999</v>
      </c>
      <c r="AE2762" s="295">
        <v>3.349132</v>
      </c>
      <c r="AF2762" s="295">
        <v>3.4255909999999998</v>
      </c>
      <c r="AG2762" s="295">
        <v>3.507997</v>
      </c>
      <c r="AH2762" s="296">
        <v>1.7829000000000001E-2</v>
      </c>
    </row>
    <row r="2764" spans="1:34" ht="15" customHeight="1" x14ac:dyDescent="0.2">
      <c r="B2764" s="204" t="s">
        <v>3136</v>
      </c>
    </row>
    <row r="2765" spans="1:34" ht="15" customHeight="1" x14ac:dyDescent="0.25">
      <c r="A2765" s="213" t="s">
        <v>3137</v>
      </c>
      <c r="B2765" s="294" t="s">
        <v>3138</v>
      </c>
      <c r="C2765" s="295">
        <v>0.37342399999999998</v>
      </c>
      <c r="D2765" s="295">
        <v>0.09</v>
      </c>
      <c r="E2765" s="295">
        <v>0.09</v>
      </c>
      <c r="F2765" s="295">
        <v>0.104745</v>
      </c>
      <c r="G2765" s="295">
        <v>0.122088</v>
      </c>
      <c r="H2765" s="295">
        <v>0.125</v>
      </c>
      <c r="I2765" s="295">
        <v>0.13994599999999999</v>
      </c>
      <c r="J2765" s="295">
        <v>0.390625</v>
      </c>
      <c r="K2765" s="295">
        <v>0.78141400000000005</v>
      </c>
      <c r="L2765" s="295">
        <v>1.2827809999999999</v>
      </c>
      <c r="M2765" s="295">
        <v>1.7841469999999999</v>
      </c>
      <c r="N2765" s="295">
        <v>2.1433420000000001</v>
      </c>
      <c r="O2765" s="295">
        <v>2.3940220000000001</v>
      </c>
      <c r="P2765" s="295">
        <v>2.625</v>
      </c>
      <c r="Q2765" s="295">
        <v>2.625</v>
      </c>
      <c r="R2765" s="295">
        <v>2.625</v>
      </c>
      <c r="S2765" s="295">
        <v>2.625</v>
      </c>
      <c r="T2765" s="295">
        <v>2.625</v>
      </c>
      <c r="U2765" s="295">
        <v>2.625</v>
      </c>
      <c r="V2765" s="295">
        <v>2.625</v>
      </c>
      <c r="W2765" s="295">
        <v>2.625</v>
      </c>
      <c r="X2765" s="295">
        <v>2.625</v>
      </c>
      <c r="Y2765" s="295">
        <v>2.625</v>
      </c>
      <c r="Z2765" s="295">
        <v>2.625</v>
      </c>
      <c r="AA2765" s="295">
        <v>2.625</v>
      </c>
      <c r="AB2765" s="295">
        <v>2.625</v>
      </c>
      <c r="AC2765" s="295">
        <v>2.625</v>
      </c>
      <c r="AD2765" s="295">
        <v>2.625</v>
      </c>
      <c r="AE2765" s="295">
        <v>2.625</v>
      </c>
      <c r="AF2765" s="295">
        <v>2.625</v>
      </c>
      <c r="AG2765" s="295">
        <v>2.625</v>
      </c>
      <c r="AH2765" s="296" t="s">
        <v>635</v>
      </c>
    </row>
    <row r="2766" spans="1:34" ht="15" customHeight="1" x14ac:dyDescent="0.25">
      <c r="A2766" s="213" t="s">
        <v>3139</v>
      </c>
      <c r="B2766" s="294" t="s">
        <v>3140</v>
      </c>
      <c r="C2766" s="295">
        <v>0.81347899999999995</v>
      </c>
      <c r="D2766" s="295">
        <v>0.75577899999999998</v>
      </c>
      <c r="E2766" s="295">
        <v>1.090743</v>
      </c>
      <c r="F2766" s="295">
        <v>1.356716</v>
      </c>
      <c r="G2766" s="295">
        <v>1.5744039999999999</v>
      </c>
      <c r="H2766" s="295">
        <v>1.8029599999999999</v>
      </c>
      <c r="I2766" s="295">
        <v>2.0274169999999998</v>
      </c>
      <c r="J2766" s="295">
        <v>2.2496100000000001</v>
      </c>
      <c r="K2766" s="295">
        <v>2.4542670000000002</v>
      </c>
      <c r="L2766" s="295">
        <v>2.6287919999999998</v>
      </c>
      <c r="M2766" s="295">
        <v>2.767423</v>
      </c>
      <c r="N2766" s="295">
        <v>2.8445960000000001</v>
      </c>
      <c r="O2766" s="295">
        <v>2.8853789999999999</v>
      </c>
      <c r="P2766" s="295">
        <v>2.904668</v>
      </c>
      <c r="Q2766" s="295">
        <v>2.9121049999999999</v>
      </c>
      <c r="R2766" s="295">
        <v>2.9214600000000002</v>
      </c>
      <c r="S2766" s="295">
        <v>2.9312339999999999</v>
      </c>
      <c r="T2766" s="295">
        <v>2.9375599999999999</v>
      </c>
      <c r="U2766" s="295">
        <v>2.945519</v>
      </c>
      <c r="V2766" s="295">
        <v>2.9413390000000001</v>
      </c>
      <c r="W2766" s="295">
        <v>2.9470499999999999</v>
      </c>
      <c r="X2766" s="295">
        <v>2.9520300000000002</v>
      </c>
      <c r="Y2766" s="295">
        <v>2.9471500000000002</v>
      </c>
      <c r="Z2766" s="295">
        <v>2.9377239999999998</v>
      </c>
      <c r="AA2766" s="295">
        <v>2.922444</v>
      </c>
      <c r="AB2766" s="295">
        <v>2.9125019999999999</v>
      </c>
      <c r="AC2766" s="295">
        <v>2.9185759999999998</v>
      </c>
      <c r="AD2766" s="295">
        <v>2.930253</v>
      </c>
      <c r="AE2766" s="295">
        <v>2.9403429999999999</v>
      </c>
      <c r="AF2766" s="295">
        <v>2.940922</v>
      </c>
      <c r="AG2766" s="295">
        <v>2.935924</v>
      </c>
      <c r="AH2766" s="296" t="s">
        <v>635</v>
      </c>
    </row>
    <row r="2767" spans="1:34" ht="15" customHeight="1" x14ac:dyDescent="0.25">
      <c r="A2767" s="213" t="s">
        <v>3141</v>
      </c>
      <c r="B2767" s="294" t="s">
        <v>3142</v>
      </c>
      <c r="C2767" s="295">
        <v>2.644174</v>
      </c>
      <c r="D2767" s="295">
        <v>2.32769</v>
      </c>
      <c r="E2767" s="295">
        <v>2.4850569999999998</v>
      </c>
      <c r="F2767" s="295">
        <v>2.777857</v>
      </c>
      <c r="G2767" s="295">
        <v>2.9453079999999998</v>
      </c>
      <c r="H2767" s="295">
        <v>3.0712999999999999</v>
      </c>
      <c r="I2767" s="295">
        <v>3.2078250000000001</v>
      </c>
      <c r="J2767" s="295">
        <v>3.3578450000000002</v>
      </c>
      <c r="K2767" s="295">
        <v>3.5157409999999998</v>
      </c>
      <c r="L2767" s="295">
        <v>3.632396</v>
      </c>
      <c r="M2767" s="295">
        <v>3.7116159999999998</v>
      </c>
      <c r="N2767" s="295">
        <v>3.7256960000000001</v>
      </c>
      <c r="O2767" s="295">
        <v>3.7477710000000002</v>
      </c>
      <c r="P2767" s="295">
        <v>3.767271</v>
      </c>
      <c r="Q2767" s="295">
        <v>3.7643330000000002</v>
      </c>
      <c r="R2767" s="295">
        <v>3.7795190000000001</v>
      </c>
      <c r="S2767" s="295">
        <v>3.8118270000000001</v>
      </c>
      <c r="T2767" s="295">
        <v>3.8227470000000001</v>
      </c>
      <c r="U2767" s="295">
        <v>3.8276659999999998</v>
      </c>
      <c r="V2767" s="295">
        <v>3.8254350000000001</v>
      </c>
      <c r="W2767" s="295">
        <v>3.861882</v>
      </c>
      <c r="X2767" s="295">
        <v>3.8578670000000002</v>
      </c>
      <c r="Y2767" s="295">
        <v>3.8213629999999998</v>
      </c>
      <c r="Z2767" s="295">
        <v>3.7938740000000002</v>
      </c>
      <c r="AA2767" s="295">
        <v>3.7855750000000001</v>
      </c>
      <c r="AB2767" s="295">
        <v>3.7771460000000001</v>
      </c>
      <c r="AC2767" s="295">
        <v>3.8008470000000001</v>
      </c>
      <c r="AD2767" s="295">
        <v>3.820271</v>
      </c>
      <c r="AE2767" s="295">
        <v>3.8153220000000001</v>
      </c>
      <c r="AF2767" s="295">
        <v>3.7991009999999998</v>
      </c>
      <c r="AG2767" s="295">
        <v>3.7845270000000002</v>
      </c>
      <c r="AH2767" s="296" t="s">
        <v>635</v>
      </c>
    </row>
    <row r="2769" spans="1:34" ht="15" customHeight="1" x14ac:dyDescent="0.2">
      <c r="B2769" s="204" t="s">
        <v>3143</v>
      </c>
    </row>
    <row r="2770" spans="1:34" ht="15" customHeight="1" x14ac:dyDescent="0.25">
      <c r="A2770" s="213" t="s">
        <v>3144</v>
      </c>
      <c r="B2770" s="294" t="s">
        <v>3145</v>
      </c>
      <c r="C2770" s="297">
        <v>22984.648438</v>
      </c>
      <c r="D2770" s="297">
        <v>23919.4375</v>
      </c>
      <c r="E2770" s="297">
        <v>24798.107422000001</v>
      </c>
      <c r="F2770" s="297">
        <v>25453.890625</v>
      </c>
      <c r="G2770" s="297">
        <v>26000.427734000001</v>
      </c>
      <c r="H2770" s="297">
        <v>26598.677734000001</v>
      </c>
      <c r="I2770" s="297">
        <v>27216.166015999999</v>
      </c>
      <c r="J2770" s="297">
        <v>27826.382812</v>
      </c>
      <c r="K2770" s="297">
        <v>28420.269531000002</v>
      </c>
      <c r="L2770" s="297">
        <v>29009.386718999998</v>
      </c>
      <c r="M2770" s="297">
        <v>29649.580077999999</v>
      </c>
      <c r="N2770" s="297">
        <v>30342.568359000001</v>
      </c>
      <c r="O2770" s="297">
        <v>31049.128906000002</v>
      </c>
      <c r="P2770" s="297">
        <v>31756.896484000001</v>
      </c>
      <c r="Q2770" s="297">
        <v>32485.708984000001</v>
      </c>
      <c r="R2770" s="297">
        <v>33212.125</v>
      </c>
      <c r="S2770" s="297">
        <v>33900.195312000003</v>
      </c>
      <c r="T2770" s="297">
        <v>34540.21875</v>
      </c>
      <c r="U2770" s="297">
        <v>35201.339844000002</v>
      </c>
      <c r="V2770" s="297">
        <v>35885.28125</v>
      </c>
      <c r="W2770" s="297">
        <v>36597.617187999997</v>
      </c>
      <c r="X2770" s="297">
        <v>37314.769530999998</v>
      </c>
      <c r="Y2770" s="297">
        <v>38059.878905999998</v>
      </c>
      <c r="Z2770" s="297">
        <v>38830.300780999998</v>
      </c>
      <c r="AA2770" s="297">
        <v>39591.4375</v>
      </c>
      <c r="AB2770" s="297">
        <v>40347.039062000003</v>
      </c>
      <c r="AC2770" s="297">
        <v>41099.90625</v>
      </c>
      <c r="AD2770" s="297">
        <v>41856.339844000002</v>
      </c>
      <c r="AE2770" s="297">
        <v>42652.097655999998</v>
      </c>
      <c r="AF2770" s="297">
        <v>43471.613280999998</v>
      </c>
      <c r="AG2770" s="297">
        <v>44300.054687999997</v>
      </c>
      <c r="AH2770" s="296">
        <v>2.2113000000000001E-2</v>
      </c>
    </row>
    <row r="2771" spans="1:34" ht="15" customHeight="1" x14ac:dyDescent="0.25">
      <c r="A2771" s="213" t="s">
        <v>3146</v>
      </c>
      <c r="B2771" s="294" t="s">
        <v>3147</v>
      </c>
      <c r="C2771" s="297">
        <v>8167.65625</v>
      </c>
      <c r="D2771" s="297">
        <v>8374.1523440000001</v>
      </c>
      <c r="E2771" s="297">
        <v>8643.9960940000001</v>
      </c>
      <c r="F2771" s="297">
        <v>8784.9072269999997</v>
      </c>
      <c r="G2771" s="297">
        <v>8936.6777340000008</v>
      </c>
      <c r="H2771" s="297">
        <v>9120.5341800000006</v>
      </c>
      <c r="I2771" s="297">
        <v>9257.9375</v>
      </c>
      <c r="J2771" s="297">
        <v>9377.3349610000005</v>
      </c>
      <c r="K2771" s="297">
        <v>9485.5644530000009</v>
      </c>
      <c r="L2771" s="297">
        <v>9589.4306639999995</v>
      </c>
      <c r="M2771" s="297">
        <v>9706.7158199999994</v>
      </c>
      <c r="N2771" s="297">
        <v>9840.2402340000008</v>
      </c>
      <c r="O2771" s="297">
        <v>9965.8378909999992</v>
      </c>
      <c r="P2771" s="297">
        <v>10097.353515999999</v>
      </c>
      <c r="Q2771" s="297">
        <v>10245.522461</v>
      </c>
      <c r="R2771" s="297">
        <v>10391.929688</v>
      </c>
      <c r="S2771" s="297">
        <v>10520.791015999999</v>
      </c>
      <c r="T2771" s="297">
        <v>10648.913086</v>
      </c>
      <c r="U2771" s="297">
        <v>10794.763671999999</v>
      </c>
      <c r="V2771" s="297">
        <v>10939.098633</v>
      </c>
      <c r="W2771" s="297">
        <v>11076.094727</v>
      </c>
      <c r="X2771" s="297">
        <v>11236.258789</v>
      </c>
      <c r="Y2771" s="297">
        <v>11419.560546999999</v>
      </c>
      <c r="Z2771" s="297">
        <v>11612.146484000001</v>
      </c>
      <c r="AA2771" s="297">
        <v>11794.147461</v>
      </c>
      <c r="AB2771" s="297">
        <v>11966.9375</v>
      </c>
      <c r="AC2771" s="297">
        <v>12138.631836</v>
      </c>
      <c r="AD2771" s="297">
        <v>12305.378906</v>
      </c>
      <c r="AE2771" s="297">
        <v>12484.868164</v>
      </c>
      <c r="AF2771" s="297">
        <v>12678.814453000001</v>
      </c>
      <c r="AG2771" s="297">
        <v>12873.575194999999</v>
      </c>
      <c r="AH2771" s="296">
        <v>1.5282E-2</v>
      </c>
    </row>
    <row r="2772" spans="1:34" ht="15" customHeight="1" x14ac:dyDescent="0.25">
      <c r="A2772" s="213" t="s">
        <v>3148</v>
      </c>
      <c r="B2772" s="294" t="s">
        <v>3149</v>
      </c>
      <c r="C2772" s="297">
        <v>2535.2312010000001</v>
      </c>
      <c r="D2772" s="297">
        <v>2514.7272950000001</v>
      </c>
      <c r="E2772" s="297">
        <v>2568.984375</v>
      </c>
      <c r="F2772" s="297">
        <v>2640.0727539999998</v>
      </c>
      <c r="G2772" s="297">
        <v>2703.6303710000002</v>
      </c>
      <c r="H2772" s="297">
        <v>2773.2055660000001</v>
      </c>
      <c r="I2772" s="297">
        <v>2824.5664059999999</v>
      </c>
      <c r="J2772" s="297">
        <v>2857.7973630000001</v>
      </c>
      <c r="K2772" s="297">
        <v>2888.7934570000002</v>
      </c>
      <c r="L2772" s="297">
        <v>2919.4584960000002</v>
      </c>
      <c r="M2772" s="297">
        <v>2953.5615229999999</v>
      </c>
      <c r="N2772" s="297">
        <v>2990.8901369999999</v>
      </c>
      <c r="O2772" s="297">
        <v>3025.6076659999999</v>
      </c>
      <c r="P2772" s="297">
        <v>3062.7897950000001</v>
      </c>
      <c r="Q2772" s="297">
        <v>3101.2829590000001</v>
      </c>
      <c r="R2772" s="297">
        <v>3136.6499020000001</v>
      </c>
      <c r="S2772" s="297">
        <v>3164.9951169999999</v>
      </c>
      <c r="T2772" s="297">
        <v>3193.390625</v>
      </c>
      <c r="U2772" s="297">
        <v>3228.7590329999998</v>
      </c>
      <c r="V2772" s="297">
        <v>3264.7329100000002</v>
      </c>
      <c r="W2772" s="297">
        <v>3303.8872070000002</v>
      </c>
      <c r="X2772" s="297">
        <v>3346.8552249999998</v>
      </c>
      <c r="Y2772" s="297">
        <v>3394.2790530000002</v>
      </c>
      <c r="Z2772" s="297">
        <v>3449.6367190000001</v>
      </c>
      <c r="AA2772" s="297">
        <v>3505.944336</v>
      </c>
      <c r="AB2772" s="297">
        <v>3555.8930660000001</v>
      </c>
      <c r="AC2772" s="297">
        <v>3608.5346679999998</v>
      </c>
      <c r="AD2772" s="297">
        <v>3658.5590820000002</v>
      </c>
      <c r="AE2772" s="297">
        <v>3711.4052729999999</v>
      </c>
      <c r="AF2772" s="297">
        <v>3767.0834960000002</v>
      </c>
      <c r="AG2772" s="297">
        <v>3822.2192380000001</v>
      </c>
      <c r="AH2772" s="296">
        <v>1.3779E-2</v>
      </c>
    </row>
    <row r="2773" spans="1:34" ht="15" customHeight="1" x14ac:dyDescent="0.25">
      <c r="A2773" s="213" t="s">
        <v>3150</v>
      </c>
      <c r="B2773" s="294" t="s">
        <v>3151</v>
      </c>
      <c r="C2773" s="297">
        <v>5632.4243159999996</v>
      </c>
      <c r="D2773" s="297">
        <v>5859.4262699999999</v>
      </c>
      <c r="E2773" s="297">
        <v>6075.0126950000003</v>
      </c>
      <c r="F2773" s="297">
        <v>6144.8344729999999</v>
      </c>
      <c r="G2773" s="297">
        <v>6233.046875</v>
      </c>
      <c r="H2773" s="297">
        <v>6347.3286129999997</v>
      </c>
      <c r="I2773" s="297">
        <v>6433.3710940000001</v>
      </c>
      <c r="J2773" s="297">
        <v>6519.5380859999996</v>
      </c>
      <c r="K2773" s="297">
        <v>6596.7714839999999</v>
      </c>
      <c r="L2773" s="297">
        <v>6669.9716799999997</v>
      </c>
      <c r="M2773" s="297">
        <v>6753.1547849999997</v>
      </c>
      <c r="N2773" s="297">
        <v>6849.3500979999999</v>
      </c>
      <c r="O2773" s="297">
        <v>6940.2309569999998</v>
      </c>
      <c r="P2773" s="297">
        <v>7034.5639650000003</v>
      </c>
      <c r="Q2773" s="297">
        <v>7144.2402339999999</v>
      </c>
      <c r="R2773" s="297">
        <v>7255.2797849999997</v>
      </c>
      <c r="S2773" s="297">
        <v>7355.7958980000003</v>
      </c>
      <c r="T2773" s="297">
        <v>7455.5229490000002</v>
      </c>
      <c r="U2773" s="297">
        <v>7566.0053710000002</v>
      </c>
      <c r="V2773" s="297">
        <v>7674.3647460000002</v>
      </c>
      <c r="W2773" s="297">
        <v>7772.2070309999999</v>
      </c>
      <c r="X2773" s="297">
        <v>7889.4023440000001</v>
      </c>
      <c r="Y2773" s="297">
        <v>8025.2822269999997</v>
      </c>
      <c r="Z2773" s="297">
        <v>8162.5087890000004</v>
      </c>
      <c r="AA2773" s="297">
        <v>8288.203125</v>
      </c>
      <c r="AB2773" s="297">
        <v>8411.0449219999991</v>
      </c>
      <c r="AC2773" s="297">
        <v>8530.0966800000006</v>
      </c>
      <c r="AD2773" s="297">
        <v>8646.8212889999995</v>
      </c>
      <c r="AE2773" s="297">
        <v>8773.4628909999992</v>
      </c>
      <c r="AF2773" s="297">
        <v>8911.7304690000001</v>
      </c>
      <c r="AG2773" s="297">
        <v>9051.3554690000001</v>
      </c>
      <c r="AH2773" s="296">
        <v>1.5938000000000001E-2</v>
      </c>
    </row>
    <row r="2774" spans="1:34" ht="15" customHeight="1" x14ac:dyDescent="0.25">
      <c r="A2774" s="213" t="s">
        <v>3152</v>
      </c>
      <c r="B2774" s="294" t="s">
        <v>3153</v>
      </c>
      <c r="C2774" s="297">
        <v>2399.1518550000001</v>
      </c>
      <c r="D2774" s="297">
        <v>2534.499268</v>
      </c>
      <c r="E2774" s="297">
        <v>2593.539307</v>
      </c>
      <c r="F2774" s="297">
        <v>2621.4233399999998</v>
      </c>
      <c r="G2774" s="297">
        <v>2664.4934079999998</v>
      </c>
      <c r="H2774" s="297">
        <v>2708.2409670000002</v>
      </c>
      <c r="I2774" s="297">
        <v>2732.8632809999999</v>
      </c>
      <c r="J2774" s="297">
        <v>2757.4506839999999</v>
      </c>
      <c r="K2774" s="297">
        <v>2783.2189939999998</v>
      </c>
      <c r="L2774" s="297">
        <v>2810.8635250000002</v>
      </c>
      <c r="M2774" s="297">
        <v>2841.4240719999998</v>
      </c>
      <c r="N2774" s="297">
        <v>2873.2585450000001</v>
      </c>
      <c r="O2774" s="297">
        <v>2902.01001</v>
      </c>
      <c r="P2774" s="297">
        <v>2933.2705080000001</v>
      </c>
      <c r="Q2774" s="297">
        <v>2968.4772950000001</v>
      </c>
      <c r="R2774" s="297">
        <v>3002.4157709999999</v>
      </c>
      <c r="S2774" s="297">
        <v>3031.8017580000001</v>
      </c>
      <c r="T2774" s="297">
        <v>3062.2204590000001</v>
      </c>
      <c r="U2774" s="297">
        <v>3094.0625</v>
      </c>
      <c r="V2774" s="297">
        <v>3122.3122560000002</v>
      </c>
      <c r="W2774" s="297">
        <v>3144.6958009999998</v>
      </c>
      <c r="X2774" s="297">
        <v>3174.0695799999999</v>
      </c>
      <c r="Y2774" s="297">
        <v>3211.6196289999998</v>
      </c>
      <c r="Z2774" s="297">
        <v>3248.7785640000002</v>
      </c>
      <c r="AA2774" s="297">
        <v>3279.4309079999998</v>
      </c>
      <c r="AB2774" s="297">
        <v>3313.467529</v>
      </c>
      <c r="AC2774" s="297">
        <v>3346.5791020000001</v>
      </c>
      <c r="AD2774" s="297">
        <v>3380.2404790000001</v>
      </c>
      <c r="AE2774" s="297">
        <v>3415.430664</v>
      </c>
      <c r="AF2774" s="297">
        <v>3457.0661620000001</v>
      </c>
      <c r="AG2774" s="297">
        <v>3501.7258299999999</v>
      </c>
      <c r="AH2774" s="296">
        <v>1.2684000000000001E-2</v>
      </c>
    </row>
    <row r="2775" spans="1:34" ht="15" customHeight="1" x14ac:dyDescent="0.25">
      <c r="A2775" s="213" t="s">
        <v>3154</v>
      </c>
      <c r="B2775" s="294" t="s">
        <v>3155</v>
      </c>
      <c r="C2775" s="297">
        <v>3233.272461</v>
      </c>
      <c r="D2775" s="297">
        <v>3324.9277339999999</v>
      </c>
      <c r="E2775" s="297">
        <v>3481.4736330000001</v>
      </c>
      <c r="F2775" s="297">
        <v>3523.4113769999999</v>
      </c>
      <c r="G2775" s="297">
        <v>3568.5532229999999</v>
      </c>
      <c r="H2775" s="297">
        <v>3639.0876459999999</v>
      </c>
      <c r="I2775" s="297">
        <v>3700.5078119999998</v>
      </c>
      <c r="J2775" s="297">
        <v>3762.088135</v>
      </c>
      <c r="K2775" s="297">
        <v>3813.55249</v>
      </c>
      <c r="L2775" s="297">
        <v>3859.108643</v>
      </c>
      <c r="M2775" s="297">
        <v>3911.7307129999999</v>
      </c>
      <c r="N2775" s="297">
        <v>3976.0910640000002</v>
      </c>
      <c r="O2775" s="297">
        <v>4038.2211910000001</v>
      </c>
      <c r="P2775" s="297">
        <v>4101.2929690000001</v>
      </c>
      <c r="Q2775" s="297">
        <v>4175.7641599999997</v>
      </c>
      <c r="R2775" s="297">
        <v>4252.8647460000002</v>
      </c>
      <c r="S2775" s="297">
        <v>4323.9936520000001</v>
      </c>
      <c r="T2775" s="297">
        <v>4393.3022460000002</v>
      </c>
      <c r="U2775" s="297">
        <v>4471.9438479999999</v>
      </c>
      <c r="V2775" s="297">
        <v>4552.0507809999999</v>
      </c>
      <c r="W2775" s="297">
        <v>4627.5112300000001</v>
      </c>
      <c r="X2775" s="297">
        <v>4715.3325199999999</v>
      </c>
      <c r="Y2775" s="297">
        <v>4813.6635740000002</v>
      </c>
      <c r="Z2775" s="297">
        <v>4913.7299800000001</v>
      </c>
      <c r="AA2775" s="297">
        <v>5008.7724609999996</v>
      </c>
      <c r="AB2775" s="297">
        <v>5097.576172</v>
      </c>
      <c r="AC2775" s="297">
        <v>5183.517578</v>
      </c>
      <c r="AD2775" s="297">
        <v>5266.5810549999997</v>
      </c>
      <c r="AE2775" s="297">
        <v>5358.0307620000003</v>
      </c>
      <c r="AF2775" s="297">
        <v>5454.6640619999998</v>
      </c>
      <c r="AG2775" s="297">
        <v>5549.6284180000002</v>
      </c>
      <c r="AH2775" s="296">
        <v>1.8171E-2</v>
      </c>
    </row>
    <row r="2776" spans="1:34" ht="15" customHeight="1" x14ac:dyDescent="0.2">
      <c r="A2776" s="213" t="s">
        <v>3156</v>
      </c>
      <c r="B2776" s="204" t="s">
        <v>3157</v>
      </c>
      <c r="C2776" s="299">
        <v>31152.304688</v>
      </c>
      <c r="D2776" s="299">
        <v>32293.589843999998</v>
      </c>
      <c r="E2776" s="299">
        <v>33442.101562000003</v>
      </c>
      <c r="F2776" s="299">
        <v>34238.796875</v>
      </c>
      <c r="G2776" s="299">
        <v>34937.105469000002</v>
      </c>
      <c r="H2776" s="299">
        <v>35719.210937999997</v>
      </c>
      <c r="I2776" s="299">
        <v>36474.101562000003</v>
      </c>
      <c r="J2776" s="299">
        <v>37203.71875</v>
      </c>
      <c r="K2776" s="299">
        <v>37905.835937999997</v>
      </c>
      <c r="L2776" s="299">
        <v>38598.816405999998</v>
      </c>
      <c r="M2776" s="299">
        <v>39356.296875</v>
      </c>
      <c r="N2776" s="299">
        <v>40182.808594000002</v>
      </c>
      <c r="O2776" s="299">
        <v>41014.96875</v>
      </c>
      <c r="P2776" s="299">
        <v>41854.25</v>
      </c>
      <c r="Q2776" s="299">
        <v>42731.230469000002</v>
      </c>
      <c r="R2776" s="299">
        <v>43604.054687999997</v>
      </c>
      <c r="S2776" s="299">
        <v>44420.984375</v>
      </c>
      <c r="T2776" s="299">
        <v>45189.132812000003</v>
      </c>
      <c r="U2776" s="299">
        <v>45996.101562000003</v>
      </c>
      <c r="V2776" s="299">
        <v>46824.378905999998</v>
      </c>
      <c r="W2776" s="299">
        <v>47673.710937999997</v>
      </c>
      <c r="X2776" s="299">
        <v>48551.027344000002</v>
      </c>
      <c r="Y2776" s="299">
        <v>49479.4375</v>
      </c>
      <c r="Z2776" s="299">
        <v>50442.445312000003</v>
      </c>
      <c r="AA2776" s="299">
        <v>51385.585937999997</v>
      </c>
      <c r="AB2776" s="299">
        <v>52313.976562000003</v>
      </c>
      <c r="AC2776" s="299">
        <v>53238.539062000003</v>
      </c>
      <c r="AD2776" s="299">
        <v>54161.71875</v>
      </c>
      <c r="AE2776" s="299">
        <v>55136.964844000002</v>
      </c>
      <c r="AF2776" s="299">
        <v>56150.429687999997</v>
      </c>
      <c r="AG2776" s="299">
        <v>57173.628905999998</v>
      </c>
      <c r="AH2776" s="206">
        <v>2.0445999999999999E-2</v>
      </c>
    </row>
    <row r="2778" spans="1:34" ht="15" customHeight="1" x14ac:dyDescent="0.2">
      <c r="B2778" s="204" t="s">
        <v>3158</v>
      </c>
    </row>
    <row r="2779" spans="1:34" ht="15" customHeight="1" x14ac:dyDescent="0.25">
      <c r="A2779" s="213" t="s">
        <v>3159</v>
      </c>
      <c r="B2779" s="294" t="s">
        <v>3160</v>
      </c>
      <c r="C2779" s="297">
        <v>330.40802000000002</v>
      </c>
      <c r="D2779" s="297">
        <v>332.66256700000002</v>
      </c>
      <c r="E2779" s="297">
        <v>334.98495500000001</v>
      </c>
      <c r="F2779" s="297">
        <v>337.28607199999999</v>
      </c>
      <c r="G2779" s="297">
        <v>339.56256100000002</v>
      </c>
      <c r="H2779" s="297">
        <v>341.81274400000001</v>
      </c>
      <c r="I2779" s="297">
        <v>344.037781</v>
      </c>
      <c r="J2779" s="297">
        <v>346.23037699999998</v>
      </c>
      <c r="K2779" s="297">
        <v>348.38626099999999</v>
      </c>
      <c r="L2779" s="297">
        <v>350.510986</v>
      </c>
      <c r="M2779" s="297">
        <v>352.59774800000002</v>
      </c>
      <c r="N2779" s="297">
        <v>354.63107300000001</v>
      </c>
      <c r="O2779" s="297">
        <v>356.61285400000003</v>
      </c>
      <c r="P2779" s="297">
        <v>358.54745500000001</v>
      </c>
      <c r="Q2779" s="297">
        <v>360.43542500000001</v>
      </c>
      <c r="R2779" s="297">
        <v>362.27773999999999</v>
      </c>
      <c r="S2779" s="297">
        <v>364.07598899999999</v>
      </c>
      <c r="T2779" s="297">
        <v>365.83209199999999</v>
      </c>
      <c r="U2779" s="297">
        <v>367.54803500000003</v>
      </c>
      <c r="V2779" s="297">
        <v>369.22619600000002</v>
      </c>
      <c r="W2779" s="297">
        <v>370.86914100000001</v>
      </c>
      <c r="X2779" s="297">
        <v>372.47976699999998</v>
      </c>
      <c r="Y2779" s="297">
        <v>374.06146200000001</v>
      </c>
      <c r="Z2779" s="297">
        <v>375.61776700000001</v>
      </c>
      <c r="AA2779" s="297">
        <v>377.15304600000002</v>
      </c>
      <c r="AB2779" s="297">
        <v>378.67199699999998</v>
      </c>
      <c r="AC2779" s="297">
        <v>380.17904700000003</v>
      </c>
      <c r="AD2779" s="297">
        <v>381.677277</v>
      </c>
      <c r="AE2779" s="297">
        <v>383.17071499999997</v>
      </c>
      <c r="AF2779" s="297">
        <v>384.66336100000001</v>
      </c>
      <c r="AG2779" s="297">
        <v>386.15859999999998</v>
      </c>
      <c r="AH2779" s="296">
        <v>5.2110000000000004E-3</v>
      </c>
    </row>
    <row r="2780" spans="1:34" ht="15" customHeight="1" x14ac:dyDescent="0.25">
      <c r="A2780" s="213" t="s">
        <v>3161</v>
      </c>
      <c r="B2780" s="294" t="s">
        <v>3162</v>
      </c>
      <c r="C2780" s="297">
        <v>265.89129600000001</v>
      </c>
      <c r="D2780" s="297">
        <v>268.09789999999998</v>
      </c>
      <c r="E2780" s="297">
        <v>270.32876599999997</v>
      </c>
      <c r="F2780" s="297">
        <v>272.57312000000002</v>
      </c>
      <c r="G2780" s="297">
        <v>274.75671399999999</v>
      </c>
      <c r="H2780" s="297">
        <v>276.81048600000003</v>
      </c>
      <c r="I2780" s="297">
        <v>278.84494000000001</v>
      </c>
      <c r="J2780" s="297">
        <v>280.84661899999998</v>
      </c>
      <c r="K2780" s="297">
        <v>282.779877</v>
      </c>
      <c r="L2780" s="297">
        <v>284.67748999999998</v>
      </c>
      <c r="M2780" s="297">
        <v>286.55276500000002</v>
      </c>
      <c r="N2780" s="297">
        <v>288.40499899999998</v>
      </c>
      <c r="O2780" s="297">
        <v>290.20031699999998</v>
      </c>
      <c r="P2780" s="297">
        <v>292.001465</v>
      </c>
      <c r="Q2780" s="297">
        <v>293.80816700000003</v>
      </c>
      <c r="R2780" s="297">
        <v>295.58041400000002</v>
      </c>
      <c r="S2780" s="297">
        <v>297.32385299999999</v>
      </c>
      <c r="T2780" s="297">
        <v>299.03402699999998</v>
      </c>
      <c r="U2780" s="297">
        <v>300.70950299999998</v>
      </c>
      <c r="V2780" s="297">
        <v>302.34878500000002</v>
      </c>
      <c r="W2780" s="297">
        <v>303.95135499999998</v>
      </c>
      <c r="X2780" s="297">
        <v>305.51760899999999</v>
      </c>
      <c r="Y2780" s="297">
        <v>307.04898100000003</v>
      </c>
      <c r="Z2780" s="297">
        <v>308.547302</v>
      </c>
      <c r="AA2780" s="297">
        <v>310.01461799999998</v>
      </c>
      <c r="AB2780" s="297">
        <v>311.453461</v>
      </c>
      <c r="AC2780" s="297">
        <v>312.86712599999998</v>
      </c>
      <c r="AD2780" s="297">
        <v>314.25817899999998</v>
      </c>
      <c r="AE2780" s="297">
        <v>315.62979100000001</v>
      </c>
      <c r="AF2780" s="297">
        <v>316.98654199999999</v>
      </c>
      <c r="AG2780" s="297">
        <v>318.33322099999998</v>
      </c>
      <c r="AH2780" s="296">
        <v>6.0179999999999999E-3</v>
      </c>
    </row>
    <row r="2781" spans="1:34" ht="15" customHeight="1" x14ac:dyDescent="0.25">
      <c r="A2781" s="213" t="s">
        <v>3163</v>
      </c>
      <c r="B2781" s="294" t="s">
        <v>3164</v>
      </c>
      <c r="C2781" s="297">
        <v>56.138869999999997</v>
      </c>
      <c r="D2781" s="297">
        <v>57.970244999999998</v>
      </c>
      <c r="E2781" s="297">
        <v>59.836365000000001</v>
      </c>
      <c r="F2781" s="297">
        <v>61.670757000000002</v>
      </c>
      <c r="G2781" s="297">
        <v>63.484402000000003</v>
      </c>
      <c r="H2781" s="297">
        <v>65.343872000000005</v>
      </c>
      <c r="I2781" s="297">
        <v>67.098358000000005</v>
      </c>
      <c r="J2781" s="297">
        <v>68.741814000000005</v>
      </c>
      <c r="K2781" s="297">
        <v>70.323051000000007</v>
      </c>
      <c r="L2781" s="297">
        <v>71.831421000000006</v>
      </c>
      <c r="M2781" s="297">
        <v>73.169167000000002</v>
      </c>
      <c r="N2781" s="297">
        <v>74.298889000000003</v>
      </c>
      <c r="O2781" s="297">
        <v>75.285399999999996</v>
      </c>
      <c r="P2781" s="297">
        <v>76.188637</v>
      </c>
      <c r="Q2781" s="297">
        <v>77.064887999999996</v>
      </c>
      <c r="R2781" s="297">
        <v>78.051422000000002</v>
      </c>
      <c r="S2781" s="297">
        <v>79.040199000000001</v>
      </c>
      <c r="T2781" s="297">
        <v>79.803612000000001</v>
      </c>
      <c r="U2781" s="297">
        <v>80.329307999999997</v>
      </c>
      <c r="V2781" s="297">
        <v>80.704582000000002</v>
      </c>
      <c r="W2781" s="297">
        <v>81.106399999999994</v>
      </c>
      <c r="X2781" s="297">
        <v>81.438186999999999</v>
      </c>
      <c r="Y2781" s="297">
        <v>81.748024000000001</v>
      </c>
      <c r="Z2781" s="297">
        <v>82.108345</v>
      </c>
      <c r="AA2781" s="297">
        <v>82.476067</v>
      </c>
      <c r="AB2781" s="297">
        <v>83.022163000000006</v>
      </c>
      <c r="AC2781" s="297">
        <v>83.598427000000001</v>
      </c>
      <c r="AD2781" s="297">
        <v>84.142264999999995</v>
      </c>
      <c r="AE2781" s="297">
        <v>84.718566999999993</v>
      </c>
      <c r="AF2781" s="297">
        <v>85.242439000000005</v>
      </c>
      <c r="AG2781" s="297">
        <v>85.837463</v>
      </c>
      <c r="AH2781" s="296">
        <v>1.4255E-2</v>
      </c>
    </row>
    <row r="2782" spans="1:34" ht="15" customHeight="1" x14ac:dyDescent="0.25">
      <c r="A2782" s="213" t="s">
        <v>3165</v>
      </c>
      <c r="B2782" s="294" t="s">
        <v>3166</v>
      </c>
      <c r="C2782" s="297">
        <v>141.525452</v>
      </c>
      <c r="D2782" s="297">
        <v>146.82290599999999</v>
      </c>
      <c r="E2782" s="297">
        <v>151.09684799999999</v>
      </c>
      <c r="F2782" s="297">
        <v>154.916504</v>
      </c>
      <c r="G2782" s="297">
        <v>157.37574799999999</v>
      </c>
      <c r="H2782" s="297">
        <v>159.05834999999999</v>
      </c>
      <c r="I2782" s="297">
        <v>160.175781</v>
      </c>
      <c r="J2782" s="297">
        <v>160.92176799999999</v>
      </c>
      <c r="K2782" s="297">
        <v>161.36518899999999</v>
      </c>
      <c r="L2782" s="297">
        <v>161.521469</v>
      </c>
      <c r="M2782" s="297">
        <v>161.976868</v>
      </c>
      <c r="N2782" s="297">
        <v>162.689987</v>
      </c>
      <c r="O2782" s="297">
        <v>163.83973700000001</v>
      </c>
      <c r="P2782" s="297">
        <v>164.99992399999999</v>
      </c>
      <c r="Q2782" s="297">
        <v>166.192474</v>
      </c>
      <c r="R2782" s="297">
        <v>167.409897</v>
      </c>
      <c r="S2782" s="297">
        <v>168.48397800000001</v>
      </c>
      <c r="T2782" s="297">
        <v>169.37188699999999</v>
      </c>
      <c r="U2782" s="297">
        <v>170.252655</v>
      </c>
      <c r="V2782" s="297">
        <v>171.237595</v>
      </c>
      <c r="W2782" s="297">
        <v>172.428909</v>
      </c>
      <c r="X2782" s="297">
        <v>173.3526</v>
      </c>
      <c r="Y2782" s="297">
        <v>174.45880099999999</v>
      </c>
      <c r="Z2782" s="297">
        <v>175.676254</v>
      </c>
      <c r="AA2782" s="297">
        <v>176.90194700000001</v>
      </c>
      <c r="AB2782" s="297">
        <v>178.01054400000001</v>
      </c>
      <c r="AC2782" s="297">
        <v>179.07218900000001</v>
      </c>
      <c r="AD2782" s="297">
        <v>180.06805399999999</v>
      </c>
      <c r="AE2782" s="297">
        <v>181.117706</v>
      </c>
      <c r="AF2782" s="297">
        <v>182.20962499999999</v>
      </c>
      <c r="AG2782" s="297">
        <v>183.26329000000001</v>
      </c>
      <c r="AH2782" s="296">
        <v>8.652E-3</v>
      </c>
    </row>
    <row r="2783" spans="1:34" ht="15" customHeight="1" x14ac:dyDescent="0.25">
      <c r="A2783" s="213" t="s">
        <v>3167</v>
      </c>
      <c r="B2783" s="294" t="s">
        <v>3168</v>
      </c>
      <c r="C2783" s="298">
        <v>12.166359</v>
      </c>
      <c r="D2783" s="298">
        <v>12.026465999999999</v>
      </c>
      <c r="E2783" s="298">
        <v>12.159459999999999</v>
      </c>
      <c r="F2783" s="298">
        <v>12.295507000000001</v>
      </c>
      <c r="G2783" s="298">
        <v>12.317556</v>
      </c>
      <c r="H2783" s="298">
        <v>12.370839</v>
      </c>
      <c r="I2783" s="298">
        <v>12.414648</v>
      </c>
      <c r="J2783" s="298">
        <v>12.404102999999999</v>
      </c>
      <c r="K2783" s="298">
        <v>12.315329</v>
      </c>
      <c r="L2783" s="298">
        <v>12.171834</v>
      </c>
      <c r="M2783" s="298">
        <v>12.03842</v>
      </c>
      <c r="N2783" s="298">
        <v>11.961957999999999</v>
      </c>
      <c r="O2783" s="298">
        <v>11.938440999999999</v>
      </c>
      <c r="P2783" s="298">
        <v>11.889303</v>
      </c>
      <c r="Q2783" s="298">
        <v>11.855321</v>
      </c>
      <c r="R2783" s="298">
        <v>11.804005999999999</v>
      </c>
      <c r="S2783" s="298">
        <v>11.784623</v>
      </c>
      <c r="T2783" s="298">
        <v>11.730212999999999</v>
      </c>
      <c r="U2783" s="298">
        <v>11.703424</v>
      </c>
      <c r="V2783" s="298">
        <v>11.682192000000001</v>
      </c>
      <c r="W2783" s="298">
        <v>11.661362</v>
      </c>
      <c r="X2783" s="298">
        <v>11.649927</v>
      </c>
      <c r="Y2783" s="298">
        <v>11.652343999999999</v>
      </c>
      <c r="Z2783" s="298">
        <v>11.682632999999999</v>
      </c>
      <c r="AA2783" s="298">
        <v>11.724266</v>
      </c>
      <c r="AB2783" s="298">
        <v>11.729838000000001</v>
      </c>
      <c r="AC2783" s="298">
        <v>11.741006</v>
      </c>
      <c r="AD2783" s="298">
        <v>11.736863</v>
      </c>
      <c r="AE2783" s="298">
        <v>11.721692000000001</v>
      </c>
      <c r="AF2783" s="298">
        <v>11.724726</v>
      </c>
      <c r="AG2783" s="298">
        <v>11.714651999999999</v>
      </c>
      <c r="AH2783" s="296">
        <v>-1.2600000000000001E-3</v>
      </c>
    </row>
    <row r="2785" spans="1:34" ht="15" customHeight="1" x14ac:dyDescent="0.2">
      <c r="B2785" s="204" t="s">
        <v>3169</v>
      </c>
    </row>
    <row r="2786" spans="1:34" ht="15" customHeight="1" x14ac:dyDescent="0.25">
      <c r="A2786" s="213" t="s">
        <v>3170</v>
      </c>
      <c r="B2786" s="294" t="s">
        <v>3171</v>
      </c>
      <c r="C2786" s="297">
        <v>160.88029499999999</v>
      </c>
      <c r="D2786" s="297">
        <v>162.9991</v>
      </c>
      <c r="E2786" s="297">
        <v>164.93542500000001</v>
      </c>
      <c r="F2786" s="297">
        <v>166.71662900000001</v>
      </c>
      <c r="G2786" s="297">
        <v>168.223175</v>
      </c>
      <c r="H2786" s="297">
        <v>169.39797999999999</v>
      </c>
      <c r="I2786" s="297">
        <v>170.417023</v>
      </c>
      <c r="J2786" s="297">
        <v>171.40033</v>
      </c>
      <c r="K2786" s="297">
        <v>172.32531700000001</v>
      </c>
      <c r="L2786" s="297">
        <v>173.09837300000001</v>
      </c>
      <c r="M2786" s="297">
        <v>173.87785299999999</v>
      </c>
      <c r="N2786" s="297">
        <v>174.54731799999999</v>
      </c>
      <c r="O2786" s="297">
        <v>175.528549</v>
      </c>
      <c r="P2786" s="297">
        <v>176.565674</v>
      </c>
      <c r="Q2786" s="297">
        <v>177.49897799999999</v>
      </c>
      <c r="R2786" s="297">
        <v>178.367401</v>
      </c>
      <c r="S2786" s="297">
        <v>179.37867700000001</v>
      </c>
      <c r="T2786" s="297">
        <v>180.50477599999999</v>
      </c>
      <c r="U2786" s="297">
        <v>181.636627</v>
      </c>
      <c r="V2786" s="297">
        <v>182.79096999999999</v>
      </c>
      <c r="W2786" s="297">
        <v>183.93820199999999</v>
      </c>
      <c r="X2786" s="297">
        <v>185.148224</v>
      </c>
      <c r="Y2786" s="297">
        <v>186.290268</v>
      </c>
      <c r="Z2786" s="297">
        <v>187.42030299999999</v>
      </c>
      <c r="AA2786" s="297">
        <v>188.48002600000001</v>
      </c>
      <c r="AB2786" s="297">
        <v>189.448654</v>
      </c>
      <c r="AC2786" s="297">
        <v>190.44705200000001</v>
      </c>
      <c r="AD2786" s="297">
        <v>191.37582399999999</v>
      </c>
      <c r="AE2786" s="297">
        <v>192.320145</v>
      </c>
      <c r="AF2786" s="297">
        <v>193.269531</v>
      </c>
      <c r="AG2786" s="297">
        <v>194.21298200000001</v>
      </c>
      <c r="AH2786" s="296">
        <v>6.2960000000000004E-3</v>
      </c>
    </row>
    <row r="2787" spans="1:34" ht="15" customHeight="1" x14ac:dyDescent="0.25">
      <c r="A2787" s="213" t="s">
        <v>3172</v>
      </c>
      <c r="B2787" s="294" t="s">
        <v>3173</v>
      </c>
      <c r="C2787" s="295">
        <v>1.0942080000000001</v>
      </c>
      <c r="D2787" s="295">
        <v>1.099334</v>
      </c>
      <c r="E2787" s="295">
        <v>1.114045</v>
      </c>
      <c r="F2787" s="295">
        <v>1.125321</v>
      </c>
      <c r="G2787" s="295">
        <v>1.141524</v>
      </c>
      <c r="H2787" s="295">
        <v>1.1615770000000001</v>
      </c>
      <c r="I2787" s="295">
        <v>1.182572</v>
      </c>
      <c r="J2787" s="295">
        <v>1.204502</v>
      </c>
      <c r="K2787" s="295">
        <v>1.2270019999999999</v>
      </c>
      <c r="L2787" s="295">
        <v>1.2506029999999999</v>
      </c>
      <c r="M2787" s="295">
        <v>1.2748349999999999</v>
      </c>
      <c r="N2787" s="295">
        <v>1.2987169999999999</v>
      </c>
      <c r="O2787" s="295">
        <v>1.3215440000000001</v>
      </c>
      <c r="P2787" s="295">
        <v>1.344673</v>
      </c>
      <c r="Q2787" s="295">
        <v>1.3674310000000001</v>
      </c>
      <c r="R2787" s="295">
        <v>1.389243</v>
      </c>
      <c r="S2787" s="295">
        <v>1.4101939999999999</v>
      </c>
      <c r="T2787" s="295">
        <v>1.4319850000000001</v>
      </c>
      <c r="U2787" s="295">
        <v>1.454477</v>
      </c>
      <c r="V2787" s="295">
        <v>1.4772799999999999</v>
      </c>
      <c r="W2787" s="295">
        <v>1.500453</v>
      </c>
      <c r="X2787" s="295">
        <v>1.523652</v>
      </c>
      <c r="Y2787" s="295">
        <v>1.547372</v>
      </c>
      <c r="Z2787" s="295">
        <v>1.571159</v>
      </c>
      <c r="AA2787" s="295">
        <v>1.595116</v>
      </c>
      <c r="AB2787" s="295">
        <v>1.6194500000000001</v>
      </c>
      <c r="AC2787" s="295">
        <v>1.6439820000000001</v>
      </c>
      <c r="AD2787" s="295">
        <v>1.66919</v>
      </c>
      <c r="AE2787" s="295">
        <v>1.695092</v>
      </c>
      <c r="AF2787" s="295">
        <v>1.720852</v>
      </c>
      <c r="AG2787" s="295">
        <v>1.7468140000000001</v>
      </c>
      <c r="AH2787" s="296">
        <v>1.5713999999999999E-2</v>
      </c>
    </row>
    <row r="2788" spans="1:34" ht="15" customHeight="1" x14ac:dyDescent="0.25">
      <c r="A2788" s="213" t="s">
        <v>3174</v>
      </c>
      <c r="B2788" s="294" t="s">
        <v>3175</v>
      </c>
      <c r="C2788" s="295">
        <v>8.6463859999999997</v>
      </c>
      <c r="D2788" s="295">
        <v>7.5995809999999997</v>
      </c>
      <c r="E2788" s="295">
        <v>5.8606670000000003</v>
      </c>
      <c r="F2788" s="295">
        <v>4.6161450000000004</v>
      </c>
      <c r="G2788" s="295">
        <v>3.984073</v>
      </c>
      <c r="H2788" s="295">
        <v>3.66703</v>
      </c>
      <c r="I2788" s="295">
        <v>3.5618409999999998</v>
      </c>
      <c r="J2788" s="295">
        <v>3.614166</v>
      </c>
      <c r="K2788" s="295">
        <v>3.795188</v>
      </c>
      <c r="L2788" s="295">
        <v>4.0177500000000004</v>
      </c>
      <c r="M2788" s="295">
        <v>4.086627</v>
      </c>
      <c r="N2788" s="295">
        <v>4.0093969999999999</v>
      </c>
      <c r="O2788" s="295">
        <v>3.932328</v>
      </c>
      <c r="P2788" s="295">
        <v>3.911117</v>
      </c>
      <c r="Q2788" s="295">
        <v>3.8644259999999999</v>
      </c>
      <c r="R2788" s="295">
        <v>3.8223189999999998</v>
      </c>
      <c r="S2788" s="295">
        <v>3.8492000000000002</v>
      </c>
      <c r="T2788" s="295">
        <v>3.947206</v>
      </c>
      <c r="U2788" s="295">
        <v>4.0356009999999998</v>
      </c>
      <c r="V2788" s="295">
        <v>4.1207849999999997</v>
      </c>
      <c r="W2788" s="295">
        <v>4.1993850000000004</v>
      </c>
      <c r="X2788" s="295">
        <v>4.2507869999999999</v>
      </c>
      <c r="Y2788" s="295">
        <v>4.2622679999999997</v>
      </c>
      <c r="Z2788" s="295">
        <v>4.2557739999999997</v>
      </c>
      <c r="AA2788" s="295">
        <v>4.2839869999999998</v>
      </c>
      <c r="AB2788" s="295">
        <v>4.3318510000000003</v>
      </c>
      <c r="AC2788" s="295">
        <v>4.4017910000000002</v>
      </c>
      <c r="AD2788" s="295">
        <v>4.4887480000000002</v>
      </c>
      <c r="AE2788" s="295">
        <v>4.5403739999999999</v>
      </c>
      <c r="AF2788" s="295">
        <v>4.5818190000000003</v>
      </c>
      <c r="AG2788" s="295">
        <v>4.6267630000000004</v>
      </c>
      <c r="AH2788" s="296" t="s">
        <v>635</v>
      </c>
    </row>
    <row r="2791" spans="1:34" ht="15" customHeight="1" x14ac:dyDescent="0.2">
      <c r="B2791" s="204" t="s">
        <v>3176</v>
      </c>
    </row>
    <row r="2792" spans="1:34" ht="15" customHeight="1" x14ac:dyDescent="0.25">
      <c r="A2792" s="213" t="s">
        <v>3177</v>
      </c>
      <c r="B2792" s="294" t="s">
        <v>3178</v>
      </c>
      <c r="C2792" s="297">
        <v>15994.032227</v>
      </c>
      <c r="D2792" s="297">
        <v>14988.257812</v>
      </c>
      <c r="E2792" s="297">
        <v>15452.087890999999</v>
      </c>
      <c r="F2792" s="297">
        <v>15916.799805000001</v>
      </c>
      <c r="G2792" s="297">
        <v>16294.482421999999</v>
      </c>
      <c r="H2792" s="297">
        <v>16720.535156000002</v>
      </c>
      <c r="I2792" s="297">
        <v>17119.472656000002</v>
      </c>
      <c r="J2792" s="297">
        <v>17524.818359000001</v>
      </c>
      <c r="K2792" s="297">
        <v>17940.582031000002</v>
      </c>
      <c r="L2792" s="297">
        <v>18369.302734000001</v>
      </c>
      <c r="M2792" s="297">
        <v>18826.322265999999</v>
      </c>
      <c r="N2792" s="297">
        <v>19265.550781000002</v>
      </c>
      <c r="O2792" s="297">
        <v>19705.550781000002</v>
      </c>
      <c r="P2792" s="297">
        <v>20152.904297000001</v>
      </c>
      <c r="Q2792" s="297">
        <v>20597.095702999999</v>
      </c>
      <c r="R2792" s="297">
        <v>21038.289062</v>
      </c>
      <c r="S2792" s="297">
        <v>21474.863281000002</v>
      </c>
      <c r="T2792" s="297">
        <v>21903.992188</v>
      </c>
      <c r="U2792" s="297">
        <v>22329.722656000002</v>
      </c>
      <c r="V2792" s="297">
        <v>22760.345702999999</v>
      </c>
      <c r="W2792" s="297">
        <v>23183.960938</v>
      </c>
      <c r="X2792" s="297">
        <v>23618.382812</v>
      </c>
      <c r="Y2792" s="297">
        <v>24069.490234000001</v>
      </c>
      <c r="Z2792" s="297">
        <v>24521.011718999998</v>
      </c>
      <c r="AA2792" s="297">
        <v>24971.126952999999</v>
      </c>
      <c r="AB2792" s="297">
        <v>25426.998047000001</v>
      </c>
      <c r="AC2792" s="297">
        <v>25888.123047000001</v>
      </c>
      <c r="AD2792" s="297">
        <v>26362.109375</v>
      </c>
      <c r="AE2792" s="297">
        <v>26851.195312</v>
      </c>
      <c r="AF2792" s="297">
        <v>27336.476562</v>
      </c>
      <c r="AG2792" s="297">
        <v>27812.863281000002</v>
      </c>
      <c r="AH2792" s="296">
        <v>1.8613999999999999E-2</v>
      </c>
    </row>
    <row r="2793" spans="1:34" ht="15" customHeight="1" x14ac:dyDescent="0.25">
      <c r="A2793" s="213" t="s">
        <v>3179</v>
      </c>
      <c r="B2793" s="294" t="s">
        <v>3180</v>
      </c>
      <c r="C2793" s="295">
        <v>1.3547899999999999</v>
      </c>
      <c r="D2793" s="295">
        <v>1.385788</v>
      </c>
      <c r="E2793" s="295">
        <v>1.383831</v>
      </c>
      <c r="F2793" s="295">
        <v>1.3539950000000001</v>
      </c>
      <c r="G2793" s="295">
        <v>1.3488359999999999</v>
      </c>
      <c r="H2793" s="295">
        <v>1.381267</v>
      </c>
      <c r="I2793" s="295">
        <v>1.3805909999999999</v>
      </c>
      <c r="J2793" s="295">
        <v>1.3461799999999999</v>
      </c>
      <c r="K2793" s="295">
        <v>1.322479</v>
      </c>
      <c r="L2793" s="295">
        <v>1.3031360000000001</v>
      </c>
      <c r="M2793" s="295">
        <v>1.2915859999999999</v>
      </c>
      <c r="N2793" s="295">
        <v>1.277674</v>
      </c>
      <c r="O2793" s="295">
        <v>1.271312</v>
      </c>
      <c r="P2793" s="295">
        <v>1.248529</v>
      </c>
      <c r="Q2793" s="295">
        <v>1.226332</v>
      </c>
      <c r="R2793" s="295">
        <v>1.228531</v>
      </c>
      <c r="S2793" s="295">
        <v>1.2092780000000001</v>
      </c>
      <c r="T2793" s="295">
        <v>1.196534</v>
      </c>
      <c r="U2793" s="295">
        <v>1.192186</v>
      </c>
      <c r="V2793" s="295">
        <v>1.1865810000000001</v>
      </c>
      <c r="W2793" s="295">
        <v>1.189146</v>
      </c>
      <c r="X2793" s="295">
        <v>1.1844760000000001</v>
      </c>
      <c r="Y2793" s="295">
        <v>1.1866429999999999</v>
      </c>
      <c r="Z2793" s="295">
        <v>1.1983630000000001</v>
      </c>
      <c r="AA2793" s="295">
        <v>1.2087300000000001</v>
      </c>
      <c r="AB2793" s="295">
        <v>1.213076</v>
      </c>
      <c r="AC2793" s="295">
        <v>1.2092540000000001</v>
      </c>
      <c r="AD2793" s="295">
        <v>1.204054</v>
      </c>
      <c r="AE2793" s="295">
        <v>1.202985</v>
      </c>
      <c r="AF2793" s="295">
        <v>1.2058450000000001</v>
      </c>
      <c r="AG2793" s="295">
        <v>1.209055</v>
      </c>
      <c r="AH2793" s="296">
        <v>-3.7859999999999999E-3</v>
      </c>
    </row>
    <row r="2794" spans="1:34" ht="15" customHeight="1" x14ac:dyDescent="0.25">
      <c r="A2794" s="213" t="s">
        <v>3181</v>
      </c>
      <c r="B2794" s="294" t="s">
        <v>3182</v>
      </c>
      <c r="C2794" s="297">
        <v>93.582397</v>
      </c>
      <c r="D2794" s="297">
        <v>94.509140000000002</v>
      </c>
      <c r="E2794" s="297">
        <v>95.327667000000005</v>
      </c>
      <c r="F2794" s="297">
        <v>96.255439999999993</v>
      </c>
      <c r="G2794" s="297">
        <v>97.232201000000003</v>
      </c>
      <c r="H2794" s="297">
        <v>98.219536000000005</v>
      </c>
      <c r="I2794" s="297">
        <v>99.204063000000005</v>
      </c>
      <c r="J2794" s="297">
        <v>100.186874</v>
      </c>
      <c r="K2794" s="297">
        <v>101.16628300000001</v>
      </c>
      <c r="L2794" s="297">
        <v>102.140533</v>
      </c>
      <c r="M2794" s="297">
        <v>103.124809</v>
      </c>
      <c r="N2794" s="297">
        <v>104.134567</v>
      </c>
      <c r="O2794" s="297">
        <v>105.168228</v>
      </c>
      <c r="P2794" s="297">
        <v>106.22038999999999</v>
      </c>
      <c r="Q2794" s="297">
        <v>107.28212000000001</v>
      </c>
      <c r="R2794" s="297">
        <v>108.33667800000001</v>
      </c>
      <c r="S2794" s="297">
        <v>109.37632000000001</v>
      </c>
      <c r="T2794" s="297">
        <v>110.396233</v>
      </c>
      <c r="U2794" s="297">
        <v>111.40979</v>
      </c>
      <c r="V2794" s="297">
        <v>112.427116</v>
      </c>
      <c r="W2794" s="297">
        <v>113.457542</v>
      </c>
      <c r="X2794" s="297">
        <v>114.496712</v>
      </c>
      <c r="Y2794" s="297">
        <v>115.54894299999999</v>
      </c>
      <c r="Z2794" s="297">
        <v>116.613106</v>
      </c>
      <c r="AA2794" s="297">
        <v>117.689331</v>
      </c>
      <c r="AB2794" s="297">
        <v>118.776932</v>
      </c>
      <c r="AC2794" s="297">
        <v>119.87333700000001</v>
      </c>
      <c r="AD2794" s="297">
        <v>120.97577699999999</v>
      </c>
      <c r="AE2794" s="297">
        <v>122.088387</v>
      </c>
      <c r="AF2794" s="297">
        <v>123.212791</v>
      </c>
      <c r="AG2794" s="297">
        <v>124.34420799999999</v>
      </c>
      <c r="AH2794" s="296">
        <v>9.5189999999999997E-3</v>
      </c>
    </row>
    <row r="2795" spans="1:34" ht="15" customHeight="1" x14ac:dyDescent="0.25">
      <c r="A2795" s="213" t="s">
        <v>3183</v>
      </c>
      <c r="B2795" s="294" t="s">
        <v>3184</v>
      </c>
      <c r="C2795" s="298">
        <v>13.558449</v>
      </c>
      <c r="D2795" s="298">
        <v>14.577538000000001</v>
      </c>
      <c r="E2795" s="298">
        <v>15.440913999999999</v>
      </c>
      <c r="F2795" s="298">
        <v>15.564825000000001</v>
      </c>
      <c r="G2795" s="298">
        <v>15.87175</v>
      </c>
      <c r="H2795" s="298">
        <v>16.222114999999999</v>
      </c>
      <c r="I2795" s="298">
        <v>16.229990000000001</v>
      </c>
      <c r="J2795" s="298">
        <v>16.053318000000001</v>
      </c>
      <c r="K2795" s="298">
        <v>16.165455000000001</v>
      </c>
      <c r="L2795" s="298">
        <v>16.251311999999999</v>
      </c>
      <c r="M2795" s="298">
        <v>16.293104</v>
      </c>
      <c r="N2795" s="298">
        <v>16.395451000000001</v>
      </c>
      <c r="O2795" s="298">
        <v>16.422573</v>
      </c>
      <c r="P2795" s="298">
        <v>16.509674</v>
      </c>
      <c r="Q2795" s="298">
        <v>16.601019000000001</v>
      </c>
      <c r="R2795" s="298">
        <v>16.566448000000001</v>
      </c>
      <c r="S2795" s="298">
        <v>16.476299000000001</v>
      </c>
      <c r="T2795" s="298">
        <v>16.444800999999998</v>
      </c>
      <c r="U2795" s="298">
        <v>16.452794999999998</v>
      </c>
      <c r="V2795" s="298">
        <v>16.404074000000001</v>
      </c>
      <c r="W2795" s="298">
        <v>16.359363999999999</v>
      </c>
      <c r="X2795" s="298">
        <v>16.406144999999999</v>
      </c>
      <c r="Y2795" s="298">
        <v>16.487333</v>
      </c>
      <c r="Z2795" s="298">
        <v>16.434196</v>
      </c>
      <c r="AA2795" s="298">
        <v>16.44952</v>
      </c>
      <c r="AB2795" s="298">
        <v>16.580351</v>
      </c>
      <c r="AC2795" s="298">
        <v>16.627680000000002</v>
      </c>
      <c r="AD2795" s="298">
        <v>16.648517999999999</v>
      </c>
      <c r="AE2795" s="298">
        <v>16.657049000000001</v>
      </c>
      <c r="AF2795" s="298">
        <v>16.576183</v>
      </c>
      <c r="AG2795" s="298">
        <v>16.481349999999999</v>
      </c>
      <c r="AH2795" s="296">
        <v>6.5279999999999999E-3</v>
      </c>
    </row>
    <row r="2796" spans="1:34" ht="15" customHeight="1" thickBot="1" x14ac:dyDescent="0.25"/>
    <row r="2797" spans="1:34" ht="15" customHeight="1" x14ac:dyDescent="0.2">
      <c r="B2797" s="305" t="s">
        <v>3185</v>
      </c>
      <c r="C2797" s="305"/>
      <c r="D2797" s="305"/>
      <c r="E2797" s="305"/>
      <c r="F2797" s="305"/>
      <c r="G2797" s="305"/>
      <c r="H2797" s="305"/>
      <c r="I2797" s="305"/>
      <c r="J2797" s="305"/>
      <c r="K2797" s="305"/>
      <c r="L2797" s="305"/>
      <c r="M2797" s="305"/>
      <c r="N2797" s="305"/>
      <c r="O2797" s="305"/>
      <c r="P2797" s="305"/>
      <c r="Q2797" s="305"/>
      <c r="R2797" s="305"/>
      <c r="S2797" s="305"/>
      <c r="T2797" s="305"/>
      <c r="U2797" s="305"/>
      <c r="V2797" s="305"/>
      <c r="W2797" s="305"/>
      <c r="X2797" s="305"/>
      <c r="Y2797" s="305"/>
      <c r="Z2797" s="305"/>
      <c r="AA2797" s="305"/>
      <c r="AB2797" s="305"/>
      <c r="AC2797" s="305"/>
      <c r="AD2797" s="305"/>
      <c r="AE2797" s="305"/>
      <c r="AF2797" s="305"/>
      <c r="AG2797" s="305"/>
      <c r="AH2797" s="305"/>
    </row>
    <row r="2798" spans="1:34" ht="15" customHeight="1" x14ac:dyDescent="0.2">
      <c r="B2798" s="208" t="s">
        <v>616</v>
      </c>
    </row>
    <row r="2799" spans="1:34" ht="15" customHeight="1" x14ac:dyDescent="0.2">
      <c r="B2799" s="208" t="s">
        <v>601</v>
      </c>
    </row>
    <row r="2800" spans="1:34" ht="15" customHeight="1" x14ac:dyDescent="0.2">
      <c r="B2800" s="208" t="s">
        <v>3186</v>
      </c>
    </row>
    <row r="2801" spans="2:2" ht="15" customHeight="1" x14ac:dyDescent="0.2">
      <c r="B2801" s="208" t="s">
        <v>3187</v>
      </c>
    </row>
  </sheetData>
  <mergeCells count="20">
    <mergeCell ref="B1905:AH1905"/>
    <mergeCell ref="B72:AH72"/>
    <mergeCell ref="B268:AH268"/>
    <mergeCell ref="B471:AH471"/>
    <mergeCell ref="B672:AH672"/>
    <mergeCell ref="B847:AH847"/>
    <mergeCell ref="B1060:AH1060"/>
    <mergeCell ref="B1187:AH1187"/>
    <mergeCell ref="B1350:AH1350"/>
    <mergeCell ref="B1462:AH1462"/>
    <mergeCell ref="B1564:AH1564"/>
    <mergeCell ref="B1658:AH1658"/>
    <mergeCell ref="B2679:AH2679"/>
    <mergeCell ref="B2797:AH2797"/>
    <mergeCell ref="B1991:AH1991"/>
    <mergeCell ref="B2113:AH2113"/>
    <mergeCell ref="B2277:AH2277"/>
    <mergeCell ref="B2379:AH2379"/>
    <mergeCell ref="B2469:AH2469"/>
    <mergeCell ref="B2558:AH255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pane xSplit="2" ySplit="1" topLeftCell="C2" activePane="bottomRight" state="frozen"/>
      <selection pane="topRight" activeCell="C1" sqref="C1"/>
      <selection pane="bottomLeft" activeCell="A2" sqref="A2"/>
      <selection pane="bottomRight" activeCell="A12" sqref="A2:XFD12"/>
    </sheetView>
  </sheetViews>
  <sheetFormatPr defaultColWidth="8.7109375" defaultRowHeight="15" customHeight="1" x14ac:dyDescent="0.2"/>
  <cols>
    <col min="1" max="1" width="21.42578125" style="207" hidden="1" customWidth="1"/>
    <col min="2" max="2" width="46.7109375" style="207" customWidth="1"/>
    <col min="3" max="16384" width="8.7109375" style="207"/>
  </cols>
  <sheetData>
    <row r="1" spans="1:33" ht="15" customHeight="1" thickBot="1" x14ac:dyDescent="0.25">
      <c r="B1" s="223" t="s">
        <v>645</v>
      </c>
      <c r="C1" s="220">
        <v>2021</v>
      </c>
      <c r="D1" s="220">
        <v>2022</v>
      </c>
      <c r="E1" s="220">
        <v>2023</v>
      </c>
      <c r="F1" s="220">
        <v>2024</v>
      </c>
      <c r="G1" s="220">
        <v>2025</v>
      </c>
      <c r="H1" s="220">
        <v>2026</v>
      </c>
      <c r="I1" s="220">
        <v>2027</v>
      </c>
      <c r="J1" s="220">
        <v>2028</v>
      </c>
      <c r="K1" s="220">
        <v>2029</v>
      </c>
      <c r="L1" s="220">
        <v>2030</v>
      </c>
      <c r="M1" s="220">
        <v>2031</v>
      </c>
      <c r="N1" s="220">
        <v>2032</v>
      </c>
      <c r="O1" s="220">
        <v>2033</v>
      </c>
      <c r="P1" s="220">
        <v>2034</v>
      </c>
      <c r="Q1" s="220">
        <v>2035</v>
      </c>
      <c r="R1" s="220">
        <v>2036</v>
      </c>
      <c r="S1" s="220">
        <v>2037</v>
      </c>
      <c r="T1" s="220">
        <v>2038</v>
      </c>
      <c r="U1" s="220">
        <v>2039</v>
      </c>
      <c r="V1" s="220">
        <v>2040</v>
      </c>
      <c r="W1" s="220">
        <v>2041</v>
      </c>
      <c r="X1" s="220">
        <v>2042</v>
      </c>
      <c r="Y1" s="220">
        <v>2043</v>
      </c>
      <c r="Z1" s="220">
        <v>2044</v>
      </c>
      <c r="AA1" s="220">
        <v>2045</v>
      </c>
      <c r="AB1" s="220">
        <v>2046</v>
      </c>
      <c r="AC1" s="220">
        <v>2047</v>
      </c>
      <c r="AD1" s="220">
        <v>2048</v>
      </c>
      <c r="AE1" s="220">
        <v>2049</v>
      </c>
      <c r="AF1" s="220">
        <v>2050</v>
      </c>
    </row>
    <row r="2" spans="1:33" ht="15" customHeight="1" thickTop="1" x14ac:dyDescent="0.2"/>
    <row r="3" spans="1:33" ht="15" customHeight="1" x14ac:dyDescent="0.2">
      <c r="C3" s="225" t="s">
        <v>117</v>
      </c>
      <c r="D3" s="225" t="s">
        <v>644</v>
      </c>
      <c r="E3" s="225"/>
      <c r="F3" s="225"/>
      <c r="G3" s="225"/>
    </row>
    <row r="4" spans="1:33" ht="15" customHeight="1" x14ac:dyDescent="0.2">
      <c r="C4" s="225" t="s">
        <v>118</v>
      </c>
      <c r="D4" s="225" t="s">
        <v>643</v>
      </c>
      <c r="E4" s="225"/>
      <c r="F4" s="225"/>
      <c r="G4" s="225" t="s">
        <v>642</v>
      </c>
    </row>
    <row r="5" spans="1:33" ht="15" customHeight="1" x14ac:dyDescent="0.2">
      <c r="C5" s="225" t="s">
        <v>119</v>
      </c>
      <c r="D5" s="225" t="s">
        <v>641</v>
      </c>
      <c r="E5" s="225"/>
      <c r="F5" s="225"/>
      <c r="G5" s="225"/>
    </row>
    <row r="6" spans="1:33" ht="15" customHeight="1" x14ac:dyDescent="0.2">
      <c r="C6" s="225" t="s">
        <v>120</v>
      </c>
      <c r="D6" s="225"/>
      <c r="E6" s="225" t="s">
        <v>640</v>
      </c>
      <c r="F6" s="225"/>
      <c r="G6" s="225"/>
    </row>
    <row r="7" spans="1:33" ht="12" x14ac:dyDescent="0.2"/>
    <row r="8" spans="1:33" ht="12" x14ac:dyDescent="0.2"/>
    <row r="9" spans="1:33" ht="12" x14ac:dyDescent="0.2"/>
    <row r="10" spans="1:33" ht="15" customHeight="1" x14ac:dyDescent="0.25">
      <c r="A10" s="213" t="s">
        <v>121</v>
      </c>
      <c r="B10" s="224" t="s">
        <v>122</v>
      </c>
      <c r="AG10" s="221" t="s">
        <v>639</v>
      </c>
    </row>
    <row r="11" spans="1:33" ht="15" customHeight="1" x14ac:dyDescent="0.2">
      <c r="B11" s="223" t="s">
        <v>123</v>
      </c>
      <c r="AG11" s="221" t="s">
        <v>638</v>
      </c>
    </row>
    <row r="12" spans="1:33" ht="15" customHeight="1" x14ac:dyDescent="0.2">
      <c r="B12" s="223"/>
      <c r="C12" s="222"/>
      <c r="D12" s="222"/>
      <c r="E12" s="222"/>
      <c r="F12" s="222"/>
      <c r="G12" s="222"/>
      <c r="H12" s="222"/>
      <c r="I12" s="222"/>
      <c r="J12" s="222"/>
      <c r="K12" s="222"/>
      <c r="L12" s="222"/>
      <c r="M12" s="222"/>
      <c r="N12" s="222"/>
      <c r="O12" s="222"/>
      <c r="P12" s="222"/>
      <c r="Q12" s="222"/>
      <c r="R12" s="222"/>
      <c r="S12" s="222"/>
      <c r="T12" s="222"/>
      <c r="U12" s="222"/>
      <c r="V12" s="222"/>
      <c r="W12" s="222"/>
      <c r="X12" s="222"/>
      <c r="Y12" s="222"/>
      <c r="Z12" s="222"/>
      <c r="AA12" s="222"/>
      <c r="AB12" s="222"/>
      <c r="AC12" s="222"/>
      <c r="AD12" s="222"/>
      <c r="AE12" s="222"/>
      <c r="AF12" s="222"/>
      <c r="AG12" s="221" t="s">
        <v>637</v>
      </c>
    </row>
    <row r="13" spans="1:33" ht="15" customHeight="1" thickBot="1" x14ac:dyDescent="0.25">
      <c r="B13" s="220" t="s">
        <v>125</v>
      </c>
      <c r="C13" s="220">
        <v>2021</v>
      </c>
      <c r="D13" s="220">
        <v>2022</v>
      </c>
      <c r="E13" s="220">
        <v>2023</v>
      </c>
      <c r="F13" s="220">
        <v>2024</v>
      </c>
      <c r="G13" s="220">
        <v>2025</v>
      </c>
      <c r="H13" s="220">
        <v>2026</v>
      </c>
      <c r="I13" s="220">
        <v>2027</v>
      </c>
      <c r="J13" s="220">
        <v>2028</v>
      </c>
      <c r="K13" s="220">
        <v>2029</v>
      </c>
      <c r="L13" s="220">
        <v>2030</v>
      </c>
      <c r="M13" s="220">
        <v>2031</v>
      </c>
      <c r="N13" s="220">
        <v>2032</v>
      </c>
      <c r="O13" s="220">
        <v>2033</v>
      </c>
      <c r="P13" s="220">
        <v>2034</v>
      </c>
      <c r="Q13" s="220">
        <v>2035</v>
      </c>
      <c r="R13" s="220">
        <v>2036</v>
      </c>
      <c r="S13" s="220">
        <v>2037</v>
      </c>
      <c r="T13" s="220">
        <v>2038</v>
      </c>
      <c r="U13" s="220">
        <v>2039</v>
      </c>
      <c r="V13" s="220">
        <v>2040</v>
      </c>
      <c r="W13" s="220">
        <v>2041</v>
      </c>
      <c r="X13" s="220">
        <v>2042</v>
      </c>
      <c r="Y13" s="220">
        <v>2043</v>
      </c>
      <c r="Z13" s="220">
        <v>2044</v>
      </c>
      <c r="AA13" s="220">
        <v>2045</v>
      </c>
      <c r="AB13" s="220">
        <v>2046</v>
      </c>
      <c r="AC13" s="220">
        <v>2047</v>
      </c>
      <c r="AD13" s="220">
        <v>2048</v>
      </c>
      <c r="AE13" s="220">
        <v>2049</v>
      </c>
      <c r="AF13" s="220">
        <v>2050</v>
      </c>
      <c r="AG13" s="219" t="s">
        <v>636</v>
      </c>
    </row>
    <row r="14" spans="1:33" ht="15" customHeight="1" thickTop="1" x14ac:dyDescent="0.2"/>
    <row r="15" spans="1:33" ht="15" customHeight="1" x14ac:dyDescent="0.25">
      <c r="B15" s="216" t="s">
        <v>126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213" t="s">
        <v>127</v>
      </c>
      <c r="B16" s="212" t="s">
        <v>128</v>
      </c>
      <c r="C16" s="214">
        <v>23.173487000000002</v>
      </c>
      <c r="D16" s="214">
        <v>24.717472000000001</v>
      </c>
      <c r="E16" s="214">
        <v>25.494104</v>
      </c>
      <c r="F16" s="214">
        <v>26.154641999999999</v>
      </c>
      <c r="G16" s="214">
        <v>27.054276999999999</v>
      </c>
      <c r="H16" s="214">
        <v>27.435596</v>
      </c>
      <c r="I16" s="214">
        <v>27.342155000000002</v>
      </c>
      <c r="J16" s="214">
        <v>27.686851999999998</v>
      </c>
      <c r="K16" s="214">
        <v>27.633852000000001</v>
      </c>
      <c r="L16" s="214">
        <v>27.555264999999999</v>
      </c>
      <c r="M16" s="214">
        <v>27.280258</v>
      </c>
      <c r="N16" s="214">
        <v>27.009712</v>
      </c>
      <c r="O16" s="214">
        <v>27.003247999999999</v>
      </c>
      <c r="P16" s="214">
        <v>26.646474999999999</v>
      </c>
      <c r="Q16" s="214">
        <v>26.477429999999998</v>
      </c>
      <c r="R16" s="214">
        <v>26.305444999999999</v>
      </c>
      <c r="S16" s="214">
        <v>26.016472</v>
      </c>
      <c r="T16" s="214">
        <v>25.819599</v>
      </c>
      <c r="U16" s="214">
        <v>25.821352000000001</v>
      </c>
      <c r="V16" s="214">
        <v>25.902487000000001</v>
      </c>
      <c r="W16" s="214">
        <v>25.722721</v>
      </c>
      <c r="X16" s="214">
        <v>25.635947999999999</v>
      </c>
      <c r="Y16" s="214">
        <v>25.636410000000001</v>
      </c>
      <c r="Z16" s="214">
        <v>25.47831</v>
      </c>
      <c r="AA16" s="214">
        <v>25.779816</v>
      </c>
      <c r="AB16" s="214">
        <v>25.951447999999999</v>
      </c>
      <c r="AC16" s="214">
        <v>25.981897</v>
      </c>
      <c r="AD16" s="214">
        <v>25.859144000000001</v>
      </c>
      <c r="AE16" s="214">
        <v>25.553583</v>
      </c>
      <c r="AF16" s="214">
        <v>26.234584999999999</v>
      </c>
      <c r="AG16" s="210">
        <v>4.287E-3</v>
      </c>
    </row>
    <row r="17" spans="1:33" ht="15" customHeight="1" x14ac:dyDescent="0.25">
      <c r="A17" s="213" t="s">
        <v>129</v>
      </c>
      <c r="B17" s="212" t="s">
        <v>130</v>
      </c>
      <c r="C17" s="214">
        <v>7.0062150000000001</v>
      </c>
      <c r="D17" s="214">
        <v>7.5528149999999998</v>
      </c>
      <c r="E17" s="214">
        <v>7.8837830000000002</v>
      </c>
      <c r="F17" s="214">
        <v>8.023396</v>
      </c>
      <c r="G17" s="214">
        <v>8.1639909999999993</v>
      </c>
      <c r="H17" s="214">
        <v>8.1082020000000004</v>
      </c>
      <c r="I17" s="214">
        <v>8.0414820000000002</v>
      </c>
      <c r="J17" s="214">
        <v>8.0296179999999993</v>
      </c>
      <c r="K17" s="214">
        <v>8.0821810000000003</v>
      </c>
      <c r="L17" s="214">
        <v>8.1559480000000004</v>
      </c>
      <c r="M17" s="214">
        <v>8.1848320000000001</v>
      </c>
      <c r="N17" s="214">
        <v>8.2599870000000006</v>
      </c>
      <c r="O17" s="214">
        <v>8.235239</v>
      </c>
      <c r="P17" s="214">
        <v>8.2500719999999994</v>
      </c>
      <c r="Q17" s="214">
        <v>8.2784399999999998</v>
      </c>
      <c r="R17" s="214">
        <v>8.2101170000000003</v>
      </c>
      <c r="S17" s="214">
        <v>8.1747200000000007</v>
      </c>
      <c r="T17" s="214">
        <v>8.1722750000000008</v>
      </c>
      <c r="U17" s="214">
        <v>8.2225110000000008</v>
      </c>
      <c r="V17" s="214">
        <v>8.2677019999999999</v>
      </c>
      <c r="W17" s="214">
        <v>8.2817030000000003</v>
      </c>
      <c r="X17" s="214">
        <v>8.384741</v>
      </c>
      <c r="Y17" s="214">
        <v>8.4902529999999992</v>
      </c>
      <c r="Z17" s="214">
        <v>8.4762629999999994</v>
      </c>
      <c r="AA17" s="214">
        <v>8.5796620000000008</v>
      </c>
      <c r="AB17" s="214">
        <v>8.6128929999999997</v>
      </c>
      <c r="AC17" s="214">
        <v>8.6344580000000004</v>
      </c>
      <c r="AD17" s="214">
        <v>8.6448269999999994</v>
      </c>
      <c r="AE17" s="214">
        <v>8.6502510000000008</v>
      </c>
      <c r="AF17" s="214">
        <v>8.7012350000000005</v>
      </c>
      <c r="AG17" s="210">
        <v>7.4989999999999996E-3</v>
      </c>
    </row>
    <row r="18" spans="1:33" ht="15" customHeight="1" x14ac:dyDescent="0.25">
      <c r="A18" s="213" t="s">
        <v>131</v>
      </c>
      <c r="B18" s="212" t="s">
        <v>132</v>
      </c>
      <c r="C18" s="214">
        <v>35.682777000000002</v>
      </c>
      <c r="D18" s="214">
        <v>36.629646000000001</v>
      </c>
      <c r="E18" s="214">
        <v>36.922058</v>
      </c>
      <c r="F18" s="214">
        <v>37.131554000000001</v>
      </c>
      <c r="G18" s="214">
        <v>37.233967</v>
      </c>
      <c r="H18" s="214">
        <v>37.210548000000003</v>
      </c>
      <c r="I18" s="214">
        <v>37.134987000000002</v>
      </c>
      <c r="J18" s="214">
        <v>37.74691</v>
      </c>
      <c r="K18" s="214">
        <v>38.012238000000004</v>
      </c>
      <c r="L18" s="214">
        <v>38.079895</v>
      </c>
      <c r="M18" s="214">
        <v>38.334229000000001</v>
      </c>
      <c r="N18" s="214">
        <v>38.609394000000002</v>
      </c>
      <c r="O18" s="214">
        <v>38.861305000000002</v>
      </c>
      <c r="P18" s="214">
        <v>38.688675000000003</v>
      </c>
      <c r="Q18" s="214">
        <v>38.547446999999998</v>
      </c>
      <c r="R18" s="214">
        <v>38.495739</v>
      </c>
      <c r="S18" s="214">
        <v>38.611136999999999</v>
      </c>
      <c r="T18" s="214">
        <v>38.832619000000001</v>
      </c>
      <c r="U18" s="214">
        <v>39.095233999999998</v>
      </c>
      <c r="V18" s="214">
        <v>39.377578999999997</v>
      </c>
      <c r="W18" s="214">
        <v>39.502231999999999</v>
      </c>
      <c r="X18" s="214">
        <v>39.694870000000002</v>
      </c>
      <c r="Y18" s="214">
        <v>40.037334000000001</v>
      </c>
      <c r="Z18" s="214">
        <v>40.361305000000002</v>
      </c>
      <c r="AA18" s="214">
        <v>40.596077000000001</v>
      </c>
      <c r="AB18" s="214">
        <v>40.848937999999997</v>
      </c>
      <c r="AC18" s="214">
        <v>41.134644000000002</v>
      </c>
      <c r="AD18" s="214">
        <v>41.335979000000002</v>
      </c>
      <c r="AE18" s="214">
        <v>41.513866</v>
      </c>
      <c r="AF18" s="214">
        <v>41.894924000000003</v>
      </c>
      <c r="AG18" s="210">
        <v>5.5500000000000002E-3</v>
      </c>
    </row>
    <row r="19" spans="1:33" ht="15" customHeight="1" x14ac:dyDescent="0.25">
      <c r="A19" s="213" t="s">
        <v>133</v>
      </c>
      <c r="B19" s="212" t="s">
        <v>134</v>
      </c>
      <c r="C19" s="214">
        <v>13.089978</v>
      </c>
      <c r="D19" s="214">
        <v>12.741251999999999</v>
      </c>
      <c r="E19" s="214">
        <v>12.812080999999999</v>
      </c>
      <c r="F19" s="214">
        <v>11.346849000000001</v>
      </c>
      <c r="G19" s="214">
        <v>10.919338</v>
      </c>
      <c r="H19" s="214">
        <v>10.890395</v>
      </c>
      <c r="I19" s="214">
        <v>10.594276000000001</v>
      </c>
      <c r="J19" s="214">
        <v>10.517385000000001</v>
      </c>
      <c r="K19" s="214">
        <v>10.477952</v>
      </c>
      <c r="L19" s="214">
        <v>10.320335</v>
      </c>
      <c r="M19" s="214">
        <v>10.278053999999999</v>
      </c>
      <c r="N19" s="214">
        <v>10.186623000000001</v>
      </c>
      <c r="O19" s="214">
        <v>10.161192</v>
      </c>
      <c r="P19" s="214">
        <v>9.8407079999999993</v>
      </c>
      <c r="Q19" s="214">
        <v>9.5687519999999999</v>
      </c>
      <c r="R19" s="214">
        <v>9.414873</v>
      </c>
      <c r="S19" s="214">
        <v>9.2873289999999997</v>
      </c>
      <c r="T19" s="214">
        <v>9.3013359999999992</v>
      </c>
      <c r="U19" s="214">
        <v>9.2276330000000009</v>
      </c>
      <c r="V19" s="214">
        <v>9.1459650000000003</v>
      </c>
      <c r="W19" s="214">
        <v>9.1226819999999993</v>
      </c>
      <c r="X19" s="214">
        <v>9.0860120000000002</v>
      </c>
      <c r="Y19" s="214">
        <v>8.961373</v>
      </c>
      <c r="Z19" s="214">
        <v>8.89466</v>
      </c>
      <c r="AA19" s="214">
        <v>8.785145</v>
      </c>
      <c r="AB19" s="214">
        <v>8.7206039999999998</v>
      </c>
      <c r="AC19" s="214">
        <v>8.6230239999999991</v>
      </c>
      <c r="AD19" s="214">
        <v>8.5444119999999995</v>
      </c>
      <c r="AE19" s="214">
        <v>8.5071809999999992</v>
      </c>
      <c r="AF19" s="214">
        <v>8.5720969999999994</v>
      </c>
      <c r="AG19" s="210">
        <v>-1.4492E-2</v>
      </c>
    </row>
    <row r="20" spans="1:33" ht="15" customHeight="1" x14ac:dyDescent="0.25">
      <c r="A20" s="213" t="s">
        <v>135</v>
      </c>
      <c r="B20" s="212" t="s">
        <v>136</v>
      </c>
      <c r="C20" s="214">
        <v>8.1211500000000001</v>
      </c>
      <c r="D20" s="214">
        <v>8.1831110000000002</v>
      </c>
      <c r="E20" s="214">
        <v>8.2025790000000001</v>
      </c>
      <c r="F20" s="214">
        <v>8.239058</v>
      </c>
      <c r="G20" s="214">
        <v>8.1638990000000007</v>
      </c>
      <c r="H20" s="214">
        <v>8.0757549999999991</v>
      </c>
      <c r="I20" s="214">
        <v>7.9302669999999997</v>
      </c>
      <c r="J20" s="214">
        <v>7.3689460000000002</v>
      </c>
      <c r="K20" s="214">
        <v>7.2995039999999998</v>
      </c>
      <c r="L20" s="214">
        <v>7.3070060000000003</v>
      </c>
      <c r="M20" s="214">
        <v>7.3184230000000001</v>
      </c>
      <c r="N20" s="214">
        <v>7.3263429999999996</v>
      </c>
      <c r="O20" s="214">
        <v>6.8084160000000002</v>
      </c>
      <c r="P20" s="214">
        <v>6.8156670000000004</v>
      </c>
      <c r="Q20" s="214">
        <v>6.7474470000000002</v>
      </c>
      <c r="R20" s="214">
        <v>6.7583539999999998</v>
      </c>
      <c r="S20" s="214">
        <v>6.760554</v>
      </c>
      <c r="T20" s="214">
        <v>6.7626590000000002</v>
      </c>
      <c r="U20" s="214">
        <v>6.762759</v>
      </c>
      <c r="V20" s="214">
        <v>6.766273</v>
      </c>
      <c r="W20" s="214">
        <v>6.7793599999999996</v>
      </c>
      <c r="X20" s="214">
        <v>6.788805</v>
      </c>
      <c r="Y20" s="214">
        <v>6.797936</v>
      </c>
      <c r="Z20" s="214">
        <v>6.8059019999999997</v>
      </c>
      <c r="AA20" s="214">
        <v>6.8144450000000001</v>
      </c>
      <c r="AB20" s="214">
        <v>6.8189029999999997</v>
      </c>
      <c r="AC20" s="214">
        <v>6.8233490000000003</v>
      </c>
      <c r="AD20" s="214">
        <v>6.8261190000000003</v>
      </c>
      <c r="AE20" s="214">
        <v>6.829472</v>
      </c>
      <c r="AF20" s="214">
        <v>6.8343129999999999</v>
      </c>
      <c r="AG20" s="210">
        <v>-5.9309999999999996E-3</v>
      </c>
    </row>
    <row r="21" spans="1:33" ht="15" customHeight="1" x14ac:dyDescent="0.25">
      <c r="A21" s="213" t="s">
        <v>137</v>
      </c>
      <c r="B21" s="212" t="s">
        <v>138</v>
      </c>
      <c r="C21" s="214">
        <v>2.288529</v>
      </c>
      <c r="D21" s="214">
        <v>2.3965299999999998</v>
      </c>
      <c r="E21" s="214">
        <v>2.5203760000000002</v>
      </c>
      <c r="F21" s="214">
        <v>2.6075819999999998</v>
      </c>
      <c r="G21" s="214">
        <v>2.562303</v>
      </c>
      <c r="H21" s="214">
        <v>2.533515</v>
      </c>
      <c r="I21" s="214">
        <v>2.5148000000000001</v>
      </c>
      <c r="J21" s="214">
        <v>2.4944809999999999</v>
      </c>
      <c r="K21" s="214">
        <v>2.4826299999999999</v>
      </c>
      <c r="L21" s="214">
        <v>2.4713959999999999</v>
      </c>
      <c r="M21" s="214">
        <v>2.4567709999999998</v>
      </c>
      <c r="N21" s="214">
        <v>2.4500829999999998</v>
      </c>
      <c r="O21" s="214">
        <v>2.436512</v>
      </c>
      <c r="P21" s="214">
        <v>2.4270999999999998</v>
      </c>
      <c r="Q21" s="214">
        <v>2.4106049999999999</v>
      </c>
      <c r="R21" s="214">
        <v>2.3970229999999999</v>
      </c>
      <c r="S21" s="214">
        <v>2.3926630000000002</v>
      </c>
      <c r="T21" s="214">
        <v>2.3816570000000001</v>
      </c>
      <c r="U21" s="214">
        <v>2.3768020000000001</v>
      </c>
      <c r="V21" s="214">
        <v>2.3701400000000001</v>
      </c>
      <c r="W21" s="214">
        <v>2.3620960000000002</v>
      </c>
      <c r="X21" s="214">
        <v>2.3541889999999999</v>
      </c>
      <c r="Y21" s="214">
        <v>2.3426999999999998</v>
      </c>
      <c r="Z21" s="214">
        <v>2.3369900000000001</v>
      </c>
      <c r="AA21" s="214">
        <v>2.3251300000000001</v>
      </c>
      <c r="AB21" s="214">
        <v>2.3184429999999998</v>
      </c>
      <c r="AC21" s="214">
        <v>2.3090259999999998</v>
      </c>
      <c r="AD21" s="214">
        <v>2.304834</v>
      </c>
      <c r="AE21" s="214">
        <v>2.2952330000000001</v>
      </c>
      <c r="AF21" s="214">
        <v>2.2746879999999998</v>
      </c>
      <c r="AG21" s="210">
        <v>-2.0900000000000001E-4</v>
      </c>
    </row>
    <row r="22" spans="1:33" ht="15" customHeight="1" x14ac:dyDescent="0.25">
      <c r="A22" s="213" t="s">
        <v>139</v>
      </c>
      <c r="B22" s="212" t="s">
        <v>140</v>
      </c>
      <c r="C22" s="214">
        <v>4.7011900000000004</v>
      </c>
      <c r="D22" s="214">
        <v>4.8336649999999999</v>
      </c>
      <c r="E22" s="214">
        <v>4.7369510000000004</v>
      </c>
      <c r="F22" s="214">
        <v>4.7318429999999996</v>
      </c>
      <c r="G22" s="214">
        <v>4.7514820000000002</v>
      </c>
      <c r="H22" s="214">
        <v>4.7400380000000002</v>
      </c>
      <c r="I22" s="214">
        <v>4.7281459999999997</v>
      </c>
      <c r="J22" s="214">
        <v>4.7067750000000004</v>
      </c>
      <c r="K22" s="214">
        <v>4.7082629999999996</v>
      </c>
      <c r="L22" s="214">
        <v>4.6997</v>
      </c>
      <c r="M22" s="214">
        <v>4.6885269999999997</v>
      </c>
      <c r="N22" s="214">
        <v>4.6818270000000002</v>
      </c>
      <c r="O22" s="214">
        <v>4.6667490000000003</v>
      </c>
      <c r="P22" s="214">
        <v>4.6540860000000004</v>
      </c>
      <c r="Q22" s="214">
        <v>4.6489719999999997</v>
      </c>
      <c r="R22" s="214">
        <v>4.641438</v>
      </c>
      <c r="S22" s="214">
        <v>4.6341799999999997</v>
      </c>
      <c r="T22" s="214">
        <v>4.6383159999999997</v>
      </c>
      <c r="U22" s="214">
        <v>4.6474570000000002</v>
      </c>
      <c r="V22" s="214">
        <v>4.6834860000000003</v>
      </c>
      <c r="W22" s="214">
        <v>4.7054450000000001</v>
      </c>
      <c r="X22" s="214">
        <v>4.7221570000000002</v>
      </c>
      <c r="Y22" s="214">
        <v>4.7483430000000002</v>
      </c>
      <c r="Z22" s="214">
        <v>4.7919939999999999</v>
      </c>
      <c r="AA22" s="214">
        <v>4.8140039999999997</v>
      </c>
      <c r="AB22" s="214">
        <v>4.8435649999999999</v>
      </c>
      <c r="AC22" s="214">
        <v>4.8766879999999997</v>
      </c>
      <c r="AD22" s="214">
        <v>4.909999</v>
      </c>
      <c r="AE22" s="214">
        <v>4.942437</v>
      </c>
      <c r="AF22" s="214">
        <v>4.9846370000000002</v>
      </c>
      <c r="AG22" s="210">
        <v>2.0209999999999998E-3</v>
      </c>
    </row>
    <row r="23" spans="1:33" ht="15" customHeight="1" x14ac:dyDescent="0.25">
      <c r="A23" s="213" t="s">
        <v>141</v>
      </c>
      <c r="B23" s="212" t="s">
        <v>142</v>
      </c>
      <c r="C23" s="214">
        <v>4.8390050000000002</v>
      </c>
      <c r="D23" s="214">
        <v>5.5444839999999997</v>
      </c>
      <c r="E23" s="214">
        <v>6.0855569999999997</v>
      </c>
      <c r="F23" s="214">
        <v>6.9892269999999996</v>
      </c>
      <c r="G23" s="214">
        <v>7.5613590000000004</v>
      </c>
      <c r="H23" s="214">
        <v>7.8463159999999998</v>
      </c>
      <c r="I23" s="214">
        <v>8.3474660000000007</v>
      </c>
      <c r="J23" s="214">
        <v>8.5777000000000001</v>
      </c>
      <c r="K23" s="214">
        <v>8.7871590000000008</v>
      </c>
      <c r="L23" s="214">
        <v>9.1559860000000004</v>
      </c>
      <c r="M23" s="214">
        <v>9.4117800000000003</v>
      </c>
      <c r="N23" s="214">
        <v>9.6492149999999999</v>
      </c>
      <c r="O23" s="214">
        <v>9.9103840000000005</v>
      </c>
      <c r="P23" s="214">
        <v>10.464489</v>
      </c>
      <c r="Q23" s="214">
        <v>11.179779999999999</v>
      </c>
      <c r="R23" s="214">
        <v>11.560812</v>
      </c>
      <c r="S23" s="214">
        <v>11.709242</v>
      </c>
      <c r="T23" s="214">
        <v>11.735645</v>
      </c>
      <c r="U23" s="214">
        <v>11.787336</v>
      </c>
      <c r="V23" s="214">
        <v>11.864063</v>
      </c>
      <c r="W23" s="214">
        <v>11.965892999999999</v>
      </c>
      <c r="X23" s="214">
        <v>12.084974000000001</v>
      </c>
      <c r="Y23" s="214">
        <v>12.202391</v>
      </c>
      <c r="Z23" s="214">
        <v>12.369851000000001</v>
      </c>
      <c r="AA23" s="214">
        <v>12.586577</v>
      </c>
      <c r="AB23" s="214">
        <v>12.70438</v>
      </c>
      <c r="AC23" s="214">
        <v>12.871214</v>
      </c>
      <c r="AD23" s="214">
        <v>13.03612</v>
      </c>
      <c r="AE23" s="214">
        <v>13.182046</v>
      </c>
      <c r="AF23" s="214">
        <v>13.273847</v>
      </c>
      <c r="AG23" s="210">
        <v>3.5408000000000002E-2</v>
      </c>
    </row>
    <row r="24" spans="1:33" ht="15" customHeight="1" x14ac:dyDescent="0.25">
      <c r="A24" s="213" t="s">
        <v>143</v>
      </c>
      <c r="B24" s="212" t="s">
        <v>144</v>
      </c>
      <c r="C24" s="214">
        <v>2.1335760000000001</v>
      </c>
      <c r="D24" s="214">
        <v>1.0129729999999999</v>
      </c>
      <c r="E24" s="214">
        <v>0.87985500000000005</v>
      </c>
      <c r="F24" s="214">
        <v>0.89494600000000002</v>
      </c>
      <c r="G24" s="214">
        <v>0.77427100000000004</v>
      </c>
      <c r="H24" s="214">
        <v>0.88321000000000005</v>
      </c>
      <c r="I24" s="214">
        <v>0.86990000000000001</v>
      </c>
      <c r="J24" s="214">
        <v>0.79612899999999998</v>
      </c>
      <c r="K24" s="214">
        <v>0.77055099999999999</v>
      </c>
      <c r="L24" s="214">
        <v>0.770231</v>
      </c>
      <c r="M24" s="214">
        <v>0.76856500000000005</v>
      </c>
      <c r="N24" s="214">
        <v>0.63267300000000004</v>
      </c>
      <c r="O24" s="214">
        <v>0.63193500000000002</v>
      </c>
      <c r="P24" s="214">
        <v>0.64056500000000005</v>
      </c>
      <c r="Q24" s="214">
        <v>0.63755099999999998</v>
      </c>
      <c r="R24" s="214">
        <v>0.64736700000000003</v>
      </c>
      <c r="S24" s="214">
        <v>0.651814</v>
      </c>
      <c r="T24" s="214">
        <v>0.65363300000000002</v>
      </c>
      <c r="U24" s="214">
        <v>0.65149100000000004</v>
      </c>
      <c r="V24" s="214">
        <v>0.64203699999999997</v>
      </c>
      <c r="W24" s="214">
        <v>0.639621</v>
      </c>
      <c r="X24" s="214">
        <v>0.63405599999999995</v>
      </c>
      <c r="Y24" s="214">
        <v>0.62779700000000005</v>
      </c>
      <c r="Z24" s="214">
        <v>0.63269799999999998</v>
      </c>
      <c r="AA24" s="214">
        <v>0.62671699999999997</v>
      </c>
      <c r="AB24" s="214">
        <v>0.61856599999999995</v>
      </c>
      <c r="AC24" s="214">
        <v>0.61455000000000004</v>
      </c>
      <c r="AD24" s="214">
        <v>0.62107800000000002</v>
      </c>
      <c r="AE24" s="214">
        <v>0.62837600000000005</v>
      </c>
      <c r="AF24" s="214">
        <v>0.62333499999999997</v>
      </c>
      <c r="AG24" s="210">
        <v>-4.1542000000000003E-2</v>
      </c>
    </row>
    <row r="25" spans="1:33" ht="15" customHeight="1" x14ac:dyDescent="0.2">
      <c r="A25" s="213" t="s">
        <v>145</v>
      </c>
      <c r="B25" s="216" t="s">
        <v>146</v>
      </c>
      <c r="C25" s="218">
        <v>101.035904</v>
      </c>
      <c r="D25" s="218">
        <v>103.611946</v>
      </c>
      <c r="E25" s="218">
        <v>105.53733099999999</v>
      </c>
      <c r="F25" s="218">
        <v>106.119095</v>
      </c>
      <c r="G25" s="218">
        <v>107.18489099999999</v>
      </c>
      <c r="H25" s="218">
        <v>107.723572</v>
      </c>
      <c r="I25" s="218">
        <v>107.503479</v>
      </c>
      <c r="J25" s="218">
        <v>107.924797</v>
      </c>
      <c r="K25" s="218">
        <v>108.254341</v>
      </c>
      <c r="L25" s="218">
        <v>108.515762</v>
      </c>
      <c r="M25" s="218">
        <v>108.721436</v>
      </c>
      <c r="N25" s="218">
        <v>108.80585499999999</v>
      </c>
      <c r="O25" s="218">
        <v>108.714989</v>
      </c>
      <c r="P25" s="218">
        <v>108.427834</v>
      </c>
      <c r="Q25" s="218">
        <v>108.496422</v>
      </c>
      <c r="R25" s="218">
        <v>108.431175</v>
      </c>
      <c r="S25" s="218">
        <v>108.238113</v>
      </c>
      <c r="T25" s="218">
        <v>108.297737</v>
      </c>
      <c r="U25" s="218">
        <v>108.592575</v>
      </c>
      <c r="V25" s="218">
        <v>109.01973</v>
      </c>
      <c r="W25" s="218">
        <v>109.081749</v>
      </c>
      <c r="X25" s="218">
        <v>109.385757</v>
      </c>
      <c r="Y25" s="218">
        <v>109.844543</v>
      </c>
      <c r="Z25" s="218">
        <v>110.147972</v>
      </c>
      <c r="AA25" s="218">
        <v>110.90757000000001</v>
      </c>
      <c r="AB25" s="218">
        <v>111.437744</v>
      </c>
      <c r="AC25" s="218">
        <v>111.86885100000001</v>
      </c>
      <c r="AD25" s="218">
        <v>112.08251199999999</v>
      </c>
      <c r="AE25" s="218">
        <v>112.10244</v>
      </c>
      <c r="AF25" s="218">
        <v>113.393669</v>
      </c>
      <c r="AG25" s="217">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216" t="s">
        <v>38</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213" t="s">
        <v>147</v>
      </c>
      <c r="B28" s="212" t="s">
        <v>148</v>
      </c>
      <c r="C28" s="214">
        <v>13.849983</v>
      </c>
      <c r="D28" s="214">
        <v>16.370850000000001</v>
      </c>
      <c r="E28" s="214">
        <v>16.629141000000001</v>
      </c>
      <c r="F28" s="214">
        <v>15.971055</v>
      </c>
      <c r="G28" s="214">
        <v>15.230758</v>
      </c>
      <c r="H28" s="214">
        <v>14.679036</v>
      </c>
      <c r="I28" s="214">
        <v>14.643375000000001</v>
      </c>
      <c r="J28" s="214">
        <v>14.357627000000001</v>
      </c>
      <c r="K28" s="214">
        <v>14.264915999999999</v>
      </c>
      <c r="L28" s="214">
        <v>14.200820999999999</v>
      </c>
      <c r="M28" s="214">
        <v>14.399286</v>
      </c>
      <c r="N28" s="214">
        <v>14.778255</v>
      </c>
      <c r="O28" s="214">
        <v>14.611300999999999</v>
      </c>
      <c r="P28" s="214">
        <v>14.955673000000001</v>
      </c>
      <c r="Q28" s="214">
        <v>15.036996</v>
      </c>
      <c r="R28" s="214">
        <v>15.363056</v>
      </c>
      <c r="S28" s="214">
        <v>15.527345</v>
      </c>
      <c r="T28" s="214">
        <v>15.740888</v>
      </c>
      <c r="U28" s="214">
        <v>15.813135000000001</v>
      </c>
      <c r="V28" s="214">
        <v>15.458242</v>
      </c>
      <c r="W28" s="214">
        <v>15.443821</v>
      </c>
      <c r="X28" s="214">
        <v>15.243117</v>
      </c>
      <c r="Y28" s="214">
        <v>14.882616000000001</v>
      </c>
      <c r="Z28" s="214">
        <v>15.204732</v>
      </c>
      <c r="AA28" s="214">
        <v>14.507173999999999</v>
      </c>
      <c r="AB28" s="214">
        <v>14.091373000000001</v>
      </c>
      <c r="AC28" s="214">
        <v>13.903983999999999</v>
      </c>
      <c r="AD28" s="214">
        <v>14.131474000000001</v>
      </c>
      <c r="AE28" s="214">
        <v>14.485480000000001</v>
      </c>
      <c r="AF28" s="214">
        <v>13.759513</v>
      </c>
      <c r="AG28" s="210">
        <v>-2.2599999999999999E-4</v>
      </c>
    </row>
    <row r="29" spans="1:33" ht="15" customHeight="1" x14ac:dyDescent="0.25">
      <c r="A29" s="213" t="s">
        <v>149</v>
      </c>
      <c r="B29" s="212" t="s">
        <v>150</v>
      </c>
      <c r="C29" s="214">
        <v>4.7159639999999996</v>
      </c>
      <c r="D29" s="214">
        <v>4.4709909999999997</v>
      </c>
      <c r="E29" s="214">
        <v>3.845002</v>
      </c>
      <c r="F29" s="214">
        <v>3.9238819999999999</v>
      </c>
      <c r="G29" s="214">
        <v>4.01288</v>
      </c>
      <c r="H29" s="214">
        <v>3.9654750000000001</v>
      </c>
      <c r="I29" s="214">
        <v>3.9148239999999999</v>
      </c>
      <c r="J29" s="214">
        <v>3.8320599999999998</v>
      </c>
      <c r="K29" s="214">
        <v>3.7203219999999999</v>
      </c>
      <c r="L29" s="214">
        <v>3.6937340000000001</v>
      </c>
      <c r="M29" s="214">
        <v>3.6342319999999999</v>
      </c>
      <c r="N29" s="214">
        <v>3.635437</v>
      </c>
      <c r="O29" s="214">
        <v>3.5949499999999999</v>
      </c>
      <c r="P29" s="214">
        <v>3.5628989999999998</v>
      </c>
      <c r="Q29" s="214">
        <v>3.5439729999999998</v>
      </c>
      <c r="R29" s="214">
        <v>3.4976250000000002</v>
      </c>
      <c r="S29" s="214">
        <v>3.494834</v>
      </c>
      <c r="T29" s="214">
        <v>3.5053169999999998</v>
      </c>
      <c r="U29" s="214">
        <v>3.5012050000000001</v>
      </c>
      <c r="V29" s="214">
        <v>3.4830779999999999</v>
      </c>
      <c r="W29" s="214">
        <v>3.5034010000000002</v>
      </c>
      <c r="X29" s="214">
        <v>3.5066989999999998</v>
      </c>
      <c r="Y29" s="214">
        <v>3.5148820000000001</v>
      </c>
      <c r="Z29" s="214">
        <v>3.5296599999999998</v>
      </c>
      <c r="AA29" s="214">
        <v>3.55301</v>
      </c>
      <c r="AB29" s="214">
        <v>3.5662569999999998</v>
      </c>
      <c r="AC29" s="214">
        <v>3.5994120000000001</v>
      </c>
      <c r="AD29" s="214">
        <v>3.6864880000000002</v>
      </c>
      <c r="AE29" s="214">
        <v>3.6776529999999998</v>
      </c>
      <c r="AF29" s="214">
        <v>3.6424300000000001</v>
      </c>
      <c r="AG29" s="210">
        <v>-8.8669999999999999E-3</v>
      </c>
    </row>
    <row r="30" spans="1:33" ht="15" customHeight="1" x14ac:dyDescent="0.25">
      <c r="A30" s="213" t="s">
        <v>151</v>
      </c>
      <c r="B30" s="212" t="s">
        <v>152</v>
      </c>
      <c r="C30" s="214">
        <v>2.798295</v>
      </c>
      <c r="D30" s="214">
        <v>2.540921</v>
      </c>
      <c r="E30" s="214">
        <v>2.4598689999999999</v>
      </c>
      <c r="F30" s="214">
        <v>2.3568530000000001</v>
      </c>
      <c r="G30" s="214">
        <v>2.2828909999999998</v>
      </c>
      <c r="H30" s="214">
        <v>2.2567409999999999</v>
      </c>
      <c r="I30" s="214">
        <v>2.221225</v>
      </c>
      <c r="J30" s="214">
        <v>2.1706270000000001</v>
      </c>
      <c r="K30" s="214">
        <v>2.0368050000000002</v>
      </c>
      <c r="L30" s="214">
        <v>1.983411</v>
      </c>
      <c r="M30" s="214">
        <v>1.890747</v>
      </c>
      <c r="N30" s="214">
        <v>1.8788009999999999</v>
      </c>
      <c r="O30" s="214">
        <v>1.924771</v>
      </c>
      <c r="P30" s="214">
        <v>1.886512</v>
      </c>
      <c r="Q30" s="214">
        <v>1.844462</v>
      </c>
      <c r="R30" s="214">
        <v>1.8390280000000001</v>
      </c>
      <c r="S30" s="214">
        <v>1.8733390000000001</v>
      </c>
      <c r="T30" s="214">
        <v>1.870136</v>
      </c>
      <c r="U30" s="214">
        <v>1.8399859999999999</v>
      </c>
      <c r="V30" s="214">
        <v>1.805083</v>
      </c>
      <c r="W30" s="214">
        <v>1.780095</v>
      </c>
      <c r="X30" s="214">
        <v>1.7721610000000001</v>
      </c>
      <c r="Y30" s="214">
        <v>1.7107829999999999</v>
      </c>
      <c r="Z30" s="214">
        <v>1.5873250000000001</v>
      </c>
      <c r="AA30" s="214">
        <v>1.509457</v>
      </c>
      <c r="AB30" s="214">
        <v>1.489166</v>
      </c>
      <c r="AC30" s="214">
        <v>1.4608019999999999</v>
      </c>
      <c r="AD30" s="214">
        <v>1.464388</v>
      </c>
      <c r="AE30" s="214">
        <v>1.431648</v>
      </c>
      <c r="AF30" s="214">
        <v>1.387205</v>
      </c>
      <c r="AG30" s="210">
        <v>-2.3907000000000001E-2</v>
      </c>
    </row>
    <row r="31" spans="1:33" x14ac:dyDescent="0.25">
      <c r="A31" s="213" t="s">
        <v>153</v>
      </c>
      <c r="B31" s="212" t="s">
        <v>154</v>
      </c>
      <c r="C31" s="214">
        <v>0.29038799999999998</v>
      </c>
      <c r="D31" s="214">
        <v>0.22012000000000001</v>
      </c>
      <c r="E31" s="214">
        <v>0.11650000000000001</v>
      </c>
      <c r="F31" s="214">
        <v>0.120814</v>
      </c>
      <c r="G31" s="214">
        <v>0.110212</v>
      </c>
      <c r="H31" s="214">
        <v>0.115351</v>
      </c>
      <c r="I31" s="214">
        <v>0.128298</v>
      </c>
      <c r="J31" s="214">
        <v>0.136961</v>
      </c>
      <c r="K31" s="214">
        <v>0.13830899999999999</v>
      </c>
      <c r="L31" s="214">
        <v>0.145788</v>
      </c>
      <c r="M31" s="214">
        <v>0.13736599999999999</v>
      </c>
      <c r="N31" s="214">
        <v>0.14191400000000001</v>
      </c>
      <c r="O31" s="214">
        <v>0.134995</v>
      </c>
      <c r="P31" s="214">
        <v>0.140072</v>
      </c>
      <c r="Q31" s="214">
        <v>0.137182</v>
      </c>
      <c r="R31" s="214">
        <v>0.13678799999999999</v>
      </c>
      <c r="S31" s="214">
        <v>0.13159199999999999</v>
      </c>
      <c r="T31" s="214">
        <v>0.13375000000000001</v>
      </c>
      <c r="U31" s="214">
        <v>0.13447799999999999</v>
      </c>
      <c r="V31" s="214">
        <v>0.13620399999999999</v>
      </c>
      <c r="W31" s="214">
        <v>0.131303</v>
      </c>
      <c r="X31" s="214">
        <v>0.131657</v>
      </c>
      <c r="Y31" s="214">
        <v>0.13910800000000001</v>
      </c>
      <c r="Z31" s="214">
        <v>0.13867099999999999</v>
      </c>
      <c r="AA31" s="214">
        <v>0.13456899999999999</v>
      </c>
      <c r="AB31" s="214">
        <v>0.13466600000000001</v>
      </c>
      <c r="AC31" s="214">
        <v>0.13440299999999999</v>
      </c>
      <c r="AD31" s="214">
        <v>0.13461000000000001</v>
      </c>
      <c r="AE31" s="214">
        <v>0.13483000000000001</v>
      </c>
      <c r="AF31" s="214">
        <v>0.13547200000000001</v>
      </c>
      <c r="AG31" s="210">
        <v>-2.5949E-2</v>
      </c>
    </row>
    <row r="32" spans="1:33" ht="12" x14ac:dyDescent="0.2">
      <c r="A32" s="213" t="s">
        <v>155</v>
      </c>
      <c r="B32" s="216" t="s">
        <v>146</v>
      </c>
      <c r="C32" s="218">
        <v>21.654629</v>
      </c>
      <c r="D32" s="218">
        <v>23.602882000000001</v>
      </c>
      <c r="E32" s="218">
        <v>23.050509999999999</v>
      </c>
      <c r="F32" s="218">
        <v>22.372603999999999</v>
      </c>
      <c r="G32" s="218">
        <v>21.63674</v>
      </c>
      <c r="H32" s="218">
        <v>21.016601999999999</v>
      </c>
      <c r="I32" s="218">
        <v>20.907722</v>
      </c>
      <c r="J32" s="218">
        <v>20.497274000000001</v>
      </c>
      <c r="K32" s="218">
        <v>20.160353000000001</v>
      </c>
      <c r="L32" s="218">
        <v>20.023755999999999</v>
      </c>
      <c r="M32" s="218">
        <v>20.061630000000001</v>
      </c>
      <c r="N32" s="218">
        <v>20.434408000000001</v>
      </c>
      <c r="O32" s="218">
        <v>20.266016</v>
      </c>
      <c r="P32" s="218">
        <v>20.545155999999999</v>
      </c>
      <c r="Q32" s="218">
        <v>20.562612999999999</v>
      </c>
      <c r="R32" s="218">
        <v>20.836497999999999</v>
      </c>
      <c r="S32" s="218">
        <v>21.027108999999999</v>
      </c>
      <c r="T32" s="218">
        <v>21.250091999999999</v>
      </c>
      <c r="U32" s="218">
        <v>21.288803000000001</v>
      </c>
      <c r="V32" s="218">
        <v>20.882607</v>
      </c>
      <c r="W32" s="218">
        <v>20.858619999999998</v>
      </c>
      <c r="X32" s="218">
        <v>20.653632999999999</v>
      </c>
      <c r="Y32" s="218">
        <v>20.247391</v>
      </c>
      <c r="Z32" s="218">
        <v>20.460387999999998</v>
      </c>
      <c r="AA32" s="218">
        <v>19.70421</v>
      </c>
      <c r="AB32" s="218">
        <v>19.281464</v>
      </c>
      <c r="AC32" s="218">
        <v>19.098602</v>
      </c>
      <c r="AD32" s="218">
        <v>19.41696</v>
      </c>
      <c r="AE32" s="218">
        <v>19.729611999999999</v>
      </c>
      <c r="AF32" s="218">
        <v>18.924620000000001</v>
      </c>
      <c r="AG32" s="217">
        <v>-4.6360000000000004E-3</v>
      </c>
    </row>
    <row r="33" spans="1:33" x14ac:dyDescent="0.25">
      <c r="B33"/>
      <c r="C33"/>
      <c r="D33"/>
      <c r="E33"/>
      <c r="F33"/>
      <c r="G33"/>
      <c r="H33"/>
      <c r="I33"/>
      <c r="J33"/>
      <c r="K33"/>
      <c r="L33"/>
      <c r="M33"/>
      <c r="N33"/>
      <c r="O33"/>
      <c r="P33"/>
      <c r="Q33"/>
      <c r="R33"/>
      <c r="S33"/>
      <c r="T33"/>
      <c r="U33"/>
      <c r="V33"/>
      <c r="W33"/>
      <c r="X33"/>
      <c r="Y33"/>
      <c r="Z33"/>
      <c r="AA33"/>
      <c r="AB33"/>
      <c r="AC33"/>
      <c r="AD33"/>
      <c r="AE33"/>
      <c r="AF33"/>
      <c r="AG33"/>
    </row>
    <row r="34" spans="1:33" x14ac:dyDescent="0.25">
      <c r="B34" s="216" t="s">
        <v>43</v>
      </c>
      <c r="C34"/>
      <c r="D34"/>
      <c r="E34"/>
      <c r="F34"/>
      <c r="G34"/>
      <c r="H34"/>
      <c r="I34"/>
      <c r="J34"/>
      <c r="K34"/>
      <c r="L34"/>
      <c r="M34"/>
      <c r="N34"/>
      <c r="O34"/>
      <c r="P34"/>
      <c r="Q34"/>
      <c r="R34"/>
      <c r="S34"/>
      <c r="T34"/>
      <c r="U34"/>
      <c r="V34"/>
      <c r="W34"/>
      <c r="X34"/>
      <c r="Y34"/>
      <c r="Z34"/>
      <c r="AA34"/>
      <c r="AB34"/>
      <c r="AC34"/>
      <c r="AD34"/>
      <c r="AE34"/>
      <c r="AF34"/>
      <c r="AG34"/>
    </row>
    <row r="35" spans="1:33" x14ac:dyDescent="0.25">
      <c r="A35" s="213" t="s">
        <v>156</v>
      </c>
      <c r="B35" s="212" t="s">
        <v>157</v>
      </c>
      <c r="C35" s="214">
        <v>16.73385</v>
      </c>
      <c r="D35" s="214">
        <v>18.356297999999999</v>
      </c>
      <c r="E35" s="214">
        <v>19.182388</v>
      </c>
      <c r="F35" s="214">
        <v>19.602926</v>
      </c>
      <c r="G35" s="214">
        <v>19.941938</v>
      </c>
      <c r="H35" s="214">
        <v>19.903314999999999</v>
      </c>
      <c r="I35" s="214">
        <v>19.849981</v>
      </c>
      <c r="J35" s="214">
        <v>19.863662999999999</v>
      </c>
      <c r="K35" s="214">
        <v>19.811287</v>
      </c>
      <c r="L35" s="214">
        <v>19.834377</v>
      </c>
      <c r="M35" s="214">
        <v>19.808157000000001</v>
      </c>
      <c r="N35" s="214">
        <v>19.842936000000002</v>
      </c>
      <c r="O35" s="214">
        <v>19.662490999999999</v>
      </c>
      <c r="P35" s="214">
        <v>19.775711000000001</v>
      </c>
      <c r="Q35" s="214">
        <v>19.814879999999999</v>
      </c>
      <c r="R35" s="214">
        <v>19.950239</v>
      </c>
      <c r="S35" s="214">
        <v>19.816631000000001</v>
      </c>
      <c r="T35" s="214">
        <v>19.884661000000001</v>
      </c>
      <c r="U35" s="214">
        <v>19.983006</v>
      </c>
      <c r="V35" s="214">
        <v>19.831689999999998</v>
      </c>
      <c r="W35" s="214">
        <v>19.682124999999999</v>
      </c>
      <c r="X35" s="214">
        <v>19.486173999999998</v>
      </c>
      <c r="Y35" s="214">
        <v>19.221823000000001</v>
      </c>
      <c r="Z35" s="214">
        <v>19.413260999999999</v>
      </c>
      <c r="AA35" s="214">
        <v>19.138691000000001</v>
      </c>
      <c r="AB35" s="214">
        <v>18.841377000000001</v>
      </c>
      <c r="AC35" s="214">
        <v>18.655954000000001</v>
      </c>
      <c r="AD35" s="214">
        <v>18.810967999999999</v>
      </c>
      <c r="AE35" s="214">
        <v>18.771132999999999</v>
      </c>
      <c r="AF35" s="214">
        <v>18.527114999999998</v>
      </c>
      <c r="AG35" s="210">
        <v>3.5170000000000002E-3</v>
      </c>
    </row>
    <row r="36" spans="1:33" x14ac:dyDescent="0.25">
      <c r="A36" s="213" t="s">
        <v>158</v>
      </c>
      <c r="B36" s="212" t="s">
        <v>152</v>
      </c>
      <c r="C36" s="214">
        <v>6.8096719999999999</v>
      </c>
      <c r="D36" s="214">
        <v>7.5794759999999997</v>
      </c>
      <c r="E36" s="214">
        <v>7.7887389999999996</v>
      </c>
      <c r="F36" s="214">
        <v>7.8755379999999997</v>
      </c>
      <c r="G36" s="214">
        <v>8.0950819999999997</v>
      </c>
      <c r="H36" s="214">
        <v>8.1097380000000001</v>
      </c>
      <c r="I36" s="214">
        <v>8.2476500000000001</v>
      </c>
      <c r="J36" s="214">
        <v>8.5402070000000005</v>
      </c>
      <c r="K36" s="214">
        <v>8.7917880000000004</v>
      </c>
      <c r="L36" s="214">
        <v>9.0232550000000007</v>
      </c>
      <c r="M36" s="214">
        <v>9.3001489999999993</v>
      </c>
      <c r="N36" s="214">
        <v>9.5525009999999995</v>
      </c>
      <c r="O36" s="214">
        <v>9.6708750000000006</v>
      </c>
      <c r="P36" s="214">
        <v>9.7149719999999995</v>
      </c>
      <c r="Q36" s="214">
        <v>9.7774830000000001</v>
      </c>
      <c r="R36" s="214">
        <v>9.7998709999999996</v>
      </c>
      <c r="S36" s="214">
        <v>9.7984690000000008</v>
      </c>
      <c r="T36" s="214">
        <v>9.8207819999999995</v>
      </c>
      <c r="U36" s="214">
        <v>9.8456899999999994</v>
      </c>
      <c r="V36" s="214">
        <v>9.8811859999999996</v>
      </c>
      <c r="W36" s="214">
        <v>9.8682149999999993</v>
      </c>
      <c r="X36" s="214">
        <v>9.8854209999999991</v>
      </c>
      <c r="Y36" s="214">
        <v>9.8951910000000005</v>
      </c>
      <c r="Z36" s="214">
        <v>9.9312100000000001</v>
      </c>
      <c r="AA36" s="214">
        <v>9.9280050000000006</v>
      </c>
      <c r="AB36" s="214">
        <v>9.9116309999999999</v>
      </c>
      <c r="AC36" s="214">
        <v>9.8997290000000007</v>
      </c>
      <c r="AD36" s="214">
        <v>9.9049610000000001</v>
      </c>
      <c r="AE36" s="214">
        <v>9.8765959999999993</v>
      </c>
      <c r="AF36" s="214">
        <v>9.8704999999999998</v>
      </c>
      <c r="AG36" s="210">
        <v>1.2881999999999999E-2</v>
      </c>
    </row>
    <row r="37" spans="1:33" x14ac:dyDescent="0.25">
      <c r="A37" s="213" t="s">
        <v>159</v>
      </c>
      <c r="B37" s="212" t="s">
        <v>160</v>
      </c>
      <c r="C37" s="214">
        <v>2.2533989999999999</v>
      </c>
      <c r="D37" s="214">
        <v>2.3004180000000001</v>
      </c>
      <c r="E37" s="214">
        <v>2.9242330000000001</v>
      </c>
      <c r="F37" s="214">
        <v>2.8064490000000002</v>
      </c>
      <c r="G37" s="214">
        <v>2.745555</v>
      </c>
      <c r="H37" s="214">
        <v>2.8780790000000001</v>
      </c>
      <c r="I37" s="214">
        <v>2.8222209999999999</v>
      </c>
      <c r="J37" s="214">
        <v>2.8147229999999999</v>
      </c>
      <c r="K37" s="214">
        <v>2.789355</v>
      </c>
      <c r="L37" s="214">
        <v>2.7811759999999999</v>
      </c>
      <c r="M37" s="214">
        <v>2.8095370000000002</v>
      </c>
      <c r="N37" s="214">
        <v>2.8647689999999999</v>
      </c>
      <c r="O37" s="214">
        <v>2.790718</v>
      </c>
      <c r="P37" s="214">
        <v>2.767172</v>
      </c>
      <c r="Q37" s="214">
        <v>2.7934779999999999</v>
      </c>
      <c r="R37" s="214">
        <v>2.759903</v>
      </c>
      <c r="S37" s="214">
        <v>2.751223</v>
      </c>
      <c r="T37" s="214">
        <v>2.7855810000000001</v>
      </c>
      <c r="U37" s="214">
        <v>2.7260239999999998</v>
      </c>
      <c r="V37" s="214">
        <v>2.735147</v>
      </c>
      <c r="W37" s="214">
        <v>2.7193100000000001</v>
      </c>
      <c r="X37" s="214">
        <v>2.7343320000000002</v>
      </c>
      <c r="Y37" s="214">
        <v>2.698877</v>
      </c>
      <c r="Z37" s="214">
        <v>2.6986759999999999</v>
      </c>
      <c r="AA37" s="214">
        <v>2.7121629999999999</v>
      </c>
      <c r="AB37" s="214">
        <v>2.696237</v>
      </c>
      <c r="AC37" s="214">
        <v>2.690248</v>
      </c>
      <c r="AD37" s="214">
        <v>2.7119900000000001</v>
      </c>
      <c r="AE37" s="214">
        <v>2.7228439999999998</v>
      </c>
      <c r="AF37" s="214">
        <v>2.7371850000000002</v>
      </c>
      <c r="AG37" s="210">
        <v>6.7289999999999997E-3</v>
      </c>
    </row>
    <row r="38" spans="1:33" ht="12" x14ac:dyDescent="0.2">
      <c r="A38" s="213" t="s">
        <v>161</v>
      </c>
      <c r="B38" s="216" t="s">
        <v>146</v>
      </c>
      <c r="C38" s="218">
        <v>25.796921000000001</v>
      </c>
      <c r="D38" s="218">
        <v>28.236191000000002</v>
      </c>
      <c r="E38" s="218">
        <v>29.895358999999999</v>
      </c>
      <c r="F38" s="218">
        <v>30.284914000000001</v>
      </c>
      <c r="G38" s="218">
        <v>30.782578000000001</v>
      </c>
      <c r="H38" s="218">
        <v>30.891131999999999</v>
      </c>
      <c r="I38" s="218">
        <v>30.919853</v>
      </c>
      <c r="J38" s="218">
        <v>31.218594</v>
      </c>
      <c r="K38" s="218">
        <v>31.392429</v>
      </c>
      <c r="L38" s="218">
        <v>31.638807</v>
      </c>
      <c r="M38" s="218">
        <v>31.917843000000001</v>
      </c>
      <c r="N38" s="218">
        <v>32.260204000000002</v>
      </c>
      <c r="O38" s="218">
        <v>32.124084000000003</v>
      </c>
      <c r="P38" s="218">
        <v>32.257857999999999</v>
      </c>
      <c r="Q38" s="218">
        <v>32.385840999999999</v>
      </c>
      <c r="R38" s="218">
        <v>32.510013999999998</v>
      </c>
      <c r="S38" s="218">
        <v>32.366325000000003</v>
      </c>
      <c r="T38" s="218">
        <v>32.491024000000003</v>
      </c>
      <c r="U38" s="218">
        <v>32.554718000000001</v>
      </c>
      <c r="V38" s="218">
        <v>32.448020999999997</v>
      </c>
      <c r="W38" s="218">
        <v>32.269649999999999</v>
      </c>
      <c r="X38" s="218">
        <v>32.105927000000001</v>
      </c>
      <c r="Y38" s="218">
        <v>31.815891000000001</v>
      </c>
      <c r="Z38" s="218">
        <v>32.043148000000002</v>
      </c>
      <c r="AA38" s="218">
        <v>31.778858</v>
      </c>
      <c r="AB38" s="218">
        <v>31.449245000000001</v>
      </c>
      <c r="AC38" s="218">
        <v>31.245932</v>
      </c>
      <c r="AD38" s="218">
        <v>31.427918999999999</v>
      </c>
      <c r="AE38" s="218">
        <v>31.370574999999999</v>
      </c>
      <c r="AF38" s="218">
        <v>31.134799999999998</v>
      </c>
      <c r="AG38" s="217">
        <v>6.5059999999999996E-3</v>
      </c>
    </row>
    <row r="39" spans="1:33" x14ac:dyDescent="0.25">
      <c r="B39"/>
      <c r="C39"/>
      <c r="D39"/>
      <c r="E39"/>
      <c r="F39"/>
      <c r="G39"/>
      <c r="H39"/>
      <c r="I39"/>
      <c r="J39"/>
      <c r="K39"/>
      <c r="L39"/>
      <c r="M39"/>
      <c r="N39"/>
      <c r="O39"/>
      <c r="P39"/>
      <c r="Q39"/>
      <c r="R39"/>
      <c r="S39"/>
      <c r="T39"/>
      <c r="U39"/>
      <c r="V39"/>
      <c r="W39"/>
      <c r="X39"/>
      <c r="Y39"/>
      <c r="Z39"/>
      <c r="AA39"/>
      <c r="AB39"/>
      <c r="AC39"/>
      <c r="AD39"/>
      <c r="AE39"/>
      <c r="AF39"/>
      <c r="AG39"/>
    </row>
    <row r="40" spans="1:33" ht="12" x14ac:dyDescent="0.2">
      <c r="A40" s="213" t="s">
        <v>162</v>
      </c>
      <c r="B40" s="216" t="s">
        <v>163</v>
      </c>
      <c r="C40" s="218">
        <v>-9.9559999999999996E-2</v>
      </c>
      <c r="D40" s="218">
        <v>1.014343</v>
      </c>
      <c r="E40" s="218">
        <v>0.351906</v>
      </c>
      <c r="F40" s="218">
        <v>0.37148900000000001</v>
      </c>
      <c r="G40" s="218">
        <v>0.34117700000000001</v>
      </c>
      <c r="H40" s="218">
        <v>0.382046</v>
      </c>
      <c r="I40" s="218">
        <v>0.38127899999999998</v>
      </c>
      <c r="J40" s="218">
        <v>0.35733999999999999</v>
      </c>
      <c r="K40" s="218">
        <v>0.38627099999999998</v>
      </c>
      <c r="L40" s="218">
        <v>0.38148700000000002</v>
      </c>
      <c r="M40" s="218">
        <v>0.40063900000000002</v>
      </c>
      <c r="N40" s="218">
        <v>0.43374299999999999</v>
      </c>
      <c r="O40" s="218">
        <v>0.41500900000000002</v>
      </c>
      <c r="P40" s="218">
        <v>0.41313899999999998</v>
      </c>
      <c r="Q40" s="218">
        <v>0.41773199999999999</v>
      </c>
      <c r="R40" s="218">
        <v>0.40796700000000002</v>
      </c>
      <c r="S40" s="218">
        <v>0.411499</v>
      </c>
      <c r="T40" s="218">
        <v>0.40859600000000001</v>
      </c>
      <c r="U40" s="218">
        <v>0.40251199999999998</v>
      </c>
      <c r="V40" s="218">
        <v>0.37765500000000002</v>
      </c>
      <c r="W40" s="218">
        <v>0.373608</v>
      </c>
      <c r="X40" s="218">
        <v>0.35802499999999998</v>
      </c>
      <c r="Y40" s="218">
        <v>0.34440199999999999</v>
      </c>
      <c r="Z40" s="218">
        <v>0.34875899999999999</v>
      </c>
      <c r="AA40" s="218">
        <v>0.32074399999999997</v>
      </c>
      <c r="AB40" s="218">
        <v>0.279781</v>
      </c>
      <c r="AC40" s="218">
        <v>0.300562</v>
      </c>
      <c r="AD40" s="218">
        <v>0.30450100000000002</v>
      </c>
      <c r="AE40" s="218">
        <v>0.30743199999999998</v>
      </c>
      <c r="AF40" s="218">
        <v>0.309587</v>
      </c>
      <c r="AG40" s="217" t="s">
        <v>635</v>
      </c>
    </row>
    <row r="41" spans="1:33" x14ac:dyDescent="0.25">
      <c r="B41"/>
      <c r="C41"/>
      <c r="D41"/>
      <c r="E41"/>
      <c r="F41"/>
      <c r="G41"/>
      <c r="H41"/>
      <c r="I41"/>
      <c r="J41"/>
      <c r="K41"/>
      <c r="L41"/>
      <c r="M41"/>
      <c r="N41"/>
      <c r="O41"/>
      <c r="P41"/>
      <c r="Q41"/>
      <c r="R41"/>
      <c r="S41"/>
      <c r="T41"/>
      <c r="U41"/>
      <c r="V41"/>
      <c r="W41"/>
      <c r="X41"/>
      <c r="Y41"/>
      <c r="Z41"/>
      <c r="AA41"/>
      <c r="AB41"/>
      <c r="AC41"/>
      <c r="AD41"/>
      <c r="AE41"/>
      <c r="AF41"/>
      <c r="AG41"/>
    </row>
    <row r="42" spans="1:33" x14ac:dyDescent="0.25">
      <c r="B42" s="216" t="s">
        <v>165</v>
      </c>
      <c r="C42"/>
      <c r="D42"/>
      <c r="E42"/>
      <c r="F42"/>
      <c r="G42"/>
      <c r="H42"/>
      <c r="I42"/>
      <c r="J42"/>
      <c r="K42"/>
      <c r="L42"/>
      <c r="M42"/>
      <c r="N42"/>
      <c r="O42"/>
      <c r="P42"/>
      <c r="Q42"/>
      <c r="R42"/>
      <c r="S42"/>
      <c r="T42"/>
      <c r="U42"/>
      <c r="V42"/>
      <c r="W42"/>
      <c r="X42"/>
      <c r="Y42"/>
      <c r="Z42"/>
      <c r="AA42"/>
      <c r="AB42"/>
      <c r="AC42"/>
      <c r="AD42"/>
      <c r="AE42"/>
      <c r="AF42"/>
      <c r="AG42"/>
    </row>
    <row r="43" spans="1:33" x14ac:dyDescent="0.25">
      <c r="A43" s="213" t="s">
        <v>166</v>
      </c>
      <c r="B43" s="212" t="s">
        <v>167</v>
      </c>
      <c r="C43" s="214">
        <v>36.038910000000001</v>
      </c>
      <c r="D43" s="214">
        <v>36.753875999999998</v>
      </c>
      <c r="E43" s="214">
        <v>37.164867000000001</v>
      </c>
      <c r="F43" s="214">
        <v>37.008743000000003</v>
      </c>
      <c r="G43" s="214">
        <v>36.993271</v>
      </c>
      <c r="H43" s="214">
        <v>36.890811999999997</v>
      </c>
      <c r="I43" s="214">
        <v>36.698307</v>
      </c>
      <c r="J43" s="214">
        <v>36.579684999999998</v>
      </c>
      <c r="K43" s="214">
        <v>36.420642999999998</v>
      </c>
      <c r="L43" s="214">
        <v>36.309967</v>
      </c>
      <c r="M43" s="214">
        <v>36.218291999999998</v>
      </c>
      <c r="N43" s="214">
        <v>36.215271000000001</v>
      </c>
      <c r="O43" s="214">
        <v>36.163837000000001</v>
      </c>
      <c r="P43" s="214">
        <v>36.030982999999999</v>
      </c>
      <c r="Q43" s="214">
        <v>35.914290999999999</v>
      </c>
      <c r="R43" s="214">
        <v>35.832382000000003</v>
      </c>
      <c r="S43" s="214">
        <v>35.810935999999998</v>
      </c>
      <c r="T43" s="214">
        <v>35.784923999999997</v>
      </c>
      <c r="U43" s="214">
        <v>35.813648000000001</v>
      </c>
      <c r="V43" s="214">
        <v>35.779423000000001</v>
      </c>
      <c r="W43" s="214">
        <v>35.801689000000003</v>
      </c>
      <c r="X43" s="214">
        <v>35.841453999999999</v>
      </c>
      <c r="Y43" s="214">
        <v>35.887526999999999</v>
      </c>
      <c r="Z43" s="214">
        <v>35.903362000000001</v>
      </c>
      <c r="AA43" s="214">
        <v>35.944035</v>
      </c>
      <c r="AB43" s="214">
        <v>36.088379000000003</v>
      </c>
      <c r="AC43" s="214">
        <v>36.201034999999997</v>
      </c>
      <c r="AD43" s="214">
        <v>36.273766000000002</v>
      </c>
      <c r="AE43" s="214">
        <v>36.392871999999997</v>
      </c>
      <c r="AF43" s="214">
        <v>36.628177999999998</v>
      </c>
      <c r="AG43" s="210">
        <v>5.5900000000000004E-4</v>
      </c>
    </row>
    <row r="44" spans="1:33" x14ac:dyDescent="0.25">
      <c r="A44" s="213" t="s">
        <v>168</v>
      </c>
      <c r="B44" s="212" t="s">
        <v>152</v>
      </c>
      <c r="C44" s="214">
        <v>31.361422000000001</v>
      </c>
      <c r="D44" s="214">
        <v>31.199945</v>
      </c>
      <c r="E44" s="214">
        <v>31.177605</v>
      </c>
      <c r="F44" s="214">
        <v>31.16921</v>
      </c>
      <c r="G44" s="214">
        <v>30.965534000000002</v>
      </c>
      <c r="H44" s="214">
        <v>30.880772</v>
      </c>
      <c r="I44" s="214">
        <v>30.613737</v>
      </c>
      <c r="J44" s="214">
        <v>30.871202</v>
      </c>
      <c r="K44" s="214">
        <v>30.754141000000001</v>
      </c>
      <c r="L44" s="214">
        <v>30.537724999999998</v>
      </c>
      <c r="M44" s="214">
        <v>30.416205999999999</v>
      </c>
      <c r="N44" s="214">
        <v>30.414434</v>
      </c>
      <c r="O44" s="214">
        <v>30.607911999999999</v>
      </c>
      <c r="P44" s="214">
        <v>30.353966</v>
      </c>
      <c r="Q44" s="214">
        <v>30.106273999999999</v>
      </c>
      <c r="R44" s="214">
        <v>30.033339999999999</v>
      </c>
      <c r="S44" s="214">
        <v>30.184532000000001</v>
      </c>
      <c r="T44" s="214">
        <v>30.381095999999999</v>
      </c>
      <c r="U44" s="214">
        <v>30.592625000000002</v>
      </c>
      <c r="V44" s="214">
        <v>30.803253000000002</v>
      </c>
      <c r="W44" s="214">
        <v>30.909265999999999</v>
      </c>
      <c r="X44" s="214">
        <v>31.077223</v>
      </c>
      <c r="Y44" s="214">
        <v>31.346886000000001</v>
      </c>
      <c r="Z44" s="214">
        <v>31.509253000000001</v>
      </c>
      <c r="AA44" s="214">
        <v>31.678867</v>
      </c>
      <c r="AB44" s="214">
        <v>31.934574000000001</v>
      </c>
      <c r="AC44" s="214">
        <v>32.173541999999998</v>
      </c>
      <c r="AD44" s="214">
        <v>32.373511999999998</v>
      </c>
      <c r="AE44" s="214">
        <v>32.546021000000003</v>
      </c>
      <c r="AF44" s="214">
        <v>32.886066</v>
      </c>
      <c r="AG44" s="210">
        <v>1.6379999999999999E-3</v>
      </c>
    </row>
    <row r="45" spans="1:33" x14ac:dyDescent="0.25">
      <c r="A45" s="213" t="s">
        <v>169</v>
      </c>
      <c r="B45" s="212" t="s">
        <v>170</v>
      </c>
      <c r="C45" s="214">
        <v>10.883374999999999</v>
      </c>
      <c r="D45" s="214">
        <v>10.484755</v>
      </c>
      <c r="E45" s="214">
        <v>9.8739120000000007</v>
      </c>
      <c r="F45" s="214">
        <v>8.5102779999999996</v>
      </c>
      <c r="G45" s="214">
        <v>8.1401909999999997</v>
      </c>
      <c r="H45" s="214">
        <v>7.937951</v>
      </c>
      <c r="I45" s="214">
        <v>7.7050960000000002</v>
      </c>
      <c r="J45" s="214">
        <v>7.669232</v>
      </c>
      <c r="K45" s="214">
        <v>7.6152100000000003</v>
      </c>
      <c r="L45" s="214">
        <v>7.4647059999999996</v>
      </c>
      <c r="M45" s="214">
        <v>7.3934369999999996</v>
      </c>
      <c r="N45" s="214">
        <v>7.2461659999999997</v>
      </c>
      <c r="O45" s="214">
        <v>7.2936759999999996</v>
      </c>
      <c r="P45" s="214">
        <v>6.99925</v>
      </c>
      <c r="Q45" s="214">
        <v>6.7008510000000001</v>
      </c>
      <c r="R45" s="214">
        <v>6.583507</v>
      </c>
      <c r="S45" s="214">
        <v>6.4617940000000003</v>
      </c>
      <c r="T45" s="214">
        <v>6.4417299999999997</v>
      </c>
      <c r="U45" s="214">
        <v>6.426641</v>
      </c>
      <c r="V45" s="214">
        <v>6.3371519999999997</v>
      </c>
      <c r="W45" s="214">
        <v>6.3267569999999997</v>
      </c>
      <c r="X45" s="214">
        <v>6.277361</v>
      </c>
      <c r="Y45" s="214">
        <v>6.194617</v>
      </c>
      <c r="Z45" s="214">
        <v>6.1279820000000003</v>
      </c>
      <c r="AA45" s="214">
        <v>6.0038099999999996</v>
      </c>
      <c r="AB45" s="214">
        <v>5.9578810000000004</v>
      </c>
      <c r="AC45" s="214">
        <v>5.8664969999999999</v>
      </c>
      <c r="AD45" s="214">
        <v>5.765072</v>
      </c>
      <c r="AE45" s="214">
        <v>5.7176580000000001</v>
      </c>
      <c r="AF45" s="214">
        <v>5.7663779999999996</v>
      </c>
      <c r="AG45" s="210">
        <v>-2.1665E-2</v>
      </c>
    </row>
    <row r="46" spans="1:33" x14ac:dyDescent="0.25">
      <c r="A46" s="213" t="s">
        <v>171</v>
      </c>
      <c r="B46" s="212" t="s">
        <v>136</v>
      </c>
      <c r="C46" s="214">
        <v>8.1211500000000001</v>
      </c>
      <c r="D46" s="214">
        <v>8.1831110000000002</v>
      </c>
      <c r="E46" s="214">
        <v>8.2025790000000001</v>
      </c>
      <c r="F46" s="214">
        <v>8.239058</v>
      </c>
      <c r="G46" s="214">
        <v>8.1638990000000007</v>
      </c>
      <c r="H46" s="214">
        <v>8.0757549999999991</v>
      </c>
      <c r="I46" s="214">
        <v>7.9302669999999997</v>
      </c>
      <c r="J46" s="214">
        <v>7.3689460000000002</v>
      </c>
      <c r="K46" s="214">
        <v>7.2995039999999998</v>
      </c>
      <c r="L46" s="214">
        <v>7.3070060000000003</v>
      </c>
      <c r="M46" s="214">
        <v>7.3184230000000001</v>
      </c>
      <c r="N46" s="214">
        <v>7.3263429999999996</v>
      </c>
      <c r="O46" s="214">
        <v>6.8084160000000002</v>
      </c>
      <c r="P46" s="214">
        <v>6.8156670000000004</v>
      </c>
      <c r="Q46" s="214">
        <v>6.7474470000000002</v>
      </c>
      <c r="R46" s="214">
        <v>6.7583539999999998</v>
      </c>
      <c r="S46" s="214">
        <v>6.760554</v>
      </c>
      <c r="T46" s="214">
        <v>6.7626590000000002</v>
      </c>
      <c r="U46" s="214">
        <v>6.762759</v>
      </c>
      <c r="V46" s="214">
        <v>6.766273</v>
      </c>
      <c r="W46" s="214">
        <v>6.7793599999999996</v>
      </c>
      <c r="X46" s="214">
        <v>6.788805</v>
      </c>
      <c r="Y46" s="214">
        <v>6.797936</v>
      </c>
      <c r="Z46" s="214">
        <v>6.8059019999999997</v>
      </c>
      <c r="AA46" s="214">
        <v>6.8144450000000001</v>
      </c>
      <c r="AB46" s="214">
        <v>6.8189029999999997</v>
      </c>
      <c r="AC46" s="214">
        <v>6.8233490000000003</v>
      </c>
      <c r="AD46" s="214">
        <v>6.8261190000000003</v>
      </c>
      <c r="AE46" s="214">
        <v>6.829472</v>
      </c>
      <c r="AF46" s="214">
        <v>6.8343129999999999</v>
      </c>
      <c r="AG46" s="210">
        <v>-5.9309999999999996E-3</v>
      </c>
    </row>
    <row r="47" spans="1:33" x14ac:dyDescent="0.25">
      <c r="A47" s="213" t="s">
        <v>172</v>
      </c>
      <c r="B47" s="212" t="s">
        <v>138</v>
      </c>
      <c r="C47" s="214">
        <v>2.288529</v>
      </c>
      <c r="D47" s="214">
        <v>2.3965299999999998</v>
      </c>
      <c r="E47" s="214">
        <v>2.5203760000000002</v>
      </c>
      <c r="F47" s="214">
        <v>2.6075819999999998</v>
      </c>
      <c r="G47" s="214">
        <v>2.562303</v>
      </c>
      <c r="H47" s="214">
        <v>2.533515</v>
      </c>
      <c r="I47" s="214">
        <v>2.5148000000000001</v>
      </c>
      <c r="J47" s="214">
        <v>2.4944809999999999</v>
      </c>
      <c r="K47" s="214">
        <v>2.4826299999999999</v>
      </c>
      <c r="L47" s="214">
        <v>2.4713959999999999</v>
      </c>
      <c r="M47" s="214">
        <v>2.4567709999999998</v>
      </c>
      <c r="N47" s="214">
        <v>2.4500829999999998</v>
      </c>
      <c r="O47" s="214">
        <v>2.436512</v>
      </c>
      <c r="P47" s="214">
        <v>2.4270999999999998</v>
      </c>
      <c r="Q47" s="214">
        <v>2.4106049999999999</v>
      </c>
      <c r="R47" s="214">
        <v>2.3970229999999999</v>
      </c>
      <c r="S47" s="214">
        <v>2.3926630000000002</v>
      </c>
      <c r="T47" s="214">
        <v>2.3816570000000001</v>
      </c>
      <c r="U47" s="214">
        <v>2.3768020000000001</v>
      </c>
      <c r="V47" s="214">
        <v>2.3701400000000001</v>
      </c>
      <c r="W47" s="214">
        <v>2.3620960000000002</v>
      </c>
      <c r="X47" s="214">
        <v>2.3541889999999999</v>
      </c>
      <c r="Y47" s="214">
        <v>2.3426999999999998</v>
      </c>
      <c r="Z47" s="214">
        <v>2.3369900000000001</v>
      </c>
      <c r="AA47" s="214">
        <v>2.3251300000000001</v>
      </c>
      <c r="AB47" s="214">
        <v>2.3184429999999998</v>
      </c>
      <c r="AC47" s="214">
        <v>2.3090259999999998</v>
      </c>
      <c r="AD47" s="214">
        <v>2.304834</v>
      </c>
      <c r="AE47" s="214">
        <v>2.2952330000000001</v>
      </c>
      <c r="AF47" s="214">
        <v>2.2746879999999998</v>
      </c>
      <c r="AG47" s="210">
        <v>-2.0900000000000001E-4</v>
      </c>
    </row>
    <row r="48" spans="1:33" x14ac:dyDescent="0.25">
      <c r="A48" s="213" t="s">
        <v>173</v>
      </c>
      <c r="B48" s="212" t="s">
        <v>174</v>
      </c>
      <c r="C48" s="214">
        <v>3.124412</v>
      </c>
      <c r="D48" s="214">
        <v>3.1245669999999999</v>
      </c>
      <c r="E48" s="214">
        <v>3.05355</v>
      </c>
      <c r="F48" s="214">
        <v>3.0459540000000001</v>
      </c>
      <c r="G48" s="214">
        <v>3.0558299999999998</v>
      </c>
      <c r="H48" s="214">
        <v>3.0414469999999998</v>
      </c>
      <c r="I48" s="214">
        <v>3.0265740000000001</v>
      </c>
      <c r="J48" s="214">
        <v>3.002259</v>
      </c>
      <c r="K48" s="214">
        <v>2.9924819999999999</v>
      </c>
      <c r="L48" s="214">
        <v>2.9805280000000001</v>
      </c>
      <c r="M48" s="214">
        <v>2.9658829999999998</v>
      </c>
      <c r="N48" s="214">
        <v>2.9562680000000001</v>
      </c>
      <c r="O48" s="214">
        <v>2.9392529999999999</v>
      </c>
      <c r="P48" s="214">
        <v>2.923384</v>
      </c>
      <c r="Q48" s="214">
        <v>2.9118710000000001</v>
      </c>
      <c r="R48" s="214">
        <v>2.9001670000000002</v>
      </c>
      <c r="S48" s="214">
        <v>2.8886090000000002</v>
      </c>
      <c r="T48" s="214">
        <v>2.8791690000000001</v>
      </c>
      <c r="U48" s="214">
        <v>2.8820519999999998</v>
      </c>
      <c r="V48" s="214">
        <v>2.8721390000000002</v>
      </c>
      <c r="W48" s="214">
        <v>2.8727550000000002</v>
      </c>
      <c r="X48" s="214">
        <v>2.8721779999999999</v>
      </c>
      <c r="Y48" s="214">
        <v>2.8794590000000002</v>
      </c>
      <c r="Z48" s="214">
        <v>2.8831980000000001</v>
      </c>
      <c r="AA48" s="214">
        <v>2.8833709999999999</v>
      </c>
      <c r="AB48" s="214">
        <v>2.891699</v>
      </c>
      <c r="AC48" s="214">
        <v>2.9005019999999999</v>
      </c>
      <c r="AD48" s="214">
        <v>2.9111570000000002</v>
      </c>
      <c r="AE48" s="214">
        <v>2.9138310000000001</v>
      </c>
      <c r="AF48" s="214">
        <v>2.9330039999999999</v>
      </c>
      <c r="AG48" s="210">
        <v>-2.1779999999999998E-3</v>
      </c>
    </row>
    <row r="49" spans="1:33" x14ac:dyDescent="0.25">
      <c r="A49" s="213" t="s">
        <v>175</v>
      </c>
      <c r="B49" s="212" t="s">
        <v>142</v>
      </c>
      <c r="C49" s="214">
        <v>4.8390050000000002</v>
      </c>
      <c r="D49" s="214">
        <v>5.5444839999999997</v>
      </c>
      <c r="E49" s="214">
        <v>6.0855569999999997</v>
      </c>
      <c r="F49" s="214">
        <v>6.9892269999999996</v>
      </c>
      <c r="G49" s="214">
        <v>7.5613590000000004</v>
      </c>
      <c r="H49" s="214">
        <v>7.8463159999999998</v>
      </c>
      <c r="I49" s="214">
        <v>8.3474660000000007</v>
      </c>
      <c r="J49" s="214">
        <v>8.5777000000000001</v>
      </c>
      <c r="K49" s="214">
        <v>8.7871590000000008</v>
      </c>
      <c r="L49" s="214">
        <v>9.1559860000000004</v>
      </c>
      <c r="M49" s="214">
        <v>9.4117800000000003</v>
      </c>
      <c r="N49" s="214">
        <v>9.6492149999999999</v>
      </c>
      <c r="O49" s="214">
        <v>9.9103840000000005</v>
      </c>
      <c r="P49" s="214">
        <v>10.464489</v>
      </c>
      <c r="Q49" s="214">
        <v>11.179779999999999</v>
      </c>
      <c r="R49" s="214">
        <v>11.560812</v>
      </c>
      <c r="S49" s="214">
        <v>11.709242</v>
      </c>
      <c r="T49" s="214">
        <v>11.735645</v>
      </c>
      <c r="U49" s="214">
        <v>11.787336</v>
      </c>
      <c r="V49" s="214">
        <v>11.864063</v>
      </c>
      <c r="W49" s="214">
        <v>11.965892999999999</v>
      </c>
      <c r="X49" s="214">
        <v>12.084974000000001</v>
      </c>
      <c r="Y49" s="214">
        <v>12.202391</v>
      </c>
      <c r="Z49" s="214">
        <v>12.369851000000001</v>
      </c>
      <c r="AA49" s="214">
        <v>12.586577</v>
      </c>
      <c r="AB49" s="214">
        <v>12.70438</v>
      </c>
      <c r="AC49" s="214">
        <v>12.871214</v>
      </c>
      <c r="AD49" s="214">
        <v>13.03612</v>
      </c>
      <c r="AE49" s="214">
        <v>13.182046</v>
      </c>
      <c r="AF49" s="214">
        <v>13.273847</v>
      </c>
      <c r="AG49" s="210">
        <v>3.5408000000000002E-2</v>
      </c>
    </row>
    <row r="50" spans="1:33" ht="15" customHeight="1" x14ac:dyDescent="0.25">
      <c r="A50" s="213" t="s">
        <v>176</v>
      </c>
      <c r="B50" s="212" t="s">
        <v>177</v>
      </c>
      <c r="C50" s="214">
        <v>0.33637299999999998</v>
      </c>
      <c r="D50" s="214">
        <v>0.27702399999999999</v>
      </c>
      <c r="E50" s="214">
        <v>0.26213999999999998</v>
      </c>
      <c r="F50" s="214">
        <v>0.26524199999999998</v>
      </c>
      <c r="G50" s="214">
        <v>0.255492</v>
      </c>
      <c r="H50" s="214">
        <v>0.26043100000000002</v>
      </c>
      <c r="I50" s="214">
        <v>0.27382699999999999</v>
      </c>
      <c r="J50" s="214">
        <v>0.28262100000000001</v>
      </c>
      <c r="K50" s="214">
        <v>0.284219</v>
      </c>
      <c r="L50" s="214">
        <v>0.29190700000000003</v>
      </c>
      <c r="M50" s="214">
        <v>0.28378999999999999</v>
      </c>
      <c r="N50" s="214">
        <v>0.28854600000000002</v>
      </c>
      <c r="O50" s="214">
        <v>0.28191300000000002</v>
      </c>
      <c r="P50" s="214">
        <v>0.28715800000000002</v>
      </c>
      <c r="Q50" s="214">
        <v>0.28434199999999998</v>
      </c>
      <c r="R50" s="214">
        <v>0.28410600000000003</v>
      </c>
      <c r="S50" s="214">
        <v>0.27906500000000001</v>
      </c>
      <c r="T50" s="214">
        <v>0.281331</v>
      </c>
      <c r="U50" s="214">
        <v>0.28228500000000001</v>
      </c>
      <c r="V50" s="214">
        <v>0.28422199999999997</v>
      </c>
      <c r="W50" s="214">
        <v>0.27929999999999999</v>
      </c>
      <c r="X50" s="214">
        <v>0.27926000000000001</v>
      </c>
      <c r="Y50" s="214">
        <v>0.28012500000000001</v>
      </c>
      <c r="Z50" s="214">
        <v>0.279916</v>
      </c>
      <c r="AA50" s="214">
        <v>0.275945</v>
      </c>
      <c r="AB50" s="214">
        <v>0.27593000000000001</v>
      </c>
      <c r="AC50" s="214">
        <v>0.27579500000000001</v>
      </c>
      <c r="AD50" s="214">
        <v>0.276476</v>
      </c>
      <c r="AE50" s="214">
        <v>0.27690799999999999</v>
      </c>
      <c r="AF50" s="214">
        <v>0.27742</v>
      </c>
      <c r="AG50" s="210">
        <v>-6.6220000000000003E-3</v>
      </c>
    </row>
    <row r="51" spans="1:33" ht="15" customHeight="1" x14ac:dyDescent="0.2">
      <c r="A51" s="213" t="s">
        <v>178</v>
      </c>
      <c r="B51" s="216" t="s">
        <v>179</v>
      </c>
      <c r="C51" s="218">
        <v>96.993172000000001</v>
      </c>
      <c r="D51" s="218">
        <v>97.964293999999995</v>
      </c>
      <c r="E51" s="218">
        <v>98.340575999999999</v>
      </c>
      <c r="F51" s="218">
        <v>97.835296999999997</v>
      </c>
      <c r="G51" s="218">
        <v>97.697875999999994</v>
      </c>
      <c r="H51" s="218">
        <v>97.466994999999997</v>
      </c>
      <c r="I51" s="218">
        <v>97.110068999999996</v>
      </c>
      <c r="J51" s="218">
        <v>96.846137999999996</v>
      </c>
      <c r="K51" s="218">
        <v>96.635993999999997</v>
      </c>
      <c r="L51" s="218">
        <v>96.519226000000003</v>
      </c>
      <c r="M51" s="218">
        <v>96.464584000000002</v>
      </c>
      <c r="N51" s="218">
        <v>96.546317999999999</v>
      </c>
      <c r="O51" s="218">
        <v>96.441909999999993</v>
      </c>
      <c r="P51" s="218">
        <v>96.301993999999993</v>
      </c>
      <c r="Q51" s="218">
        <v>96.255463000000006</v>
      </c>
      <c r="R51" s="218">
        <v>96.349693000000002</v>
      </c>
      <c r="S51" s="218">
        <v>96.487396000000004</v>
      </c>
      <c r="T51" s="218">
        <v>96.648208999999994</v>
      </c>
      <c r="U51" s="218">
        <v>96.924149</v>
      </c>
      <c r="V51" s="218">
        <v>97.076660000000004</v>
      </c>
      <c r="W51" s="218">
        <v>97.297111999999998</v>
      </c>
      <c r="X51" s="218">
        <v>97.575439000000003</v>
      </c>
      <c r="Y51" s="218">
        <v>97.931640999999999</v>
      </c>
      <c r="Z51" s="218">
        <v>98.216453999999999</v>
      </c>
      <c r="AA51" s="218">
        <v>98.512176999999994</v>
      </c>
      <c r="AB51" s="218">
        <v>98.990181000000007</v>
      </c>
      <c r="AC51" s="218">
        <v>99.420958999999996</v>
      </c>
      <c r="AD51" s="218">
        <v>99.767052000000007</v>
      </c>
      <c r="AE51" s="218">
        <v>100.154045</v>
      </c>
      <c r="AF51" s="218">
        <v>100.873901</v>
      </c>
      <c r="AG51" s="217">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216" t="s">
        <v>634</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213" t="s">
        <v>180</v>
      </c>
      <c r="B54" s="212" t="s">
        <v>181</v>
      </c>
      <c r="C54" s="215">
        <v>71.587997000000001</v>
      </c>
      <c r="D54" s="215">
        <v>69.665710000000004</v>
      </c>
      <c r="E54" s="215">
        <v>60.115009000000001</v>
      </c>
      <c r="F54" s="215">
        <v>65.487526000000003</v>
      </c>
      <c r="G54" s="215">
        <v>66.944946000000002</v>
      </c>
      <c r="H54" s="215">
        <v>68.336487000000005</v>
      </c>
      <c r="I54" s="215">
        <v>70.188248000000002</v>
      </c>
      <c r="J54" s="215">
        <v>71.247107999999997</v>
      </c>
      <c r="K54" s="215">
        <v>72.276756000000006</v>
      </c>
      <c r="L54" s="215">
        <v>73.089027000000002</v>
      </c>
      <c r="M54" s="215">
        <v>74.201713999999996</v>
      </c>
      <c r="N54" s="215">
        <v>75.693770999999998</v>
      </c>
      <c r="O54" s="215">
        <v>76.516807999999997</v>
      </c>
      <c r="P54" s="215">
        <v>77.011725999999996</v>
      </c>
      <c r="Q54" s="215">
        <v>77.511916999999997</v>
      </c>
      <c r="R54" s="215">
        <v>77.914551000000003</v>
      </c>
      <c r="S54" s="215">
        <v>79.120429999999999</v>
      </c>
      <c r="T54" s="215">
        <v>79.949264999999997</v>
      </c>
      <c r="U54" s="215">
        <v>80.107307000000006</v>
      </c>
      <c r="V54" s="215">
        <v>81.746223000000001</v>
      </c>
      <c r="W54" s="215">
        <v>82.892478999999994</v>
      </c>
      <c r="X54" s="215">
        <v>83.244727999999995</v>
      </c>
      <c r="Y54" s="215">
        <v>84.953598</v>
      </c>
      <c r="Z54" s="215">
        <v>86.823943999999997</v>
      </c>
      <c r="AA54" s="215">
        <v>87.048102999999998</v>
      </c>
      <c r="AB54" s="215">
        <v>88.261673000000002</v>
      </c>
      <c r="AC54" s="215">
        <v>88.154121000000004</v>
      </c>
      <c r="AD54" s="215">
        <v>88.153580000000005</v>
      </c>
      <c r="AE54" s="215">
        <v>88.626503</v>
      </c>
      <c r="AF54" s="215">
        <v>88.049567999999994</v>
      </c>
      <c r="AG54" s="210">
        <v>7.1630000000000001E-3</v>
      </c>
    </row>
    <row r="55" spans="1:33" ht="15" customHeight="1" x14ac:dyDescent="0.25">
      <c r="A55" s="213" t="s">
        <v>182</v>
      </c>
      <c r="B55" s="212" t="s">
        <v>633</v>
      </c>
      <c r="C55" s="215">
        <v>69.023003000000003</v>
      </c>
      <c r="D55" s="215">
        <v>66.150893999999994</v>
      </c>
      <c r="E55" s="215">
        <v>58.565804</v>
      </c>
      <c r="F55" s="215">
        <v>63.481312000000003</v>
      </c>
      <c r="G55" s="215">
        <v>64.713440000000006</v>
      </c>
      <c r="H55" s="215">
        <v>65.889472999999995</v>
      </c>
      <c r="I55" s="215">
        <v>67.339889999999997</v>
      </c>
      <c r="J55" s="215">
        <v>68.794830000000005</v>
      </c>
      <c r="K55" s="215">
        <v>69.806861999999995</v>
      </c>
      <c r="L55" s="215">
        <v>70.716560000000001</v>
      </c>
      <c r="M55" s="215">
        <v>71.664321999999999</v>
      </c>
      <c r="N55" s="215">
        <v>73.149719000000005</v>
      </c>
      <c r="O55" s="215">
        <v>74.028023000000005</v>
      </c>
      <c r="P55" s="215">
        <v>74.299271000000005</v>
      </c>
      <c r="Q55" s="215">
        <v>74.585869000000002</v>
      </c>
      <c r="R55" s="215">
        <v>74.74485</v>
      </c>
      <c r="S55" s="215">
        <v>75.858504999999994</v>
      </c>
      <c r="T55" s="215">
        <v>76.686295000000001</v>
      </c>
      <c r="U55" s="215">
        <v>76.795463999999996</v>
      </c>
      <c r="V55" s="215">
        <v>78.571479999999994</v>
      </c>
      <c r="W55" s="215">
        <v>79.729445999999996</v>
      </c>
      <c r="X55" s="215">
        <v>80.188102999999998</v>
      </c>
      <c r="Y55" s="215">
        <v>81.850860999999995</v>
      </c>
      <c r="Z55" s="215">
        <v>83.591797</v>
      </c>
      <c r="AA55" s="215">
        <v>84.018883000000002</v>
      </c>
      <c r="AB55" s="215">
        <v>85.136870999999999</v>
      </c>
      <c r="AC55" s="215">
        <v>85.346710000000002</v>
      </c>
      <c r="AD55" s="215">
        <v>85.364227</v>
      </c>
      <c r="AE55" s="215">
        <v>85.855141000000003</v>
      </c>
      <c r="AF55" s="215">
        <v>85.234679999999997</v>
      </c>
      <c r="AG55" s="210">
        <v>7.3010000000000002E-3</v>
      </c>
    </row>
    <row r="56" spans="1:33" ht="15" customHeight="1" x14ac:dyDescent="0.25">
      <c r="A56" s="213" t="s">
        <v>184</v>
      </c>
      <c r="B56" s="212" t="s">
        <v>185</v>
      </c>
      <c r="C56" s="214">
        <v>4.115437</v>
      </c>
      <c r="D56" s="214">
        <v>3.8375569999999999</v>
      </c>
      <c r="E56" s="214">
        <v>3.4711470000000002</v>
      </c>
      <c r="F56" s="214">
        <v>3.1265849999999999</v>
      </c>
      <c r="G56" s="214">
        <v>2.9537409999999999</v>
      </c>
      <c r="H56" s="214">
        <v>2.9069660000000002</v>
      </c>
      <c r="I56" s="214">
        <v>2.9545490000000001</v>
      </c>
      <c r="J56" s="214">
        <v>3.1361569999999999</v>
      </c>
      <c r="K56" s="214">
        <v>3.2922310000000001</v>
      </c>
      <c r="L56" s="214">
        <v>3.3889710000000002</v>
      </c>
      <c r="M56" s="214">
        <v>3.4544480000000002</v>
      </c>
      <c r="N56" s="214">
        <v>3.4918580000000001</v>
      </c>
      <c r="O56" s="214">
        <v>3.5932900000000001</v>
      </c>
      <c r="P56" s="214">
        <v>3.5941529999999999</v>
      </c>
      <c r="Q56" s="214">
        <v>3.5243639999999998</v>
      </c>
      <c r="R56" s="214">
        <v>3.4853049999999999</v>
      </c>
      <c r="S56" s="214">
        <v>3.4869300000000001</v>
      </c>
      <c r="T56" s="214">
        <v>3.5182699999999998</v>
      </c>
      <c r="U56" s="214">
        <v>3.5456129999999999</v>
      </c>
      <c r="V56" s="214">
        <v>3.577658</v>
      </c>
      <c r="W56" s="214">
        <v>3.6346500000000002</v>
      </c>
      <c r="X56" s="214">
        <v>3.6520290000000002</v>
      </c>
      <c r="Y56" s="214">
        <v>3.5895619999999999</v>
      </c>
      <c r="Z56" s="214">
        <v>3.5611259999999998</v>
      </c>
      <c r="AA56" s="214">
        <v>3.4696760000000002</v>
      </c>
      <c r="AB56" s="214">
        <v>3.4253659999999999</v>
      </c>
      <c r="AC56" s="214">
        <v>3.400315</v>
      </c>
      <c r="AD56" s="214">
        <v>3.3924319999999999</v>
      </c>
      <c r="AE56" s="214">
        <v>3.4035679999999999</v>
      </c>
      <c r="AF56" s="214">
        <v>3.4095119999999999</v>
      </c>
      <c r="AG56" s="210">
        <v>-6.4679999999999998E-3</v>
      </c>
    </row>
    <row r="57" spans="1:33" ht="15" customHeight="1" x14ac:dyDescent="0.25">
      <c r="A57" s="213" t="s">
        <v>186</v>
      </c>
      <c r="B57" s="212" t="s">
        <v>187</v>
      </c>
      <c r="C57" s="211">
        <v>36.126964999999998</v>
      </c>
      <c r="D57" s="211">
        <v>33.048690999999998</v>
      </c>
      <c r="E57" s="211">
        <v>33.697308</v>
      </c>
      <c r="F57" s="211">
        <v>34.915207000000002</v>
      </c>
      <c r="G57" s="211">
        <v>33.191757000000003</v>
      </c>
      <c r="H57" s="211">
        <v>31.716324</v>
      </c>
      <c r="I57" s="211">
        <v>31.066441000000001</v>
      </c>
      <c r="J57" s="211">
        <v>30.505334999999999</v>
      </c>
      <c r="K57" s="211">
        <v>30.725069000000001</v>
      </c>
      <c r="L57" s="211">
        <v>30.714941</v>
      </c>
      <c r="M57" s="211">
        <v>30.711940999999999</v>
      </c>
      <c r="N57" s="211">
        <v>30.82056</v>
      </c>
      <c r="O57" s="211">
        <v>31.028635000000001</v>
      </c>
      <c r="P57" s="211">
        <v>31.325903</v>
      </c>
      <c r="Q57" s="211">
        <v>31.308147000000002</v>
      </c>
      <c r="R57" s="211">
        <v>31.61187</v>
      </c>
      <c r="S57" s="211">
        <v>32.129680999999998</v>
      </c>
      <c r="T57" s="211">
        <v>32.227969999999999</v>
      </c>
      <c r="U57" s="211">
        <v>32.280780999999998</v>
      </c>
      <c r="V57" s="211">
        <v>32.69191</v>
      </c>
      <c r="W57" s="211">
        <v>32.910851000000001</v>
      </c>
      <c r="X57" s="211">
        <v>32.751488000000002</v>
      </c>
      <c r="Y57" s="211">
        <v>33.197136</v>
      </c>
      <c r="Z57" s="211">
        <v>33.294753999999998</v>
      </c>
      <c r="AA57" s="211">
        <v>33.901966000000002</v>
      </c>
      <c r="AB57" s="211">
        <v>34.154437999999999</v>
      </c>
      <c r="AC57" s="211">
        <v>34.402785999999999</v>
      </c>
      <c r="AD57" s="211">
        <v>34.352524000000003</v>
      </c>
      <c r="AE57" s="211">
        <v>34.457165000000003</v>
      </c>
      <c r="AF57" s="211">
        <v>34.526252999999997</v>
      </c>
      <c r="AG57" s="210">
        <v>-1.562E-3</v>
      </c>
    </row>
    <row r="58" spans="1:33" ht="15" customHeight="1" x14ac:dyDescent="0.25">
      <c r="A58" s="213" t="s">
        <v>188</v>
      </c>
      <c r="B58" s="212" t="s">
        <v>189</v>
      </c>
      <c r="C58" s="214">
        <v>1.753047</v>
      </c>
      <c r="D58" s="214">
        <v>1.605396</v>
      </c>
      <c r="E58" s="214">
        <v>1.612716</v>
      </c>
      <c r="F58" s="214">
        <v>1.644811</v>
      </c>
      <c r="G58" s="214">
        <v>1.5786800000000001</v>
      </c>
      <c r="H58" s="214">
        <v>1.524597</v>
      </c>
      <c r="I58" s="214">
        <v>1.4982040000000001</v>
      </c>
      <c r="J58" s="214">
        <v>1.483403</v>
      </c>
      <c r="K58" s="214">
        <v>1.4923</v>
      </c>
      <c r="L58" s="214">
        <v>1.492875</v>
      </c>
      <c r="M58" s="214">
        <v>1.493347</v>
      </c>
      <c r="N58" s="214">
        <v>1.4936529999999999</v>
      </c>
      <c r="O58" s="214">
        <v>1.4965390000000001</v>
      </c>
      <c r="P58" s="214">
        <v>1.510248</v>
      </c>
      <c r="Q58" s="214">
        <v>1.5111859999999999</v>
      </c>
      <c r="R58" s="214">
        <v>1.522797</v>
      </c>
      <c r="S58" s="214">
        <v>1.5360039999999999</v>
      </c>
      <c r="T58" s="214">
        <v>1.543051</v>
      </c>
      <c r="U58" s="214">
        <v>1.5474950000000001</v>
      </c>
      <c r="V58" s="214">
        <v>1.5640559999999999</v>
      </c>
      <c r="W58" s="214">
        <v>1.574198</v>
      </c>
      <c r="X58" s="214">
        <v>1.5691949999999999</v>
      </c>
      <c r="Y58" s="214">
        <v>1.5863130000000001</v>
      </c>
      <c r="Z58" s="214">
        <v>1.5902780000000001</v>
      </c>
      <c r="AA58" s="214">
        <v>1.607756</v>
      </c>
      <c r="AB58" s="214">
        <v>1.618476</v>
      </c>
      <c r="AC58" s="214">
        <v>1.6294310000000001</v>
      </c>
      <c r="AD58" s="214">
        <v>1.6292679999999999</v>
      </c>
      <c r="AE58" s="214">
        <v>1.6348339999999999</v>
      </c>
      <c r="AF58" s="214">
        <v>1.639391</v>
      </c>
      <c r="AG58" s="210">
        <v>-2.3089999999999999E-3</v>
      </c>
    </row>
    <row r="59" spans="1:33" ht="15" customHeight="1" x14ac:dyDescent="0.25">
      <c r="A59" s="213" t="s">
        <v>190</v>
      </c>
      <c r="B59" s="212" t="s">
        <v>191</v>
      </c>
      <c r="C59" s="214">
        <v>2.2292390000000002</v>
      </c>
      <c r="D59" s="214">
        <v>2.1085590000000001</v>
      </c>
      <c r="E59" s="214">
        <v>2.1093130000000002</v>
      </c>
      <c r="F59" s="214">
        <v>2.1188609999999999</v>
      </c>
      <c r="G59" s="214">
        <v>2.0726010000000001</v>
      </c>
      <c r="H59" s="214">
        <v>2.0520100000000001</v>
      </c>
      <c r="I59" s="214">
        <v>2.0395110000000001</v>
      </c>
      <c r="J59" s="214">
        <v>2.0317379999999998</v>
      </c>
      <c r="K59" s="214">
        <v>2.0420389999999999</v>
      </c>
      <c r="L59" s="214">
        <v>2.041963</v>
      </c>
      <c r="M59" s="214">
        <v>2.0381300000000002</v>
      </c>
      <c r="N59" s="214">
        <v>2.033941</v>
      </c>
      <c r="O59" s="214">
        <v>2.0277940000000001</v>
      </c>
      <c r="P59" s="214">
        <v>2.0314239999999999</v>
      </c>
      <c r="Q59" s="214">
        <v>2.0170699999999999</v>
      </c>
      <c r="R59" s="214">
        <v>2.0104799999999998</v>
      </c>
      <c r="S59" s="214">
        <v>2.012397</v>
      </c>
      <c r="T59" s="214">
        <v>2.0086400000000002</v>
      </c>
      <c r="U59" s="214">
        <v>2.0080589999999998</v>
      </c>
      <c r="V59" s="214">
        <v>2.0107750000000002</v>
      </c>
      <c r="W59" s="214">
        <v>2.0145870000000001</v>
      </c>
      <c r="X59" s="214">
        <v>2.0022630000000001</v>
      </c>
      <c r="Y59" s="214">
        <v>2.0030899999999998</v>
      </c>
      <c r="Z59" s="214">
        <v>2.0003690000000001</v>
      </c>
      <c r="AA59" s="214">
        <v>2.0006309999999998</v>
      </c>
      <c r="AB59" s="214">
        <v>2.0018259999999999</v>
      </c>
      <c r="AC59" s="214">
        <v>1.9972270000000001</v>
      </c>
      <c r="AD59" s="214">
        <v>1.9858020000000001</v>
      </c>
      <c r="AE59" s="214">
        <v>1.98377</v>
      </c>
      <c r="AF59" s="214">
        <v>1.9814369999999999</v>
      </c>
      <c r="AG59" s="210">
        <v>-4.0549999999999996E-3</v>
      </c>
    </row>
    <row r="60" spans="1:33" ht="15" customHeight="1" x14ac:dyDescent="0.25">
      <c r="A60" s="213" t="s">
        <v>192</v>
      </c>
      <c r="B60" s="212" t="s">
        <v>193</v>
      </c>
      <c r="C60" s="211">
        <v>11.09206</v>
      </c>
      <c r="D60" s="211">
        <v>10.975097</v>
      </c>
      <c r="E60" s="211">
        <v>10.752556999999999</v>
      </c>
      <c r="F60" s="211">
        <v>10.540874000000001</v>
      </c>
      <c r="G60" s="211">
        <v>10.475073</v>
      </c>
      <c r="H60" s="211">
        <v>10.501467999999999</v>
      </c>
      <c r="I60" s="211">
        <v>10.507842</v>
      </c>
      <c r="J60" s="211">
        <v>10.523569999999999</v>
      </c>
      <c r="K60" s="211">
        <v>10.553371</v>
      </c>
      <c r="L60" s="211">
        <v>10.551202999999999</v>
      </c>
      <c r="M60" s="211">
        <v>10.580885</v>
      </c>
      <c r="N60" s="211">
        <v>10.611276999999999</v>
      </c>
      <c r="O60" s="211">
        <v>10.653981</v>
      </c>
      <c r="P60" s="211">
        <v>10.673109999999999</v>
      </c>
      <c r="Q60" s="211">
        <v>10.574654000000001</v>
      </c>
      <c r="R60" s="211">
        <v>10.500532</v>
      </c>
      <c r="S60" s="211">
        <v>10.454601</v>
      </c>
      <c r="T60" s="211">
        <v>10.40737</v>
      </c>
      <c r="U60" s="211">
        <v>10.364239</v>
      </c>
      <c r="V60" s="211">
        <v>10.379671</v>
      </c>
      <c r="W60" s="211">
        <v>10.349372000000001</v>
      </c>
      <c r="X60" s="211">
        <v>10.349371</v>
      </c>
      <c r="Y60" s="211">
        <v>10.292790999999999</v>
      </c>
      <c r="Z60" s="211">
        <v>10.252166000000001</v>
      </c>
      <c r="AA60" s="211">
        <v>10.25128</v>
      </c>
      <c r="AB60" s="211">
        <v>10.175208</v>
      </c>
      <c r="AC60" s="211">
        <v>10.157688</v>
      </c>
      <c r="AD60" s="211">
        <v>10.123593</v>
      </c>
      <c r="AE60" s="211">
        <v>10.092719000000001</v>
      </c>
      <c r="AF60" s="211">
        <v>10.021296</v>
      </c>
      <c r="AG60" s="210">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216" t="s">
        <v>194</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213" t="s">
        <v>195</v>
      </c>
      <c r="B64" s="212" t="s">
        <v>181</v>
      </c>
      <c r="C64" s="215">
        <v>71.587997000000001</v>
      </c>
      <c r="D64" s="215">
        <v>71.908996999999999</v>
      </c>
      <c r="E64" s="215">
        <v>63.619979999999998</v>
      </c>
      <c r="F64" s="215">
        <v>71.373054999999994</v>
      </c>
      <c r="G64" s="215">
        <v>75.273742999999996</v>
      </c>
      <c r="H64" s="215">
        <v>79.457572999999996</v>
      </c>
      <c r="I64" s="215">
        <v>84.495559999999998</v>
      </c>
      <c r="J64" s="215">
        <v>88.816947999999996</v>
      </c>
      <c r="K64" s="215">
        <v>93.240852000000004</v>
      </c>
      <c r="L64" s="215">
        <v>97.461692999999997</v>
      </c>
      <c r="M64" s="215">
        <v>102.242752</v>
      </c>
      <c r="N64" s="215">
        <v>107.677361</v>
      </c>
      <c r="O64" s="215">
        <v>112.40005499999999</v>
      </c>
      <c r="P64" s="215">
        <v>116.90786</v>
      </c>
      <c r="Q64" s="215">
        <v>121.683891</v>
      </c>
      <c r="R64" s="215">
        <v>126.524063</v>
      </c>
      <c r="S64" s="215">
        <v>132.93751499999999</v>
      </c>
      <c r="T64" s="215">
        <v>138.98382599999999</v>
      </c>
      <c r="U64" s="215">
        <v>144.00289900000001</v>
      </c>
      <c r="V64" s="215">
        <v>152.015152</v>
      </c>
      <c r="W64" s="215">
        <v>159.442139</v>
      </c>
      <c r="X64" s="215">
        <v>165.62905900000001</v>
      </c>
      <c r="Y64" s="215">
        <v>174.78681900000001</v>
      </c>
      <c r="Z64" s="215">
        <v>184.651535</v>
      </c>
      <c r="AA64" s="215">
        <v>191.32926900000001</v>
      </c>
      <c r="AB64" s="215">
        <v>200.49499499999999</v>
      </c>
      <c r="AC64" s="215">
        <v>206.955399</v>
      </c>
      <c r="AD64" s="215">
        <v>213.823441</v>
      </c>
      <c r="AE64" s="215">
        <v>221.992188</v>
      </c>
      <c r="AF64" s="215">
        <v>227.62056000000001</v>
      </c>
      <c r="AG64" s="210">
        <v>4.0694000000000001E-2</v>
      </c>
    </row>
    <row r="65" spans="1:33" ht="15" customHeight="1" x14ac:dyDescent="0.25">
      <c r="A65" s="213" t="s">
        <v>196</v>
      </c>
      <c r="B65" s="212" t="s">
        <v>633</v>
      </c>
      <c r="C65" s="215">
        <v>69.023003000000003</v>
      </c>
      <c r="D65" s="215">
        <v>68.280997999999997</v>
      </c>
      <c r="E65" s="215">
        <v>61.980446000000001</v>
      </c>
      <c r="F65" s="215">
        <v>69.186538999999996</v>
      </c>
      <c r="G65" s="215">
        <v>72.764610000000005</v>
      </c>
      <c r="H65" s="215">
        <v>76.612328000000005</v>
      </c>
      <c r="I65" s="215">
        <v>81.066588999999993</v>
      </c>
      <c r="J65" s="215">
        <v>85.759925999999993</v>
      </c>
      <c r="K65" s="215">
        <v>90.054550000000006</v>
      </c>
      <c r="L65" s="215">
        <v>94.298096000000001</v>
      </c>
      <c r="M65" s="215">
        <v>98.746475000000004</v>
      </c>
      <c r="N65" s="215">
        <v>104.058342</v>
      </c>
      <c r="O65" s="215">
        <v>108.744141</v>
      </c>
      <c r="P65" s="215">
        <v>112.790207</v>
      </c>
      <c r="Q65" s="215">
        <v>117.090363</v>
      </c>
      <c r="R65" s="215">
        <v>121.376839</v>
      </c>
      <c r="S65" s="215">
        <v>127.456856</v>
      </c>
      <c r="T65" s="215">
        <v>133.31147799999999</v>
      </c>
      <c r="U65" s="215">
        <v>138.049454</v>
      </c>
      <c r="V65" s="215">
        <v>146.111389</v>
      </c>
      <c r="W65" s="215">
        <v>153.358124</v>
      </c>
      <c r="X65" s="215">
        <v>159.54740899999999</v>
      </c>
      <c r="Y65" s="215">
        <v>168.40313699999999</v>
      </c>
      <c r="Z65" s="215">
        <v>177.777603</v>
      </c>
      <c r="AA65" s="215">
        <v>184.67111199999999</v>
      </c>
      <c r="AB65" s="215">
        <v>193.39669799999999</v>
      </c>
      <c r="AC65" s="215">
        <v>200.364563</v>
      </c>
      <c r="AD65" s="215">
        <v>207.057648</v>
      </c>
      <c r="AE65" s="215">
        <v>215.05046100000001</v>
      </c>
      <c r="AF65" s="215">
        <v>220.34367399999999</v>
      </c>
      <c r="AG65" s="210">
        <v>4.0837999999999999E-2</v>
      </c>
    </row>
    <row r="66" spans="1:33" x14ac:dyDescent="0.25">
      <c r="A66" s="213" t="s">
        <v>197</v>
      </c>
      <c r="B66" s="212" t="s">
        <v>185</v>
      </c>
      <c r="C66" s="214">
        <v>4.115437</v>
      </c>
      <c r="D66" s="214">
        <v>3.9611290000000001</v>
      </c>
      <c r="E66" s="214">
        <v>3.67353</v>
      </c>
      <c r="F66" s="214">
        <v>3.4075790000000001</v>
      </c>
      <c r="G66" s="214">
        <v>3.3212229999999998</v>
      </c>
      <c r="H66" s="214">
        <v>3.3800460000000001</v>
      </c>
      <c r="I66" s="214">
        <v>3.55681</v>
      </c>
      <c r="J66" s="214">
        <v>3.9095469999999999</v>
      </c>
      <c r="K66" s="214">
        <v>4.247153</v>
      </c>
      <c r="L66" s="214">
        <v>4.519075</v>
      </c>
      <c r="M66" s="214">
        <v>4.7598940000000001</v>
      </c>
      <c r="N66" s="214">
        <v>4.9673059999999998</v>
      </c>
      <c r="O66" s="214">
        <v>5.2783959999999999</v>
      </c>
      <c r="P66" s="214">
        <v>5.4561140000000004</v>
      </c>
      <c r="Q66" s="214">
        <v>5.5328049999999998</v>
      </c>
      <c r="R66" s="214">
        <v>5.6597249999999999</v>
      </c>
      <c r="S66" s="214">
        <v>5.8587119999999997</v>
      </c>
      <c r="T66" s="214">
        <v>6.1161620000000001</v>
      </c>
      <c r="U66" s="214">
        <v>6.3736819999999996</v>
      </c>
      <c r="V66" s="214">
        <v>6.6530069999999997</v>
      </c>
      <c r="W66" s="214">
        <v>6.9911810000000001</v>
      </c>
      <c r="X66" s="214">
        <v>7.266311</v>
      </c>
      <c r="Y66" s="214">
        <v>7.3853030000000004</v>
      </c>
      <c r="Z66" s="214">
        <v>7.5735729999999997</v>
      </c>
      <c r="AA66" s="214">
        <v>7.6262499999999998</v>
      </c>
      <c r="AB66" s="214">
        <v>7.7810519999999999</v>
      </c>
      <c r="AC66" s="214">
        <v>7.9827640000000004</v>
      </c>
      <c r="AD66" s="214">
        <v>8.2286110000000008</v>
      </c>
      <c r="AE66" s="214">
        <v>8.5252770000000009</v>
      </c>
      <c r="AF66" s="214">
        <v>8.8140680000000007</v>
      </c>
      <c r="AG66" s="210">
        <v>2.6610000000000002E-2</v>
      </c>
    </row>
    <row r="67" spans="1:33" ht="15" customHeight="1" x14ac:dyDescent="0.25">
      <c r="A67" s="213" t="s">
        <v>198</v>
      </c>
      <c r="B67" s="212" t="s">
        <v>187</v>
      </c>
      <c r="C67" s="211">
        <v>36.126964999999998</v>
      </c>
      <c r="D67" s="211">
        <v>34.112881000000002</v>
      </c>
      <c r="E67" s="211">
        <v>35.662010000000002</v>
      </c>
      <c r="F67" s="211">
        <v>38.053122999999999</v>
      </c>
      <c r="G67" s="211">
        <v>37.321235999999999</v>
      </c>
      <c r="H67" s="211">
        <v>36.877842000000001</v>
      </c>
      <c r="I67" s="211">
        <v>37.399085999999997</v>
      </c>
      <c r="J67" s="211">
        <v>38.028080000000003</v>
      </c>
      <c r="K67" s="211">
        <v>39.636966999999999</v>
      </c>
      <c r="L67" s="211">
        <v>40.957313999999997</v>
      </c>
      <c r="M67" s="211">
        <v>42.318069000000001</v>
      </c>
      <c r="N67" s="211">
        <v>43.843456000000003</v>
      </c>
      <c r="O67" s="211">
        <v>45.579796000000002</v>
      </c>
      <c r="P67" s="211">
        <v>47.554371000000003</v>
      </c>
      <c r="Q67" s="211">
        <v>49.149825999999997</v>
      </c>
      <c r="R67" s="211">
        <v>51.333953999999999</v>
      </c>
      <c r="S67" s="211">
        <v>53.984034999999999</v>
      </c>
      <c r="T67" s="211">
        <v>56.025112</v>
      </c>
      <c r="U67" s="211">
        <v>58.028739999999999</v>
      </c>
      <c r="V67" s="211">
        <v>60.793827</v>
      </c>
      <c r="W67" s="211">
        <v>63.30341</v>
      </c>
      <c r="X67" s="211">
        <v>65.164467000000002</v>
      </c>
      <c r="Y67" s="211">
        <v>68.301070999999993</v>
      </c>
      <c r="Z67" s="211">
        <v>70.809119999999993</v>
      </c>
      <c r="AA67" s="211">
        <v>74.515556000000004</v>
      </c>
      <c r="AB67" s="211">
        <v>77.585136000000006</v>
      </c>
      <c r="AC67" s="211">
        <v>80.765845999999996</v>
      </c>
      <c r="AD67" s="211">
        <v>83.324744999999993</v>
      </c>
      <c r="AE67" s="211">
        <v>86.308509999999998</v>
      </c>
      <c r="AF67" s="211">
        <v>89.255225999999993</v>
      </c>
      <c r="AG67" s="210">
        <v>3.168E-2</v>
      </c>
    </row>
    <row r="68" spans="1:33" ht="15" customHeight="1" x14ac:dyDescent="0.25">
      <c r="A68" s="213" t="s">
        <v>199</v>
      </c>
      <c r="B68" s="212" t="s">
        <v>189</v>
      </c>
      <c r="C68" s="214">
        <v>1.753047</v>
      </c>
      <c r="D68" s="214">
        <v>1.65709</v>
      </c>
      <c r="E68" s="214">
        <v>1.706745</v>
      </c>
      <c r="F68" s="214">
        <v>1.792635</v>
      </c>
      <c r="G68" s="214">
        <v>1.775088</v>
      </c>
      <c r="H68" s="214">
        <v>1.77271</v>
      </c>
      <c r="I68" s="214">
        <v>1.803601</v>
      </c>
      <c r="J68" s="214">
        <v>1.8492170000000001</v>
      </c>
      <c r="K68" s="214">
        <v>1.925146</v>
      </c>
      <c r="L68" s="214">
        <v>1.9906969999999999</v>
      </c>
      <c r="M68" s="214">
        <v>2.057687</v>
      </c>
      <c r="N68" s="214">
        <v>2.1247790000000002</v>
      </c>
      <c r="O68" s="214">
        <v>2.1983540000000001</v>
      </c>
      <c r="P68" s="214">
        <v>2.2926359999999999</v>
      </c>
      <c r="Q68" s="214">
        <v>2.3723700000000001</v>
      </c>
      <c r="R68" s="214">
        <v>2.4728430000000001</v>
      </c>
      <c r="S68" s="214">
        <v>2.580781</v>
      </c>
      <c r="T68" s="214">
        <v>2.6824400000000002</v>
      </c>
      <c r="U68" s="214">
        <v>2.7818160000000001</v>
      </c>
      <c r="V68" s="214">
        <v>2.9085169999999998</v>
      </c>
      <c r="W68" s="214">
        <v>3.0279400000000001</v>
      </c>
      <c r="X68" s="214">
        <v>3.1221709999999998</v>
      </c>
      <c r="Y68" s="214">
        <v>3.263741</v>
      </c>
      <c r="Z68" s="214">
        <v>3.3820999999999999</v>
      </c>
      <c r="AA68" s="214">
        <v>3.5338020000000001</v>
      </c>
      <c r="AB68" s="214">
        <v>3.676526</v>
      </c>
      <c r="AC68" s="214">
        <v>3.8253409999999999</v>
      </c>
      <c r="AD68" s="214">
        <v>3.951918</v>
      </c>
      <c r="AE68" s="214">
        <v>4.0949419999999996</v>
      </c>
      <c r="AF68" s="214">
        <v>4.2380579999999997</v>
      </c>
      <c r="AG68" s="210">
        <v>3.0908000000000001E-2</v>
      </c>
    </row>
    <row r="69" spans="1:33" ht="15" customHeight="1" x14ac:dyDescent="0.25">
      <c r="A69" s="213" t="s">
        <v>200</v>
      </c>
      <c r="B69" s="212" t="s">
        <v>191</v>
      </c>
      <c r="C69" s="214">
        <v>2.2292390000000002</v>
      </c>
      <c r="D69" s="214">
        <v>2.1764559999999999</v>
      </c>
      <c r="E69" s="214">
        <v>2.2322959999999998</v>
      </c>
      <c r="F69" s="214">
        <v>2.309288</v>
      </c>
      <c r="G69" s="214">
        <v>2.3304589999999998</v>
      </c>
      <c r="H69" s="214">
        <v>2.3859539999999999</v>
      </c>
      <c r="I69" s="214">
        <v>2.4552489999999998</v>
      </c>
      <c r="J69" s="214">
        <v>2.5327730000000002</v>
      </c>
      <c r="K69" s="214">
        <v>2.6343390000000002</v>
      </c>
      <c r="L69" s="214">
        <v>2.7228870000000001</v>
      </c>
      <c r="M69" s="214">
        <v>2.808344</v>
      </c>
      <c r="N69" s="214">
        <v>2.8933599999999999</v>
      </c>
      <c r="O69" s="214">
        <v>2.9787469999999998</v>
      </c>
      <c r="P69" s="214">
        <v>3.0838079999999999</v>
      </c>
      <c r="Q69" s="214">
        <v>3.166544</v>
      </c>
      <c r="R69" s="214">
        <v>3.264783</v>
      </c>
      <c r="S69" s="214">
        <v>3.3812139999999999</v>
      </c>
      <c r="T69" s="214">
        <v>3.4918209999999998</v>
      </c>
      <c r="U69" s="214">
        <v>3.609737</v>
      </c>
      <c r="V69" s="214">
        <v>3.7392340000000002</v>
      </c>
      <c r="W69" s="214">
        <v>3.8750209999999998</v>
      </c>
      <c r="X69" s="214">
        <v>3.9838300000000002</v>
      </c>
      <c r="Y69" s="214">
        <v>4.1212350000000004</v>
      </c>
      <c r="Z69" s="214">
        <v>4.2542540000000004</v>
      </c>
      <c r="AA69" s="214">
        <v>4.3973310000000003</v>
      </c>
      <c r="AB69" s="214">
        <v>4.5473439999999998</v>
      </c>
      <c r="AC69" s="214">
        <v>4.6887990000000004</v>
      </c>
      <c r="AD69" s="214">
        <v>4.8167200000000001</v>
      </c>
      <c r="AE69" s="214">
        <v>4.9689589999999999</v>
      </c>
      <c r="AF69" s="214">
        <v>5.1222940000000001</v>
      </c>
      <c r="AG69" s="210">
        <v>2.9103E-2</v>
      </c>
    </row>
    <row r="70" spans="1:33" ht="15" customHeight="1" x14ac:dyDescent="0.25">
      <c r="A70" s="213" t="s">
        <v>201</v>
      </c>
      <c r="B70" s="212" t="s">
        <v>193</v>
      </c>
      <c r="C70" s="211">
        <v>11.09206</v>
      </c>
      <c r="D70" s="211">
        <v>11.328503</v>
      </c>
      <c r="E70" s="211">
        <v>11.379478000000001</v>
      </c>
      <c r="F70" s="211">
        <v>11.48821</v>
      </c>
      <c r="G70" s="211">
        <v>11.778304</v>
      </c>
      <c r="H70" s="211">
        <v>12.210476999999999</v>
      </c>
      <c r="I70" s="211">
        <v>12.649781000000001</v>
      </c>
      <c r="J70" s="211">
        <v>13.118728000000001</v>
      </c>
      <c r="K70" s="211">
        <v>13.614407999999999</v>
      </c>
      <c r="L70" s="211">
        <v>14.069665000000001</v>
      </c>
      <c r="M70" s="211">
        <v>14.579432000000001</v>
      </c>
      <c r="N70" s="211">
        <v>15.094956</v>
      </c>
      <c r="O70" s="211">
        <v>15.650263000000001</v>
      </c>
      <c r="P70" s="211">
        <v>16.202342999999999</v>
      </c>
      <c r="Q70" s="211">
        <v>16.600866</v>
      </c>
      <c r="R70" s="211">
        <v>17.051628000000001</v>
      </c>
      <c r="S70" s="211">
        <v>17.565736999999999</v>
      </c>
      <c r="T70" s="211">
        <v>18.092175000000001</v>
      </c>
      <c r="U70" s="211">
        <v>18.631014</v>
      </c>
      <c r="V70" s="211">
        <v>19.302019000000001</v>
      </c>
      <c r="W70" s="211">
        <v>19.906824</v>
      </c>
      <c r="X70" s="211">
        <v>20.591771999999999</v>
      </c>
      <c r="Y70" s="211">
        <v>21.176786</v>
      </c>
      <c r="Z70" s="211">
        <v>21.803642</v>
      </c>
      <c r="AA70" s="211">
        <v>22.532022000000001</v>
      </c>
      <c r="AB70" s="211">
        <v>23.113976999999998</v>
      </c>
      <c r="AC70" s="211">
        <v>23.846741000000002</v>
      </c>
      <c r="AD70" s="211">
        <v>24.555572999999999</v>
      </c>
      <c r="AE70" s="211">
        <v>25.280301999999999</v>
      </c>
      <c r="AF70" s="211">
        <v>25.906462000000001</v>
      </c>
      <c r="AG70" s="210">
        <v>2.9682E-2</v>
      </c>
    </row>
    <row r="71" spans="1:33" ht="15" customHeight="1" thickBot="1" x14ac:dyDescent="0.25"/>
    <row r="72" spans="1:33" ht="15" customHeight="1" x14ac:dyDescent="0.2">
      <c r="B72" s="209" t="s">
        <v>632</v>
      </c>
    </row>
    <row r="73" spans="1:33" ht="12" x14ac:dyDescent="0.2">
      <c r="B73" s="208" t="s">
        <v>631</v>
      </c>
    </row>
    <row r="74" spans="1:33" ht="15" customHeight="1" x14ac:dyDescent="0.2">
      <c r="B74" s="208" t="s">
        <v>202</v>
      </c>
    </row>
    <row r="75" spans="1:33" ht="15" customHeight="1" x14ac:dyDescent="0.2">
      <c r="B75" s="208" t="s">
        <v>630</v>
      </c>
    </row>
    <row r="76" spans="1:33" ht="15" customHeight="1" x14ac:dyDescent="0.2">
      <c r="B76" s="208" t="s">
        <v>203</v>
      </c>
    </row>
    <row r="77" spans="1:33" ht="15" customHeight="1" x14ac:dyDescent="0.2">
      <c r="B77" s="208" t="s">
        <v>629</v>
      </c>
    </row>
    <row r="78" spans="1:33" ht="15" customHeight="1" x14ac:dyDescent="0.2">
      <c r="B78" s="208" t="s">
        <v>628</v>
      </c>
    </row>
    <row r="79" spans="1:33" ht="12" x14ac:dyDescent="0.2">
      <c r="B79" s="208" t="s">
        <v>205</v>
      </c>
    </row>
    <row r="80" spans="1:33" ht="15" customHeight="1" x14ac:dyDescent="0.2">
      <c r="B80" s="208" t="s">
        <v>627</v>
      </c>
    </row>
    <row r="81" spans="2:2" ht="12" x14ac:dyDescent="0.2">
      <c r="B81" s="208" t="s">
        <v>626</v>
      </c>
    </row>
    <row r="82" spans="2:2" ht="15" customHeight="1" x14ac:dyDescent="0.2">
      <c r="B82" s="208" t="s">
        <v>625</v>
      </c>
    </row>
    <row r="83" spans="2:2" ht="15" customHeight="1" x14ac:dyDescent="0.2">
      <c r="B83" s="208" t="s">
        <v>624</v>
      </c>
    </row>
    <row r="84" spans="2:2" ht="15" customHeight="1" x14ac:dyDescent="0.2">
      <c r="B84" s="208" t="s">
        <v>623</v>
      </c>
    </row>
    <row r="85" spans="2:2" ht="15" customHeight="1" x14ac:dyDescent="0.2">
      <c r="B85" s="208" t="s">
        <v>622</v>
      </c>
    </row>
    <row r="86" spans="2:2" ht="15" customHeight="1" x14ac:dyDescent="0.2">
      <c r="B86" s="208" t="s">
        <v>206</v>
      </c>
    </row>
    <row r="87" spans="2:2" ht="15" customHeight="1" x14ac:dyDescent="0.2">
      <c r="B87" s="208" t="s">
        <v>207</v>
      </c>
    </row>
    <row r="88" spans="2:2" ht="15" customHeight="1" x14ac:dyDescent="0.2">
      <c r="B88" s="208" t="s">
        <v>621</v>
      </c>
    </row>
    <row r="89" spans="2:2" ht="15" customHeight="1" x14ac:dyDescent="0.2">
      <c r="B89" s="208" t="s">
        <v>620</v>
      </c>
    </row>
    <row r="90" spans="2:2" ht="15" customHeight="1" x14ac:dyDescent="0.2">
      <c r="B90" s="208" t="s">
        <v>208</v>
      </c>
    </row>
    <row r="91" spans="2:2" ht="15" customHeight="1" x14ac:dyDescent="0.2">
      <c r="B91" s="208" t="s">
        <v>619</v>
      </c>
    </row>
    <row r="92" spans="2:2" ht="12" x14ac:dyDescent="0.2">
      <c r="B92" s="208" t="s">
        <v>618</v>
      </c>
    </row>
    <row r="93" spans="2:2" ht="15" customHeight="1" x14ac:dyDescent="0.2">
      <c r="B93" s="208" t="s">
        <v>209</v>
      </c>
    </row>
    <row r="94" spans="2:2" ht="15" customHeight="1" x14ac:dyDescent="0.2">
      <c r="B94" s="208" t="s">
        <v>617</v>
      </c>
    </row>
    <row r="95" spans="2:2" ht="15" customHeight="1" x14ac:dyDescent="0.2">
      <c r="B95" s="208" t="s">
        <v>616</v>
      </c>
    </row>
    <row r="96" spans="2:2" ht="15" customHeight="1" x14ac:dyDescent="0.2">
      <c r="B96" s="208" t="s">
        <v>615</v>
      </c>
    </row>
    <row r="97" spans="2:33" ht="15" customHeight="1" x14ac:dyDescent="0.2">
      <c r="B97" s="208" t="s">
        <v>601</v>
      </c>
    </row>
    <row r="98" spans="2:33" ht="15" customHeight="1" x14ac:dyDescent="0.2">
      <c r="B98" s="208" t="s">
        <v>614</v>
      </c>
    </row>
    <row r="99" spans="2:33" ht="15" customHeight="1" x14ac:dyDescent="0.2">
      <c r="B99" s="208" t="s">
        <v>613</v>
      </c>
    </row>
    <row r="100" spans="2:33" ht="15" customHeight="1" x14ac:dyDescent="0.2">
      <c r="B100" s="208" t="s">
        <v>612</v>
      </c>
    </row>
    <row r="101" spans="2:33" ht="12" x14ac:dyDescent="0.2"/>
    <row r="102" spans="2:33" ht="12" x14ac:dyDescent="0.2"/>
    <row r="112" spans="2:33" ht="15" customHeight="1" x14ac:dyDescent="0.2">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c r="AD112" s="306"/>
      <c r="AE112" s="306"/>
      <c r="AF112" s="306"/>
      <c r="AG112" s="306"/>
    </row>
    <row r="308" spans="2:33" ht="15" customHeight="1" x14ac:dyDescent="0.2">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c r="AD308" s="306"/>
      <c r="AE308" s="306"/>
      <c r="AF308" s="306"/>
      <c r="AG308" s="306"/>
    </row>
    <row r="511" spans="2:33" ht="15" customHeight="1" x14ac:dyDescent="0.2">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c r="AD511" s="306"/>
      <c r="AE511" s="306"/>
      <c r="AF511" s="306"/>
      <c r="AG511" s="306"/>
    </row>
    <row r="712" spans="2:33" ht="15" customHeight="1" x14ac:dyDescent="0.2">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c r="AD712" s="306"/>
      <c r="AE712" s="306"/>
      <c r="AF712" s="306"/>
      <c r="AG712" s="306"/>
    </row>
    <row r="887" spans="2:33" ht="15" customHeight="1" x14ac:dyDescent="0.2">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c r="AD887" s="306"/>
      <c r="AE887" s="306"/>
      <c r="AF887" s="306"/>
      <c r="AG887" s="306"/>
    </row>
    <row r="1100" spans="2:33" ht="15" customHeight="1" x14ac:dyDescent="0.2">
      <c r="B1100" s="306"/>
      <c r="C1100" s="306"/>
      <c r="D1100" s="306"/>
      <c r="E1100" s="306"/>
      <c r="F1100" s="306"/>
      <c r="G1100" s="306"/>
      <c r="H1100" s="306"/>
      <c r="I1100" s="306"/>
      <c r="J1100" s="306"/>
      <c r="K1100" s="306"/>
      <c r="L1100" s="306"/>
      <c r="M1100" s="306"/>
      <c r="N1100" s="306"/>
      <c r="O1100" s="306"/>
      <c r="P1100" s="306"/>
      <c r="Q1100" s="306"/>
      <c r="R1100" s="306"/>
      <c r="S1100" s="306"/>
      <c r="T1100" s="306"/>
      <c r="U1100" s="306"/>
      <c r="V1100" s="306"/>
      <c r="W1100" s="306"/>
      <c r="X1100" s="306"/>
      <c r="Y1100" s="306"/>
      <c r="Z1100" s="306"/>
      <c r="AA1100" s="306"/>
      <c r="AB1100" s="306"/>
      <c r="AC1100" s="306"/>
      <c r="AD1100" s="306"/>
      <c r="AE1100" s="306"/>
      <c r="AF1100" s="306"/>
      <c r="AG1100" s="306"/>
    </row>
    <row r="1227" spans="2:33" ht="15" customHeight="1" x14ac:dyDescent="0.2">
      <c r="B1227" s="306"/>
      <c r="C1227" s="306"/>
      <c r="D1227" s="306"/>
      <c r="E1227" s="306"/>
      <c r="F1227" s="306"/>
      <c r="G1227" s="306"/>
      <c r="H1227" s="306"/>
      <c r="I1227" s="306"/>
      <c r="J1227" s="306"/>
      <c r="K1227" s="306"/>
      <c r="L1227" s="306"/>
      <c r="M1227" s="306"/>
      <c r="N1227" s="306"/>
      <c r="O1227" s="306"/>
      <c r="P1227" s="306"/>
      <c r="Q1227" s="306"/>
      <c r="R1227" s="306"/>
      <c r="S1227" s="306"/>
      <c r="T1227" s="306"/>
      <c r="U1227" s="306"/>
      <c r="V1227" s="306"/>
      <c r="W1227" s="306"/>
      <c r="X1227" s="306"/>
      <c r="Y1227" s="306"/>
      <c r="Z1227" s="306"/>
      <c r="AA1227" s="306"/>
      <c r="AB1227" s="306"/>
      <c r="AC1227" s="306"/>
      <c r="AD1227" s="306"/>
      <c r="AE1227" s="306"/>
      <c r="AF1227" s="306"/>
      <c r="AG1227" s="306"/>
    </row>
    <row r="1390" spans="2:33" ht="15" customHeight="1" x14ac:dyDescent="0.2">
      <c r="B1390" s="306"/>
      <c r="C1390" s="306"/>
      <c r="D1390" s="306"/>
      <c r="E1390" s="306"/>
      <c r="F1390" s="306"/>
      <c r="G1390" s="306"/>
      <c r="H1390" s="306"/>
      <c r="I1390" s="306"/>
      <c r="J1390" s="306"/>
      <c r="K1390" s="306"/>
      <c r="L1390" s="306"/>
      <c r="M1390" s="306"/>
      <c r="N1390" s="306"/>
      <c r="O1390" s="306"/>
      <c r="P1390" s="306"/>
      <c r="Q1390" s="306"/>
      <c r="R1390" s="306"/>
      <c r="S1390" s="306"/>
      <c r="T1390" s="306"/>
      <c r="U1390" s="306"/>
      <c r="V1390" s="306"/>
      <c r="W1390" s="306"/>
      <c r="X1390" s="306"/>
      <c r="Y1390" s="306"/>
      <c r="Z1390" s="306"/>
      <c r="AA1390" s="306"/>
      <c r="AB1390" s="306"/>
      <c r="AC1390" s="306"/>
      <c r="AD1390" s="306"/>
      <c r="AE1390" s="306"/>
      <c r="AF1390" s="306"/>
      <c r="AG1390" s="306"/>
    </row>
    <row r="1502" spans="2:33" ht="15" customHeight="1" x14ac:dyDescent="0.2">
      <c r="B1502" s="306"/>
      <c r="C1502" s="306"/>
      <c r="D1502" s="306"/>
      <c r="E1502" s="306"/>
      <c r="F1502" s="306"/>
      <c r="G1502" s="306"/>
      <c r="H1502" s="306"/>
      <c r="I1502" s="306"/>
      <c r="J1502" s="306"/>
      <c r="K1502" s="306"/>
      <c r="L1502" s="306"/>
      <c r="M1502" s="306"/>
      <c r="N1502" s="306"/>
      <c r="O1502" s="306"/>
      <c r="P1502" s="306"/>
      <c r="Q1502" s="306"/>
      <c r="R1502" s="306"/>
      <c r="S1502" s="306"/>
      <c r="T1502" s="306"/>
      <c r="U1502" s="306"/>
      <c r="V1502" s="306"/>
      <c r="W1502" s="306"/>
      <c r="X1502" s="306"/>
      <c r="Y1502" s="306"/>
      <c r="Z1502" s="306"/>
      <c r="AA1502" s="306"/>
      <c r="AB1502" s="306"/>
      <c r="AC1502" s="306"/>
      <c r="AD1502" s="306"/>
      <c r="AE1502" s="306"/>
      <c r="AF1502" s="306"/>
      <c r="AG1502" s="306"/>
    </row>
    <row r="1604" spans="2:33" ht="15" customHeight="1" x14ac:dyDescent="0.2">
      <c r="B1604" s="306"/>
      <c r="C1604" s="306"/>
      <c r="D1604" s="306"/>
      <c r="E1604" s="306"/>
      <c r="F1604" s="306"/>
      <c r="G1604" s="306"/>
      <c r="H1604" s="306"/>
      <c r="I1604" s="306"/>
      <c r="J1604" s="306"/>
      <c r="K1604" s="306"/>
      <c r="L1604" s="306"/>
      <c r="M1604" s="306"/>
      <c r="N1604" s="306"/>
      <c r="O1604" s="306"/>
      <c r="P1604" s="306"/>
      <c r="Q1604" s="306"/>
      <c r="R1604" s="306"/>
      <c r="S1604" s="306"/>
      <c r="T1604" s="306"/>
      <c r="U1604" s="306"/>
      <c r="V1604" s="306"/>
      <c r="W1604" s="306"/>
      <c r="X1604" s="306"/>
      <c r="Y1604" s="306"/>
      <c r="Z1604" s="306"/>
      <c r="AA1604" s="306"/>
      <c r="AB1604" s="306"/>
      <c r="AC1604" s="306"/>
      <c r="AD1604" s="306"/>
      <c r="AE1604" s="306"/>
      <c r="AF1604" s="306"/>
      <c r="AG1604" s="306"/>
    </row>
    <row r="1698" spans="2:33" ht="15" customHeight="1" x14ac:dyDescent="0.2">
      <c r="B1698" s="306"/>
      <c r="C1698" s="306"/>
      <c r="D1698" s="306"/>
      <c r="E1698" s="306"/>
      <c r="F1698" s="306"/>
      <c r="G1698" s="306"/>
      <c r="H1698" s="306"/>
      <c r="I1698" s="306"/>
      <c r="J1698" s="306"/>
      <c r="K1698" s="306"/>
      <c r="L1698" s="306"/>
      <c r="M1698" s="306"/>
      <c r="N1698" s="306"/>
      <c r="O1698" s="306"/>
      <c r="P1698" s="306"/>
      <c r="Q1698" s="306"/>
      <c r="R1698" s="306"/>
      <c r="S1698" s="306"/>
      <c r="T1698" s="306"/>
      <c r="U1698" s="306"/>
      <c r="V1698" s="306"/>
      <c r="W1698" s="306"/>
      <c r="X1698" s="306"/>
      <c r="Y1698" s="306"/>
      <c r="Z1698" s="306"/>
      <c r="AA1698" s="306"/>
      <c r="AB1698" s="306"/>
      <c r="AC1698" s="306"/>
      <c r="AD1698" s="306"/>
      <c r="AE1698" s="306"/>
      <c r="AF1698" s="306"/>
      <c r="AG1698" s="306"/>
    </row>
    <row r="1945" spans="2:33" ht="15" customHeight="1" x14ac:dyDescent="0.2">
      <c r="B1945" s="306"/>
      <c r="C1945" s="306"/>
      <c r="D1945" s="306"/>
      <c r="E1945" s="306"/>
      <c r="F1945" s="306"/>
      <c r="G1945" s="306"/>
      <c r="H1945" s="306"/>
      <c r="I1945" s="306"/>
      <c r="J1945" s="306"/>
      <c r="K1945" s="306"/>
      <c r="L1945" s="306"/>
      <c r="M1945" s="306"/>
      <c r="N1945" s="306"/>
      <c r="O1945" s="306"/>
      <c r="P1945" s="306"/>
      <c r="Q1945" s="306"/>
      <c r="R1945" s="306"/>
      <c r="S1945" s="306"/>
      <c r="T1945" s="306"/>
      <c r="U1945" s="306"/>
      <c r="V1945" s="306"/>
      <c r="W1945" s="306"/>
      <c r="X1945" s="306"/>
      <c r="Y1945" s="306"/>
      <c r="Z1945" s="306"/>
      <c r="AA1945" s="306"/>
      <c r="AB1945" s="306"/>
      <c r="AC1945" s="306"/>
      <c r="AD1945" s="306"/>
      <c r="AE1945" s="306"/>
      <c r="AF1945" s="306"/>
      <c r="AG1945" s="306"/>
    </row>
    <row r="2031" spans="2:33" ht="15" customHeight="1" x14ac:dyDescent="0.2">
      <c r="B2031" s="306"/>
      <c r="C2031" s="306"/>
      <c r="D2031" s="306"/>
      <c r="E2031" s="306"/>
      <c r="F2031" s="306"/>
      <c r="G2031" s="306"/>
      <c r="H2031" s="306"/>
      <c r="I2031" s="306"/>
      <c r="J2031" s="306"/>
      <c r="K2031" s="306"/>
      <c r="L2031" s="306"/>
      <c r="M2031" s="306"/>
      <c r="N2031" s="306"/>
      <c r="O2031" s="306"/>
      <c r="P2031" s="306"/>
      <c r="Q2031" s="306"/>
      <c r="R2031" s="306"/>
      <c r="S2031" s="306"/>
      <c r="T2031" s="306"/>
      <c r="U2031" s="306"/>
      <c r="V2031" s="306"/>
      <c r="W2031" s="306"/>
      <c r="X2031" s="306"/>
      <c r="Y2031" s="306"/>
      <c r="Z2031" s="306"/>
      <c r="AA2031" s="306"/>
      <c r="AB2031" s="306"/>
      <c r="AC2031" s="306"/>
      <c r="AD2031" s="306"/>
      <c r="AE2031" s="306"/>
      <c r="AF2031" s="306"/>
      <c r="AG2031" s="306"/>
    </row>
    <row r="2153" spans="2:33" ht="15" customHeight="1" x14ac:dyDescent="0.2">
      <c r="B2153" s="306"/>
      <c r="C2153" s="306"/>
      <c r="D2153" s="306"/>
      <c r="E2153" s="306"/>
      <c r="F2153" s="306"/>
      <c r="G2153" s="306"/>
      <c r="H2153" s="306"/>
      <c r="I2153" s="306"/>
      <c r="J2153" s="306"/>
      <c r="K2153" s="306"/>
      <c r="L2153" s="306"/>
      <c r="M2153" s="306"/>
      <c r="N2153" s="306"/>
      <c r="O2153" s="306"/>
      <c r="P2153" s="306"/>
      <c r="Q2153" s="306"/>
      <c r="R2153" s="306"/>
      <c r="S2153" s="306"/>
      <c r="T2153" s="306"/>
      <c r="U2153" s="306"/>
      <c r="V2153" s="306"/>
      <c r="W2153" s="306"/>
      <c r="X2153" s="306"/>
      <c r="Y2153" s="306"/>
      <c r="Z2153" s="306"/>
      <c r="AA2153" s="306"/>
      <c r="AB2153" s="306"/>
      <c r="AC2153" s="306"/>
      <c r="AD2153" s="306"/>
      <c r="AE2153" s="306"/>
      <c r="AF2153" s="306"/>
      <c r="AG2153" s="306"/>
    </row>
    <row r="2317" spans="2:33" ht="15" customHeight="1" x14ac:dyDescent="0.2">
      <c r="B2317" s="306"/>
      <c r="C2317" s="306"/>
      <c r="D2317" s="306"/>
      <c r="E2317" s="306"/>
      <c r="F2317" s="306"/>
      <c r="G2317" s="306"/>
      <c r="H2317" s="306"/>
      <c r="I2317" s="306"/>
      <c r="J2317" s="306"/>
      <c r="K2317" s="306"/>
      <c r="L2317" s="306"/>
      <c r="M2317" s="306"/>
      <c r="N2317" s="306"/>
      <c r="O2317" s="306"/>
      <c r="P2317" s="306"/>
      <c r="Q2317" s="306"/>
      <c r="R2317" s="306"/>
      <c r="S2317" s="306"/>
      <c r="T2317" s="306"/>
      <c r="U2317" s="306"/>
      <c r="V2317" s="306"/>
      <c r="W2317" s="306"/>
      <c r="X2317" s="306"/>
      <c r="Y2317" s="306"/>
      <c r="Z2317" s="306"/>
      <c r="AA2317" s="306"/>
      <c r="AB2317" s="306"/>
      <c r="AC2317" s="306"/>
      <c r="AD2317" s="306"/>
      <c r="AE2317" s="306"/>
      <c r="AF2317" s="306"/>
      <c r="AG2317" s="306"/>
    </row>
    <row r="2419" spans="2:33" ht="15" customHeight="1" x14ac:dyDescent="0.2">
      <c r="B2419" s="306"/>
      <c r="C2419" s="306"/>
      <c r="D2419" s="306"/>
      <c r="E2419" s="306"/>
      <c r="F2419" s="306"/>
      <c r="G2419" s="306"/>
      <c r="H2419" s="306"/>
      <c r="I2419" s="306"/>
      <c r="J2419" s="306"/>
      <c r="K2419" s="306"/>
      <c r="L2419" s="306"/>
      <c r="M2419" s="306"/>
      <c r="N2419" s="306"/>
      <c r="O2419" s="306"/>
      <c r="P2419" s="306"/>
      <c r="Q2419" s="306"/>
      <c r="R2419" s="306"/>
      <c r="S2419" s="306"/>
      <c r="T2419" s="306"/>
      <c r="U2419" s="306"/>
      <c r="V2419" s="306"/>
      <c r="W2419" s="306"/>
      <c r="X2419" s="306"/>
      <c r="Y2419" s="306"/>
      <c r="Z2419" s="306"/>
      <c r="AA2419" s="306"/>
      <c r="AB2419" s="306"/>
      <c r="AC2419" s="306"/>
      <c r="AD2419" s="306"/>
      <c r="AE2419" s="306"/>
      <c r="AF2419" s="306"/>
      <c r="AG2419" s="306"/>
    </row>
    <row r="2509" spans="2:33" ht="15" customHeight="1" x14ac:dyDescent="0.2">
      <c r="B2509" s="306"/>
      <c r="C2509" s="306"/>
      <c r="D2509" s="306"/>
      <c r="E2509" s="306"/>
      <c r="F2509" s="306"/>
      <c r="G2509" s="306"/>
      <c r="H2509" s="306"/>
      <c r="I2509" s="306"/>
      <c r="J2509" s="306"/>
      <c r="K2509" s="306"/>
      <c r="L2509" s="306"/>
      <c r="M2509" s="306"/>
      <c r="N2509" s="306"/>
      <c r="O2509" s="306"/>
      <c r="P2509" s="306"/>
      <c r="Q2509" s="306"/>
      <c r="R2509" s="306"/>
      <c r="S2509" s="306"/>
      <c r="T2509" s="306"/>
      <c r="U2509" s="306"/>
      <c r="V2509" s="306"/>
      <c r="W2509" s="306"/>
      <c r="X2509" s="306"/>
      <c r="Y2509" s="306"/>
      <c r="Z2509" s="306"/>
      <c r="AA2509" s="306"/>
      <c r="AB2509" s="306"/>
      <c r="AC2509" s="306"/>
      <c r="AD2509" s="306"/>
      <c r="AE2509" s="306"/>
      <c r="AF2509" s="306"/>
      <c r="AG2509" s="306"/>
    </row>
    <row r="2598" spans="2:33" ht="15" customHeight="1" x14ac:dyDescent="0.2">
      <c r="B2598" s="306"/>
      <c r="C2598" s="306"/>
      <c r="D2598" s="306"/>
      <c r="E2598" s="306"/>
      <c r="F2598" s="306"/>
      <c r="G2598" s="306"/>
      <c r="H2598" s="306"/>
      <c r="I2598" s="306"/>
      <c r="J2598" s="306"/>
      <c r="K2598" s="306"/>
      <c r="L2598" s="306"/>
      <c r="M2598" s="306"/>
      <c r="N2598" s="306"/>
      <c r="O2598" s="306"/>
      <c r="P2598" s="306"/>
      <c r="Q2598" s="306"/>
      <c r="R2598" s="306"/>
      <c r="S2598" s="306"/>
      <c r="T2598" s="306"/>
      <c r="U2598" s="306"/>
      <c r="V2598" s="306"/>
      <c r="W2598" s="306"/>
      <c r="X2598" s="306"/>
      <c r="Y2598" s="306"/>
      <c r="Z2598" s="306"/>
      <c r="AA2598" s="306"/>
      <c r="AB2598" s="306"/>
      <c r="AC2598" s="306"/>
      <c r="AD2598" s="306"/>
      <c r="AE2598" s="306"/>
      <c r="AF2598" s="306"/>
      <c r="AG2598" s="306"/>
    </row>
    <row r="2719" spans="2:33" ht="15" customHeight="1" x14ac:dyDescent="0.2">
      <c r="B2719" s="306"/>
      <c r="C2719" s="306"/>
      <c r="D2719" s="306"/>
      <c r="E2719" s="306"/>
      <c r="F2719" s="306"/>
      <c r="G2719" s="306"/>
      <c r="H2719" s="306"/>
      <c r="I2719" s="306"/>
      <c r="J2719" s="306"/>
      <c r="K2719" s="306"/>
      <c r="L2719" s="306"/>
      <c r="M2719" s="306"/>
      <c r="N2719" s="306"/>
      <c r="O2719" s="306"/>
      <c r="P2719" s="306"/>
      <c r="Q2719" s="306"/>
      <c r="R2719" s="306"/>
      <c r="S2719" s="306"/>
      <c r="T2719" s="306"/>
      <c r="U2719" s="306"/>
      <c r="V2719" s="306"/>
      <c r="W2719" s="306"/>
      <c r="X2719" s="306"/>
      <c r="Y2719" s="306"/>
      <c r="Z2719" s="306"/>
      <c r="AA2719" s="306"/>
      <c r="AB2719" s="306"/>
      <c r="AC2719" s="306"/>
      <c r="AD2719" s="306"/>
      <c r="AE2719" s="306"/>
      <c r="AF2719" s="306"/>
      <c r="AG2719" s="306"/>
    </row>
    <row r="2837" spans="2:33" ht="15" customHeight="1" x14ac:dyDescent="0.2">
      <c r="B2837" s="306"/>
      <c r="C2837" s="306"/>
      <c r="D2837" s="306"/>
      <c r="E2837" s="306"/>
      <c r="F2837" s="306"/>
      <c r="G2837" s="306"/>
      <c r="H2837" s="306"/>
      <c r="I2837" s="306"/>
      <c r="J2837" s="306"/>
      <c r="K2837" s="306"/>
      <c r="L2837" s="306"/>
      <c r="M2837" s="306"/>
      <c r="N2837" s="306"/>
      <c r="O2837" s="306"/>
      <c r="P2837" s="306"/>
      <c r="Q2837" s="306"/>
      <c r="R2837" s="306"/>
      <c r="S2837" s="306"/>
      <c r="T2837" s="306"/>
      <c r="U2837" s="306"/>
      <c r="V2837" s="306"/>
      <c r="W2837" s="306"/>
      <c r="X2837" s="306"/>
      <c r="Y2837" s="306"/>
      <c r="Z2837" s="306"/>
      <c r="AA2837" s="306"/>
      <c r="AB2837" s="306"/>
      <c r="AC2837" s="306"/>
      <c r="AD2837" s="306"/>
      <c r="AE2837" s="306"/>
      <c r="AF2837" s="306"/>
      <c r="AG2837" s="306"/>
    </row>
  </sheetData>
  <mergeCells count="20">
    <mergeCell ref="B1698:AG1698"/>
    <mergeCell ref="B1945:AG1945"/>
    <mergeCell ref="B2031:AG2031"/>
    <mergeCell ref="B2153:AG2153"/>
    <mergeCell ref="B2837:AG2837"/>
    <mergeCell ref="B2317:AG2317"/>
    <mergeCell ref="B2419:AG2419"/>
    <mergeCell ref="B2509:AG2509"/>
    <mergeCell ref="B2598:AG2598"/>
    <mergeCell ref="B2719:AG2719"/>
    <mergeCell ref="B1100:AG1100"/>
    <mergeCell ref="B1227:AG1227"/>
    <mergeCell ref="B1390:AG1390"/>
    <mergeCell ref="B1502:AG1502"/>
    <mergeCell ref="B1604:AG1604"/>
    <mergeCell ref="B112:AG112"/>
    <mergeCell ref="B308:AG308"/>
    <mergeCell ref="B511:AG511"/>
    <mergeCell ref="B712:AG712"/>
    <mergeCell ref="B887:AG887"/>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EE866-B8AA-442D-B9F0-E90DBCC325DB}">
  <dimension ref="A1:AH2837"/>
  <sheetViews>
    <sheetView workbookViewId="0">
      <pane xSplit="2" ySplit="1" topLeftCell="C2" activePane="bottomRight" state="frozen"/>
      <selection pane="topRight" activeCell="C1" sqref="C1"/>
      <selection pane="bottomLeft" activeCell="A2" sqref="A2"/>
      <selection pane="bottomRight" activeCell="O35" sqref="O35"/>
    </sheetView>
  </sheetViews>
  <sheetFormatPr defaultColWidth="8.7109375" defaultRowHeight="15" customHeight="1" x14ac:dyDescent="0.2"/>
  <cols>
    <col min="1" max="1" width="21.42578125" style="207" hidden="1" customWidth="1"/>
    <col min="2" max="2" width="46.7109375" style="207" customWidth="1"/>
    <col min="3" max="16384" width="8.7109375" style="207"/>
  </cols>
  <sheetData>
    <row r="1" spans="1:33" ht="15" customHeight="1" thickBot="1" x14ac:dyDescent="0.25">
      <c r="B1" s="223" t="s">
        <v>830</v>
      </c>
      <c r="C1" s="220">
        <v>2022</v>
      </c>
      <c r="D1" s="220">
        <v>2023</v>
      </c>
      <c r="E1" s="220">
        <v>2024</v>
      </c>
      <c r="F1" s="220">
        <v>2025</v>
      </c>
      <c r="G1" s="220">
        <v>2026</v>
      </c>
      <c r="H1" s="220">
        <v>2027</v>
      </c>
      <c r="I1" s="220">
        <v>2028</v>
      </c>
      <c r="J1" s="220">
        <v>2029</v>
      </c>
      <c r="K1" s="220">
        <v>2030</v>
      </c>
      <c r="L1" s="220">
        <v>2031</v>
      </c>
      <c r="M1" s="220">
        <v>2032</v>
      </c>
      <c r="N1" s="220">
        <v>2033</v>
      </c>
      <c r="O1" s="220">
        <v>2034</v>
      </c>
      <c r="P1" s="220">
        <v>2035</v>
      </c>
      <c r="Q1" s="220">
        <v>2036</v>
      </c>
      <c r="R1" s="220">
        <v>2037</v>
      </c>
      <c r="S1" s="220">
        <v>2038</v>
      </c>
      <c r="T1" s="220">
        <v>2039</v>
      </c>
      <c r="U1" s="220">
        <v>2040</v>
      </c>
      <c r="V1" s="220">
        <v>2041</v>
      </c>
      <c r="W1" s="220">
        <v>2042</v>
      </c>
      <c r="X1" s="220">
        <v>2043</v>
      </c>
      <c r="Y1" s="220">
        <v>2044</v>
      </c>
      <c r="Z1" s="220">
        <v>2045</v>
      </c>
      <c r="AA1" s="220">
        <v>2046</v>
      </c>
      <c r="AB1" s="220">
        <v>2047</v>
      </c>
      <c r="AC1" s="220">
        <v>2048</v>
      </c>
      <c r="AD1" s="220">
        <v>2049</v>
      </c>
      <c r="AE1" s="220">
        <v>2050</v>
      </c>
    </row>
    <row r="2" spans="1:33" ht="15" customHeight="1" thickTop="1" x14ac:dyDescent="0.2"/>
    <row r="3" spans="1:33" ht="15" customHeight="1" x14ac:dyDescent="0.2">
      <c r="C3" s="275" t="s">
        <v>117</v>
      </c>
      <c r="D3" s="275" t="s">
        <v>831</v>
      </c>
      <c r="E3" s="225"/>
      <c r="F3" s="225"/>
      <c r="G3" s="225"/>
    </row>
    <row r="4" spans="1:33" ht="15" customHeight="1" x14ac:dyDescent="0.2">
      <c r="C4" s="275" t="s">
        <v>118</v>
      </c>
      <c r="D4" s="275" t="s">
        <v>832</v>
      </c>
      <c r="E4" s="225"/>
      <c r="F4" s="225"/>
      <c r="G4" s="275" t="s">
        <v>642</v>
      </c>
    </row>
    <row r="5" spans="1:33" ht="15" customHeight="1" x14ac:dyDescent="0.2">
      <c r="C5" s="275" t="s">
        <v>119</v>
      </c>
      <c r="D5" s="275" t="s">
        <v>833</v>
      </c>
      <c r="E5" s="225"/>
      <c r="F5" s="225"/>
      <c r="G5" s="225"/>
    </row>
    <row r="6" spans="1:33" ht="15" customHeight="1" x14ac:dyDescent="0.2">
      <c r="C6" s="275" t="s">
        <v>120</v>
      </c>
      <c r="D6" s="225"/>
      <c r="E6" s="275" t="s">
        <v>834</v>
      </c>
      <c r="F6" s="225"/>
      <c r="G6" s="225"/>
    </row>
    <row r="7" spans="1:33" ht="12" x14ac:dyDescent="0.2"/>
    <row r="8" spans="1:33" ht="12" x14ac:dyDescent="0.2"/>
    <row r="9" spans="1:33" ht="12" x14ac:dyDescent="0.2">
      <c r="B9" s="208"/>
      <c r="C9" s="208"/>
      <c r="D9" s="208"/>
      <c r="E9" s="208"/>
      <c r="F9" s="208"/>
      <c r="G9" s="208"/>
      <c r="H9" s="208"/>
      <c r="I9" s="208"/>
      <c r="J9" s="208"/>
      <c r="K9" s="208"/>
      <c r="L9" s="208"/>
      <c r="M9" s="208"/>
      <c r="N9" s="208"/>
      <c r="O9" s="208"/>
      <c r="P9" s="208"/>
      <c r="Q9" s="208"/>
      <c r="R9" s="208"/>
      <c r="S9" s="208"/>
      <c r="T9" s="208"/>
      <c r="U9" s="208"/>
      <c r="V9" s="208"/>
      <c r="W9" s="208"/>
      <c r="X9" s="208"/>
      <c r="Y9" s="208"/>
      <c r="Z9" s="208"/>
      <c r="AA9" s="208"/>
      <c r="AB9" s="208"/>
      <c r="AC9" s="208"/>
      <c r="AD9" s="208"/>
      <c r="AE9" s="208"/>
      <c r="AF9" s="208"/>
      <c r="AG9" s="208"/>
    </row>
    <row r="10" spans="1:33" ht="15" customHeight="1" x14ac:dyDescent="0.25">
      <c r="A10" s="213" t="s">
        <v>121</v>
      </c>
      <c r="B10" s="262" t="s">
        <v>122</v>
      </c>
      <c r="C10" s="208"/>
      <c r="D10" s="208"/>
      <c r="E10" s="208"/>
      <c r="F10" s="208"/>
      <c r="G10" s="208"/>
      <c r="H10" s="208"/>
      <c r="I10" s="208"/>
      <c r="J10" s="208"/>
      <c r="K10" s="208"/>
      <c r="L10" s="208"/>
      <c r="M10" s="208"/>
      <c r="N10" s="208"/>
      <c r="O10" s="208"/>
      <c r="P10" s="208"/>
      <c r="Q10" s="208"/>
      <c r="R10" s="208"/>
      <c r="S10" s="208"/>
      <c r="T10" s="208"/>
      <c r="U10" s="208"/>
      <c r="V10" s="208"/>
      <c r="W10" s="208"/>
      <c r="X10" s="208"/>
      <c r="Y10" s="208"/>
      <c r="Z10" s="208"/>
      <c r="AA10" s="208"/>
      <c r="AB10" s="208"/>
      <c r="AC10" s="208"/>
      <c r="AD10" s="208"/>
      <c r="AE10" s="208"/>
      <c r="AF10" s="221" t="s">
        <v>639</v>
      </c>
      <c r="AG10" s="208"/>
    </row>
    <row r="11" spans="1:33" ht="15" customHeight="1" x14ac:dyDescent="0.2">
      <c r="B11" s="263" t="s">
        <v>123</v>
      </c>
      <c r="C11" s="208"/>
      <c r="D11" s="208"/>
      <c r="E11" s="208"/>
      <c r="F11" s="208"/>
      <c r="G11" s="208"/>
      <c r="H11" s="208"/>
      <c r="I11" s="208"/>
      <c r="J11" s="208"/>
      <c r="K11" s="208"/>
      <c r="L11" s="208"/>
      <c r="M11" s="208"/>
      <c r="N11" s="208"/>
      <c r="O11" s="208"/>
      <c r="P11" s="208"/>
      <c r="Q11" s="208"/>
      <c r="R11" s="208"/>
      <c r="S11" s="208"/>
      <c r="T11" s="208"/>
      <c r="U11" s="208"/>
      <c r="V11" s="208"/>
      <c r="W11" s="208"/>
      <c r="X11" s="208"/>
      <c r="Y11" s="208"/>
      <c r="Z11" s="208"/>
      <c r="AA11" s="208"/>
      <c r="AB11" s="208"/>
      <c r="AC11" s="208"/>
      <c r="AD11" s="208"/>
      <c r="AE11" s="208"/>
      <c r="AF11" s="221" t="s">
        <v>638</v>
      </c>
      <c r="AG11" s="208"/>
    </row>
    <row r="12" spans="1:33" ht="15" customHeight="1" x14ac:dyDescent="0.2">
      <c r="B12" s="263"/>
      <c r="C12" s="264"/>
      <c r="D12" s="264"/>
      <c r="E12" s="264"/>
      <c r="F12" s="264"/>
      <c r="G12" s="264"/>
      <c r="H12" s="264"/>
      <c r="I12" s="264"/>
      <c r="J12" s="264"/>
      <c r="K12" s="264"/>
      <c r="L12" s="264"/>
      <c r="M12" s="264"/>
      <c r="N12" s="264"/>
      <c r="O12" s="264"/>
      <c r="P12" s="264"/>
      <c r="Q12" s="264"/>
      <c r="R12" s="264"/>
      <c r="S12" s="264"/>
      <c r="T12" s="264"/>
      <c r="U12" s="264"/>
      <c r="V12" s="264"/>
      <c r="W12" s="264"/>
      <c r="X12" s="264"/>
      <c r="Y12" s="264"/>
      <c r="Z12" s="264"/>
      <c r="AA12" s="264"/>
      <c r="AB12" s="264"/>
      <c r="AC12" s="264"/>
      <c r="AD12" s="264"/>
      <c r="AE12" s="264"/>
      <c r="AF12" s="221" t="s">
        <v>637</v>
      </c>
      <c r="AG12" s="208"/>
    </row>
    <row r="13" spans="1:33" ht="15" customHeight="1" thickBot="1" x14ac:dyDescent="0.25">
      <c r="B13" s="265" t="s">
        <v>125</v>
      </c>
      <c r="C13" s="265">
        <v>2022</v>
      </c>
      <c r="D13" s="265">
        <v>2023</v>
      </c>
      <c r="E13" s="265">
        <v>2024</v>
      </c>
      <c r="F13" s="265">
        <v>2025</v>
      </c>
      <c r="G13" s="265">
        <v>2026</v>
      </c>
      <c r="H13" s="265">
        <v>2027</v>
      </c>
      <c r="I13" s="265">
        <v>2028</v>
      </c>
      <c r="J13" s="265">
        <v>2029</v>
      </c>
      <c r="K13" s="265">
        <v>2030</v>
      </c>
      <c r="L13" s="265">
        <v>2031</v>
      </c>
      <c r="M13" s="265">
        <v>2032</v>
      </c>
      <c r="N13" s="265">
        <v>2033</v>
      </c>
      <c r="O13" s="265">
        <v>2034</v>
      </c>
      <c r="P13" s="265">
        <v>2035</v>
      </c>
      <c r="Q13" s="265">
        <v>2036</v>
      </c>
      <c r="R13" s="265">
        <v>2037</v>
      </c>
      <c r="S13" s="265">
        <v>2038</v>
      </c>
      <c r="T13" s="265">
        <v>2039</v>
      </c>
      <c r="U13" s="265">
        <v>2040</v>
      </c>
      <c r="V13" s="265">
        <v>2041</v>
      </c>
      <c r="W13" s="265">
        <v>2042</v>
      </c>
      <c r="X13" s="265">
        <v>2043</v>
      </c>
      <c r="Y13" s="265">
        <v>2044</v>
      </c>
      <c r="Z13" s="265">
        <v>2045</v>
      </c>
      <c r="AA13" s="265">
        <v>2046</v>
      </c>
      <c r="AB13" s="265">
        <v>2047</v>
      </c>
      <c r="AC13" s="265">
        <v>2048</v>
      </c>
      <c r="AD13" s="265">
        <v>2049</v>
      </c>
      <c r="AE13" s="265">
        <v>2050</v>
      </c>
      <c r="AF13" s="266" t="s">
        <v>835</v>
      </c>
      <c r="AG13" s="208"/>
    </row>
    <row r="14" spans="1:33" ht="15" customHeight="1" thickTop="1" x14ac:dyDescent="0.2">
      <c r="B14" s="208"/>
      <c r="C14" s="208"/>
      <c r="D14" s="208"/>
      <c r="E14" s="208"/>
      <c r="F14" s="208"/>
      <c r="G14" s="208"/>
      <c r="H14" s="208"/>
      <c r="I14" s="208"/>
      <c r="J14" s="208"/>
      <c r="K14" s="208"/>
      <c r="L14" s="208"/>
      <c r="M14" s="208"/>
      <c r="N14" s="208"/>
      <c r="O14" s="208"/>
      <c r="P14" s="208"/>
      <c r="Q14" s="208"/>
      <c r="R14" s="208"/>
      <c r="S14" s="208"/>
      <c r="T14" s="208"/>
      <c r="U14" s="208"/>
      <c r="V14" s="208"/>
      <c r="W14" s="208"/>
      <c r="X14" s="208"/>
      <c r="Y14" s="208"/>
      <c r="Z14" s="208"/>
      <c r="AA14" s="208"/>
      <c r="AB14" s="208"/>
      <c r="AC14" s="208"/>
      <c r="AD14" s="208"/>
      <c r="AE14" s="208"/>
      <c r="AF14" s="208"/>
      <c r="AG14" s="208"/>
    </row>
    <row r="15" spans="1:33" ht="15" customHeight="1" x14ac:dyDescent="0.2">
      <c r="B15" s="267" t="s">
        <v>126</v>
      </c>
      <c r="C15" s="208"/>
      <c r="D15" s="208"/>
      <c r="E15" s="208"/>
      <c r="F15" s="208"/>
      <c r="G15" s="208"/>
      <c r="H15" s="208"/>
      <c r="I15" s="208"/>
      <c r="J15" s="208"/>
      <c r="K15" s="208"/>
      <c r="L15" s="208"/>
      <c r="M15" s="208"/>
      <c r="N15" s="208"/>
      <c r="O15" s="208"/>
      <c r="P15" s="208"/>
      <c r="Q15" s="208"/>
      <c r="R15" s="208"/>
      <c r="S15" s="208"/>
      <c r="T15" s="208"/>
      <c r="U15" s="208"/>
      <c r="V15" s="208"/>
      <c r="W15" s="208"/>
      <c r="X15" s="208"/>
      <c r="Y15" s="208"/>
      <c r="Z15" s="208"/>
      <c r="AA15" s="208"/>
      <c r="AB15" s="208"/>
      <c r="AC15" s="208"/>
      <c r="AD15" s="208"/>
      <c r="AE15" s="208"/>
      <c r="AF15" s="208"/>
      <c r="AG15" s="208"/>
    </row>
    <row r="16" spans="1:33" ht="15" customHeight="1" x14ac:dyDescent="0.2">
      <c r="A16" s="213" t="s">
        <v>127</v>
      </c>
      <c r="B16" s="268" t="s">
        <v>128</v>
      </c>
      <c r="C16" s="269">
        <v>24.586991999999999</v>
      </c>
      <c r="D16" s="269">
        <v>25.571161</v>
      </c>
      <c r="E16" s="269">
        <v>26.285039999999999</v>
      </c>
      <c r="F16" s="269">
        <v>26.689157000000002</v>
      </c>
      <c r="G16" s="269">
        <v>27.061613000000001</v>
      </c>
      <c r="H16" s="269">
        <v>27.276854</v>
      </c>
      <c r="I16" s="269">
        <v>27.645002000000002</v>
      </c>
      <c r="J16" s="269">
        <v>27.607613000000001</v>
      </c>
      <c r="K16" s="269">
        <v>27.657637000000001</v>
      </c>
      <c r="L16" s="269">
        <v>27.504726000000002</v>
      </c>
      <c r="M16" s="269">
        <v>27.566185000000001</v>
      </c>
      <c r="N16" s="269">
        <v>27.626515999999999</v>
      </c>
      <c r="O16" s="269">
        <v>27.525274</v>
      </c>
      <c r="P16" s="269">
        <v>27.454478999999999</v>
      </c>
      <c r="Q16" s="269">
        <v>27.324805999999999</v>
      </c>
      <c r="R16" s="269">
        <v>27.286284999999999</v>
      </c>
      <c r="S16" s="269">
        <v>27.180133999999999</v>
      </c>
      <c r="T16" s="269">
        <v>27.06955</v>
      </c>
      <c r="U16" s="269">
        <v>26.857201</v>
      </c>
      <c r="V16" s="269">
        <v>26.565493</v>
      </c>
      <c r="W16" s="269">
        <v>26.618496</v>
      </c>
      <c r="X16" s="269">
        <v>26.762219999999999</v>
      </c>
      <c r="Y16" s="269">
        <v>27.042204000000002</v>
      </c>
      <c r="Z16" s="269">
        <v>27.108968999999998</v>
      </c>
      <c r="AA16" s="269">
        <v>27.167717</v>
      </c>
      <c r="AB16" s="269">
        <v>26.948446000000001</v>
      </c>
      <c r="AC16" s="269">
        <v>27.031092000000001</v>
      </c>
      <c r="AD16" s="269">
        <v>27.320032000000001</v>
      </c>
      <c r="AE16" s="269">
        <v>27.390823000000001</v>
      </c>
      <c r="AF16" s="270">
        <v>3.8639999999999998E-3</v>
      </c>
      <c r="AG16" s="208"/>
    </row>
    <row r="17" spans="1:33" ht="15" customHeight="1" x14ac:dyDescent="0.2">
      <c r="A17" s="213" t="s">
        <v>129</v>
      </c>
      <c r="B17" s="268" t="s">
        <v>130</v>
      </c>
      <c r="C17" s="269">
        <v>7.7684930000000003</v>
      </c>
      <c r="D17" s="269">
        <v>8.1696559999999998</v>
      </c>
      <c r="E17" s="269">
        <v>8.3321199999999997</v>
      </c>
      <c r="F17" s="269">
        <v>8.3111510000000006</v>
      </c>
      <c r="G17" s="269">
        <v>8.4723849999999992</v>
      </c>
      <c r="H17" s="269">
        <v>8.3399160000000006</v>
      </c>
      <c r="I17" s="269">
        <v>8.2286289999999997</v>
      </c>
      <c r="J17" s="269">
        <v>8.1261060000000001</v>
      </c>
      <c r="K17" s="269">
        <v>8.0590299999999999</v>
      </c>
      <c r="L17" s="269">
        <v>8.0406610000000001</v>
      </c>
      <c r="M17" s="269">
        <v>8.1131670000000007</v>
      </c>
      <c r="N17" s="269">
        <v>8.1678940000000004</v>
      </c>
      <c r="O17" s="269">
        <v>8.2807069999999996</v>
      </c>
      <c r="P17" s="269">
        <v>8.3397360000000003</v>
      </c>
      <c r="Q17" s="269">
        <v>8.4637619999999991</v>
      </c>
      <c r="R17" s="269">
        <v>8.5171729999999997</v>
      </c>
      <c r="S17" s="269">
        <v>8.5180530000000001</v>
      </c>
      <c r="T17" s="269">
        <v>8.6456610000000005</v>
      </c>
      <c r="U17" s="269">
        <v>8.6326029999999996</v>
      </c>
      <c r="V17" s="269">
        <v>8.6911459999999998</v>
      </c>
      <c r="W17" s="269">
        <v>8.8430959999999992</v>
      </c>
      <c r="X17" s="269">
        <v>8.9670079999999999</v>
      </c>
      <c r="Y17" s="269">
        <v>9.0321160000000003</v>
      </c>
      <c r="Z17" s="269">
        <v>9.0799719999999997</v>
      </c>
      <c r="AA17" s="269">
        <v>9.1438089999999992</v>
      </c>
      <c r="AB17" s="269">
        <v>9.1952099999999994</v>
      </c>
      <c r="AC17" s="269">
        <v>9.2360419999999994</v>
      </c>
      <c r="AD17" s="269">
        <v>9.2827359999999999</v>
      </c>
      <c r="AE17" s="269">
        <v>9.3104460000000007</v>
      </c>
      <c r="AF17" s="270">
        <v>6.4869999999999997E-3</v>
      </c>
      <c r="AG17" s="208"/>
    </row>
    <row r="18" spans="1:33" ht="15" customHeight="1" x14ac:dyDescent="0.2">
      <c r="A18" s="213" t="s">
        <v>131</v>
      </c>
      <c r="B18" s="268" t="s">
        <v>132</v>
      </c>
      <c r="C18" s="269">
        <v>37.814273999999997</v>
      </c>
      <c r="D18" s="269">
        <v>37.835822999999998</v>
      </c>
      <c r="E18" s="269">
        <v>36.882995999999999</v>
      </c>
      <c r="F18" s="269">
        <v>37.047317999999997</v>
      </c>
      <c r="G18" s="269">
        <v>37.522250999999997</v>
      </c>
      <c r="H18" s="269">
        <v>37.473185999999998</v>
      </c>
      <c r="I18" s="269">
        <v>37.786017999999999</v>
      </c>
      <c r="J18" s="269">
        <v>38.036835000000004</v>
      </c>
      <c r="K18" s="269">
        <v>38.406055000000002</v>
      </c>
      <c r="L18" s="269">
        <v>38.853167999999997</v>
      </c>
      <c r="M18" s="269">
        <v>39.378104999999998</v>
      </c>
      <c r="N18" s="269">
        <v>39.977421</v>
      </c>
      <c r="O18" s="269">
        <v>40.490608000000002</v>
      </c>
      <c r="P18" s="269">
        <v>40.958793999999997</v>
      </c>
      <c r="Q18" s="269">
        <v>41.332081000000002</v>
      </c>
      <c r="R18" s="269">
        <v>41.707431999999997</v>
      </c>
      <c r="S18" s="269">
        <v>41.989215999999999</v>
      </c>
      <c r="T18" s="269">
        <v>42.240600999999998</v>
      </c>
      <c r="U18" s="269">
        <v>42.383110000000002</v>
      </c>
      <c r="V18" s="269">
        <v>42.506450999999998</v>
      </c>
      <c r="W18" s="269">
        <v>42.687958000000002</v>
      </c>
      <c r="X18" s="269">
        <v>42.804451</v>
      </c>
      <c r="Y18" s="269">
        <v>42.884608999999998</v>
      </c>
      <c r="Z18" s="269">
        <v>43.041491999999998</v>
      </c>
      <c r="AA18" s="269">
        <v>42.870251000000003</v>
      </c>
      <c r="AB18" s="269">
        <v>43.082157000000002</v>
      </c>
      <c r="AC18" s="269">
        <v>43.152934999999999</v>
      </c>
      <c r="AD18" s="269">
        <v>43.235588</v>
      </c>
      <c r="AE18" s="269">
        <v>43.621796000000003</v>
      </c>
      <c r="AF18" s="270">
        <v>5.1159999999999999E-3</v>
      </c>
      <c r="AG18" s="208"/>
    </row>
    <row r="19" spans="1:33" ht="15" customHeight="1" x14ac:dyDescent="0.2">
      <c r="A19" s="213" t="s">
        <v>133</v>
      </c>
      <c r="B19" s="268" t="s">
        <v>134</v>
      </c>
      <c r="C19" s="269">
        <v>11.789562999999999</v>
      </c>
      <c r="D19" s="269">
        <v>11.071955000000001</v>
      </c>
      <c r="E19" s="269">
        <v>12.067057</v>
      </c>
      <c r="F19" s="269">
        <v>11.332017</v>
      </c>
      <c r="G19" s="269">
        <v>10.370732</v>
      </c>
      <c r="H19" s="269">
        <v>9.3035239999999995</v>
      </c>
      <c r="I19" s="269">
        <v>8.3554209999999998</v>
      </c>
      <c r="J19" s="269">
        <v>7.4639850000000001</v>
      </c>
      <c r="K19" s="269">
        <v>7.0948640000000003</v>
      </c>
      <c r="L19" s="269">
        <v>7.0633650000000001</v>
      </c>
      <c r="M19" s="269">
        <v>7.1134110000000002</v>
      </c>
      <c r="N19" s="269">
        <v>7.082268</v>
      </c>
      <c r="O19" s="269">
        <v>7.0169699999999997</v>
      </c>
      <c r="P19" s="269">
        <v>7.0687850000000001</v>
      </c>
      <c r="Q19" s="269">
        <v>6.9859330000000002</v>
      </c>
      <c r="R19" s="269">
        <v>6.8019679999999996</v>
      </c>
      <c r="S19" s="269">
        <v>6.6920120000000001</v>
      </c>
      <c r="T19" s="269">
        <v>6.5331130000000002</v>
      </c>
      <c r="U19" s="269">
        <v>6.4377589999999998</v>
      </c>
      <c r="V19" s="269">
        <v>6.4426389999999998</v>
      </c>
      <c r="W19" s="269">
        <v>6.4541219999999999</v>
      </c>
      <c r="X19" s="269">
        <v>6.3639700000000001</v>
      </c>
      <c r="Y19" s="269">
        <v>6.2625320000000002</v>
      </c>
      <c r="Z19" s="269">
        <v>6.1887549999999996</v>
      </c>
      <c r="AA19" s="269">
        <v>6.1198709999999998</v>
      </c>
      <c r="AB19" s="269">
        <v>6.0876130000000002</v>
      </c>
      <c r="AC19" s="269">
        <v>6.0698829999999999</v>
      </c>
      <c r="AD19" s="269">
        <v>6.0320450000000001</v>
      </c>
      <c r="AE19" s="269">
        <v>5.9455960000000001</v>
      </c>
      <c r="AF19" s="270">
        <v>-2.4152E-2</v>
      </c>
      <c r="AG19" s="208"/>
    </row>
    <row r="20" spans="1:33" ht="15" customHeight="1" x14ac:dyDescent="0.2">
      <c r="A20" s="213" t="s">
        <v>135</v>
      </c>
      <c r="B20" s="268" t="s">
        <v>136</v>
      </c>
      <c r="C20" s="269">
        <v>8.0646540000000009</v>
      </c>
      <c r="D20" s="269">
        <v>8.1872109999999996</v>
      </c>
      <c r="E20" s="269">
        <v>8.2466290000000004</v>
      </c>
      <c r="F20" s="269">
        <v>8.1719659999999994</v>
      </c>
      <c r="G20" s="269">
        <v>8.0928570000000004</v>
      </c>
      <c r="H20" s="269">
        <v>8.0927190000000007</v>
      </c>
      <c r="I20" s="269">
        <v>7.9974689999999997</v>
      </c>
      <c r="J20" s="269">
        <v>7.9973400000000003</v>
      </c>
      <c r="K20" s="269">
        <v>7.9187440000000002</v>
      </c>
      <c r="L20" s="269">
        <v>7.9187969999999996</v>
      </c>
      <c r="M20" s="269">
        <v>7.9188850000000004</v>
      </c>
      <c r="N20" s="269">
        <v>7.47281</v>
      </c>
      <c r="O20" s="269">
        <v>7.4032179999999999</v>
      </c>
      <c r="P20" s="269">
        <v>7.3139329999999996</v>
      </c>
      <c r="Q20" s="269">
        <v>7.1458170000000001</v>
      </c>
      <c r="R20" s="269">
        <v>7.0316359999999998</v>
      </c>
      <c r="S20" s="269">
        <v>6.8371979999999999</v>
      </c>
      <c r="T20" s="269">
        <v>6.734248</v>
      </c>
      <c r="U20" s="269">
        <v>6.5336410000000003</v>
      </c>
      <c r="V20" s="269">
        <v>6.5354080000000003</v>
      </c>
      <c r="W20" s="269">
        <v>6.5385289999999996</v>
      </c>
      <c r="X20" s="269">
        <v>6.5412020000000002</v>
      </c>
      <c r="Y20" s="269">
        <v>6.5441659999999997</v>
      </c>
      <c r="Z20" s="269">
        <v>6.5441919999999998</v>
      </c>
      <c r="AA20" s="269">
        <v>6.5416629999999998</v>
      </c>
      <c r="AB20" s="269">
        <v>6.5396289999999997</v>
      </c>
      <c r="AC20" s="269">
        <v>6.5306360000000003</v>
      </c>
      <c r="AD20" s="269">
        <v>6.5318709999999998</v>
      </c>
      <c r="AE20" s="269">
        <v>6.5277070000000004</v>
      </c>
      <c r="AF20" s="270">
        <v>-7.5230000000000002E-3</v>
      </c>
      <c r="AG20" s="208"/>
    </row>
    <row r="21" spans="1:33" ht="15" customHeight="1" x14ac:dyDescent="0.2">
      <c r="A21" s="213" t="s">
        <v>137</v>
      </c>
      <c r="B21" s="268" t="s">
        <v>138</v>
      </c>
      <c r="C21" s="269">
        <v>2.4534539999999998</v>
      </c>
      <c r="D21" s="269">
        <v>2.4584619999999999</v>
      </c>
      <c r="E21" s="269">
        <v>2.5025629999999999</v>
      </c>
      <c r="F21" s="269">
        <v>2.5886840000000002</v>
      </c>
      <c r="G21" s="269">
        <v>2.579723</v>
      </c>
      <c r="H21" s="269">
        <v>2.556826</v>
      </c>
      <c r="I21" s="269">
        <v>2.5153810000000001</v>
      </c>
      <c r="J21" s="269">
        <v>2.4861960000000001</v>
      </c>
      <c r="K21" s="269">
        <v>2.4574240000000001</v>
      </c>
      <c r="L21" s="269">
        <v>2.4364599999999998</v>
      </c>
      <c r="M21" s="269">
        <v>2.4196759999999999</v>
      </c>
      <c r="N21" s="269">
        <v>2.4223810000000001</v>
      </c>
      <c r="O21" s="269">
        <v>2.4264060000000001</v>
      </c>
      <c r="P21" s="269">
        <v>2.4299979999999999</v>
      </c>
      <c r="Q21" s="269">
        <v>2.4353150000000001</v>
      </c>
      <c r="R21" s="269">
        <v>2.4235120000000001</v>
      </c>
      <c r="S21" s="269">
        <v>2.4101499999999998</v>
      </c>
      <c r="T21" s="269">
        <v>2.3862079999999999</v>
      </c>
      <c r="U21" s="269">
        <v>2.381421</v>
      </c>
      <c r="V21" s="269">
        <v>2.3661409999999998</v>
      </c>
      <c r="W21" s="269">
        <v>2.3694090000000001</v>
      </c>
      <c r="X21" s="269">
        <v>2.3626369999999999</v>
      </c>
      <c r="Y21" s="269">
        <v>2.357599</v>
      </c>
      <c r="Z21" s="269">
        <v>2.3544640000000001</v>
      </c>
      <c r="AA21" s="269">
        <v>2.343242</v>
      </c>
      <c r="AB21" s="269">
        <v>2.336414</v>
      </c>
      <c r="AC21" s="269">
        <v>2.3340749999999999</v>
      </c>
      <c r="AD21" s="269">
        <v>2.3209420000000001</v>
      </c>
      <c r="AE21" s="269">
        <v>2.309024</v>
      </c>
      <c r="AF21" s="270">
        <v>-2.1640000000000001E-3</v>
      </c>
      <c r="AG21" s="208"/>
    </row>
    <row r="22" spans="1:33" ht="15" customHeight="1" x14ac:dyDescent="0.2">
      <c r="A22" s="213" t="s">
        <v>139</v>
      </c>
      <c r="B22" s="268" t="s">
        <v>140</v>
      </c>
      <c r="C22" s="269">
        <v>4.8388049999999998</v>
      </c>
      <c r="D22" s="269">
        <v>5.0327409999999997</v>
      </c>
      <c r="E22" s="269">
        <v>4.9642150000000003</v>
      </c>
      <c r="F22" s="269">
        <v>4.9121420000000002</v>
      </c>
      <c r="G22" s="269">
        <v>4.8860520000000003</v>
      </c>
      <c r="H22" s="269">
        <v>4.8757210000000004</v>
      </c>
      <c r="I22" s="269">
        <v>4.7697370000000001</v>
      </c>
      <c r="J22" s="269">
        <v>4.7670009999999996</v>
      </c>
      <c r="K22" s="269">
        <v>4.7650350000000001</v>
      </c>
      <c r="L22" s="269">
        <v>4.7679150000000003</v>
      </c>
      <c r="M22" s="269">
        <v>4.7730139999999999</v>
      </c>
      <c r="N22" s="269">
        <v>4.7829480000000002</v>
      </c>
      <c r="O22" s="269">
        <v>4.7930339999999996</v>
      </c>
      <c r="P22" s="269">
        <v>4.8174720000000004</v>
      </c>
      <c r="Q22" s="269">
        <v>4.8185589999999996</v>
      </c>
      <c r="R22" s="269">
        <v>4.8266150000000003</v>
      </c>
      <c r="S22" s="269">
        <v>4.8344180000000003</v>
      </c>
      <c r="T22" s="269">
        <v>4.8440789999999998</v>
      </c>
      <c r="U22" s="269">
        <v>4.8579749999999997</v>
      </c>
      <c r="V22" s="269">
        <v>4.8927779999999998</v>
      </c>
      <c r="W22" s="269">
        <v>4.909179</v>
      </c>
      <c r="X22" s="269">
        <v>4.9259300000000001</v>
      </c>
      <c r="Y22" s="269">
        <v>4.9240259999999996</v>
      </c>
      <c r="Z22" s="269">
        <v>4.9320199999999996</v>
      </c>
      <c r="AA22" s="269">
        <v>4.970815</v>
      </c>
      <c r="AB22" s="269">
        <v>5.0192649999999999</v>
      </c>
      <c r="AC22" s="269">
        <v>5.1055200000000003</v>
      </c>
      <c r="AD22" s="269">
        <v>5.1544549999999996</v>
      </c>
      <c r="AE22" s="269">
        <v>5.1889159999999999</v>
      </c>
      <c r="AF22" s="270">
        <v>2.4979999999999998E-3</v>
      </c>
      <c r="AG22" s="208"/>
    </row>
    <row r="23" spans="1:33" ht="15" customHeight="1" x14ac:dyDescent="0.2">
      <c r="A23" s="213" t="s">
        <v>141</v>
      </c>
      <c r="B23" s="268" t="s">
        <v>142</v>
      </c>
      <c r="C23" s="269">
        <v>5.6228480000000003</v>
      </c>
      <c r="D23" s="269">
        <v>6.1255499999999996</v>
      </c>
      <c r="E23" s="269">
        <v>6.742159</v>
      </c>
      <c r="F23" s="269">
        <v>8.1732440000000004</v>
      </c>
      <c r="G23" s="269">
        <v>9.9076740000000001</v>
      </c>
      <c r="H23" s="269">
        <v>11.653165</v>
      </c>
      <c r="I23" s="269">
        <v>13.154488000000001</v>
      </c>
      <c r="J23" s="269">
        <v>14.209771999999999</v>
      </c>
      <c r="K23" s="269">
        <v>15.128234000000001</v>
      </c>
      <c r="L23" s="269">
        <v>15.78889</v>
      </c>
      <c r="M23" s="269">
        <v>16.442295000000001</v>
      </c>
      <c r="N23" s="269">
        <v>17.189572999999999</v>
      </c>
      <c r="O23" s="269">
        <v>17.791294000000001</v>
      </c>
      <c r="P23" s="269">
        <v>18.262888</v>
      </c>
      <c r="Q23" s="269">
        <v>18.746867999999999</v>
      </c>
      <c r="R23" s="269">
        <v>19.110621999999999</v>
      </c>
      <c r="S23" s="269">
        <v>19.414563999999999</v>
      </c>
      <c r="T23" s="269">
        <v>19.609310000000001</v>
      </c>
      <c r="U23" s="269">
        <v>19.90523</v>
      </c>
      <c r="V23" s="269">
        <v>20.063116000000001</v>
      </c>
      <c r="W23" s="269">
        <v>20.302187</v>
      </c>
      <c r="X23" s="269">
        <v>20.584305000000001</v>
      </c>
      <c r="Y23" s="269">
        <v>20.993839000000001</v>
      </c>
      <c r="Z23" s="269">
        <v>21.370591999999998</v>
      </c>
      <c r="AA23" s="269">
        <v>21.805226999999999</v>
      </c>
      <c r="AB23" s="269">
        <v>22.17202</v>
      </c>
      <c r="AC23" s="269">
        <v>22.539532000000001</v>
      </c>
      <c r="AD23" s="269">
        <v>22.840260000000001</v>
      </c>
      <c r="AE23" s="269">
        <v>23.283978999999999</v>
      </c>
      <c r="AF23" s="270">
        <v>5.2056999999999999E-2</v>
      </c>
      <c r="AG23" s="208"/>
    </row>
    <row r="24" spans="1:33" ht="15" customHeight="1" x14ac:dyDescent="0.2">
      <c r="A24" s="213" t="s">
        <v>143</v>
      </c>
      <c r="B24" s="268" t="s">
        <v>144</v>
      </c>
      <c r="C24" s="269">
        <v>1.8251299999999999</v>
      </c>
      <c r="D24" s="269">
        <v>1.2340370000000001</v>
      </c>
      <c r="E24" s="269">
        <v>0.92866899999999997</v>
      </c>
      <c r="F24" s="269">
        <v>0.80385700000000004</v>
      </c>
      <c r="G24" s="269">
        <v>0.90989799999999998</v>
      </c>
      <c r="H24" s="269">
        <v>0.90237000000000001</v>
      </c>
      <c r="I24" s="269">
        <v>0.84100299999999995</v>
      </c>
      <c r="J24" s="269">
        <v>0.82840100000000005</v>
      </c>
      <c r="K24" s="269">
        <v>0.83663500000000002</v>
      </c>
      <c r="L24" s="269">
        <v>0.83752599999999999</v>
      </c>
      <c r="M24" s="269">
        <v>0.71289000000000002</v>
      </c>
      <c r="N24" s="269">
        <v>0.708538</v>
      </c>
      <c r="O24" s="269">
        <v>0.71509</v>
      </c>
      <c r="P24" s="269">
        <v>0.70965400000000001</v>
      </c>
      <c r="Q24" s="269">
        <v>0.706237</v>
      </c>
      <c r="R24" s="269">
        <v>0.70395200000000002</v>
      </c>
      <c r="S24" s="269">
        <v>0.70483799999999996</v>
      </c>
      <c r="T24" s="269">
        <v>0.704036</v>
      </c>
      <c r="U24" s="269">
        <v>0.700627</v>
      </c>
      <c r="V24" s="269">
        <v>0.70272699999999999</v>
      </c>
      <c r="W24" s="269">
        <v>0.70044499999999998</v>
      </c>
      <c r="X24" s="269">
        <v>0.69992600000000005</v>
      </c>
      <c r="Y24" s="269">
        <v>0.70078099999999999</v>
      </c>
      <c r="Z24" s="269">
        <v>0.70064499999999996</v>
      </c>
      <c r="AA24" s="269">
        <v>0.67757400000000001</v>
      </c>
      <c r="AB24" s="269">
        <v>0.67462100000000003</v>
      </c>
      <c r="AC24" s="269">
        <v>0.67769199999999996</v>
      </c>
      <c r="AD24" s="269">
        <v>0.67827199999999999</v>
      </c>
      <c r="AE24" s="269">
        <v>0.67577299999999996</v>
      </c>
      <c r="AF24" s="270">
        <v>-3.4861999999999997E-2</v>
      </c>
      <c r="AG24" s="208"/>
    </row>
    <row r="25" spans="1:33" ht="15" customHeight="1" x14ac:dyDescent="0.2">
      <c r="A25" s="213" t="s">
        <v>145</v>
      </c>
      <c r="B25" s="267" t="s">
        <v>146</v>
      </c>
      <c r="C25" s="271">
        <v>104.764206</v>
      </c>
      <c r="D25" s="271">
        <v>105.6866</v>
      </c>
      <c r="E25" s="271">
        <v>106.951447</v>
      </c>
      <c r="F25" s="271">
        <v>108.029526</v>
      </c>
      <c r="G25" s="271">
        <v>109.803185</v>
      </c>
      <c r="H25" s="271">
        <v>110.474281</v>
      </c>
      <c r="I25" s="271">
        <v>111.29315200000001</v>
      </c>
      <c r="J25" s="271">
        <v>111.523239</v>
      </c>
      <c r="K25" s="271">
        <v>112.323662</v>
      </c>
      <c r="L25" s="271">
        <v>113.21151</v>
      </c>
      <c r="M25" s="271">
        <v>114.437622</v>
      </c>
      <c r="N25" s="271">
        <v>115.430359</v>
      </c>
      <c r="O25" s="271">
        <v>116.44259599999999</v>
      </c>
      <c r="P25" s="271">
        <v>117.35573599999999</v>
      </c>
      <c r="Q25" s="271">
        <v>117.95938099999999</v>
      </c>
      <c r="R25" s="271">
        <v>118.40920300000001</v>
      </c>
      <c r="S25" s="271">
        <v>118.580589</v>
      </c>
      <c r="T25" s="271">
        <v>118.766792</v>
      </c>
      <c r="U25" s="271">
        <v>118.68956</v>
      </c>
      <c r="V25" s="271">
        <v>118.765907</v>
      </c>
      <c r="W25" s="271">
        <v>119.423424</v>
      </c>
      <c r="X25" s="271">
        <v>120.01164199999999</v>
      </c>
      <c r="Y25" s="271">
        <v>120.741867</v>
      </c>
      <c r="Z25" s="271">
        <v>121.32109800000001</v>
      </c>
      <c r="AA25" s="271">
        <v>121.640175</v>
      </c>
      <c r="AB25" s="271">
        <v>122.05538199999999</v>
      </c>
      <c r="AC25" s="271">
        <v>122.67742200000001</v>
      </c>
      <c r="AD25" s="271">
        <v>123.396187</v>
      </c>
      <c r="AE25" s="271">
        <v>124.25406599999999</v>
      </c>
      <c r="AF25" s="272">
        <v>6.1120000000000002E-3</v>
      </c>
      <c r="AG25" s="208"/>
    </row>
    <row r="26" spans="1:33" ht="15" customHeight="1" x14ac:dyDescent="0.2">
      <c r="B26" s="208"/>
      <c r="C26" s="208"/>
      <c r="D26" s="208"/>
      <c r="E26" s="208"/>
      <c r="F26" s="208"/>
      <c r="G26" s="208"/>
      <c r="H26" s="208"/>
      <c r="I26" s="208"/>
      <c r="J26" s="208"/>
      <c r="K26" s="208"/>
      <c r="L26" s="208"/>
      <c r="M26" s="208"/>
      <c r="N26" s="208"/>
      <c r="O26" s="208"/>
      <c r="P26" s="208"/>
      <c r="Q26" s="208"/>
      <c r="R26" s="208"/>
      <c r="S26" s="208"/>
      <c r="T26" s="208"/>
      <c r="U26" s="208"/>
      <c r="V26" s="208"/>
      <c r="W26" s="208"/>
      <c r="X26" s="208"/>
      <c r="Y26" s="208"/>
      <c r="Z26" s="208"/>
      <c r="AA26" s="208"/>
      <c r="AB26" s="208"/>
      <c r="AC26" s="208"/>
      <c r="AD26" s="208"/>
      <c r="AE26" s="208"/>
      <c r="AF26" s="208"/>
      <c r="AG26" s="208"/>
    </row>
    <row r="27" spans="1:33" ht="15" customHeight="1" x14ac:dyDescent="0.2">
      <c r="B27" s="267" t="s">
        <v>38</v>
      </c>
      <c r="C27" s="208"/>
      <c r="D27" s="208"/>
      <c r="E27" s="208"/>
      <c r="F27" s="208"/>
      <c r="G27" s="208"/>
      <c r="H27" s="208"/>
      <c r="I27" s="208"/>
      <c r="J27" s="208"/>
      <c r="K27" s="208"/>
      <c r="L27" s="208"/>
      <c r="M27" s="208"/>
      <c r="N27" s="208"/>
      <c r="O27" s="208"/>
      <c r="P27" s="208"/>
      <c r="Q27" s="208"/>
      <c r="R27" s="208"/>
      <c r="S27" s="208"/>
      <c r="T27" s="208"/>
      <c r="U27" s="208"/>
      <c r="V27" s="208"/>
      <c r="W27" s="208"/>
      <c r="X27" s="208"/>
      <c r="Y27" s="208"/>
      <c r="Z27" s="208"/>
      <c r="AA27" s="208"/>
      <c r="AB27" s="208"/>
      <c r="AC27" s="208"/>
      <c r="AD27" s="208"/>
      <c r="AE27" s="208"/>
      <c r="AF27" s="208"/>
      <c r="AG27" s="208"/>
    </row>
    <row r="28" spans="1:33" ht="15" customHeight="1" x14ac:dyDescent="0.2">
      <c r="A28" s="213" t="s">
        <v>147</v>
      </c>
      <c r="B28" s="268" t="s">
        <v>148</v>
      </c>
      <c r="C28" s="269">
        <v>13.824968</v>
      </c>
      <c r="D28" s="269">
        <v>14.777424999999999</v>
      </c>
      <c r="E28" s="269">
        <v>15.446031</v>
      </c>
      <c r="F28" s="269">
        <v>15.30518</v>
      </c>
      <c r="G28" s="269">
        <v>15.0045</v>
      </c>
      <c r="H28" s="269">
        <v>15.261106</v>
      </c>
      <c r="I28" s="269">
        <v>15.230433</v>
      </c>
      <c r="J28" s="269">
        <v>15.491680000000001</v>
      </c>
      <c r="K28" s="269">
        <v>15.589062999999999</v>
      </c>
      <c r="L28" s="269">
        <v>15.686406</v>
      </c>
      <c r="M28" s="269">
        <v>15.720078000000001</v>
      </c>
      <c r="N28" s="269">
        <v>15.538974</v>
      </c>
      <c r="O28" s="269">
        <v>15.709466000000001</v>
      </c>
      <c r="P28" s="269">
        <v>15.851457</v>
      </c>
      <c r="Q28" s="269">
        <v>15.843707</v>
      </c>
      <c r="R28" s="269">
        <v>15.807153</v>
      </c>
      <c r="S28" s="269">
        <v>15.874155999999999</v>
      </c>
      <c r="T28" s="269">
        <v>15.984639</v>
      </c>
      <c r="U28" s="269">
        <v>16.045517</v>
      </c>
      <c r="V28" s="269">
        <v>16.390509000000002</v>
      </c>
      <c r="W28" s="269">
        <v>16.327881000000001</v>
      </c>
      <c r="X28" s="269">
        <v>16.155360999999999</v>
      </c>
      <c r="Y28" s="269">
        <v>15.890744</v>
      </c>
      <c r="Z28" s="269">
        <v>15.766374000000001</v>
      </c>
      <c r="AA28" s="269">
        <v>15.490686</v>
      </c>
      <c r="AB28" s="269">
        <v>15.523277999999999</v>
      </c>
      <c r="AC28" s="269">
        <v>15.392778</v>
      </c>
      <c r="AD28" s="269">
        <v>15.059613000000001</v>
      </c>
      <c r="AE28" s="269">
        <v>14.806977</v>
      </c>
      <c r="AF28" s="270">
        <v>2.454E-3</v>
      </c>
      <c r="AG28" s="208"/>
    </row>
    <row r="29" spans="1:33" ht="15" customHeight="1" x14ac:dyDescent="0.2">
      <c r="A29" s="213" t="s">
        <v>149</v>
      </c>
      <c r="B29" s="268" t="s">
        <v>150</v>
      </c>
      <c r="C29" s="269">
        <v>4.758858</v>
      </c>
      <c r="D29" s="269">
        <v>4.8393420000000003</v>
      </c>
      <c r="E29" s="269">
        <v>4.0300890000000003</v>
      </c>
      <c r="F29" s="269">
        <v>4.0340949999999998</v>
      </c>
      <c r="G29" s="269">
        <v>4.0358739999999997</v>
      </c>
      <c r="H29" s="269">
        <v>3.9928560000000002</v>
      </c>
      <c r="I29" s="269">
        <v>3.9138630000000001</v>
      </c>
      <c r="J29" s="269">
        <v>3.8377659999999998</v>
      </c>
      <c r="K29" s="269">
        <v>3.8044229999999999</v>
      </c>
      <c r="L29" s="269">
        <v>3.8062960000000001</v>
      </c>
      <c r="M29" s="269">
        <v>3.7409319999999999</v>
      </c>
      <c r="N29" s="269">
        <v>3.7181160000000002</v>
      </c>
      <c r="O29" s="269">
        <v>3.6847699999999999</v>
      </c>
      <c r="P29" s="269">
        <v>3.6818710000000001</v>
      </c>
      <c r="Q29" s="269">
        <v>3.6705369999999999</v>
      </c>
      <c r="R29" s="269">
        <v>3.6813039999999999</v>
      </c>
      <c r="S29" s="269">
        <v>3.6850719999999999</v>
      </c>
      <c r="T29" s="269">
        <v>3.6928719999999999</v>
      </c>
      <c r="U29" s="269">
        <v>3.7024089999999998</v>
      </c>
      <c r="V29" s="269">
        <v>3.7233679999999998</v>
      </c>
      <c r="W29" s="269">
        <v>3.7186750000000002</v>
      </c>
      <c r="X29" s="269">
        <v>3.7253620000000001</v>
      </c>
      <c r="Y29" s="269">
        <v>3.7171259999999999</v>
      </c>
      <c r="Z29" s="269">
        <v>3.7475429999999998</v>
      </c>
      <c r="AA29" s="269">
        <v>3.7224379999999999</v>
      </c>
      <c r="AB29" s="269">
        <v>3.7441249999999999</v>
      </c>
      <c r="AC29" s="269">
        <v>3.8167680000000002</v>
      </c>
      <c r="AD29" s="269">
        <v>3.836668</v>
      </c>
      <c r="AE29" s="269">
        <v>3.7676440000000002</v>
      </c>
      <c r="AF29" s="270">
        <v>-8.3070000000000001E-3</v>
      </c>
      <c r="AG29" s="208"/>
    </row>
    <row r="30" spans="1:33" ht="15" customHeight="1" x14ac:dyDescent="0.2">
      <c r="A30" s="213" t="s">
        <v>151</v>
      </c>
      <c r="B30" s="268" t="s">
        <v>152</v>
      </c>
      <c r="C30" s="269">
        <v>2.981649</v>
      </c>
      <c r="D30" s="269">
        <v>2.8084820000000001</v>
      </c>
      <c r="E30" s="269">
        <v>2.4610690000000002</v>
      </c>
      <c r="F30" s="269">
        <v>2.35087</v>
      </c>
      <c r="G30" s="269">
        <v>2.2521100000000001</v>
      </c>
      <c r="H30" s="269">
        <v>2.1840480000000002</v>
      </c>
      <c r="I30" s="269">
        <v>2.0737390000000002</v>
      </c>
      <c r="J30" s="269">
        <v>2.0405530000000001</v>
      </c>
      <c r="K30" s="269">
        <v>2.0728650000000002</v>
      </c>
      <c r="L30" s="269">
        <v>2.0679400000000001</v>
      </c>
      <c r="M30" s="269">
        <v>2.1186799999999999</v>
      </c>
      <c r="N30" s="269">
        <v>2.137902</v>
      </c>
      <c r="O30" s="269">
        <v>2.141702</v>
      </c>
      <c r="P30" s="269">
        <v>2.125696</v>
      </c>
      <c r="Q30" s="269">
        <v>2.080384</v>
      </c>
      <c r="R30" s="269">
        <v>2.0793509999999999</v>
      </c>
      <c r="S30" s="269">
        <v>2.1369690000000001</v>
      </c>
      <c r="T30" s="269">
        <v>2.1100599999999998</v>
      </c>
      <c r="U30" s="269">
        <v>2.231398</v>
      </c>
      <c r="V30" s="269">
        <v>2.2567810000000001</v>
      </c>
      <c r="W30" s="269">
        <v>2.2697090000000002</v>
      </c>
      <c r="X30" s="269">
        <v>2.3180019999999999</v>
      </c>
      <c r="Y30" s="269">
        <v>2.4019599999999999</v>
      </c>
      <c r="Z30" s="269">
        <v>2.477401</v>
      </c>
      <c r="AA30" s="269">
        <v>2.5080589999999998</v>
      </c>
      <c r="AB30" s="269">
        <v>2.53545</v>
      </c>
      <c r="AC30" s="269">
        <v>2.5825819999999999</v>
      </c>
      <c r="AD30" s="269">
        <v>2.5992690000000001</v>
      </c>
      <c r="AE30" s="269">
        <v>2.6272039999999999</v>
      </c>
      <c r="AF30" s="270">
        <v>-4.5100000000000001E-3</v>
      </c>
      <c r="AG30" s="208"/>
    </row>
    <row r="31" spans="1:33" ht="12" x14ac:dyDescent="0.2">
      <c r="A31" s="213" t="s">
        <v>153</v>
      </c>
      <c r="B31" s="268" t="s">
        <v>154</v>
      </c>
      <c r="C31" s="269">
        <v>0.25367000000000001</v>
      </c>
      <c r="D31" s="269">
        <v>0.337121</v>
      </c>
      <c r="E31" s="269">
        <v>0.14549000000000001</v>
      </c>
      <c r="F31" s="269">
        <v>0.13084100000000001</v>
      </c>
      <c r="G31" s="269">
        <v>0.141319</v>
      </c>
      <c r="H31" s="269">
        <v>0.155275</v>
      </c>
      <c r="I31" s="269">
        <v>0.17730299999999999</v>
      </c>
      <c r="J31" s="269">
        <v>0.16914799999999999</v>
      </c>
      <c r="K31" s="269">
        <v>0.176284</v>
      </c>
      <c r="L31" s="269">
        <v>0.166932</v>
      </c>
      <c r="M31" s="269">
        <v>0.17031399999999999</v>
      </c>
      <c r="N31" s="269">
        <v>0.16933599999999999</v>
      </c>
      <c r="O31" s="269">
        <v>0.17039799999999999</v>
      </c>
      <c r="P31" s="269">
        <v>0.16594200000000001</v>
      </c>
      <c r="Q31" s="269">
        <v>0.16400500000000001</v>
      </c>
      <c r="R31" s="269">
        <v>0.163859</v>
      </c>
      <c r="S31" s="269">
        <v>0.167017</v>
      </c>
      <c r="T31" s="269">
        <v>0.16908000000000001</v>
      </c>
      <c r="U31" s="269">
        <v>0.17061399999999999</v>
      </c>
      <c r="V31" s="269">
        <v>0.166044</v>
      </c>
      <c r="W31" s="269">
        <v>0.16572100000000001</v>
      </c>
      <c r="X31" s="269">
        <v>0.16325200000000001</v>
      </c>
      <c r="Y31" s="269">
        <v>0.161465</v>
      </c>
      <c r="Z31" s="269">
        <v>0.15851699999999999</v>
      </c>
      <c r="AA31" s="269">
        <v>0.155057</v>
      </c>
      <c r="AB31" s="269">
        <v>0.154695</v>
      </c>
      <c r="AC31" s="269">
        <v>0.15764900000000001</v>
      </c>
      <c r="AD31" s="269">
        <v>0.15917999999999999</v>
      </c>
      <c r="AE31" s="269">
        <v>0.15726100000000001</v>
      </c>
      <c r="AF31" s="270">
        <v>-1.6931000000000002E-2</v>
      </c>
      <c r="AG31" s="208"/>
    </row>
    <row r="32" spans="1:33" ht="12" x14ac:dyDescent="0.2">
      <c r="A32" s="213" t="s">
        <v>155</v>
      </c>
      <c r="B32" s="267" t="s">
        <v>146</v>
      </c>
      <c r="C32" s="271">
        <v>21.819144999999999</v>
      </c>
      <c r="D32" s="271">
        <v>22.762371000000002</v>
      </c>
      <c r="E32" s="271">
        <v>22.08268</v>
      </c>
      <c r="F32" s="271">
        <v>21.820986000000001</v>
      </c>
      <c r="G32" s="271">
        <v>21.433803999999999</v>
      </c>
      <c r="H32" s="271">
        <v>21.593285000000002</v>
      </c>
      <c r="I32" s="271">
        <v>21.395336</v>
      </c>
      <c r="J32" s="271">
        <v>21.539145999999999</v>
      </c>
      <c r="K32" s="271">
        <v>21.642633</v>
      </c>
      <c r="L32" s="271">
        <v>21.727573</v>
      </c>
      <c r="M32" s="271">
        <v>21.750001999999999</v>
      </c>
      <c r="N32" s="271">
        <v>21.564329000000001</v>
      </c>
      <c r="O32" s="271">
        <v>21.706337000000001</v>
      </c>
      <c r="P32" s="271">
        <v>21.824964999999999</v>
      </c>
      <c r="Q32" s="271">
        <v>21.758633</v>
      </c>
      <c r="R32" s="271">
        <v>21.731667000000002</v>
      </c>
      <c r="S32" s="271">
        <v>21.863212999999998</v>
      </c>
      <c r="T32" s="271">
        <v>21.956651999999998</v>
      </c>
      <c r="U32" s="271">
        <v>22.149939</v>
      </c>
      <c r="V32" s="271">
        <v>22.536701000000001</v>
      </c>
      <c r="W32" s="271">
        <v>22.481985000000002</v>
      </c>
      <c r="X32" s="271">
        <v>22.361977</v>
      </c>
      <c r="Y32" s="271">
        <v>22.171295000000001</v>
      </c>
      <c r="Z32" s="271">
        <v>22.149836000000001</v>
      </c>
      <c r="AA32" s="271">
        <v>21.876242000000001</v>
      </c>
      <c r="AB32" s="271">
        <v>21.957547999999999</v>
      </c>
      <c r="AC32" s="271">
        <v>21.949777999999998</v>
      </c>
      <c r="AD32" s="271">
        <v>21.654731999999999</v>
      </c>
      <c r="AE32" s="271">
        <v>21.359085</v>
      </c>
      <c r="AF32" s="272">
        <v>-7.6099999999999996E-4</v>
      </c>
      <c r="AG32" s="208"/>
    </row>
    <row r="33" spans="1:33" ht="12" x14ac:dyDescent="0.2">
      <c r="B33" s="208"/>
      <c r="C33" s="208"/>
      <c r="D33" s="208"/>
      <c r="E33" s="208"/>
      <c r="F33" s="208"/>
      <c r="G33" s="208"/>
      <c r="H33" s="208"/>
      <c r="I33" s="208"/>
      <c r="J33" s="208"/>
      <c r="K33" s="208"/>
      <c r="L33" s="208"/>
      <c r="M33" s="208"/>
      <c r="N33" s="208"/>
      <c r="O33" s="208"/>
      <c r="P33" s="208"/>
      <c r="Q33" s="208"/>
      <c r="R33" s="208"/>
      <c r="S33" s="208"/>
      <c r="T33" s="208"/>
      <c r="U33" s="208"/>
      <c r="V33" s="208"/>
      <c r="W33" s="208"/>
      <c r="X33" s="208"/>
      <c r="Y33" s="208"/>
      <c r="Z33" s="208"/>
      <c r="AA33" s="208"/>
      <c r="AB33" s="208"/>
      <c r="AC33" s="208"/>
      <c r="AD33" s="208"/>
      <c r="AE33" s="208"/>
      <c r="AF33" s="208"/>
      <c r="AG33" s="208"/>
    </row>
    <row r="34" spans="1:33" ht="12" x14ac:dyDescent="0.2">
      <c r="B34" s="267" t="s">
        <v>43</v>
      </c>
      <c r="C34" s="208"/>
      <c r="D34" s="208"/>
      <c r="E34" s="208"/>
      <c r="F34" s="208"/>
      <c r="G34" s="208"/>
      <c r="H34" s="208"/>
      <c r="I34" s="208"/>
      <c r="J34" s="208"/>
      <c r="K34" s="208"/>
      <c r="L34" s="208"/>
      <c r="M34" s="208"/>
      <c r="N34" s="208"/>
      <c r="O34" s="208"/>
      <c r="P34" s="208"/>
      <c r="Q34" s="208"/>
      <c r="R34" s="208"/>
      <c r="S34" s="208"/>
      <c r="T34" s="208"/>
      <c r="U34" s="208"/>
      <c r="V34" s="208"/>
      <c r="W34" s="208"/>
      <c r="X34" s="208"/>
      <c r="Y34" s="208"/>
      <c r="Z34" s="208"/>
      <c r="AA34" s="208"/>
      <c r="AB34" s="208"/>
      <c r="AC34" s="208"/>
      <c r="AD34" s="208"/>
      <c r="AE34" s="208"/>
      <c r="AF34" s="208"/>
      <c r="AG34" s="208"/>
    </row>
    <row r="35" spans="1:33" ht="12" x14ac:dyDescent="0.2">
      <c r="A35" s="213" t="s">
        <v>156</v>
      </c>
      <c r="B35" s="268" t="s">
        <v>157</v>
      </c>
      <c r="C35" s="269">
        <v>18.536159999999999</v>
      </c>
      <c r="D35" s="269">
        <v>19.040469999999999</v>
      </c>
      <c r="E35" s="269">
        <v>20.328047000000002</v>
      </c>
      <c r="F35" s="269">
        <v>20.579879999999999</v>
      </c>
      <c r="G35" s="269">
        <v>21.071783</v>
      </c>
      <c r="H35" s="269">
        <v>21.489708</v>
      </c>
      <c r="I35" s="269">
        <v>21.636562000000001</v>
      </c>
      <c r="J35" s="269">
        <v>21.880472000000001</v>
      </c>
      <c r="K35" s="269">
        <v>22.202881000000001</v>
      </c>
      <c r="L35" s="269">
        <v>22.327625000000001</v>
      </c>
      <c r="M35" s="269">
        <v>22.464676000000001</v>
      </c>
      <c r="N35" s="269">
        <v>22.515352</v>
      </c>
      <c r="O35" s="269">
        <v>22.756022999999999</v>
      </c>
      <c r="P35" s="269">
        <v>22.978777000000001</v>
      </c>
      <c r="Q35" s="269">
        <v>23.076605000000001</v>
      </c>
      <c r="R35" s="269">
        <v>23.112068000000001</v>
      </c>
      <c r="S35" s="269">
        <v>23.121672</v>
      </c>
      <c r="T35" s="269">
        <v>23.267797000000002</v>
      </c>
      <c r="U35" s="269">
        <v>23.053844000000002</v>
      </c>
      <c r="V35" s="269">
        <v>23.139195999999998</v>
      </c>
      <c r="W35" s="269">
        <v>23.210156999999999</v>
      </c>
      <c r="X35" s="269">
        <v>23.236941999999999</v>
      </c>
      <c r="Y35" s="269">
        <v>23.218385999999999</v>
      </c>
      <c r="Z35" s="269">
        <v>23.136253</v>
      </c>
      <c r="AA35" s="269">
        <v>22.799206000000002</v>
      </c>
      <c r="AB35" s="269">
        <v>22.530909999999999</v>
      </c>
      <c r="AC35" s="269">
        <v>22.513947999999999</v>
      </c>
      <c r="AD35" s="269">
        <v>22.402639000000001</v>
      </c>
      <c r="AE35" s="269">
        <v>21.931286</v>
      </c>
      <c r="AF35" s="270">
        <v>6.025E-3</v>
      </c>
      <c r="AG35" s="208"/>
    </row>
    <row r="36" spans="1:33" ht="12" x14ac:dyDescent="0.2">
      <c r="A36" s="213" t="s">
        <v>158</v>
      </c>
      <c r="B36" s="268" t="s">
        <v>152</v>
      </c>
      <c r="C36" s="269">
        <v>7.1570140000000002</v>
      </c>
      <c r="D36" s="269">
        <v>7.945881</v>
      </c>
      <c r="E36" s="269">
        <v>7.9438149999999998</v>
      </c>
      <c r="F36" s="269">
        <v>8.3370300000000004</v>
      </c>
      <c r="G36" s="269">
        <v>8.8427430000000005</v>
      </c>
      <c r="H36" s="269">
        <v>9.2638459999999991</v>
      </c>
      <c r="I36" s="269">
        <v>9.6647580000000008</v>
      </c>
      <c r="J36" s="269">
        <v>10.022475999999999</v>
      </c>
      <c r="K36" s="269">
        <v>10.671082</v>
      </c>
      <c r="L36" s="269">
        <v>11.372363</v>
      </c>
      <c r="M36" s="269">
        <v>12.069704</v>
      </c>
      <c r="N36" s="269">
        <v>12.747916999999999</v>
      </c>
      <c r="O36" s="269">
        <v>13.325286999999999</v>
      </c>
      <c r="P36" s="269">
        <v>13.720262999999999</v>
      </c>
      <c r="Q36" s="269">
        <v>13.973807000000001</v>
      </c>
      <c r="R36" s="269">
        <v>14.186524</v>
      </c>
      <c r="S36" s="269">
        <v>14.301539</v>
      </c>
      <c r="T36" s="269">
        <v>14.335634000000001</v>
      </c>
      <c r="U36" s="269">
        <v>14.360343</v>
      </c>
      <c r="V36" s="269">
        <v>14.349729</v>
      </c>
      <c r="W36" s="269">
        <v>14.358644</v>
      </c>
      <c r="X36" s="269">
        <v>14.365799000000001</v>
      </c>
      <c r="Y36" s="269">
        <v>14.408306</v>
      </c>
      <c r="Z36" s="269">
        <v>14.392715000000001</v>
      </c>
      <c r="AA36" s="269">
        <v>14.375298000000001</v>
      </c>
      <c r="AB36" s="269">
        <v>14.355017999999999</v>
      </c>
      <c r="AC36" s="269">
        <v>14.358720999999999</v>
      </c>
      <c r="AD36" s="269">
        <v>14.323404</v>
      </c>
      <c r="AE36" s="269">
        <v>14.304577</v>
      </c>
      <c r="AF36" s="270">
        <v>2.504E-2</v>
      </c>
      <c r="AG36" s="208"/>
    </row>
    <row r="37" spans="1:33" ht="12" x14ac:dyDescent="0.2">
      <c r="A37" s="213" t="s">
        <v>159</v>
      </c>
      <c r="B37" s="268" t="s">
        <v>160</v>
      </c>
      <c r="C37" s="269">
        <v>2.1545730000000001</v>
      </c>
      <c r="D37" s="269">
        <v>2.1435559999999998</v>
      </c>
      <c r="E37" s="269">
        <v>2.7799659999999999</v>
      </c>
      <c r="F37" s="269">
        <v>2.7159759999999999</v>
      </c>
      <c r="G37" s="269">
        <v>2.8481350000000001</v>
      </c>
      <c r="H37" s="269">
        <v>2.8107069999999998</v>
      </c>
      <c r="I37" s="269">
        <v>2.8227359999999999</v>
      </c>
      <c r="J37" s="269">
        <v>2.8087870000000001</v>
      </c>
      <c r="K37" s="269">
        <v>2.8101069999999999</v>
      </c>
      <c r="L37" s="269">
        <v>2.838428</v>
      </c>
      <c r="M37" s="269">
        <v>2.8912900000000001</v>
      </c>
      <c r="N37" s="269">
        <v>2.8190089999999999</v>
      </c>
      <c r="O37" s="269">
        <v>2.7945600000000002</v>
      </c>
      <c r="P37" s="269">
        <v>2.8213910000000002</v>
      </c>
      <c r="Q37" s="269">
        <v>2.7845870000000001</v>
      </c>
      <c r="R37" s="269">
        <v>2.726998</v>
      </c>
      <c r="S37" s="269">
        <v>2.7707769999999998</v>
      </c>
      <c r="T37" s="269">
        <v>2.712615</v>
      </c>
      <c r="U37" s="269">
        <v>2.7229890000000001</v>
      </c>
      <c r="V37" s="269">
        <v>2.7082160000000002</v>
      </c>
      <c r="W37" s="269">
        <v>2.723382</v>
      </c>
      <c r="X37" s="269">
        <v>2.6906240000000001</v>
      </c>
      <c r="Y37" s="269">
        <v>2.6948310000000002</v>
      </c>
      <c r="Z37" s="269">
        <v>2.703859</v>
      </c>
      <c r="AA37" s="269">
        <v>2.6886749999999999</v>
      </c>
      <c r="AB37" s="269">
        <v>2.682404</v>
      </c>
      <c r="AC37" s="269">
        <v>2.7056499999999999</v>
      </c>
      <c r="AD37" s="269">
        <v>2.707865</v>
      </c>
      <c r="AE37" s="269">
        <v>2.7239949999999999</v>
      </c>
      <c r="AF37" s="270">
        <v>8.4100000000000008E-3</v>
      </c>
      <c r="AG37" s="208"/>
    </row>
    <row r="38" spans="1:33" ht="12" x14ac:dyDescent="0.2">
      <c r="A38" s="213" t="s">
        <v>161</v>
      </c>
      <c r="B38" s="267" t="s">
        <v>146</v>
      </c>
      <c r="C38" s="271">
        <v>27.847746000000001</v>
      </c>
      <c r="D38" s="271">
        <v>29.129908</v>
      </c>
      <c r="E38" s="271">
        <v>31.051828</v>
      </c>
      <c r="F38" s="271">
        <v>31.632887</v>
      </c>
      <c r="G38" s="271">
        <v>32.762661000000001</v>
      </c>
      <c r="H38" s="271">
        <v>33.564261999999999</v>
      </c>
      <c r="I38" s="271">
        <v>34.124054000000001</v>
      </c>
      <c r="J38" s="271">
        <v>34.711734999999997</v>
      </c>
      <c r="K38" s="271">
        <v>35.684071000000003</v>
      </c>
      <c r="L38" s="271">
        <v>36.538418</v>
      </c>
      <c r="M38" s="271">
        <v>37.425666999999997</v>
      </c>
      <c r="N38" s="271">
        <v>38.082275000000003</v>
      </c>
      <c r="O38" s="271">
        <v>38.875869999999999</v>
      </c>
      <c r="P38" s="271">
        <v>39.520432</v>
      </c>
      <c r="Q38" s="271">
        <v>39.834999000000003</v>
      </c>
      <c r="R38" s="271">
        <v>40.025588999999997</v>
      </c>
      <c r="S38" s="271">
        <v>40.193984999999998</v>
      </c>
      <c r="T38" s="271">
        <v>40.316048000000002</v>
      </c>
      <c r="U38" s="271">
        <v>40.137177000000001</v>
      </c>
      <c r="V38" s="271">
        <v>40.197144000000002</v>
      </c>
      <c r="W38" s="271">
        <v>40.292183000000001</v>
      </c>
      <c r="X38" s="271">
        <v>40.293365000000001</v>
      </c>
      <c r="Y38" s="271">
        <v>40.321525999999999</v>
      </c>
      <c r="Z38" s="271">
        <v>40.232826000000003</v>
      </c>
      <c r="AA38" s="271">
        <v>39.863177999999998</v>
      </c>
      <c r="AB38" s="271">
        <v>39.568333000000003</v>
      </c>
      <c r="AC38" s="271">
        <v>39.578319999999998</v>
      </c>
      <c r="AD38" s="271">
        <v>39.433909999999997</v>
      </c>
      <c r="AE38" s="271">
        <v>38.959857999999997</v>
      </c>
      <c r="AF38" s="272">
        <v>1.2064E-2</v>
      </c>
      <c r="AG38" s="208"/>
    </row>
    <row r="39" spans="1:33" ht="12" x14ac:dyDescent="0.2">
      <c r="B39" s="208"/>
      <c r="C39" s="208"/>
      <c r="D39" s="208"/>
      <c r="E39" s="208"/>
      <c r="F39" s="208"/>
      <c r="G39" s="208"/>
      <c r="H39" s="208"/>
      <c r="I39" s="208"/>
      <c r="J39" s="208"/>
      <c r="K39" s="208"/>
      <c r="L39" s="208"/>
      <c r="M39" s="208"/>
      <c r="N39" s="208"/>
      <c r="O39" s="208"/>
      <c r="P39" s="208"/>
      <c r="Q39" s="208"/>
      <c r="R39" s="208"/>
      <c r="S39" s="208"/>
      <c r="T39" s="208"/>
      <c r="U39" s="208"/>
      <c r="V39" s="208"/>
      <c r="W39" s="208"/>
      <c r="X39" s="208"/>
      <c r="Y39" s="208"/>
      <c r="Z39" s="208"/>
      <c r="AA39" s="208"/>
      <c r="AB39" s="208"/>
      <c r="AC39" s="208"/>
      <c r="AD39" s="208"/>
      <c r="AE39" s="208"/>
      <c r="AF39" s="208"/>
      <c r="AG39" s="208"/>
    </row>
    <row r="40" spans="1:33" ht="12" x14ac:dyDescent="0.2">
      <c r="A40" s="213" t="s">
        <v>162</v>
      </c>
      <c r="B40" s="267" t="s">
        <v>163</v>
      </c>
      <c r="C40" s="271">
        <v>-0.45786100000000002</v>
      </c>
      <c r="D40" s="271">
        <v>0.97528999999999999</v>
      </c>
      <c r="E40" s="271">
        <v>0.42364299999999999</v>
      </c>
      <c r="F40" s="271">
        <v>0.46440300000000001</v>
      </c>
      <c r="G40" s="271">
        <v>0.459312</v>
      </c>
      <c r="H40" s="271">
        <v>0.42448399999999997</v>
      </c>
      <c r="I40" s="271">
        <v>0.43044700000000002</v>
      </c>
      <c r="J40" s="271">
        <v>0.29497099999999998</v>
      </c>
      <c r="K40" s="271">
        <v>0.32553500000000002</v>
      </c>
      <c r="L40" s="271">
        <v>0.40085599999999999</v>
      </c>
      <c r="M40" s="271">
        <v>0.44950899999999999</v>
      </c>
      <c r="N40" s="271">
        <v>0.44732699999999997</v>
      </c>
      <c r="O40" s="271">
        <v>0.45370500000000002</v>
      </c>
      <c r="P40" s="271">
        <v>0.53214300000000003</v>
      </c>
      <c r="Q40" s="271">
        <v>0.48624000000000001</v>
      </c>
      <c r="R40" s="271">
        <v>0.46405000000000002</v>
      </c>
      <c r="S40" s="271">
        <v>0.455482</v>
      </c>
      <c r="T40" s="271">
        <v>0.45082899999999998</v>
      </c>
      <c r="U40" s="271">
        <v>0.45003500000000002</v>
      </c>
      <c r="V40" s="271">
        <v>0.45556999999999997</v>
      </c>
      <c r="W40" s="271">
        <v>0.44808999999999999</v>
      </c>
      <c r="X40" s="271">
        <v>0.43851499999999999</v>
      </c>
      <c r="Y40" s="271">
        <v>0.440971</v>
      </c>
      <c r="Z40" s="271">
        <v>0.54706600000000005</v>
      </c>
      <c r="AA40" s="271">
        <v>0.47692499999999999</v>
      </c>
      <c r="AB40" s="271">
        <v>0.61267499999999997</v>
      </c>
      <c r="AC40" s="271">
        <v>0.56340400000000002</v>
      </c>
      <c r="AD40" s="271">
        <v>0.51369900000000002</v>
      </c>
      <c r="AE40" s="271">
        <v>0.713924</v>
      </c>
      <c r="AF40" s="272" t="s">
        <v>635</v>
      </c>
      <c r="AG40" s="208"/>
    </row>
    <row r="41" spans="1:33" ht="12" x14ac:dyDescent="0.2">
      <c r="B41" s="208"/>
      <c r="C41" s="208"/>
      <c r="D41" s="208"/>
      <c r="E41" s="208"/>
      <c r="F41" s="208"/>
      <c r="G41" s="208"/>
      <c r="H41" s="208"/>
      <c r="I41" s="208"/>
      <c r="J41" s="208"/>
      <c r="K41" s="208"/>
      <c r="L41" s="208"/>
      <c r="M41" s="208"/>
      <c r="N41" s="208"/>
      <c r="O41" s="208"/>
      <c r="P41" s="208"/>
      <c r="Q41" s="208"/>
      <c r="R41" s="208"/>
      <c r="S41" s="208"/>
      <c r="T41" s="208"/>
      <c r="U41" s="208"/>
      <c r="V41" s="208"/>
      <c r="W41" s="208"/>
      <c r="X41" s="208"/>
      <c r="Y41" s="208"/>
      <c r="Z41" s="208"/>
      <c r="AA41" s="208"/>
      <c r="AB41" s="208"/>
      <c r="AC41" s="208"/>
      <c r="AD41" s="208"/>
      <c r="AE41" s="208"/>
      <c r="AF41" s="208"/>
      <c r="AG41" s="208"/>
    </row>
    <row r="42" spans="1:33" ht="12" x14ac:dyDescent="0.2">
      <c r="B42" s="267" t="s">
        <v>165</v>
      </c>
      <c r="C42" s="208"/>
      <c r="D42" s="208"/>
      <c r="E42" s="208"/>
      <c r="F42" s="208"/>
      <c r="G42" s="208"/>
      <c r="H42" s="208"/>
      <c r="I42" s="208"/>
      <c r="J42" s="208"/>
      <c r="K42" s="208"/>
      <c r="L42" s="208"/>
      <c r="M42" s="208"/>
      <c r="N42" s="208"/>
      <c r="O42" s="208"/>
      <c r="P42" s="208"/>
      <c r="Q42" s="208"/>
      <c r="R42" s="208"/>
      <c r="S42" s="208"/>
      <c r="T42" s="208"/>
      <c r="U42" s="208"/>
      <c r="V42" s="208"/>
      <c r="W42" s="208"/>
      <c r="X42" s="208"/>
      <c r="Y42" s="208"/>
      <c r="Z42" s="208"/>
      <c r="AA42" s="208"/>
      <c r="AB42" s="208"/>
      <c r="AC42" s="208"/>
      <c r="AD42" s="208"/>
      <c r="AE42" s="208"/>
      <c r="AF42" s="208"/>
      <c r="AG42" s="208"/>
    </row>
    <row r="43" spans="1:33" ht="12" x14ac:dyDescent="0.2">
      <c r="A43" s="213" t="s">
        <v>166</v>
      </c>
      <c r="B43" s="268" t="s">
        <v>167</v>
      </c>
      <c r="C43" s="269">
        <v>36.816775999999997</v>
      </c>
      <c r="D43" s="269">
        <v>36.981636000000002</v>
      </c>
      <c r="E43" s="269">
        <v>36.540515999999997</v>
      </c>
      <c r="F43" s="269">
        <v>36.382579999999997</v>
      </c>
      <c r="G43" s="269">
        <v>36.236435</v>
      </c>
      <c r="H43" s="269">
        <v>36.093871999999998</v>
      </c>
      <c r="I43" s="269">
        <v>35.925086999999998</v>
      </c>
      <c r="J43" s="269">
        <v>35.71246</v>
      </c>
      <c r="K43" s="269">
        <v>35.460438000000003</v>
      </c>
      <c r="L43" s="269">
        <v>35.244152</v>
      </c>
      <c r="M43" s="269">
        <v>35.085304000000001</v>
      </c>
      <c r="N43" s="269">
        <v>34.948363999999998</v>
      </c>
      <c r="O43" s="269">
        <v>34.868290000000002</v>
      </c>
      <c r="P43" s="269">
        <v>34.774864000000001</v>
      </c>
      <c r="Q43" s="269">
        <v>34.660747999999998</v>
      </c>
      <c r="R43" s="269">
        <v>34.614303999999997</v>
      </c>
      <c r="S43" s="269">
        <v>34.581386999999999</v>
      </c>
      <c r="T43" s="269">
        <v>34.574551</v>
      </c>
      <c r="U43" s="269">
        <v>34.635840999999999</v>
      </c>
      <c r="V43" s="269">
        <v>34.700854999999997</v>
      </c>
      <c r="W43" s="269">
        <v>34.772815999999999</v>
      </c>
      <c r="X43" s="269">
        <v>34.843960000000003</v>
      </c>
      <c r="Y43" s="269">
        <v>34.938003999999999</v>
      </c>
      <c r="Z43" s="269">
        <v>35.050570999999998</v>
      </c>
      <c r="AA43" s="269">
        <v>35.202903999999997</v>
      </c>
      <c r="AB43" s="269">
        <v>35.394215000000003</v>
      </c>
      <c r="AC43" s="269">
        <v>35.548606999999997</v>
      </c>
      <c r="AD43" s="269">
        <v>35.727843999999997</v>
      </c>
      <c r="AE43" s="269">
        <v>35.995078999999997</v>
      </c>
      <c r="AF43" s="270">
        <v>-8.0599999999999997E-4</v>
      </c>
      <c r="AG43" s="208"/>
    </row>
    <row r="44" spans="1:33" ht="12" x14ac:dyDescent="0.2">
      <c r="A44" s="213" t="s">
        <v>168</v>
      </c>
      <c r="B44" s="268" t="s">
        <v>152</v>
      </c>
      <c r="C44" s="269">
        <v>33.183849000000002</v>
      </c>
      <c r="D44" s="269">
        <v>31.975372</v>
      </c>
      <c r="E44" s="269">
        <v>30.744192000000002</v>
      </c>
      <c r="F44" s="269">
        <v>30.454858999999999</v>
      </c>
      <c r="G44" s="269">
        <v>30.362862</v>
      </c>
      <c r="H44" s="269">
        <v>29.860353</v>
      </c>
      <c r="I44" s="269">
        <v>29.690902999999999</v>
      </c>
      <c r="J44" s="269">
        <v>29.540801999999999</v>
      </c>
      <c r="K44" s="269">
        <v>29.285072</v>
      </c>
      <c r="L44" s="269">
        <v>29.002974999999999</v>
      </c>
      <c r="M44" s="269">
        <v>28.867509999999999</v>
      </c>
      <c r="N44" s="269">
        <v>28.778568</v>
      </c>
      <c r="O44" s="269">
        <v>28.707445</v>
      </c>
      <c r="P44" s="269">
        <v>28.712893000000001</v>
      </c>
      <c r="Q44" s="269">
        <v>28.819685</v>
      </c>
      <c r="R44" s="269">
        <v>28.978542000000001</v>
      </c>
      <c r="S44" s="269">
        <v>29.210225999999999</v>
      </c>
      <c r="T44" s="269">
        <v>29.397072000000001</v>
      </c>
      <c r="U44" s="269">
        <v>29.632147</v>
      </c>
      <c r="V44" s="269">
        <v>29.788446</v>
      </c>
      <c r="W44" s="269">
        <v>29.983868000000001</v>
      </c>
      <c r="X44" s="269">
        <v>30.153929000000002</v>
      </c>
      <c r="Y44" s="269">
        <v>30.279633</v>
      </c>
      <c r="Z44" s="269">
        <v>30.429348000000001</v>
      </c>
      <c r="AA44" s="269">
        <v>30.410451999999999</v>
      </c>
      <c r="AB44" s="269">
        <v>30.539183000000001</v>
      </c>
      <c r="AC44" s="269">
        <v>30.747510999999999</v>
      </c>
      <c r="AD44" s="269">
        <v>30.902692999999999</v>
      </c>
      <c r="AE44" s="269">
        <v>31.130542999999999</v>
      </c>
      <c r="AF44" s="270">
        <v>-2.2790000000000002E-3</v>
      </c>
      <c r="AG44" s="208"/>
    </row>
    <row r="45" spans="1:33" ht="12" x14ac:dyDescent="0.2">
      <c r="A45" s="213" t="s">
        <v>169</v>
      </c>
      <c r="B45" s="268" t="s">
        <v>170</v>
      </c>
      <c r="C45" s="269">
        <v>9.694483</v>
      </c>
      <c r="D45" s="269">
        <v>9.0405219999999993</v>
      </c>
      <c r="E45" s="269">
        <v>9.4110289999999992</v>
      </c>
      <c r="F45" s="269">
        <v>8.6470579999999995</v>
      </c>
      <c r="G45" s="269">
        <v>7.5168629999999999</v>
      </c>
      <c r="H45" s="269">
        <v>6.5015349999999996</v>
      </c>
      <c r="I45" s="269">
        <v>5.5293720000000004</v>
      </c>
      <c r="J45" s="269">
        <v>4.8016839999999998</v>
      </c>
      <c r="K45" s="269">
        <v>4.3969440000000004</v>
      </c>
      <c r="L45" s="269">
        <v>4.3077800000000002</v>
      </c>
      <c r="M45" s="269">
        <v>4.2720849999999997</v>
      </c>
      <c r="N45" s="269">
        <v>4.3385850000000001</v>
      </c>
      <c r="O45" s="269">
        <v>4.2996169999999996</v>
      </c>
      <c r="P45" s="269">
        <v>4.3025219999999997</v>
      </c>
      <c r="Q45" s="269">
        <v>4.2609709999999996</v>
      </c>
      <c r="R45" s="269">
        <v>4.1610040000000001</v>
      </c>
      <c r="S45" s="269">
        <v>4.0027169999999996</v>
      </c>
      <c r="T45" s="269">
        <v>3.909357</v>
      </c>
      <c r="U45" s="269">
        <v>3.8068559999999998</v>
      </c>
      <c r="V45" s="269">
        <v>3.8240850000000002</v>
      </c>
      <c r="W45" s="269">
        <v>3.8151120000000001</v>
      </c>
      <c r="X45" s="269">
        <v>3.7632509999999999</v>
      </c>
      <c r="Y45" s="269">
        <v>3.6459890000000001</v>
      </c>
      <c r="Z45" s="269">
        <v>3.548136</v>
      </c>
      <c r="AA45" s="269">
        <v>3.4636490000000002</v>
      </c>
      <c r="AB45" s="269">
        <v>3.4229319999999999</v>
      </c>
      <c r="AC45" s="269">
        <v>3.3332199999999998</v>
      </c>
      <c r="AD45" s="269">
        <v>3.3112200000000001</v>
      </c>
      <c r="AE45" s="269">
        <v>3.208326</v>
      </c>
      <c r="AF45" s="270">
        <v>-3.8723E-2</v>
      </c>
      <c r="AG45" s="208"/>
    </row>
    <row r="46" spans="1:33" ht="12" x14ac:dyDescent="0.2">
      <c r="A46" s="213" t="s">
        <v>171</v>
      </c>
      <c r="B46" s="268" t="s">
        <v>136</v>
      </c>
      <c r="C46" s="269">
        <v>8.0646540000000009</v>
      </c>
      <c r="D46" s="269">
        <v>8.1872109999999996</v>
      </c>
      <c r="E46" s="269">
        <v>8.2466290000000004</v>
      </c>
      <c r="F46" s="269">
        <v>8.1719659999999994</v>
      </c>
      <c r="G46" s="269">
        <v>8.0928570000000004</v>
      </c>
      <c r="H46" s="269">
        <v>8.0927190000000007</v>
      </c>
      <c r="I46" s="269">
        <v>7.9974689999999997</v>
      </c>
      <c r="J46" s="269">
        <v>7.9973400000000003</v>
      </c>
      <c r="K46" s="269">
        <v>7.9187440000000002</v>
      </c>
      <c r="L46" s="269">
        <v>7.9187969999999996</v>
      </c>
      <c r="M46" s="269">
        <v>7.9188850000000004</v>
      </c>
      <c r="N46" s="269">
        <v>7.47281</v>
      </c>
      <c r="O46" s="269">
        <v>7.4032179999999999</v>
      </c>
      <c r="P46" s="269">
        <v>7.3139329999999996</v>
      </c>
      <c r="Q46" s="269">
        <v>7.1458170000000001</v>
      </c>
      <c r="R46" s="269">
        <v>7.0316359999999998</v>
      </c>
      <c r="S46" s="269">
        <v>6.8371979999999999</v>
      </c>
      <c r="T46" s="269">
        <v>6.734248</v>
      </c>
      <c r="U46" s="269">
        <v>6.5336410000000003</v>
      </c>
      <c r="V46" s="269">
        <v>6.5354080000000003</v>
      </c>
      <c r="W46" s="269">
        <v>6.5385289999999996</v>
      </c>
      <c r="X46" s="269">
        <v>6.5412020000000002</v>
      </c>
      <c r="Y46" s="269">
        <v>6.5441659999999997</v>
      </c>
      <c r="Z46" s="269">
        <v>6.5441919999999998</v>
      </c>
      <c r="AA46" s="269">
        <v>6.5416629999999998</v>
      </c>
      <c r="AB46" s="269">
        <v>6.5396289999999997</v>
      </c>
      <c r="AC46" s="269">
        <v>6.5306360000000003</v>
      </c>
      <c r="AD46" s="269">
        <v>6.5318709999999998</v>
      </c>
      <c r="AE46" s="269">
        <v>6.5277070000000004</v>
      </c>
      <c r="AF46" s="270">
        <v>-7.5230000000000002E-3</v>
      </c>
      <c r="AG46" s="208"/>
    </row>
    <row r="47" spans="1:33" ht="12" x14ac:dyDescent="0.2">
      <c r="A47" s="213" t="s">
        <v>172</v>
      </c>
      <c r="B47" s="268" t="s">
        <v>138</v>
      </c>
      <c r="C47" s="269">
        <v>2.4534539999999998</v>
      </c>
      <c r="D47" s="269">
        <v>2.4584619999999999</v>
      </c>
      <c r="E47" s="269">
        <v>2.5025629999999999</v>
      </c>
      <c r="F47" s="269">
        <v>2.5886840000000002</v>
      </c>
      <c r="G47" s="269">
        <v>2.579723</v>
      </c>
      <c r="H47" s="269">
        <v>2.556826</v>
      </c>
      <c r="I47" s="269">
        <v>2.5153810000000001</v>
      </c>
      <c r="J47" s="269">
        <v>2.4861960000000001</v>
      </c>
      <c r="K47" s="269">
        <v>2.4574240000000001</v>
      </c>
      <c r="L47" s="269">
        <v>2.4364599999999998</v>
      </c>
      <c r="M47" s="269">
        <v>2.4196759999999999</v>
      </c>
      <c r="N47" s="269">
        <v>2.4223810000000001</v>
      </c>
      <c r="O47" s="269">
        <v>2.4264060000000001</v>
      </c>
      <c r="P47" s="269">
        <v>2.4299979999999999</v>
      </c>
      <c r="Q47" s="269">
        <v>2.4353150000000001</v>
      </c>
      <c r="R47" s="269">
        <v>2.4235120000000001</v>
      </c>
      <c r="S47" s="269">
        <v>2.4101499999999998</v>
      </c>
      <c r="T47" s="269">
        <v>2.3862079999999999</v>
      </c>
      <c r="U47" s="269">
        <v>2.381421</v>
      </c>
      <c r="V47" s="269">
        <v>2.3661409999999998</v>
      </c>
      <c r="W47" s="269">
        <v>2.3694090000000001</v>
      </c>
      <c r="X47" s="269">
        <v>2.3626369999999999</v>
      </c>
      <c r="Y47" s="269">
        <v>2.357599</v>
      </c>
      <c r="Z47" s="269">
        <v>2.3544640000000001</v>
      </c>
      <c r="AA47" s="269">
        <v>2.343242</v>
      </c>
      <c r="AB47" s="269">
        <v>2.336414</v>
      </c>
      <c r="AC47" s="269">
        <v>2.3340749999999999</v>
      </c>
      <c r="AD47" s="269">
        <v>2.3209420000000001</v>
      </c>
      <c r="AE47" s="269">
        <v>2.309024</v>
      </c>
      <c r="AF47" s="270">
        <v>-2.1640000000000001E-3</v>
      </c>
      <c r="AG47" s="208"/>
    </row>
    <row r="48" spans="1:33" ht="12" x14ac:dyDescent="0.2">
      <c r="A48" s="213" t="s">
        <v>173</v>
      </c>
      <c r="B48" s="268" t="s">
        <v>174</v>
      </c>
      <c r="C48" s="269">
        <v>3.086376</v>
      </c>
      <c r="D48" s="269">
        <v>3.2750919999999999</v>
      </c>
      <c r="E48" s="269">
        <v>3.0971489999999999</v>
      </c>
      <c r="F48" s="269">
        <v>3.077337</v>
      </c>
      <c r="G48" s="269">
        <v>3.0571389999999998</v>
      </c>
      <c r="H48" s="269">
        <v>3.0452159999999999</v>
      </c>
      <c r="I48" s="269">
        <v>3.037763</v>
      </c>
      <c r="J48" s="269">
        <v>3.0313680000000001</v>
      </c>
      <c r="K48" s="269">
        <v>3.0259330000000002</v>
      </c>
      <c r="L48" s="269">
        <v>3.0254590000000001</v>
      </c>
      <c r="M48" s="269">
        <v>3.0276860000000001</v>
      </c>
      <c r="N48" s="269">
        <v>3.034011</v>
      </c>
      <c r="O48" s="269">
        <v>3.0408620000000002</v>
      </c>
      <c r="P48" s="269">
        <v>3.0527120000000001</v>
      </c>
      <c r="Q48" s="269">
        <v>3.0502639999999999</v>
      </c>
      <c r="R48" s="269">
        <v>3.0545429999999998</v>
      </c>
      <c r="S48" s="269">
        <v>3.0583879999999999</v>
      </c>
      <c r="T48" s="269">
        <v>3.063898</v>
      </c>
      <c r="U48" s="269">
        <v>3.0734149999999998</v>
      </c>
      <c r="V48" s="269">
        <v>3.0928680000000002</v>
      </c>
      <c r="W48" s="269">
        <v>3.1042909999999999</v>
      </c>
      <c r="X48" s="269">
        <v>3.1158239999999999</v>
      </c>
      <c r="Y48" s="269">
        <v>3.11755</v>
      </c>
      <c r="Z48" s="269">
        <v>3.1225860000000001</v>
      </c>
      <c r="AA48" s="269">
        <v>3.1411410000000002</v>
      </c>
      <c r="AB48" s="269">
        <v>3.1599710000000001</v>
      </c>
      <c r="AC48" s="269">
        <v>3.1829179999999999</v>
      </c>
      <c r="AD48" s="269">
        <v>3.2009940000000001</v>
      </c>
      <c r="AE48" s="269">
        <v>3.21923</v>
      </c>
      <c r="AF48" s="270">
        <v>1.506E-3</v>
      </c>
      <c r="AG48" s="208"/>
    </row>
    <row r="49" spans="1:33" ht="12" x14ac:dyDescent="0.2">
      <c r="A49" s="213" t="s">
        <v>175</v>
      </c>
      <c r="B49" s="268" t="s">
        <v>142</v>
      </c>
      <c r="C49" s="269">
        <v>5.6228480000000003</v>
      </c>
      <c r="D49" s="269">
        <v>6.1255499999999996</v>
      </c>
      <c r="E49" s="269">
        <v>6.742159</v>
      </c>
      <c r="F49" s="269">
        <v>8.1732440000000004</v>
      </c>
      <c r="G49" s="269">
        <v>9.9076740000000001</v>
      </c>
      <c r="H49" s="269">
        <v>11.653165</v>
      </c>
      <c r="I49" s="269">
        <v>13.154488000000001</v>
      </c>
      <c r="J49" s="269">
        <v>14.209771999999999</v>
      </c>
      <c r="K49" s="269">
        <v>15.128234000000001</v>
      </c>
      <c r="L49" s="269">
        <v>15.78889</v>
      </c>
      <c r="M49" s="269">
        <v>16.442295000000001</v>
      </c>
      <c r="N49" s="269">
        <v>17.189572999999999</v>
      </c>
      <c r="O49" s="269">
        <v>17.791294000000001</v>
      </c>
      <c r="P49" s="269">
        <v>18.262888</v>
      </c>
      <c r="Q49" s="269">
        <v>18.746867999999999</v>
      </c>
      <c r="R49" s="269">
        <v>19.110621999999999</v>
      </c>
      <c r="S49" s="269">
        <v>19.414563999999999</v>
      </c>
      <c r="T49" s="269">
        <v>19.609310000000001</v>
      </c>
      <c r="U49" s="269">
        <v>19.90523</v>
      </c>
      <c r="V49" s="269">
        <v>20.063116000000001</v>
      </c>
      <c r="W49" s="269">
        <v>20.302187</v>
      </c>
      <c r="X49" s="269">
        <v>20.584305000000001</v>
      </c>
      <c r="Y49" s="269">
        <v>20.993839000000001</v>
      </c>
      <c r="Z49" s="269">
        <v>21.370591999999998</v>
      </c>
      <c r="AA49" s="269">
        <v>21.805226999999999</v>
      </c>
      <c r="AB49" s="269">
        <v>22.17202</v>
      </c>
      <c r="AC49" s="269">
        <v>22.539532000000001</v>
      </c>
      <c r="AD49" s="269">
        <v>22.840260000000001</v>
      </c>
      <c r="AE49" s="269">
        <v>23.283978999999999</v>
      </c>
      <c r="AF49" s="270">
        <v>5.2056999999999999E-2</v>
      </c>
      <c r="AG49" s="208"/>
    </row>
    <row r="50" spans="1:33" ht="15" customHeight="1" x14ac:dyDescent="0.2">
      <c r="A50" s="213" t="s">
        <v>176</v>
      </c>
      <c r="B50" s="268" t="s">
        <v>177</v>
      </c>
      <c r="C50" s="269">
        <v>0.271036</v>
      </c>
      <c r="D50" s="269">
        <v>0.29992400000000002</v>
      </c>
      <c r="E50" s="269">
        <v>0.27443299999999998</v>
      </c>
      <c r="F50" s="269">
        <v>0.257492</v>
      </c>
      <c r="G50" s="269">
        <v>0.26146999999999998</v>
      </c>
      <c r="H50" s="269">
        <v>0.27512900000000001</v>
      </c>
      <c r="I50" s="269">
        <v>0.283526</v>
      </c>
      <c r="J50" s="269">
        <v>0.27605499999999999</v>
      </c>
      <c r="K50" s="269">
        <v>0.28388999999999998</v>
      </c>
      <c r="L50" s="269">
        <v>0.27529100000000001</v>
      </c>
      <c r="M50" s="269">
        <v>0.27900999999999998</v>
      </c>
      <c r="N50" s="269">
        <v>0.28079199999999999</v>
      </c>
      <c r="O50" s="269">
        <v>0.28222199999999997</v>
      </c>
      <c r="P50" s="269">
        <v>0.27832400000000002</v>
      </c>
      <c r="Q50" s="269">
        <v>0.27709899999999998</v>
      </c>
      <c r="R50" s="269">
        <v>0.277055</v>
      </c>
      <c r="S50" s="269">
        <v>0.27971200000000002</v>
      </c>
      <c r="T50" s="269">
        <v>0.28193299999999999</v>
      </c>
      <c r="U50" s="269">
        <v>0.28373700000000002</v>
      </c>
      <c r="V50" s="269">
        <v>0.278974</v>
      </c>
      <c r="W50" s="269">
        <v>0.27892800000000001</v>
      </c>
      <c r="X50" s="269">
        <v>0.27663399999999999</v>
      </c>
      <c r="Y50" s="269">
        <v>0.27388499999999999</v>
      </c>
      <c r="Z50" s="269">
        <v>0.27115800000000001</v>
      </c>
      <c r="AA50" s="269">
        <v>0.268038</v>
      </c>
      <c r="AB50" s="269">
        <v>0.26756000000000002</v>
      </c>
      <c r="AC50" s="269">
        <v>0.26897199999999999</v>
      </c>
      <c r="AD50" s="269">
        <v>0.26747799999999999</v>
      </c>
      <c r="AE50" s="269">
        <v>0.26547100000000001</v>
      </c>
      <c r="AF50" s="270">
        <v>-7.4100000000000001E-4</v>
      </c>
      <c r="AG50" s="208"/>
    </row>
    <row r="51" spans="1:33" ht="15" customHeight="1" x14ac:dyDescent="0.2">
      <c r="A51" s="213" t="s">
        <v>178</v>
      </c>
      <c r="B51" s="267" t="s">
        <v>179</v>
      </c>
      <c r="C51" s="271">
        <v>99.193466000000001</v>
      </c>
      <c r="D51" s="271">
        <v>98.343772999999999</v>
      </c>
      <c r="E51" s="271">
        <v>97.558655000000002</v>
      </c>
      <c r="F51" s="271">
        <v>97.753219999999999</v>
      </c>
      <c r="G51" s="271">
        <v>98.015015000000005</v>
      </c>
      <c r="H51" s="271">
        <v>98.078818999999996</v>
      </c>
      <c r="I51" s="271">
        <v>98.133987000000005</v>
      </c>
      <c r="J51" s="271">
        <v>98.055678999999998</v>
      </c>
      <c r="K51" s="271">
        <v>97.956688</v>
      </c>
      <c r="L51" s="271">
        <v>97.999808999999999</v>
      </c>
      <c r="M51" s="271">
        <v>98.312447000000006</v>
      </c>
      <c r="N51" s="271">
        <v>98.465087999999994</v>
      </c>
      <c r="O51" s="271">
        <v>98.819359000000006</v>
      </c>
      <c r="P51" s="271">
        <v>99.128128000000004</v>
      </c>
      <c r="Q51" s="271">
        <v>99.396773999999994</v>
      </c>
      <c r="R51" s="271">
        <v>99.651229999999998</v>
      </c>
      <c r="S51" s="271">
        <v>99.794334000000006</v>
      </c>
      <c r="T51" s="271">
        <v>99.956565999999995</v>
      </c>
      <c r="U51" s="271">
        <v>100.252289</v>
      </c>
      <c r="V51" s="271">
        <v>100.649895</v>
      </c>
      <c r="W51" s="271">
        <v>101.165138</v>
      </c>
      <c r="X51" s="271">
        <v>101.641739</v>
      </c>
      <c r="Y51" s="271">
        <v>102.150665</v>
      </c>
      <c r="Z51" s="271">
        <v>102.69104</v>
      </c>
      <c r="AA51" s="271">
        <v>103.176315</v>
      </c>
      <c r="AB51" s="271">
        <v>103.831924</v>
      </c>
      <c r="AC51" s="271">
        <v>104.485474</v>
      </c>
      <c r="AD51" s="271">
        <v>105.10330999999999</v>
      </c>
      <c r="AE51" s="271">
        <v>105.939369</v>
      </c>
      <c r="AF51" s="272">
        <v>2.3530000000000001E-3</v>
      </c>
      <c r="AG51" s="208"/>
    </row>
    <row r="52" spans="1:33" ht="15" customHeight="1" x14ac:dyDescent="0.2">
      <c r="B52" s="208"/>
      <c r="C52" s="208"/>
      <c r="D52" s="208"/>
      <c r="E52" s="208"/>
      <c r="F52" s="208"/>
      <c r="G52" s="208"/>
      <c r="H52" s="208"/>
      <c r="I52" s="208"/>
      <c r="J52" s="208"/>
      <c r="K52" s="208"/>
      <c r="L52" s="208"/>
      <c r="M52" s="208"/>
      <c r="N52" s="208"/>
      <c r="O52" s="208"/>
      <c r="P52" s="208"/>
      <c r="Q52" s="208"/>
      <c r="R52" s="208"/>
      <c r="S52" s="208"/>
      <c r="T52" s="208"/>
      <c r="U52" s="208"/>
      <c r="V52" s="208"/>
      <c r="W52" s="208"/>
      <c r="X52" s="208"/>
      <c r="Y52" s="208"/>
      <c r="Z52" s="208"/>
      <c r="AA52" s="208"/>
      <c r="AB52" s="208"/>
      <c r="AC52" s="208"/>
      <c r="AD52" s="208"/>
      <c r="AE52" s="208"/>
      <c r="AF52" s="208"/>
      <c r="AG52" s="208"/>
    </row>
    <row r="53" spans="1:33" ht="15" customHeight="1" x14ac:dyDescent="0.2">
      <c r="B53" s="267" t="s">
        <v>836</v>
      </c>
      <c r="C53" s="208"/>
      <c r="D53" s="208"/>
      <c r="E53" s="208"/>
      <c r="F53" s="208"/>
      <c r="G53" s="208"/>
      <c r="H53" s="208"/>
      <c r="I53" s="208"/>
      <c r="J53" s="208"/>
      <c r="K53" s="208"/>
      <c r="L53" s="208"/>
      <c r="M53" s="208"/>
      <c r="N53" s="208"/>
      <c r="O53" s="208"/>
      <c r="P53" s="208"/>
      <c r="Q53" s="208"/>
      <c r="R53" s="208"/>
      <c r="S53" s="208"/>
      <c r="T53" s="208"/>
      <c r="U53" s="208"/>
      <c r="V53" s="208"/>
      <c r="W53" s="208"/>
      <c r="X53" s="208"/>
      <c r="Y53" s="208"/>
      <c r="Z53" s="208"/>
      <c r="AA53" s="208"/>
      <c r="AB53" s="208"/>
      <c r="AC53" s="208"/>
      <c r="AD53" s="208"/>
      <c r="AE53" s="208"/>
      <c r="AF53" s="208"/>
      <c r="AG53" s="208"/>
    </row>
    <row r="54" spans="1:33" ht="15" customHeight="1" x14ac:dyDescent="0.2">
      <c r="A54" s="213" t="s">
        <v>180</v>
      </c>
      <c r="B54" s="268" t="s">
        <v>181</v>
      </c>
      <c r="C54" s="273">
        <v>102.129997</v>
      </c>
      <c r="D54" s="273">
        <v>91.544692999999995</v>
      </c>
      <c r="E54" s="273">
        <v>92.531395000000003</v>
      </c>
      <c r="F54" s="273">
        <v>87.048607000000004</v>
      </c>
      <c r="G54" s="273">
        <v>87.882819999999995</v>
      </c>
      <c r="H54" s="273">
        <v>88.306426999999999</v>
      </c>
      <c r="I54" s="273">
        <v>88.879097000000002</v>
      </c>
      <c r="J54" s="273">
        <v>89.470894000000001</v>
      </c>
      <c r="K54" s="273">
        <v>90.163071000000002</v>
      </c>
      <c r="L54" s="273">
        <v>90.724143999999995</v>
      </c>
      <c r="M54" s="273">
        <v>91.546386999999996</v>
      </c>
      <c r="N54" s="273">
        <v>92.007187000000002</v>
      </c>
      <c r="O54" s="273">
        <v>92.694916000000006</v>
      </c>
      <c r="P54" s="273">
        <v>93.552750000000003</v>
      </c>
      <c r="Q54" s="273">
        <v>94.142882999999998</v>
      </c>
      <c r="R54" s="273">
        <v>94.796172999999996</v>
      </c>
      <c r="S54" s="273">
        <v>95.331740999999994</v>
      </c>
      <c r="T54" s="273">
        <v>95.867317</v>
      </c>
      <c r="U54" s="273">
        <v>96.392180999999994</v>
      </c>
      <c r="V54" s="273">
        <v>96.938461000000004</v>
      </c>
      <c r="W54" s="273">
        <v>97.381507999999997</v>
      </c>
      <c r="X54" s="273">
        <v>97.758681999999993</v>
      </c>
      <c r="Y54" s="273">
        <v>98.241776000000002</v>
      </c>
      <c r="Z54" s="273">
        <v>98.596687000000003</v>
      </c>
      <c r="AA54" s="273">
        <v>99.377373000000006</v>
      </c>
      <c r="AB54" s="273">
        <v>99.794150999999999</v>
      </c>
      <c r="AC54" s="273">
        <v>100.384407</v>
      </c>
      <c r="AD54" s="273">
        <v>101.06875599999999</v>
      </c>
      <c r="AE54" s="273">
        <v>101.34071400000001</v>
      </c>
      <c r="AF54" s="270">
        <v>-2.7700000000000001E-4</v>
      </c>
      <c r="AG54" s="208"/>
    </row>
    <row r="55" spans="1:33" ht="15" customHeight="1" x14ac:dyDescent="0.2">
      <c r="A55" s="213" t="s">
        <v>182</v>
      </c>
      <c r="B55" s="268" t="s">
        <v>183</v>
      </c>
      <c r="C55" s="273">
        <v>95.875998999999993</v>
      </c>
      <c r="D55" s="273">
        <v>85.782882999999998</v>
      </c>
      <c r="E55" s="273">
        <v>91.164046999999997</v>
      </c>
      <c r="F55" s="273">
        <v>85.233161999999993</v>
      </c>
      <c r="G55" s="273">
        <v>85.255095999999995</v>
      </c>
      <c r="H55" s="273">
        <v>85.532898000000003</v>
      </c>
      <c r="I55" s="273">
        <v>86.264731999999995</v>
      </c>
      <c r="J55" s="273">
        <v>86.738144000000005</v>
      </c>
      <c r="K55" s="273">
        <v>87.188271</v>
      </c>
      <c r="L55" s="273">
        <v>87.748749000000004</v>
      </c>
      <c r="M55" s="273">
        <v>88.512123000000003</v>
      </c>
      <c r="N55" s="273">
        <v>88.937447000000006</v>
      </c>
      <c r="O55" s="273">
        <v>89.608727000000002</v>
      </c>
      <c r="P55" s="273">
        <v>90.032150000000001</v>
      </c>
      <c r="Q55" s="273">
        <v>90.825806</v>
      </c>
      <c r="R55" s="273">
        <v>91.434028999999995</v>
      </c>
      <c r="S55" s="273">
        <v>91.807198</v>
      </c>
      <c r="T55" s="273">
        <v>92.341896000000006</v>
      </c>
      <c r="U55" s="273">
        <v>92.759917999999999</v>
      </c>
      <c r="V55" s="273">
        <v>93.263626000000002</v>
      </c>
      <c r="W55" s="273">
        <v>93.719948000000002</v>
      </c>
      <c r="X55" s="273">
        <v>94.111892999999995</v>
      </c>
      <c r="Y55" s="273">
        <v>94.517478999999994</v>
      </c>
      <c r="Z55" s="273">
        <v>94.856955999999997</v>
      </c>
      <c r="AA55" s="273">
        <v>95.591453999999999</v>
      </c>
      <c r="AB55" s="273">
        <v>96.024887000000007</v>
      </c>
      <c r="AC55" s="273">
        <v>96.717949000000004</v>
      </c>
      <c r="AD55" s="273">
        <v>97.444785999999993</v>
      </c>
      <c r="AE55" s="273">
        <v>97.681374000000005</v>
      </c>
      <c r="AF55" s="270">
        <v>6.6600000000000003E-4</v>
      </c>
      <c r="AG55" s="208"/>
    </row>
    <row r="56" spans="1:33" ht="15" customHeight="1" x14ac:dyDescent="0.2">
      <c r="A56" s="213" t="s">
        <v>184</v>
      </c>
      <c r="B56" s="268" t="s">
        <v>185</v>
      </c>
      <c r="C56" s="269">
        <v>6.5239969999999996</v>
      </c>
      <c r="D56" s="269">
        <v>5.2663760000000002</v>
      </c>
      <c r="E56" s="269">
        <v>4.072381</v>
      </c>
      <c r="F56" s="269">
        <v>3.4895139999999998</v>
      </c>
      <c r="G56" s="269">
        <v>3.0655079999999999</v>
      </c>
      <c r="H56" s="269">
        <v>2.8530009999999999</v>
      </c>
      <c r="I56" s="269">
        <v>2.7999040000000002</v>
      </c>
      <c r="J56" s="269">
        <v>2.825097</v>
      </c>
      <c r="K56" s="269">
        <v>2.91248</v>
      </c>
      <c r="L56" s="269">
        <v>3.043758</v>
      </c>
      <c r="M56" s="269">
        <v>3.2080039999999999</v>
      </c>
      <c r="N56" s="269">
        <v>3.4169179999999999</v>
      </c>
      <c r="O56" s="269">
        <v>3.5694300000000001</v>
      </c>
      <c r="P56" s="269">
        <v>3.6818240000000002</v>
      </c>
      <c r="Q56" s="269">
        <v>3.6941549999999999</v>
      </c>
      <c r="R56" s="269">
        <v>3.7375959999999999</v>
      </c>
      <c r="S56" s="269">
        <v>3.8665609999999999</v>
      </c>
      <c r="T56" s="269">
        <v>3.78878</v>
      </c>
      <c r="U56" s="269">
        <v>3.9380649999999999</v>
      </c>
      <c r="V56" s="269">
        <v>4.0221549999999997</v>
      </c>
      <c r="W56" s="269">
        <v>4.0147370000000002</v>
      </c>
      <c r="X56" s="269">
        <v>3.9506160000000001</v>
      </c>
      <c r="Y56" s="269">
        <v>3.9137680000000001</v>
      </c>
      <c r="Z56" s="269">
        <v>3.9107059999999998</v>
      </c>
      <c r="AA56" s="269">
        <v>3.9070830000000001</v>
      </c>
      <c r="AB56" s="269">
        <v>3.8707060000000002</v>
      </c>
      <c r="AC56" s="269">
        <v>3.849094</v>
      </c>
      <c r="AD56" s="269">
        <v>3.7838949999999998</v>
      </c>
      <c r="AE56" s="269">
        <v>3.7710149999999998</v>
      </c>
      <c r="AF56" s="270">
        <v>-1.9386E-2</v>
      </c>
      <c r="AG56" s="208"/>
    </row>
    <row r="57" spans="1:33" ht="15" customHeight="1" x14ac:dyDescent="0.2">
      <c r="A57" s="213" t="s">
        <v>186</v>
      </c>
      <c r="B57" s="268" t="s">
        <v>187</v>
      </c>
      <c r="C57" s="274">
        <v>37.847487999999998</v>
      </c>
      <c r="D57" s="274">
        <v>37.282367999999998</v>
      </c>
      <c r="E57" s="274">
        <v>40.075564999999997</v>
      </c>
      <c r="F57" s="274">
        <v>40.780799999999999</v>
      </c>
      <c r="G57" s="274">
        <v>43.636291999999997</v>
      </c>
      <c r="H57" s="274">
        <v>47.361679000000002</v>
      </c>
      <c r="I57" s="274">
        <v>49.855021999999998</v>
      </c>
      <c r="J57" s="274">
        <v>50.434627999999996</v>
      </c>
      <c r="K57" s="274">
        <v>52.797508000000001</v>
      </c>
      <c r="L57" s="274">
        <v>55.776046999999998</v>
      </c>
      <c r="M57" s="274">
        <v>53.310043</v>
      </c>
      <c r="N57" s="274">
        <v>53.457973000000003</v>
      </c>
      <c r="O57" s="274">
        <v>53.443798000000001</v>
      </c>
      <c r="P57" s="274">
        <v>53.327933999999999</v>
      </c>
      <c r="Q57" s="274">
        <v>54.118721000000001</v>
      </c>
      <c r="R57" s="274">
        <v>55.130642000000002</v>
      </c>
      <c r="S57" s="274">
        <v>57.305939000000002</v>
      </c>
      <c r="T57" s="274">
        <v>57.809910000000002</v>
      </c>
      <c r="U57" s="274">
        <v>59.124003999999999</v>
      </c>
      <c r="V57" s="274">
        <v>58.977061999999997</v>
      </c>
      <c r="W57" s="274">
        <v>59.082129999999999</v>
      </c>
      <c r="X57" s="274">
        <v>60.307980000000001</v>
      </c>
      <c r="Y57" s="274">
        <v>61.433601000000003</v>
      </c>
      <c r="Z57" s="274">
        <v>62.543072000000002</v>
      </c>
      <c r="AA57" s="274">
        <v>63.485416000000001</v>
      </c>
      <c r="AB57" s="274">
        <v>63.976109000000001</v>
      </c>
      <c r="AC57" s="274">
        <v>64.145095999999995</v>
      </c>
      <c r="AD57" s="274">
        <v>64.784263999999993</v>
      </c>
      <c r="AE57" s="274">
        <v>65.411857999999995</v>
      </c>
      <c r="AF57" s="270">
        <v>1.9733000000000001E-2</v>
      </c>
      <c r="AG57" s="208"/>
    </row>
    <row r="58" spans="1:33" ht="15" customHeight="1" x14ac:dyDescent="0.2">
      <c r="A58" s="213" t="s">
        <v>188</v>
      </c>
      <c r="B58" s="268" t="s">
        <v>189</v>
      </c>
      <c r="C58" s="269">
        <v>1.8539890000000001</v>
      </c>
      <c r="D58" s="269">
        <v>1.8359920000000001</v>
      </c>
      <c r="E58" s="269">
        <v>1.9490689999999999</v>
      </c>
      <c r="F58" s="269">
        <v>1.9717739999999999</v>
      </c>
      <c r="G58" s="269">
        <v>2.0752959999999998</v>
      </c>
      <c r="H58" s="269">
        <v>2.2083719999999998</v>
      </c>
      <c r="I58" s="269">
        <v>2.3061219999999998</v>
      </c>
      <c r="J58" s="269">
        <v>2.357656</v>
      </c>
      <c r="K58" s="269">
        <v>2.4579559999999998</v>
      </c>
      <c r="L58" s="269">
        <v>2.5936340000000002</v>
      </c>
      <c r="M58" s="269">
        <v>2.4775179999999999</v>
      </c>
      <c r="N58" s="269">
        <v>2.4766789999999999</v>
      </c>
      <c r="O58" s="269">
        <v>2.4868980000000001</v>
      </c>
      <c r="P58" s="269">
        <v>2.4888340000000002</v>
      </c>
      <c r="Q58" s="269">
        <v>2.523628</v>
      </c>
      <c r="R58" s="269">
        <v>2.5752160000000002</v>
      </c>
      <c r="S58" s="269">
        <v>2.63626</v>
      </c>
      <c r="T58" s="269">
        <v>2.6563850000000002</v>
      </c>
      <c r="U58" s="269">
        <v>2.7089910000000001</v>
      </c>
      <c r="V58" s="269">
        <v>2.7087599999999998</v>
      </c>
      <c r="W58" s="269">
        <v>2.7161059999999999</v>
      </c>
      <c r="X58" s="269">
        <v>2.7612809999999999</v>
      </c>
      <c r="Y58" s="269">
        <v>2.8047680000000001</v>
      </c>
      <c r="Z58" s="269">
        <v>2.8470110000000002</v>
      </c>
      <c r="AA58" s="269">
        <v>2.8845800000000001</v>
      </c>
      <c r="AB58" s="269">
        <v>2.9054470000000001</v>
      </c>
      <c r="AC58" s="269">
        <v>2.9184459999999999</v>
      </c>
      <c r="AD58" s="269">
        <v>2.9436810000000002</v>
      </c>
      <c r="AE58" s="269">
        <v>2.9761790000000001</v>
      </c>
      <c r="AF58" s="270">
        <v>1.7047E-2</v>
      </c>
      <c r="AG58" s="208"/>
    </row>
    <row r="59" spans="1:33" ht="15" customHeight="1" x14ac:dyDescent="0.2">
      <c r="A59" s="213" t="s">
        <v>190</v>
      </c>
      <c r="B59" s="268" t="s">
        <v>191</v>
      </c>
      <c r="C59" s="269">
        <v>2.326422</v>
      </c>
      <c r="D59" s="269">
        <v>2.2674699999999999</v>
      </c>
      <c r="E59" s="269">
        <v>2.266108</v>
      </c>
      <c r="F59" s="269">
        <v>2.2712279999999998</v>
      </c>
      <c r="G59" s="269">
        <v>2.2835740000000002</v>
      </c>
      <c r="H59" s="269">
        <v>2.312538</v>
      </c>
      <c r="I59" s="269">
        <v>2.3492929999999999</v>
      </c>
      <c r="J59" s="269">
        <v>2.399381</v>
      </c>
      <c r="K59" s="269">
        <v>2.4461050000000002</v>
      </c>
      <c r="L59" s="269">
        <v>2.4511440000000002</v>
      </c>
      <c r="M59" s="269">
        <v>2.4411139999999998</v>
      </c>
      <c r="N59" s="269">
        <v>2.4258280000000001</v>
      </c>
      <c r="O59" s="269">
        <v>2.4312170000000002</v>
      </c>
      <c r="P59" s="269">
        <v>2.4290120000000002</v>
      </c>
      <c r="Q59" s="269">
        <v>2.432617</v>
      </c>
      <c r="R59" s="269">
        <v>2.450752</v>
      </c>
      <c r="S59" s="269">
        <v>2.4936690000000001</v>
      </c>
      <c r="T59" s="269">
        <v>2.5012650000000001</v>
      </c>
      <c r="U59" s="269">
        <v>2.5190320000000002</v>
      </c>
      <c r="V59" s="269">
        <v>2.5169809999999999</v>
      </c>
      <c r="W59" s="269">
        <v>2.5201069999999999</v>
      </c>
      <c r="X59" s="269">
        <v>2.5293510000000001</v>
      </c>
      <c r="Y59" s="269">
        <v>2.5445700000000002</v>
      </c>
      <c r="Z59" s="269">
        <v>2.5584180000000001</v>
      </c>
      <c r="AA59" s="269">
        <v>2.5769570000000002</v>
      </c>
      <c r="AB59" s="269">
        <v>2.584111</v>
      </c>
      <c r="AC59" s="269">
        <v>2.597035</v>
      </c>
      <c r="AD59" s="269">
        <v>2.6051700000000002</v>
      </c>
      <c r="AE59" s="269">
        <v>2.6310929999999999</v>
      </c>
      <c r="AF59" s="270">
        <v>4.4050000000000001E-3</v>
      </c>
      <c r="AG59" s="208"/>
    </row>
    <row r="60" spans="1:33" ht="15" customHeight="1" x14ac:dyDescent="0.2">
      <c r="A60" s="213" t="s">
        <v>192</v>
      </c>
      <c r="B60" s="268" t="s">
        <v>193</v>
      </c>
      <c r="C60" s="274">
        <v>12.224997999999999</v>
      </c>
      <c r="D60" s="274">
        <v>11.913273</v>
      </c>
      <c r="E60" s="274">
        <v>11.471824</v>
      </c>
      <c r="F60" s="274">
        <v>11.030275</v>
      </c>
      <c r="G60" s="274">
        <v>10.768831</v>
      </c>
      <c r="H60" s="274">
        <v>10.582514</v>
      </c>
      <c r="I60" s="274">
        <v>10.45016</v>
      </c>
      <c r="J60" s="274">
        <v>10.399552</v>
      </c>
      <c r="K60" s="274">
        <v>10.413741999999999</v>
      </c>
      <c r="L60" s="274">
        <v>10.447018999999999</v>
      </c>
      <c r="M60" s="274">
        <v>10.475133</v>
      </c>
      <c r="N60" s="274">
        <v>10.629588999999999</v>
      </c>
      <c r="O60" s="274">
        <v>10.729555</v>
      </c>
      <c r="P60" s="274">
        <v>10.730740000000001</v>
      </c>
      <c r="Q60" s="274">
        <v>10.793545</v>
      </c>
      <c r="R60" s="274">
        <v>10.871433</v>
      </c>
      <c r="S60" s="274">
        <v>10.987963000000001</v>
      </c>
      <c r="T60" s="274">
        <v>11.078531</v>
      </c>
      <c r="U60" s="274">
        <v>11.155383</v>
      </c>
      <c r="V60" s="274">
        <v>11.217563</v>
      </c>
      <c r="W60" s="274">
        <v>11.243109</v>
      </c>
      <c r="X60" s="274">
        <v>11.258493</v>
      </c>
      <c r="Y60" s="274">
        <v>11.271253</v>
      </c>
      <c r="Z60" s="274">
        <v>11.281693000000001</v>
      </c>
      <c r="AA60" s="274">
        <v>11.247436</v>
      </c>
      <c r="AB60" s="274">
        <v>11.196383000000001</v>
      </c>
      <c r="AC60" s="274">
        <v>11.178801</v>
      </c>
      <c r="AD60" s="274">
        <v>11.117008</v>
      </c>
      <c r="AE60" s="274">
        <v>11.024077999999999</v>
      </c>
      <c r="AF60" s="270">
        <v>-3.686E-3</v>
      </c>
      <c r="AG60" s="208"/>
    </row>
    <row r="61" spans="1:33" ht="15" customHeight="1" x14ac:dyDescent="0.2">
      <c r="B61" s="208"/>
      <c r="C61" s="208"/>
      <c r="D61" s="208"/>
      <c r="E61" s="208"/>
      <c r="F61" s="208"/>
      <c r="G61" s="208"/>
      <c r="H61" s="208"/>
      <c r="I61" s="208"/>
      <c r="J61" s="208"/>
      <c r="K61" s="208"/>
      <c r="L61" s="208"/>
      <c r="M61" s="208"/>
      <c r="N61" s="208"/>
      <c r="O61" s="208"/>
      <c r="P61" s="208"/>
      <c r="Q61" s="208"/>
      <c r="R61" s="208"/>
      <c r="S61" s="208"/>
      <c r="T61" s="208"/>
      <c r="U61" s="208"/>
      <c r="V61" s="208"/>
      <c r="W61" s="208"/>
      <c r="X61" s="208"/>
      <c r="Y61" s="208"/>
      <c r="Z61" s="208"/>
      <c r="AA61" s="208"/>
      <c r="AB61" s="208"/>
      <c r="AC61" s="208"/>
      <c r="AD61" s="208"/>
      <c r="AE61" s="208"/>
      <c r="AF61" s="208"/>
      <c r="AG61" s="208"/>
    </row>
    <row r="62" spans="1:33" ht="15" customHeight="1" x14ac:dyDescent="0.2">
      <c r="B62" s="208"/>
      <c r="C62" s="208"/>
      <c r="D62" s="208"/>
      <c r="E62" s="208"/>
      <c r="F62" s="208"/>
      <c r="G62" s="208"/>
      <c r="H62" s="208"/>
      <c r="I62" s="208"/>
      <c r="J62" s="208"/>
      <c r="K62" s="208"/>
      <c r="L62" s="208"/>
      <c r="M62" s="208"/>
      <c r="N62" s="208"/>
      <c r="O62" s="208"/>
      <c r="P62" s="208"/>
      <c r="Q62" s="208"/>
      <c r="R62" s="208"/>
      <c r="S62" s="208"/>
      <c r="T62" s="208"/>
      <c r="U62" s="208"/>
      <c r="V62" s="208"/>
      <c r="W62" s="208"/>
      <c r="X62" s="208"/>
      <c r="Y62" s="208"/>
      <c r="Z62" s="208"/>
      <c r="AA62" s="208"/>
      <c r="AB62" s="208"/>
      <c r="AC62" s="208"/>
      <c r="AD62" s="208"/>
      <c r="AE62" s="208"/>
      <c r="AF62" s="208"/>
      <c r="AG62" s="208"/>
    </row>
    <row r="63" spans="1:33" ht="15" customHeight="1" x14ac:dyDescent="0.2">
      <c r="B63" s="267" t="s">
        <v>194</v>
      </c>
      <c r="C63" s="208"/>
      <c r="D63" s="208"/>
      <c r="E63" s="208"/>
      <c r="F63" s="208"/>
      <c r="G63" s="208"/>
      <c r="H63" s="208"/>
      <c r="I63" s="208"/>
      <c r="J63" s="208"/>
      <c r="K63" s="208"/>
      <c r="L63" s="208"/>
      <c r="M63" s="208"/>
      <c r="N63" s="208"/>
      <c r="O63" s="208"/>
      <c r="P63" s="208"/>
      <c r="Q63" s="208"/>
      <c r="R63" s="208"/>
      <c r="S63" s="208"/>
      <c r="T63" s="208"/>
      <c r="U63" s="208"/>
      <c r="V63" s="208"/>
      <c r="W63" s="208"/>
      <c r="X63" s="208"/>
      <c r="Y63" s="208"/>
      <c r="Z63" s="208"/>
      <c r="AA63" s="208"/>
      <c r="AB63" s="208"/>
      <c r="AC63" s="208"/>
      <c r="AD63" s="208"/>
      <c r="AE63" s="208"/>
      <c r="AF63" s="208"/>
      <c r="AG63" s="208"/>
    </row>
    <row r="64" spans="1:33" ht="15" customHeight="1" x14ac:dyDescent="0.2">
      <c r="A64" s="213" t="s">
        <v>195</v>
      </c>
      <c r="B64" s="268" t="s">
        <v>181</v>
      </c>
      <c r="C64" s="273">
        <v>102.129997</v>
      </c>
      <c r="D64" s="273">
        <v>95.329002000000003</v>
      </c>
      <c r="E64" s="273">
        <v>98.708404999999999</v>
      </c>
      <c r="F64" s="273">
        <v>94.878890999999996</v>
      </c>
      <c r="G64" s="273">
        <v>97.830475000000007</v>
      </c>
      <c r="H64" s="273">
        <v>100.425552</v>
      </c>
      <c r="I64" s="273">
        <v>103.260544</v>
      </c>
      <c r="J64" s="273">
        <v>106.227829</v>
      </c>
      <c r="K64" s="273">
        <v>109.43918600000001</v>
      </c>
      <c r="L64" s="273">
        <v>112.639786</v>
      </c>
      <c r="M64" s="273">
        <v>116.265869</v>
      </c>
      <c r="N64" s="273">
        <v>119.61837800000001</v>
      </c>
      <c r="O64" s="273">
        <v>123.399551</v>
      </c>
      <c r="P64" s="273">
        <v>127.457848</v>
      </c>
      <c r="Q64" s="273">
        <v>131.21597299999999</v>
      </c>
      <c r="R64" s="273">
        <v>135.083923</v>
      </c>
      <c r="S64" s="273">
        <v>138.85072299999999</v>
      </c>
      <c r="T64" s="273">
        <v>142.69729599999999</v>
      </c>
      <c r="U64" s="273">
        <v>146.67823799999999</v>
      </c>
      <c r="V64" s="273">
        <v>150.81691000000001</v>
      </c>
      <c r="W64" s="273">
        <v>154.928268</v>
      </c>
      <c r="X64" s="273">
        <v>159.09347500000001</v>
      </c>
      <c r="Y64" s="273">
        <v>163.57148699999999</v>
      </c>
      <c r="Z64" s="273">
        <v>167.987595</v>
      </c>
      <c r="AA64" s="273">
        <v>173.312363</v>
      </c>
      <c r="AB64" s="273">
        <v>178.174057</v>
      </c>
      <c r="AC64" s="273">
        <v>183.52430699999999</v>
      </c>
      <c r="AD64" s="273">
        <v>189.210342</v>
      </c>
      <c r="AE64" s="273">
        <v>194.299271</v>
      </c>
      <c r="AF64" s="270">
        <v>2.3236E-2</v>
      </c>
      <c r="AG64" s="208"/>
    </row>
    <row r="65" spans="1:34" ht="15" customHeight="1" x14ac:dyDescent="0.2">
      <c r="A65" s="213" t="s">
        <v>196</v>
      </c>
      <c r="B65" s="268" t="s">
        <v>183</v>
      </c>
      <c r="C65" s="273">
        <v>95.875998999999993</v>
      </c>
      <c r="D65" s="273">
        <v>89.329002000000003</v>
      </c>
      <c r="E65" s="273">
        <v>97.249779000000004</v>
      </c>
      <c r="F65" s="273">
        <v>92.900146000000007</v>
      </c>
      <c r="G65" s="273">
        <v>94.905304000000001</v>
      </c>
      <c r="H65" s="273">
        <v>97.271384999999995</v>
      </c>
      <c r="I65" s="273">
        <v>100.22315999999999</v>
      </c>
      <c r="J65" s="273">
        <v>102.98326900000001</v>
      </c>
      <c r="K65" s="273">
        <v>105.828407</v>
      </c>
      <c r="L65" s="273">
        <v>108.94564099999999</v>
      </c>
      <c r="M65" s="273">
        <v>112.41229199999999</v>
      </c>
      <c r="N65" s="273">
        <v>115.627411</v>
      </c>
      <c r="O65" s="273">
        <v>119.291077</v>
      </c>
      <c r="P65" s="273">
        <v>122.66132399999999</v>
      </c>
      <c r="Q65" s="273">
        <v>126.59264400000001</v>
      </c>
      <c r="R65" s="273">
        <v>130.29289199999999</v>
      </c>
      <c r="S65" s="273">
        <v>133.71722399999999</v>
      </c>
      <c r="T65" s="273">
        <v>137.44975299999999</v>
      </c>
      <c r="U65" s="273">
        <v>141.151093</v>
      </c>
      <c r="V65" s="273">
        <v>145.09960899999999</v>
      </c>
      <c r="W65" s="273">
        <v>149.102936</v>
      </c>
      <c r="X65" s="273">
        <v>153.158661</v>
      </c>
      <c r="Y65" s="273">
        <v>157.370575</v>
      </c>
      <c r="Z65" s="273">
        <v>161.615891</v>
      </c>
      <c r="AA65" s="273">
        <v>166.70979299999999</v>
      </c>
      <c r="AB65" s="273">
        <v>171.44435100000001</v>
      </c>
      <c r="AC65" s="273">
        <v>176.82122799999999</v>
      </c>
      <c r="AD65" s="273">
        <v>182.42593400000001</v>
      </c>
      <c r="AE65" s="273">
        <v>187.283264</v>
      </c>
      <c r="AF65" s="270">
        <v>2.4201E-2</v>
      </c>
      <c r="AG65" s="208"/>
    </row>
    <row r="66" spans="1:34" ht="12" x14ac:dyDescent="0.2">
      <c r="A66" s="213" t="s">
        <v>197</v>
      </c>
      <c r="B66" s="268" t="s">
        <v>185</v>
      </c>
      <c r="C66" s="269">
        <v>6.5239969999999996</v>
      </c>
      <c r="D66" s="269">
        <v>5.4840799999999996</v>
      </c>
      <c r="E66" s="269">
        <v>4.3442369999999997</v>
      </c>
      <c r="F66" s="269">
        <v>3.8034059999999998</v>
      </c>
      <c r="G66" s="269">
        <v>3.4125000000000001</v>
      </c>
      <c r="H66" s="269">
        <v>3.244545</v>
      </c>
      <c r="I66" s="269">
        <v>3.252955</v>
      </c>
      <c r="J66" s="269">
        <v>3.3542079999999999</v>
      </c>
      <c r="K66" s="269">
        <v>3.5351439999999998</v>
      </c>
      <c r="L66" s="269">
        <v>3.7790189999999999</v>
      </c>
      <c r="M66" s="269">
        <v>4.0742339999999997</v>
      </c>
      <c r="N66" s="269">
        <v>4.442329</v>
      </c>
      <c r="O66" s="269">
        <v>4.7517820000000004</v>
      </c>
      <c r="P66" s="269">
        <v>5.0161790000000002</v>
      </c>
      <c r="Q66" s="269">
        <v>5.148898</v>
      </c>
      <c r="R66" s="269">
        <v>5.3260490000000003</v>
      </c>
      <c r="S66" s="269">
        <v>5.6316480000000002</v>
      </c>
      <c r="T66" s="269">
        <v>5.6395520000000001</v>
      </c>
      <c r="U66" s="269">
        <v>5.992483</v>
      </c>
      <c r="V66" s="269">
        <v>6.2576710000000002</v>
      </c>
      <c r="W66" s="269">
        <v>6.3872109999999997</v>
      </c>
      <c r="X66" s="269">
        <v>6.4292730000000002</v>
      </c>
      <c r="Y66" s="269">
        <v>6.516381</v>
      </c>
      <c r="Z66" s="269">
        <v>6.6630039999999999</v>
      </c>
      <c r="AA66" s="269">
        <v>6.8138820000000004</v>
      </c>
      <c r="AB66" s="269">
        <v>6.910819</v>
      </c>
      <c r="AC66" s="269">
        <v>7.0369719999999996</v>
      </c>
      <c r="AD66" s="269">
        <v>7.083812</v>
      </c>
      <c r="AE66" s="269">
        <v>7.230118</v>
      </c>
      <c r="AF66" s="270">
        <v>3.6770000000000001E-3</v>
      </c>
      <c r="AG66" s="208"/>
    </row>
    <row r="67" spans="1:34" ht="15" customHeight="1" x14ac:dyDescent="0.2">
      <c r="A67" s="213" t="s">
        <v>198</v>
      </c>
      <c r="B67" s="268" t="s">
        <v>187</v>
      </c>
      <c r="C67" s="274">
        <v>37.847487999999998</v>
      </c>
      <c r="D67" s="274">
        <v>38.823559000000003</v>
      </c>
      <c r="E67" s="274">
        <v>42.750843000000003</v>
      </c>
      <c r="F67" s="274">
        <v>44.449157999999997</v>
      </c>
      <c r="G67" s="274">
        <v>48.575581</v>
      </c>
      <c r="H67" s="274">
        <v>53.861572000000002</v>
      </c>
      <c r="I67" s="274">
        <v>57.922020000000003</v>
      </c>
      <c r="J67" s="274">
        <v>59.880493000000001</v>
      </c>
      <c r="K67" s="274">
        <v>64.085182000000003</v>
      </c>
      <c r="L67" s="274">
        <v>69.249504000000002</v>
      </c>
      <c r="M67" s="274">
        <v>67.704903000000002</v>
      </c>
      <c r="N67" s="274">
        <v>69.500609999999995</v>
      </c>
      <c r="O67" s="274">
        <v>71.146736000000004</v>
      </c>
      <c r="P67" s="274">
        <v>72.654883999999996</v>
      </c>
      <c r="Q67" s="274">
        <v>75.430458000000002</v>
      </c>
      <c r="R67" s="274">
        <v>78.560805999999999</v>
      </c>
      <c r="S67" s="274">
        <v>83.466125000000005</v>
      </c>
      <c r="T67" s="274">
        <v>86.049323999999999</v>
      </c>
      <c r="U67" s="274">
        <v>89.967934</v>
      </c>
      <c r="V67" s="274">
        <v>91.756546</v>
      </c>
      <c r="W67" s="274">
        <v>93.996200999999999</v>
      </c>
      <c r="X67" s="274">
        <v>98.145827999999995</v>
      </c>
      <c r="Y67" s="274">
        <v>102.286278</v>
      </c>
      <c r="Z67" s="274">
        <v>106.55997499999999</v>
      </c>
      <c r="AA67" s="274">
        <v>110.71742999999999</v>
      </c>
      <c r="AB67" s="274">
        <v>114.22395299999999</v>
      </c>
      <c r="AC67" s="274">
        <v>117.27104199999999</v>
      </c>
      <c r="AD67" s="274">
        <v>121.28231</v>
      </c>
      <c r="AE67" s="274">
        <v>125.41332199999999</v>
      </c>
      <c r="AF67" s="270">
        <v>4.3715999999999998E-2</v>
      </c>
      <c r="AG67" s="208"/>
    </row>
    <row r="68" spans="1:34" ht="15" customHeight="1" x14ac:dyDescent="0.2">
      <c r="A68" s="213" t="s">
        <v>199</v>
      </c>
      <c r="B68" s="268" t="s">
        <v>189</v>
      </c>
      <c r="C68" s="269">
        <v>1.8539890000000001</v>
      </c>
      <c r="D68" s="269">
        <v>1.9118889999999999</v>
      </c>
      <c r="E68" s="269">
        <v>2.0791810000000002</v>
      </c>
      <c r="F68" s="269">
        <v>2.1491419999999999</v>
      </c>
      <c r="G68" s="269">
        <v>2.3102040000000001</v>
      </c>
      <c r="H68" s="269">
        <v>2.5114480000000001</v>
      </c>
      <c r="I68" s="269">
        <v>2.6792729999999998</v>
      </c>
      <c r="J68" s="269">
        <v>2.7992189999999999</v>
      </c>
      <c r="K68" s="269">
        <v>2.9834459999999998</v>
      </c>
      <c r="L68" s="269">
        <v>3.2201610000000001</v>
      </c>
      <c r="M68" s="269">
        <v>3.1465010000000002</v>
      </c>
      <c r="N68" s="269">
        <v>3.2199260000000001</v>
      </c>
      <c r="O68" s="269">
        <v>3.3106680000000002</v>
      </c>
      <c r="P68" s="269">
        <v>3.3908299999999998</v>
      </c>
      <c r="Q68" s="269">
        <v>3.517423</v>
      </c>
      <c r="R68" s="269">
        <v>3.6696659999999999</v>
      </c>
      <c r="S68" s="269">
        <v>3.839715</v>
      </c>
      <c r="T68" s="269">
        <v>3.9539949999999999</v>
      </c>
      <c r="U68" s="269">
        <v>4.1222219999999998</v>
      </c>
      <c r="V68" s="269">
        <v>4.2142900000000001</v>
      </c>
      <c r="W68" s="269">
        <v>4.3211649999999997</v>
      </c>
      <c r="X68" s="269">
        <v>4.4937379999999996</v>
      </c>
      <c r="Y68" s="269">
        <v>4.6699089999999996</v>
      </c>
      <c r="Z68" s="269">
        <v>4.8506960000000001</v>
      </c>
      <c r="AA68" s="269">
        <v>5.0306550000000003</v>
      </c>
      <c r="AB68" s="269">
        <v>5.1874320000000003</v>
      </c>
      <c r="AC68" s="269">
        <v>5.335547</v>
      </c>
      <c r="AD68" s="269">
        <v>5.5108499999999996</v>
      </c>
      <c r="AE68" s="269">
        <v>5.7061900000000003</v>
      </c>
      <c r="AF68" s="270">
        <v>4.0967000000000003E-2</v>
      </c>
      <c r="AG68" s="208"/>
    </row>
    <row r="69" spans="1:34" ht="15" customHeight="1" x14ac:dyDescent="0.2">
      <c r="A69" s="213" t="s">
        <v>200</v>
      </c>
      <c r="B69" s="268" t="s">
        <v>191</v>
      </c>
      <c r="C69" s="269">
        <v>2.326422</v>
      </c>
      <c r="D69" s="269">
        <v>2.3612030000000002</v>
      </c>
      <c r="E69" s="269">
        <v>2.4173830000000001</v>
      </c>
      <c r="F69" s="269">
        <v>2.4755319999999998</v>
      </c>
      <c r="G69" s="269">
        <v>2.5420569999999998</v>
      </c>
      <c r="H69" s="269">
        <v>2.6299100000000002</v>
      </c>
      <c r="I69" s="269">
        <v>2.7294299999999998</v>
      </c>
      <c r="J69" s="269">
        <v>2.8487589999999998</v>
      </c>
      <c r="K69" s="269">
        <v>2.9690620000000001</v>
      </c>
      <c r="L69" s="269">
        <v>3.0432510000000002</v>
      </c>
      <c r="M69" s="269">
        <v>3.1002670000000001</v>
      </c>
      <c r="N69" s="269">
        <v>3.1538149999999998</v>
      </c>
      <c r="O69" s="269">
        <v>3.2365430000000002</v>
      </c>
      <c r="P69" s="269">
        <v>3.3093279999999998</v>
      </c>
      <c r="Q69" s="269">
        <v>3.3905720000000001</v>
      </c>
      <c r="R69" s="269">
        <v>3.4923060000000001</v>
      </c>
      <c r="S69" s="269">
        <v>3.6320299999999999</v>
      </c>
      <c r="T69" s="269">
        <v>3.7231019999999999</v>
      </c>
      <c r="U69" s="269">
        <v>3.8331659999999999</v>
      </c>
      <c r="V69" s="269">
        <v>3.915921</v>
      </c>
      <c r="W69" s="269">
        <v>4.0093420000000002</v>
      </c>
      <c r="X69" s="269">
        <v>4.1162910000000004</v>
      </c>
      <c r="Y69" s="269">
        <v>4.2366820000000001</v>
      </c>
      <c r="Z69" s="269">
        <v>4.3589950000000002</v>
      </c>
      <c r="AA69" s="269">
        <v>4.4941659999999999</v>
      </c>
      <c r="AB69" s="269">
        <v>4.6137129999999997</v>
      </c>
      <c r="AC69" s="269">
        <v>4.7479399999999998</v>
      </c>
      <c r="AD69" s="269">
        <v>4.8771259999999996</v>
      </c>
      <c r="AE69" s="269">
        <v>5.044562</v>
      </c>
      <c r="AF69" s="270">
        <v>2.8028000000000001E-2</v>
      </c>
      <c r="AG69" s="208"/>
    </row>
    <row r="70" spans="1:34" ht="15" customHeight="1" x14ac:dyDescent="0.2">
      <c r="A70" s="213" t="s">
        <v>201</v>
      </c>
      <c r="B70" s="268" t="s">
        <v>193</v>
      </c>
      <c r="C70" s="274">
        <v>12.224997999999999</v>
      </c>
      <c r="D70" s="274">
        <v>12.405747</v>
      </c>
      <c r="E70" s="274">
        <v>12.237636</v>
      </c>
      <c r="F70" s="274">
        <v>12.022482999999999</v>
      </c>
      <c r="G70" s="274">
        <v>11.987779</v>
      </c>
      <c r="H70" s="274">
        <v>12.034852000000001</v>
      </c>
      <c r="I70" s="274">
        <v>12.141092</v>
      </c>
      <c r="J70" s="274">
        <v>12.347277</v>
      </c>
      <c r="K70" s="274">
        <v>12.640115</v>
      </c>
      <c r="L70" s="274">
        <v>12.970637</v>
      </c>
      <c r="M70" s="274">
        <v>13.303642999999999</v>
      </c>
      <c r="N70" s="274">
        <v>13.819509999999999</v>
      </c>
      <c r="O70" s="274">
        <v>14.283655</v>
      </c>
      <c r="P70" s="274">
        <v>14.619742</v>
      </c>
      <c r="Q70" s="274">
        <v>15.044</v>
      </c>
      <c r="R70" s="274">
        <v>15.491720000000001</v>
      </c>
      <c r="S70" s="274">
        <v>16.003972999999998</v>
      </c>
      <c r="T70" s="274">
        <v>16.490255000000001</v>
      </c>
      <c r="U70" s="274">
        <v>16.974945000000002</v>
      </c>
      <c r="V70" s="274">
        <v>17.452290999999999</v>
      </c>
      <c r="W70" s="274">
        <v>17.887127</v>
      </c>
      <c r="X70" s="274">
        <v>18.322187</v>
      </c>
      <c r="Y70" s="274">
        <v>18.766511999999999</v>
      </c>
      <c r="Z70" s="274">
        <v>19.221584</v>
      </c>
      <c r="AA70" s="274">
        <v>19.615328000000002</v>
      </c>
      <c r="AB70" s="274">
        <v>19.990197999999999</v>
      </c>
      <c r="AC70" s="274">
        <v>20.437253999999999</v>
      </c>
      <c r="AD70" s="274">
        <v>20.812099</v>
      </c>
      <c r="AE70" s="274">
        <v>21.136326</v>
      </c>
      <c r="AF70" s="270">
        <v>1.9746E-2</v>
      </c>
      <c r="AG70" s="208"/>
    </row>
    <row r="71" spans="1:34" ht="15" customHeight="1" thickBot="1" x14ac:dyDescent="0.25">
      <c r="B71" s="208"/>
      <c r="C71" s="208"/>
      <c r="D71" s="208"/>
      <c r="E71" s="208"/>
      <c r="F71" s="208"/>
      <c r="G71" s="208"/>
      <c r="H71" s="208"/>
      <c r="I71" s="208"/>
      <c r="J71" s="208"/>
      <c r="K71" s="208"/>
      <c r="L71" s="208"/>
      <c r="M71" s="208"/>
      <c r="N71" s="208"/>
      <c r="O71" s="208"/>
      <c r="P71" s="208"/>
      <c r="Q71" s="208"/>
      <c r="R71" s="208"/>
      <c r="S71" s="208"/>
      <c r="T71" s="208"/>
      <c r="U71" s="208"/>
      <c r="V71" s="208"/>
      <c r="W71" s="208"/>
      <c r="X71" s="208"/>
      <c r="Y71" s="208"/>
      <c r="Z71" s="208"/>
      <c r="AA71" s="208"/>
      <c r="AB71" s="208"/>
      <c r="AC71" s="208"/>
      <c r="AD71" s="208"/>
      <c r="AE71" s="208"/>
      <c r="AF71" s="208"/>
      <c r="AG71" s="208"/>
    </row>
    <row r="72" spans="1:34" ht="15" customHeight="1" x14ac:dyDescent="0.2">
      <c r="B72" s="307" t="s">
        <v>632</v>
      </c>
      <c r="C72" s="308"/>
      <c r="D72" s="308"/>
      <c r="E72" s="308"/>
      <c r="F72" s="308"/>
      <c r="G72" s="308"/>
      <c r="H72" s="308"/>
      <c r="I72" s="308"/>
      <c r="J72" s="308"/>
      <c r="K72" s="308"/>
      <c r="L72" s="308"/>
      <c r="M72" s="308"/>
      <c r="N72" s="308"/>
      <c r="O72" s="308"/>
      <c r="P72" s="308"/>
      <c r="Q72" s="308"/>
      <c r="R72" s="308"/>
      <c r="S72" s="308"/>
      <c r="T72" s="308"/>
      <c r="U72" s="308"/>
      <c r="V72" s="308"/>
      <c r="W72" s="308"/>
      <c r="X72" s="308"/>
      <c r="Y72" s="308"/>
      <c r="Z72" s="308"/>
      <c r="AA72" s="308"/>
      <c r="AB72" s="308"/>
      <c r="AC72" s="308"/>
      <c r="AD72" s="308"/>
      <c r="AE72" s="308"/>
      <c r="AF72" s="308"/>
      <c r="AG72" s="308"/>
      <c r="AH72" s="234"/>
    </row>
    <row r="73" spans="1:34" ht="12" x14ac:dyDescent="0.2">
      <c r="B73" s="208" t="s">
        <v>837</v>
      </c>
      <c r="C73" s="208"/>
      <c r="D73" s="208"/>
      <c r="E73" s="208"/>
      <c r="F73" s="208"/>
      <c r="G73" s="208"/>
      <c r="H73" s="208"/>
      <c r="I73" s="208"/>
      <c r="J73" s="208"/>
      <c r="K73" s="208"/>
      <c r="L73" s="208"/>
      <c r="M73" s="208"/>
      <c r="N73" s="208"/>
      <c r="O73" s="208"/>
      <c r="P73" s="208"/>
      <c r="Q73" s="208"/>
      <c r="R73" s="208"/>
      <c r="S73" s="208"/>
      <c r="T73" s="208"/>
      <c r="U73" s="208"/>
      <c r="V73" s="208"/>
      <c r="W73" s="208"/>
      <c r="X73" s="208"/>
      <c r="Y73" s="208"/>
      <c r="Z73" s="208"/>
      <c r="AA73" s="208"/>
      <c r="AB73" s="208"/>
      <c r="AC73" s="208"/>
      <c r="AD73" s="208"/>
      <c r="AE73" s="208"/>
      <c r="AF73" s="208"/>
      <c r="AG73" s="208"/>
    </row>
    <row r="74" spans="1:34" ht="15" customHeight="1" x14ac:dyDescent="0.2">
      <c r="B74" s="208" t="s">
        <v>202</v>
      </c>
      <c r="C74" s="208"/>
      <c r="D74" s="208"/>
      <c r="E74" s="208"/>
      <c r="F74" s="208"/>
      <c r="G74" s="208"/>
      <c r="H74" s="208"/>
      <c r="I74" s="208"/>
      <c r="J74" s="208"/>
      <c r="K74" s="208"/>
      <c r="L74" s="208"/>
      <c r="M74" s="208"/>
      <c r="N74" s="208"/>
      <c r="O74" s="208"/>
      <c r="P74" s="208"/>
      <c r="Q74" s="208"/>
      <c r="R74" s="208"/>
      <c r="S74" s="208"/>
      <c r="T74" s="208"/>
      <c r="U74" s="208"/>
      <c r="V74" s="208"/>
      <c r="W74" s="208"/>
      <c r="X74" s="208"/>
      <c r="Y74" s="208"/>
      <c r="Z74" s="208"/>
      <c r="AA74" s="208"/>
      <c r="AB74" s="208"/>
      <c r="AC74" s="208"/>
      <c r="AD74" s="208"/>
      <c r="AE74" s="208"/>
      <c r="AF74" s="208"/>
      <c r="AG74" s="208"/>
    </row>
    <row r="75" spans="1:34" ht="15" customHeight="1" x14ac:dyDescent="0.2">
      <c r="B75" s="208" t="s">
        <v>838</v>
      </c>
      <c r="C75" s="208"/>
      <c r="D75" s="208"/>
      <c r="E75" s="208"/>
      <c r="F75" s="208"/>
      <c r="G75" s="208"/>
      <c r="H75" s="208"/>
      <c r="I75" s="208"/>
      <c r="J75" s="208"/>
      <c r="K75" s="208"/>
      <c r="L75" s="208"/>
      <c r="M75" s="208"/>
      <c r="N75" s="208"/>
      <c r="O75" s="208"/>
      <c r="P75" s="208"/>
      <c r="Q75" s="208"/>
      <c r="R75" s="208"/>
      <c r="S75" s="208"/>
      <c r="T75" s="208"/>
      <c r="U75" s="208"/>
      <c r="V75" s="208"/>
      <c r="W75" s="208"/>
      <c r="X75" s="208"/>
      <c r="Y75" s="208"/>
      <c r="Z75" s="208"/>
      <c r="AA75" s="208"/>
      <c r="AB75" s="208"/>
      <c r="AC75" s="208"/>
      <c r="AD75" s="208"/>
      <c r="AE75" s="208"/>
      <c r="AF75" s="208"/>
      <c r="AG75" s="208"/>
    </row>
    <row r="76" spans="1:34" ht="15" customHeight="1" x14ac:dyDescent="0.2">
      <c r="B76" s="208" t="s">
        <v>839</v>
      </c>
      <c r="C76" s="208"/>
      <c r="D76" s="208"/>
      <c r="E76" s="208"/>
      <c r="F76" s="208"/>
      <c r="G76" s="208"/>
      <c r="H76" s="208"/>
      <c r="I76" s="208"/>
      <c r="J76" s="208"/>
      <c r="K76" s="208"/>
      <c r="L76" s="208"/>
      <c r="M76" s="208"/>
      <c r="N76" s="208"/>
      <c r="O76" s="208"/>
      <c r="P76" s="208"/>
      <c r="Q76" s="208"/>
      <c r="R76" s="208"/>
      <c r="S76" s="208"/>
      <c r="T76" s="208"/>
      <c r="U76" s="208"/>
      <c r="V76" s="208"/>
      <c r="W76" s="208"/>
      <c r="X76" s="208"/>
      <c r="Y76" s="208"/>
      <c r="Z76" s="208"/>
      <c r="AA76" s="208"/>
      <c r="AB76" s="208"/>
      <c r="AC76" s="208"/>
      <c r="AD76" s="208"/>
      <c r="AE76" s="208"/>
      <c r="AF76" s="208"/>
      <c r="AG76" s="208"/>
    </row>
    <row r="77" spans="1:34" ht="15" customHeight="1" x14ac:dyDescent="0.2">
      <c r="B77" s="208" t="s">
        <v>629</v>
      </c>
      <c r="C77" s="208"/>
      <c r="D77" s="208"/>
      <c r="E77" s="208"/>
      <c r="F77" s="208"/>
      <c r="G77" s="208"/>
      <c r="H77" s="208"/>
      <c r="I77" s="208"/>
      <c r="J77" s="208"/>
      <c r="K77" s="208"/>
      <c r="L77" s="208"/>
      <c r="M77" s="208"/>
      <c r="N77" s="208"/>
      <c r="O77" s="208"/>
      <c r="P77" s="208"/>
      <c r="Q77" s="208"/>
      <c r="R77" s="208"/>
      <c r="S77" s="208"/>
      <c r="T77" s="208"/>
      <c r="U77" s="208"/>
      <c r="V77" s="208"/>
      <c r="W77" s="208"/>
      <c r="X77" s="208"/>
      <c r="Y77" s="208"/>
      <c r="Z77" s="208"/>
      <c r="AA77" s="208"/>
      <c r="AB77" s="208"/>
      <c r="AC77" s="208"/>
      <c r="AD77" s="208"/>
      <c r="AE77" s="208"/>
      <c r="AF77" s="208"/>
      <c r="AG77" s="208"/>
    </row>
    <row r="78" spans="1:34" ht="15" customHeight="1" x14ac:dyDescent="0.2">
      <c r="B78" s="208" t="s">
        <v>204</v>
      </c>
      <c r="C78" s="208"/>
      <c r="D78" s="208"/>
      <c r="E78" s="208"/>
      <c r="F78" s="208"/>
      <c r="G78" s="208"/>
      <c r="H78" s="208"/>
      <c r="I78" s="208"/>
      <c r="J78" s="208"/>
      <c r="K78" s="208"/>
      <c r="L78" s="208"/>
      <c r="M78" s="208"/>
      <c r="N78" s="208"/>
      <c r="O78" s="208"/>
      <c r="P78" s="208"/>
      <c r="Q78" s="208"/>
      <c r="R78" s="208"/>
      <c r="S78" s="208"/>
      <c r="T78" s="208"/>
      <c r="U78" s="208"/>
      <c r="V78" s="208"/>
      <c r="W78" s="208"/>
      <c r="X78" s="208"/>
      <c r="Y78" s="208"/>
      <c r="Z78" s="208"/>
      <c r="AA78" s="208"/>
      <c r="AB78" s="208"/>
      <c r="AC78" s="208"/>
      <c r="AD78" s="208"/>
      <c r="AE78" s="208"/>
      <c r="AF78" s="208"/>
      <c r="AG78" s="208"/>
    </row>
    <row r="79" spans="1:34" ht="12" x14ac:dyDescent="0.2">
      <c r="B79" s="208" t="s">
        <v>205</v>
      </c>
      <c r="C79" s="208"/>
      <c r="D79" s="208"/>
      <c r="E79" s="208"/>
      <c r="F79" s="208"/>
      <c r="G79" s="208"/>
      <c r="H79" s="208"/>
      <c r="I79" s="208"/>
      <c r="J79" s="208"/>
      <c r="K79" s="208"/>
      <c r="L79" s="208"/>
      <c r="M79" s="208"/>
      <c r="N79" s="208"/>
      <c r="O79" s="208"/>
      <c r="P79" s="208"/>
      <c r="Q79" s="208"/>
      <c r="R79" s="208"/>
      <c r="S79" s="208"/>
      <c r="T79" s="208"/>
      <c r="U79" s="208"/>
      <c r="V79" s="208"/>
      <c r="W79" s="208"/>
      <c r="X79" s="208"/>
      <c r="Y79" s="208"/>
      <c r="Z79" s="208"/>
      <c r="AA79" s="208"/>
      <c r="AB79" s="208"/>
      <c r="AC79" s="208"/>
      <c r="AD79" s="208"/>
      <c r="AE79" s="208"/>
      <c r="AF79" s="208"/>
      <c r="AG79" s="208"/>
    </row>
    <row r="80" spans="1:34" ht="15" customHeight="1" x14ac:dyDescent="0.2">
      <c r="B80" s="208" t="s">
        <v>627</v>
      </c>
      <c r="C80" s="208"/>
      <c r="D80" s="208"/>
      <c r="E80" s="208"/>
      <c r="F80" s="208"/>
      <c r="G80" s="208"/>
      <c r="H80" s="208"/>
      <c r="I80" s="208"/>
      <c r="J80" s="208"/>
      <c r="K80" s="208"/>
      <c r="L80" s="208"/>
      <c r="M80" s="208"/>
      <c r="N80" s="208"/>
      <c r="O80" s="208"/>
      <c r="P80" s="208"/>
      <c r="Q80" s="208"/>
      <c r="R80" s="208"/>
      <c r="S80" s="208"/>
      <c r="T80" s="208"/>
      <c r="U80" s="208"/>
      <c r="V80" s="208"/>
      <c r="W80" s="208"/>
      <c r="X80" s="208"/>
      <c r="Y80" s="208"/>
      <c r="Z80" s="208"/>
      <c r="AA80" s="208"/>
      <c r="AB80" s="208"/>
      <c r="AC80" s="208"/>
      <c r="AD80" s="208"/>
      <c r="AE80" s="208"/>
      <c r="AF80" s="208"/>
      <c r="AG80" s="208"/>
    </row>
    <row r="81" spans="2:33" ht="12" x14ac:dyDescent="0.2">
      <c r="B81" s="208" t="s">
        <v>626</v>
      </c>
      <c r="C81" s="208"/>
      <c r="D81" s="208"/>
      <c r="E81" s="208"/>
      <c r="F81" s="208"/>
      <c r="G81" s="208"/>
      <c r="H81" s="208"/>
      <c r="I81" s="208"/>
      <c r="J81" s="208"/>
      <c r="K81" s="208"/>
      <c r="L81" s="208"/>
      <c r="M81" s="208"/>
      <c r="N81" s="208"/>
      <c r="O81" s="208"/>
      <c r="P81" s="208"/>
      <c r="Q81" s="208"/>
      <c r="R81" s="208"/>
      <c r="S81" s="208"/>
      <c r="T81" s="208"/>
      <c r="U81" s="208"/>
      <c r="V81" s="208"/>
      <c r="W81" s="208"/>
      <c r="X81" s="208"/>
      <c r="Y81" s="208"/>
      <c r="Z81" s="208"/>
      <c r="AA81" s="208"/>
      <c r="AB81" s="208"/>
      <c r="AC81" s="208"/>
      <c r="AD81" s="208"/>
      <c r="AE81" s="208"/>
      <c r="AF81" s="208"/>
      <c r="AG81" s="208"/>
    </row>
    <row r="82" spans="2:33" ht="15" customHeight="1" x14ac:dyDescent="0.2">
      <c r="B82" s="208" t="s">
        <v>840</v>
      </c>
      <c r="C82" s="208"/>
      <c r="D82" s="208"/>
      <c r="E82" s="208"/>
      <c r="F82" s="208"/>
      <c r="G82" s="208"/>
      <c r="H82" s="208"/>
      <c r="I82" s="208"/>
      <c r="J82" s="208"/>
      <c r="K82" s="208"/>
      <c r="L82" s="208"/>
      <c r="M82" s="208"/>
      <c r="N82" s="208"/>
      <c r="O82" s="208"/>
      <c r="P82" s="208"/>
      <c r="Q82" s="208"/>
      <c r="R82" s="208"/>
      <c r="S82" s="208"/>
      <c r="T82" s="208"/>
      <c r="U82" s="208"/>
      <c r="V82" s="208"/>
      <c r="W82" s="208"/>
      <c r="X82" s="208"/>
      <c r="Y82" s="208"/>
      <c r="Z82" s="208"/>
      <c r="AA82" s="208"/>
      <c r="AB82" s="208"/>
      <c r="AC82" s="208"/>
      <c r="AD82" s="208"/>
      <c r="AE82" s="208"/>
      <c r="AF82" s="208"/>
      <c r="AG82" s="208"/>
    </row>
    <row r="83" spans="2:33" ht="15" customHeight="1" x14ac:dyDescent="0.2">
      <c r="B83" s="208" t="s">
        <v>624</v>
      </c>
      <c r="C83" s="208"/>
      <c r="D83" s="208"/>
      <c r="E83" s="208"/>
      <c r="F83" s="208"/>
      <c r="G83" s="208"/>
      <c r="H83" s="208"/>
      <c r="I83" s="208"/>
      <c r="J83" s="208"/>
      <c r="K83" s="208"/>
      <c r="L83" s="208"/>
      <c r="M83" s="208"/>
      <c r="N83" s="208"/>
      <c r="O83" s="208"/>
      <c r="P83" s="208"/>
      <c r="Q83" s="208"/>
      <c r="R83" s="208"/>
      <c r="S83" s="208"/>
      <c r="T83" s="208"/>
      <c r="U83" s="208"/>
      <c r="V83" s="208"/>
      <c r="W83" s="208"/>
      <c r="X83" s="208"/>
      <c r="Y83" s="208"/>
      <c r="Z83" s="208"/>
      <c r="AA83" s="208"/>
      <c r="AB83" s="208"/>
      <c r="AC83" s="208"/>
      <c r="AD83" s="208"/>
      <c r="AE83" s="208"/>
      <c r="AF83" s="208"/>
      <c r="AG83" s="208"/>
    </row>
    <row r="84" spans="2:33" ht="15" customHeight="1" x14ac:dyDescent="0.2">
      <c r="B84" s="208" t="s">
        <v>623</v>
      </c>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c r="AA84" s="208"/>
      <c r="AB84" s="208"/>
      <c r="AC84" s="208"/>
      <c r="AD84" s="208"/>
      <c r="AE84" s="208"/>
      <c r="AF84" s="208"/>
      <c r="AG84" s="208"/>
    </row>
    <row r="85" spans="2:33" ht="15" customHeight="1" x14ac:dyDescent="0.2">
      <c r="B85" s="208" t="s">
        <v>622</v>
      </c>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c r="AA85" s="208"/>
      <c r="AB85" s="208"/>
      <c r="AC85" s="208"/>
      <c r="AD85" s="208"/>
      <c r="AE85" s="208"/>
      <c r="AF85" s="208"/>
      <c r="AG85" s="208"/>
    </row>
    <row r="86" spans="2:33" ht="15" customHeight="1" x14ac:dyDescent="0.2">
      <c r="B86" s="208" t="s">
        <v>206</v>
      </c>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c r="AA86" s="208"/>
      <c r="AB86" s="208"/>
      <c r="AC86" s="208"/>
      <c r="AD86" s="208"/>
      <c r="AE86" s="208"/>
      <c r="AF86" s="208"/>
      <c r="AG86" s="208"/>
    </row>
    <row r="87" spans="2:33" ht="15" customHeight="1" x14ac:dyDescent="0.2">
      <c r="B87" s="208" t="s">
        <v>207</v>
      </c>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row>
    <row r="88" spans="2:33" ht="15" customHeight="1" x14ac:dyDescent="0.2">
      <c r="B88" s="208" t="s">
        <v>621</v>
      </c>
      <c r="C88" s="208"/>
      <c r="D88" s="208"/>
      <c r="E88" s="208"/>
      <c r="F88" s="208"/>
      <c r="G88" s="208"/>
      <c r="H88" s="208"/>
      <c r="I88" s="208"/>
      <c r="J88" s="208"/>
      <c r="K88" s="208"/>
      <c r="L88" s="208"/>
      <c r="M88" s="208"/>
      <c r="N88" s="208"/>
      <c r="O88" s="208"/>
      <c r="P88" s="208"/>
      <c r="Q88" s="208"/>
      <c r="R88" s="208"/>
      <c r="S88" s="208"/>
      <c r="T88" s="208"/>
      <c r="U88" s="208"/>
      <c r="V88" s="208"/>
      <c r="W88" s="208"/>
      <c r="X88" s="208"/>
      <c r="Y88" s="208"/>
      <c r="Z88" s="208"/>
      <c r="AA88" s="208"/>
      <c r="AB88" s="208"/>
      <c r="AC88" s="208"/>
      <c r="AD88" s="208"/>
      <c r="AE88" s="208"/>
      <c r="AF88" s="208"/>
      <c r="AG88" s="208"/>
    </row>
    <row r="89" spans="2:33" ht="15" customHeight="1" x14ac:dyDescent="0.2">
      <c r="B89" s="208" t="s">
        <v>841</v>
      </c>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row>
    <row r="90" spans="2:33" ht="15" customHeight="1" x14ac:dyDescent="0.2">
      <c r="B90" s="208" t="s">
        <v>208</v>
      </c>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c r="AA90" s="208"/>
      <c r="AB90" s="208"/>
      <c r="AC90" s="208"/>
      <c r="AD90" s="208"/>
      <c r="AE90" s="208"/>
      <c r="AF90" s="208"/>
      <c r="AG90" s="208"/>
    </row>
    <row r="91" spans="2:33" ht="15" customHeight="1" x14ac:dyDescent="0.2">
      <c r="B91" s="208" t="s">
        <v>619</v>
      </c>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c r="AA91" s="208"/>
      <c r="AB91" s="208"/>
      <c r="AC91" s="208"/>
      <c r="AD91" s="208"/>
      <c r="AE91" s="208"/>
      <c r="AF91" s="208"/>
      <c r="AG91" s="208"/>
    </row>
    <row r="92" spans="2:33" ht="12" x14ac:dyDescent="0.2">
      <c r="B92" s="208" t="s">
        <v>618</v>
      </c>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c r="AA92" s="208"/>
      <c r="AB92" s="208"/>
      <c r="AC92" s="208"/>
      <c r="AD92" s="208"/>
      <c r="AE92" s="208"/>
      <c r="AF92" s="208"/>
      <c r="AG92" s="208"/>
    </row>
    <row r="93" spans="2:33" ht="15" customHeight="1" x14ac:dyDescent="0.2">
      <c r="B93" s="208" t="s">
        <v>209</v>
      </c>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c r="AA93" s="208"/>
      <c r="AB93" s="208"/>
      <c r="AC93" s="208"/>
      <c r="AD93" s="208"/>
      <c r="AE93" s="208"/>
      <c r="AF93" s="208"/>
      <c r="AG93" s="208"/>
    </row>
    <row r="94" spans="2:33" ht="15" customHeight="1" x14ac:dyDescent="0.2">
      <c r="B94" s="208" t="s">
        <v>617</v>
      </c>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row>
    <row r="95" spans="2:33" ht="15" customHeight="1" x14ac:dyDescent="0.2">
      <c r="B95" s="208" t="s">
        <v>616</v>
      </c>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c r="AA95" s="208"/>
      <c r="AB95" s="208"/>
      <c r="AC95" s="208"/>
      <c r="AD95" s="208"/>
      <c r="AE95" s="208"/>
      <c r="AF95" s="208"/>
      <c r="AG95" s="208"/>
    </row>
    <row r="96" spans="2:33" ht="15" customHeight="1" x14ac:dyDescent="0.2">
      <c r="B96" s="208" t="s">
        <v>615</v>
      </c>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c r="AA96" s="208"/>
      <c r="AB96" s="208"/>
      <c r="AC96" s="208"/>
      <c r="AD96" s="208"/>
      <c r="AE96" s="208"/>
      <c r="AF96" s="208"/>
      <c r="AG96" s="208"/>
    </row>
    <row r="97" spans="2:33" ht="15" customHeight="1" x14ac:dyDescent="0.2">
      <c r="B97" s="208" t="s">
        <v>601</v>
      </c>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c r="AA97" s="208"/>
      <c r="AB97" s="208"/>
      <c r="AC97" s="208"/>
      <c r="AD97" s="208"/>
      <c r="AE97" s="208"/>
      <c r="AF97" s="208"/>
      <c r="AG97" s="208"/>
    </row>
    <row r="98" spans="2:33" ht="15" customHeight="1" x14ac:dyDescent="0.2">
      <c r="B98" s="208" t="s">
        <v>614</v>
      </c>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c r="AA98" s="208"/>
      <c r="AB98" s="208"/>
      <c r="AC98" s="208"/>
      <c r="AD98" s="208"/>
      <c r="AE98" s="208"/>
      <c r="AF98" s="208"/>
      <c r="AG98" s="208"/>
    </row>
    <row r="99" spans="2:33" ht="15" customHeight="1" x14ac:dyDescent="0.2">
      <c r="B99" s="208" t="s">
        <v>842</v>
      </c>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c r="AA99" s="208"/>
      <c r="AB99" s="208"/>
      <c r="AC99" s="208"/>
      <c r="AD99" s="208"/>
      <c r="AE99" s="208"/>
      <c r="AF99" s="208"/>
      <c r="AG99" s="208"/>
    </row>
    <row r="100" spans="2:33" ht="15" customHeight="1" x14ac:dyDescent="0.2">
      <c r="B100" s="208" t="s">
        <v>843</v>
      </c>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row>
    <row r="101" spans="2:33" ht="12" x14ac:dyDescent="0.2">
      <c r="B101" s="208"/>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c r="AA101" s="208"/>
      <c r="AB101" s="208"/>
      <c r="AC101" s="208"/>
      <c r="AD101" s="208"/>
      <c r="AE101" s="208"/>
      <c r="AF101" s="208"/>
      <c r="AG101" s="208"/>
    </row>
    <row r="102" spans="2:33" ht="12" x14ac:dyDescent="0.2">
      <c r="B102" s="208"/>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c r="AA102" s="208"/>
      <c r="AB102" s="208"/>
      <c r="AC102" s="208"/>
      <c r="AD102" s="208"/>
      <c r="AE102" s="208"/>
      <c r="AF102" s="208"/>
      <c r="AG102" s="208"/>
    </row>
    <row r="103" spans="2:33" ht="15" customHeight="1" x14ac:dyDescent="0.2">
      <c r="B103" s="208"/>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c r="AA103" s="208"/>
      <c r="AB103" s="208"/>
      <c r="AC103" s="208"/>
      <c r="AD103" s="208"/>
      <c r="AE103" s="208"/>
      <c r="AF103" s="208"/>
      <c r="AG103" s="208"/>
    </row>
    <row r="104" spans="2:33" ht="15" customHeight="1" x14ac:dyDescent="0.2">
      <c r="B104" s="208"/>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row>
    <row r="105" spans="2:33" ht="15" customHeight="1" x14ac:dyDescent="0.2">
      <c r="B105" s="208"/>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c r="AA105" s="208"/>
      <c r="AB105" s="208"/>
      <c r="AC105" s="208"/>
      <c r="AD105" s="208"/>
      <c r="AE105" s="208"/>
      <c r="AF105" s="208"/>
      <c r="AG105" s="208"/>
    </row>
    <row r="106" spans="2:33" ht="15" customHeight="1" x14ac:dyDescent="0.2">
      <c r="B106" s="208"/>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c r="AA106" s="208"/>
      <c r="AB106" s="208"/>
      <c r="AC106" s="208"/>
      <c r="AD106" s="208"/>
      <c r="AE106" s="208"/>
      <c r="AF106" s="208"/>
      <c r="AG106" s="208"/>
    </row>
    <row r="107" spans="2:33" ht="15" customHeight="1" x14ac:dyDescent="0.2">
      <c r="B107" s="208"/>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208"/>
    </row>
    <row r="108" spans="2:33" ht="15" customHeight="1" x14ac:dyDescent="0.2">
      <c r="B108" s="208"/>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208"/>
    </row>
    <row r="109" spans="2:33" ht="15" customHeight="1" x14ac:dyDescent="0.2">
      <c r="B109" s="208"/>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208"/>
    </row>
    <row r="112" spans="2:33" ht="15" customHeight="1" x14ac:dyDescent="0.2">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c r="AD112" s="306"/>
      <c r="AE112" s="306"/>
      <c r="AF112" s="306"/>
    </row>
    <row r="308" spans="2:32" ht="15" customHeight="1" x14ac:dyDescent="0.2">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c r="AD308" s="306"/>
      <c r="AE308" s="306"/>
      <c r="AF308" s="306"/>
    </row>
    <row r="511" spans="2:32" ht="15" customHeight="1" x14ac:dyDescent="0.2">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c r="AD511" s="306"/>
      <c r="AE511" s="306"/>
      <c r="AF511" s="306"/>
    </row>
    <row r="712" spans="2:32" ht="15" customHeight="1" x14ac:dyDescent="0.2">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c r="AD712" s="306"/>
      <c r="AE712" s="306"/>
      <c r="AF712" s="306"/>
    </row>
    <row r="887" spans="2:32" ht="15" customHeight="1" x14ac:dyDescent="0.2">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c r="AD887" s="306"/>
      <c r="AE887" s="306"/>
      <c r="AF887" s="306"/>
    </row>
    <row r="1101" spans="2:32" ht="15" customHeight="1" x14ac:dyDescent="0.2">
      <c r="B1101" s="306"/>
      <c r="C1101" s="306"/>
      <c r="D1101" s="306"/>
      <c r="E1101" s="306"/>
      <c r="F1101" s="306"/>
      <c r="G1101" s="306"/>
      <c r="H1101" s="306"/>
      <c r="I1101" s="306"/>
      <c r="J1101" s="306"/>
      <c r="K1101" s="306"/>
      <c r="L1101" s="306"/>
      <c r="M1101" s="306"/>
      <c r="N1101" s="306"/>
      <c r="O1101" s="306"/>
      <c r="P1101" s="306"/>
      <c r="Q1101" s="306"/>
      <c r="R1101" s="306"/>
      <c r="S1101" s="306"/>
      <c r="T1101" s="306"/>
      <c r="U1101" s="306"/>
      <c r="V1101" s="306"/>
      <c r="W1101" s="306"/>
      <c r="X1101" s="306"/>
      <c r="Y1101" s="306"/>
      <c r="Z1101" s="306"/>
      <c r="AA1101" s="306"/>
      <c r="AB1101" s="306"/>
      <c r="AC1101" s="306"/>
      <c r="AD1101" s="306"/>
      <c r="AE1101" s="306"/>
      <c r="AF1101" s="306"/>
    </row>
    <row r="1229" spans="2:32" ht="15" customHeight="1" x14ac:dyDescent="0.2">
      <c r="B1229" s="306"/>
      <c r="C1229" s="306"/>
      <c r="D1229" s="306"/>
      <c r="E1229" s="306"/>
      <c r="F1229" s="306"/>
      <c r="G1229" s="306"/>
      <c r="H1229" s="306"/>
      <c r="I1229" s="306"/>
      <c r="J1229" s="306"/>
      <c r="K1229" s="306"/>
      <c r="L1229" s="306"/>
      <c r="M1229" s="306"/>
      <c r="N1229" s="306"/>
      <c r="O1229" s="306"/>
      <c r="P1229" s="306"/>
      <c r="Q1229" s="306"/>
      <c r="R1229" s="306"/>
      <c r="S1229" s="306"/>
      <c r="T1229" s="306"/>
      <c r="U1229" s="306"/>
      <c r="V1229" s="306"/>
      <c r="W1229" s="306"/>
      <c r="X1229" s="306"/>
      <c r="Y1229" s="306"/>
      <c r="Z1229" s="306"/>
      <c r="AA1229" s="306"/>
      <c r="AB1229" s="306"/>
      <c r="AC1229" s="306"/>
      <c r="AD1229" s="306"/>
      <c r="AE1229" s="306"/>
      <c r="AF1229" s="306"/>
    </row>
    <row r="1390" spans="2:32" ht="15" customHeight="1" x14ac:dyDescent="0.2">
      <c r="B1390" s="306"/>
      <c r="C1390" s="306"/>
      <c r="D1390" s="306"/>
      <c r="E1390" s="306"/>
      <c r="F1390" s="306"/>
      <c r="G1390" s="306"/>
      <c r="H1390" s="306"/>
      <c r="I1390" s="306"/>
      <c r="J1390" s="306"/>
      <c r="K1390" s="306"/>
      <c r="L1390" s="306"/>
      <c r="M1390" s="306"/>
      <c r="N1390" s="306"/>
      <c r="O1390" s="306"/>
      <c r="P1390" s="306"/>
      <c r="Q1390" s="306"/>
      <c r="R1390" s="306"/>
      <c r="S1390" s="306"/>
      <c r="T1390" s="306"/>
      <c r="U1390" s="306"/>
      <c r="V1390" s="306"/>
      <c r="W1390" s="306"/>
      <c r="X1390" s="306"/>
      <c r="Y1390" s="306"/>
      <c r="Z1390" s="306"/>
      <c r="AA1390" s="306"/>
      <c r="AB1390" s="306"/>
      <c r="AC1390" s="306"/>
      <c r="AD1390" s="306"/>
      <c r="AE1390" s="306"/>
      <c r="AF1390" s="306"/>
    </row>
    <row r="1502" spans="2:32" ht="15" customHeight="1" x14ac:dyDescent="0.2">
      <c r="B1502" s="306"/>
      <c r="C1502" s="306"/>
      <c r="D1502" s="306"/>
      <c r="E1502" s="306"/>
      <c r="F1502" s="306"/>
      <c r="G1502" s="306"/>
      <c r="H1502" s="306"/>
      <c r="I1502" s="306"/>
      <c r="J1502" s="306"/>
      <c r="K1502" s="306"/>
      <c r="L1502" s="306"/>
      <c r="M1502" s="306"/>
      <c r="N1502" s="306"/>
      <c r="O1502" s="306"/>
      <c r="P1502" s="306"/>
      <c r="Q1502" s="306"/>
      <c r="R1502" s="306"/>
      <c r="S1502" s="306"/>
      <c r="T1502" s="306"/>
      <c r="U1502" s="306"/>
      <c r="V1502" s="306"/>
      <c r="W1502" s="306"/>
      <c r="X1502" s="306"/>
      <c r="Y1502" s="306"/>
      <c r="Z1502" s="306"/>
      <c r="AA1502" s="306"/>
      <c r="AB1502" s="306"/>
      <c r="AC1502" s="306"/>
      <c r="AD1502" s="306"/>
      <c r="AE1502" s="306"/>
      <c r="AF1502" s="306"/>
    </row>
    <row r="1604" spans="2:32" ht="15" customHeight="1" x14ac:dyDescent="0.2">
      <c r="B1604" s="306"/>
      <c r="C1604" s="306"/>
      <c r="D1604" s="306"/>
      <c r="E1604" s="306"/>
      <c r="F1604" s="306"/>
      <c r="G1604" s="306"/>
      <c r="H1604" s="306"/>
      <c r="I1604" s="306"/>
      <c r="J1604" s="306"/>
      <c r="K1604" s="306"/>
      <c r="L1604" s="306"/>
      <c r="M1604" s="306"/>
      <c r="N1604" s="306"/>
      <c r="O1604" s="306"/>
      <c r="P1604" s="306"/>
      <c r="Q1604" s="306"/>
      <c r="R1604" s="306"/>
      <c r="S1604" s="306"/>
      <c r="T1604" s="306"/>
      <c r="U1604" s="306"/>
      <c r="V1604" s="306"/>
      <c r="W1604" s="306"/>
      <c r="X1604" s="306"/>
      <c r="Y1604" s="306"/>
      <c r="Z1604" s="306"/>
      <c r="AA1604" s="306"/>
      <c r="AB1604" s="306"/>
      <c r="AC1604" s="306"/>
      <c r="AD1604" s="306"/>
      <c r="AE1604" s="306"/>
      <c r="AF1604" s="306"/>
    </row>
    <row r="1699" spans="2:32" ht="15" customHeight="1" x14ac:dyDescent="0.2">
      <c r="B1699" s="306"/>
      <c r="C1699" s="306"/>
      <c r="D1699" s="306"/>
      <c r="E1699" s="306"/>
      <c r="F1699" s="306"/>
      <c r="G1699" s="306"/>
      <c r="H1699" s="306"/>
      <c r="I1699" s="306"/>
      <c r="J1699" s="306"/>
      <c r="K1699" s="306"/>
      <c r="L1699" s="306"/>
      <c r="M1699" s="306"/>
      <c r="N1699" s="306"/>
      <c r="O1699" s="306"/>
      <c r="P1699" s="306"/>
      <c r="Q1699" s="306"/>
      <c r="R1699" s="306"/>
      <c r="S1699" s="306"/>
      <c r="T1699" s="306"/>
      <c r="U1699" s="306"/>
      <c r="V1699" s="306"/>
      <c r="W1699" s="306"/>
      <c r="X1699" s="306"/>
      <c r="Y1699" s="306"/>
      <c r="Z1699" s="306"/>
      <c r="AA1699" s="306"/>
      <c r="AB1699" s="306"/>
      <c r="AC1699" s="306"/>
      <c r="AD1699" s="306"/>
      <c r="AE1699" s="306"/>
      <c r="AF1699" s="306"/>
    </row>
    <row r="1945" spans="2:32" ht="15" customHeight="1" x14ac:dyDescent="0.2">
      <c r="B1945" s="306"/>
      <c r="C1945" s="306"/>
      <c r="D1945" s="306"/>
      <c r="E1945" s="306"/>
      <c r="F1945" s="306"/>
      <c r="G1945" s="306"/>
      <c r="H1945" s="306"/>
      <c r="I1945" s="306"/>
      <c r="J1945" s="306"/>
      <c r="K1945" s="306"/>
      <c r="L1945" s="306"/>
      <c r="M1945" s="306"/>
      <c r="N1945" s="306"/>
      <c r="O1945" s="306"/>
      <c r="P1945" s="306"/>
      <c r="Q1945" s="306"/>
      <c r="R1945" s="306"/>
      <c r="S1945" s="306"/>
      <c r="T1945" s="306"/>
      <c r="U1945" s="306"/>
      <c r="V1945" s="306"/>
      <c r="W1945" s="306"/>
      <c r="X1945" s="306"/>
      <c r="Y1945" s="306"/>
      <c r="Z1945" s="306"/>
      <c r="AA1945" s="306"/>
      <c r="AB1945" s="306"/>
      <c r="AC1945" s="306"/>
      <c r="AD1945" s="306"/>
      <c r="AE1945" s="306"/>
      <c r="AF1945" s="306"/>
    </row>
    <row r="2031" spans="2:32" ht="15" customHeight="1" x14ac:dyDescent="0.2">
      <c r="B2031" s="306"/>
      <c r="C2031" s="306"/>
      <c r="D2031" s="306"/>
      <c r="E2031" s="306"/>
      <c r="F2031" s="306"/>
      <c r="G2031" s="306"/>
      <c r="H2031" s="306"/>
      <c r="I2031" s="306"/>
      <c r="J2031" s="306"/>
      <c r="K2031" s="306"/>
      <c r="L2031" s="306"/>
      <c r="M2031" s="306"/>
      <c r="N2031" s="306"/>
      <c r="O2031" s="306"/>
      <c r="P2031" s="306"/>
      <c r="Q2031" s="306"/>
      <c r="R2031" s="306"/>
      <c r="S2031" s="306"/>
      <c r="T2031" s="306"/>
      <c r="U2031" s="306"/>
      <c r="V2031" s="306"/>
      <c r="W2031" s="306"/>
      <c r="X2031" s="306"/>
      <c r="Y2031" s="306"/>
      <c r="Z2031" s="306"/>
      <c r="AA2031" s="306"/>
      <c r="AB2031" s="306"/>
      <c r="AC2031" s="306"/>
      <c r="AD2031" s="306"/>
      <c r="AE2031" s="306"/>
      <c r="AF2031" s="306"/>
    </row>
    <row r="2153" spans="2:32" ht="15" customHeight="1" x14ac:dyDescent="0.2">
      <c r="B2153" s="306"/>
      <c r="C2153" s="306"/>
      <c r="D2153" s="306"/>
      <c r="E2153" s="306"/>
      <c r="F2153" s="306"/>
      <c r="G2153" s="306"/>
      <c r="H2153" s="306"/>
      <c r="I2153" s="306"/>
      <c r="J2153" s="306"/>
      <c r="K2153" s="306"/>
      <c r="L2153" s="306"/>
      <c r="M2153" s="306"/>
      <c r="N2153" s="306"/>
      <c r="O2153" s="306"/>
      <c r="P2153" s="306"/>
      <c r="Q2153" s="306"/>
      <c r="R2153" s="306"/>
      <c r="S2153" s="306"/>
      <c r="T2153" s="306"/>
      <c r="U2153" s="306"/>
      <c r="V2153" s="306"/>
      <c r="W2153" s="306"/>
      <c r="X2153" s="306"/>
      <c r="Y2153" s="306"/>
      <c r="Z2153" s="306"/>
      <c r="AA2153" s="306"/>
      <c r="AB2153" s="306"/>
      <c r="AC2153" s="306"/>
      <c r="AD2153" s="306"/>
      <c r="AE2153" s="306"/>
      <c r="AF2153" s="306"/>
    </row>
    <row r="2317" spans="2:32" ht="15" customHeight="1" x14ac:dyDescent="0.2">
      <c r="B2317" s="306"/>
      <c r="C2317" s="306"/>
      <c r="D2317" s="306"/>
      <c r="E2317" s="306"/>
      <c r="F2317" s="306"/>
      <c r="G2317" s="306"/>
      <c r="H2317" s="306"/>
      <c r="I2317" s="306"/>
      <c r="J2317" s="306"/>
      <c r="K2317" s="306"/>
      <c r="L2317" s="306"/>
      <c r="M2317" s="306"/>
      <c r="N2317" s="306"/>
      <c r="O2317" s="306"/>
      <c r="P2317" s="306"/>
      <c r="Q2317" s="306"/>
      <c r="R2317" s="306"/>
      <c r="S2317" s="306"/>
      <c r="T2317" s="306"/>
      <c r="U2317" s="306"/>
      <c r="V2317" s="306"/>
      <c r="W2317" s="306"/>
      <c r="X2317" s="306"/>
      <c r="Y2317" s="306"/>
      <c r="Z2317" s="306"/>
      <c r="AA2317" s="306"/>
      <c r="AB2317" s="306"/>
      <c r="AC2317" s="306"/>
      <c r="AD2317" s="306"/>
      <c r="AE2317" s="306"/>
      <c r="AF2317" s="306"/>
    </row>
    <row r="2419" spans="2:32" ht="15" customHeight="1" x14ac:dyDescent="0.2">
      <c r="B2419" s="306"/>
      <c r="C2419" s="306"/>
      <c r="D2419" s="306"/>
      <c r="E2419" s="306"/>
      <c r="F2419" s="306"/>
      <c r="G2419" s="306"/>
      <c r="H2419" s="306"/>
      <c r="I2419" s="306"/>
      <c r="J2419" s="306"/>
      <c r="K2419" s="306"/>
      <c r="L2419" s="306"/>
      <c r="M2419" s="306"/>
      <c r="N2419" s="306"/>
      <c r="O2419" s="306"/>
      <c r="P2419" s="306"/>
      <c r="Q2419" s="306"/>
      <c r="R2419" s="306"/>
      <c r="S2419" s="306"/>
      <c r="T2419" s="306"/>
      <c r="U2419" s="306"/>
      <c r="V2419" s="306"/>
      <c r="W2419" s="306"/>
      <c r="X2419" s="306"/>
      <c r="Y2419" s="306"/>
      <c r="Z2419" s="306"/>
      <c r="AA2419" s="306"/>
      <c r="AB2419" s="306"/>
      <c r="AC2419" s="306"/>
      <c r="AD2419" s="306"/>
      <c r="AE2419" s="306"/>
      <c r="AF2419" s="306"/>
    </row>
    <row r="2509" spans="2:32" ht="15" customHeight="1" x14ac:dyDescent="0.2">
      <c r="B2509" s="306"/>
      <c r="C2509" s="306"/>
      <c r="D2509" s="306"/>
      <c r="E2509" s="306"/>
      <c r="F2509" s="306"/>
      <c r="G2509" s="306"/>
      <c r="H2509" s="306"/>
      <c r="I2509" s="306"/>
      <c r="J2509" s="306"/>
      <c r="K2509" s="306"/>
      <c r="L2509" s="306"/>
      <c r="M2509" s="306"/>
      <c r="N2509" s="306"/>
      <c r="O2509" s="306"/>
      <c r="P2509" s="306"/>
      <c r="Q2509" s="306"/>
      <c r="R2509" s="306"/>
      <c r="S2509" s="306"/>
      <c r="T2509" s="306"/>
      <c r="U2509" s="306"/>
      <c r="V2509" s="306"/>
      <c r="W2509" s="306"/>
      <c r="X2509" s="306"/>
      <c r="Y2509" s="306"/>
      <c r="Z2509" s="306"/>
      <c r="AA2509" s="306"/>
      <c r="AB2509" s="306"/>
      <c r="AC2509" s="306"/>
      <c r="AD2509" s="306"/>
      <c r="AE2509" s="306"/>
      <c r="AF2509" s="306"/>
    </row>
    <row r="2598" spans="2:32" ht="15" customHeight="1" x14ac:dyDescent="0.2">
      <c r="B2598" s="306"/>
      <c r="C2598" s="306"/>
      <c r="D2598" s="306"/>
      <c r="E2598" s="306"/>
      <c r="F2598" s="306"/>
      <c r="G2598" s="306"/>
      <c r="H2598" s="306"/>
      <c r="I2598" s="306"/>
      <c r="J2598" s="306"/>
      <c r="K2598" s="306"/>
      <c r="L2598" s="306"/>
      <c r="M2598" s="306"/>
      <c r="N2598" s="306"/>
      <c r="O2598" s="306"/>
      <c r="P2598" s="306"/>
      <c r="Q2598" s="306"/>
      <c r="R2598" s="306"/>
      <c r="S2598" s="306"/>
      <c r="T2598" s="306"/>
      <c r="U2598" s="306"/>
      <c r="V2598" s="306"/>
      <c r="W2598" s="306"/>
      <c r="X2598" s="306"/>
      <c r="Y2598" s="306"/>
      <c r="Z2598" s="306"/>
      <c r="AA2598" s="306"/>
      <c r="AB2598" s="306"/>
      <c r="AC2598" s="306"/>
      <c r="AD2598" s="306"/>
      <c r="AE2598" s="306"/>
      <c r="AF2598" s="306"/>
    </row>
    <row r="2719" spans="2:32" ht="15" customHeight="1" x14ac:dyDescent="0.2">
      <c r="B2719" s="306"/>
      <c r="C2719" s="306"/>
      <c r="D2719" s="306"/>
      <c r="E2719" s="306"/>
      <c r="F2719" s="306"/>
      <c r="G2719" s="306"/>
      <c r="H2719" s="306"/>
      <c r="I2719" s="306"/>
      <c r="J2719" s="306"/>
      <c r="K2719" s="306"/>
      <c r="L2719" s="306"/>
      <c r="M2719" s="306"/>
      <c r="N2719" s="306"/>
      <c r="O2719" s="306"/>
      <c r="P2719" s="306"/>
      <c r="Q2719" s="306"/>
      <c r="R2719" s="306"/>
      <c r="S2719" s="306"/>
      <c r="T2719" s="306"/>
      <c r="U2719" s="306"/>
      <c r="V2719" s="306"/>
      <c r="W2719" s="306"/>
      <c r="X2719" s="306"/>
      <c r="Y2719" s="306"/>
      <c r="Z2719" s="306"/>
      <c r="AA2719" s="306"/>
      <c r="AB2719" s="306"/>
      <c r="AC2719" s="306"/>
      <c r="AD2719" s="306"/>
      <c r="AE2719" s="306"/>
      <c r="AF2719" s="306"/>
    </row>
    <row r="2837" spans="2:32" ht="15" customHeight="1" x14ac:dyDescent="0.2">
      <c r="B2837" s="306"/>
      <c r="C2837" s="306"/>
      <c r="D2837" s="306"/>
      <c r="E2837" s="306"/>
      <c r="F2837" s="306"/>
      <c r="G2837" s="306"/>
      <c r="H2837" s="306"/>
      <c r="I2837" s="306"/>
      <c r="J2837" s="306"/>
      <c r="K2837" s="306"/>
      <c r="L2837" s="306"/>
      <c r="M2837" s="306"/>
      <c r="N2837" s="306"/>
      <c r="O2837" s="306"/>
      <c r="P2837" s="306"/>
      <c r="Q2837" s="306"/>
      <c r="R2837" s="306"/>
      <c r="S2837" s="306"/>
      <c r="T2837" s="306"/>
      <c r="U2837" s="306"/>
      <c r="V2837" s="306"/>
      <c r="W2837" s="306"/>
      <c r="X2837" s="306"/>
      <c r="Y2837" s="306"/>
      <c r="Z2837" s="306"/>
      <c r="AA2837" s="306"/>
      <c r="AB2837" s="306"/>
      <c r="AC2837" s="306"/>
      <c r="AD2837" s="306"/>
      <c r="AE2837" s="306"/>
      <c r="AF2837" s="306"/>
    </row>
  </sheetData>
  <mergeCells count="21">
    <mergeCell ref="B72:AG72"/>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A2540"/>
  <sheetViews>
    <sheetView workbookViewId="0">
      <pane xSplit="2" ySplit="1" topLeftCell="C2" activePane="bottomRight" state="frozen"/>
      <selection activeCell="B1" sqref="B1"/>
      <selection pane="topRight" activeCell="B1" sqref="B1"/>
      <selection pane="bottomLeft" activeCell="B1" sqref="B1"/>
      <selection pane="bottomRight" activeCell="A39" sqref="A39"/>
    </sheetView>
  </sheetViews>
  <sheetFormatPr defaultRowHeight="15" customHeight="1" x14ac:dyDescent="0.25"/>
  <cols>
    <col min="1" max="1" width="30.42578125" customWidth="1"/>
    <col min="2" max="2" width="49" customWidth="1"/>
  </cols>
  <sheetData>
    <row r="1" spans="1:53" ht="15" customHeight="1" thickBot="1" x14ac:dyDescent="0.3">
      <c r="A1" s="207"/>
      <c r="B1" s="279" t="s">
        <v>830</v>
      </c>
      <c r="C1" s="280">
        <v>2022</v>
      </c>
      <c r="D1" s="280">
        <v>2023</v>
      </c>
      <c r="E1" s="280">
        <v>2024</v>
      </c>
      <c r="F1" s="280">
        <v>2025</v>
      </c>
      <c r="G1" s="280">
        <v>2026</v>
      </c>
      <c r="H1" s="280">
        <v>2027</v>
      </c>
      <c r="I1" s="280">
        <v>2028</v>
      </c>
      <c r="J1" s="280">
        <v>2029</v>
      </c>
      <c r="K1" s="280">
        <v>2030</v>
      </c>
      <c r="L1" s="280">
        <v>2031</v>
      </c>
      <c r="M1" s="280">
        <v>2032</v>
      </c>
      <c r="N1" s="280">
        <v>2033</v>
      </c>
      <c r="O1" s="280">
        <v>2034</v>
      </c>
      <c r="P1" s="280">
        <v>2035</v>
      </c>
      <c r="Q1" s="280">
        <v>2036</v>
      </c>
      <c r="R1" s="280">
        <v>2037</v>
      </c>
      <c r="S1" s="280">
        <v>2038</v>
      </c>
      <c r="T1" s="280">
        <v>2039</v>
      </c>
      <c r="U1" s="280">
        <v>2040</v>
      </c>
      <c r="V1" s="280">
        <v>2041</v>
      </c>
      <c r="W1" s="280">
        <v>2042</v>
      </c>
      <c r="X1" s="280">
        <v>2043</v>
      </c>
      <c r="Y1" s="280">
        <v>2044</v>
      </c>
      <c r="Z1" s="280">
        <v>2045</v>
      </c>
      <c r="AA1" s="280">
        <v>2046</v>
      </c>
      <c r="AB1" s="280">
        <v>2047</v>
      </c>
      <c r="AC1" s="280">
        <v>2048</v>
      </c>
      <c r="AD1" s="280">
        <v>2049</v>
      </c>
      <c r="AE1" s="280">
        <v>2050</v>
      </c>
      <c r="AF1" s="207"/>
      <c r="AG1" s="207"/>
      <c r="AH1" s="207"/>
      <c r="AI1" s="207"/>
      <c r="AJ1" s="207"/>
      <c r="AK1" s="207"/>
      <c r="AL1" s="207"/>
      <c r="AM1" s="207"/>
      <c r="AN1" s="207"/>
      <c r="AO1" s="207"/>
      <c r="AP1" s="207"/>
      <c r="AQ1" s="207"/>
      <c r="AR1" s="207"/>
      <c r="AS1" s="207"/>
      <c r="AT1" s="207"/>
      <c r="AU1" s="207"/>
      <c r="AV1" s="207"/>
      <c r="AW1" s="207"/>
      <c r="AX1" s="207"/>
      <c r="AY1" s="207"/>
      <c r="AZ1" s="207"/>
      <c r="BA1" s="207"/>
    </row>
    <row r="2" spans="1:53" ht="15" customHeight="1" thickTop="1" x14ac:dyDescent="0.25">
      <c r="A2" s="207"/>
      <c r="B2" s="207"/>
      <c r="C2" s="207"/>
      <c r="D2" s="207"/>
      <c r="E2" s="207"/>
      <c r="F2" s="207"/>
      <c r="G2" s="207"/>
      <c r="H2" s="207"/>
      <c r="I2" s="207"/>
      <c r="J2" s="207"/>
      <c r="K2" s="207"/>
      <c r="L2" s="207"/>
      <c r="M2" s="207"/>
      <c r="N2" s="207"/>
      <c r="O2" s="207"/>
      <c r="P2" s="207"/>
      <c r="Q2" s="207"/>
      <c r="R2" s="207"/>
      <c r="S2" s="207"/>
      <c r="T2" s="207"/>
      <c r="U2" s="207"/>
      <c r="V2" s="207"/>
      <c r="W2" s="207"/>
      <c r="X2" s="207"/>
      <c r="Y2" s="207"/>
      <c r="Z2" s="207"/>
      <c r="AA2" s="207"/>
      <c r="AB2" s="207"/>
      <c r="AC2" s="207"/>
      <c r="AD2" s="207"/>
      <c r="AE2" s="207"/>
      <c r="AF2" s="207"/>
      <c r="AG2" s="207"/>
      <c r="AH2" s="207"/>
      <c r="AI2" s="207"/>
      <c r="AJ2" s="207"/>
      <c r="AK2" s="207"/>
      <c r="AL2" s="207"/>
      <c r="AM2" s="207"/>
      <c r="AN2" s="207"/>
      <c r="AO2" s="207"/>
      <c r="AP2" s="207"/>
      <c r="AQ2" s="207"/>
      <c r="AR2" s="207"/>
      <c r="AS2" s="207"/>
      <c r="AT2" s="207"/>
      <c r="AU2" s="207"/>
      <c r="AV2" s="207"/>
      <c r="AW2" s="207"/>
      <c r="AX2" s="207"/>
      <c r="AY2" s="207"/>
      <c r="AZ2" s="207"/>
      <c r="BA2" s="207"/>
    </row>
    <row r="3" spans="1:53" ht="15" customHeight="1" x14ac:dyDescent="0.25">
      <c r="A3" s="207"/>
      <c r="B3" s="207"/>
      <c r="C3" s="275" t="s">
        <v>117</v>
      </c>
      <c r="D3" s="275" t="s">
        <v>831</v>
      </c>
      <c r="E3" s="225"/>
      <c r="F3" s="225"/>
      <c r="G3" s="225"/>
      <c r="H3" s="207"/>
      <c r="I3" s="207"/>
      <c r="J3" s="207"/>
      <c r="K3" s="207"/>
      <c r="L3" s="207"/>
      <c r="M3" s="207"/>
      <c r="N3" s="207"/>
      <c r="O3" s="207"/>
      <c r="P3" s="207"/>
      <c r="Q3" s="207"/>
      <c r="R3" s="207"/>
      <c r="S3" s="207"/>
      <c r="T3" s="207"/>
      <c r="U3" s="207"/>
      <c r="V3" s="207"/>
      <c r="W3" s="207"/>
      <c r="X3" s="207"/>
      <c r="Y3" s="207"/>
      <c r="Z3" s="207"/>
      <c r="AA3" s="207"/>
      <c r="AB3" s="207"/>
      <c r="AC3" s="207"/>
      <c r="AD3" s="207"/>
      <c r="AE3" s="207"/>
      <c r="AF3" s="207"/>
      <c r="AG3" s="207"/>
      <c r="AH3" s="207"/>
      <c r="AI3" s="207"/>
      <c r="AJ3" s="207"/>
      <c r="AK3" s="207"/>
      <c r="AL3" s="207"/>
      <c r="AM3" s="207"/>
      <c r="AN3" s="207"/>
      <c r="AO3" s="207"/>
      <c r="AP3" s="207"/>
      <c r="AQ3" s="207"/>
      <c r="AR3" s="207"/>
      <c r="AS3" s="207"/>
      <c r="AT3" s="207"/>
      <c r="AU3" s="207"/>
      <c r="AV3" s="207"/>
      <c r="AW3" s="207"/>
      <c r="AX3" s="207"/>
      <c r="AY3" s="207"/>
      <c r="AZ3" s="207"/>
      <c r="BA3" s="207"/>
    </row>
    <row r="4" spans="1:53" ht="15" customHeight="1" x14ac:dyDescent="0.25">
      <c r="A4" s="207"/>
      <c r="B4" s="207"/>
      <c r="C4" s="275" t="s">
        <v>118</v>
      </c>
      <c r="D4" s="275" t="s">
        <v>832</v>
      </c>
      <c r="E4" s="225"/>
      <c r="F4" s="225"/>
      <c r="G4" s="275" t="s">
        <v>642</v>
      </c>
      <c r="H4" s="207"/>
      <c r="I4" s="207"/>
      <c r="J4" s="207"/>
      <c r="K4" s="207"/>
      <c r="L4" s="207"/>
      <c r="M4" s="207"/>
      <c r="N4" s="207"/>
      <c r="O4" s="207"/>
      <c r="P4" s="207"/>
      <c r="Q4" s="207"/>
      <c r="R4" s="207"/>
      <c r="S4" s="207"/>
      <c r="T4" s="207"/>
      <c r="U4" s="207"/>
      <c r="V4" s="207"/>
      <c r="W4" s="207"/>
      <c r="X4" s="207"/>
      <c r="Y4" s="207"/>
      <c r="Z4" s="207"/>
      <c r="AA4" s="207"/>
      <c r="AB4" s="207"/>
      <c r="AC4" s="207"/>
      <c r="AD4" s="207"/>
      <c r="AE4" s="207"/>
      <c r="AF4" s="207"/>
      <c r="AG4" s="207"/>
      <c r="AH4" s="207"/>
      <c r="AI4" s="207"/>
      <c r="AJ4" s="207"/>
      <c r="AK4" s="207"/>
      <c r="AL4" s="207"/>
      <c r="AM4" s="207"/>
      <c r="AN4" s="207"/>
      <c r="AO4" s="207"/>
      <c r="AP4" s="207"/>
      <c r="AQ4" s="207"/>
      <c r="AR4" s="207"/>
      <c r="AS4" s="207"/>
      <c r="AT4" s="207"/>
      <c r="AU4" s="207"/>
      <c r="AV4" s="207"/>
      <c r="AW4" s="207"/>
      <c r="AX4" s="207"/>
      <c r="AY4" s="207"/>
      <c r="AZ4" s="207"/>
      <c r="BA4" s="207"/>
    </row>
    <row r="5" spans="1:53" ht="15" customHeight="1" x14ac:dyDescent="0.25">
      <c r="A5" s="207"/>
      <c r="B5" s="207"/>
      <c r="C5" s="275" t="s">
        <v>119</v>
      </c>
      <c r="D5" s="275" t="s">
        <v>833</v>
      </c>
      <c r="E5" s="225"/>
      <c r="F5" s="225"/>
      <c r="G5" s="225"/>
      <c r="H5" s="207"/>
      <c r="I5" s="207"/>
      <c r="J5" s="207"/>
      <c r="K5" s="207"/>
      <c r="L5" s="207"/>
      <c r="M5" s="207"/>
      <c r="N5" s="207"/>
      <c r="O5" s="207"/>
      <c r="P5" s="207"/>
      <c r="Q5" s="207"/>
      <c r="R5" s="207"/>
      <c r="S5" s="207"/>
      <c r="T5" s="207"/>
      <c r="U5" s="207"/>
      <c r="V5" s="207"/>
      <c r="W5" s="207"/>
      <c r="X5" s="207"/>
      <c r="Y5" s="207"/>
      <c r="Z5" s="207"/>
      <c r="AA5" s="207"/>
      <c r="AB5" s="207"/>
      <c r="AC5" s="207"/>
      <c r="AD5" s="207"/>
      <c r="AE5" s="207"/>
      <c r="AF5" s="207"/>
      <c r="AG5" s="207"/>
      <c r="AH5" s="207"/>
      <c r="AI5" s="207"/>
      <c r="AJ5" s="207"/>
      <c r="AK5" s="207"/>
      <c r="AL5" s="207"/>
      <c r="AM5" s="207"/>
      <c r="AN5" s="207"/>
      <c r="AO5" s="207"/>
      <c r="AP5" s="207"/>
      <c r="AQ5" s="207"/>
      <c r="AR5" s="207"/>
      <c r="AS5" s="207"/>
      <c r="AT5" s="207"/>
      <c r="AU5" s="207"/>
      <c r="AV5" s="207"/>
      <c r="AW5" s="207"/>
      <c r="AX5" s="207"/>
      <c r="AY5" s="207"/>
      <c r="AZ5" s="207"/>
      <c r="BA5" s="207"/>
    </row>
    <row r="6" spans="1:53" ht="15" customHeight="1" x14ac:dyDescent="0.25">
      <c r="A6" s="207"/>
      <c r="B6" s="207"/>
      <c r="C6" s="275" t="s">
        <v>120</v>
      </c>
      <c r="D6" s="225"/>
      <c r="E6" s="275" t="s">
        <v>834</v>
      </c>
      <c r="F6" s="225"/>
      <c r="G6" s="225"/>
      <c r="H6" s="207"/>
      <c r="I6" s="207"/>
      <c r="J6" s="207"/>
      <c r="K6" s="207"/>
      <c r="L6" s="207"/>
      <c r="M6" s="207"/>
      <c r="N6" s="207"/>
      <c r="O6" s="207"/>
      <c r="P6" s="207"/>
      <c r="Q6" s="207"/>
      <c r="R6" s="207"/>
      <c r="S6" s="207"/>
      <c r="T6" s="207"/>
      <c r="U6" s="207"/>
      <c r="V6" s="207"/>
      <c r="W6" s="207"/>
      <c r="X6" s="207"/>
      <c r="Y6" s="207"/>
      <c r="Z6" s="207"/>
      <c r="AA6" s="207"/>
      <c r="AB6" s="207"/>
      <c r="AC6" s="207"/>
      <c r="AD6" s="207"/>
      <c r="AE6" s="207"/>
      <c r="AF6" s="207"/>
      <c r="AG6" s="207"/>
      <c r="AH6" s="207"/>
      <c r="AI6" s="207"/>
      <c r="AJ6" s="207"/>
      <c r="AK6" s="207"/>
      <c r="AL6" s="207"/>
      <c r="AM6" s="207"/>
      <c r="AN6" s="207"/>
      <c r="AO6" s="207"/>
      <c r="AP6" s="207"/>
      <c r="AQ6" s="207"/>
      <c r="AR6" s="207"/>
      <c r="AS6" s="207"/>
      <c r="AT6" s="207"/>
      <c r="AU6" s="207"/>
      <c r="AV6" s="207"/>
      <c r="AW6" s="207"/>
      <c r="AX6" s="207"/>
      <c r="AY6" s="207"/>
      <c r="AZ6" s="207"/>
      <c r="BA6" s="207"/>
    </row>
    <row r="7" spans="1:53" ht="15" customHeight="1" x14ac:dyDescent="0.25">
      <c r="A7" s="207"/>
      <c r="B7" s="207"/>
      <c r="C7" s="207"/>
      <c r="D7" s="207"/>
      <c r="E7" s="207"/>
      <c r="F7" s="207"/>
      <c r="G7" s="207"/>
      <c r="H7" s="207"/>
      <c r="I7" s="207"/>
      <c r="J7" s="207"/>
      <c r="K7" s="207"/>
      <c r="L7" s="207"/>
      <c r="M7" s="207"/>
      <c r="N7" s="207"/>
      <c r="O7" s="207"/>
      <c r="P7" s="207"/>
      <c r="Q7" s="207"/>
      <c r="R7" s="207"/>
      <c r="S7" s="207"/>
      <c r="T7" s="207"/>
      <c r="U7" s="207"/>
      <c r="V7" s="207"/>
      <c r="W7" s="207"/>
      <c r="X7" s="207"/>
      <c r="Y7" s="207"/>
      <c r="Z7" s="207"/>
      <c r="AA7" s="207"/>
      <c r="AB7" s="207"/>
      <c r="AC7" s="207"/>
      <c r="AD7" s="207"/>
      <c r="AE7" s="207"/>
      <c r="AF7" s="207"/>
      <c r="AG7" s="207"/>
      <c r="AH7" s="207"/>
      <c r="AI7" s="207"/>
      <c r="AJ7" s="207"/>
      <c r="AK7" s="207"/>
      <c r="AL7" s="207"/>
      <c r="AM7" s="207"/>
      <c r="AN7" s="207"/>
      <c r="AO7" s="207"/>
      <c r="AP7" s="207"/>
      <c r="AQ7" s="207"/>
      <c r="AR7" s="207"/>
      <c r="AS7" s="207"/>
      <c r="AT7" s="207"/>
      <c r="AU7" s="207"/>
      <c r="AV7" s="207"/>
      <c r="AW7" s="207"/>
      <c r="AX7" s="207"/>
      <c r="AY7" s="207"/>
      <c r="AZ7" s="207"/>
      <c r="BA7" s="207"/>
    </row>
    <row r="8" spans="1:53" ht="15" customHeight="1" x14ac:dyDescent="0.25">
      <c r="A8" s="207"/>
      <c r="B8" s="207"/>
      <c r="C8" s="207"/>
      <c r="D8" s="207"/>
      <c r="E8" s="207"/>
      <c r="F8" s="207"/>
      <c r="G8" s="207"/>
      <c r="H8" s="207"/>
      <c r="I8" s="207"/>
      <c r="J8" s="207"/>
      <c r="K8" s="207"/>
      <c r="L8" s="207"/>
      <c r="M8" s="207"/>
      <c r="N8" s="207"/>
      <c r="O8" s="207"/>
      <c r="P8" s="207"/>
      <c r="Q8" s="207"/>
      <c r="R8" s="207"/>
      <c r="S8" s="207"/>
      <c r="T8" s="207"/>
      <c r="U8" s="207"/>
      <c r="V8" s="207"/>
      <c r="W8" s="207"/>
      <c r="X8" s="207"/>
      <c r="Y8" s="207"/>
      <c r="Z8" s="207"/>
      <c r="AA8" s="207"/>
      <c r="AB8" s="207"/>
      <c r="AC8" s="207"/>
      <c r="AD8" s="207"/>
      <c r="AE8" s="207"/>
      <c r="AF8" s="207"/>
      <c r="AG8" s="207"/>
      <c r="AH8" s="207"/>
      <c r="AI8" s="207"/>
      <c r="AJ8" s="207"/>
      <c r="AK8" s="207"/>
      <c r="AL8" s="207"/>
      <c r="AM8" s="207"/>
      <c r="AN8" s="207"/>
      <c r="AO8" s="207"/>
      <c r="AP8" s="207"/>
      <c r="AQ8" s="207"/>
      <c r="AR8" s="207"/>
      <c r="AS8" s="207"/>
      <c r="AT8" s="207"/>
      <c r="AU8" s="207"/>
      <c r="AV8" s="207"/>
      <c r="AW8" s="207"/>
      <c r="AX8" s="207"/>
      <c r="AY8" s="207"/>
      <c r="AZ8" s="207"/>
      <c r="BA8" s="207"/>
    </row>
    <row r="9" spans="1:53" ht="15" customHeight="1" x14ac:dyDescent="0.25">
      <c r="A9" s="207"/>
      <c r="B9" s="207"/>
      <c r="C9" s="207"/>
      <c r="D9" s="207"/>
      <c r="E9" s="207"/>
      <c r="F9" s="207"/>
      <c r="G9" s="207"/>
      <c r="H9" s="207"/>
      <c r="I9" s="207"/>
      <c r="J9" s="207"/>
      <c r="K9" s="207"/>
      <c r="L9" s="207"/>
      <c r="M9" s="207"/>
      <c r="N9" s="207"/>
      <c r="O9" s="207"/>
      <c r="P9" s="207"/>
      <c r="Q9" s="207"/>
      <c r="R9" s="207"/>
      <c r="S9" s="207"/>
      <c r="T9" s="207"/>
      <c r="U9" s="207"/>
      <c r="V9" s="207"/>
      <c r="W9" s="207"/>
      <c r="X9" s="207"/>
      <c r="Y9" s="207"/>
      <c r="Z9" s="207"/>
      <c r="AA9" s="207"/>
      <c r="AB9" s="207"/>
      <c r="AC9" s="207"/>
      <c r="AD9" s="207"/>
      <c r="AE9" s="207"/>
      <c r="AF9" s="207"/>
      <c r="AG9" s="207"/>
      <c r="AH9" s="207"/>
      <c r="AI9" s="207"/>
      <c r="AJ9" s="207"/>
      <c r="AK9" s="207"/>
      <c r="AL9" s="207"/>
      <c r="AM9" s="207"/>
      <c r="AN9" s="207"/>
      <c r="AO9" s="207"/>
      <c r="AP9" s="207"/>
      <c r="AQ9" s="207"/>
      <c r="AR9" s="207"/>
      <c r="AS9" s="207"/>
      <c r="AT9" s="207"/>
      <c r="AU9" s="207"/>
      <c r="AV9" s="207"/>
      <c r="AW9" s="207"/>
      <c r="AX9" s="207"/>
      <c r="AY9" s="207"/>
      <c r="AZ9" s="207"/>
      <c r="BA9" s="207"/>
    </row>
    <row r="10" spans="1:53" ht="15" customHeight="1" x14ac:dyDescent="0.25">
      <c r="A10" s="213" t="s">
        <v>296</v>
      </c>
      <c r="B10" s="281" t="s">
        <v>796</v>
      </c>
      <c r="C10" s="208"/>
      <c r="D10" s="208"/>
      <c r="E10" s="208"/>
      <c r="F10" s="208"/>
      <c r="G10" s="208"/>
      <c r="H10" s="208"/>
      <c r="I10" s="208"/>
      <c r="J10" s="208"/>
      <c r="K10" s="208"/>
      <c r="L10" s="208"/>
      <c r="M10" s="208"/>
      <c r="N10" s="208"/>
      <c r="O10" s="208"/>
      <c r="P10" s="208"/>
      <c r="Q10" s="208"/>
      <c r="R10" s="208"/>
      <c r="S10" s="208"/>
      <c r="T10" s="208"/>
      <c r="U10" s="208"/>
      <c r="V10" s="208"/>
      <c r="W10" s="208"/>
      <c r="X10" s="208"/>
      <c r="Y10" s="208"/>
      <c r="Z10" s="208"/>
      <c r="AA10" s="208"/>
      <c r="AB10" s="208"/>
      <c r="AC10" s="208"/>
      <c r="AD10" s="208"/>
      <c r="AE10" s="208"/>
      <c r="AF10" s="221" t="s">
        <v>638</v>
      </c>
      <c r="AG10" s="208"/>
      <c r="AH10" s="208"/>
      <c r="AI10" s="208"/>
      <c r="AJ10" s="208"/>
      <c r="AK10" s="208"/>
      <c r="AL10" s="208"/>
      <c r="AM10" s="208"/>
      <c r="AN10" s="208"/>
      <c r="AO10" s="208"/>
      <c r="AP10" s="208"/>
      <c r="AQ10" s="208"/>
      <c r="AR10" s="208"/>
      <c r="AS10" s="208"/>
      <c r="AT10" s="208"/>
      <c r="AU10" s="208"/>
      <c r="AV10" s="208"/>
      <c r="AW10" s="208"/>
      <c r="AX10" s="208"/>
      <c r="AY10" s="208"/>
      <c r="AZ10" s="208"/>
      <c r="BA10" s="208"/>
    </row>
    <row r="11" spans="1:53" ht="15" customHeight="1" x14ac:dyDescent="0.25">
      <c r="A11" s="213" t="s">
        <v>298</v>
      </c>
      <c r="B11" s="282" t="s">
        <v>275</v>
      </c>
      <c r="C11" s="208"/>
      <c r="D11" s="208"/>
      <c r="E11" s="208"/>
      <c r="F11" s="208"/>
      <c r="G11" s="208"/>
      <c r="H11" s="208"/>
      <c r="I11" s="208"/>
      <c r="J11" s="208"/>
      <c r="K11" s="208"/>
      <c r="L11" s="208"/>
      <c r="M11" s="208"/>
      <c r="N11" s="208"/>
      <c r="O11" s="208"/>
      <c r="P11" s="208"/>
      <c r="Q11" s="208"/>
      <c r="R11" s="208"/>
      <c r="S11" s="208"/>
      <c r="T11" s="208"/>
      <c r="U11" s="208"/>
      <c r="V11" s="208"/>
      <c r="W11" s="208"/>
      <c r="X11" s="208"/>
      <c r="Y11" s="208"/>
      <c r="Z11" s="208"/>
      <c r="AA11" s="208"/>
      <c r="AB11" s="208"/>
      <c r="AC11" s="208"/>
      <c r="AD11" s="208"/>
      <c r="AE11" s="208"/>
      <c r="AF11" s="221" t="s">
        <v>637</v>
      </c>
      <c r="AG11" s="208"/>
      <c r="AH11" s="208"/>
      <c r="AI11" s="208"/>
      <c r="AJ11" s="208"/>
      <c r="AK11" s="208"/>
      <c r="AL11" s="208"/>
      <c r="AM11" s="208"/>
      <c r="AN11" s="208"/>
      <c r="AO11" s="208"/>
      <c r="AP11" s="208"/>
      <c r="AQ11" s="208"/>
      <c r="AR11" s="208"/>
      <c r="AS11" s="208"/>
      <c r="AT11" s="208"/>
      <c r="AU11" s="208"/>
      <c r="AV11" s="208"/>
      <c r="AW11" s="208"/>
      <c r="AX11" s="208"/>
      <c r="AY11" s="208"/>
      <c r="AZ11" s="208"/>
      <c r="BA11" s="208"/>
    </row>
    <row r="12" spans="1:53" ht="15" customHeight="1" x14ac:dyDescent="0.25">
      <c r="A12" s="213" t="s">
        <v>300</v>
      </c>
      <c r="B12" s="282"/>
      <c r="C12" s="264"/>
      <c r="D12" s="264"/>
      <c r="E12" s="264"/>
      <c r="F12" s="264"/>
      <c r="G12" s="264"/>
      <c r="H12" s="264"/>
      <c r="I12" s="264"/>
      <c r="J12" s="264"/>
      <c r="K12" s="264"/>
      <c r="L12" s="264"/>
      <c r="M12" s="264"/>
      <c r="N12" s="264"/>
      <c r="O12" s="264"/>
      <c r="P12" s="264"/>
      <c r="Q12" s="264"/>
      <c r="R12" s="264"/>
      <c r="S12" s="264"/>
      <c r="T12" s="264"/>
      <c r="U12" s="264"/>
      <c r="V12" s="264"/>
      <c r="W12" s="264"/>
      <c r="X12" s="264"/>
      <c r="Y12" s="264"/>
      <c r="Z12" s="264"/>
      <c r="AA12" s="264"/>
      <c r="AB12" s="264"/>
      <c r="AC12" s="264"/>
      <c r="AD12" s="264"/>
      <c r="AE12" s="264"/>
      <c r="AF12" s="221" t="s">
        <v>835</v>
      </c>
      <c r="AG12" s="208"/>
      <c r="AH12" s="208"/>
      <c r="AI12" s="208"/>
      <c r="AJ12" s="208"/>
      <c r="AK12" s="208"/>
      <c r="AL12" s="208"/>
      <c r="AM12" s="208"/>
      <c r="AN12" s="208"/>
      <c r="AO12" s="208"/>
      <c r="AP12" s="208"/>
      <c r="AQ12" s="208"/>
      <c r="AR12" s="208"/>
      <c r="AS12" s="208"/>
      <c r="AT12" s="208"/>
      <c r="AU12" s="208"/>
      <c r="AV12" s="208"/>
      <c r="AW12" s="208"/>
      <c r="AX12" s="208"/>
      <c r="AY12" s="208"/>
      <c r="AZ12" s="208"/>
      <c r="BA12" s="208"/>
    </row>
    <row r="13" spans="1:53" ht="15" customHeight="1" thickBot="1" x14ac:dyDescent="0.3">
      <c r="A13" s="213" t="s">
        <v>302</v>
      </c>
      <c r="B13" s="283"/>
      <c r="C13" s="283">
        <v>2022</v>
      </c>
      <c r="D13" s="283">
        <v>2023</v>
      </c>
      <c r="E13" s="283">
        <v>2024</v>
      </c>
      <c r="F13" s="283">
        <v>2025</v>
      </c>
      <c r="G13" s="283">
        <v>2026</v>
      </c>
      <c r="H13" s="283">
        <v>2027</v>
      </c>
      <c r="I13" s="283">
        <v>2028</v>
      </c>
      <c r="J13" s="283">
        <v>2029</v>
      </c>
      <c r="K13" s="283">
        <v>2030</v>
      </c>
      <c r="L13" s="283">
        <v>2031</v>
      </c>
      <c r="M13" s="283">
        <v>2032</v>
      </c>
      <c r="N13" s="283">
        <v>2033</v>
      </c>
      <c r="O13" s="283">
        <v>2034</v>
      </c>
      <c r="P13" s="283">
        <v>2035</v>
      </c>
      <c r="Q13" s="283">
        <v>2036</v>
      </c>
      <c r="R13" s="283">
        <v>2037</v>
      </c>
      <c r="S13" s="283">
        <v>2038</v>
      </c>
      <c r="T13" s="283">
        <v>2039</v>
      </c>
      <c r="U13" s="283">
        <v>2040</v>
      </c>
      <c r="V13" s="283">
        <v>2041</v>
      </c>
      <c r="W13" s="283">
        <v>2042</v>
      </c>
      <c r="X13" s="283">
        <v>2043</v>
      </c>
      <c r="Y13" s="283">
        <v>2044</v>
      </c>
      <c r="Z13" s="283">
        <v>2045</v>
      </c>
      <c r="AA13" s="283">
        <v>2046</v>
      </c>
      <c r="AB13" s="283">
        <v>2047</v>
      </c>
      <c r="AC13" s="283">
        <v>2048</v>
      </c>
      <c r="AD13" s="283">
        <v>2049</v>
      </c>
      <c r="AE13" s="283">
        <v>2050</v>
      </c>
      <c r="AF13" s="284">
        <v>2050</v>
      </c>
      <c r="AG13" s="208"/>
      <c r="AH13" s="208"/>
      <c r="AI13" s="208"/>
      <c r="AJ13" s="208"/>
      <c r="AK13" s="208"/>
      <c r="AL13" s="208"/>
      <c r="AM13" s="208"/>
      <c r="AN13" s="208"/>
      <c r="AO13" s="208"/>
      <c r="AP13" s="208"/>
      <c r="AQ13" s="208"/>
      <c r="AR13" s="208"/>
      <c r="AS13" s="208"/>
      <c r="AT13" s="208"/>
      <c r="AU13" s="208"/>
      <c r="AV13" s="208"/>
      <c r="AW13" s="208"/>
      <c r="AX13" s="208"/>
      <c r="AY13" s="208"/>
      <c r="AZ13" s="208"/>
      <c r="BA13" s="208"/>
    </row>
    <row r="14" spans="1:53" ht="15" customHeight="1" thickTop="1" x14ac:dyDescent="0.25">
      <c r="A14" s="213" t="s">
        <v>304</v>
      </c>
      <c r="B14" s="285" t="s">
        <v>276</v>
      </c>
      <c r="C14" s="208"/>
      <c r="D14" s="208"/>
      <c r="E14" s="208"/>
      <c r="F14" s="208"/>
      <c r="G14" s="208"/>
      <c r="H14" s="208"/>
      <c r="I14" s="208"/>
      <c r="J14" s="208"/>
      <c r="K14" s="208"/>
      <c r="L14" s="208"/>
      <c r="M14" s="208"/>
      <c r="N14" s="208"/>
      <c r="O14" s="208"/>
      <c r="P14" s="208"/>
      <c r="Q14" s="208"/>
      <c r="R14" s="208"/>
      <c r="S14" s="208"/>
      <c r="T14" s="208"/>
      <c r="U14" s="208"/>
      <c r="V14" s="208"/>
      <c r="W14" s="208"/>
      <c r="X14" s="208"/>
      <c r="Y14" s="208"/>
      <c r="Z14" s="208"/>
      <c r="AA14" s="208"/>
      <c r="AB14" s="208"/>
      <c r="AC14" s="208"/>
      <c r="AD14" s="208"/>
      <c r="AE14" s="208"/>
      <c r="AF14" s="208"/>
      <c r="AG14" s="208"/>
      <c r="AH14" s="208"/>
      <c r="AI14" s="208"/>
      <c r="AJ14" s="208"/>
      <c r="AK14" s="208"/>
      <c r="AL14" s="208"/>
      <c r="AM14" s="208"/>
      <c r="AN14" s="208"/>
      <c r="AO14" s="208"/>
      <c r="AP14" s="208"/>
      <c r="AQ14" s="208"/>
      <c r="AR14" s="208"/>
      <c r="AS14" s="208"/>
      <c r="AT14" s="208"/>
      <c r="AU14" s="208"/>
      <c r="AV14" s="208"/>
      <c r="AW14" s="208"/>
      <c r="AX14" s="208"/>
      <c r="AY14" s="208"/>
      <c r="AZ14" s="208"/>
      <c r="BA14" s="208"/>
    </row>
    <row r="15" spans="1:53" ht="15" customHeight="1" x14ac:dyDescent="0.25">
      <c r="A15" s="213" t="s">
        <v>306</v>
      </c>
      <c r="B15" s="285" t="s">
        <v>277</v>
      </c>
      <c r="C15" s="208"/>
      <c r="D15" s="208"/>
      <c r="E15" s="208"/>
      <c r="F15" s="208"/>
      <c r="G15" s="208"/>
      <c r="H15" s="208"/>
      <c r="I15" s="208"/>
      <c r="J15" s="208"/>
      <c r="K15" s="208"/>
      <c r="L15" s="208"/>
      <c r="M15" s="208"/>
      <c r="N15" s="208"/>
      <c r="O15" s="208"/>
      <c r="P15" s="208"/>
      <c r="Q15" s="208"/>
      <c r="R15" s="208"/>
      <c r="S15" s="208"/>
      <c r="T15" s="208"/>
      <c r="U15" s="208"/>
      <c r="V15" s="208"/>
      <c r="W15" s="208"/>
      <c r="X15" s="208"/>
      <c r="Y15" s="208"/>
      <c r="Z15" s="208"/>
      <c r="AA15" s="208"/>
      <c r="AB15" s="208"/>
      <c r="AC15" s="208"/>
      <c r="AD15" s="208"/>
      <c r="AE15" s="208"/>
      <c r="AF15" s="208"/>
      <c r="AG15" s="208"/>
      <c r="AH15" s="208"/>
      <c r="AI15" s="208"/>
      <c r="AJ15" s="208"/>
      <c r="AK15" s="208"/>
      <c r="AL15" s="208"/>
      <c r="AM15" s="208"/>
      <c r="AN15" s="208"/>
      <c r="AO15" s="208"/>
      <c r="AP15" s="208"/>
      <c r="AQ15" s="208"/>
      <c r="AR15" s="208"/>
      <c r="AS15" s="208"/>
      <c r="AT15" s="208"/>
      <c r="AU15" s="208"/>
      <c r="AV15" s="208"/>
      <c r="AW15" s="208"/>
      <c r="AX15" s="208"/>
      <c r="AY15" s="208"/>
      <c r="AZ15" s="208"/>
      <c r="BA15" s="208"/>
    </row>
    <row r="16" spans="1:53" ht="15" customHeight="1" x14ac:dyDescent="0.25">
      <c r="A16" s="213" t="s">
        <v>308</v>
      </c>
      <c r="B16" s="286" t="s">
        <v>278</v>
      </c>
      <c r="C16" s="291">
        <v>6.6360000000000001</v>
      </c>
      <c r="D16" s="291">
        <v>6.6360000000000001</v>
      </c>
      <c r="E16" s="291">
        <v>6.6360000000000001</v>
      </c>
      <c r="F16" s="291">
        <v>6.6360000000000001</v>
      </c>
      <c r="G16" s="291">
        <v>6.6360000000000001</v>
      </c>
      <c r="H16" s="291">
        <v>6.6360000000000001</v>
      </c>
      <c r="I16" s="291">
        <v>6.6360000000000001</v>
      </c>
      <c r="J16" s="291">
        <v>6.6360000000000001</v>
      </c>
      <c r="K16" s="291">
        <v>6.6360000000000001</v>
      </c>
      <c r="L16" s="291">
        <v>6.6360000000000001</v>
      </c>
      <c r="M16" s="291">
        <v>6.6360000000000001</v>
      </c>
      <c r="N16" s="291">
        <v>6.6360000000000001</v>
      </c>
      <c r="O16" s="291">
        <v>6.6360000000000001</v>
      </c>
      <c r="P16" s="291">
        <v>6.6360000000000001</v>
      </c>
      <c r="Q16" s="291">
        <v>6.6360000000000001</v>
      </c>
      <c r="R16" s="291">
        <v>6.6360000000000001</v>
      </c>
      <c r="S16" s="291">
        <v>6.6360000000000001</v>
      </c>
      <c r="T16" s="291">
        <v>6.6360000000000001</v>
      </c>
      <c r="U16" s="291">
        <v>6.6360000000000001</v>
      </c>
      <c r="V16" s="291">
        <v>6.6360000000000001</v>
      </c>
      <c r="W16" s="291">
        <v>6.6360000000000001</v>
      </c>
      <c r="X16" s="291">
        <v>6.6360000000000001</v>
      </c>
      <c r="Y16" s="291">
        <v>6.6360000000000001</v>
      </c>
      <c r="Z16" s="291">
        <v>6.6360000000000001</v>
      </c>
      <c r="AA16" s="291">
        <v>6.6360000000000001</v>
      </c>
      <c r="AB16" s="291">
        <v>6.6360000000000001</v>
      </c>
      <c r="AC16" s="291">
        <v>6.6360000000000001</v>
      </c>
      <c r="AD16" s="291">
        <v>6.6360000000000001</v>
      </c>
      <c r="AE16" s="291">
        <v>6.6360000000000001</v>
      </c>
      <c r="AF16" s="288">
        <v>0</v>
      </c>
      <c r="AG16" s="208"/>
      <c r="AH16" s="208"/>
      <c r="AI16" s="208"/>
      <c r="AJ16" s="208"/>
      <c r="AK16" s="208"/>
      <c r="AL16" s="208"/>
      <c r="AM16" s="208"/>
      <c r="AN16" s="208"/>
      <c r="AO16" s="208"/>
      <c r="AP16" s="208"/>
      <c r="AQ16" s="208"/>
      <c r="AR16" s="208"/>
      <c r="AS16" s="208"/>
      <c r="AT16" s="208"/>
      <c r="AU16" s="208"/>
      <c r="AV16" s="208"/>
      <c r="AW16" s="208"/>
      <c r="AX16" s="208"/>
      <c r="AY16" s="208"/>
      <c r="AZ16" s="208"/>
      <c r="BA16" s="208"/>
    </row>
    <row r="17" spans="1:53" ht="15" customHeight="1" x14ac:dyDescent="0.25">
      <c r="A17" s="213" t="s">
        <v>310</v>
      </c>
      <c r="B17" s="286" t="s">
        <v>279</v>
      </c>
      <c r="C17" s="291">
        <v>5.048</v>
      </c>
      <c r="D17" s="291">
        <v>5.048</v>
      </c>
      <c r="E17" s="291">
        <v>5.048</v>
      </c>
      <c r="F17" s="291">
        <v>5.048</v>
      </c>
      <c r="G17" s="291">
        <v>5.048</v>
      </c>
      <c r="H17" s="291">
        <v>5.048</v>
      </c>
      <c r="I17" s="291">
        <v>5.048</v>
      </c>
      <c r="J17" s="291">
        <v>5.048</v>
      </c>
      <c r="K17" s="291">
        <v>5.048</v>
      </c>
      <c r="L17" s="291">
        <v>5.048</v>
      </c>
      <c r="M17" s="291">
        <v>5.048</v>
      </c>
      <c r="N17" s="291">
        <v>5.048</v>
      </c>
      <c r="O17" s="291">
        <v>5.048</v>
      </c>
      <c r="P17" s="291">
        <v>5.048</v>
      </c>
      <c r="Q17" s="291">
        <v>5.048</v>
      </c>
      <c r="R17" s="291">
        <v>5.048</v>
      </c>
      <c r="S17" s="291">
        <v>5.048</v>
      </c>
      <c r="T17" s="291">
        <v>5.048</v>
      </c>
      <c r="U17" s="291">
        <v>5.048</v>
      </c>
      <c r="V17" s="291">
        <v>5.048</v>
      </c>
      <c r="W17" s="291">
        <v>5.048</v>
      </c>
      <c r="X17" s="291">
        <v>5.048</v>
      </c>
      <c r="Y17" s="291">
        <v>5.048</v>
      </c>
      <c r="Z17" s="291">
        <v>5.048</v>
      </c>
      <c r="AA17" s="291">
        <v>5.048</v>
      </c>
      <c r="AB17" s="291">
        <v>5.048</v>
      </c>
      <c r="AC17" s="291">
        <v>5.048</v>
      </c>
      <c r="AD17" s="291">
        <v>5.048</v>
      </c>
      <c r="AE17" s="291">
        <v>5.048</v>
      </c>
      <c r="AF17" s="288">
        <v>0</v>
      </c>
      <c r="AG17" s="208"/>
      <c r="AH17" s="208"/>
      <c r="AI17" s="208"/>
      <c r="AJ17" s="208"/>
      <c r="AK17" s="208"/>
      <c r="AL17" s="208"/>
      <c r="AM17" s="208"/>
      <c r="AN17" s="208"/>
      <c r="AO17" s="208"/>
      <c r="AP17" s="208"/>
      <c r="AQ17" s="208"/>
      <c r="AR17" s="208"/>
      <c r="AS17" s="208"/>
      <c r="AT17" s="208"/>
      <c r="AU17" s="208"/>
      <c r="AV17" s="208"/>
      <c r="AW17" s="208"/>
      <c r="AX17" s="208"/>
      <c r="AY17" s="208"/>
      <c r="AZ17" s="208"/>
      <c r="BA17" s="208"/>
    </row>
    <row r="18" spans="1:53" ht="15" customHeight="1" x14ac:dyDescent="0.25">
      <c r="A18" s="213" t="s">
        <v>312</v>
      </c>
      <c r="B18" s="286" t="s">
        <v>280</v>
      </c>
      <c r="C18" s="291">
        <v>5.359</v>
      </c>
      <c r="D18" s="291">
        <v>5.359</v>
      </c>
      <c r="E18" s="291">
        <v>5.359</v>
      </c>
      <c r="F18" s="291">
        <v>5.359</v>
      </c>
      <c r="G18" s="291">
        <v>5.359</v>
      </c>
      <c r="H18" s="291">
        <v>5.359</v>
      </c>
      <c r="I18" s="291">
        <v>5.359</v>
      </c>
      <c r="J18" s="291">
        <v>5.359</v>
      </c>
      <c r="K18" s="291">
        <v>5.359</v>
      </c>
      <c r="L18" s="291">
        <v>5.359</v>
      </c>
      <c r="M18" s="291">
        <v>5.359</v>
      </c>
      <c r="N18" s="291">
        <v>5.359</v>
      </c>
      <c r="O18" s="291">
        <v>5.359</v>
      </c>
      <c r="P18" s="291">
        <v>5.359</v>
      </c>
      <c r="Q18" s="291">
        <v>5.359</v>
      </c>
      <c r="R18" s="291">
        <v>5.359</v>
      </c>
      <c r="S18" s="291">
        <v>5.359</v>
      </c>
      <c r="T18" s="291">
        <v>5.359</v>
      </c>
      <c r="U18" s="291">
        <v>5.359</v>
      </c>
      <c r="V18" s="291">
        <v>5.359</v>
      </c>
      <c r="W18" s="291">
        <v>5.359</v>
      </c>
      <c r="X18" s="291">
        <v>5.359</v>
      </c>
      <c r="Y18" s="291">
        <v>5.359</v>
      </c>
      <c r="Z18" s="291">
        <v>5.359</v>
      </c>
      <c r="AA18" s="291">
        <v>5.359</v>
      </c>
      <c r="AB18" s="291">
        <v>5.359</v>
      </c>
      <c r="AC18" s="291">
        <v>5.359</v>
      </c>
      <c r="AD18" s="291">
        <v>5.359</v>
      </c>
      <c r="AE18" s="291">
        <v>5.359</v>
      </c>
      <c r="AF18" s="288">
        <v>0</v>
      </c>
      <c r="AG18" s="208"/>
      <c r="AH18" s="208"/>
      <c r="AI18" s="208"/>
      <c r="AJ18" s="208"/>
      <c r="AK18" s="208"/>
      <c r="AL18" s="208"/>
      <c r="AM18" s="208"/>
      <c r="AN18" s="208"/>
      <c r="AO18" s="208"/>
      <c r="AP18" s="208"/>
      <c r="AQ18" s="208"/>
      <c r="AR18" s="208"/>
      <c r="AS18" s="208"/>
      <c r="AT18" s="208"/>
      <c r="AU18" s="208"/>
      <c r="AV18" s="208"/>
      <c r="AW18" s="208"/>
      <c r="AX18" s="208"/>
      <c r="AY18" s="208"/>
      <c r="AZ18" s="208"/>
      <c r="BA18" s="208"/>
    </row>
    <row r="19" spans="1:53" ht="15" customHeight="1" x14ac:dyDescent="0.25">
      <c r="A19" s="213" t="s">
        <v>314</v>
      </c>
      <c r="B19" s="286" t="s">
        <v>281</v>
      </c>
      <c r="C19" s="291">
        <v>5.8250000000000002</v>
      </c>
      <c r="D19" s="291">
        <v>5.8250000000000002</v>
      </c>
      <c r="E19" s="291">
        <v>5.8250000000000002</v>
      </c>
      <c r="F19" s="291">
        <v>5.8250000000000002</v>
      </c>
      <c r="G19" s="291">
        <v>5.8250000000000002</v>
      </c>
      <c r="H19" s="291">
        <v>5.8250000000000002</v>
      </c>
      <c r="I19" s="291">
        <v>5.8250000000000002</v>
      </c>
      <c r="J19" s="291">
        <v>5.8250000000000002</v>
      </c>
      <c r="K19" s="291">
        <v>5.8250000000000002</v>
      </c>
      <c r="L19" s="291">
        <v>5.8250000000000002</v>
      </c>
      <c r="M19" s="291">
        <v>5.8250000000000002</v>
      </c>
      <c r="N19" s="291">
        <v>5.8250000000000002</v>
      </c>
      <c r="O19" s="291">
        <v>5.8250000000000002</v>
      </c>
      <c r="P19" s="291">
        <v>5.8250000000000002</v>
      </c>
      <c r="Q19" s="291">
        <v>5.8250000000000002</v>
      </c>
      <c r="R19" s="291">
        <v>5.8250000000000002</v>
      </c>
      <c r="S19" s="291">
        <v>5.8250000000000002</v>
      </c>
      <c r="T19" s="291">
        <v>5.8250000000000002</v>
      </c>
      <c r="U19" s="291">
        <v>5.8250000000000002</v>
      </c>
      <c r="V19" s="291">
        <v>5.8250000000000002</v>
      </c>
      <c r="W19" s="291">
        <v>5.8250000000000002</v>
      </c>
      <c r="X19" s="291">
        <v>5.8250000000000002</v>
      </c>
      <c r="Y19" s="291">
        <v>5.8250000000000002</v>
      </c>
      <c r="Z19" s="291">
        <v>5.8250000000000002</v>
      </c>
      <c r="AA19" s="291">
        <v>5.8250000000000002</v>
      </c>
      <c r="AB19" s="291">
        <v>5.8250000000000002</v>
      </c>
      <c r="AC19" s="291">
        <v>5.8250000000000002</v>
      </c>
      <c r="AD19" s="291">
        <v>5.8250000000000002</v>
      </c>
      <c r="AE19" s="291">
        <v>5.8250000000000002</v>
      </c>
      <c r="AF19" s="288">
        <v>0</v>
      </c>
      <c r="AG19" s="208"/>
      <c r="AH19" s="208"/>
      <c r="AI19" s="208"/>
      <c r="AJ19" s="208"/>
      <c r="AK19" s="208"/>
      <c r="AL19" s="208"/>
      <c r="AM19" s="208"/>
      <c r="AN19" s="208"/>
      <c r="AO19" s="208"/>
      <c r="AP19" s="208"/>
      <c r="AQ19" s="208"/>
      <c r="AR19" s="208"/>
      <c r="AS19" s="208"/>
      <c r="AT19" s="208"/>
      <c r="AU19" s="208"/>
      <c r="AV19" s="208"/>
      <c r="AW19" s="208"/>
      <c r="AX19" s="208"/>
      <c r="AY19" s="208"/>
      <c r="AZ19" s="208"/>
      <c r="BA19" s="208"/>
    </row>
    <row r="20" spans="1:53" ht="15" customHeight="1" x14ac:dyDescent="0.25">
      <c r="A20" s="213" t="s">
        <v>316</v>
      </c>
      <c r="B20" s="286" t="s">
        <v>282</v>
      </c>
      <c r="C20" s="291">
        <v>5.7756210000000001</v>
      </c>
      <c r="D20" s="291">
        <v>5.7756480000000003</v>
      </c>
      <c r="E20" s="291">
        <v>5.7760829999999999</v>
      </c>
      <c r="F20" s="291">
        <v>5.7760619999999996</v>
      </c>
      <c r="G20" s="291">
        <v>5.7764670000000002</v>
      </c>
      <c r="H20" s="291">
        <v>5.7772180000000004</v>
      </c>
      <c r="I20" s="291">
        <v>5.776948</v>
      </c>
      <c r="J20" s="291">
        <v>5.7769529999999998</v>
      </c>
      <c r="K20" s="291">
        <v>5.7767980000000003</v>
      </c>
      <c r="L20" s="291">
        <v>5.7769740000000001</v>
      </c>
      <c r="M20" s="291">
        <v>5.7768980000000001</v>
      </c>
      <c r="N20" s="291">
        <v>5.7770099999999998</v>
      </c>
      <c r="O20" s="291">
        <v>5.7768050000000004</v>
      </c>
      <c r="P20" s="291">
        <v>5.7769560000000002</v>
      </c>
      <c r="Q20" s="291">
        <v>5.7768389999999998</v>
      </c>
      <c r="R20" s="291">
        <v>5.7768620000000004</v>
      </c>
      <c r="S20" s="291">
        <v>5.7767480000000004</v>
      </c>
      <c r="T20" s="291">
        <v>5.7767109999999997</v>
      </c>
      <c r="U20" s="291">
        <v>5.7766539999999997</v>
      </c>
      <c r="V20" s="291">
        <v>5.7766140000000004</v>
      </c>
      <c r="W20" s="291">
        <v>5.7766320000000002</v>
      </c>
      <c r="X20" s="291">
        <v>5.7766310000000001</v>
      </c>
      <c r="Y20" s="291">
        <v>5.7765519999999997</v>
      </c>
      <c r="Z20" s="291">
        <v>5.7765940000000002</v>
      </c>
      <c r="AA20" s="291">
        <v>5.7764090000000001</v>
      </c>
      <c r="AB20" s="291">
        <v>5.7762830000000003</v>
      </c>
      <c r="AC20" s="291">
        <v>5.7763799999999996</v>
      </c>
      <c r="AD20" s="291">
        <v>5.7763859999999996</v>
      </c>
      <c r="AE20" s="291">
        <v>5.7762339999999996</v>
      </c>
      <c r="AF20" s="288">
        <v>3.9999999999999998E-6</v>
      </c>
      <c r="AG20" s="208"/>
      <c r="AH20" s="208"/>
      <c r="AI20" s="208"/>
      <c r="AJ20" s="208"/>
      <c r="AK20" s="208"/>
      <c r="AL20" s="208"/>
      <c r="AM20" s="208"/>
      <c r="AN20" s="208"/>
      <c r="AO20" s="208"/>
      <c r="AP20" s="208"/>
      <c r="AQ20" s="208"/>
      <c r="AR20" s="208"/>
      <c r="AS20" s="208"/>
      <c r="AT20" s="208"/>
      <c r="AU20" s="208"/>
      <c r="AV20" s="208"/>
      <c r="AW20" s="208"/>
      <c r="AX20" s="208"/>
      <c r="AY20" s="208"/>
      <c r="AZ20" s="208"/>
      <c r="BA20" s="208"/>
    </row>
    <row r="21" spans="1:53" ht="15" customHeight="1" x14ac:dyDescent="0.25">
      <c r="A21" s="213" t="s">
        <v>318</v>
      </c>
      <c r="B21" s="286" t="s">
        <v>283</v>
      </c>
      <c r="C21" s="291">
        <v>5.7756210000000001</v>
      </c>
      <c r="D21" s="291">
        <v>5.7756480000000003</v>
      </c>
      <c r="E21" s="291">
        <v>5.7760829999999999</v>
      </c>
      <c r="F21" s="291">
        <v>5.7760619999999996</v>
      </c>
      <c r="G21" s="291">
        <v>5.7764670000000002</v>
      </c>
      <c r="H21" s="291">
        <v>5.7772180000000004</v>
      </c>
      <c r="I21" s="291">
        <v>5.776948</v>
      </c>
      <c r="J21" s="291">
        <v>5.7769529999999998</v>
      </c>
      <c r="K21" s="291">
        <v>5.7767980000000003</v>
      </c>
      <c r="L21" s="291">
        <v>5.7769740000000001</v>
      </c>
      <c r="M21" s="291">
        <v>5.7768980000000001</v>
      </c>
      <c r="N21" s="291">
        <v>5.7770099999999998</v>
      </c>
      <c r="O21" s="291">
        <v>5.7768050000000004</v>
      </c>
      <c r="P21" s="291">
        <v>5.7769560000000002</v>
      </c>
      <c r="Q21" s="291">
        <v>5.7768389999999998</v>
      </c>
      <c r="R21" s="291">
        <v>5.7768620000000004</v>
      </c>
      <c r="S21" s="291">
        <v>5.7767480000000004</v>
      </c>
      <c r="T21" s="291">
        <v>5.7767109999999997</v>
      </c>
      <c r="U21" s="291">
        <v>5.7766539999999997</v>
      </c>
      <c r="V21" s="291">
        <v>5.7766140000000004</v>
      </c>
      <c r="W21" s="291">
        <v>5.7766320000000002</v>
      </c>
      <c r="X21" s="291">
        <v>5.7766310000000001</v>
      </c>
      <c r="Y21" s="291">
        <v>5.7765519999999997</v>
      </c>
      <c r="Z21" s="291">
        <v>5.7765940000000002</v>
      </c>
      <c r="AA21" s="291">
        <v>5.7764090000000001</v>
      </c>
      <c r="AB21" s="291">
        <v>5.7762830000000003</v>
      </c>
      <c r="AC21" s="291">
        <v>5.7763799999999996</v>
      </c>
      <c r="AD21" s="291">
        <v>5.7763859999999996</v>
      </c>
      <c r="AE21" s="291">
        <v>5.7762339999999996</v>
      </c>
      <c r="AF21" s="288">
        <v>3.9999999999999998E-6</v>
      </c>
      <c r="AG21" s="208"/>
      <c r="AH21" s="208"/>
      <c r="AI21" s="208"/>
      <c r="AJ21" s="208"/>
      <c r="AK21" s="208"/>
      <c r="AL21" s="208"/>
      <c r="AM21" s="208"/>
      <c r="AN21" s="208"/>
      <c r="AO21" s="208"/>
      <c r="AP21" s="208"/>
      <c r="AQ21" s="208"/>
      <c r="AR21" s="208"/>
      <c r="AS21" s="208"/>
      <c r="AT21" s="208"/>
      <c r="AU21" s="208"/>
      <c r="AV21" s="208"/>
      <c r="AW21" s="208"/>
      <c r="AX21" s="208"/>
      <c r="AY21" s="208"/>
      <c r="AZ21" s="208"/>
      <c r="BA21" s="208"/>
    </row>
    <row r="22" spans="1:53" ht="15" customHeight="1" x14ac:dyDescent="0.25">
      <c r="A22" s="207"/>
      <c r="B22" s="286" t="s">
        <v>284</v>
      </c>
      <c r="C22" s="291">
        <v>5.7756210000000001</v>
      </c>
      <c r="D22" s="291">
        <v>5.7756480000000003</v>
      </c>
      <c r="E22" s="291">
        <v>5.7760829999999999</v>
      </c>
      <c r="F22" s="291">
        <v>5.7760619999999996</v>
      </c>
      <c r="G22" s="291">
        <v>5.7764670000000002</v>
      </c>
      <c r="H22" s="291">
        <v>5.7772180000000004</v>
      </c>
      <c r="I22" s="291">
        <v>5.776948</v>
      </c>
      <c r="J22" s="291">
        <v>5.7769529999999998</v>
      </c>
      <c r="K22" s="291">
        <v>5.7767980000000003</v>
      </c>
      <c r="L22" s="291">
        <v>5.7769740000000001</v>
      </c>
      <c r="M22" s="291">
        <v>5.7768980000000001</v>
      </c>
      <c r="N22" s="291">
        <v>5.7770099999999998</v>
      </c>
      <c r="O22" s="291">
        <v>5.7768050000000004</v>
      </c>
      <c r="P22" s="291">
        <v>5.7769560000000002</v>
      </c>
      <c r="Q22" s="291">
        <v>5.7768389999999998</v>
      </c>
      <c r="R22" s="291">
        <v>5.7768620000000004</v>
      </c>
      <c r="S22" s="291">
        <v>5.7767480000000004</v>
      </c>
      <c r="T22" s="291">
        <v>5.7767109999999997</v>
      </c>
      <c r="U22" s="291">
        <v>5.7766539999999997</v>
      </c>
      <c r="V22" s="291">
        <v>5.7766140000000004</v>
      </c>
      <c r="W22" s="291">
        <v>5.7766320000000002</v>
      </c>
      <c r="X22" s="291">
        <v>5.7766310000000001</v>
      </c>
      <c r="Y22" s="291">
        <v>5.7765519999999997</v>
      </c>
      <c r="Z22" s="291">
        <v>5.7765940000000002</v>
      </c>
      <c r="AA22" s="291">
        <v>5.7764090000000001</v>
      </c>
      <c r="AB22" s="291">
        <v>5.7762830000000003</v>
      </c>
      <c r="AC22" s="291">
        <v>5.7763799999999996</v>
      </c>
      <c r="AD22" s="291">
        <v>5.7763859999999996</v>
      </c>
      <c r="AE22" s="291">
        <v>5.7762339999999996</v>
      </c>
      <c r="AF22" s="288">
        <v>3.9999999999999998E-6</v>
      </c>
      <c r="AG22" s="208"/>
      <c r="AH22" s="208"/>
      <c r="AI22" s="208"/>
      <c r="AJ22" s="208"/>
      <c r="AK22" s="208"/>
      <c r="AL22" s="208"/>
      <c r="AM22" s="208"/>
      <c r="AN22" s="208"/>
      <c r="AO22" s="208"/>
      <c r="AP22" s="208"/>
      <c r="AQ22" s="208"/>
      <c r="AR22" s="208"/>
      <c r="AS22" s="208"/>
      <c r="AT22" s="208"/>
      <c r="AU22" s="208"/>
      <c r="AV22" s="208"/>
      <c r="AW22" s="208"/>
      <c r="AX22" s="208"/>
      <c r="AY22" s="208"/>
      <c r="AZ22" s="208"/>
      <c r="BA22" s="208"/>
    </row>
    <row r="23" spans="1:53" ht="15" customHeight="1" x14ac:dyDescent="0.25">
      <c r="A23" s="213" t="s">
        <v>321</v>
      </c>
      <c r="B23" s="286" t="s">
        <v>285</v>
      </c>
      <c r="C23" s="291">
        <v>5.7756210000000001</v>
      </c>
      <c r="D23" s="291">
        <v>5.7756480000000003</v>
      </c>
      <c r="E23" s="291">
        <v>5.7760829999999999</v>
      </c>
      <c r="F23" s="291">
        <v>5.7760619999999996</v>
      </c>
      <c r="G23" s="291">
        <v>5.7764670000000002</v>
      </c>
      <c r="H23" s="291">
        <v>5.7772180000000004</v>
      </c>
      <c r="I23" s="291">
        <v>5.776948</v>
      </c>
      <c r="J23" s="291">
        <v>5.7769529999999998</v>
      </c>
      <c r="K23" s="291">
        <v>5.7767980000000003</v>
      </c>
      <c r="L23" s="291">
        <v>5.7769740000000001</v>
      </c>
      <c r="M23" s="291">
        <v>5.7768980000000001</v>
      </c>
      <c r="N23" s="291">
        <v>5.7770099999999998</v>
      </c>
      <c r="O23" s="291">
        <v>5.7768050000000004</v>
      </c>
      <c r="P23" s="291">
        <v>5.7769560000000002</v>
      </c>
      <c r="Q23" s="291">
        <v>5.7768389999999998</v>
      </c>
      <c r="R23" s="291">
        <v>5.7768620000000004</v>
      </c>
      <c r="S23" s="291">
        <v>5.7767480000000004</v>
      </c>
      <c r="T23" s="291">
        <v>5.7767109999999997</v>
      </c>
      <c r="U23" s="291">
        <v>5.7766539999999997</v>
      </c>
      <c r="V23" s="291">
        <v>5.7766140000000004</v>
      </c>
      <c r="W23" s="291">
        <v>5.7766320000000002</v>
      </c>
      <c r="X23" s="291">
        <v>5.7766310000000001</v>
      </c>
      <c r="Y23" s="291">
        <v>5.7765519999999997</v>
      </c>
      <c r="Z23" s="291">
        <v>5.7765940000000002</v>
      </c>
      <c r="AA23" s="291">
        <v>5.7764090000000001</v>
      </c>
      <c r="AB23" s="291">
        <v>5.7762830000000003</v>
      </c>
      <c r="AC23" s="291">
        <v>5.7763799999999996</v>
      </c>
      <c r="AD23" s="291">
        <v>5.7763859999999996</v>
      </c>
      <c r="AE23" s="291">
        <v>5.7762339999999996</v>
      </c>
      <c r="AF23" s="288">
        <v>3.9999999999999998E-6</v>
      </c>
      <c r="AG23" s="208"/>
      <c r="AH23" s="208"/>
      <c r="AI23" s="208"/>
      <c r="AJ23" s="208"/>
      <c r="AK23" s="208"/>
      <c r="AL23" s="208"/>
      <c r="AM23" s="208"/>
      <c r="AN23" s="208"/>
      <c r="AO23" s="208"/>
      <c r="AP23" s="208"/>
      <c r="AQ23" s="208"/>
      <c r="AR23" s="208"/>
      <c r="AS23" s="208"/>
      <c r="AT23" s="208"/>
      <c r="AU23" s="208"/>
      <c r="AV23" s="208"/>
      <c r="AW23" s="208"/>
      <c r="AX23" s="208"/>
      <c r="AY23" s="208"/>
      <c r="AZ23" s="208"/>
      <c r="BA23" s="208"/>
    </row>
    <row r="24" spans="1:53" ht="15" customHeight="1" x14ac:dyDescent="0.25">
      <c r="A24" s="213" t="s">
        <v>323</v>
      </c>
      <c r="B24" s="286" t="s">
        <v>286</v>
      </c>
      <c r="C24" s="291">
        <v>5.7756210000000001</v>
      </c>
      <c r="D24" s="291">
        <v>5.7756480000000003</v>
      </c>
      <c r="E24" s="291">
        <v>5.7760829999999999</v>
      </c>
      <c r="F24" s="291">
        <v>5.7760619999999996</v>
      </c>
      <c r="G24" s="291">
        <v>5.7764670000000002</v>
      </c>
      <c r="H24" s="291">
        <v>5.7772180000000004</v>
      </c>
      <c r="I24" s="291">
        <v>5.776948</v>
      </c>
      <c r="J24" s="291">
        <v>5.7769529999999998</v>
      </c>
      <c r="K24" s="291">
        <v>5.7767980000000003</v>
      </c>
      <c r="L24" s="291">
        <v>5.7769740000000001</v>
      </c>
      <c r="M24" s="291">
        <v>5.7768980000000001</v>
      </c>
      <c r="N24" s="291">
        <v>5.7770099999999998</v>
      </c>
      <c r="O24" s="291">
        <v>5.7768050000000004</v>
      </c>
      <c r="P24" s="291">
        <v>5.7769560000000002</v>
      </c>
      <c r="Q24" s="291">
        <v>5.7768389999999998</v>
      </c>
      <c r="R24" s="291">
        <v>5.7768620000000004</v>
      </c>
      <c r="S24" s="291">
        <v>5.7767480000000004</v>
      </c>
      <c r="T24" s="291">
        <v>5.7767109999999997</v>
      </c>
      <c r="U24" s="291">
        <v>5.7766539999999997</v>
      </c>
      <c r="V24" s="291">
        <v>5.7766140000000004</v>
      </c>
      <c r="W24" s="291">
        <v>5.7766320000000002</v>
      </c>
      <c r="X24" s="291">
        <v>5.7766310000000001</v>
      </c>
      <c r="Y24" s="291">
        <v>5.7765519999999997</v>
      </c>
      <c r="Z24" s="291">
        <v>5.7765940000000002</v>
      </c>
      <c r="AA24" s="291">
        <v>5.7764090000000001</v>
      </c>
      <c r="AB24" s="291">
        <v>5.7762830000000003</v>
      </c>
      <c r="AC24" s="291">
        <v>5.7763799999999996</v>
      </c>
      <c r="AD24" s="291">
        <v>5.7763859999999996</v>
      </c>
      <c r="AE24" s="291">
        <v>5.7762339999999996</v>
      </c>
      <c r="AF24" s="288">
        <v>3.9999999999999998E-6</v>
      </c>
      <c r="AG24" s="208"/>
      <c r="AH24" s="208"/>
      <c r="AI24" s="208"/>
      <c r="AJ24" s="208"/>
      <c r="AK24" s="208"/>
      <c r="AL24" s="208"/>
      <c r="AM24" s="208"/>
      <c r="AN24" s="208"/>
      <c r="AO24" s="208"/>
      <c r="AP24" s="208"/>
      <c r="AQ24" s="208"/>
      <c r="AR24" s="208"/>
      <c r="AS24" s="208"/>
      <c r="AT24" s="208"/>
      <c r="AU24" s="208"/>
      <c r="AV24" s="208"/>
      <c r="AW24" s="208"/>
      <c r="AX24" s="208"/>
      <c r="AY24" s="208"/>
      <c r="AZ24" s="208"/>
      <c r="BA24" s="208"/>
    </row>
    <row r="25" spans="1:53" ht="15" customHeight="1" x14ac:dyDescent="0.25">
      <c r="A25" s="213" t="s">
        <v>325</v>
      </c>
      <c r="B25" s="286" t="s">
        <v>287</v>
      </c>
      <c r="C25" s="291">
        <v>5.7756210000000001</v>
      </c>
      <c r="D25" s="291">
        <v>5.7756480000000003</v>
      </c>
      <c r="E25" s="291">
        <v>5.7760829999999999</v>
      </c>
      <c r="F25" s="291">
        <v>5.7760619999999996</v>
      </c>
      <c r="G25" s="291">
        <v>5.7764670000000002</v>
      </c>
      <c r="H25" s="291">
        <v>5.7772180000000004</v>
      </c>
      <c r="I25" s="291">
        <v>5.776948</v>
      </c>
      <c r="J25" s="291">
        <v>5.7769529999999998</v>
      </c>
      <c r="K25" s="291">
        <v>5.7767989999999996</v>
      </c>
      <c r="L25" s="291">
        <v>5.7769740000000001</v>
      </c>
      <c r="M25" s="291">
        <v>5.7768990000000002</v>
      </c>
      <c r="N25" s="291">
        <v>5.7770099999999998</v>
      </c>
      <c r="O25" s="291">
        <v>5.7768050000000004</v>
      </c>
      <c r="P25" s="291">
        <v>5.7769560000000002</v>
      </c>
      <c r="Q25" s="291">
        <v>5.7768379999999997</v>
      </c>
      <c r="R25" s="291">
        <v>5.7768620000000004</v>
      </c>
      <c r="S25" s="291">
        <v>5.7767480000000004</v>
      </c>
      <c r="T25" s="291">
        <v>5.7767109999999997</v>
      </c>
      <c r="U25" s="291">
        <v>5.7766539999999997</v>
      </c>
      <c r="V25" s="291">
        <v>5.7766140000000004</v>
      </c>
      <c r="W25" s="291">
        <v>5.7766320000000002</v>
      </c>
      <c r="X25" s="291">
        <v>5.7766310000000001</v>
      </c>
      <c r="Y25" s="291">
        <v>5.7765519999999997</v>
      </c>
      <c r="Z25" s="291">
        <v>5.7765940000000002</v>
      </c>
      <c r="AA25" s="291">
        <v>5.7764090000000001</v>
      </c>
      <c r="AB25" s="291">
        <v>5.7762840000000004</v>
      </c>
      <c r="AC25" s="291">
        <v>5.7763799999999996</v>
      </c>
      <c r="AD25" s="291">
        <v>5.7763859999999996</v>
      </c>
      <c r="AE25" s="291">
        <v>5.7762339999999996</v>
      </c>
      <c r="AF25" s="288">
        <v>3.9999999999999998E-6</v>
      </c>
      <c r="AG25" s="208"/>
      <c r="AH25" s="208"/>
      <c r="AI25" s="208"/>
      <c r="AJ25" s="208"/>
      <c r="AK25" s="208"/>
      <c r="AL25" s="208"/>
      <c r="AM25" s="208"/>
      <c r="AN25" s="208"/>
      <c r="AO25" s="208"/>
      <c r="AP25" s="208"/>
      <c r="AQ25" s="208"/>
      <c r="AR25" s="208"/>
      <c r="AS25" s="208"/>
      <c r="AT25" s="208"/>
      <c r="AU25" s="208"/>
      <c r="AV25" s="208"/>
      <c r="AW25" s="208"/>
      <c r="AX25" s="208"/>
      <c r="AY25" s="208"/>
      <c r="AZ25" s="208"/>
      <c r="BA25" s="208"/>
    </row>
    <row r="26" spans="1:53" ht="15" customHeight="1" x14ac:dyDescent="0.25">
      <c r="A26" s="213" t="s">
        <v>327</v>
      </c>
      <c r="B26" s="286" t="s">
        <v>288</v>
      </c>
      <c r="C26" s="291">
        <v>5.8170000000000002</v>
      </c>
      <c r="D26" s="291">
        <v>5.8170000000000002</v>
      </c>
      <c r="E26" s="291">
        <v>5.8170000000000002</v>
      </c>
      <c r="F26" s="291">
        <v>5.8170000000000002</v>
      </c>
      <c r="G26" s="291">
        <v>5.8170000000000002</v>
      </c>
      <c r="H26" s="291">
        <v>5.8170000000000002</v>
      </c>
      <c r="I26" s="291">
        <v>5.8170000000000002</v>
      </c>
      <c r="J26" s="291">
        <v>5.8170000000000002</v>
      </c>
      <c r="K26" s="291">
        <v>5.8170000000000002</v>
      </c>
      <c r="L26" s="291">
        <v>5.8170000000000002</v>
      </c>
      <c r="M26" s="291">
        <v>5.8170000000000002</v>
      </c>
      <c r="N26" s="291">
        <v>5.8170000000000002</v>
      </c>
      <c r="O26" s="291">
        <v>5.8170000000000002</v>
      </c>
      <c r="P26" s="291">
        <v>5.8170000000000002</v>
      </c>
      <c r="Q26" s="291">
        <v>5.8170000000000002</v>
      </c>
      <c r="R26" s="291">
        <v>5.8170000000000002</v>
      </c>
      <c r="S26" s="291">
        <v>5.8170000000000002</v>
      </c>
      <c r="T26" s="291">
        <v>5.8170000000000002</v>
      </c>
      <c r="U26" s="291">
        <v>5.8170000000000002</v>
      </c>
      <c r="V26" s="291">
        <v>5.8170000000000002</v>
      </c>
      <c r="W26" s="291">
        <v>5.8170000000000002</v>
      </c>
      <c r="X26" s="291">
        <v>5.8170000000000002</v>
      </c>
      <c r="Y26" s="291">
        <v>5.8170000000000002</v>
      </c>
      <c r="Z26" s="291">
        <v>5.8170000000000002</v>
      </c>
      <c r="AA26" s="291">
        <v>5.8170000000000002</v>
      </c>
      <c r="AB26" s="291">
        <v>5.8170000000000002</v>
      </c>
      <c r="AC26" s="291">
        <v>5.8170000000000002</v>
      </c>
      <c r="AD26" s="291">
        <v>5.8170000000000002</v>
      </c>
      <c r="AE26" s="291">
        <v>5.8170000000000002</v>
      </c>
      <c r="AF26" s="288">
        <v>0</v>
      </c>
      <c r="AG26" s="208"/>
      <c r="AH26" s="208"/>
      <c r="AI26" s="208"/>
      <c r="AJ26" s="208"/>
      <c r="AK26" s="208"/>
      <c r="AL26" s="208"/>
      <c r="AM26" s="208"/>
      <c r="AN26" s="208"/>
      <c r="AO26" s="208"/>
      <c r="AP26" s="208"/>
      <c r="AQ26" s="208"/>
      <c r="AR26" s="208"/>
      <c r="AS26" s="208"/>
      <c r="AT26" s="208"/>
      <c r="AU26" s="208"/>
      <c r="AV26" s="208"/>
      <c r="AW26" s="208"/>
      <c r="AX26" s="208"/>
      <c r="AY26" s="208"/>
      <c r="AZ26" s="208"/>
      <c r="BA26" s="208"/>
    </row>
    <row r="27" spans="1:53" ht="15" customHeight="1" x14ac:dyDescent="0.25">
      <c r="A27" s="207"/>
      <c r="B27" s="286" t="s">
        <v>289</v>
      </c>
      <c r="C27" s="291">
        <v>5.77</v>
      </c>
      <c r="D27" s="291">
        <v>5.77</v>
      </c>
      <c r="E27" s="291">
        <v>5.77</v>
      </c>
      <c r="F27" s="291">
        <v>5.77</v>
      </c>
      <c r="G27" s="291">
        <v>5.77</v>
      </c>
      <c r="H27" s="291">
        <v>5.77</v>
      </c>
      <c r="I27" s="291">
        <v>5.77</v>
      </c>
      <c r="J27" s="291">
        <v>5.77</v>
      </c>
      <c r="K27" s="291">
        <v>5.77</v>
      </c>
      <c r="L27" s="291">
        <v>5.77</v>
      </c>
      <c r="M27" s="291">
        <v>5.77</v>
      </c>
      <c r="N27" s="291">
        <v>5.77</v>
      </c>
      <c r="O27" s="291">
        <v>5.77</v>
      </c>
      <c r="P27" s="291">
        <v>5.77</v>
      </c>
      <c r="Q27" s="291">
        <v>5.77</v>
      </c>
      <c r="R27" s="291">
        <v>5.77</v>
      </c>
      <c r="S27" s="291">
        <v>5.77</v>
      </c>
      <c r="T27" s="291">
        <v>5.77</v>
      </c>
      <c r="U27" s="291">
        <v>5.77</v>
      </c>
      <c r="V27" s="291">
        <v>5.77</v>
      </c>
      <c r="W27" s="291">
        <v>5.77</v>
      </c>
      <c r="X27" s="291">
        <v>5.77</v>
      </c>
      <c r="Y27" s="291">
        <v>5.77</v>
      </c>
      <c r="Z27" s="291">
        <v>5.77</v>
      </c>
      <c r="AA27" s="291">
        <v>5.77</v>
      </c>
      <c r="AB27" s="291">
        <v>5.77</v>
      </c>
      <c r="AC27" s="291">
        <v>5.77</v>
      </c>
      <c r="AD27" s="291">
        <v>5.77</v>
      </c>
      <c r="AE27" s="291">
        <v>5.77</v>
      </c>
      <c r="AF27" s="288">
        <v>0</v>
      </c>
      <c r="AG27" s="208"/>
      <c r="AH27" s="208"/>
      <c r="AI27" s="208"/>
      <c r="AJ27" s="208"/>
      <c r="AK27" s="208"/>
      <c r="AL27" s="208"/>
      <c r="AM27" s="208"/>
      <c r="AN27" s="208"/>
      <c r="AO27" s="208"/>
      <c r="AP27" s="208"/>
      <c r="AQ27" s="208"/>
      <c r="AR27" s="208"/>
      <c r="AS27" s="208"/>
      <c r="AT27" s="208"/>
      <c r="AU27" s="208"/>
      <c r="AV27" s="208"/>
      <c r="AW27" s="208"/>
      <c r="AX27" s="208"/>
      <c r="AY27" s="208"/>
      <c r="AZ27" s="208"/>
      <c r="BA27" s="208"/>
    </row>
    <row r="28" spans="1:53" ht="15" customHeight="1" x14ac:dyDescent="0.25">
      <c r="A28" s="207"/>
      <c r="B28" s="286" t="s">
        <v>290</v>
      </c>
      <c r="C28" s="291">
        <v>3.5630000000000002</v>
      </c>
      <c r="D28" s="291">
        <v>3.5630000000000002</v>
      </c>
      <c r="E28" s="291">
        <v>3.5630000000000002</v>
      </c>
      <c r="F28" s="291">
        <v>3.5630000000000002</v>
      </c>
      <c r="G28" s="291">
        <v>3.5630000000000002</v>
      </c>
      <c r="H28" s="291">
        <v>3.5630000000000002</v>
      </c>
      <c r="I28" s="291">
        <v>3.5630000000000002</v>
      </c>
      <c r="J28" s="291">
        <v>3.5630000000000002</v>
      </c>
      <c r="K28" s="291">
        <v>3.5630000000000002</v>
      </c>
      <c r="L28" s="291">
        <v>3.5630000000000002</v>
      </c>
      <c r="M28" s="291">
        <v>3.5630000000000002</v>
      </c>
      <c r="N28" s="291">
        <v>3.5630000000000002</v>
      </c>
      <c r="O28" s="291">
        <v>3.5630000000000002</v>
      </c>
      <c r="P28" s="291">
        <v>3.5630000000000002</v>
      </c>
      <c r="Q28" s="291">
        <v>3.5630000000000002</v>
      </c>
      <c r="R28" s="291">
        <v>3.5630000000000002</v>
      </c>
      <c r="S28" s="291">
        <v>3.5630000000000002</v>
      </c>
      <c r="T28" s="291">
        <v>3.5630000000000002</v>
      </c>
      <c r="U28" s="291">
        <v>3.5630000000000002</v>
      </c>
      <c r="V28" s="291">
        <v>3.5630000000000002</v>
      </c>
      <c r="W28" s="291">
        <v>3.5630000000000002</v>
      </c>
      <c r="X28" s="291">
        <v>3.5630000000000002</v>
      </c>
      <c r="Y28" s="291">
        <v>3.5630000000000002</v>
      </c>
      <c r="Z28" s="291">
        <v>3.5630000000000002</v>
      </c>
      <c r="AA28" s="291">
        <v>3.5630000000000002</v>
      </c>
      <c r="AB28" s="291">
        <v>3.5630000000000002</v>
      </c>
      <c r="AC28" s="291">
        <v>3.5630000000000002</v>
      </c>
      <c r="AD28" s="291">
        <v>3.5630000000000002</v>
      </c>
      <c r="AE28" s="291">
        <v>3.5630000000000002</v>
      </c>
      <c r="AF28" s="288">
        <v>0</v>
      </c>
      <c r="AG28" s="208"/>
      <c r="AH28" s="208"/>
      <c r="AI28" s="208"/>
      <c r="AJ28" s="208"/>
      <c r="AK28" s="208"/>
      <c r="AL28" s="208"/>
      <c r="AM28" s="208"/>
      <c r="AN28" s="208"/>
      <c r="AO28" s="208"/>
      <c r="AP28" s="208"/>
      <c r="AQ28" s="208"/>
      <c r="AR28" s="208"/>
      <c r="AS28" s="208"/>
      <c r="AT28" s="208"/>
      <c r="AU28" s="208"/>
      <c r="AV28" s="208"/>
      <c r="AW28" s="208"/>
      <c r="AX28" s="208"/>
      <c r="AY28" s="208"/>
      <c r="AZ28" s="208"/>
      <c r="BA28" s="208"/>
    </row>
    <row r="29" spans="1:53" ht="15" customHeight="1" x14ac:dyDescent="0.25">
      <c r="A29" s="213" t="s">
        <v>330</v>
      </c>
      <c r="B29" s="286" t="s">
        <v>844</v>
      </c>
      <c r="C29" s="291">
        <v>3.9944130000000002</v>
      </c>
      <c r="D29" s="291">
        <v>3.9944130000000002</v>
      </c>
      <c r="E29" s="291">
        <v>3.9944130000000002</v>
      </c>
      <c r="F29" s="291">
        <v>3.9944130000000002</v>
      </c>
      <c r="G29" s="291">
        <v>3.9944130000000002</v>
      </c>
      <c r="H29" s="291">
        <v>3.9944130000000002</v>
      </c>
      <c r="I29" s="291">
        <v>3.9944130000000002</v>
      </c>
      <c r="J29" s="291">
        <v>3.9944130000000002</v>
      </c>
      <c r="K29" s="291">
        <v>3.9944130000000002</v>
      </c>
      <c r="L29" s="291">
        <v>3.9944130000000002</v>
      </c>
      <c r="M29" s="291">
        <v>3.9944130000000002</v>
      </c>
      <c r="N29" s="291">
        <v>3.9944130000000002</v>
      </c>
      <c r="O29" s="291">
        <v>3.9944130000000002</v>
      </c>
      <c r="P29" s="291">
        <v>3.9944130000000002</v>
      </c>
      <c r="Q29" s="291">
        <v>3.9944130000000002</v>
      </c>
      <c r="R29" s="291">
        <v>3.9944130000000002</v>
      </c>
      <c r="S29" s="291">
        <v>3.9944130000000002</v>
      </c>
      <c r="T29" s="291">
        <v>3.9944130000000002</v>
      </c>
      <c r="U29" s="291">
        <v>3.9944130000000002</v>
      </c>
      <c r="V29" s="291">
        <v>3.9944130000000002</v>
      </c>
      <c r="W29" s="291">
        <v>3.9944130000000002</v>
      </c>
      <c r="X29" s="291">
        <v>3.9944130000000002</v>
      </c>
      <c r="Y29" s="291">
        <v>3.9944130000000002</v>
      </c>
      <c r="Z29" s="291">
        <v>3.9944130000000002</v>
      </c>
      <c r="AA29" s="291">
        <v>3.9944130000000002</v>
      </c>
      <c r="AB29" s="291">
        <v>3.9944130000000002</v>
      </c>
      <c r="AC29" s="291">
        <v>3.9944130000000002</v>
      </c>
      <c r="AD29" s="291">
        <v>3.9944130000000002</v>
      </c>
      <c r="AE29" s="291">
        <v>3.9944130000000002</v>
      </c>
      <c r="AF29" s="288">
        <v>0</v>
      </c>
      <c r="AG29" s="208"/>
      <c r="AH29" s="208"/>
      <c r="AI29" s="208"/>
      <c r="AJ29" s="208"/>
      <c r="AK29" s="208"/>
      <c r="AL29" s="208"/>
      <c r="AM29" s="208"/>
      <c r="AN29" s="208"/>
      <c r="AO29" s="208"/>
      <c r="AP29" s="208"/>
      <c r="AQ29" s="208"/>
      <c r="AR29" s="208"/>
      <c r="AS29" s="208"/>
      <c r="AT29" s="208"/>
      <c r="AU29" s="208"/>
      <c r="AV29" s="208"/>
      <c r="AW29" s="208"/>
      <c r="AX29" s="208"/>
      <c r="AY29" s="208"/>
      <c r="AZ29" s="208"/>
      <c r="BA29" s="208"/>
    </row>
    <row r="30" spans="1:53" ht="15" customHeight="1" x14ac:dyDescent="0.25">
      <c r="A30" s="213" t="s">
        <v>332</v>
      </c>
      <c r="B30" s="286" t="s">
        <v>291</v>
      </c>
      <c r="C30" s="291">
        <v>5.67</v>
      </c>
      <c r="D30" s="291">
        <v>5.67</v>
      </c>
      <c r="E30" s="291">
        <v>5.67</v>
      </c>
      <c r="F30" s="291">
        <v>5.67</v>
      </c>
      <c r="G30" s="291">
        <v>5.67</v>
      </c>
      <c r="H30" s="291">
        <v>5.67</v>
      </c>
      <c r="I30" s="291">
        <v>5.67</v>
      </c>
      <c r="J30" s="291">
        <v>5.67</v>
      </c>
      <c r="K30" s="291">
        <v>5.67</v>
      </c>
      <c r="L30" s="291">
        <v>5.67</v>
      </c>
      <c r="M30" s="291">
        <v>5.67</v>
      </c>
      <c r="N30" s="291">
        <v>5.67</v>
      </c>
      <c r="O30" s="291">
        <v>5.67</v>
      </c>
      <c r="P30" s="291">
        <v>5.67</v>
      </c>
      <c r="Q30" s="291">
        <v>5.67</v>
      </c>
      <c r="R30" s="291">
        <v>5.67</v>
      </c>
      <c r="S30" s="291">
        <v>5.67</v>
      </c>
      <c r="T30" s="291">
        <v>5.67</v>
      </c>
      <c r="U30" s="291">
        <v>5.67</v>
      </c>
      <c r="V30" s="291">
        <v>5.67</v>
      </c>
      <c r="W30" s="291">
        <v>5.67</v>
      </c>
      <c r="X30" s="291">
        <v>5.67</v>
      </c>
      <c r="Y30" s="291">
        <v>5.67</v>
      </c>
      <c r="Z30" s="291">
        <v>5.67</v>
      </c>
      <c r="AA30" s="291">
        <v>5.67</v>
      </c>
      <c r="AB30" s="291">
        <v>5.67</v>
      </c>
      <c r="AC30" s="291">
        <v>5.67</v>
      </c>
      <c r="AD30" s="291">
        <v>5.67</v>
      </c>
      <c r="AE30" s="291">
        <v>5.67</v>
      </c>
      <c r="AF30" s="288">
        <v>0</v>
      </c>
      <c r="AG30" s="208"/>
      <c r="AH30" s="208"/>
      <c r="AI30" s="208"/>
      <c r="AJ30" s="208"/>
      <c r="AK30" s="208"/>
      <c r="AL30" s="208"/>
      <c r="AM30" s="208"/>
      <c r="AN30" s="208"/>
      <c r="AO30" s="208"/>
      <c r="AP30" s="208"/>
      <c r="AQ30" s="208"/>
      <c r="AR30" s="208"/>
      <c r="AS30" s="208"/>
      <c r="AT30" s="208"/>
      <c r="AU30" s="208"/>
      <c r="AV30" s="208"/>
      <c r="AW30" s="208"/>
      <c r="AX30" s="208"/>
      <c r="AY30" s="208"/>
      <c r="AZ30" s="208"/>
      <c r="BA30" s="208"/>
    </row>
    <row r="31" spans="1:53" ht="15" customHeight="1" x14ac:dyDescent="0.25">
      <c r="A31" s="213" t="s">
        <v>334</v>
      </c>
      <c r="B31" s="286" t="s">
        <v>292</v>
      </c>
      <c r="C31" s="291">
        <v>6.0650000000000004</v>
      </c>
      <c r="D31" s="291">
        <v>6.0650000000000004</v>
      </c>
      <c r="E31" s="291">
        <v>6.0650000000000004</v>
      </c>
      <c r="F31" s="291">
        <v>6.0650000000000004</v>
      </c>
      <c r="G31" s="291">
        <v>6.0650000000000004</v>
      </c>
      <c r="H31" s="291">
        <v>6.0650000000000004</v>
      </c>
      <c r="I31" s="291">
        <v>6.0650000000000004</v>
      </c>
      <c r="J31" s="291">
        <v>6.0650000000000004</v>
      </c>
      <c r="K31" s="291">
        <v>6.0650000000000004</v>
      </c>
      <c r="L31" s="291">
        <v>6.0650000000000004</v>
      </c>
      <c r="M31" s="291">
        <v>6.0650000000000004</v>
      </c>
      <c r="N31" s="291">
        <v>6.0650000000000004</v>
      </c>
      <c r="O31" s="291">
        <v>6.0650000000000004</v>
      </c>
      <c r="P31" s="291">
        <v>6.0650000000000004</v>
      </c>
      <c r="Q31" s="291">
        <v>6.0650000000000004</v>
      </c>
      <c r="R31" s="291">
        <v>6.0650000000000004</v>
      </c>
      <c r="S31" s="291">
        <v>6.0650000000000004</v>
      </c>
      <c r="T31" s="291">
        <v>6.0650000000000004</v>
      </c>
      <c r="U31" s="291">
        <v>6.0650000000000004</v>
      </c>
      <c r="V31" s="291">
        <v>6.0650000000000004</v>
      </c>
      <c r="W31" s="291">
        <v>6.0650000000000004</v>
      </c>
      <c r="X31" s="291">
        <v>6.0650000000000004</v>
      </c>
      <c r="Y31" s="291">
        <v>6.0650000000000004</v>
      </c>
      <c r="Z31" s="291">
        <v>6.0650000000000004</v>
      </c>
      <c r="AA31" s="291">
        <v>6.0650000000000004</v>
      </c>
      <c r="AB31" s="291">
        <v>6.0650000000000004</v>
      </c>
      <c r="AC31" s="291">
        <v>6.0650000000000004</v>
      </c>
      <c r="AD31" s="291">
        <v>6.0650000000000004</v>
      </c>
      <c r="AE31" s="291">
        <v>6.0650000000000004</v>
      </c>
      <c r="AF31" s="288">
        <v>0</v>
      </c>
      <c r="AG31" s="208"/>
      <c r="AH31" s="208"/>
      <c r="AI31" s="208"/>
      <c r="AJ31" s="208"/>
      <c r="AK31" s="208"/>
      <c r="AL31" s="208"/>
      <c r="AM31" s="208"/>
      <c r="AN31" s="208"/>
      <c r="AO31" s="208"/>
      <c r="AP31" s="208"/>
      <c r="AQ31" s="208"/>
      <c r="AR31" s="208"/>
      <c r="AS31" s="208"/>
      <c r="AT31" s="208"/>
      <c r="AU31" s="208"/>
      <c r="AV31" s="208"/>
      <c r="AW31" s="208"/>
      <c r="AX31" s="208"/>
      <c r="AY31" s="208"/>
      <c r="AZ31" s="208"/>
      <c r="BA31" s="208"/>
    </row>
    <row r="32" spans="1:53" ht="15" customHeight="1" x14ac:dyDescent="0.25">
      <c r="A32" s="213" t="s">
        <v>336</v>
      </c>
      <c r="B32" s="286" t="s">
        <v>293</v>
      </c>
      <c r="C32" s="291">
        <v>5.0517110000000001</v>
      </c>
      <c r="D32" s="291">
        <v>5.0505360000000001</v>
      </c>
      <c r="E32" s="291">
        <v>5.0493629999999996</v>
      </c>
      <c r="F32" s="291">
        <v>5.0481809999999996</v>
      </c>
      <c r="G32" s="291">
        <v>5.0469949999999999</v>
      </c>
      <c r="H32" s="291">
        <v>5.0458059999999998</v>
      </c>
      <c r="I32" s="291">
        <v>5.0446140000000002</v>
      </c>
      <c r="J32" s="291">
        <v>5.0434169999999998</v>
      </c>
      <c r="K32" s="291">
        <v>5.0422159999999998</v>
      </c>
      <c r="L32" s="291">
        <v>5.0410120000000003</v>
      </c>
      <c r="M32" s="291">
        <v>5.0398050000000003</v>
      </c>
      <c r="N32" s="291">
        <v>5.0385939999999998</v>
      </c>
      <c r="O32" s="291">
        <v>5.0373809999999999</v>
      </c>
      <c r="P32" s="291">
        <v>5.0361640000000003</v>
      </c>
      <c r="Q32" s="291">
        <v>5.0351299999999997</v>
      </c>
      <c r="R32" s="291">
        <v>5.034097</v>
      </c>
      <c r="S32" s="291">
        <v>5.0331010000000003</v>
      </c>
      <c r="T32" s="291">
        <v>5.0321129999999998</v>
      </c>
      <c r="U32" s="291">
        <v>5.0311250000000003</v>
      </c>
      <c r="V32" s="291">
        <v>5.0302259999999999</v>
      </c>
      <c r="W32" s="291">
        <v>5.0293169999999998</v>
      </c>
      <c r="X32" s="291">
        <v>5.0284149999999999</v>
      </c>
      <c r="Y32" s="291">
        <v>5.02752</v>
      </c>
      <c r="Z32" s="291">
        <v>5.0266299999999999</v>
      </c>
      <c r="AA32" s="291">
        <v>5.0257459999999998</v>
      </c>
      <c r="AB32" s="291">
        <v>5.0248619999999997</v>
      </c>
      <c r="AC32" s="291">
        <v>5.0239739999999999</v>
      </c>
      <c r="AD32" s="291">
        <v>5.0230839999999999</v>
      </c>
      <c r="AE32" s="291">
        <v>5.0221999999999998</v>
      </c>
      <c r="AF32" s="288">
        <v>-2.0900000000000001E-4</v>
      </c>
      <c r="AG32" s="208"/>
      <c r="AH32" s="208"/>
      <c r="AI32" s="208"/>
      <c r="AJ32" s="208"/>
      <c r="AK32" s="208"/>
      <c r="AL32" s="208"/>
      <c r="AM32" s="208"/>
      <c r="AN32" s="208"/>
      <c r="AO32" s="208"/>
      <c r="AP32" s="208"/>
      <c r="AQ32" s="208"/>
      <c r="AR32" s="208"/>
      <c r="AS32" s="208"/>
      <c r="AT32" s="208"/>
      <c r="AU32" s="208"/>
      <c r="AV32" s="208"/>
      <c r="AW32" s="208"/>
      <c r="AX32" s="208"/>
      <c r="AY32" s="208"/>
      <c r="AZ32" s="208"/>
      <c r="BA32" s="208"/>
    </row>
    <row r="33" spans="1:53" ht="15" customHeight="1" x14ac:dyDescent="0.25">
      <c r="A33" s="213" t="s">
        <v>338</v>
      </c>
      <c r="B33" s="286" t="s">
        <v>294</v>
      </c>
      <c r="C33" s="291">
        <v>5.0512389999999998</v>
      </c>
      <c r="D33" s="291">
        <v>5.0499520000000002</v>
      </c>
      <c r="E33" s="291">
        <v>5.0486649999999997</v>
      </c>
      <c r="F33" s="291">
        <v>5.0473749999999997</v>
      </c>
      <c r="G33" s="291">
        <v>5.0460849999999997</v>
      </c>
      <c r="H33" s="291">
        <v>5.0447939999999996</v>
      </c>
      <c r="I33" s="291">
        <v>5.0435020000000002</v>
      </c>
      <c r="J33" s="291">
        <v>5.0422089999999997</v>
      </c>
      <c r="K33" s="291">
        <v>5.0409139999999999</v>
      </c>
      <c r="L33" s="291">
        <v>5.0396179999999999</v>
      </c>
      <c r="M33" s="291">
        <v>5.038322</v>
      </c>
      <c r="N33" s="291">
        <v>5.037026</v>
      </c>
      <c r="O33" s="291">
        <v>5.03573</v>
      </c>
      <c r="P33" s="291">
        <v>5.0344340000000001</v>
      </c>
      <c r="Q33" s="291">
        <v>5.0333230000000002</v>
      </c>
      <c r="R33" s="291">
        <v>5.0322180000000003</v>
      </c>
      <c r="S33" s="291">
        <v>5.0311500000000002</v>
      </c>
      <c r="T33" s="291">
        <v>5.0300909999999996</v>
      </c>
      <c r="U33" s="291">
        <v>5.0290319999999999</v>
      </c>
      <c r="V33" s="291">
        <v>5.0280829999999996</v>
      </c>
      <c r="W33" s="291">
        <v>5.0271239999999997</v>
      </c>
      <c r="X33" s="291">
        <v>5.0261709999999997</v>
      </c>
      <c r="Y33" s="291">
        <v>5.025226</v>
      </c>
      <c r="Z33" s="291">
        <v>5.0242849999999999</v>
      </c>
      <c r="AA33" s="291">
        <v>5.0233509999999999</v>
      </c>
      <c r="AB33" s="291">
        <v>5.0224169999999999</v>
      </c>
      <c r="AC33" s="291">
        <v>5.0214790000000002</v>
      </c>
      <c r="AD33" s="291">
        <v>5.0205390000000003</v>
      </c>
      <c r="AE33" s="291">
        <v>5.0196059999999996</v>
      </c>
      <c r="AF33" s="288">
        <v>-2.24E-4</v>
      </c>
      <c r="AG33" s="208"/>
      <c r="AH33" s="208"/>
      <c r="AI33" s="208"/>
      <c r="AJ33" s="208"/>
      <c r="AK33" s="208"/>
      <c r="AL33" s="208"/>
      <c r="AM33" s="208"/>
      <c r="AN33" s="208"/>
      <c r="AO33" s="208"/>
      <c r="AP33" s="208"/>
      <c r="AQ33" s="208"/>
      <c r="AR33" s="208"/>
      <c r="AS33" s="208"/>
      <c r="AT33" s="208"/>
      <c r="AU33" s="208"/>
      <c r="AV33" s="208"/>
      <c r="AW33" s="208"/>
      <c r="AX33" s="208"/>
      <c r="AY33" s="208"/>
      <c r="AZ33" s="208"/>
      <c r="BA33" s="208"/>
    </row>
    <row r="34" spans="1:53" ht="15" customHeight="1" x14ac:dyDescent="0.25">
      <c r="A34" s="213" t="s">
        <v>340</v>
      </c>
      <c r="B34" s="286" t="s">
        <v>295</v>
      </c>
      <c r="C34" s="291">
        <v>5.0509560000000002</v>
      </c>
      <c r="D34" s="291">
        <v>5.0496100000000004</v>
      </c>
      <c r="E34" s="291">
        <v>5.0482639999999996</v>
      </c>
      <c r="F34" s="291">
        <v>5.0469179999999998</v>
      </c>
      <c r="G34" s="291">
        <v>5.0455740000000002</v>
      </c>
      <c r="H34" s="291">
        <v>5.0442299999999998</v>
      </c>
      <c r="I34" s="291">
        <v>5.0428879999999996</v>
      </c>
      <c r="J34" s="291">
        <v>5.0415450000000002</v>
      </c>
      <c r="K34" s="291">
        <v>5.040203</v>
      </c>
      <c r="L34" s="291">
        <v>5.038862</v>
      </c>
      <c r="M34" s="291">
        <v>5.0375209999999999</v>
      </c>
      <c r="N34" s="291">
        <v>5.0361820000000002</v>
      </c>
      <c r="O34" s="291">
        <v>5.0348439999999997</v>
      </c>
      <c r="P34" s="291">
        <v>5.033506</v>
      </c>
      <c r="Q34" s="291">
        <v>5.032413</v>
      </c>
      <c r="R34" s="291">
        <v>5.031326</v>
      </c>
      <c r="S34" s="291">
        <v>5.030284</v>
      </c>
      <c r="T34" s="291">
        <v>5.0292519999999996</v>
      </c>
      <c r="U34" s="291">
        <v>5.028219</v>
      </c>
      <c r="V34" s="291">
        <v>5.0272449999999997</v>
      </c>
      <c r="W34" s="291">
        <v>5.0262560000000001</v>
      </c>
      <c r="X34" s="291">
        <v>5.0252730000000003</v>
      </c>
      <c r="Y34" s="291">
        <v>5.0242979999999999</v>
      </c>
      <c r="Z34" s="291">
        <v>5.0233290000000004</v>
      </c>
      <c r="AA34" s="291">
        <v>5.022367</v>
      </c>
      <c r="AB34" s="291">
        <v>5.0214040000000004</v>
      </c>
      <c r="AC34" s="291">
        <v>5.0204339999999998</v>
      </c>
      <c r="AD34" s="291">
        <v>5.0194609999999997</v>
      </c>
      <c r="AE34" s="291">
        <v>5.0184939999999996</v>
      </c>
      <c r="AF34" s="288">
        <v>-2.3000000000000001E-4</v>
      </c>
      <c r="AG34" s="208"/>
      <c r="AH34" s="208"/>
      <c r="AI34" s="208"/>
      <c r="AJ34" s="208"/>
      <c r="AK34" s="208"/>
      <c r="AL34" s="208"/>
      <c r="AM34" s="208"/>
      <c r="AN34" s="208"/>
      <c r="AO34" s="208"/>
      <c r="AP34" s="208"/>
      <c r="AQ34" s="208"/>
      <c r="AR34" s="208"/>
      <c r="AS34" s="208"/>
      <c r="AT34" s="208"/>
      <c r="AU34" s="208"/>
      <c r="AV34" s="208"/>
      <c r="AW34" s="208"/>
      <c r="AX34" s="208"/>
      <c r="AY34" s="208"/>
      <c r="AZ34" s="208"/>
      <c r="BA34" s="208"/>
    </row>
    <row r="35" spans="1:53" x14ac:dyDescent="0.25">
      <c r="A35" s="213" t="s">
        <v>342</v>
      </c>
      <c r="B35" s="286" t="s">
        <v>297</v>
      </c>
      <c r="C35" s="291">
        <v>5.2222799999999996</v>
      </c>
      <c r="D35" s="291">
        <v>5.2222799999999996</v>
      </c>
      <c r="E35" s="291">
        <v>5.2222799999999996</v>
      </c>
      <c r="F35" s="291">
        <v>5.2222799999999996</v>
      </c>
      <c r="G35" s="291">
        <v>5.2222799999999996</v>
      </c>
      <c r="H35" s="291">
        <v>5.2222799999999996</v>
      </c>
      <c r="I35" s="291">
        <v>5.2222799999999996</v>
      </c>
      <c r="J35" s="291">
        <v>5.2222799999999996</v>
      </c>
      <c r="K35" s="291">
        <v>5.2222799999999996</v>
      </c>
      <c r="L35" s="291">
        <v>5.2222799999999996</v>
      </c>
      <c r="M35" s="291">
        <v>5.2222799999999996</v>
      </c>
      <c r="N35" s="291">
        <v>5.2222799999999996</v>
      </c>
      <c r="O35" s="291">
        <v>5.2222799999999996</v>
      </c>
      <c r="P35" s="291">
        <v>5.2222799999999996</v>
      </c>
      <c r="Q35" s="291">
        <v>5.2222799999999996</v>
      </c>
      <c r="R35" s="291">
        <v>5.2222799999999996</v>
      </c>
      <c r="S35" s="291">
        <v>5.2222799999999996</v>
      </c>
      <c r="T35" s="291">
        <v>5.2222799999999996</v>
      </c>
      <c r="U35" s="291">
        <v>5.2222799999999996</v>
      </c>
      <c r="V35" s="291">
        <v>5.2222799999999996</v>
      </c>
      <c r="W35" s="291">
        <v>5.2222799999999996</v>
      </c>
      <c r="X35" s="291">
        <v>5.2222799999999996</v>
      </c>
      <c r="Y35" s="291">
        <v>5.2222799999999996</v>
      </c>
      <c r="Z35" s="291">
        <v>5.2222799999999996</v>
      </c>
      <c r="AA35" s="291">
        <v>5.2222799999999996</v>
      </c>
      <c r="AB35" s="291">
        <v>5.2222799999999996</v>
      </c>
      <c r="AC35" s="291">
        <v>5.2222799999999996</v>
      </c>
      <c r="AD35" s="291">
        <v>5.2222799999999996</v>
      </c>
      <c r="AE35" s="291">
        <v>5.2222799999999996</v>
      </c>
      <c r="AF35" s="288">
        <v>0</v>
      </c>
      <c r="AG35" s="208"/>
      <c r="AH35" s="208"/>
      <c r="AI35" s="208"/>
      <c r="AJ35" s="208"/>
      <c r="AK35" s="208"/>
      <c r="AL35" s="208"/>
      <c r="AM35" s="208"/>
      <c r="AN35" s="208"/>
      <c r="AO35" s="208"/>
      <c r="AP35" s="208"/>
      <c r="AQ35" s="208"/>
      <c r="AR35" s="208"/>
      <c r="AS35" s="208"/>
      <c r="AT35" s="208"/>
      <c r="AU35" s="208"/>
      <c r="AV35" s="208"/>
      <c r="AW35" s="208"/>
      <c r="AX35" s="208"/>
      <c r="AY35" s="208"/>
      <c r="AZ35" s="208"/>
      <c r="BA35" s="208"/>
    </row>
    <row r="36" spans="1:53" x14ac:dyDescent="0.25">
      <c r="A36" s="207"/>
      <c r="B36" s="286" t="s">
        <v>299</v>
      </c>
      <c r="C36" s="291">
        <v>5.2222799999999996</v>
      </c>
      <c r="D36" s="291">
        <v>5.2222799999999996</v>
      </c>
      <c r="E36" s="291">
        <v>5.2222799999999996</v>
      </c>
      <c r="F36" s="291">
        <v>5.2222799999999996</v>
      </c>
      <c r="G36" s="291">
        <v>5.2222799999999996</v>
      </c>
      <c r="H36" s="291">
        <v>5.2222799999999996</v>
      </c>
      <c r="I36" s="291">
        <v>5.2222799999999996</v>
      </c>
      <c r="J36" s="291">
        <v>5.2222799999999996</v>
      </c>
      <c r="K36" s="291">
        <v>5.2222799999999996</v>
      </c>
      <c r="L36" s="291">
        <v>5.2222799999999996</v>
      </c>
      <c r="M36" s="291">
        <v>5.2222799999999996</v>
      </c>
      <c r="N36" s="291">
        <v>5.2222799999999996</v>
      </c>
      <c r="O36" s="291">
        <v>5.2222799999999996</v>
      </c>
      <c r="P36" s="291">
        <v>5.2222799999999996</v>
      </c>
      <c r="Q36" s="291">
        <v>5.2222799999999996</v>
      </c>
      <c r="R36" s="291">
        <v>5.2222799999999996</v>
      </c>
      <c r="S36" s="291">
        <v>5.2222799999999996</v>
      </c>
      <c r="T36" s="291">
        <v>5.2222799999999996</v>
      </c>
      <c r="U36" s="291">
        <v>5.2222799999999996</v>
      </c>
      <c r="V36" s="291">
        <v>5.2222799999999996</v>
      </c>
      <c r="W36" s="291">
        <v>5.2222799999999996</v>
      </c>
      <c r="X36" s="291">
        <v>5.2222799999999996</v>
      </c>
      <c r="Y36" s="291">
        <v>5.2222799999999996</v>
      </c>
      <c r="Z36" s="291">
        <v>5.2222799999999996</v>
      </c>
      <c r="AA36" s="291">
        <v>5.2222799999999996</v>
      </c>
      <c r="AB36" s="291">
        <v>5.2222799999999996</v>
      </c>
      <c r="AC36" s="291">
        <v>5.2222799999999996</v>
      </c>
      <c r="AD36" s="291">
        <v>5.2222799999999996</v>
      </c>
      <c r="AE36" s="291">
        <v>5.2222799999999996</v>
      </c>
      <c r="AF36" s="288">
        <v>0</v>
      </c>
      <c r="AG36" s="208"/>
      <c r="AH36" s="208"/>
      <c r="AI36" s="208"/>
      <c r="AJ36" s="208"/>
      <c r="AK36" s="208"/>
      <c r="AL36" s="208"/>
      <c r="AM36" s="208"/>
      <c r="AN36" s="208"/>
      <c r="AO36" s="208"/>
      <c r="AP36" s="208"/>
      <c r="AQ36" s="208"/>
      <c r="AR36" s="208"/>
      <c r="AS36" s="208"/>
      <c r="AT36" s="208"/>
      <c r="AU36" s="208"/>
      <c r="AV36" s="208"/>
      <c r="AW36" s="208"/>
      <c r="AX36" s="208"/>
      <c r="AY36" s="208"/>
      <c r="AZ36" s="208"/>
      <c r="BA36" s="208"/>
    </row>
    <row r="37" spans="1:53" x14ac:dyDescent="0.25">
      <c r="A37" s="207"/>
      <c r="B37" s="286" t="s">
        <v>301</v>
      </c>
      <c r="C37" s="291">
        <v>4.6379999999999999</v>
      </c>
      <c r="D37" s="291">
        <v>4.6379999999999999</v>
      </c>
      <c r="E37" s="291">
        <v>4.6379999999999999</v>
      </c>
      <c r="F37" s="291">
        <v>4.6379999999999999</v>
      </c>
      <c r="G37" s="291">
        <v>4.6379999999999999</v>
      </c>
      <c r="H37" s="291">
        <v>4.6379999999999999</v>
      </c>
      <c r="I37" s="291">
        <v>4.6379999999999999</v>
      </c>
      <c r="J37" s="291">
        <v>4.6379999999999999</v>
      </c>
      <c r="K37" s="291">
        <v>4.6379999999999999</v>
      </c>
      <c r="L37" s="291">
        <v>4.6379999999999999</v>
      </c>
      <c r="M37" s="291">
        <v>4.6379999999999999</v>
      </c>
      <c r="N37" s="291">
        <v>4.6379999999999999</v>
      </c>
      <c r="O37" s="291">
        <v>4.6379999999999999</v>
      </c>
      <c r="P37" s="291">
        <v>4.6379999999999999</v>
      </c>
      <c r="Q37" s="291">
        <v>4.6379999999999999</v>
      </c>
      <c r="R37" s="291">
        <v>4.6379999999999999</v>
      </c>
      <c r="S37" s="291">
        <v>4.6379999999999999</v>
      </c>
      <c r="T37" s="291">
        <v>4.6379999999999999</v>
      </c>
      <c r="U37" s="291">
        <v>4.6379999999999999</v>
      </c>
      <c r="V37" s="291">
        <v>4.6379999999999999</v>
      </c>
      <c r="W37" s="291">
        <v>4.6379999999999999</v>
      </c>
      <c r="X37" s="291">
        <v>4.6379999999999999</v>
      </c>
      <c r="Y37" s="291">
        <v>4.6379999999999999</v>
      </c>
      <c r="Z37" s="291">
        <v>4.6379999999999999</v>
      </c>
      <c r="AA37" s="291">
        <v>4.6379999999999999</v>
      </c>
      <c r="AB37" s="291">
        <v>4.6379999999999999</v>
      </c>
      <c r="AC37" s="291">
        <v>4.6379999999999999</v>
      </c>
      <c r="AD37" s="291">
        <v>4.6379999999999999</v>
      </c>
      <c r="AE37" s="291">
        <v>4.6379999999999999</v>
      </c>
      <c r="AF37" s="288">
        <v>0</v>
      </c>
      <c r="AG37" s="208"/>
      <c r="AH37" s="208"/>
      <c r="AI37" s="208"/>
      <c r="AJ37" s="208"/>
      <c r="AK37" s="208"/>
      <c r="AL37" s="208"/>
      <c r="AM37" s="208"/>
      <c r="AN37" s="208"/>
      <c r="AO37" s="208"/>
      <c r="AP37" s="208"/>
      <c r="AQ37" s="208"/>
      <c r="AR37" s="208"/>
      <c r="AS37" s="208"/>
      <c r="AT37" s="208"/>
      <c r="AU37" s="208"/>
      <c r="AV37" s="208"/>
      <c r="AW37" s="208"/>
      <c r="AX37" s="208"/>
      <c r="AY37" s="208"/>
      <c r="AZ37" s="208"/>
      <c r="BA37" s="208"/>
    </row>
    <row r="38" spans="1:53" x14ac:dyDescent="0.25">
      <c r="A38" s="213" t="s">
        <v>345</v>
      </c>
      <c r="B38" s="286" t="s">
        <v>303</v>
      </c>
      <c r="C38" s="291">
        <v>5.8</v>
      </c>
      <c r="D38" s="291">
        <v>5.8</v>
      </c>
      <c r="E38" s="291">
        <v>5.8</v>
      </c>
      <c r="F38" s="291">
        <v>5.8</v>
      </c>
      <c r="G38" s="291">
        <v>5.8</v>
      </c>
      <c r="H38" s="291">
        <v>5.8</v>
      </c>
      <c r="I38" s="291">
        <v>5.8</v>
      </c>
      <c r="J38" s="291">
        <v>5.8</v>
      </c>
      <c r="K38" s="291">
        <v>5.8</v>
      </c>
      <c r="L38" s="291">
        <v>5.8</v>
      </c>
      <c r="M38" s="291">
        <v>5.8</v>
      </c>
      <c r="N38" s="291">
        <v>5.8</v>
      </c>
      <c r="O38" s="291">
        <v>5.8</v>
      </c>
      <c r="P38" s="291">
        <v>5.8</v>
      </c>
      <c r="Q38" s="291">
        <v>5.8</v>
      </c>
      <c r="R38" s="291">
        <v>5.8</v>
      </c>
      <c r="S38" s="291">
        <v>5.8</v>
      </c>
      <c r="T38" s="291">
        <v>5.8</v>
      </c>
      <c r="U38" s="291">
        <v>5.8</v>
      </c>
      <c r="V38" s="291">
        <v>5.8</v>
      </c>
      <c r="W38" s="291">
        <v>5.8</v>
      </c>
      <c r="X38" s="291">
        <v>5.8</v>
      </c>
      <c r="Y38" s="291">
        <v>5.8</v>
      </c>
      <c r="Z38" s="291">
        <v>5.8</v>
      </c>
      <c r="AA38" s="291">
        <v>5.8</v>
      </c>
      <c r="AB38" s="291">
        <v>5.8</v>
      </c>
      <c r="AC38" s="291">
        <v>5.8</v>
      </c>
      <c r="AD38" s="291">
        <v>5.8</v>
      </c>
      <c r="AE38" s="291">
        <v>5.8</v>
      </c>
      <c r="AF38" s="288">
        <v>0</v>
      </c>
      <c r="AG38" s="208"/>
      <c r="AH38" s="208"/>
      <c r="AI38" s="208"/>
      <c r="AJ38" s="208"/>
      <c r="AK38" s="208"/>
      <c r="AL38" s="208"/>
      <c r="AM38" s="208"/>
      <c r="AN38" s="208"/>
      <c r="AO38" s="208"/>
      <c r="AP38" s="208"/>
      <c r="AQ38" s="208"/>
      <c r="AR38" s="208"/>
      <c r="AS38" s="208"/>
      <c r="AT38" s="208"/>
      <c r="AU38" s="208"/>
      <c r="AV38" s="208"/>
      <c r="AW38" s="208"/>
      <c r="AX38" s="208"/>
      <c r="AY38" s="208"/>
      <c r="AZ38" s="208"/>
      <c r="BA38" s="208"/>
    </row>
    <row r="39" spans="1:53" x14ac:dyDescent="0.25">
      <c r="A39" s="213" t="s">
        <v>346</v>
      </c>
      <c r="B39" s="286" t="s">
        <v>305</v>
      </c>
      <c r="C39" s="291">
        <v>5.448283</v>
      </c>
      <c r="D39" s="291">
        <v>5.448283</v>
      </c>
      <c r="E39" s="291">
        <v>5.448283</v>
      </c>
      <c r="F39" s="291">
        <v>5.448283</v>
      </c>
      <c r="G39" s="291">
        <v>5.448283</v>
      </c>
      <c r="H39" s="291">
        <v>5.448283</v>
      </c>
      <c r="I39" s="291">
        <v>5.448283</v>
      </c>
      <c r="J39" s="291">
        <v>5.448283</v>
      </c>
      <c r="K39" s="291">
        <v>5.448283</v>
      </c>
      <c r="L39" s="291">
        <v>5.448283</v>
      </c>
      <c r="M39" s="291">
        <v>5.448283</v>
      </c>
      <c r="N39" s="291">
        <v>5.448283</v>
      </c>
      <c r="O39" s="291">
        <v>5.448283</v>
      </c>
      <c r="P39" s="291">
        <v>5.448283</v>
      </c>
      <c r="Q39" s="291">
        <v>5.448283</v>
      </c>
      <c r="R39" s="291">
        <v>5.448283</v>
      </c>
      <c r="S39" s="291">
        <v>5.448283</v>
      </c>
      <c r="T39" s="291">
        <v>5.448283</v>
      </c>
      <c r="U39" s="291">
        <v>5.448283</v>
      </c>
      <c r="V39" s="291">
        <v>5.448283</v>
      </c>
      <c r="W39" s="291">
        <v>5.448283</v>
      </c>
      <c r="X39" s="291">
        <v>5.448283</v>
      </c>
      <c r="Y39" s="291">
        <v>5.448283</v>
      </c>
      <c r="Z39" s="291">
        <v>5.448283</v>
      </c>
      <c r="AA39" s="291">
        <v>5.448283</v>
      </c>
      <c r="AB39" s="291">
        <v>5.448283</v>
      </c>
      <c r="AC39" s="291">
        <v>5.448283</v>
      </c>
      <c r="AD39" s="291">
        <v>5.448283</v>
      </c>
      <c r="AE39" s="291">
        <v>5.448283</v>
      </c>
      <c r="AF39" s="288">
        <v>0</v>
      </c>
      <c r="AG39" s="208"/>
      <c r="AH39" s="208"/>
      <c r="AI39" s="208"/>
      <c r="AJ39" s="208"/>
      <c r="AK39" s="208"/>
      <c r="AL39" s="208"/>
      <c r="AM39" s="208"/>
      <c r="AN39" s="208"/>
      <c r="AO39" s="208"/>
      <c r="AP39" s="208"/>
      <c r="AQ39" s="208"/>
      <c r="AR39" s="208"/>
      <c r="AS39" s="208"/>
      <c r="AT39" s="208"/>
      <c r="AU39" s="208"/>
      <c r="AV39" s="208"/>
      <c r="AW39" s="208"/>
      <c r="AX39" s="208"/>
      <c r="AY39" s="208"/>
      <c r="AZ39" s="208"/>
      <c r="BA39" s="208"/>
    </row>
    <row r="40" spans="1:53" x14ac:dyDescent="0.25">
      <c r="A40" s="213" t="s">
        <v>348</v>
      </c>
      <c r="B40" s="286" t="s">
        <v>307</v>
      </c>
      <c r="C40" s="291">
        <v>6.2869999999999999</v>
      </c>
      <c r="D40" s="291">
        <v>6.2869999999999999</v>
      </c>
      <c r="E40" s="291">
        <v>6.2869999999999999</v>
      </c>
      <c r="F40" s="291">
        <v>6.2869999999999999</v>
      </c>
      <c r="G40" s="291">
        <v>6.2869999999999999</v>
      </c>
      <c r="H40" s="291">
        <v>6.2869999999999999</v>
      </c>
      <c r="I40" s="291">
        <v>6.2869999999999999</v>
      </c>
      <c r="J40" s="291">
        <v>6.2869999999999999</v>
      </c>
      <c r="K40" s="291">
        <v>6.2869999999999999</v>
      </c>
      <c r="L40" s="291">
        <v>6.2869999999999999</v>
      </c>
      <c r="M40" s="291">
        <v>6.2869999999999999</v>
      </c>
      <c r="N40" s="291">
        <v>6.2869999999999999</v>
      </c>
      <c r="O40" s="291">
        <v>6.2869999999999999</v>
      </c>
      <c r="P40" s="291">
        <v>6.2869999999999999</v>
      </c>
      <c r="Q40" s="291">
        <v>6.2869999999999999</v>
      </c>
      <c r="R40" s="291">
        <v>6.2869999999999999</v>
      </c>
      <c r="S40" s="291">
        <v>6.2869999999999999</v>
      </c>
      <c r="T40" s="291">
        <v>6.2869999999999999</v>
      </c>
      <c r="U40" s="291">
        <v>6.2869999999999999</v>
      </c>
      <c r="V40" s="291">
        <v>6.2869999999999999</v>
      </c>
      <c r="W40" s="291">
        <v>6.2869999999999999</v>
      </c>
      <c r="X40" s="291">
        <v>6.2869999999999999</v>
      </c>
      <c r="Y40" s="291">
        <v>6.2869999999999999</v>
      </c>
      <c r="Z40" s="291">
        <v>6.2869999999999999</v>
      </c>
      <c r="AA40" s="291">
        <v>6.2869999999999999</v>
      </c>
      <c r="AB40" s="291">
        <v>6.2869999999999999</v>
      </c>
      <c r="AC40" s="291">
        <v>6.2869999999999999</v>
      </c>
      <c r="AD40" s="291">
        <v>6.2869999999999999</v>
      </c>
      <c r="AE40" s="291">
        <v>6.2869999999999999</v>
      </c>
      <c r="AF40" s="288">
        <v>0</v>
      </c>
      <c r="AG40" s="208"/>
      <c r="AH40" s="208"/>
      <c r="AI40" s="208"/>
      <c r="AJ40" s="208"/>
      <c r="AK40" s="208"/>
      <c r="AL40" s="208"/>
      <c r="AM40" s="208"/>
      <c r="AN40" s="208"/>
      <c r="AO40" s="208"/>
      <c r="AP40" s="208"/>
      <c r="AQ40" s="208"/>
      <c r="AR40" s="208"/>
      <c r="AS40" s="208"/>
      <c r="AT40" s="208"/>
      <c r="AU40" s="208"/>
      <c r="AV40" s="208"/>
      <c r="AW40" s="208"/>
      <c r="AX40" s="208"/>
      <c r="AY40" s="208"/>
      <c r="AZ40" s="208"/>
      <c r="BA40" s="208"/>
    </row>
    <row r="41" spans="1:53" x14ac:dyDescent="0.25">
      <c r="A41" s="213" t="s">
        <v>350</v>
      </c>
      <c r="B41" s="286" t="s">
        <v>309</v>
      </c>
      <c r="C41" s="291">
        <v>6.2869999999999999</v>
      </c>
      <c r="D41" s="291">
        <v>6.2869999999999999</v>
      </c>
      <c r="E41" s="291">
        <v>6.2869999999999999</v>
      </c>
      <c r="F41" s="291">
        <v>6.2869999999999999</v>
      </c>
      <c r="G41" s="291">
        <v>6.2869999999999999</v>
      </c>
      <c r="H41" s="291">
        <v>6.2869999999999999</v>
      </c>
      <c r="I41" s="291">
        <v>6.2869999999999999</v>
      </c>
      <c r="J41" s="291">
        <v>6.2869999999999999</v>
      </c>
      <c r="K41" s="291">
        <v>6.2869999999999999</v>
      </c>
      <c r="L41" s="291">
        <v>6.2869999999999999</v>
      </c>
      <c r="M41" s="291">
        <v>6.2869999999999999</v>
      </c>
      <c r="N41" s="291">
        <v>6.2869999999999999</v>
      </c>
      <c r="O41" s="291">
        <v>6.2869999999999999</v>
      </c>
      <c r="P41" s="291">
        <v>6.2869999999999999</v>
      </c>
      <c r="Q41" s="291">
        <v>6.2869999999999999</v>
      </c>
      <c r="R41" s="291">
        <v>6.2869999999999999</v>
      </c>
      <c r="S41" s="291">
        <v>6.2869999999999999</v>
      </c>
      <c r="T41" s="291">
        <v>6.2869999999999999</v>
      </c>
      <c r="U41" s="291">
        <v>6.2869999999999999</v>
      </c>
      <c r="V41" s="291">
        <v>6.2869999999999999</v>
      </c>
      <c r="W41" s="291">
        <v>6.2869999999999999</v>
      </c>
      <c r="X41" s="291">
        <v>6.2869999999999999</v>
      </c>
      <c r="Y41" s="291">
        <v>6.2869999999999999</v>
      </c>
      <c r="Z41" s="291">
        <v>6.2869999999999999</v>
      </c>
      <c r="AA41" s="291">
        <v>6.2869999999999999</v>
      </c>
      <c r="AB41" s="291">
        <v>6.2869999999999999</v>
      </c>
      <c r="AC41" s="291">
        <v>6.2869999999999999</v>
      </c>
      <c r="AD41" s="291">
        <v>6.2869999999999999</v>
      </c>
      <c r="AE41" s="291">
        <v>6.2869999999999999</v>
      </c>
      <c r="AF41" s="288">
        <v>0</v>
      </c>
      <c r="AG41" s="208"/>
      <c r="AH41" s="208"/>
      <c r="AI41" s="208"/>
      <c r="AJ41" s="208"/>
      <c r="AK41" s="208"/>
      <c r="AL41" s="208"/>
      <c r="AM41" s="208"/>
      <c r="AN41" s="208"/>
      <c r="AO41" s="208"/>
      <c r="AP41" s="208"/>
      <c r="AQ41" s="208"/>
      <c r="AR41" s="208"/>
      <c r="AS41" s="208"/>
      <c r="AT41" s="208"/>
      <c r="AU41" s="208"/>
      <c r="AV41" s="208"/>
      <c r="AW41" s="208"/>
      <c r="AX41" s="208"/>
      <c r="AY41" s="208"/>
      <c r="AZ41" s="208"/>
      <c r="BA41" s="208"/>
    </row>
    <row r="42" spans="1:53" x14ac:dyDescent="0.25">
      <c r="A42" s="213" t="s">
        <v>351</v>
      </c>
      <c r="B42" s="286" t="s">
        <v>311</v>
      </c>
      <c r="C42" s="291">
        <v>6.2869999999999999</v>
      </c>
      <c r="D42" s="291">
        <v>6.2869999999999999</v>
      </c>
      <c r="E42" s="291">
        <v>6.2869999999999999</v>
      </c>
      <c r="F42" s="291">
        <v>6.2869999999999999</v>
      </c>
      <c r="G42" s="291">
        <v>6.2869999999999999</v>
      </c>
      <c r="H42" s="291">
        <v>6.2869999999999999</v>
      </c>
      <c r="I42" s="291">
        <v>6.2869999999999999</v>
      </c>
      <c r="J42" s="291">
        <v>6.2869999999999999</v>
      </c>
      <c r="K42" s="291">
        <v>6.2869999999999999</v>
      </c>
      <c r="L42" s="291">
        <v>6.2869999999999999</v>
      </c>
      <c r="M42" s="291">
        <v>6.2869999999999999</v>
      </c>
      <c r="N42" s="291">
        <v>6.2869999999999999</v>
      </c>
      <c r="O42" s="291">
        <v>6.2869999999999999</v>
      </c>
      <c r="P42" s="291">
        <v>6.2869999999999999</v>
      </c>
      <c r="Q42" s="291">
        <v>6.2869999999999999</v>
      </c>
      <c r="R42" s="291">
        <v>6.2869999999999999</v>
      </c>
      <c r="S42" s="291">
        <v>6.2869999999999999</v>
      </c>
      <c r="T42" s="291">
        <v>6.2869999999999999</v>
      </c>
      <c r="U42" s="291">
        <v>6.2869999999999999</v>
      </c>
      <c r="V42" s="291">
        <v>6.2869999999999999</v>
      </c>
      <c r="W42" s="291">
        <v>6.2869999999999999</v>
      </c>
      <c r="X42" s="291">
        <v>6.2869999999999999</v>
      </c>
      <c r="Y42" s="291">
        <v>6.2869999999999999</v>
      </c>
      <c r="Z42" s="291">
        <v>6.2869999999999999</v>
      </c>
      <c r="AA42" s="291">
        <v>6.2869999999999999</v>
      </c>
      <c r="AB42" s="291">
        <v>6.2869999999999999</v>
      </c>
      <c r="AC42" s="291">
        <v>6.2869999999999999</v>
      </c>
      <c r="AD42" s="291">
        <v>6.2869999999999999</v>
      </c>
      <c r="AE42" s="291">
        <v>6.2869999999999999</v>
      </c>
      <c r="AF42" s="288">
        <v>0</v>
      </c>
      <c r="AG42" s="208"/>
      <c r="AH42" s="208"/>
      <c r="AI42" s="208"/>
      <c r="AJ42" s="208"/>
      <c r="AK42" s="208"/>
      <c r="AL42" s="208"/>
      <c r="AM42" s="208"/>
      <c r="AN42" s="208"/>
      <c r="AO42" s="208"/>
      <c r="AP42" s="208"/>
      <c r="AQ42" s="208"/>
      <c r="AR42" s="208"/>
      <c r="AS42" s="208"/>
      <c r="AT42" s="208"/>
      <c r="AU42" s="208"/>
      <c r="AV42" s="208"/>
      <c r="AW42" s="208"/>
      <c r="AX42" s="208"/>
      <c r="AY42" s="208"/>
      <c r="AZ42" s="208"/>
      <c r="BA42" s="208"/>
    </row>
    <row r="43" spans="1:53" x14ac:dyDescent="0.25">
      <c r="A43" s="213" t="s">
        <v>353</v>
      </c>
      <c r="B43" s="286" t="s">
        <v>313</v>
      </c>
      <c r="C43" s="291">
        <v>6.1917359999999997</v>
      </c>
      <c r="D43" s="291">
        <v>6.1922389999999998</v>
      </c>
      <c r="E43" s="291">
        <v>6.1930670000000001</v>
      </c>
      <c r="F43" s="291">
        <v>6.1635160000000004</v>
      </c>
      <c r="G43" s="291">
        <v>6.1553069999999996</v>
      </c>
      <c r="H43" s="291">
        <v>6.1613670000000003</v>
      </c>
      <c r="I43" s="291">
        <v>6.16242</v>
      </c>
      <c r="J43" s="291">
        <v>6.1634779999999996</v>
      </c>
      <c r="K43" s="291">
        <v>6.1645450000000004</v>
      </c>
      <c r="L43" s="291">
        <v>6.1607760000000003</v>
      </c>
      <c r="M43" s="291">
        <v>6.166696</v>
      </c>
      <c r="N43" s="291">
        <v>6.1677819999999999</v>
      </c>
      <c r="O43" s="291">
        <v>6.1688749999999999</v>
      </c>
      <c r="P43" s="291">
        <v>6.169975</v>
      </c>
      <c r="Q43" s="291">
        <v>6.1710820000000002</v>
      </c>
      <c r="R43" s="291">
        <v>6.1721969999999997</v>
      </c>
      <c r="S43" s="291">
        <v>6.1733180000000001</v>
      </c>
      <c r="T43" s="291">
        <v>6.1744469999999998</v>
      </c>
      <c r="U43" s="291">
        <v>6.1755820000000003</v>
      </c>
      <c r="V43" s="291">
        <v>6.1769319999999999</v>
      </c>
      <c r="W43" s="291">
        <v>6.1780039999999996</v>
      </c>
      <c r="X43" s="291">
        <v>6.1792449999999999</v>
      </c>
      <c r="Y43" s="291">
        <v>6.180129</v>
      </c>
      <c r="Z43" s="291">
        <v>6.1813039999999999</v>
      </c>
      <c r="AA43" s="291">
        <v>6.1824859999999999</v>
      </c>
      <c r="AB43" s="291">
        <v>6.1836760000000002</v>
      </c>
      <c r="AC43" s="291">
        <v>6.1848739999999998</v>
      </c>
      <c r="AD43" s="291">
        <v>6.1860799999999996</v>
      </c>
      <c r="AE43" s="291">
        <v>6.1875859999999996</v>
      </c>
      <c r="AF43" s="288">
        <v>-2.4000000000000001E-5</v>
      </c>
      <c r="AG43" s="208"/>
      <c r="AH43" s="208"/>
      <c r="AI43" s="208"/>
      <c r="AJ43" s="208"/>
      <c r="AK43" s="208"/>
      <c r="AL43" s="208"/>
      <c r="AM43" s="208"/>
      <c r="AN43" s="208"/>
      <c r="AO43" s="208"/>
      <c r="AP43" s="208"/>
      <c r="AQ43" s="208"/>
      <c r="AR43" s="208"/>
      <c r="AS43" s="208"/>
      <c r="AT43" s="208"/>
      <c r="AU43" s="208"/>
      <c r="AV43" s="208"/>
      <c r="AW43" s="208"/>
      <c r="AX43" s="208"/>
      <c r="AY43" s="208"/>
      <c r="AZ43" s="208"/>
      <c r="BA43" s="208"/>
    </row>
    <row r="44" spans="1:53" x14ac:dyDescent="0.25">
      <c r="A44" s="213" t="s">
        <v>355</v>
      </c>
      <c r="B44" s="286" t="s">
        <v>315</v>
      </c>
      <c r="C44" s="291">
        <v>5.0674640000000002</v>
      </c>
      <c r="D44" s="291">
        <v>5.0591470000000003</v>
      </c>
      <c r="E44" s="291">
        <v>5.0228250000000001</v>
      </c>
      <c r="F44" s="291">
        <v>5.0171900000000003</v>
      </c>
      <c r="G44" s="291">
        <v>5.0003479999999998</v>
      </c>
      <c r="H44" s="291">
        <v>4.9850260000000004</v>
      </c>
      <c r="I44" s="291">
        <v>4.9747820000000003</v>
      </c>
      <c r="J44" s="291">
        <v>4.9674639999999997</v>
      </c>
      <c r="K44" s="291">
        <v>4.9611150000000004</v>
      </c>
      <c r="L44" s="291">
        <v>4.9578129999999998</v>
      </c>
      <c r="M44" s="291">
        <v>4.9526690000000002</v>
      </c>
      <c r="N44" s="291">
        <v>4.9479660000000001</v>
      </c>
      <c r="O44" s="291">
        <v>4.9421249999999999</v>
      </c>
      <c r="P44" s="291">
        <v>4.9375249999999999</v>
      </c>
      <c r="Q44" s="291">
        <v>4.9320089999999999</v>
      </c>
      <c r="R44" s="291">
        <v>4.9291029999999996</v>
      </c>
      <c r="S44" s="291">
        <v>4.9277689999999996</v>
      </c>
      <c r="T44" s="291">
        <v>4.9226599999999996</v>
      </c>
      <c r="U44" s="291">
        <v>4.9201430000000004</v>
      </c>
      <c r="V44" s="291">
        <v>4.9166780000000001</v>
      </c>
      <c r="W44" s="291">
        <v>4.9108590000000003</v>
      </c>
      <c r="X44" s="291">
        <v>4.9054799999999998</v>
      </c>
      <c r="Y44" s="291">
        <v>4.9031469999999997</v>
      </c>
      <c r="Z44" s="291">
        <v>4.9015979999999999</v>
      </c>
      <c r="AA44" s="291">
        <v>4.8992639999999996</v>
      </c>
      <c r="AB44" s="291">
        <v>4.896852</v>
      </c>
      <c r="AC44" s="291">
        <v>4.895994</v>
      </c>
      <c r="AD44" s="291">
        <v>4.8937970000000002</v>
      </c>
      <c r="AE44" s="291">
        <v>4.8910229999999997</v>
      </c>
      <c r="AF44" s="288">
        <v>-1.2650000000000001E-3</v>
      </c>
      <c r="AG44" s="208"/>
      <c r="AH44" s="208"/>
      <c r="AI44" s="208"/>
      <c r="AJ44" s="208"/>
      <c r="AK44" s="208"/>
      <c r="AL44" s="208"/>
      <c r="AM44" s="208"/>
      <c r="AN44" s="208"/>
      <c r="AO44" s="208"/>
      <c r="AP44" s="208"/>
      <c r="AQ44" s="208"/>
      <c r="AR44" s="208"/>
      <c r="AS44" s="208"/>
      <c r="AT44" s="208"/>
      <c r="AU44" s="208"/>
      <c r="AV44" s="208"/>
      <c r="AW44" s="208"/>
      <c r="AX44" s="208"/>
      <c r="AY44" s="208"/>
      <c r="AZ44" s="208"/>
      <c r="BA44" s="208"/>
    </row>
    <row r="45" spans="1:53" x14ac:dyDescent="0.25">
      <c r="A45" s="213" t="s">
        <v>357</v>
      </c>
      <c r="B45" s="286" t="s">
        <v>317</v>
      </c>
      <c r="C45" s="291">
        <v>5.8927449999999997</v>
      </c>
      <c r="D45" s="291">
        <v>5.7899760000000002</v>
      </c>
      <c r="E45" s="291">
        <v>5.7951759999999997</v>
      </c>
      <c r="F45" s="291">
        <v>5.7833329999999998</v>
      </c>
      <c r="G45" s="291">
        <v>5.778988</v>
      </c>
      <c r="H45" s="291">
        <v>5.7994719999999997</v>
      </c>
      <c r="I45" s="291">
        <v>5.8094400000000004</v>
      </c>
      <c r="J45" s="291">
        <v>5.8209179999999998</v>
      </c>
      <c r="K45" s="291">
        <v>5.8264579999999997</v>
      </c>
      <c r="L45" s="291">
        <v>5.8332709999999999</v>
      </c>
      <c r="M45" s="291">
        <v>5.8364739999999999</v>
      </c>
      <c r="N45" s="291">
        <v>5.8459729999999999</v>
      </c>
      <c r="O45" s="291">
        <v>5.848357</v>
      </c>
      <c r="P45" s="291">
        <v>5.8588459999999998</v>
      </c>
      <c r="Q45" s="291">
        <v>5.855556</v>
      </c>
      <c r="R45" s="291">
        <v>5.8578039999999998</v>
      </c>
      <c r="S45" s="291">
        <v>5.858994</v>
      </c>
      <c r="T45" s="291">
        <v>5.8614499999999996</v>
      </c>
      <c r="U45" s="291">
        <v>5.8606189999999998</v>
      </c>
      <c r="V45" s="291">
        <v>5.8597039999999998</v>
      </c>
      <c r="W45" s="291">
        <v>5.8580019999999999</v>
      </c>
      <c r="X45" s="291">
        <v>5.856611</v>
      </c>
      <c r="Y45" s="291">
        <v>5.8545439999999997</v>
      </c>
      <c r="Z45" s="291">
        <v>5.8540340000000004</v>
      </c>
      <c r="AA45" s="291">
        <v>5.8469509999999998</v>
      </c>
      <c r="AB45" s="291">
        <v>5.8447509999999996</v>
      </c>
      <c r="AC45" s="291">
        <v>5.8390459999999997</v>
      </c>
      <c r="AD45" s="291">
        <v>5.8365780000000003</v>
      </c>
      <c r="AE45" s="291">
        <v>5.8334640000000002</v>
      </c>
      <c r="AF45" s="288">
        <v>-3.6099999999999999E-4</v>
      </c>
      <c r="AG45" s="208"/>
      <c r="AH45" s="208"/>
      <c r="AI45" s="208"/>
      <c r="AJ45" s="208"/>
      <c r="AK45" s="208"/>
      <c r="AL45" s="208"/>
      <c r="AM45" s="208"/>
      <c r="AN45" s="208"/>
      <c r="AO45" s="208"/>
      <c r="AP45" s="208"/>
      <c r="AQ45" s="208"/>
      <c r="AR45" s="208"/>
      <c r="AS45" s="208"/>
      <c r="AT45" s="208"/>
      <c r="AU45" s="208"/>
      <c r="AV45" s="208"/>
      <c r="AW45" s="208"/>
      <c r="AX45" s="208"/>
      <c r="AY45" s="208"/>
      <c r="AZ45" s="208"/>
      <c r="BA45" s="208"/>
    </row>
    <row r="46" spans="1:53" x14ac:dyDescent="0.25">
      <c r="A46" s="213" t="s">
        <v>359</v>
      </c>
      <c r="B46" s="286" t="s">
        <v>319</v>
      </c>
      <c r="C46" s="291">
        <v>5.0452859999999999</v>
      </c>
      <c r="D46" s="291">
        <v>5.1030439999999997</v>
      </c>
      <c r="E46" s="291">
        <v>5.0647929999999999</v>
      </c>
      <c r="F46" s="291">
        <v>5.0659340000000004</v>
      </c>
      <c r="G46" s="291">
        <v>5.0950769999999999</v>
      </c>
      <c r="H46" s="291">
        <v>5.1758240000000004</v>
      </c>
      <c r="I46" s="291">
        <v>5.2263799999999998</v>
      </c>
      <c r="J46" s="291">
        <v>5.2632329999999996</v>
      </c>
      <c r="K46" s="291">
        <v>5.2736970000000003</v>
      </c>
      <c r="L46" s="291">
        <v>5.2972070000000002</v>
      </c>
      <c r="M46" s="291">
        <v>5.2950119999999998</v>
      </c>
      <c r="N46" s="291">
        <v>5.2941830000000003</v>
      </c>
      <c r="O46" s="291">
        <v>5.2844410000000002</v>
      </c>
      <c r="P46" s="291">
        <v>5.2890100000000002</v>
      </c>
      <c r="Q46" s="291">
        <v>5.2747729999999997</v>
      </c>
      <c r="R46" s="291">
        <v>5.276637</v>
      </c>
      <c r="S46" s="291">
        <v>5.2793460000000003</v>
      </c>
      <c r="T46" s="291">
        <v>5.27027</v>
      </c>
      <c r="U46" s="291">
        <v>5.2766000000000002</v>
      </c>
      <c r="V46" s="291">
        <v>5.2763980000000004</v>
      </c>
      <c r="W46" s="291">
        <v>5.2635959999999997</v>
      </c>
      <c r="X46" s="291">
        <v>5.2571779999999997</v>
      </c>
      <c r="Y46" s="291">
        <v>5.2545260000000003</v>
      </c>
      <c r="Z46" s="291">
        <v>5.2526799999999998</v>
      </c>
      <c r="AA46" s="291">
        <v>5.2501319999999998</v>
      </c>
      <c r="AB46" s="291">
        <v>5.2491159999999999</v>
      </c>
      <c r="AC46" s="291">
        <v>5.2505110000000004</v>
      </c>
      <c r="AD46" s="291">
        <v>5.2516730000000003</v>
      </c>
      <c r="AE46" s="291">
        <v>5.2525630000000003</v>
      </c>
      <c r="AF46" s="288">
        <v>1.439E-3</v>
      </c>
      <c r="AG46" s="208"/>
      <c r="AH46" s="208"/>
      <c r="AI46" s="208"/>
      <c r="AJ46" s="208"/>
      <c r="AK46" s="208"/>
      <c r="AL46" s="208"/>
      <c r="AM46" s="208"/>
      <c r="AN46" s="208"/>
      <c r="AO46" s="208"/>
      <c r="AP46" s="208"/>
      <c r="AQ46" s="208"/>
      <c r="AR46" s="208"/>
      <c r="AS46" s="208"/>
      <c r="AT46" s="208"/>
      <c r="AU46" s="208"/>
      <c r="AV46" s="208"/>
      <c r="AW46" s="208"/>
      <c r="AX46" s="208"/>
      <c r="AY46" s="208"/>
      <c r="AZ46" s="208"/>
      <c r="BA46" s="208"/>
    </row>
    <row r="47" spans="1:53" x14ac:dyDescent="0.25">
      <c r="A47" s="213" t="s">
        <v>360</v>
      </c>
      <c r="B47" s="285" t="s">
        <v>320</v>
      </c>
      <c r="C47" s="208"/>
      <c r="D47" s="208"/>
      <c r="E47" s="208"/>
      <c r="F47" s="208"/>
      <c r="G47" s="208"/>
      <c r="H47" s="208"/>
      <c r="I47" s="208"/>
      <c r="J47" s="208"/>
      <c r="K47" s="208"/>
      <c r="L47" s="208"/>
      <c r="M47" s="208"/>
      <c r="N47" s="208"/>
      <c r="O47" s="208"/>
      <c r="P47" s="208"/>
      <c r="Q47" s="208"/>
      <c r="R47" s="208"/>
      <c r="S47" s="208"/>
      <c r="T47" s="208"/>
      <c r="U47" s="208"/>
      <c r="V47" s="208"/>
      <c r="W47" s="208"/>
      <c r="X47" s="208"/>
      <c r="Y47" s="208"/>
      <c r="Z47" s="208"/>
      <c r="AA47" s="208"/>
      <c r="AB47" s="208"/>
      <c r="AC47" s="208"/>
      <c r="AD47" s="208"/>
      <c r="AE47" s="208"/>
      <c r="AF47" s="208"/>
      <c r="AG47" s="208"/>
      <c r="AH47" s="208"/>
      <c r="AI47" s="208"/>
      <c r="AJ47" s="208"/>
      <c r="AK47" s="208"/>
      <c r="AL47" s="208"/>
      <c r="AM47" s="208"/>
      <c r="AN47" s="208"/>
      <c r="AO47" s="208"/>
      <c r="AP47" s="208"/>
      <c r="AQ47" s="208"/>
      <c r="AR47" s="208"/>
      <c r="AS47" s="208"/>
      <c r="AT47" s="208"/>
      <c r="AU47" s="208"/>
      <c r="AV47" s="208"/>
      <c r="AW47" s="208"/>
      <c r="AX47" s="208"/>
      <c r="AY47" s="208"/>
      <c r="AZ47" s="208"/>
      <c r="BA47" s="208"/>
    </row>
    <row r="48" spans="1:53" x14ac:dyDescent="0.25">
      <c r="A48" s="213" t="s">
        <v>361</v>
      </c>
      <c r="B48" s="286" t="s">
        <v>322</v>
      </c>
      <c r="C48" s="291">
        <v>5.6948990000000004</v>
      </c>
      <c r="D48" s="291">
        <v>5.6877190000000004</v>
      </c>
      <c r="E48" s="291">
        <v>5.6846410000000001</v>
      </c>
      <c r="F48" s="291">
        <v>5.6858890000000004</v>
      </c>
      <c r="G48" s="291">
        <v>5.6853109999999996</v>
      </c>
      <c r="H48" s="291">
        <v>5.6856270000000002</v>
      </c>
      <c r="I48" s="291">
        <v>5.6911149999999999</v>
      </c>
      <c r="J48" s="291">
        <v>5.6918160000000002</v>
      </c>
      <c r="K48" s="291">
        <v>5.6920570000000001</v>
      </c>
      <c r="L48" s="291">
        <v>5.6911259999999997</v>
      </c>
      <c r="M48" s="291">
        <v>5.6898340000000003</v>
      </c>
      <c r="N48" s="291">
        <v>5.6889719999999997</v>
      </c>
      <c r="O48" s="291">
        <v>5.6877810000000002</v>
      </c>
      <c r="P48" s="291">
        <v>5.6863159999999997</v>
      </c>
      <c r="Q48" s="291">
        <v>5.6842800000000002</v>
      </c>
      <c r="R48" s="291">
        <v>5.6826759999999998</v>
      </c>
      <c r="S48" s="291">
        <v>5.6804309999999996</v>
      </c>
      <c r="T48" s="291">
        <v>5.6789680000000002</v>
      </c>
      <c r="U48" s="291">
        <v>5.6764890000000001</v>
      </c>
      <c r="V48" s="291">
        <v>5.6727150000000002</v>
      </c>
      <c r="W48" s="291">
        <v>5.6709899999999998</v>
      </c>
      <c r="X48" s="291">
        <v>5.6708759999999998</v>
      </c>
      <c r="Y48" s="291">
        <v>5.6713120000000004</v>
      </c>
      <c r="Z48" s="291">
        <v>5.6707489999999998</v>
      </c>
      <c r="AA48" s="291">
        <v>5.6692479999999996</v>
      </c>
      <c r="AB48" s="291">
        <v>5.6653739999999999</v>
      </c>
      <c r="AC48" s="291">
        <v>5.6687510000000003</v>
      </c>
      <c r="AD48" s="291">
        <v>5.6699580000000003</v>
      </c>
      <c r="AE48" s="291">
        <v>5.6687200000000004</v>
      </c>
      <c r="AF48" s="288">
        <v>-1.65E-4</v>
      </c>
      <c r="AG48" s="208"/>
      <c r="AH48" s="208"/>
      <c r="AI48" s="208"/>
      <c r="AJ48" s="208"/>
      <c r="AK48" s="208"/>
      <c r="AL48" s="208"/>
      <c r="AM48" s="208"/>
      <c r="AN48" s="208"/>
      <c r="AO48" s="208"/>
      <c r="AP48" s="208"/>
      <c r="AQ48" s="208"/>
      <c r="AR48" s="208"/>
      <c r="AS48" s="208"/>
      <c r="AT48" s="208"/>
      <c r="AU48" s="208"/>
      <c r="AV48" s="208"/>
      <c r="AW48" s="208"/>
      <c r="AX48" s="208"/>
      <c r="AY48" s="208"/>
      <c r="AZ48" s="208"/>
      <c r="BA48" s="208"/>
    </row>
    <row r="49" spans="1:53" x14ac:dyDescent="0.25">
      <c r="A49" s="213" t="s">
        <v>363</v>
      </c>
      <c r="B49" s="286" t="s">
        <v>324</v>
      </c>
      <c r="C49" s="291">
        <v>6.037077</v>
      </c>
      <c r="D49" s="291">
        <v>5.9970509999999999</v>
      </c>
      <c r="E49" s="291">
        <v>6.0355489999999996</v>
      </c>
      <c r="F49" s="291">
        <v>6.0402279999999999</v>
      </c>
      <c r="G49" s="291">
        <v>6.0577889999999996</v>
      </c>
      <c r="H49" s="291">
        <v>6.0494770000000004</v>
      </c>
      <c r="I49" s="291">
        <v>6.0610679999999997</v>
      </c>
      <c r="J49" s="291">
        <v>6.0603530000000001</v>
      </c>
      <c r="K49" s="291">
        <v>6.0616399999999997</v>
      </c>
      <c r="L49" s="291">
        <v>6.070837</v>
      </c>
      <c r="M49" s="291">
        <v>6.0799519999999996</v>
      </c>
      <c r="N49" s="291">
        <v>6.0781080000000003</v>
      </c>
      <c r="O49" s="291">
        <v>6.0890230000000001</v>
      </c>
      <c r="P49" s="291">
        <v>6.0897579999999998</v>
      </c>
      <c r="Q49" s="291">
        <v>6.0896980000000003</v>
      </c>
      <c r="R49" s="291">
        <v>6.0990609999999998</v>
      </c>
      <c r="S49" s="291">
        <v>6.098973</v>
      </c>
      <c r="T49" s="291">
        <v>6.0996079999999999</v>
      </c>
      <c r="U49" s="291">
        <v>6.101254</v>
      </c>
      <c r="V49" s="291">
        <v>6.0983270000000003</v>
      </c>
      <c r="W49" s="291">
        <v>6.0973819999999996</v>
      </c>
      <c r="X49" s="291">
        <v>6.1017659999999996</v>
      </c>
      <c r="Y49" s="291">
        <v>6.1045309999999997</v>
      </c>
      <c r="Z49" s="291">
        <v>6.1059720000000004</v>
      </c>
      <c r="AA49" s="291">
        <v>6.1007020000000001</v>
      </c>
      <c r="AB49" s="291">
        <v>6.1004480000000001</v>
      </c>
      <c r="AC49" s="291">
        <v>6.09999</v>
      </c>
      <c r="AD49" s="291">
        <v>6.1005159999999998</v>
      </c>
      <c r="AE49" s="291">
        <v>6.1003499999999997</v>
      </c>
      <c r="AF49" s="288">
        <v>3.7199999999999999E-4</v>
      </c>
      <c r="AG49" s="208"/>
      <c r="AH49" s="208"/>
      <c r="AI49" s="208"/>
      <c r="AJ49" s="208"/>
      <c r="AK49" s="208"/>
      <c r="AL49" s="208"/>
      <c r="AM49" s="208"/>
      <c r="AN49" s="208"/>
      <c r="AO49" s="208"/>
      <c r="AP49" s="208"/>
      <c r="AQ49" s="208"/>
      <c r="AR49" s="208"/>
      <c r="AS49" s="208"/>
      <c r="AT49" s="208"/>
      <c r="AU49" s="208"/>
      <c r="AV49" s="208"/>
      <c r="AW49" s="208"/>
      <c r="AX49" s="208"/>
      <c r="AY49" s="208"/>
      <c r="AZ49" s="208"/>
      <c r="BA49" s="208"/>
    </row>
    <row r="50" spans="1:53" ht="15" customHeight="1" x14ac:dyDescent="0.25">
      <c r="A50" s="207"/>
      <c r="B50" s="286" t="s">
        <v>326</v>
      </c>
      <c r="C50" s="291">
        <v>5.5726060000000004</v>
      </c>
      <c r="D50" s="291">
        <v>5.5974430000000002</v>
      </c>
      <c r="E50" s="291">
        <v>5.5954059999999997</v>
      </c>
      <c r="F50" s="291">
        <v>5.5953169999999997</v>
      </c>
      <c r="G50" s="291">
        <v>5.5952440000000001</v>
      </c>
      <c r="H50" s="291">
        <v>5.5950730000000002</v>
      </c>
      <c r="I50" s="291">
        <v>5.5949450000000001</v>
      </c>
      <c r="J50" s="291">
        <v>5.5948209999999996</v>
      </c>
      <c r="K50" s="291">
        <v>5.5946709999999999</v>
      </c>
      <c r="L50" s="291">
        <v>5.5945970000000003</v>
      </c>
      <c r="M50" s="291">
        <v>5.5945309999999999</v>
      </c>
      <c r="N50" s="291">
        <v>5.5944700000000003</v>
      </c>
      <c r="O50" s="291">
        <v>5.594379</v>
      </c>
      <c r="P50" s="291">
        <v>5.5942720000000001</v>
      </c>
      <c r="Q50" s="291">
        <v>5.59422</v>
      </c>
      <c r="R50" s="291">
        <v>5.5941409999999996</v>
      </c>
      <c r="S50" s="291">
        <v>5.5940859999999999</v>
      </c>
      <c r="T50" s="291">
        <v>5.5939909999999999</v>
      </c>
      <c r="U50" s="291">
        <v>5.5939639999999997</v>
      </c>
      <c r="V50" s="291">
        <v>5.593852</v>
      </c>
      <c r="W50" s="291">
        <v>5.5937570000000001</v>
      </c>
      <c r="X50" s="291">
        <v>5.5936409999999999</v>
      </c>
      <c r="Y50" s="291">
        <v>5.5935579999999998</v>
      </c>
      <c r="Z50" s="291">
        <v>5.5934499999999998</v>
      </c>
      <c r="AA50" s="291">
        <v>5.5934369999999998</v>
      </c>
      <c r="AB50" s="291">
        <v>5.5933469999999996</v>
      </c>
      <c r="AC50" s="291">
        <v>5.5945410000000004</v>
      </c>
      <c r="AD50" s="291">
        <v>5.5939819999999996</v>
      </c>
      <c r="AE50" s="291">
        <v>5.5930359999999997</v>
      </c>
      <c r="AF50" s="288">
        <v>1.3100000000000001E-4</v>
      </c>
      <c r="AG50" s="208"/>
      <c r="AH50" s="208"/>
      <c r="AI50" s="208"/>
      <c r="AJ50" s="208"/>
      <c r="AK50" s="208"/>
      <c r="AL50" s="208"/>
      <c r="AM50" s="208"/>
      <c r="AN50" s="208"/>
      <c r="AO50" s="208"/>
      <c r="AP50" s="208"/>
      <c r="AQ50" s="208"/>
      <c r="AR50" s="208"/>
      <c r="AS50" s="208"/>
      <c r="AT50" s="208"/>
      <c r="AU50" s="208"/>
      <c r="AV50" s="208"/>
      <c r="AW50" s="208"/>
      <c r="AX50" s="208"/>
      <c r="AY50" s="208"/>
      <c r="AZ50" s="208"/>
      <c r="BA50" s="208"/>
    </row>
    <row r="51" spans="1:53" ht="15" customHeight="1" x14ac:dyDescent="0.25">
      <c r="A51" s="207"/>
      <c r="B51" s="286" t="s">
        <v>328</v>
      </c>
      <c r="C51" s="291">
        <v>3.5650970000000002</v>
      </c>
      <c r="D51" s="291">
        <v>3.5545019999999998</v>
      </c>
      <c r="E51" s="291">
        <v>3.5491320000000002</v>
      </c>
      <c r="F51" s="291">
        <v>3.5417900000000002</v>
      </c>
      <c r="G51" s="291">
        <v>3.5397370000000001</v>
      </c>
      <c r="H51" s="291">
        <v>3.5402360000000002</v>
      </c>
      <c r="I51" s="291">
        <v>3.541674</v>
      </c>
      <c r="J51" s="291">
        <v>3.5420600000000002</v>
      </c>
      <c r="K51" s="291">
        <v>3.5418940000000001</v>
      </c>
      <c r="L51" s="291">
        <v>3.5411049999999999</v>
      </c>
      <c r="M51" s="291">
        <v>3.5407579999999998</v>
      </c>
      <c r="N51" s="291">
        <v>3.540197</v>
      </c>
      <c r="O51" s="291">
        <v>3.5389210000000002</v>
      </c>
      <c r="P51" s="291">
        <v>3.5374219999999998</v>
      </c>
      <c r="Q51" s="291">
        <v>3.5376159999999999</v>
      </c>
      <c r="R51" s="291">
        <v>3.5382470000000001</v>
      </c>
      <c r="S51" s="291">
        <v>3.5379139999999998</v>
      </c>
      <c r="T51" s="291">
        <v>3.5375230000000002</v>
      </c>
      <c r="U51" s="291">
        <v>3.5342799999999999</v>
      </c>
      <c r="V51" s="291">
        <v>3.5322290000000001</v>
      </c>
      <c r="W51" s="291">
        <v>3.5295700000000001</v>
      </c>
      <c r="X51" s="291">
        <v>3.5280019999999999</v>
      </c>
      <c r="Y51" s="291">
        <v>3.528308</v>
      </c>
      <c r="Z51" s="291">
        <v>3.5286379999999999</v>
      </c>
      <c r="AA51" s="291">
        <v>3.5291399999999999</v>
      </c>
      <c r="AB51" s="291">
        <v>3.5295570000000001</v>
      </c>
      <c r="AC51" s="291">
        <v>3.5307490000000001</v>
      </c>
      <c r="AD51" s="291">
        <v>3.531657</v>
      </c>
      <c r="AE51" s="291">
        <v>3.5311599999999999</v>
      </c>
      <c r="AF51" s="288">
        <v>-3.4200000000000002E-4</v>
      </c>
      <c r="AG51" s="208"/>
      <c r="AH51" s="208"/>
      <c r="AI51" s="208"/>
      <c r="AJ51" s="208"/>
      <c r="AK51" s="208"/>
      <c r="AL51" s="208"/>
      <c r="AM51" s="208"/>
      <c r="AN51" s="208"/>
      <c r="AO51" s="208"/>
      <c r="AP51" s="208"/>
      <c r="AQ51" s="208"/>
      <c r="AR51" s="208"/>
      <c r="AS51" s="208"/>
      <c r="AT51" s="208"/>
      <c r="AU51" s="208"/>
      <c r="AV51" s="208"/>
      <c r="AW51" s="208"/>
      <c r="AX51" s="208"/>
      <c r="AY51" s="208"/>
      <c r="AZ51" s="208"/>
      <c r="BA51" s="208"/>
    </row>
    <row r="52" spans="1:53" ht="15" customHeight="1" x14ac:dyDescent="0.25">
      <c r="A52" s="207"/>
      <c r="B52" s="208"/>
      <c r="C52" s="208"/>
      <c r="D52" s="208"/>
      <c r="E52" s="208"/>
      <c r="F52" s="208"/>
      <c r="G52" s="208"/>
      <c r="H52" s="208"/>
      <c r="I52" s="208"/>
      <c r="J52" s="208"/>
      <c r="K52" s="208"/>
      <c r="L52" s="208"/>
      <c r="M52" s="208"/>
      <c r="N52" s="208"/>
      <c r="O52" s="208"/>
      <c r="P52" s="208"/>
      <c r="Q52" s="208"/>
      <c r="R52" s="208"/>
      <c r="S52" s="208"/>
      <c r="T52" s="208"/>
      <c r="U52" s="208"/>
      <c r="V52" s="208"/>
      <c r="W52" s="208"/>
      <c r="X52" s="208"/>
      <c r="Y52" s="208"/>
      <c r="Z52" s="208"/>
      <c r="AA52" s="208"/>
      <c r="AB52" s="208"/>
      <c r="AC52" s="208"/>
      <c r="AD52" s="208"/>
      <c r="AE52" s="208"/>
      <c r="AF52" s="208"/>
      <c r="AG52" s="208"/>
      <c r="AH52" s="208"/>
      <c r="AI52" s="208"/>
      <c r="AJ52" s="208"/>
      <c r="AK52" s="208"/>
      <c r="AL52" s="208"/>
      <c r="AM52" s="208"/>
      <c r="AN52" s="208"/>
      <c r="AO52" s="208"/>
      <c r="AP52" s="208"/>
      <c r="AQ52" s="208"/>
      <c r="AR52" s="208"/>
      <c r="AS52" s="208"/>
      <c r="AT52" s="208"/>
      <c r="AU52" s="208"/>
      <c r="AV52" s="208"/>
      <c r="AW52" s="208"/>
      <c r="AX52" s="208"/>
      <c r="AY52" s="208"/>
      <c r="AZ52" s="208"/>
      <c r="BA52" s="208"/>
    </row>
    <row r="53" spans="1:53" ht="15" customHeight="1" x14ac:dyDescent="0.25">
      <c r="A53" s="213" t="s">
        <v>365</v>
      </c>
      <c r="B53" s="285" t="s">
        <v>329</v>
      </c>
      <c r="C53" s="208"/>
      <c r="D53" s="208"/>
      <c r="E53" s="208"/>
      <c r="F53" s="208"/>
      <c r="G53" s="208"/>
      <c r="H53" s="208"/>
      <c r="I53" s="208"/>
      <c r="J53" s="208"/>
      <c r="K53" s="208"/>
      <c r="L53" s="208"/>
      <c r="M53" s="208"/>
      <c r="N53" s="208"/>
      <c r="O53" s="208"/>
      <c r="P53" s="208"/>
      <c r="Q53" s="208"/>
      <c r="R53" s="208"/>
      <c r="S53" s="208"/>
      <c r="T53" s="208"/>
      <c r="U53" s="208"/>
      <c r="V53" s="208"/>
      <c r="W53" s="208"/>
      <c r="X53" s="208"/>
      <c r="Y53" s="208"/>
      <c r="Z53" s="208"/>
      <c r="AA53" s="208"/>
      <c r="AB53" s="208"/>
      <c r="AC53" s="208"/>
      <c r="AD53" s="208"/>
      <c r="AE53" s="208"/>
      <c r="AF53" s="208"/>
      <c r="AG53" s="208"/>
      <c r="AH53" s="208"/>
      <c r="AI53" s="208"/>
      <c r="AJ53" s="208"/>
      <c r="AK53" s="208"/>
      <c r="AL53" s="208"/>
      <c r="AM53" s="208"/>
      <c r="AN53" s="208"/>
      <c r="AO53" s="208"/>
      <c r="AP53" s="208"/>
      <c r="AQ53" s="208"/>
      <c r="AR53" s="208"/>
      <c r="AS53" s="208"/>
      <c r="AT53" s="208"/>
      <c r="AU53" s="208"/>
      <c r="AV53" s="208"/>
      <c r="AW53" s="208"/>
      <c r="AX53" s="208"/>
      <c r="AY53" s="208"/>
      <c r="AZ53" s="208"/>
      <c r="BA53" s="208"/>
    </row>
    <row r="54" spans="1:53" ht="15" customHeight="1" x14ac:dyDescent="0.25">
      <c r="A54" s="213" t="s">
        <v>605</v>
      </c>
      <c r="B54" s="286" t="s">
        <v>331</v>
      </c>
      <c r="C54" s="291">
        <v>1.0369999999999999</v>
      </c>
      <c r="D54" s="291">
        <v>1.0369999999999999</v>
      </c>
      <c r="E54" s="291">
        <v>1.0369999999999999</v>
      </c>
      <c r="F54" s="291">
        <v>1.0369999999999999</v>
      </c>
      <c r="G54" s="291">
        <v>1.0369999999999999</v>
      </c>
      <c r="H54" s="291">
        <v>1.0369999999999999</v>
      </c>
      <c r="I54" s="291">
        <v>1.0369999999999999</v>
      </c>
      <c r="J54" s="291">
        <v>1.0369999999999999</v>
      </c>
      <c r="K54" s="291">
        <v>1.0369999999999999</v>
      </c>
      <c r="L54" s="291">
        <v>1.0369999999999999</v>
      </c>
      <c r="M54" s="291">
        <v>1.0369999999999999</v>
      </c>
      <c r="N54" s="291">
        <v>1.0369999999999999</v>
      </c>
      <c r="O54" s="291">
        <v>1.0369999999999999</v>
      </c>
      <c r="P54" s="291">
        <v>1.0369999999999999</v>
      </c>
      <c r="Q54" s="291">
        <v>1.0369999999999999</v>
      </c>
      <c r="R54" s="291">
        <v>1.0369999999999999</v>
      </c>
      <c r="S54" s="291">
        <v>1.0369999999999999</v>
      </c>
      <c r="T54" s="291">
        <v>1.0369999999999999</v>
      </c>
      <c r="U54" s="291">
        <v>1.0369999999999999</v>
      </c>
      <c r="V54" s="291">
        <v>1.0369999999999999</v>
      </c>
      <c r="W54" s="291">
        <v>1.0369999999999999</v>
      </c>
      <c r="X54" s="291">
        <v>1.0369999999999999</v>
      </c>
      <c r="Y54" s="291">
        <v>1.0369999999999999</v>
      </c>
      <c r="Z54" s="291">
        <v>1.0369999999999999</v>
      </c>
      <c r="AA54" s="291">
        <v>1.0369999999999999</v>
      </c>
      <c r="AB54" s="291">
        <v>1.0369999999999999</v>
      </c>
      <c r="AC54" s="291">
        <v>1.0369999999999999</v>
      </c>
      <c r="AD54" s="291">
        <v>1.0369999999999999</v>
      </c>
      <c r="AE54" s="291">
        <v>1.0369999999999999</v>
      </c>
      <c r="AF54" s="288">
        <v>0</v>
      </c>
      <c r="AG54" s="208"/>
      <c r="AH54" s="208"/>
      <c r="AI54" s="208"/>
      <c r="AJ54" s="208"/>
      <c r="AK54" s="208"/>
      <c r="AL54" s="208"/>
      <c r="AM54" s="208"/>
      <c r="AN54" s="208"/>
      <c r="AO54" s="208"/>
      <c r="AP54" s="208"/>
      <c r="AQ54" s="208"/>
      <c r="AR54" s="208"/>
      <c r="AS54" s="208"/>
      <c r="AT54" s="208"/>
      <c r="AU54" s="208"/>
      <c r="AV54" s="208"/>
      <c r="AW54" s="208"/>
      <c r="AX54" s="208"/>
      <c r="AY54" s="208"/>
      <c r="AZ54" s="208"/>
      <c r="BA54" s="208"/>
    </row>
    <row r="55" spans="1:53" ht="15" customHeight="1" x14ac:dyDescent="0.25">
      <c r="A55" s="207"/>
      <c r="B55" s="286" t="s">
        <v>333</v>
      </c>
      <c r="C55" s="291">
        <v>1.034</v>
      </c>
      <c r="D55" s="291">
        <v>1.034</v>
      </c>
      <c r="E55" s="291">
        <v>1.034</v>
      </c>
      <c r="F55" s="291">
        <v>1.034</v>
      </c>
      <c r="G55" s="291">
        <v>1.034</v>
      </c>
      <c r="H55" s="291">
        <v>1.034</v>
      </c>
      <c r="I55" s="291">
        <v>1.034</v>
      </c>
      <c r="J55" s="291">
        <v>1.034</v>
      </c>
      <c r="K55" s="291">
        <v>1.034</v>
      </c>
      <c r="L55" s="291">
        <v>1.034</v>
      </c>
      <c r="M55" s="291">
        <v>1.034</v>
      </c>
      <c r="N55" s="291">
        <v>1.034</v>
      </c>
      <c r="O55" s="291">
        <v>1.034</v>
      </c>
      <c r="P55" s="291">
        <v>1.034</v>
      </c>
      <c r="Q55" s="291">
        <v>1.034</v>
      </c>
      <c r="R55" s="291">
        <v>1.034</v>
      </c>
      <c r="S55" s="291">
        <v>1.034</v>
      </c>
      <c r="T55" s="291">
        <v>1.034</v>
      </c>
      <c r="U55" s="291">
        <v>1.034</v>
      </c>
      <c r="V55" s="291">
        <v>1.034</v>
      </c>
      <c r="W55" s="291">
        <v>1.034</v>
      </c>
      <c r="X55" s="291">
        <v>1.034</v>
      </c>
      <c r="Y55" s="291">
        <v>1.034</v>
      </c>
      <c r="Z55" s="291">
        <v>1.034</v>
      </c>
      <c r="AA55" s="291">
        <v>1.034</v>
      </c>
      <c r="AB55" s="291">
        <v>1.034</v>
      </c>
      <c r="AC55" s="291">
        <v>1.034</v>
      </c>
      <c r="AD55" s="291">
        <v>1.034</v>
      </c>
      <c r="AE55" s="291">
        <v>1.034</v>
      </c>
      <c r="AF55" s="288">
        <v>0</v>
      </c>
      <c r="AG55" s="208"/>
      <c r="AH55" s="208"/>
      <c r="AI55" s="208"/>
      <c r="AJ55" s="208"/>
      <c r="AK55" s="208"/>
      <c r="AL55" s="208"/>
      <c r="AM55" s="208"/>
      <c r="AN55" s="208"/>
      <c r="AO55" s="208"/>
      <c r="AP55" s="208"/>
      <c r="AQ55" s="208"/>
      <c r="AR55" s="208"/>
      <c r="AS55" s="208"/>
      <c r="AT55" s="208"/>
      <c r="AU55" s="208"/>
      <c r="AV55" s="208"/>
      <c r="AW55" s="208"/>
      <c r="AX55" s="208"/>
      <c r="AY55" s="208"/>
      <c r="AZ55" s="208"/>
      <c r="BA55" s="208"/>
    </row>
    <row r="56" spans="1:53" ht="15" customHeight="1" x14ac:dyDescent="0.25">
      <c r="A56" s="207"/>
      <c r="B56" s="286" t="s">
        <v>335</v>
      </c>
      <c r="C56" s="291">
        <v>1.0389999999999999</v>
      </c>
      <c r="D56" s="291">
        <v>1.0389999999999999</v>
      </c>
      <c r="E56" s="291">
        <v>1.0389999999999999</v>
      </c>
      <c r="F56" s="291">
        <v>1.0389999999999999</v>
      </c>
      <c r="G56" s="291">
        <v>1.0389999999999999</v>
      </c>
      <c r="H56" s="291">
        <v>1.0389999999999999</v>
      </c>
      <c r="I56" s="291">
        <v>1.0389999999999999</v>
      </c>
      <c r="J56" s="291">
        <v>1.0389999999999999</v>
      </c>
      <c r="K56" s="291">
        <v>1.0389999999999999</v>
      </c>
      <c r="L56" s="291">
        <v>1.0389999999999999</v>
      </c>
      <c r="M56" s="291">
        <v>1.0389999999999999</v>
      </c>
      <c r="N56" s="291">
        <v>1.0389999999999999</v>
      </c>
      <c r="O56" s="291">
        <v>1.0389999999999999</v>
      </c>
      <c r="P56" s="291">
        <v>1.0389999999999999</v>
      </c>
      <c r="Q56" s="291">
        <v>1.0389999999999999</v>
      </c>
      <c r="R56" s="291">
        <v>1.0389999999999999</v>
      </c>
      <c r="S56" s="291">
        <v>1.0389999999999999</v>
      </c>
      <c r="T56" s="291">
        <v>1.0389999999999999</v>
      </c>
      <c r="U56" s="291">
        <v>1.0389999999999999</v>
      </c>
      <c r="V56" s="291">
        <v>1.0389999999999999</v>
      </c>
      <c r="W56" s="291">
        <v>1.0389999999999999</v>
      </c>
      <c r="X56" s="291">
        <v>1.0389999999999999</v>
      </c>
      <c r="Y56" s="291">
        <v>1.0389999999999999</v>
      </c>
      <c r="Z56" s="291">
        <v>1.0389999999999999</v>
      </c>
      <c r="AA56" s="291">
        <v>1.0389999999999999</v>
      </c>
      <c r="AB56" s="291">
        <v>1.0389999999999999</v>
      </c>
      <c r="AC56" s="291">
        <v>1.0389999999999999</v>
      </c>
      <c r="AD56" s="291">
        <v>1.0389999999999999</v>
      </c>
      <c r="AE56" s="291">
        <v>1.0389999999999999</v>
      </c>
      <c r="AF56" s="288">
        <v>0</v>
      </c>
      <c r="AG56" s="208"/>
      <c r="AH56" s="208"/>
      <c r="AI56" s="208"/>
      <c r="AJ56" s="208"/>
      <c r="AK56" s="208"/>
      <c r="AL56" s="208"/>
      <c r="AM56" s="208"/>
      <c r="AN56" s="208"/>
      <c r="AO56" s="208"/>
      <c r="AP56" s="208"/>
      <c r="AQ56" s="208"/>
      <c r="AR56" s="208"/>
      <c r="AS56" s="208"/>
      <c r="AT56" s="208"/>
      <c r="AU56" s="208"/>
      <c r="AV56" s="208"/>
      <c r="AW56" s="208"/>
      <c r="AX56" s="208"/>
      <c r="AY56" s="208"/>
      <c r="AZ56" s="208"/>
      <c r="BA56" s="208"/>
    </row>
    <row r="57" spans="1:53" ht="15" customHeight="1" x14ac:dyDescent="0.25">
      <c r="A57" s="207"/>
      <c r="B57" s="286" t="s">
        <v>337</v>
      </c>
      <c r="C57" s="291">
        <v>1.0369999999999999</v>
      </c>
      <c r="D57" s="291">
        <v>1.0369999999999999</v>
      </c>
      <c r="E57" s="291">
        <v>1.0369999999999999</v>
      </c>
      <c r="F57" s="291">
        <v>1.0369999999999999</v>
      </c>
      <c r="G57" s="291">
        <v>1.0369999999999999</v>
      </c>
      <c r="H57" s="291">
        <v>1.0369999999999999</v>
      </c>
      <c r="I57" s="291">
        <v>1.0369999999999999</v>
      </c>
      <c r="J57" s="291">
        <v>1.0369999999999999</v>
      </c>
      <c r="K57" s="291">
        <v>1.0369999999999999</v>
      </c>
      <c r="L57" s="291">
        <v>1.0369999999999999</v>
      </c>
      <c r="M57" s="291">
        <v>1.0369999999999999</v>
      </c>
      <c r="N57" s="291">
        <v>1.0369999999999999</v>
      </c>
      <c r="O57" s="291">
        <v>1.0369999999999999</v>
      </c>
      <c r="P57" s="291">
        <v>1.0369999999999999</v>
      </c>
      <c r="Q57" s="291">
        <v>1.0369999999999999</v>
      </c>
      <c r="R57" s="291">
        <v>1.0369999999999999</v>
      </c>
      <c r="S57" s="291">
        <v>1.0369999999999999</v>
      </c>
      <c r="T57" s="291">
        <v>1.0369999999999999</v>
      </c>
      <c r="U57" s="291">
        <v>1.0369999999999999</v>
      </c>
      <c r="V57" s="291">
        <v>1.0369999999999999</v>
      </c>
      <c r="W57" s="291">
        <v>1.0369999999999999</v>
      </c>
      <c r="X57" s="291">
        <v>1.0369999999999999</v>
      </c>
      <c r="Y57" s="291">
        <v>1.0369999999999999</v>
      </c>
      <c r="Z57" s="291">
        <v>1.0369999999999999</v>
      </c>
      <c r="AA57" s="291">
        <v>1.0369999999999999</v>
      </c>
      <c r="AB57" s="291">
        <v>1.0369999999999999</v>
      </c>
      <c r="AC57" s="291">
        <v>1.0369999999999999</v>
      </c>
      <c r="AD57" s="291">
        <v>1.0369999999999999</v>
      </c>
      <c r="AE57" s="291">
        <v>1.0369999999999999</v>
      </c>
      <c r="AF57" s="288">
        <v>0</v>
      </c>
      <c r="AG57" s="208"/>
      <c r="AH57" s="208"/>
      <c r="AI57" s="208"/>
      <c r="AJ57" s="208"/>
      <c r="AK57" s="208"/>
      <c r="AL57" s="208"/>
      <c r="AM57" s="208"/>
      <c r="AN57" s="208"/>
      <c r="AO57" s="208"/>
      <c r="AP57" s="208"/>
      <c r="AQ57" s="208"/>
      <c r="AR57" s="208"/>
      <c r="AS57" s="208"/>
      <c r="AT57" s="208"/>
      <c r="AU57" s="208"/>
      <c r="AV57" s="208"/>
      <c r="AW57" s="208"/>
      <c r="AX57" s="208"/>
      <c r="AY57" s="208"/>
      <c r="AZ57" s="208"/>
      <c r="BA57" s="208"/>
    </row>
    <row r="58" spans="1:53" ht="15" customHeight="1" x14ac:dyDescent="0.25">
      <c r="A58" s="207"/>
      <c r="B58" s="286" t="s">
        <v>339</v>
      </c>
      <c r="C58" s="291">
        <v>1.0249999999999999</v>
      </c>
      <c r="D58" s="291">
        <v>1.0249999999999999</v>
      </c>
      <c r="E58" s="291">
        <v>1.0249999999999999</v>
      </c>
      <c r="F58" s="291">
        <v>1.0249999999999999</v>
      </c>
      <c r="G58" s="291">
        <v>1.0249999999999999</v>
      </c>
      <c r="H58" s="291">
        <v>1.0249999999999999</v>
      </c>
      <c r="I58" s="291">
        <v>1.0249999999999999</v>
      </c>
      <c r="J58" s="291">
        <v>1.0249999999999999</v>
      </c>
      <c r="K58" s="291">
        <v>1.0249999999999999</v>
      </c>
      <c r="L58" s="291">
        <v>1.0249999999999999</v>
      </c>
      <c r="M58" s="291">
        <v>1.0249999999999999</v>
      </c>
      <c r="N58" s="291">
        <v>1.0249999999999999</v>
      </c>
      <c r="O58" s="291">
        <v>1.0249999999999999</v>
      </c>
      <c r="P58" s="291">
        <v>1.0249999999999999</v>
      </c>
      <c r="Q58" s="291">
        <v>1.0249999999999999</v>
      </c>
      <c r="R58" s="291">
        <v>1.0249999999999999</v>
      </c>
      <c r="S58" s="291">
        <v>1.0249999999999999</v>
      </c>
      <c r="T58" s="291">
        <v>1.0249999999999999</v>
      </c>
      <c r="U58" s="291">
        <v>1.0249999999999999</v>
      </c>
      <c r="V58" s="291">
        <v>1.0249999999999999</v>
      </c>
      <c r="W58" s="291">
        <v>1.0249999999999999</v>
      </c>
      <c r="X58" s="291">
        <v>1.0249999999999999</v>
      </c>
      <c r="Y58" s="291">
        <v>1.0249999999999999</v>
      </c>
      <c r="Z58" s="291">
        <v>1.0249999999999999</v>
      </c>
      <c r="AA58" s="291">
        <v>1.0249999999999999</v>
      </c>
      <c r="AB58" s="291">
        <v>1.0249999999999999</v>
      </c>
      <c r="AC58" s="291">
        <v>1.0249999999999999</v>
      </c>
      <c r="AD58" s="291">
        <v>1.0249999999999999</v>
      </c>
      <c r="AE58" s="291">
        <v>1.0249999999999999</v>
      </c>
      <c r="AF58" s="288">
        <v>0</v>
      </c>
      <c r="AG58" s="208"/>
      <c r="AH58" s="208"/>
      <c r="AI58" s="208"/>
      <c r="AJ58" s="208"/>
      <c r="AK58" s="208"/>
      <c r="AL58" s="208"/>
      <c r="AM58" s="208"/>
      <c r="AN58" s="208"/>
      <c r="AO58" s="208"/>
      <c r="AP58" s="208"/>
      <c r="AQ58" s="208"/>
      <c r="AR58" s="208"/>
      <c r="AS58" s="208"/>
      <c r="AT58" s="208"/>
      <c r="AU58" s="208"/>
      <c r="AV58" s="208"/>
      <c r="AW58" s="208"/>
      <c r="AX58" s="208"/>
      <c r="AY58" s="208"/>
      <c r="AZ58" s="208"/>
      <c r="BA58" s="208"/>
    </row>
    <row r="59" spans="1:53" ht="15" customHeight="1" x14ac:dyDescent="0.25">
      <c r="A59" s="207"/>
      <c r="B59" s="286" t="s">
        <v>341</v>
      </c>
      <c r="C59" s="291">
        <v>1.0089999999999999</v>
      </c>
      <c r="D59" s="291">
        <v>1.0089999999999999</v>
      </c>
      <c r="E59" s="291">
        <v>1.0089999999999999</v>
      </c>
      <c r="F59" s="291">
        <v>1.0089999999999999</v>
      </c>
      <c r="G59" s="291">
        <v>1.0089999999999999</v>
      </c>
      <c r="H59" s="291">
        <v>1.0089999999999999</v>
      </c>
      <c r="I59" s="291">
        <v>1.0089999999999999</v>
      </c>
      <c r="J59" s="291">
        <v>1.0089999999999999</v>
      </c>
      <c r="K59" s="291">
        <v>1.0089999999999999</v>
      </c>
      <c r="L59" s="291">
        <v>1.0089999999999999</v>
      </c>
      <c r="M59" s="291">
        <v>1.0089999999999999</v>
      </c>
      <c r="N59" s="291">
        <v>1.0089999999999999</v>
      </c>
      <c r="O59" s="291">
        <v>1.0089999999999999</v>
      </c>
      <c r="P59" s="291">
        <v>1.0089999999999999</v>
      </c>
      <c r="Q59" s="291">
        <v>1.0089999999999999</v>
      </c>
      <c r="R59" s="291">
        <v>1.0089999999999999</v>
      </c>
      <c r="S59" s="291">
        <v>1.0089999999999999</v>
      </c>
      <c r="T59" s="291">
        <v>1.0089999999999999</v>
      </c>
      <c r="U59" s="291">
        <v>1.0089999999999999</v>
      </c>
      <c r="V59" s="291">
        <v>1.0089999999999999</v>
      </c>
      <c r="W59" s="291">
        <v>1.0089999999999999</v>
      </c>
      <c r="X59" s="291">
        <v>1.0089999999999999</v>
      </c>
      <c r="Y59" s="291">
        <v>1.0089999999999999</v>
      </c>
      <c r="Z59" s="291">
        <v>1.0089999999999999</v>
      </c>
      <c r="AA59" s="291">
        <v>1.0089999999999999</v>
      </c>
      <c r="AB59" s="291">
        <v>1.0089999999999999</v>
      </c>
      <c r="AC59" s="291">
        <v>1.0089999999999999</v>
      </c>
      <c r="AD59" s="291">
        <v>1.0089999999999999</v>
      </c>
      <c r="AE59" s="291">
        <v>1.0089999999999999</v>
      </c>
      <c r="AF59" s="288">
        <v>0</v>
      </c>
      <c r="AG59" s="208"/>
      <c r="AH59" s="208"/>
      <c r="AI59" s="208"/>
      <c r="AJ59" s="208"/>
      <c r="AK59" s="208"/>
      <c r="AL59" s="208"/>
      <c r="AM59" s="208"/>
      <c r="AN59" s="208"/>
      <c r="AO59" s="208"/>
      <c r="AP59" s="208"/>
      <c r="AQ59" s="208"/>
      <c r="AR59" s="208"/>
      <c r="AS59" s="208"/>
      <c r="AT59" s="208"/>
      <c r="AU59" s="208"/>
      <c r="AV59" s="208"/>
      <c r="AW59" s="208"/>
      <c r="AX59" s="208"/>
      <c r="AY59" s="208"/>
      <c r="AZ59" s="208"/>
      <c r="BA59" s="208"/>
    </row>
    <row r="60" spans="1:53" ht="15" customHeight="1" x14ac:dyDescent="0.25">
      <c r="A60" s="207"/>
      <c r="B60" s="286" t="s">
        <v>343</v>
      </c>
      <c r="C60" s="291">
        <v>0.96</v>
      </c>
      <c r="D60" s="291">
        <v>0.96</v>
      </c>
      <c r="E60" s="291">
        <v>0.96</v>
      </c>
      <c r="F60" s="291">
        <v>0.96</v>
      </c>
      <c r="G60" s="291">
        <v>0.96</v>
      </c>
      <c r="H60" s="291">
        <v>0.96</v>
      </c>
      <c r="I60" s="291">
        <v>0.96</v>
      </c>
      <c r="J60" s="291">
        <v>0.96</v>
      </c>
      <c r="K60" s="291">
        <v>0.96</v>
      </c>
      <c r="L60" s="291">
        <v>0.96</v>
      </c>
      <c r="M60" s="291">
        <v>0.96</v>
      </c>
      <c r="N60" s="291">
        <v>0.96</v>
      </c>
      <c r="O60" s="291">
        <v>0.96</v>
      </c>
      <c r="P60" s="291">
        <v>0.96</v>
      </c>
      <c r="Q60" s="291">
        <v>0.96</v>
      </c>
      <c r="R60" s="291">
        <v>0.96</v>
      </c>
      <c r="S60" s="291">
        <v>0.96</v>
      </c>
      <c r="T60" s="291">
        <v>0.96</v>
      </c>
      <c r="U60" s="291">
        <v>0.96</v>
      </c>
      <c r="V60" s="291">
        <v>0.96</v>
      </c>
      <c r="W60" s="291">
        <v>0.96</v>
      </c>
      <c r="X60" s="291">
        <v>0.96</v>
      </c>
      <c r="Y60" s="291">
        <v>0.96</v>
      </c>
      <c r="Z60" s="291">
        <v>0.96</v>
      </c>
      <c r="AA60" s="291">
        <v>0.96</v>
      </c>
      <c r="AB60" s="291">
        <v>0.96</v>
      </c>
      <c r="AC60" s="291">
        <v>0.96</v>
      </c>
      <c r="AD60" s="291">
        <v>0.96</v>
      </c>
      <c r="AE60" s="291">
        <v>0.96</v>
      </c>
      <c r="AF60" s="288">
        <v>0</v>
      </c>
      <c r="AG60" s="208"/>
      <c r="AH60" s="208"/>
      <c r="AI60" s="208"/>
      <c r="AJ60" s="208"/>
      <c r="AK60" s="208"/>
      <c r="AL60" s="208"/>
      <c r="AM60" s="208"/>
      <c r="AN60" s="208"/>
      <c r="AO60" s="208"/>
      <c r="AP60" s="208"/>
      <c r="AQ60" s="208"/>
      <c r="AR60" s="208"/>
      <c r="AS60" s="208"/>
      <c r="AT60" s="208"/>
      <c r="AU60" s="208"/>
      <c r="AV60" s="208"/>
      <c r="AW60" s="208"/>
      <c r="AX60" s="208"/>
      <c r="AY60" s="208"/>
      <c r="AZ60" s="208"/>
      <c r="BA60" s="208"/>
    </row>
    <row r="61" spans="1:53" ht="15" customHeight="1" x14ac:dyDescent="0.25">
      <c r="A61" s="207"/>
      <c r="B61" s="208"/>
      <c r="C61" s="208"/>
      <c r="D61" s="208"/>
      <c r="E61" s="208"/>
      <c r="F61" s="208"/>
      <c r="G61" s="208"/>
      <c r="H61" s="208"/>
      <c r="I61" s="208"/>
      <c r="J61" s="208"/>
      <c r="K61" s="208"/>
      <c r="L61" s="208"/>
      <c r="M61" s="208"/>
      <c r="N61" s="208"/>
      <c r="O61" s="208"/>
      <c r="P61" s="208"/>
      <c r="Q61" s="208"/>
      <c r="R61" s="208"/>
      <c r="S61" s="208"/>
      <c r="T61" s="208"/>
      <c r="U61" s="208"/>
      <c r="V61" s="208"/>
      <c r="W61" s="208"/>
      <c r="X61" s="208"/>
      <c r="Y61" s="208"/>
      <c r="Z61" s="208"/>
      <c r="AA61" s="208"/>
      <c r="AB61" s="208"/>
      <c r="AC61" s="208"/>
      <c r="AD61" s="208"/>
      <c r="AE61" s="208"/>
      <c r="AF61" s="208"/>
      <c r="AG61" s="208"/>
      <c r="AH61" s="208"/>
      <c r="AI61" s="208"/>
      <c r="AJ61" s="208"/>
      <c r="AK61" s="208"/>
      <c r="AL61" s="208"/>
      <c r="AM61" s="208"/>
      <c r="AN61" s="208"/>
      <c r="AO61" s="208"/>
      <c r="AP61" s="208"/>
      <c r="AQ61" s="208"/>
      <c r="AR61" s="208"/>
      <c r="AS61" s="208"/>
      <c r="AT61" s="208"/>
      <c r="AU61" s="208"/>
      <c r="AV61" s="208"/>
      <c r="AW61" s="208"/>
      <c r="AX61" s="208"/>
      <c r="AY61" s="208"/>
      <c r="AZ61" s="208"/>
      <c r="BA61" s="208"/>
    </row>
    <row r="62" spans="1:53" x14ac:dyDescent="0.25">
      <c r="A62" s="207"/>
      <c r="B62" s="285" t="s">
        <v>344</v>
      </c>
      <c r="C62" s="208"/>
      <c r="D62" s="208"/>
      <c r="E62" s="208"/>
      <c r="F62" s="208"/>
      <c r="G62" s="208"/>
      <c r="H62" s="208"/>
      <c r="I62" s="208"/>
      <c r="J62" s="208"/>
      <c r="K62" s="208"/>
      <c r="L62" s="208"/>
      <c r="M62" s="208"/>
      <c r="N62" s="208"/>
      <c r="O62" s="208"/>
      <c r="P62" s="208"/>
      <c r="Q62" s="208"/>
      <c r="R62" s="208"/>
      <c r="S62" s="208"/>
      <c r="T62" s="208"/>
      <c r="U62" s="208"/>
      <c r="V62" s="208"/>
      <c r="W62" s="208"/>
      <c r="X62" s="208"/>
      <c r="Y62" s="208"/>
      <c r="Z62" s="208"/>
      <c r="AA62" s="208"/>
      <c r="AB62" s="208"/>
      <c r="AC62" s="208"/>
      <c r="AD62" s="208"/>
      <c r="AE62" s="208"/>
      <c r="AF62" s="208"/>
      <c r="AG62" s="208"/>
      <c r="AH62" s="208"/>
      <c r="AI62" s="208"/>
      <c r="AJ62" s="208"/>
      <c r="AK62" s="208"/>
      <c r="AL62" s="208"/>
      <c r="AM62" s="208"/>
      <c r="AN62" s="208"/>
      <c r="AO62" s="208"/>
      <c r="AP62" s="208"/>
      <c r="AQ62" s="208"/>
      <c r="AR62" s="208"/>
      <c r="AS62" s="208"/>
      <c r="AT62" s="208"/>
      <c r="AU62" s="208"/>
      <c r="AV62" s="208"/>
      <c r="AW62" s="208"/>
      <c r="AX62" s="208"/>
      <c r="AY62" s="208"/>
      <c r="AZ62" s="208"/>
      <c r="BA62" s="208"/>
    </row>
    <row r="63" spans="1:53" ht="15" customHeight="1" x14ac:dyDescent="0.25">
      <c r="A63" s="207"/>
      <c r="B63" s="286" t="s">
        <v>337</v>
      </c>
      <c r="C63" s="287">
        <v>20.414086999999999</v>
      </c>
      <c r="D63" s="287">
        <v>20.306387000000001</v>
      </c>
      <c r="E63" s="287">
        <v>20.561385999999999</v>
      </c>
      <c r="F63" s="287">
        <v>20.682283000000002</v>
      </c>
      <c r="G63" s="287">
        <v>21.026534999999999</v>
      </c>
      <c r="H63" s="287">
        <v>21.446421000000001</v>
      </c>
      <c r="I63" s="287">
        <v>21.618556999999999</v>
      </c>
      <c r="J63" s="287">
        <v>21.391855</v>
      </c>
      <c r="K63" s="287">
        <v>21.480253000000001</v>
      </c>
      <c r="L63" s="287">
        <v>21.504978000000001</v>
      </c>
      <c r="M63" s="287">
        <v>21.517519</v>
      </c>
      <c r="N63" s="287">
        <v>21.584536</v>
      </c>
      <c r="O63" s="287">
        <v>21.490144999999998</v>
      </c>
      <c r="P63" s="287">
        <v>21.426874000000002</v>
      </c>
      <c r="Q63" s="287">
        <v>21.444807000000001</v>
      </c>
      <c r="R63" s="287">
        <v>21.408159000000001</v>
      </c>
      <c r="S63" s="287">
        <v>21.737587000000001</v>
      </c>
      <c r="T63" s="287">
        <v>21.762626999999998</v>
      </c>
      <c r="U63" s="287">
        <v>21.825102000000001</v>
      </c>
      <c r="V63" s="287">
        <v>21.77272</v>
      </c>
      <c r="W63" s="287">
        <v>21.752516</v>
      </c>
      <c r="X63" s="287">
        <v>21.840578000000001</v>
      </c>
      <c r="Y63" s="287">
        <v>21.903272999999999</v>
      </c>
      <c r="Z63" s="287">
        <v>21.967976</v>
      </c>
      <c r="AA63" s="287">
        <v>22.008548999999999</v>
      </c>
      <c r="AB63" s="287">
        <v>22.019365000000001</v>
      </c>
      <c r="AC63" s="287">
        <v>21.979196999999999</v>
      </c>
      <c r="AD63" s="287">
        <v>22.007912000000001</v>
      </c>
      <c r="AE63" s="287">
        <v>21.978470000000002</v>
      </c>
      <c r="AF63" s="288">
        <v>2.6410000000000001E-3</v>
      </c>
      <c r="AG63" s="208"/>
      <c r="AH63" s="208"/>
      <c r="AI63" s="208"/>
      <c r="AJ63" s="208"/>
      <c r="AK63" s="208"/>
      <c r="AL63" s="208"/>
      <c r="AM63" s="208"/>
      <c r="AN63" s="208"/>
      <c r="AO63" s="208"/>
      <c r="AP63" s="208"/>
      <c r="AQ63" s="208"/>
      <c r="AR63" s="208"/>
      <c r="AS63" s="208"/>
      <c r="AT63" s="208"/>
      <c r="AU63" s="208"/>
      <c r="AV63" s="208"/>
      <c r="AW63" s="208"/>
      <c r="AX63" s="208"/>
      <c r="AY63" s="208"/>
      <c r="AZ63" s="208"/>
      <c r="BA63" s="208"/>
    </row>
    <row r="64" spans="1:53" ht="15" customHeight="1" x14ac:dyDescent="0.25">
      <c r="A64" s="207"/>
      <c r="B64" s="286" t="s">
        <v>347</v>
      </c>
      <c r="C64" s="287">
        <v>25.150552999999999</v>
      </c>
      <c r="D64" s="287">
        <v>25.162579999999998</v>
      </c>
      <c r="E64" s="287">
        <v>25.277228999999998</v>
      </c>
      <c r="F64" s="287">
        <v>25.196438000000001</v>
      </c>
      <c r="G64" s="287">
        <v>25.173244</v>
      </c>
      <c r="H64" s="287">
        <v>25.253005999999999</v>
      </c>
      <c r="I64" s="287">
        <v>25.375315000000001</v>
      </c>
      <c r="J64" s="287">
        <v>25.881294</v>
      </c>
      <c r="K64" s="287">
        <v>25.949392</v>
      </c>
      <c r="L64" s="287">
        <v>25.919322999999999</v>
      </c>
      <c r="M64" s="287">
        <v>25.917715000000001</v>
      </c>
      <c r="N64" s="287">
        <v>26.122444000000002</v>
      </c>
      <c r="O64" s="287">
        <v>26.104872</v>
      </c>
      <c r="P64" s="287">
        <v>26.092715999999999</v>
      </c>
      <c r="Q64" s="287">
        <v>26.109541</v>
      </c>
      <c r="R64" s="287">
        <v>26.115759000000001</v>
      </c>
      <c r="S64" s="287">
        <v>26.111366</v>
      </c>
      <c r="T64" s="287">
        <v>26.064837000000001</v>
      </c>
      <c r="U64" s="287">
        <v>26.097258</v>
      </c>
      <c r="V64" s="287">
        <v>26.119198000000001</v>
      </c>
      <c r="W64" s="287">
        <v>26.115304999999999</v>
      </c>
      <c r="X64" s="287">
        <v>26.109867000000001</v>
      </c>
      <c r="Y64" s="287">
        <v>26.134989000000001</v>
      </c>
      <c r="Z64" s="287">
        <v>26.120363000000001</v>
      </c>
      <c r="AA64" s="287">
        <v>26.130583000000001</v>
      </c>
      <c r="AB64" s="287">
        <v>26.147618999999999</v>
      </c>
      <c r="AC64" s="287">
        <v>26.167905999999999</v>
      </c>
      <c r="AD64" s="287">
        <v>26.162901000000002</v>
      </c>
      <c r="AE64" s="287">
        <v>26.183288999999998</v>
      </c>
      <c r="AF64" s="288">
        <v>1.438E-3</v>
      </c>
      <c r="AG64" s="208"/>
      <c r="AH64" s="208"/>
      <c r="AI64" s="208"/>
      <c r="AJ64" s="208"/>
      <c r="AK64" s="208"/>
      <c r="AL64" s="208"/>
      <c r="AM64" s="208"/>
      <c r="AN64" s="208"/>
      <c r="AO64" s="208"/>
      <c r="AP64" s="208"/>
      <c r="AQ64" s="208"/>
      <c r="AR64" s="208"/>
      <c r="AS64" s="208"/>
      <c r="AT64" s="208"/>
      <c r="AU64" s="208"/>
      <c r="AV64" s="208"/>
      <c r="AW64" s="208"/>
      <c r="AX64" s="208"/>
      <c r="AY64" s="208"/>
      <c r="AZ64" s="208"/>
      <c r="BA64" s="208"/>
    </row>
    <row r="65" spans="1:53" ht="15" customHeight="1" x14ac:dyDescent="0.25">
      <c r="A65" s="201"/>
      <c r="B65" s="286" t="s">
        <v>349</v>
      </c>
      <c r="C65" s="287">
        <v>17.359545000000001</v>
      </c>
      <c r="D65" s="287">
        <v>17.333266999999999</v>
      </c>
      <c r="E65" s="287">
        <v>17.469742</v>
      </c>
      <c r="F65" s="287">
        <v>17.421644000000001</v>
      </c>
      <c r="G65" s="287">
        <v>17.439485999999999</v>
      </c>
      <c r="H65" s="287">
        <v>17.491636</v>
      </c>
      <c r="I65" s="287">
        <v>17.459488</v>
      </c>
      <c r="J65" s="287">
        <v>17.634378000000002</v>
      </c>
      <c r="K65" s="287">
        <v>17.574055000000001</v>
      </c>
      <c r="L65" s="287">
        <v>17.584854</v>
      </c>
      <c r="M65" s="287">
        <v>17.592421000000002</v>
      </c>
      <c r="N65" s="287">
        <v>17.594152000000001</v>
      </c>
      <c r="O65" s="287">
        <v>17.563728000000001</v>
      </c>
      <c r="P65" s="287">
        <v>17.529620999999999</v>
      </c>
      <c r="Q65" s="287">
        <v>17.516928</v>
      </c>
      <c r="R65" s="287">
        <v>17.304117000000002</v>
      </c>
      <c r="S65" s="287">
        <v>17.516290999999999</v>
      </c>
      <c r="T65" s="287">
        <v>17.500505</v>
      </c>
      <c r="U65" s="287">
        <v>17.477858000000001</v>
      </c>
      <c r="V65" s="287">
        <v>17.479234999999999</v>
      </c>
      <c r="W65" s="287">
        <v>17.471019999999999</v>
      </c>
      <c r="X65" s="287">
        <v>17.484034999999999</v>
      </c>
      <c r="Y65" s="287">
        <v>17.490487999999999</v>
      </c>
      <c r="Z65" s="287">
        <v>17.495975000000001</v>
      </c>
      <c r="AA65" s="287">
        <v>17.492516999999999</v>
      </c>
      <c r="AB65" s="287">
        <v>17.48987</v>
      </c>
      <c r="AC65" s="287">
        <v>17.478798000000001</v>
      </c>
      <c r="AD65" s="287">
        <v>17.460386</v>
      </c>
      <c r="AE65" s="287">
        <v>17.475587999999998</v>
      </c>
      <c r="AF65" s="288">
        <v>2.3800000000000001E-4</v>
      </c>
      <c r="AG65" s="208"/>
      <c r="AH65" s="208"/>
      <c r="AI65" s="208"/>
      <c r="AJ65" s="208"/>
      <c r="AK65" s="208"/>
      <c r="AL65" s="208"/>
      <c r="AM65" s="208"/>
      <c r="AN65" s="208"/>
      <c r="AO65" s="208"/>
      <c r="AP65" s="208"/>
      <c r="AQ65" s="208"/>
      <c r="AR65" s="208"/>
      <c r="AS65" s="208"/>
      <c r="AT65" s="208"/>
      <c r="AU65" s="208"/>
      <c r="AV65" s="208"/>
      <c r="AW65" s="208"/>
      <c r="AX65" s="208"/>
      <c r="AY65" s="208"/>
      <c r="AZ65" s="208"/>
      <c r="BA65" s="208"/>
    </row>
    <row r="66" spans="1:53" ht="15" customHeight="1" x14ac:dyDescent="0.25">
      <c r="A66" s="201"/>
      <c r="B66" s="286" t="s">
        <v>331</v>
      </c>
      <c r="C66" s="287">
        <v>19.658428000000001</v>
      </c>
      <c r="D66" s="287">
        <v>19.547889999999999</v>
      </c>
      <c r="E66" s="287">
        <v>19.530923999999999</v>
      </c>
      <c r="F66" s="287">
        <v>19.656338000000002</v>
      </c>
      <c r="G66" s="287">
        <v>20.110068999999999</v>
      </c>
      <c r="H66" s="287">
        <v>20.518450000000001</v>
      </c>
      <c r="I66" s="287">
        <v>20.575665999999998</v>
      </c>
      <c r="J66" s="287">
        <v>20.0931</v>
      </c>
      <c r="K66" s="287">
        <v>19.986597</v>
      </c>
      <c r="L66" s="287">
        <v>20.045501999999999</v>
      </c>
      <c r="M66" s="287">
        <v>20.072807000000001</v>
      </c>
      <c r="N66" s="287">
        <v>20.139336</v>
      </c>
      <c r="O66" s="287">
        <v>20.012087000000001</v>
      </c>
      <c r="P66" s="287">
        <v>19.954886999999999</v>
      </c>
      <c r="Q66" s="287">
        <v>19.927517000000002</v>
      </c>
      <c r="R66" s="287">
        <v>20.046503000000001</v>
      </c>
      <c r="S66" s="287">
        <v>20.413609999999998</v>
      </c>
      <c r="T66" s="287">
        <v>20.439775000000001</v>
      </c>
      <c r="U66" s="287">
        <v>20.443366999999999</v>
      </c>
      <c r="V66" s="287">
        <v>20.372391</v>
      </c>
      <c r="W66" s="287">
        <v>20.360711999999999</v>
      </c>
      <c r="X66" s="287">
        <v>20.399227</v>
      </c>
      <c r="Y66" s="287">
        <v>20.438106999999999</v>
      </c>
      <c r="Z66" s="287">
        <v>20.498695000000001</v>
      </c>
      <c r="AA66" s="287">
        <v>20.521355</v>
      </c>
      <c r="AB66" s="287">
        <v>20.524982000000001</v>
      </c>
      <c r="AC66" s="287">
        <v>20.513655</v>
      </c>
      <c r="AD66" s="287">
        <v>20.569064999999998</v>
      </c>
      <c r="AE66" s="287">
        <v>20.506568999999999</v>
      </c>
      <c r="AF66" s="288">
        <v>1.5100000000000001E-3</v>
      </c>
      <c r="AG66" s="208"/>
      <c r="AH66" s="208"/>
      <c r="AI66" s="208"/>
      <c r="AJ66" s="208"/>
      <c r="AK66" s="208"/>
      <c r="AL66" s="208"/>
      <c r="AM66" s="208"/>
      <c r="AN66" s="208"/>
      <c r="AO66" s="208"/>
      <c r="AP66" s="208"/>
      <c r="AQ66" s="208"/>
      <c r="AR66" s="208"/>
      <c r="AS66" s="208"/>
      <c r="AT66" s="208"/>
      <c r="AU66" s="208"/>
      <c r="AV66" s="208"/>
      <c r="AW66" s="208"/>
      <c r="AX66" s="208"/>
      <c r="AY66" s="208"/>
      <c r="AZ66" s="208"/>
      <c r="BA66" s="208"/>
    </row>
    <row r="67" spans="1:53" ht="15" customHeight="1" x14ac:dyDescent="0.25">
      <c r="A67" s="201"/>
      <c r="B67" s="286" t="s">
        <v>352</v>
      </c>
      <c r="C67" s="287">
        <v>18.006001000000001</v>
      </c>
      <c r="D67" s="287">
        <v>18.076194999999998</v>
      </c>
      <c r="E67" s="287">
        <v>18.050530999999999</v>
      </c>
      <c r="F67" s="287">
        <v>17.893633000000001</v>
      </c>
      <c r="G67" s="287">
        <v>17.823392999999999</v>
      </c>
      <c r="H67" s="287">
        <v>17.884933</v>
      </c>
      <c r="I67" s="287">
        <v>17.960042999999999</v>
      </c>
      <c r="J67" s="287">
        <v>18.007738</v>
      </c>
      <c r="K67" s="287">
        <v>18.045808999999998</v>
      </c>
      <c r="L67" s="287">
        <v>18.149768999999999</v>
      </c>
      <c r="M67" s="287">
        <v>18.107817000000001</v>
      </c>
      <c r="N67" s="287">
        <v>18.119067999999999</v>
      </c>
      <c r="O67" s="287">
        <v>18.106013999999998</v>
      </c>
      <c r="P67" s="287">
        <v>18.099829</v>
      </c>
      <c r="Q67" s="287">
        <v>18.068781000000001</v>
      </c>
      <c r="R67" s="287">
        <v>17.983764999999998</v>
      </c>
      <c r="S67" s="287">
        <v>17.923839999999998</v>
      </c>
      <c r="T67" s="287">
        <v>17.901513999999999</v>
      </c>
      <c r="U67" s="287">
        <v>17.883970000000001</v>
      </c>
      <c r="V67" s="287">
        <v>17.863047000000002</v>
      </c>
      <c r="W67" s="287">
        <v>17.841540999999999</v>
      </c>
      <c r="X67" s="287">
        <v>17.809853</v>
      </c>
      <c r="Y67" s="287">
        <v>17.789932</v>
      </c>
      <c r="Z67" s="287">
        <v>17.759554000000001</v>
      </c>
      <c r="AA67" s="287">
        <v>17.740721000000001</v>
      </c>
      <c r="AB67" s="287">
        <v>17.717068000000001</v>
      </c>
      <c r="AC67" s="287">
        <v>17.692871</v>
      </c>
      <c r="AD67" s="287">
        <v>17.692043000000002</v>
      </c>
      <c r="AE67" s="287">
        <v>17.690735</v>
      </c>
      <c r="AF67" s="288">
        <v>-6.3100000000000005E-4</v>
      </c>
      <c r="AG67" s="208"/>
      <c r="AH67" s="208"/>
      <c r="AI67" s="208"/>
      <c r="AJ67" s="208"/>
      <c r="AK67" s="208"/>
      <c r="AL67" s="208"/>
      <c r="AM67" s="208"/>
      <c r="AN67" s="208"/>
      <c r="AO67" s="208"/>
      <c r="AP67" s="208"/>
      <c r="AQ67" s="208"/>
      <c r="AR67" s="208"/>
      <c r="AS67" s="208"/>
      <c r="AT67" s="208"/>
      <c r="AU67" s="208"/>
      <c r="AV67" s="208"/>
      <c r="AW67" s="208"/>
      <c r="AX67" s="208"/>
      <c r="AY67" s="208"/>
      <c r="AZ67" s="208"/>
      <c r="BA67" s="208"/>
    </row>
    <row r="68" spans="1:53" ht="15" customHeight="1" x14ac:dyDescent="0.25">
      <c r="A68" s="201"/>
      <c r="B68" s="286" t="s">
        <v>354</v>
      </c>
      <c r="C68" s="287">
        <v>18.783617</v>
      </c>
      <c r="D68" s="287">
        <v>18.841715000000001</v>
      </c>
      <c r="E68" s="287">
        <v>19.240131000000002</v>
      </c>
      <c r="F68" s="287">
        <v>19.234219</v>
      </c>
      <c r="G68" s="287">
        <v>19.213201999999999</v>
      </c>
      <c r="H68" s="287">
        <v>19.209591</v>
      </c>
      <c r="I68" s="287">
        <v>19.205172000000001</v>
      </c>
      <c r="J68" s="287">
        <v>19.192945000000002</v>
      </c>
      <c r="K68" s="287">
        <v>19.182034999999999</v>
      </c>
      <c r="L68" s="287">
        <v>19.171402</v>
      </c>
      <c r="M68" s="287">
        <v>19.160554999999999</v>
      </c>
      <c r="N68" s="287">
        <v>19.138552000000001</v>
      </c>
      <c r="O68" s="287">
        <v>19.129539000000001</v>
      </c>
      <c r="P68" s="287">
        <v>19.110558999999999</v>
      </c>
      <c r="Q68" s="287">
        <v>19.098140999999998</v>
      </c>
      <c r="R68" s="287">
        <v>19.083539999999999</v>
      </c>
      <c r="S68" s="287">
        <v>19.066293999999999</v>
      </c>
      <c r="T68" s="287">
        <v>19.059636999999999</v>
      </c>
      <c r="U68" s="287">
        <v>19.057034999999999</v>
      </c>
      <c r="V68" s="287">
        <v>19.053011000000001</v>
      </c>
      <c r="W68" s="287">
        <v>19.047277000000001</v>
      </c>
      <c r="X68" s="287">
        <v>19.039465</v>
      </c>
      <c r="Y68" s="287">
        <v>19.03443</v>
      </c>
      <c r="Z68" s="287">
        <v>19.027761000000002</v>
      </c>
      <c r="AA68" s="287">
        <v>19.017918000000002</v>
      </c>
      <c r="AB68" s="287">
        <v>19.012091000000002</v>
      </c>
      <c r="AC68" s="287">
        <v>19.021602999999999</v>
      </c>
      <c r="AD68" s="287">
        <v>19.003336000000001</v>
      </c>
      <c r="AE68" s="287">
        <v>18.998145999999998</v>
      </c>
      <c r="AF68" s="288">
        <v>4.06E-4</v>
      </c>
      <c r="AG68" s="208"/>
      <c r="AH68" s="208"/>
      <c r="AI68" s="208"/>
      <c r="AJ68" s="208"/>
      <c r="AK68" s="208"/>
      <c r="AL68" s="208"/>
      <c r="AM68" s="208"/>
      <c r="AN68" s="208"/>
      <c r="AO68" s="208"/>
      <c r="AP68" s="208"/>
      <c r="AQ68" s="208"/>
      <c r="AR68" s="208"/>
      <c r="AS68" s="208"/>
      <c r="AT68" s="208"/>
      <c r="AU68" s="208"/>
      <c r="AV68" s="208"/>
      <c r="AW68" s="208"/>
      <c r="AX68" s="208"/>
      <c r="AY68" s="208"/>
      <c r="AZ68" s="208"/>
      <c r="BA68" s="208"/>
    </row>
    <row r="69" spans="1:53" ht="15" customHeight="1" x14ac:dyDescent="0.25">
      <c r="A69" s="201"/>
      <c r="B69" s="286" t="s">
        <v>356</v>
      </c>
      <c r="C69" s="287">
        <v>28.414657999999999</v>
      </c>
      <c r="D69" s="287">
        <v>28.420496</v>
      </c>
      <c r="E69" s="287">
        <v>28.564053999999999</v>
      </c>
      <c r="F69" s="287">
        <v>28.563306999999998</v>
      </c>
      <c r="G69" s="287">
        <v>28.564709000000001</v>
      </c>
      <c r="H69" s="287">
        <v>28.561665000000001</v>
      </c>
      <c r="I69" s="287">
        <v>28.424852000000001</v>
      </c>
      <c r="J69" s="287">
        <v>28.42708</v>
      </c>
      <c r="K69" s="287">
        <v>28.424327999999999</v>
      </c>
      <c r="L69" s="287">
        <v>28.424634999999999</v>
      </c>
      <c r="M69" s="287">
        <v>28.425567999999998</v>
      </c>
      <c r="N69" s="287">
        <v>28.425659</v>
      </c>
      <c r="O69" s="287">
        <v>28.423475</v>
      </c>
      <c r="P69" s="287">
        <v>28.424204</v>
      </c>
      <c r="Q69" s="287">
        <v>28.424821999999999</v>
      </c>
      <c r="R69" s="287">
        <v>28.423915999999998</v>
      </c>
      <c r="S69" s="287">
        <v>28.423408999999999</v>
      </c>
      <c r="T69" s="287">
        <v>28.418621000000002</v>
      </c>
      <c r="U69" s="287">
        <v>28.418154000000001</v>
      </c>
      <c r="V69" s="287">
        <v>28.416595000000001</v>
      </c>
      <c r="W69" s="287">
        <v>28.418688</v>
      </c>
      <c r="X69" s="287">
        <v>28.417397000000001</v>
      </c>
      <c r="Y69" s="287">
        <v>28.418078999999999</v>
      </c>
      <c r="Z69" s="287">
        <v>28.415937</v>
      </c>
      <c r="AA69" s="287">
        <v>28.41695</v>
      </c>
      <c r="AB69" s="287">
        <v>28.417501000000001</v>
      </c>
      <c r="AC69" s="287">
        <v>28.414228000000001</v>
      </c>
      <c r="AD69" s="287">
        <v>28.414781999999999</v>
      </c>
      <c r="AE69" s="287">
        <v>28.414515000000002</v>
      </c>
      <c r="AF69" s="288">
        <v>0</v>
      </c>
      <c r="AG69" s="208"/>
      <c r="AH69" s="208"/>
      <c r="AI69" s="208"/>
      <c r="AJ69" s="208"/>
      <c r="AK69" s="208"/>
      <c r="AL69" s="208"/>
      <c r="AM69" s="208"/>
      <c r="AN69" s="208"/>
      <c r="AO69" s="208"/>
      <c r="AP69" s="208"/>
      <c r="AQ69" s="208"/>
      <c r="AR69" s="208"/>
      <c r="AS69" s="208"/>
      <c r="AT69" s="208"/>
      <c r="AU69" s="208"/>
      <c r="AV69" s="208"/>
      <c r="AW69" s="208"/>
      <c r="AX69" s="208"/>
      <c r="AY69" s="208"/>
      <c r="AZ69" s="208"/>
      <c r="BA69" s="208"/>
    </row>
    <row r="70" spans="1:53" x14ac:dyDescent="0.25">
      <c r="A70" s="201"/>
      <c r="B70" s="286" t="s">
        <v>358</v>
      </c>
      <c r="C70" s="287">
        <v>19.261752999999999</v>
      </c>
      <c r="D70" s="287">
        <v>19.094007000000001</v>
      </c>
      <c r="E70" s="287">
        <v>19.073429000000001</v>
      </c>
      <c r="F70" s="287">
        <v>19.172198999999999</v>
      </c>
      <c r="G70" s="287">
        <v>19.601582000000001</v>
      </c>
      <c r="H70" s="287">
        <v>19.981221999999999</v>
      </c>
      <c r="I70" s="287">
        <v>19.951308999999998</v>
      </c>
      <c r="J70" s="287">
        <v>19.245697</v>
      </c>
      <c r="K70" s="287">
        <v>19.029951000000001</v>
      </c>
      <c r="L70" s="287">
        <v>19.089005</v>
      </c>
      <c r="M70" s="287">
        <v>19.111488000000001</v>
      </c>
      <c r="N70" s="287">
        <v>19.224411</v>
      </c>
      <c r="O70" s="287">
        <v>19.066448000000001</v>
      </c>
      <c r="P70" s="287">
        <v>19.004940000000001</v>
      </c>
      <c r="Q70" s="287">
        <v>18.968260000000001</v>
      </c>
      <c r="R70" s="287">
        <v>19.093116999999999</v>
      </c>
      <c r="S70" s="287">
        <v>19.521412000000002</v>
      </c>
      <c r="T70" s="287">
        <v>19.550014000000001</v>
      </c>
      <c r="U70" s="287">
        <v>19.53932</v>
      </c>
      <c r="V70" s="287">
        <v>19.461977000000001</v>
      </c>
      <c r="W70" s="287">
        <v>19.446017999999999</v>
      </c>
      <c r="X70" s="287">
        <v>19.485047999999999</v>
      </c>
      <c r="Y70" s="287">
        <v>19.506826</v>
      </c>
      <c r="Z70" s="287">
        <v>19.564098000000001</v>
      </c>
      <c r="AA70" s="287">
        <v>19.57564</v>
      </c>
      <c r="AB70" s="287">
        <v>19.575510000000001</v>
      </c>
      <c r="AC70" s="287">
        <v>19.545100999999999</v>
      </c>
      <c r="AD70" s="287">
        <v>19.618680999999999</v>
      </c>
      <c r="AE70" s="287">
        <v>19.498875000000002</v>
      </c>
      <c r="AF70" s="288">
        <v>4.37E-4</v>
      </c>
      <c r="AG70" s="208"/>
      <c r="AH70" s="208"/>
      <c r="AI70" s="208"/>
      <c r="AJ70" s="208"/>
      <c r="AK70" s="208"/>
      <c r="AL70" s="208"/>
      <c r="AM70" s="208"/>
      <c r="AN70" s="208"/>
      <c r="AO70" s="208"/>
      <c r="AP70" s="208"/>
      <c r="AQ70" s="208"/>
      <c r="AR70" s="208"/>
      <c r="AS70" s="208"/>
      <c r="AT70" s="208"/>
      <c r="AU70" s="208"/>
      <c r="AV70" s="208"/>
      <c r="AW70" s="208"/>
      <c r="AX70" s="208"/>
      <c r="AY70" s="208"/>
      <c r="AZ70" s="208"/>
      <c r="BA70" s="208"/>
    </row>
    <row r="71" spans="1:53" ht="15" customHeight="1" x14ac:dyDescent="0.25">
      <c r="A71" s="201"/>
      <c r="B71" s="286" t="s">
        <v>339</v>
      </c>
      <c r="C71" s="287">
        <v>23.859665</v>
      </c>
      <c r="D71" s="287">
        <v>23.823354999999999</v>
      </c>
      <c r="E71" s="287">
        <v>24.306349000000001</v>
      </c>
      <c r="F71" s="287">
        <v>24.259813000000001</v>
      </c>
      <c r="G71" s="287">
        <v>24.157302999999999</v>
      </c>
      <c r="H71" s="287">
        <v>24.166778999999998</v>
      </c>
      <c r="I71" s="287">
        <v>24.341519999999999</v>
      </c>
      <c r="J71" s="287">
        <v>24.347010000000001</v>
      </c>
      <c r="K71" s="287">
        <v>24.354690999999999</v>
      </c>
      <c r="L71" s="287">
        <v>24.360081000000001</v>
      </c>
      <c r="M71" s="287">
        <v>24.36758</v>
      </c>
      <c r="N71" s="287">
        <v>24.405735</v>
      </c>
      <c r="O71" s="287">
        <v>24.413681</v>
      </c>
      <c r="P71" s="287">
        <v>24.419716000000001</v>
      </c>
      <c r="Q71" s="287">
        <v>24.427009999999999</v>
      </c>
      <c r="R71" s="287">
        <v>24.434260999999999</v>
      </c>
      <c r="S71" s="287">
        <v>24.420539999999999</v>
      </c>
      <c r="T71" s="287">
        <v>24.426120999999998</v>
      </c>
      <c r="U71" s="287">
        <v>24.427451999999999</v>
      </c>
      <c r="V71" s="287">
        <v>24.428066000000001</v>
      </c>
      <c r="W71" s="287">
        <v>24.430658000000001</v>
      </c>
      <c r="X71" s="287">
        <v>24.436260000000001</v>
      </c>
      <c r="Y71" s="287">
        <v>24.411711</v>
      </c>
      <c r="Z71" s="287">
        <v>24.416954</v>
      </c>
      <c r="AA71" s="287">
        <v>24.419678000000001</v>
      </c>
      <c r="AB71" s="287">
        <v>24.413703999999999</v>
      </c>
      <c r="AC71" s="287">
        <v>24.385359000000001</v>
      </c>
      <c r="AD71" s="287">
        <v>24.329633999999999</v>
      </c>
      <c r="AE71" s="287">
        <v>24.333667999999999</v>
      </c>
      <c r="AF71" s="288">
        <v>7.0299999999999996E-4</v>
      </c>
      <c r="AG71" s="208"/>
      <c r="AH71" s="208"/>
      <c r="AI71" s="208"/>
      <c r="AJ71" s="208"/>
      <c r="AK71" s="208"/>
      <c r="AL71" s="208"/>
      <c r="AM71" s="208"/>
      <c r="AN71" s="208"/>
      <c r="AO71" s="208"/>
      <c r="AP71" s="208"/>
      <c r="AQ71" s="208"/>
      <c r="AR71" s="208"/>
      <c r="AS71" s="208"/>
      <c r="AT71" s="208"/>
      <c r="AU71" s="208"/>
      <c r="AV71" s="208"/>
      <c r="AW71" s="208"/>
      <c r="AX71" s="208"/>
      <c r="AY71" s="208"/>
      <c r="AZ71" s="208"/>
      <c r="BA71" s="208"/>
    </row>
    <row r="72" spans="1:53" ht="15" customHeight="1" x14ac:dyDescent="0.25">
      <c r="A72" s="201"/>
      <c r="B72" s="286" t="s">
        <v>341</v>
      </c>
      <c r="C72" s="287">
        <v>25.334827000000001</v>
      </c>
      <c r="D72" s="287">
        <v>25.104583999999999</v>
      </c>
      <c r="E72" s="287">
        <v>25.440268</v>
      </c>
      <c r="F72" s="287">
        <v>25.260694999999998</v>
      </c>
      <c r="G72" s="287">
        <v>24.183857</v>
      </c>
      <c r="H72" s="287">
        <v>24.143476</v>
      </c>
      <c r="I72" s="287">
        <v>24.205839000000001</v>
      </c>
      <c r="J72" s="287">
        <v>24.216169000000001</v>
      </c>
      <c r="K72" s="287">
        <v>24.542210000000001</v>
      </c>
      <c r="L72" s="287">
        <v>24.411135000000002</v>
      </c>
      <c r="M72" s="287">
        <v>24.344087999999999</v>
      </c>
      <c r="N72" s="287">
        <v>24.484596</v>
      </c>
      <c r="O72" s="287">
        <v>24.493072999999999</v>
      </c>
      <c r="P72" s="287">
        <v>24.428740999999999</v>
      </c>
      <c r="Q72" s="287">
        <v>24.565546000000001</v>
      </c>
      <c r="R72" s="287">
        <v>24.314209000000002</v>
      </c>
      <c r="S72" s="287">
        <v>24.333238999999999</v>
      </c>
      <c r="T72" s="287">
        <v>24.333513</v>
      </c>
      <c r="U72" s="287">
        <v>24.421448000000002</v>
      </c>
      <c r="V72" s="287">
        <v>24.449455</v>
      </c>
      <c r="W72" s="287">
        <v>24.400551</v>
      </c>
      <c r="X72" s="287">
        <v>24.57086</v>
      </c>
      <c r="Y72" s="287">
        <v>24.596798</v>
      </c>
      <c r="Z72" s="287">
        <v>24.589790000000001</v>
      </c>
      <c r="AA72" s="287">
        <v>24.643401999999998</v>
      </c>
      <c r="AB72" s="287">
        <v>24.656141000000002</v>
      </c>
      <c r="AC72" s="287">
        <v>24.537496999999998</v>
      </c>
      <c r="AD72" s="287">
        <v>24.472774999999999</v>
      </c>
      <c r="AE72" s="287">
        <v>24.429749000000001</v>
      </c>
      <c r="AF72" s="288">
        <v>-1.2979999999999999E-3</v>
      </c>
      <c r="AG72" s="208"/>
      <c r="AH72" s="208"/>
      <c r="AI72" s="208"/>
      <c r="AJ72" s="208"/>
      <c r="AK72" s="208"/>
      <c r="AL72" s="208"/>
      <c r="AM72" s="208"/>
      <c r="AN72" s="208"/>
      <c r="AO72" s="208"/>
      <c r="AP72" s="208"/>
      <c r="AQ72" s="208"/>
      <c r="AR72" s="208"/>
      <c r="AS72" s="208"/>
      <c r="AT72" s="208"/>
      <c r="AU72" s="208"/>
      <c r="AV72" s="208"/>
      <c r="AW72" s="208"/>
      <c r="AX72" s="208"/>
      <c r="AY72" s="208"/>
      <c r="AZ72" s="208"/>
      <c r="BA72" s="208"/>
    </row>
    <row r="73" spans="1:53" ht="15" customHeight="1" x14ac:dyDescent="0.25">
      <c r="A73" s="201"/>
      <c r="B73" s="286" t="s">
        <v>362</v>
      </c>
      <c r="C73" s="287" t="s">
        <v>635</v>
      </c>
      <c r="D73" s="287" t="s">
        <v>635</v>
      </c>
      <c r="E73" s="287" t="s">
        <v>635</v>
      </c>
      <c r="F73" s="287" t="s">
        <v>635</v>
      </c>
      <c r="G73" s="287" t="s">
        <v>635</v>
      </c>
      <c r="H73" s="287" t="s">
        <v>635</v>
      </c>
      <c r="I73" s="287" t="s">
        <v>635</v>
      </c>
      <c r="J73" s="287" t="s">
        <v>635</v>
      </c>
      <c r="K73" s="287" t="s">
        <v>635</v>
      </c>
      <c r="L73" s="287" t="s">
        <v>635</v>
      </c>
      <c r="M73" s="287" t="s">
        <v>635</v>
      </c>
      <c r="N73" s="287" t="s">
        <v>635</v>
      </c>
      <c r="O73" s="287" t="s">
        <v>635</v>
      </c>
      <c r="P73" s="287" t="s">
        <v>635</v>
      </c>
      <c r="Q73" s="287" t="s">
        <v>635</v>
      </c>
      <c r="R73" s="287" t="s">
        <v>635</v>
      </c>
      <c r="S73" s="287" t="s">
        <v>635</v>
      </c>
      <c r="T73" s="287" t="s">
        <v>635</v>
      </c>
      <c r="U73" s="287" t="s">
        <v>635</v>
      </c>
      <c r="V73" s="287" t="s">
        <v>635</v>
      </c>
      <c r="W73" s="287" t="s">
        <v>635</v>
      </c>
      <c r="X73" s="287" t="s">
        <v>635</v>
      </c>
      <c r="Y73" s="287" t="s">
        <v>635</v>
      </c>
      <c r="Z73" s="287" t="s">
        <v>635</v>
      </c>
      <c r="AA73" s="287" t="s">
        <v>635</v>
      </c>
      <c r="AB73" s="287" t="s">
        <v>635</v>
      </c>
      <c r="AC73" s="287" t="s">
        <v>635</v>
      </c>
      <c r="AD73" s="287" t="s">
        <v>635</v>
      </c>
      <c r="AE73" s="287" t="s">
        <v>635</v>
      </c>
      <c r="AF73" s="288" t="s">
        <v>635</v>
      </c>
      <c r="AG73" s="208" t="s">
        <v>635</v>
      </c>
      <c r="AH73" s="208" t="s">
        <v>635</v>
      </c>
      <c r="AI73" s="208" t="s">
        <v>635</v>
      </c>
      <c r="AJ73" s="208" t="s">
        <v>635</v>
      </c>
      <c r="AK73" s="208" t="s">
        <v>635</v>
      </c>
      <c r="AL73" s="208" t="s">
        <v>635</v>
      </c>
      <c r="AM73" s="208" t="s">
        <v>635</v>
      </c>
      <c r="AN73" s="208" t="s">
        <v>635</v>
      </c>
      <c r="AO73" s="208" t="s">
        <v>635</v>
      </c>
      <c r="AP73" s="208" t="s">
        <v>635</v>
      </c>
      <c r="AQ73" s="208" t="s">
        <v>635</v>
      </c>
      <c r="AR73" s="208" t="s">
        <v>635</v>
      </c>
      <c r="AS73" s="208" t="s">
        <v>635</v>
      </c>
      <c r="AT73" s="208" t="s">
        <v>635</v>
      </c>
      <c r="AU73" s="208" t="s">
        <v>635</v>
      </c>
      <c r="AV73" s="208" t="s">
        <v>635</v>
      </c>
      <c r="AW73" s="208" t="s">
        <v>635</v>
      </c>
      <c r="AX73" s="208" t="s">
        <v>635</v>
      </c>
      <c r="AY73" s="208" t="s">
        <v>635</v>
      </c>
      <c r="AZ73" s="208" t="s">
        <v>635</v>
      </c>
      <c r="BA73" s="208" t="s">
        <v>635</v>
      </c>
    </row>
    <row r="74" spans="1:53" ht="15" customHeight="1" x14ac:dyDescent="0.25">
      <c r="A74" s="201"/>
      <c r="B74" s="286" t="s">
        <v>364</v>
      </c>
      <c r="C74" s="287">
        <v>12.525999000000001</v>
      </c>
      <c r="D74" s="287">
        <v>12.526001000000001</v>
      </c>
      <c r="E74" s="287">
        <v>12.525999000000001</v>
      </c>
      <c r="F74" s="287">
        <v>12.526</v>
      </c>
      <c r="G74" s="287">
        <v>12.526001000000001</v>
      </c>
      <c r="H74" s="287">
        <v>12.526</v>
      </c>
      <c r="I74" s="287">
        <v>12.526</v>
      </c>
      <c r="J74" s="287">
        <v>12.526001000000001</v>
      </c>
      <c r="K74" s="287">
        <v>12.526001000000001</v>
      </c>
      <c r="L74" s="287">
        <v>12.526</v>
      </c>
      <c r="M74" s="287">
        <v>12.526</v>
      </c>
      <c r="N74" s="287">
        <v>12.525999000000001</v>
      </c>
      <c r="O74" s="287">
        <v>12.526</v>
      </c>
      <c r="P74" s="287">
        <v>12.526</v>
      </c>
      <c r="Q74" s="287">
        <v>12.526</v>
      </c>
      <c r="R74" s="287">
        <v>12.526</v>
      </c>
      <c r="S74" s="287">
        <v>12.526</v>
      </c>
      <c r="T74" s="287">
        <v>12.526</v>
      </c>
      <c r="U74" s="287">
        <v>12.526</v>
      </c>
      <c r="V74" s="287">
        <v>12.526</v>
      </c>
      <c r="W74" s="287">
        <v>12.525999000000001</v>
      </c>
      <c r="X74" s="287">
        <v>12.526</v>
      </c>
      <c r="Y74" s="287">
        <v>12.525999000000001</v>
      </c>
      <c r="Z74" s="287">
        <v>12.526</v>
      </c>
      <c r="AA74" s="287">
        <v>12.526001000000001</v>
      </c>
      <c r="AB74" s="287">
        <v>12.526001000000001</v>
      </c>
      <c r="AC74" s="287">
        <v>12.525999000000001</v>
      </c>
      <c r="AD74" s="287">
        <v>12.526001000000001</v>
      </c>
      <c r="AE74" s="287">
        <v>12.526</v>
      </c>
      <c r="AF74" s="288">
        <v>0</v>
      </c>
      <c r="AG74" s="208"/>
      <c r="AH74" s="208"/>
      <c r="AI74" s="208"/>
      <c r="AJ74" s="208"/>
      <c r="AK74" s="208"/>
      <c r="AL74" s="208"/>
      <c r="AM74" s="208"/>
      <c r="AN74" s="208"/>
      <c r="AO74" s="208"/>
      <c r="AP74" s="208"/>
      <c r="AQ74" s="208"/>
      <c r="AR74" s="208"/>
      <c r="AS74" s="208"/>
      <c r="AT74" s="208"/>
      <c r="AU74" s="208"/>
      <c r="AV74" s="208"/>
      <c r="AW74" s="208"/>
      <c r="AX74" s="208"/>
      <c r="AY74" s="208"/>
      <c r="AZ74" s="208"/>
      <c r="BA74" s="208"/>
    </row>
    <row r="75" spans="1:53" ht="15" customHeight="1" x14ac:dyDescent="0.25">
      <c r="B75" s="208"/>
      <c r="C75" s="208"/>
      <c r="D75" s="208"/>
      <c r="E75" s="208"/>
      <c r="F75" s="208"/>
      <c r="G75" s="208"/>
      <c r="H75" s="208"/>
      <c r="I75" s="208"/>
      <c r="J75" s="208"/>
      <c r="K75" s="208"/>
      <c r="L75" s="208"/>
      <c r="M75" s="208"/>
      <c r="N75" s="208"/>
      <c r="O75" s="208"/>
      <c r="P75" s="208"/>
      <c r="Q75" s="208"/>
      <c r="R75" s="208"/>
      <c r="S75" s="208"/>
      <c r="T75" s="208"/>
      <c r="U75" s="208"/>
      <c r="V75" s="208"/>
      <c r="W75" s="208"/>
      <c r="X75" s="208"/>
      <c r="Y75" s="208"/>
      <c r="Z75" s="208"/>
      <c r="AA75" s="208"/>
      <c r="AB75" s="208"/>
      <c r="AC75" s="208"/>
      <c r="AD75" s="208"/>
      <c r="AE75" s="208"/>
      <c r="AF75" s="208"/>
      <c r="AG75" s="208"/>
      <c r="AH75" s="208"/>
      <c r="AI75" s="208"/>
      <c r="AJ75" s="208"/>
      <c r="AK75" s="208"/>
      <c r="AL75" s="208"/>
      <c r="AM75" s="208"/>
      <c r="AN75" s="208"/>
      <c r="AO75" s="208"/>
      <c r="AP75" s="208"/>
      <c r="AQ75" s="208"/>
      <c r="AR75" s="208"/>
      <c r="AS75" s="208"/>
      <c r="AT75" s="208"/>
      <c r="AU75" s="208"/>
      <c r="AV75" s="208"/>
      <c r="AW75" s="208"/>
      <c r="AX75" s="208"/>
      <c r="AY75" s="208"/>
      <c r="AZ75" s="208"/>
      <c r="BA75" s="208"/>
    </row>
    <row r="76" spans="1:53" ht="15" customHeight="1" x14ac:dyDescent="0.25">
      <c r="B76" s="285" t="s">
        <v>602</v>
      </c>
      <c r="C76" s="208"/>
      <c r="D76" s="208"/>
      <c r="E76" s="208"/>
      <c r="F76" s="208"/>
      <c r="G76" s="208"/>
      <c r="H76" s="208"/>
      <c r="I76" s="208"/>
      <c r="J76" s="208"/>
      <c r="K76" s="208"/>
      <c r="L76" s="208"/>
      <c r="M76" s="208"/>
      <c r="N76" s="208"/>
      <c r="O76" s="208"/>
      <c r="P76" s="208"/>
      <c r="Q76" s="208"/>
      <c r="R76" s="208"/>
      <c r="S76" s="208"/>
      <c r="T76" s="208"/>
      <c r="U76" s="208"/>
      <c r="V76" s="208"/>
      <c r="W76" s="208"/>
      <c r="X76" s="208"/>
      <c r="Y76" s="208"/>
      <c r="Z76" s="208"/>
      <c r="AA76" s="208"/>
      <c r="AB76" s="208"/>
      <c r="AC76" s="208"/>
      <c r="AD76" s="208"/>
      <c r="AE76" s="208"/>
      <c r="AF76" s="208"/>
      <c r="AG76" s="208"/>
      <c r="AH76" s="208"/>
      <c r="AI76" s="208"/>
      <c r="AJ76" s="208"/>
      <c r="AK76" s="208"/>
      <c r="AL76" s="208"/>
      <c r="AM76" s="208"/>
      <c r="AN76" s="208"/>
      <c r="AO76" s="208"/>
      <c r="AP76" s="208"/>
      <c r="AQ76" s="208"/>
      <c r="AR76" s="208"/>
      <c r="AS76" s="208"/>
      <c r="AT76" s="208"/>
      <c r="AU76" s="208"/>
      <c r="AV76" s="208"/>
      <c r="AW76" s="208"/>
      <c r="AX76" s="208"/>
      <c r="AY76" s="208"/>
      <c r="AZ76" s="208"/>
      <c r="BA76" s="208"/>
    </row>
    <row r="77" spans="1:53" ht="15" customHeight="1" x14ac:dyDescent="0.25">
      <c r="B77" s="285" t="s">
        <v>603</v>
      </c>
      <c r="C77" s="208"/>
      <c r="D77" s="208"/>
      <c r="E77" s="208"/>
      <c r="F77" s="208"/>
      <c r="G77" s="208"/>
      <c r="H77" s="208"/>
      <c r="I77" s="208"/>
      <c r="J77" s="208"/>
      <c r="K77" s="208"/>
      <c r="L77" s="208"/>
      <c r="M77" s="208"/>
      <c r="N77" s="208"/>
      <c r="O77" s="208"/>
      <c r="P77" s="208"/>
      <c r="Q77" s="208"/>
      <c r="R77" s="208"/>
      <c r="S77" s="208"/>
      <c r="T77" s="208"/>
      <c r="U77" s="208"/>
      <c r="V77" s="208"/>
      <c r="W77" s="208"/>
      <c r="X77" s="208"/>
      <c r="Y77" s="208"/>
      <c r="Z77" s="208"/>
      <c r="AA77" s="208"/>
      <c r="AB77" s="208"/>
      <c r="AC77" s="208"/>
      <c r="AD77" s="208"/>
      <c r="AE77" s="208"/>
      <c r="AF77" s="208"/>
      <c r="AG77" s="208"/>
      <c r="AH77" s="208"/>
      <c r="AI77" s="208"/>
      <c r="AJ77" s="208"/>
      <c r="AK77" s="208"/>
      <c r="AL77" s="208"/>
      <c r="AM77" s="208"/>
      <c r="AN77" s="208"/>
      <c r="AO77" s="208"/>
      <c r="AP77" s="208"/>
      <c r="AQ77" s="208"/>
      <c r="AR77" s="208"/>
      <c r="AS77" s="208"/>
      <c r="AT77" s="208"/>
      <c r="AU77" s="208"/>
      <c r="AV77" s="208"/>
      <c r="AW77" s="208"/>
      <c r="AX77" s="208"/>
      <c r="AY77" s="208"/>
      <c r="AZ77" s="208"/>
      <c r="BA77" s="208"/>
    </row>
    <row r="78" spans="1:53" x14ac:dyDescent="0.25">
      <c r="A78" s="201"/>
      <c r="B78" s="286" t="s">
        <v>604</v>
      </c>
      <c r="C78" s="290">
        <v>3412</v>
      </c>
      <c r="D78" s="290">
        <v>3412</v>
      </c>
      <c r="E78" s="290">
        <v>3412</v>
      </c>
      <c r="F78" s="290">
        <v>3412</v>
      </c>
      <c r="G78" s="290">
        <v>3412</v>
      </c>
      <c r="H78" s="290">
        <v>3412</v>
      </c>
      <c r="I78" s="290">
        <v>3412</v>
      </c>
      <c r="J78" s="290">
        <v>3412</v>
      </c>
      <c r="K78" s="290">
        <v>3412</v>
      </c>
      <c r="L78" s="290">
        <v>3412</v>
      </c>
      <c r="M78" s="290">
        <v>3412</v>
      </c>
      <c r="N78" s="290">
        <v>3412</v>
      </c>
      <c r="O78" s="290">
        <v>3412</v>
      </c>
      <c r="P78" s="290">
        <v>3412</v>
      </c>
      <c r="Q78" s="290">
        <v>3412</v>
      </c>
      <c r="R78" s="290">
        <v>3412</v>
      </c>
      <c r="S78" s="290">
        <v>3412</v>
      </c>
      <c r="T78" s="290">
        <v>3412</v>
      </c>
      <c r="U78" s="290">
        <v>3412</v>
      </c>
      <c r="V78" s="290">
        <v>3412</v>
      </c>
      <c r="W78" s="290">
        <v>3412</v>
      </c>
      <c r="X78" s="290">
        <v>3412</v>
      </c>
      <c r="Y78" s="290">
        <v>3412</v>
      </c>
      <c r="Z78" s="290">
        <v>3412</v>
      </c>
      <c r="AA78" s="290">
        <v>3412</v>
      </c>
      <c r="AB78" s="290">
        <v>3412</v>
      </c>
      <c r="AC78" s="290">
        <v>3412</v>
      </c>
      <c r="AD78" s="290">
        <v>3412</v>
      </c>
      <c r="AE78" s="290">
        <v>3412</v>
      </c>
      <c r="AF78" s="288">
        <v>0</v>
      </c>
      <c r="AG78" s="208"/>
      <c r="AH78" s="208"/>
      <c r="AI78" s="208"/>
      <c r="AJ78" s="208"/>
      <c r="AK78" s="208"/>
      <c r="AL78" s="208"/>
      <c r="AM78" s="208"/>
      <c r="AN78" s="208"/>
      <c r="AO78" s="208"/>
      <c r="AP78" s="208"/>
      <c r="AQ78" s="208"/>
      <c r="AR78" s="208"/>
      <c r="AS78" s="208"/>
      <c r="AT78" s="208"/>
      <c r="AU78" s="208"/>
      <c r="AV78" s="208"/>
      <c r="AW78" s="208"/>
      <c r="AX78" s="208"/>
      <c r="AY78" s="208"/>
      <c r="AZ78" s="208"/>
      <c r="BA78" s="208"/>
    </row>
    <row r="79" spans="1:53" ht="15" customHeight="1" thickBot="1" x14ac:dyDescent="0.3">
      <c r="A79" s="201"/>
      <c r="B79" s="286" t="s">
        <v>606</v>
      </c>
      <c r="C79" s="290">
        <v>8704.7636719999991</v>
      </c>
      <c r="D79" s="290">
        <v>8578.2412110000005</v>
      </c>
      <c r="E79" s="290">
        <v>8637.2558590000008</v>
      </c>
      <c r="F79" s="290">
        <v>8588.453125</v>
      </c>
      <c r="G79" s="290">
        <v>8512.0644530000009</v>
      </c>
      <c r="H79" s="290">
        <v>8435.9892579999996</v>
      </c>
      <c r="I79" s="290">
        <v>8346.515625</v>
      </c>
      <c r="J79" s="290">
        <v>8291.6826170000004</v>
      </c>
      <c r="K79" s="290">
        <v>8261.0888670000004</v>
      </c>
      <c r="L79" s="290">
        <v>8271.4091800000006</v>
      </c>
      <c r="M79" s="290">
        <v>8287.5830079999996</v>
      </c>
      <c r="N79" s="290">
        <v>8311.3779300000006</v>
      </c>
      <c r="O79" s="290">
        <v>8325.2792969999991</v>
      </c>
      <c r="P79" s="290">
        <v>8337.6533199999994</v>
      </c>
      <c r="Q79" s="290">
        <v>8327.5019530000009</v>
      </c>
      <c r="R79" s="290">
        <v>8296.8251949999994</v>
      </c>
      <c r="S79" s="290">
        <v>8242.8730469999991</v>
      </c>
      <c r="T79" s="290">
        <v>8227.1269530000009</v>
      </c>
      <c r="U79" s="290">
        <v>8192.4570309999999</v>
      </c>
      <c r="V79" s="290">
        <v>8198.7402340000008</v>
      </c>
      <c r="W79" s="290">
        <v>8188.8388670000004</v>
      </c>
      <c r="X79" s="290">
        <v>8173.1420900000003</v>
      </c>
      <c r="Y79" s="290">
        <v>8166.9145509999998</v>
      </c>
      <c r="Z79" s="290">
        <v>8150.8017579999996</v>
      </c>
      <c r="AA79" s="290">
        <v>8133.8295900000003</v>
      </c>
      <c r="AB79" s="290">
        <v>8130.3310549999997</v>
      </c>
      <c r="AC79" s="290">
        <v>8101.1708980000003</v>
      </c>
      <c r="AD79" s="290">
        <v>8098.4907229999999</v>
      </c>
      <c r="AE79" s="290">
        <v>8065.7133789999998</v>
      </c>
      <c r="AF79" s="288">
        <v>-2.7190000000000001E-3</v>
      </c>
      <c r="AG79" s="208"/>
      <c r="AH79" s="208"/>
      <c r="AI79" s="208"/>
      <c r="AJ79" s="208"/>
      <c r="AK79" s="208"/>
      <c r="AL79" s="208"/>
      <c r="AM79" s="208"/>
      <c r="AN79" s="208"/>
      <c r="AO79" s="208"/>
      <c r="AP79" s="208"/>
      <c r="AQ79" s="208"/>
      <c r="AR79" s="208"/>
      <c r="AS79" s="208"/>
      <c r="AT79" s="208"/>
      <c r="AU79" s="208"/>
      <c r="AV79" s="208"/>
      <c r="AW79" s="208"/>
      <c r="AX79" s="208"/>
      <c r="AY79" s="208"/>
      <c r="AZ79" s="208"/>
      <c r="BA79" s="208"/>
    </row>
    <row r="80" spans="1:53" ht="15" customHeight="1" x14ac:dyDescent="0.25">
      <c r="B80" s="310" t="s">
        <v>845</v>
      </c>
      <c r="C80" s="308"/>
      <c r="D80" s="308"/>
      <c r="E80" s="308"/>
      <c r="F80" s="308"/>
      <c r="G80" s="308"/>
      <c r="H80" s="308"/>
      <c r="I80" s="308"/>
      <c r="J80" s="308"/>
      <c r="K80" s="308"/>
      <c r="L80" s="308"/>
      <c r="M80" s="308"/>
      <c r="N80" s="308"/>
      <c r="O80" s="308"/>
      <c r="P80" s="308"/>
      <c r="Q80" s="308"/>
      <c r="R80" s="308"/>
      <c r="S80" s="308"/>
      <c r="T80" s="308"/>
      <c r="U80" s="308"/>
      <c r="V80" s="308"/>
      <c r="W80" s="308"/>
      <c r="X80" s="308"/>
      <c r="Y80" s="308"/>
      <c r="Z80" s="308"/>
      <c r="AA80" s="308"/>
      <c r="AB80" s="308"/>
      <c r="AC80" s="308"/>
      <c r="AD80" s="308"/>
      <c r="AE80" s="308"/>
      <c r="AF80" s="308"/>
      <c r="AG80" s="308"/>
      <c r="AH80" s="289"/>
      <c r="AI80" s="208"/>
      <c r="AJ80" s="208"/>
      <c r="AK80" s="208"/>
      <c r="AL80" s="208"/>
      <c r="AM80" s="208"/>
      <c r="AN80" s="208"/>
      <c r="AO80" s="208"/>
      <c r="AP80" s="208"/>
      <c r="AQ80" s="208"/>
      <c r="AR80" s="208"/>
      <c r="AS80" s="208"/>
      <c r="AT80" s="208"/>
      <c r="AU80" s="208"/>
      <c r="AV80" s="208"/>
      <c r="AW80" s="208"/>
      <c r="AX80" s="208"/>
      <c r="AY80" s="208"/>
      <c r="AZ80" s="208"/>
      <c r="BA80" s="208"/>
    </row>
    <row r="81" spans="2:53" ht="15" customHeight="1" x14ac:dyDescent="0.25">
      <c r="B81" s="208" t="s">
        <v>846</v>
      </c>
      <c r="C81" s="208"/>
      <c r="D81" s="208"/>
      <c r="E81" s="208"/>
      <c r="F81" s="208"/>
      <c r="G81" s="208"/>
      <c r="H81" s="208"/>
      <c r="I81" s="208"/>
      <c r="J81" s="208"/>
      <c r="K81" s="208"/>
      <c r="L81" s="208"/>
      <c r="M81" s="208"/>
      <c r="N81" s="208"/>
      <c r="O81" s="208"/>
      <c r="P81" s="208"/>
      <c r="Q81" s="208"/>
      <c r="R81" s="208"/>
      <c r="S81" s="208"/>
      <c r="T81" s="208"/>
      <c r="U81" s="208"/>
      <c r="V81" s="208"/>
      <c r="W81" s="208"/>
      <c r="X81" s="208"/>
      <c r="Y81" s="208"/>
      <c r="Z81" s="208"/>
      <c r="AA81" s="208"/>
      <c r="AB81" s="208"/>
      <c r="AC81" s="208"/>
      <c r="AD81" s="208"/>
      <c r="AE81" s="208"/>
      <c r="AF81" s="208"/>
      <c r="AG81" s="208"/>
      <c r="AH81" s="208"/>
      <c r="AI81" s="208"/>
      <c r="AJ81" s="208"/>
      <c r="AK81" s="208"/>
      <c r="AL81" s="208"/>
      <c r="AM81" s="208"/>
      <c r="AN81" s="208"/>
      <c r="AO81" s="208"/>
      <c r="AP81" s="208"/>
      <c r="AQ81" s="208"/>
      <c r="AR81" s="208"/>
      <c r="AS81" s="208"/>
      <c r="AT81" s="208"/>
      <c r="AU81" s="208"/>
      <c r="AV81" s="208"/>
      <c r="AW81" s="208"/>
      <c r="AX81" s="208"/>
      <c r="AY81" s="208"/>
      <c r="AZ81" s="208"/>
      <c r="BA81" s="208"/>
    </row>
    <row r="82" spans="2:53" ht="15" customHeight="1" x14ac:dyDescent="0.25">
      <c r="B82" s="208" t="s">
        <v>847</v>
      </c>
      <c r="C82" s="208"/>
      <c r="D82" s="208"/>
      <c r="E82" s="208"/>
      <c r="F82" s="208"/>
      <c r="G82" s="208"/>
      <c r="H82" s="208"/>
      <c r="I82" s="208"/>
      <c r="J82" s="208"/>
      <c r="K82" s="208"/>
      <c r="L82" s="208"/>
      <c r="M82" s="208"/>
      <c r="N82" s="208"/>
      <c r="O82" s="208"/>
      <c r="P82" s="208"/>
      <c r="Q82" s="208"/>
      <c r="R82" s="208"/>
      <c r="S82" s="208"/>
      <c r="T82" s="208"/>
      <c r="U82" s="208"/>
      <c r="V82" s="208"/>
      <c r="W82" s="208"/>
      <c r="X82" s="208"/>
      <c r="Y82" s="208"/>
      <c r="Z82" s="208"/>
      <c r="AA82" s="208"/>
      <c r="AB82" s="208"/>
      <c r="AC82" s="208"/>
      <c r="AD82" s="208"/>
      <c r="AE82" s="208"/>
      <c r="AF82" s="208"/>
      <c r="AG82" s="208"/>
      <c r="AH82" s="208"/>
      <c r="AI82" s="208"/>
      <c r="AJ82" s="208"/>
      <c r="AK82" s="208"/>
      <c r="AL82" s="208"/>
      <c r="AM82" s="208"/>
      <c r="AN82" s="208"/>
      <c r="AO82" s="208"/>
      <c r="AP82" s="208"/>
      <c r="AQ82" s="208"/>
      <c r="AR82" s="208"/>
      <c r="AS82" s="208"/>
      <c r="AT82" s="208"/>
      <c r="AU82" s="208"/>
      <c r="AV82" s="208"/>
      <c r="AW82" s="208"/>
      <c r="AX82" s="208"/>
      <c r="AY82" s="208"/>
      <c r="AZ82" s="208"/>
      <c r="BA82" s="208"/>
    </row>
    <row r="83" spans="2:53" ht="15" customHeight="1" x14ac:dyDescent="0.25">
      <c r="B83" s="208" t="s">
        <v>848</v>
      </c>
      <c r="C83" s="208"/>
      <c r="D83" s="208"/>
      <c r="E83" s="208"/>
      <c r="F83" s="208"/>
      <c r="G83" s="208"/>
      <c r="H83" s="208"/>
      <c r="I83" s="208"/>
      <c r="J83" s="208"/>
      <c r="K83" s="208"/>
      <c r="L83" s="208"/>
      <c r="M83" s="208"/>
      <c r="N83" s="208"/>
      <c r="O83" s="208"/>
      <c r="P83" s="208"/>
      <c r="Q83" s="208"/>
      <c r="R83" s="208"/>
      <c r="S83" s="208"/>
      <c r="T83" s="208"/>
      <c r="U83" s="208"/>
      <c r="V83" s="208"/>
      <c r="W83" s="208"/>
      <c r="X83" s="208"/>
      <c r="Y83" s="208"/>
      <c r="Z83" s="208"/>
      <c r="AA83" s="208"/>
      <c r="AB83" s="208"/>
      <c r="AC83" s="208"/>
      <c r="AD83" s="208"/>
      <c r="AE83" s="208"/>
      <c r="AF83" s="208"/>
      <c r="AG83" s="208"/>
      <c r="AH83" s="208"/>
      <c r="AI83" s="208"/>
      <c r="AJ83" s="208"/>
      <c r="AK83" s="208"/>
      <c r="AL83" s="208"/>
      <c r="AM83" s="208"/>
      <c r="AN83" s="208"/>
      <c r="AO83" s="208"/>
      <c r="AP83" s="208"/>
      <c r="AQ83" s="208"/>
      <c r="AR83" s="208"/>
      <c r="AS83" s="208"/>
      <c r="AT83" s="208"/>
      <c r="AU83" s="208"/>
      <c r="AV83" s="208"/>
      <c r="AW83" s="208"/>
      <c r="AX83" s="208"/>
      <c r="AY83" s="208"/>
      <c r="AZ83" s="208"/>
      <c r="BA83" s="208"/>
    </row>
    <row r="84" spans="2:53" x14ac:dyDescent="0.25">
      <c r="B84" s="208" t="s">
        <v>849</v>
      </c>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c r="AA84" s="208"/>
      <c r="AB84" s="208"/>
      <c r="AC84" s="208"/>
      <c r="AD84" s="208"/>
      <c r="AE84" s="208"/>
      <c r="AF84" s="208"/>
      <c r="AG84" s="208"/>
      <c r="AH84" s="208"/>
      <c r="AI84" s="208"/>
      <c r="AJ84" s="208"/>
      <c r="AK84" s="208"/>
      <c r="AL84" s="208"/>
      <c r="AM84" s="208"/>
      <c r="AN84" s="208"/>
      <c r="AO84" s="208"/>
      <c r="AP84" s="208"/>
      <c r="AQ84" s="208"/>
      <c r="AR84" s="208"/>
      <c r="AS84" s="208"/>
      <c r="AT84" s="208"/>
      <c r="AU84" s="208"/>
      <c r="AV84" s="208"/>
      <c r="AW84" s="208"/>
      <c r="AX84" s="208"/>
      <c r="AY84" s="208"/>
      <c r="AZ84" s="208"/>
      <c r="BA84" s="208"/>
    </row>
    <row r="85" spans="2:53" ht="15" customHeight="1" x14ac:dyDescent="0.25">
      <c r="B85" s="208" t="s">
        <v>601</v>
      </c>
      <c r="C85" s="208"/>
      <c r="D85" s="208"/>
      <c r="E85" s="208"/>
      <c r="F85" s="208"/>
      <c r="G85" s="208"/>
      <c r="H85" s="208"/>
      <c r="I85" s="208"/>
      <c r="J85" s="208"/>
      <c r="K85" s="208"/>
      <c r="L85" s="208"/>
      <c r="M85" s="208"/>
      <c r="N85" s="208"/>
      <c r="O85" s="208"/>
      <c r="P85" s="208"/>
      <c r="Q85" s="208"/>
      <c r="R85" s="208"/>
      <c r="S85" s="208"/>
      <c r="T85" s="208"/>
      <c r="U85" s="208"/>
      <c r="V85" s="208"/>
      <c r="W85" s="208"/>
      <c r="X85" s="208"/>
      <c r="Y85" s="208"/>
      <c r="Z85" s="208"/>
      <c r="AA85" s="208"/>
      <c r="AB85" s="208"/>
      <c r="AC85" s="208"/>
      <c r="AD85" s="208"/>
      <c r="AE85" s="208"/>
      <c r="AF85" s="208"/>
      <c r="AG85" s="208"/>
      <c r="AH85" s="208"/>
      <c r="AI85" s="208"/>
      <c r="AJ85" s="208"/>
      <c r="AK85" s="208"/>
      <c r="AL85" s="208"/>
      <c r="AM85" s="208"/>
      <c r="AN85" s="208"/>
      <c r="AO85" s="208"/>
      <c r="AP85" s="208"/>
      <c r="AQ85" s="208"/>
      <c r="AR85" s="208"/>
      <c r="AS85" s="208"/>
      <c r="AT85" s="208"/>
      <c r="AU85" s="208"/>
      <c r="AV85" s="208"/>
      <c r="AW85" s="208"/>
      <c r="AX85" s="208"/>
      <c r="AY85" s="208"/>
      <c r="AZ85" s="208"/>
      <c r="BA85" s="208"/>
    </row>
    <row r="86" spans="2:53" ht="15" customHeight="1" x14ac:dyDescent="0.25">
      <c r="B86" s="208" t="s">
        <v>850</v>
      </c>
      <c r="C86" s="208"/>
      <c r="D86" s="208"/>
      <c r="E86" s="208"/>
      <c r="F86" s="208"/>
      <c r="G86" s="208"/>
      <c r="H86" s="208"/>
      <c r="I86" s="208"/>
      <c r="J86" s="208"/>
      <c r="K86" s="208"/>
      <c r="L86" s="208"/>
      <c r="M86" s="208"/>
      <c r="N86" s="208"/>
      <c r="O86" s="208"/>
      <c r="P86" s="208"/>
      <c r="Q86" s="208"/>
      <c r="R86" s="208"/>
      <c r="S86" s="208"/>
      <c r="T86" s="208"/>
      <c r="U86" s="208"/>
      <c r="V86" s="208"/>
      <c r="W86" s="208"/>
      <c r="X86" s="208"/>
      <c r="Y86" s="208"/>
      <c r="Z86" s="208"/>
      <c r="AA86" s="208"/>
      <c r="AB86" s="208"/>
      <c r="AC86" s="208"/>
      <c r="AD86" s="208"/>
      <c r="AE86" s="208"/>
      <c r="AF86" s="208"/>
      <c r="AG86" s="208"/>
      <c r="AH86" s="208"/>
      <c r="AI86" s="208"/>
      <c r="AJ86" s="208"/>
      <c r="AK86" s="208"/>
      <c r="AL86" s="208"/>
      <c r="AM86" s="208"/>
      <c r="AN86" s="208"/>
      <c r="AO86" s="208"/>
      <c r="AP86" s="208"/>
      <c r="AQ86" s="208"/>
      <c r="AR86" s="208"/>
      <c r="AS86" s="208"/>
      <c r="AT86" s="208"/>
      <c r="AU86" s="208"/>
      <c r="AV86" s="208"/>
      <c r="AW86" s="208"/>
      <c r="AX86" s="208"/>
      <c r="AY86" s="208"/>
      <c r="AZ86" s="208"/>
      <c r="BA86" s="208"/>
    </row>
    <row r="87" spans="2:53" ht="15" customHeight="1" x14ac:dyDescent="0.25">
      <c r="B87" s="208" t="s">
        <v>851</v>
      </c>
      <c r="C87" s="208"/>
      <c r="D87" s="208"/>
      <c r="E87" s="208"/>
      <c r="F87" s="208"/>
      <c r="G87" s="208"/>
      <c r="H87" s="208"/>
      <c r="I87" s="208"/>
      <c r="J87" s="208"/>
      <c r="K87" s="208"/>
      <c r="L87" s="208"/>
      <c r="M87" s="208"/>
      <c r="N87" s="208"/>
      <c r="O87" s="208"/>
      <c r="P87" s="208"/>
      <c r="Q87" s="208"/>
      <c r="R87" s="208"/>
      <c r="S87" s="208"/>
      <c r="T87" s="208"/>
      <c r="U87" s="208"/>
      <c r="V87" s="208"/>
      <c r="W87" s="208"/>
      <c r="X87" s="208"/>
      <c r="Y87" s="208"/>
      <c r="Z87" s="208"/>
      <c r="AA87" s="208"/>
      <c r="AB87" s="208"/>
      <c r="AC87" s="208"/>
      <c r="AD87" s="208"/>
      <c r="AE87" s="208"/>
      <c r="AF87" s="208"/>
      <c r="AG87" s="208"/>
      <c r="AH87" s="208"/>
      <c r="AI87" s="208"/>
      <c r="AJ87" s="208"/>
      <c r="AK87" s="208"/>
      <c r="AL87" s="208"/>
      <c r="AM87" s="208"/>
      <c r="AN87" s="208"/>
      <c r="AO87" s="208"/>
      <c r="AP87" s="208"/>
      <c r="AQ87" s="208"/>
      <c r="AR87" s="208"/>
      <c r="AS87" s="208"/>
      <c r="AT87" s="208"/>
      <c r="AU87" s="208"/>
      <c r="AV87" s="208"/>
      <c r="AW87" s="208"/>
      <c r="AX87" s="208"/>
      <c r="AY87" s="208"/>
      <c r="AZ87" s="208"/>
      <c r="BA87" s="208"/>
    </row>
    <row r="88" spans="2:53" ht="15" customHeight="1" x14ac:dyDescent="0.25">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208"/>
      <c r="AH88" s="208"/>
      <c r="AI88" s="208"/>
      <c r="AJ88" s="208"/>
      <c r="AK88" s="208"/>
      <c r="AL88" s="208"/>
      <c r="AM88" s="208"/>
      <c r="AN88" s="208"/>
      <c r="AO88" s="208"/>
      <c r="AP88" s="208"/>
      <c r="AQ88" s="208"/>
      <c r="AR88" s="208"/>
      <c r="AS88" s="208"/>
      <c r="AT88" s="208"/>
      <c r="AU88" s="208"/>
      <c r="AV88" s="208"/>
      <c r="AW88" s="208"/>
      <c r="AX88" s="208"/>
      <c r="AY88" s="208"/>
      <c r="AZ88" s="208"/>
      <c r="BA88" s="208"/>
    </row>
    <row r="89" spans="2:53" ht="15" customHeight="1" x14ac:dyDescent="0.25">
      <c r="B89" s="208"/>
      <c r="C89" s="208"/>
      <c r="D89" s="208"/>
      <c r="E89" s="208"/>
      <c r="F89" s="208"/>
      <c r="G89" s="208"/>
      <c r="H89" s="208"/>
      <c r="I89" s="208"/>
      <c r="J89" s="208"/>
      <c r="K89" s="208"/>
      <c r="L89" s="208"/>
      <c r="M89" s="208"/>
      <c r="N89" s="208"/>
      <c r="O89" s="208"/>
      <c r="P89" s="208"/>
      <c r="Q89" s="208"/>
      <c r="R89" s="208"/>
      <c r="S89" s="208"/>
      <c r="T89" s="208"/>
      <c r="U89" s="208"/>
      <c r="V89" s="208"/>
      <c r="W89" s="208"/>
      <c r="X89" s="208"/>
      <c r="Y89" s="208"/>
      <c r="Z89" s="208"/>
      <c r="AA89" s="208"/>
      <c r="AB89" s="208"/>
      <c r="AC89" s="208"/>
      <c r="AD89" s="208"/>
      <c r="AE89" s="208"/>
      <c r="AF89" s="208"/>
      <c r="AG89" s="208"/>
      <c r="AH89" s="208"/>
      <c r="AI89" s="208"/>
      <c r="AJ89" s="208"/>
      <c r="AK89" s="208"/>
      <c r="AL89" s="208"/>
      <c r="AM89" s="208"/>
      <c r="AN89" s="208"/>
      <c r="AO89" s="208"/>
      <c r="AP89" s="208"/>
      <c r="AQ89" s="208"/>
      <c r="AR89" s="208"/>
      <c r="AS89" s="208"/>
      <c r="AT89" s="208"/>
      <c r="AU89" s="208"/>
      <c r="AV89" s="208"/>
      <c r="AW89" s="208"/>
      <c r="AX89" s="208"/>
      <c r="AY89" s="208"/>
      <c r="AZ89" s="208"/>
      <c r="BA89" s="208"/>
    </row>
    <row r="90" spans="2:53" ht="15" customHeight="1" x14ac:dyDescent="0.25">
      <c r="B90" s="208"/>
      <c r="C90" s="208"/>
      <c r="D90" s="208"/>
      <c r="E90" s="208"/>
      <c r="F90" s="208"/>
      <c r="G90" s="208"/>
      <c r="H90" s="208"/>
      <c r="I90" s="208"/>
      <c r="J90" s="208"/>
      <c r="K90" s="208"/>
      <c r="L90" s="208"/>
      <c r="M90" s="208"/>
      <c r="N90" s="208"/>
      <c r="O90" s="208"/>
      <c r="P90" s="208"/>
      <c r="Q90" s="208"/>
      <c r="R90" s="208"/>
      <c r="S90" s="208"/>
      <c r="T90" s="208"/>
      <c r="U90" s="208"/>
      <c r="V90" s="208"/>
      <c r="W90" s="208"/>
      <c r="X90" s="208"/>
      <c r="Y90" s="208"/>
      <c r="Z90" s="208"/>
      <c r="AA90" s="208"/>
      <c r="AB90" s="208"/>
      <c r="AC90" s="208"/>
      <c r="AD90" s="208"/>
      <c r="AE90" s="208"/>
      <c r="AF90" s="208"/>
      <c r="AG90" s="208"/>
      <c r="AH90" s="208"/>
      <c r="AI90" s="208"/>
      <c r="AJ90" s="208"/>
      <c r="AK90" s="208"/>
      <c r="AL90" s="208"/>
      <c r="AM90" s="208"/>
      <c r="AN90" s="208"/>
      <c r="AO90" s="208"/>
      <c r="AP90" s="208"/>
      <c r="AQ90" s="208"/>
      <c r="AR90" s="208"/>
      <c r="AS90" s="208"/>
      <c r="AT90" s="208"/>
      <c r="AU90" s="208"/>
      <c r="AV90" s="208"/>
      <c r="AW90" s="208"/>
      <c r="AX90" s="208"/>
      <c r="AY90" s="208"/>
      <c r="AZ90" s="208"/>
      <c r="BA90" s="208"/>
    </row>
    <row r="91" spans="2:53" ht="15" customHeight="1" x14ac:dyDescent="0.25">
      <c r="B91" s="208"/>
      <c r="C91" s="208"/>
      <c r="D91" s="208"/>
      <c r="E91" s="208"/>
      <c r="F91" s="208"/>
      <c r="G91" s="208"/>
      <c r="H91" s="208"/>
      <c r="I91" s="208"/>
      <c r="J91" s="208"/>
      <c r="K91" s="208"/>
      <c r="L91" s="208"/>
      <c r="M91" s="208"/>
      <c r="N91" s="208"/>
      <c r="O91" s="208"/>
      <c r="P91" s="208"/>
      <c r="Q91" s="208"/>
      <c r="R91" s="208"/>
      <c r="S91" s="208"/>
      <c r="T91" s="208"/>
      <c r="U91" s="208"/>
      <c r="V91" s="208"/>
      <c r="W91" s="208"/>
      <c r="X91" s="208"/>
      <c r="Y91" s="208"/>
      <c r="Z91" s="208"/>
      <c r="AA91" s="208"/>
      <c r="AB91" s="208"/>
      <c r="AC91" s="208"/>
      <c r="AD91" s="208"/>
      <c r="AE91" s="208"/>
      <c r="AF91" s="208"/>
      <c r="AG91" s="208"/>
      <c r="AH91" s="208"/>
      <c r="AI91" s="208"/>
      <c r="AJ91" s="208"/>
      <c r="AK91" s="208"/>
      <c r="AL91" s="208"/>
      <c r="AM91" s="208"/>
      <c r="AN91" s="208"/>
      <c r="AO91" s="208"/>
      <c r="AP91" s="208"/>
      <c r="AQ91" s="208"/>
      <c r="AR91" s="208"/>
      <c r="AS91" s="208"/>
      <c r="AT91" s="208"/>
      <c r="AU91" s="208"/>
      <c r="AV91" s="208"/>
      <c r="AW91" s="208"/>
      <c r="AX91" s="208"/>
      <c r="AY91" s="208"/>
      <c r="AZ91" s="208"/>
      <c r="BA91" s="208"/>
    </row>
    <row r="92" spans="2:53" ht="15" customHeight="1" x14ac:dyDescent="0.25">
      <c r="B92" s="208"/>
      <c r="C92" s="208"/>
      <c r="D92" s="208"/>
      <c r="E92" s="208"/>
      <c r="F92" s="208"/>
      <c r="G92" s="208"/>
      <c r="H92" s="208"/>
      <c r="I92" s="208"/>
      <c r="J92" s="208"/>
      <c r="K92" s="208"/>
      <c r="L92" s="208"/>
      <c r="M92" s="208"/>
      <c r="N92" s="208"/>
      <c r="O92" s="208"/>
      <c r="P92" s="208"/>
      <c r="Q92" s="208"/>
      <c r="R92" s="208"/>
      <c r="S92" s="208"/>
      <c r="T92" s="208"/>
      <c r="U92" s="208"/>
      <c r="V92" s="208"/>
      <c r="W92" s="208"/>
      <c r="X92" s="208"/>
      <c r="Y92" s="208"/>
      <c r="Z92" s="208"/>
      <c r="AA92" s="208"/>
      <c r="AB92" s="208"/>
      <c r="AC92" s="208"/>
      <c r="AD92" s="208"/>
      <c r="AE92" s="208"/>
      <c r="AF92" s="208"/>
      <c r="AG92" s="208"/>
      <c r="AH92" s="208"/>
      <c r="AI92" s="208"/>
      <c r="AJ92" s="208"/>
      <c r="AK92" s="208"/>
      <c r="AL92" s="208"/>
      <c r="AM92" s="208"/>
      <c r="AN92" s="208"/>
      <c r="AO92" s="208"/>
      <c r="AP92" s="208"/>
      <c r="AQ92" s="208"/>
      <c r="AR92" s="208"/>
      <c r="AS92" s="208"/>
      <c r="AT92" s="208"/>
      <c r="AU92" s="208"/>
      <c r="AV92" s="208"/>
      <c r="AW92" s="208"/>
      <c r="AX92" s="208"/>
      <c r="AY92" s="208"/>
      <c r="AZ92" s="208"/>
      <c r="BA92" s="208"/>
    </row>
    <row r="93" spans="2:53" ht="15" customHeight="1" x14ac:dyDescent="0.25">
      <c r="B93" s="208"/>
      <c r="C93" s="208"/>
      <c r="D93" s="208"/>
      <c r="E93" s="208"/>
      <c r="F93" s="208"/>
      <c r="G93" s="208"/>
      <c r="H93" s="208"/>
      <c r="I93" s="208"/>
      <c r="J93" s="208"/>
      <c r="K93" s="208"/>
      <c r="L93" s="208"/>
      <c r="M93" s="208"/>
      <c r="N93" s="208"/>
      <c r="O93" s="208"/>
      <c r="P93" s="208"/>
      <c r="Q93" s="208"/>
      <c r="R93" s="208"/>
      <c r="S93" s="208"/>
      <c r="T93" s="208"/>
      <c r="U93" s="208"/>
      <c r="V93" s="208"/>
      <c r="W93" s="208"/>
      <c r="X93" s="208"/>
      <c r="Y93" s="208"/>
      <c r="Z93" s="208"/>
      <c r="AA93" s="208"/>
      <c r="AB93" s="208"/>
      <c r="AC93" s="208"/>
      <c r="AD93" s="208"/>
      <c r="AE93" s="208"/>
      <c r="AF93" s="208"/>
      <c r="AG93" s="208"/>
      <c r="AH93" s="208"/>
      <c r="AI93" s="208"/>
      <c r="AJ93" s="208"/>
      <c r="AK93" s="208"/>
      <c r="AL93" s="208"/>
      <c r="AM93" s="208"/>
      <c r="AN93" s="208"/>
      <c r="AO93" s="208"/>
      <c r="AP93" s="208"/>
      <c r="AQ93" s="208"/>
      <c r="AR93" s="208"/>
      <c r="AS93" s="208"/>
      <c r="AT93" s="208"/>
      <c r="AU93" s="208"/>
      <c r="AV93" s="208"/>
      <c r="AW93" s="208"/>
      <c r="AX93" s="208"/>
      <c r="AY93" s="208"/>
      <c r="AZ93" s="208"/>
      <c r="BA93" s="208"/>
    </row>
    <row r="94" spans="2:53" ht="15" customHeight="1" x14ac:dyDescent="0.25">
      <c r="B94" s="208"/>
      <c r="C94" s="208"/>
      <c r="D94" s="208"/>
      <c r="E94" s="208"/>
      <c r="F94" s="208"/>
      <c r="G94" s="208"/>
      <c r="H94" s="208"/>
      <c r="I94" s="208"/>
      <c r="J94" s="208"/>
      <c r="K94" s="208"/>
      <c r="L94" s="208"/>
      <c r="M94" s="208"/>
      <c r="N94" s="208"/>
      <c r="O94" s="208"/>
      <c r="P94" s="208"/>
      <c r="Q94" s="208"/>
      <c r="R94" s="208"/>
      <c r="S94" s="208"/>
      <c r="T94" s="208"/>
      <c r="U94" s="208"/>
      <c r="V94" s="208"/>
      <c r="W94" s="208"/>
      <c r="X94" s="208"/>
      <c r="Y94" s="208"/>
      <c r="Z94" s="208"/>
      <c r="AA94" s="208"/>
      <c r="AB94" s="208"/>
      <c r="AC94" s="208"/>
      <c r="AD94" s="208"/>
      <c r="AE94" s="208"/>
      <c r="AF94" s="208"/>
      <c r="AG94" s="208"/>
      <c r="AH94" s="208"/>
      <c r="AI94" s="208"/>
      <c r="AJ94" s="208"/>
      <c r="AK94" s="208"/>
      <c r="AL94" s="208"/>
      <c r="AM94" s="208"/>
      <c r="AN94" s="208"/>
      <c r="AO94" s="208"/>
      <c r="AP94" s="208"/>
      <c r="AQ94" s="208"/>
      <c r="AR94" s="208"/>
      <c r="AS94" s="208"/>
      <c r="AT94" s="208"/>
      <c r="AU94" s="208"/>
      <c r="AV94" s="208"/>
      <c r="AW94" s="208"/>
      <c r="AX94" s="208"/>
      <c r="AY94" s="208"/>
      <c r="AZ94" s="208"/>
      <c r="BA94" s="208"/>
    </row>
    <row r="95" spans="2:53" ht="15" customHeight="1" x14ac:dyDescent="0.25">
      <c r="B95" s="208"/>
      <c r="C95" s="208"/>
      <c r="D95" s="208"/>
      <c r="E95" s="208"/>
      <c r="F95" s="208"/>
      <c r="G95" s="208"/>
      <c r="H95" s="208"/>
      <c r="I95" s="208"/>
      <c r="J95" s="208"/>
      <c r="K95" s="208"/>
      <c r="L95" s="208"/>
      <c r="M95" s="208"/>
      <c r="N95" s="208"/>
      <c r="O95" s="208"/>
      <c r="P95" s="208"/>
      <c r="Q95" s="208"/>
      <c r="R95" s="208"/>
      <c r="S95" s="208"/>
      <c r="T95" s="208"/>
      <c r="U95" s="208"/>
      <c r="V95" s="208"/>
      <c r="W95" s="208"/>
      <c r="X95" s="208"/>
      <c r="Y95" s="208"/>
      <c r="Z95" s="208"/>
      <c r="AA95" s="208"/>
      <c r="AB95" s="208"/>
      <c r="AC95" s="208"/>
      <c r="AD95" s="208"/>
      <c r="AE95" s="208"/>
      <c r="AF95" s="208"/>
      <c r="AG95" s="208"/>
      <c r="AH95" s="208"/>
      <c r="AI95" s="208"/>
      <c r="AJ95" s="208"/>
      <c r="AK95" s="208"/>
      <c r="AL95" s="208"/>
      <c r="AM95" s="208"/>
      <c r="AN95" s="208"/>
      <c r="AO95" s="208"/>
      <c r="AP95" s="208"/>
      <c r="AQ95" s="208"/>
      <c r="AR95" s="208"/>
      <c r="AS95" s="208"/>
      <c r="AT95" s="208"/>
      <c r="AU95" s="208"/>
      <c r="AV95" s="208"/>
      <c r="AW95" s="208"/>
      <c r="AX95" s="208"/>
      <c r="AY95" s="208"/>
      <c r="AZ95" s="208"/>
      <c r="BA95" s="208"/>
    </row>
    <row r="96" spans="2:53" ht="15" customHeight="1" x14ac:dyDescent="0.25">
      <c r="B96" s="208"/>
      <c r="C96" s="208"/>
      <c r="D96" s="208"/>
      <c r="E96" s="208"/>
      <c r="F96" s="208"/>
      <c r="G96" s="208"/>
      <c r="H96" s="208"/>
      <c r="I96" s="208"/>
      <c r="J96" s="208"/>
      <c r="K96" s="208"/>
      <c r="L96" s="208"/>
      <c r="M96" s="208"/>
      <c r="N96" s="208"/>
      <c r="O96" s="208"/>
      <c r="P96" s="208"/>
      <c r="Q96" s="208"/>
      <c r="R96" s="208"/>
      <c r="S96" s="208"/>
      <c r="T96" s="208"/>
      <c r="U96" s="208"/>
      <c r="V96" s="208"/>
      <c r="W96" s="208"/>
      <c r="X96" s="208"/>
      <c r="Y96" s="208"/>
      <c r="Z96" s="208"/>
      <c r="AA96" s="208"/>
      <c r="AB96" s="208"/>
      <c r="AC96" s="208"/>
      <c r="AD96" s="208"/>
      <c r="AE96" s="208"/>
      <c r="AF96" s="208"/>
      <c r="AG96" s="208"/>
      <c r="AH96" s="208"/>
      <c r="AI96" s="208"/>
      <c r="AJ96" s="208"/>
      <c r="AK96" s="208"/>
      <c r="AL96" s="208"/>
      <c r="AM96" s="208"/>
      <c r="AN96" s="208"/>
      <c r="AO96" s="208"/>
      <c r="AP96" s="208"/>
      <c r="AQ96" s="208"/>
      <c r="AR96" s="208"/>
      <c r="AS96" s="208"/>
      <c r="AT96" s="208"/>
      <c r="AU96" s="208"/>
      <c r="AV96" s="208"/>
      <c r="AW96" s="208"/>
      <c r="AX96" s="208"/>
      <c r="AY96" s="208"/>
      <c r="AZ96" s="208"/>
      <c r="BA96" s="208"/>
    </row>
    <row r="97" spans="2:53" ht="15" customHeight="1" x14ac:dyDescent="0.25">
      <c r="B97" s="208"/>
      <c r="C97" s="208"/>
      <c r="D97" s="208"/>
      <c r="E97" s="208"/>
      <c r="F97" s="208"/>
      <c r="G97" s="208"/>
      <c r="H97" s="208"/>
      <c r="I97" s="208"/>
      <c r="J97" s="208"/>
      <c r="K97" s="208"/>
      <c r="L97" s="208"/>
      <c r="M97" s="208"/>
      <c r="N97" s="208"/>
      <c r="O97" s="208"/>
      <c r="P97" s="208"/>
      <c r="Q97" s="208"/>
      <c r="R97" s="208"/>
      <c r="S97" s="208"/>
      <c r="T97" s="208"/>
      <c r="U97" s="208"/>
      <c r="V97" s="208"/>
      <c r="W97" s="208"/>
      <c r="X97" s="208"/>
      <c r="Y97" s="208"/>
      <c r="Z97" s="208"/>
      <c r="AA97" s="208"/>
      <c r="AB97" s="208"/>
      <c r="AC97" s="208"/>
      <c r="AD97" s="208"/>
      <c r="AE97" s="208"/>
      <c r="AF97" s="208"/>
      <c r="AG97" s="208"/>
      <c r="AH97" s="208"/>
      <c r="AI97" s="208"/>
      <c r="AJ97" s="208"/>
      <c r="AK97" s="208"/>
      <c r="AL97" s="208"/>
      <c r="AM97" s="208"/>
      <c r="AN97" s="208"/>
      <c r="AO97" s="208"/>
      <c r="AP97" s="208"/>
      <c r="AQ97" s="208"/>
      <c r="AR97" s="208"/>
      <c r="AS97" s="208"/>
      <c r="AT97" s="208"/>
      <c r="AU97" s="208"/>
      <c r="AV97" s="208"/>
      <c r="AW97" s="208"/>
      <c r="AX97" s="208"/>
      <c r="AY97" s="208"/>
      <c r="AZ97" s="208"/>
      <c r="BA97" s="208"/>
    </row>
    <row r="98" spans="2:53" ht="15" customHeight="1" x14ac:dyDescent="0.25">
      <c r="B98" s="208"/>
      <c r="C98" s="208"/>
      <c r="D98" s="208"/>
      <c r="E98" s="208"/>
      <c r="F98" s="208"/>
      <c r="G98" s="208"/>
      <c r="H98" s="208"/>
      <c r="I98" s="208"/>
      <c r="J98" s="208"/>
      <c r="K98" s="208"/>
      <c r="L98" s="208"/>
      <c r="M98" s="208"/>
      <c r="N98" s="208"/>
      <c r="O98" s="208"/>
      <c r="P98" s="208"/>
      <c r="Q98" s="208"/>
      <c r="R98" s="208"/>
      <c r="S98" s="208"/>
      <c r="T98" s="208"/>
      <c r="U98" s="208"/>
      <c r="V98" s="208"/>
      <c r="W98" s="208"/>
      <c r="X98" s="208"/>
      <c r="Y98" s="208"/>
      <c r="Z98" s="208"/>
      <c r="AA98" s="208"/>
      <c r="AB98" s="208"/>
      <c r="AC98" s="208"/>
      <c r="AD98" s="208"/>
      <c r="AE98" s="208"/>
      <c r="AF98" s="208"/>
      <c r="AG98" s="208"/>
      <c r="AH98" s="208"/>
      <c r="AI98" s="208"/>
      <c r="AJ98" s="208"/>
      <c r="AK98" s="208"/>
      <c r="AL98" s="208"/>
      <c r="AM98" s="208"/>
      <c r="AN98" s="208"/>
      <c r="AO98" s="208"/>
      <c r="AP98" s="208"/>
      <c r="AQ98" s="208"/>
      <c r="AR98" s="208"/>
      <c r="AS98" s="208"/>
      <c r="AT98" s="208"/>
      <c r="AU98" s="208"/>
      <c r="AV98" s="208"/>
      <c r="AW98" s="208"/>
      <c r="AX98" s="208"/>
      <c r="AY98" s="208"/>
      <c r="AZ98" s="208"/>
      <c r="BA98" s="208"/>
    </row>
    <row r="99" spans="2:53" ht="15" customHeight="1" x14ac:dyDescent="0.25">
      <c r="B99" s="208"/>
      <c r="C99" s="208"/>
      <c r="D99" s="208"/>
      <c r="E99" s="208"/>
      <c r="F99" s="208"/>
      <c r="G99" s="208"/>
      <c r="H99" s="208"/>
      <c r="I99" s="208"/>
      <c r="J99" s="208"/>
      <c r="K99" s="208"/>
      <c r="L99" s="208"/>
      <c r="M99" s="208"/>
      <c r="N99" s="208"/>
      <c r="O99" s="208"/>
      <c r="P99" s="208"/>
      <c r="Q99" s="208"/>
      <c r="R99" s="208"/>
      <c r="S99" s="208"/>
      <c r="T99" s="208"/>
      <c r="U99" s="208"/>
      <c r="V99" s="208"/>
      <c r="W99" s="208"/>
      <c r="X99" s="208"/>
      <c r="Y99" s="208"/>
      <c r="Z99" s="208"/>
      <c r="AA99" s="208"/>
      <c r="AB99" s="208"/>
      <c r="AC99" s="208"/>
      <c r="AD99" s="208"/>
      <c r="AE99" s="208"/>
      <c r="AF99" s="208"/>
      <c r="AG99" s="208"/>
      <c r="AH99" s="208"/>
      <c r="AI99" s="208"/>
      <c r="AJ99" s="208"/>
      <c r="AK99" s="208"/>
      <c r="AL99" s="208"/>
      <c r="AM99" s="208"/>
      <c r="AN99" s="208"/>
      <c r="AO99" s="208"/>
      <c r="AP99" s="208"/>
      <c r="AQ99" s="208"/>
      <c r="AR99" s="208"/>
      <c r="AS99" s="208"/>
      <c r="AT99" s="208"/>
      <c r="AU99" s="208"/>
      <c r="AV99" s="208"/>
      <c r="AW99" s="208"/>
      <c r="AX99" s="208"/>
      <c r="AY99" s="208"/>
      <c r="AZ99" s="208"/>
      <c r="BA99" s="208"/>
    </row>
    <row r="100" spans="2:53" ht="15" customHeight="1" x14ac:dyDescent="0.25">
      <c r="B100" s="208"/>
      <c r="C100" s="208"/>
      <c r="D100" s="208"/>
      <c r="E100" s="208"/>
      <c r="F100" s="208"/>
      <c r="G100" s="208"/>
      <c r="H100" s="208"/>
      <c r="I100" s="208"/>
      <c r="J100" s="208"/>
      <c r="K100" s="208"/>
      <c r="L100" s="208"/>
      <c r="M100" s="208"/>
      <c r="N100" s="208"/>
      <c r="O100" s="208"/>
      <c r="P100" s="208"/>
      <c r="Q100" s="208"/>
      <c r="R100" s="208"/>
      <c r="S100" s="208"/>
      <c r="T100" s="208"/>
      <c r="U100" s="208"/>
      <c r="V100" s="208"/>
      <c r="W100" s="208"/>
      <c r="X100" s="208"/>
      <c r="Y100" s="208"/>
      <c r="Z100" s="208"/>
      <c r="AA100" s="208"/>
      <c r="AB100" s="208"/>
      <c r="AC100" s="208"/>
      <c r="AD100" s="208"/>
      <c r="AE100" s="208"/>
      <c r="AF100" s="208"/>
      <c r="AG100" s="208"/>
      <c r="AH100" s="208"/>
      <c r="AI100" s="208"/>
      <c r="AJ100" s="208"/>
      <c r="AK100" s="208"/>
      <c r="AL100" s="208"/>
      <c r="AM100" s="208"/>
      <c r="AN100" s="208"/>
      <c r="AO100" s="208"/>
      <c r="AP100" s="208"/>
      <c r="AQ100" s="208"/>
      <c r="AR100" s="208"/>
      <c r="AS100" s="208"/>
      <c r="AT100" s="208"/>
      <c r="AU100" s="208"/>
      <c r="AV100" s="208"/>
      <c r="AW100" s="208"/>
      <c r="AX100" s="208"/>
      <c r="AY100" s="208"/>
      <c r="AZ100" s="208"/>
      <c r="BA100" s="208"/>
    </row>
    <row r="101" spans="2:53" ht="15" customHeight="1" x14ac:dyDescent="0.25">
      <c r="B101" s="208"/>
      <c r="C101" s="208"/>
      <c r="D101" s="208"/>
      <c r="E101" s="208"/>
      <c r="F101" s="208"/>
      <c r="G101" s="208"/>
      <c r="H101" s="208"/>
      <c r="I101" s="208"/>
      <c r="J101" s="208"/>
      <c r="K101" s="208"/>
      <c r="L101" s="208"/>
      <c r="M101" s="208"/>
      <c r="N101" s="208"/>
      <c r="O101" s="208"/>
      <c r="P101" s="208"/>
      <c r="Q101" s="208"/>
      <c r="R101" s="208"/>
      <c r="S101" s="208"/>
      <c r="T101" s="208"/>
      <c r="U101" s="208"/>
      <c r="V101" s="208"/>
      <c r="W101" s="208"/>
      <c r="X101" s="208"/>
      <c r="Y101" s="208"/>
      <c r="Z101" s="208"/>
      <c r="AA101" s="208"/>
      <c r="AB101" s="208"/>
      <c r="AC101" s="208"/>
      <c r="AD101" s="208"/>
      <c r="AE101" s="208"/>
      <c r="AF101" s="208"/>
      <c r="AG101" s="208"/>
      <c r="AH101" s="208"/>
      <c r="AI101" s="208"/>
      <c r="AJ101" s="208"/>
      <c r="AK101" s="208"/>
      <c r="AL101" s="208"/>
      <c r="AM101" s="208"/>
      <c r="AN101" s="208"/>
      <c r="AO101" s="208"/>
      <c r="AP101" s="208"/>
      <c r="AQ101" s="208"/>
      <c r="AR101" s="208"/>
      <c r="AS101" s="208"/>
      <c r="AT101" s="208"/>
      <c r="AU101" s="208"/>
      <c r="AV101" s="208"/>
      <c r="AW101" s="208"/>
      <c r="AX101" s="208"/>
      <c r="AY101" s="208"/>
      <c r="AZ101" s="208"/>
      <c r="BA101" s="208"/>
    </row>
    <row r="102" spans="2:53" ht="15" customHeight="1" x14ac:dyDescent="0.25">
      <c r="B102" s="208"/>
      <c r="C102" s="208"/>
      <c r="D102" s="208"/>
      <c r="E102" s="208"/>
      <c r="F102" s="208"/>
      <c r="G102" s="208"/>
      <c r="H102" s="208"/>
      <c r="I102" s="208"/>
      <c r="J102" s="208"/>
      <c r="K102" s="208"/>
      <c r="L102" s="208"/>
      <c r="M102" s="208"/>
      <c r="N102" s="208"/>
      <c r="O102" s="208"/>
      <c r="P102" s="208"/>
      <c r="Q102" s="208"/>
      <c r="R102" s="208"/>
      <c r="S102" s="208"/>
      <c r="T102" s="208"/>
      <c r="U102" s="208"/>
      <c r="V102" s="208"/>
      <c r="W102" s="208"/>
      <c r="X102" s="208"/>
      <c r="Y102" s="208"/>
      <c r="Z102" s="208"/>
      <c r="AA102" s="208"/>
      <c r="AB102" s="208"/>
      <c r="AC102" s="208"/>
      <c r="AD102" s="208"/>
      <c r="AE102" s="208"/>
      <c r="AF102" s="208"/>
      <c r="AG102" s="208"/>
      <c r="AH102" s="208"/>
      <c r="AI102" s="208"/>
      <c r="AJ102" s="208"/>
      <c r="AK102" s="208"/>
      <c r="AL102" s="208"/>
      <c r="AM102" s="208"/>
      <c r="AN102" s="208"/>
      <c r="AO102" s="208"/>
      <c r="AP102" s="208"/>
      <c r="AQ102" s="208"/>
      <c r="AR102" s="208"/>
      <c r="AS102" s="208"/>
      <c r="AT102" s="208"/>
      <c r="AU102" s="208"/>
      <c r="AV102" s="208"/>
      <c r="AW102" s="208"/>
      <c r="AX102" s="208"/>
      <c r="AY102" s="208"/>
      <c r="AZ102" s="208"/>
      <c r="BA102" s="208"/>
    </row>
    <row r="103" spans="2:53" ht="15" customHeight="1" x14ac:dyDescent="0.25">
      <c r="B103" s="208"/>
      <c r="C103" s="208"/>
      <c r="D103" s="208"/>
      <c r="E103" s="208"/>
      <c r="F103" s="208"/>
      <c r="G103" s="208"/>
      <c r="H103" s="208"/>
      <c r="I103" s="208"/>
      <c r="J103" s="208"/>
      <c r="K103" s="208"/>
      <c r="L103" s="208"/>
      <c r="M103" s="208"/>
      <c r="N103" s="208"/>
      <c r="O103" s="208"/>
      <c r="P103" s="208"/>
      <c r="Q103" s="208"/>
      <c r="R103" s="208"/>
      <c r="S103" s="208"/>
      <c r="T103" s="208"/>
      <c r="U103" s="208"/>
      <c r="V103" s="208"/>
      <c r="W103" s="208"/>
      <c r="X103" s="208"/>
      <c r="Y103" s="208"/>
      <c r="Z103" s="208"/>
      <c r="AA103" s="208"/>
      <c r="AB103" s="208"/>
      <c r="AC103" s="208"/>
      <c r="AD103" s="208"/>
      <c r="AE103" s="208"/>
      <c r="AF103" s="208"/>
      <c r="AG103" s="208"/>
      <c r="AH103" s="208"/>
      <c r="AI103" s="208"/>
      <c r="AJ103" s="208"/>
      <c r="AK103" s="208"/>
      <c r="AL103" s="208"/>
      <c r="AM103" s="208"/>
      <c r="AN103" s="208"/>
      <c r="AO103" s="208"/>
      <c r="AP103" s="208"/>
      <c r="AQ103" s="208"/>
      <c r="AR103" s="208"/>
      <c r="AS103" s="208"/>
      <c r="AT103" s="208"/>
      <c r="AU103" s="208"/>
      <c r="AV103" s="208"/>
      <c r="AW103" s="208"/>
      <c r="AX103" s="208"/>
      <c r="AY103" s="208"/>
      <c r="AZ103" s="208"/>
      <c r="BA103" s="208"/>
    </row>
    <row r="104" spans="2:53" ht="15" customHeight="1" x14ac:dyDescent="0.25">
      <c r="B104" s="208"/>
      <c r="C104" s="208"/>
      <c r="D104" s="208"/>
      <c r="E104" s="208"/>
      <c r="F104" s="208"/>
      <c r="G104" s="208"/>
      <c r="H104" s="208"/>
      <c r="I104" s="208"/>
      <c r="J104" s="208"/>
      <c r="K104" s="208"/>
      <c r="L104" s="208"/>
      <c r="M104" s="208"/>
      <c r="N104" s="208"/>
      <c r="O104" s="208"/>
      <c r="P104" s="208"/>
      <c r="Q104" s="208"/>
      <c r="R104" s="208"/>
      <c r="S104" s="208"/>
      <c r="T104" s="208"/>
      <c r="U104" s="208"/>
      <c r="V104" s="208"/>
      <c r="W104" s="208"/>
      <c r="X104" s="208"/>
      <c r="Y104" s="208"/>
      <c r="Z104" s="208"/>
      <c r="AA104" s="208"/>
      <c r="AB104" s="208"/>
      <c r="AC104" s="208"/>
      <c r="AD104" s="208"/>
      <c r="AE104" s="208"/>
      <c r="AF104" s="208"/>
      <c r="AG104" s="208"/>
      <c r="AH104" s="208"/>
      <c r="AI104" s="208"/>
      <c r="AJ104" s="208"/>
      <c r="AK104" s="208"/>
      <c r="AL104" s="208"/>
      <c r="AM104" s="208"/>
      <c r="AN104" s="208"/>
      <c r="AO104" s="208"/>
      <c r="AP104" s="208"/>
      <c r="AQ104" s="208"/>
      <c r="AR104" s="208"/>
      <c r="AS104" s="208"/>
      <c r="AT104" s="208"/>
      <c r="AU104" s="208"/>
      <c r="AV104" s="208"/>
      <c r="AW104" s="208"/>
      <c r="AX104" s="208"/>
      <c r="AY104" s="208"/>
      <c r="AZ104" s="208"/>
      <c r="BA104" s="208"/>
    </row>
    <row r="105" spans="2:53" ht="15" customHeight="1" x14ac:dyDescent="0.25">
      <c r="B105" s="208"/>
      <c r="C105" s="208"/>
      <c r="D105" s="208"/>
      <c r="E105" s="208"/>
      <c r="F105" s="208"/>
      <c r="G105" s="208"/>
      <c r="H105" s="208"/>
      <c r="I105" s="208"/>
      <c r="J105" s="208"/>
      <c r="K105" s="208"/>
      <c r="L105" s="208"/>
      <c r="M105" s="208"/>
      <c r="N105" s="208"/>
      <c r="O105" s="208"/>
      <c r="P105" s="208"/>
      <c r="Q105" s="208"/>
      <c r="R105" s="208"/>
      <c r="S105" s="208"/>
      <c r="T105" s="208"/>
      <c r="U105" s="208"/>
      <c r="V105" s="208"/>
      <c r="W105" s="208"/>
      <c r="X105" s="208"/>
      <c r="Y105" s="208"/>
      <c r="Z105" s="208"/>
      <c r="AA105" s="208"/>
      <c r="AB105" s="208"/>
      <c r="AC105" s="208"/>
      <c r="AD105" s="208"/>
      <c r="AE105" s="208"/>
      <c r="AF105" s="208"/>
      <c r="AG105" s="208"/>
      <c r="AH105" s="208"/>
      <c r="AI105" s="208"/>
      <c r="AJ105" s="208"/>
      <c r="AK105" s="208"/>
      <c r="AL105" s="208"/>
      <c r="AM105" s="208"/>
      <c r="AN105" s="208"/>
      <c r="AO105" s="208"/>
      <c r="AP105" s="208"/>
      <c r="AQ105" s="208"/>
      <c r="AR105" s="208"/>
      <c r="AS105" s="208"/>
      <c r="AT105" s="208"/>
      <c r="AU105" s="208"/>
      <c r="AV105" s="208"/>
      <c r="AW105" s="208"/>
      <c r="AX105" s="208"/>
      <c r="AY105" s="208"/>
      <c r="AZ105" s="208"/>
      <c r="BA105" s="208"/>
    </row>
    <row r="106" spans="2:53" ht="15" customHeight="1" x14ac:dyDescent="0.25">
      <c r="B106" s="208"/>
      <c r="C106" s="208"/>
      <c r="D106" s="208"/>
      <c r="E106" s="208"/>
      <c r="F106" s="208"/>
      <c r="G106" s="208"/>
      <c r="H106" s="208"/>
      <c r="I106" s="208"/>
      <c r="J106" s="208"/>
      <c r="K106" s="208"/>
      <c r="L106" s="208"/>
      <c r="M106" s="208"/>
      <c r="N106" s="208"/>
      <c r="O106" s="208"/>
      <c r="P106" s="208"/>
      <c r="Q106" s="208"/>
      <c r="R106" s="208"/>
      <c r="S106" s="208"/>
      <c r="T106" s="208"/>
      <c r="U106" s="208"/>
      <c r="V106" s="208"/>
      <c r="W106" s="208"/>
      <c r="X106" s="208"/>
      <c r="Y106" s="208"/>
      <c r="Z106" s="208"/>
      <c r="AA106" s="208"/>
      <c r="AB106" s="208"/>
      <c r="AC106" s="208"/>
      <c r="AD106" s="208"/>
      <c r="AE106" s="208"/>
      <c r="AF106" s="208"/>
      <c r="AG106" s="208"/>
      <c r="AH106" s="208"/>
      <c r="AI106" s="208"/>
      <c r="AJ106" s="208"/>
      <c r="AK106" s="208"/>
      <c r="AL106" s="208"/>
      <c r="AM106" s="208"/>
      <c r="AN106" s="208"/>
      <c r="AO106" s="208"/>
      <c r="AP106" s="208"/>
      <c r="AQ106" s="208"/>
      <c r="AR106" s="208"/>
      <c r="AS106" s="208"/>
      <c r="AT106" s="208"/>
      <c r="AU106" s="208"/>
      <c r="AV106" s="208"/>
      <c r="AW106" s="208"/>
      <c r="AX106" s="208"/>
      <c r="AY106" s="208"/>
      <c r="AZ106" s="208"/>
      <c r="BA106" s="208"/>
    </row>
    <row r="107" spans="2:53" ht="15" customHeight="1" x14ac:dyDescent="0.25">
      <c r="B107" s="208"/>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208"/>
      <c r="AH107" s="208"/>
      <c r="AI107" s="208"/>
      <c r="AJ107" s="208"/>
      <c r="AK107" s="208"/>
      <c r="AL107" s="208"/>
      <c r="AM107" s="208"/>
      <c r="AN107" s="208"/>
      <c r="AO107" s="208"/>
      <c r="AP107" s="208"/>
      <c r="AQ107" s="208"/>
      <c r="AR107" s="208"/>
      <c r="AS107" s="208"/>
      <c r="AT107" s="208"/>
      <c r="AU107" s="208"/>
      <c r="AV107" s="208"/>
      <c r="AW107" s="208"/>
      <c r="AX107" s="208"/>
      <c r="AY107" s="208"/>
      <c r="AZ107" s="208"/>
      <c r="BA107" s="208"/>
    </row>
    <row r="108" spans="2:53" ht="15" customHeight="1" x14ac:dyDescent="0.25">
      <c r="B108" s="208"/>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208"/>
      <c r="AH108" s="208"/>
      <c r="AI108" s="208"/>
      <c r="AJ108" s="208"/>
      <c r="AK108" s="208"/>
      <c r="AL108" s="208"/>
      <c r="AM108" s="208"/>
      <c r="AN108" s="208"/>
      <c r="AO108" s="208"/>
      <c r="AP108" s="208"/>
      <c r="AQ108" s="208"/>
      <c r="AR108" s="208"/>
      <c r="AS108" s="208"/>
      <c r="AT108" s="208"/>
      <c r="AU108" s="208"/>
      <c r="AV108" s="208"/>
      <c r="AW108" s="208"/>
      <c r="AX108" s="208"/>
      <c r="AY108" s="208"/>
      <c r="AZ108" s="208"/>
      <c r="BA108" s="208"/>
    </row>
    <row r="109" spans="2:53" ht="15" customHeight="1" x14ac:dyDescent="0.25">
      <c r="B109" s="208"/>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208"/>
      <c r="AH109" s="208"/>
      <c r="AI109" s="208"/>
      <c r="AJ109" s="208"/>
      <c r="AK109" s="208"/>
      <c r="AL109" s="208"/>
      <c r="AM109" s="208"/>
      <c r="AN109" s="208"/>
      <c r="AO109" s="208"/>
      <c r="AP109" s="208"/>
      <c r="AQ109" s="208"/>
      <c r="AR109" s="208"/>
      <c r="AS109" s="208"/>
      <c r="AT109" s="208"/>
      <c r="AU109" s="208"/>
      <c r="AV109" s="208"/>
      <c r="AW109" s="208"/>
      <c r="AX109" s="208"/>
      <c r="AY109" s="208"/>
      <c r="AZ109" s="208"/>
      <c r="BA109" s="208"/>
    </row>
    <row r="110" spans="2:53" ht="15" customHeight="1" x14ac:dyDescent="0.25">
      <c r="B110" s="208"/>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c r="AA110" s="208"/>
      <c r="AB110" s="208"/>
      <c r="AC110" s="208"/>
      <c r="AD110" s="208"/>
      <c r="AE110" s="208"/>
      <c r="AF110" s="208"/>
      <c r="AG110" s="208"/>
      <c r="AH110" s="208"/>
      <c r="AI110" s="208"/>
      <c r="AJ110" s="208"/>
      <c r="AK110" s="208"/>
      <c r="AL110" s="208"/>
      <c r="AM110" s="208"/>
      <c r="AN110" s="208"/>
      <c r="AO110" s="208"/>
      <c r="AP110" s="208"/>
      <c r="AQ110" s="208"/>
      <c r="AR110" s="208"/>
      <c r="AS110" s="208"/>
      <c r="AT110" s="208"/>
      <c r="AU110" s="208"/>
      <c r="AV110" s="208"/>
      <c r="AW110" s="208"/>
      <c r="AX110" s="208"/>
      <c r="AY110" s="208"/>
      <c r="AZ110" s="208"/>
      <c r="BA110" s="208"/>
    </row>
    <row r="111" spans="2:53" ht="15" customHeight="1" x14ac:dyDescent="0.25">
      <c r="B111" s="208"/>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c r="AA111" s="208"/>
      <c r="AB111" s="208"/>
      <c r="AC111" s="208"/>
      <c r="AD111" s="208"/>
      <c r="AE111" s="208"/>
      <c r="AF111" s="208"/>
      <c r="AG111" s="208"/>
      <c r="AH111" s="208"/>
      <c r="AI111" s="208"/>
      <c r="AJ111" s="208"/>
      <c r="AK111" s="208"/>
      <c r="AL111" s="208"/>
      <c r="AM111" s="208"/>
      <c r="AN111" s="208"/>
      <c r="AO111" s="208"/>
      <c r="AP111" s="208"/>
      <c r="AQ111" s="208"/>
      <c r="AR111" s="208"/>
      <c r="AS111" s="208"/>
      <c r="AT111" s="208"/>
      <c r="AU111" s="208"/>
      <c r="AV111" s="208"/>
      <c r="AW111" s="208"/>
      <c r="AX111" s="208"/>
      <c r="AY111" s="208"/>
      <c r="AZ111" s="208"/>
      <c r="BA111" s="208"/>
    </row>
    <row r="112" spans="2:53" ht="15" customHeight="1" x14ac:dyDescent="0.25">
      <c r="B112" s="208"/>
      <c r="C112" s="208"/>
      <c r="D112" s="208"/>
      <c r="E112" s="208"/>
      <c r="F112" s="208"/>
      <c r="G112" s="208"/>
      <c r="H112" s="208"/>
      <c r="I112" s="208"/>
      <c r="J112" s="208"/>
      <c r="K112" s="208"/>
      <c r="L112" s="208"/>
      <c r="M112" s="208"/>
      <c r="N112" s="208"/>
      <c r="O112" s="208"/>
      <c r="P112" s="208"/>
      <c r="Q112" s="208"/>
      <c r="R112" s="208"/>
      <c r="S112" s="208"/>
      <c r="T112" s="208"/>
      <c r="U112" s="208"/>
      <c r="V112" s="208"/>
      <c r="W112" s="208"/>
      <c r="X112" s="208"/>
      <c r="Y112" s="208"/>
      <c r="Z112" s="208"/>
      <c r="AA112" s="208"/>
      <c r="AB112" s="208"/>
      <c r="AC112" s="208"/>
      <c r="AD112" s="208"/>
      <c r="AE112" s="208"/>
      <c r="AF112" s="208"/>
      <c r="AG112" s="208"/>
      <c r="AH112" s="208"/>
      <c r="AI112" s="208"/>
      <c r="AJ112" s="208"/>
      <c r="AK112" s="208"/>
      <c r="AL112" s="208"/>
      <c r="AM112" s="208"/>
      <c r="AN112" s="208"/>
      <c r="AO112" s="208"/>
      <c r="AP112" s="208"/>
      <c r="AQ112" s="208"/>
      <c r="AR112" s="208"/>
      <c r="AS112" s="208"/>
      <c r="AT112" s="208"/>
      <c r="AU112" s="208"/>
      <c r="AV112" s="208"/>
      <c r="AW112" s="208"/>
      <c r="AX112" s="208"/>
      <c r="AY112" s="208"/>
      <c r="AZ112" s="208"/>
      <c r="BA112" s="208"/>
    </row>
    <row r="113" spans="2:53" ht="15" customHeight="1" x14ac:dyDescent="0.25">
      <c r="B113" s="208"/>
      <c r="C113" s="208"/>
      <c r="D113" s="208"/>
      <c r="E113" s="208"/>
      <c r="F113" s="208"/>
      <c r="G113" s="208"/>
      <c r="H113" s="208"/>
      <c r="I113" s="208"/>
      <c r="J113" s="208"/>
      <c r="K113" s="208"/>
      <c r="L113" s="208"/>
      <c r="M113" s="208"/>
      <c r="N113" s="208"/>
      <c r="O113" s="208"/>
      <c r="P113" s="208"/>
      <c r="Q113" s="208"/>
      <c r="R113" s="208"/>
      <c r="S113" s="208"/>
      <c r="T113" s="208"/>
      <c r="U113" s="208"/>
      <c r="V113" s="208"/>
      <c r="W113" s="208"/>
      <c r="X113" s="208"/>
      <c r="Y113" s="208"/>
      <c r="Z113" s="208"/>
      <c r="AA113" s="208"/>
      <c r="AB113" s="208"/>
      <c r="AC113" s="208"/>
      <c r="AD113" s="208"/>
      <c r="AE113" s="208"/>
      <c r="AF113" s="208"/>
      <c r="AG113" s="208"/>
      <c r="AH113" s="208"/>
      <c r="AI113" s="208"/>
      <c r="AJ113" s="208"/>
      <c r="AK113" s="208"/>
      <c r="AL113" s="208"/>
      <c r="AM113" s="208"/>
      <c r="AN113" s="208"/>
      <c r="AO113" s="208"/>
      <c r="AP113" s="208"/>
      <c r="AQ113" s="208"/>
      <c r="AR113" s="208"/>
      <c r="AS113" s="208"/>
      <c r="AT113" s="208"/>
      <c r="AU113" s="208"/>
      <c r="AV113" s="208"/>
      <c r="AW113" s="208"/>
      <c r="AX113" s="208"/>
      <c r="AY113" s="208"/>
      <c r="AZ113" s="208"/>
      <c r="BA113" s="208"/>
    </row>
    <row r="114" spans="2:53" ht="15" customHeight="1" x14ac:dyDescent="0.25">
      <c r="B114" s="208"/>
      <c r="C114" s="208"/>
      <c r="D114" s="208"/>
      <c r="E114" s="208"/>
      <c r="F114" s="208"/>
      <c r="G114" s="208"/>
      <c r="H114" s="208"/>
      <c r="I114" s="208"/>
      <c r="J114" s="208"/>
      <c r="K114" s="208"/>
      <c r="L114" s="208"/>
      <c r="M114" s="208"/>
      <c r="N114" s="208"/>
      <c r="O114" s="208"/>
      <c r="P114" s="208"/>
      <c r="Q114" s="208"/>
      <c r="R114" s="208"/>
      <c r="S114" s="208"/>
      <c r="T114" s="208"/>
      <c r="U114" s="208"/>
      <c r="V114" s="208"/>
      <c r="W114" s="208"/>
      <c r="X114" s="208"/>
      <c r="Y114" s="208"/>
      <c r="Z114" s="208"/>
      <c r="AA114" s="208"/>
      <c r="AB114" s="208"/>
      <c r="AC114" s="208"/>
      <c r="AD114" s="208"/>
      <c r="AE114" s="208"/>
      <c r="AF114" s="208"/>
      <c r="AG114" s="208"/>
      <c r="AH114" s="208"/>
      <c r="AI114" s="208"/>
      <c r="AJ114" s="208"/>
      <c r="AK114" s="208"/>
      <c r="AL114" s="208"/>
      <c r="AM114" s="208"/>
      <c r="AN114" s="208"/>
      <c r="AO114" s="208"/>
      <c r="AP114" s="208"/>
      <c r="AQ114" s="208"/>
      <c r="AR114" s="208"/>
      <c r="AS114" s="208"/>
      <c r="AT114" s="208"/>
      <c r="AU114" s="208"/>
      <c r="AV114" s="208"/>
      <c r="AW114" s="208"/>
      <c r="AX114" s="208"/>
      <c r="AY114" s="208"/>
      <c r="AZ114" s="208"/>
      <c r="BA114" s="208"/>
    </row>
    <row r="115" spans="2:53" ht="15" customHeight="1" x14ac:dyDescent="0.25">
      <c r="B115" s="208"/>
      <c r="C115" s="208"/>
      <c r="D115" s="208"/>
      <c r="E115" s="208"/>
      <c r="F115" s="208"/>
      <c r="G115" s="208"/>
      <c r="H115" s="208"/>
      <c r="I115" s="208"/>
      <c r="J115" s="208"/>
      <c r="K115" s="208"/>
      <c r="L115" s="208"/>
      <c r="M115" s="208"/>
      <c r="N115" s="208"/>
      <c r="O115" s="208"/>
      <c r="P115" s="208"/>
      <c r="Q115" s="208"/>
      <c r="R115" s="208"/>
      <c r="S115" s="208"/>
      <c r="T115" s="208"/>
      <c r="U115" s="208"/>
      <c r="V115" s="208"/>
      <c r="W115" s="208"/>
      <c r="X115" s="208"/>
      <c r="Y115" s="208"/>
      <c r="Z115" s="208"/>
      <c r="AA115" s="208"/>
      <c r="AB115" s="208"/>
      <c r="AC115" s="208"/>
      <c r="AD115" s="208"/>
      <c r="AE115" s="208"/>
      <c r="AF115" s="208"/>
      <c r="AG115" s="208"/>
      <c r="AH115" s="208"/>
      <c r="AI115" s="208"/>
      <c r="AJ115" s="208"/>
      <c r="AK115" s="208"/>
      <c r="AL115" s="208"/>
      <c r="AM115" s="208"/>
      <c r="AN115" s="208"/>
      <c r="AO115" s="208"/>
      <c r="AP115" s="208"/>
      <c r="AQ115" s="208"/>
      <c r="AR115" s="208"/>
      <c r="AS115" s="208"/>
      <c r="AT115" s="208"/>
      <c r="AU115" s="208"/>
      <c r="AV115" s="208"/>
      <c r="AW115" s="208"/>
      <c r="AX115" s="208"/>
      <c r="AY115" s="208"/>
      <c r="AZ115" s="208"/>
      <c r="BA115" s="208"/>
    </row>
    <row r="116" spans="2:53" ht="15" customHeight="1" x14ac:dyDescent="0.25">
      <c r="B116" s="208"/>
      <c r="C116" s="208"/>
      <c r="D116" s="208"/>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208"/>
      <c r="AB116" s="208"/>
      <c r="AC116" s="208"/>
      <c r="AD116" s="208"/>
      <c r="AE116" s="208"/>
      <c r="AF116" s="208"/>
      <c r="AG116" s="208"/>
      <c r="AH116" s="208"/>
      <c r="AI116" s="208"/>
      <c r="AJ116" s="208"/>
      <c r="AK116" s="208"/>
      <c r="AL116" s="208"/>
      <c r="AM116" s="208"/>
      <c r="AN116" s="208"/>
      <c r="AO116" s="208"/>
      <c r="AP116" s="208"/>
      <c r="AQ116" s="208"/>
      <c r="AR116" s="208"/>
      <c r="AS116" s="208"/>
      <c r="AT116" s="208"/>
      <c r="AU116" s="208"/>
      <c r="AV116" s="208"/>
      <c r="AW116" s="208"/>
      <c r="AX116" s="208"/>
      <c r="AY116" s="208"/>
      <c r="AZ116" s="208"/>
      <c r="BA116" s="208"/>
    </row>
    <row r="117" spans="2:53" ht="15" customHeight="1" x14ac:dyDescent="0.25">
      <c r="B117" s="208"/>
      <c r="C117" s="208"/>
      <c r="D117" s="208"/>
      <c r="E117" s="208"/>
      <c r="F117" s="208"/>
      <c r="G117" s="208"/>
      <c r="H117" s="208"/>
      <c r="I117" s="208"/>
      <c r="J117" s="208"/>
      <c r="K117" s="208"/>
      <c r="L117" s="208"/>
      <c r="M117" s="208"/>
      <c r="N117" s="208"/>
      <c r="O117" s="208"/>
      <c r="P117" s="208"/>
      <c r="Q117" s="208"/>
      <c r="R117" s="208"/>
      <c r="S117" s="208"/>
      <c r="T117" s="208"/>
      <c r="U117" s="208"/>
      <c r="V117" s="208"/>
      <c r="W117" s="208"/>
      <c r="X117" s="208"/>
      <c r="Y117" s="208"/>
      <c r="Z117" s="208"/>
      <c r="AA117" s="208"/>
      <c r="AB117" s="208"/>
      <c r="AC117" s="208"/>
      <c r="AD117" s="208"/>
      <c r="AE117" s="208"/>
      <c r="AF117" s="208"/>
      <c r="AG117" s="208"/>
      <c r="AH117" s="208"/>
      <c r="AI117" s="208"/>
      <c r="AJ117" s="208"/>
      <c r="AK117" s="208"/>
      <c r="AL117" s="208"/>
      <c r="AM117" s="208"/>
      <c r="AN117" s="208"/>
      <c r="AO117" s="208"/>
      <c r="AP117" s="208"/>
      <c r="AQ117" s="208"/>
      <c r="AR117" s="208"/>
      <c r="AS117" s="208"/>
      <c r="AT117" s="208"/>
      <c r="AU117" s="208"/>
      <c r="AV117" s="208"/>
      <c r="AW117" s="208"/>
      <c r="AX117" s="208"/>
      <c r="AY117" s="208"/>
      <c r="AZ117" s="208"/>
      <c r="BA117" s="208"/>
    </row>
    <row r="118" spans="2:53" ht="15" customHeight="1" x14ac:dyDescent="0.25">
      <c r="B118" s="208"/>
      <c r="C118" s="208"/>
      <c r="D118" s="208"/>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208"/>
      <c r="AB118" s="208"/>
      <c r="AC118" s="208"/>
      <c r="AD118" s="208"/>
      <c r="AE118" s="208"/>
      <c r="AF118" s="208"/>
      <c r="AG118" s="208"/>
      <c r="AH118" s="208"/>
      <c r="AI118" s="208"/>
      <c r="AJ118" s="208"/>
      <c r="AK118" s="208"/>
      <c r="AL118" s="208"/>
      <c r="AM118" s="208"/>
      <c r="AN118" s="208"/>
      <c r="AO118" s="208"/>
      <c r="AP118" s="208"/>
      <c r="AQ118" s="208"/>
      <c r="AR118" s="208"/>
      <c r="AS118" s="208"/>
      <c r="AT118" s="208"/>
      <c r="AU118" s="208"/>
      <c r="AV118" s="208"/>
      <c r="AW118" s="208"/>
      <c r="AX118" s="208"/>
      <c r="AY118" s="208"/>
      <c r="AZ118" s="208"/>
      <c r="BA118" s="208"/>
    </row>
    <row r="119" spans="2:53" ht="15" customHeight="1" x14ac:dyDescent="0.25">
      <c r="B119" s="208"/>
      <c r="C119" s="208"/>
      <c r="D119" s="208"/>
      <c r="E119" s="208"/>
      <c r="F119" s="208"/>
      <c r="G119" s="208"/>
      <c r="H119" s="208"/>
      <c r="I119" s="208"/>
      <c r="J119" s="208"/>
      <c r="K119" s="208"/>
      <c r="L119" s="208"/>
      <c r="M119" s="208"/>
      <c r="N119" s="208"/>
      <c r="O119" s="208"/>
      <c r="P119" s="208"/>
      <c r="Q119" s="208"/>
      <c r="R119" s="208"/>
      <c r="S119" s="208"/>
      <c r="T119" s="208"/>
      <c r="U119" s="208"/>
      <c r="V119" s="208"/>
      <c r="W119" s="208"/>
      <c r="X119" s="208"/>
      <c r="Y119" s="208"/>
      <c r="Z119" s="208"/>
      <c r="AA119" s="208"/>
      <c r="AB119" s="208"/>
      <c r="AC119" s="208"/>
      <c r="AD119" s="208"/>
      <c r="AE119" s="208"/>
      <c r="AF119" s="208"/>
      <c r="AG119" s="208"/>
      <c r="AH119" s="208"/>
      <c r="AI119" s="208"/>
      <c r="AJ119" s="208"/>
      <c r="AK119" s="208"/>
      <c r="AL119" s="208"/>
      <c r="AM119" s="208"/>
      <c r="AN119" s="208"/>
      <c r="AO119" s="208"/>
      <c r="AP119" s="208"/>
      <c r="AQ119" s="208"/>
      <c r="AR119" s="208"/>
      <c r="AS119" s="208"/>
      <c r="AT119" s="208"/>
      <c r="AU119" s="208"/>
      <c r="AV119" s="208"/>
      <c r="AW119" s="208"/>
      <c r="AX119" s="208"/>
      <c r="AY119" s="208"/>
      <c r="AZ119" s="208"/>
      <c r="BA119" s="208"/>
    </row>
    <row r="120" spans="2:53" ht="15" customHeight="1" x14ac:dyDescent="0.25">
      <c r="B120" s="208"/>
      <c r="C120" s="208"/>
      <c r="D120" s="208"/>
      <c r="E120" s="208"/>
      <c r="F120" s="208"/>
      <c r="G120" s="208"/>
      <c r="H120" s="208"/>
      <c r="I120" s="208"/>
      <c r="J120" s="208"/>
      <c r="K120" s="208"/>
      <c r="L120" s="208"/>
      <c r="M120" s="208"/>
      <c r="N120" s="208"/>
      <c r="O120" s="208"/>
      <c r="P120" s="208"/>
      <c r="Q120" s="208"/>
      <c r="R120" s="208"/>
      <c r="S120" s="208"/>
      <c r="T120" s="208"/>
      <c r="U120" s="208"/>
      <c r="V120" s="208"/>
      <c r="W120" s="208"/>
      <c r="X120" s="208"/>
      <c r="Y120" s="208"/>
      <c r="Z120" s="208"/>
      <c r="AA120" s="208"/>
      <c r="AB120" s="208"/>
      <c r="AC120" s="208"/>
      <c r="AD120" s="208"/>
      <c r="AE120" s="208"/>
      <c r="AF120" s="208"/>
      <c r="AG120" s="208"/>
      <c r="AH120" s="208"/>
      <c r="AI120" s="208"/>
      <c r="AJ120" s="208"/>
      <c r="AK120" s="208"/>
      <c r="AL120" s="208"/>
      <c r="AM120" s="208"/>
      <c r="AN120" s="208"/>
      <c r="AO120" s="208"/>
      <c r="AP120" s="208"/>
      <c r="AQ120" s="208"/>
      <c r="AR120" s="208"/>
      <c r="AS120" s="208"/>
      <c r="AT120" s="208"/>
      <c r="AU120" s="208"/>
      <c r="AV120" s="208"/>
      <c r="AW120" s="208"/>
      <c r="AX120" s="208"/>
      <c r="AY120" s="208"/>
      <c r="AZ120" s="208"/>
      <c r="BA120" s="208"/>
    </row>
    <row r="121" spans="2:53" ht="15" customHeight="1" x14ac:dyDescent="0.25">
      <c r="B121" s="208"/>
      <c r="C121" s="208"/>
      <c r="D121" s="208"/>
      <c r="E121" s="208"/>
      <c r="F121" s="208"/>
      <c r="G121" s="208"/>
      <c r="H121" s="208"/>
      <c r="I121" s="208"/>
      <c r="J121" s="208"/>
      <c r="K121" s="208"/>
      <c r="L121" s="208"/>
      <c r="M121" s="208"/>
      <c r="N121" s="208"/>
      <c r="O121" s="208"/>
      <c r="P121" s="208"/>
      <c r="Q121" s="208"/>
      <c r="R121" s="208"/>
      <c r="S121" s="208"/>
      <c r="T121" s="208"/>
      <c r="U121" s="208"/>
      <c r="V121" s="208"/>
      <c r="W121" s="208"/>
      <c r="X121" s="208"/>
      <c r="Y121" s="208"/>
      <c r="Z121" s="208"/>
      <c r="AA121" s="208"/>
      <c r="AB121" s="208"/>
      <c r="AC121" s="208"/>
      <c r="AD121" s="208"/>
      <c r="AE121" s="208"/>
      <c r="AF121" s="208"/>
      <c r="AG121" s="208"/>
      <c r="AH121" s="208"/>
      <c r="AI121" s="208"/>
      <c r="AJ121" s="208"/>
      <c r="AK121" s="208"/>
      <c r="AL121" s="208"/>
      <c r="AM121" s="208"/>
      <c r="AN121" s="208"/>
      <c r="AO121" s="208"/>
      <c r="AP121" s="208"/>
      <c r="AQ121" s="208"/>
      <c r="AR121" s="208"/>
      <c r="AS121" s="208"/>
      <c r="AT121" s="208"/>
      <c r="AU121" s="208"/>
      <c r="AV121" s="208"/>
      <c r="AW121" s="208"/>
      <c r="AX121" s="208"/>
      <c r="AY121" s="208"/>
      <c r="AZ121" s="208"/>
      <c r="BA121" s="208"/>
    </row>
    <row r="122" spans="2:53" ht="15" customHeight="1" x14ac:dyDescent="0.25">
      <c r="B122" s="208"/>
      <c r="C122" s="208"/>
      <c r="D122" s="208"/>
      <c r="E122" s="208"/>
      <c r="F122" s="208"/>
      <c r="G122" s="208"/>
      <c r="H122" s="208"/>
      <c r="I122" s="208"/>
      <c r="J122" s="208"/>
      <c r="K122" s="208"/>
      <c r="L122" s="208"/>
      <c r="M122" s="208"/>
      <c r="N122" s="208"/>
      <c r="O122" s="208"/>
      <c r="P122" s="208"/>
      <c r="Q122" s="208"/>
      <c r="R122" s="208"/>
      <c r="S122" s="208"/>
      <c r="T122" s="208"/>
      <c r="U122" s="208"/>
      <c r="V122" s="208"/>
      <c r="W122" s="208"/>
      <c r="X122" s="208"/>
      <c r="Y122" s="208"/>
      <c r="Z122" s="208"/>
      <c r="AA122" s="208"/>
      <c r="AB122" s="208"/>
      <c r="AC122" s="208"/>
      <c r="AD122" s="208"/>
      <c r="AE122" s="208"/>
      <c r="AF122" s="208"/>
      <c r="AG122" s="208"/>
      <c r="AH122" s="208"/>
      <c r="AI122" s="208"/>
      <c r="AJ122" s="208"/>
      <c r="AK122" s="208"/>
      <c r="AL122" s="208"/>
      <c r="AM122" s="208"/>
      <c r="AN122" s="208"/>
      <c r="AO122" s="208"/>
      <c r="AP122" s="208"/>
      <c r="AQ122" s="208"/>
      <c r="AR122" s="208"/>
      <c r="AS122" s="208"/>
      <c r="AT122" s="208"/>
      <c r="AU122" s="208"/>
      <c r="AV122" s="208"/>
      <c r="AW122" s="208"/>
      <c r="AX122" s="208"/>
      <c r="AY122" s="208"/>
      <c r="AZ122" s="208"/>
      <c r="BA122" s="208"/>
    </row>
    <row r="123" spans="2:53" ht="15" customHeight="1" x14ac:dyDescent="0.25">
      <c r="B123" s="208"/>
      <c r="C123" s="208"/>
      <c r="D123" s="208"/>
      <c r="E123" s="208"/>
      <c r="F123" s="208"/>
      <c r="G123" s="208"/>
      <c r="H123" s="208"/>
      <c r="I123" s="208"/>
      <c r="J123" s="208"/>
      <c r="K123" s="208"/>
      <c r="L123" s="208"/>
      <c r="M123" s="208"/>
      <c r="N123" s="208"/>
      <c r="O123" s="208"/>
      <c r="P123" s="208"/>
      <c r="Q123" s="208"/>
      <c r="R123" s="208"/>
      <c r="S123" s="208"/>
      <c r="T123" s="208"/>
      <c r="U123" s="208"/>
      <c r="V123" s="208"/>
      <c r="W123" s="208"/>
      <c r="X123" s="208"/>
      <c r="Y123" s="208"/>
      <c r="Z123" s="208"/>
      <c r="AA123" s="208"/>
      <c r="AB123" s="208"/>
      <c r="AC123" s="208"/>
      <c r="AD123" s="208"/>
      <c r="AE123" s="208"/>
      <c r="AF123" s="208"/>
      <c r="AG123" s="208"/>
      <c r="AH123" s="208"/>
      <c r="AI123" s="208"/>
      <c r="AJ123" s="208"/>
      <c r="AK123" s="208"/>
      <c r="AL123" s="208"/>
      <c r="AM123" s="208"/>
      <c r="AN123" s="208"/>
      <c r="AO123" s="208"/>
      <c r="AP123" s="208"/>
      <c r="AQ123" s="208"/>
      <c r="AR123" s="208"/>
      <c r="AS123" s="208"/>
      <c r="AT123" s="208"/>
      <c r="AU123" s="208"/>
      <c r="AV123" s="208"/>
      <c r="AW123" s="208"/>
      <c r="AX123" s="208"/>
      <c r="AY123" s="208"/>
      <c r="AZ123" s="208"/>
      <c r="BA123" s="208"/>
    </row>
    <row r="124" spans="2:53" ht="15" customHeight="1" x14ac:dyDescent="0.25">
      <c r="B124" s="208"/>
      <c r="C124" s="208"/>
      <c r="D124" s="208"/>
      <c r="E124" s="208"/>
      <c r="F124" s="208"/>
      <c r="G124" s="208"/>
      <c r="H124" s="208"/>
      <c r="I124" s="208"/>
      <c r="J124" s="208"/>
      <c r="K124" s="208"/>
      <c r="L124" s="208"/>
      <c r="M124" s="208"/>
      <c r="N124" s="208"/>
      <c r="O124" s="208"/>
      <c r="P124" s="208"/>
      <c r="Q124" s="208"/>
      <c r="R124" s="208"/>
      <c r="S124" s="208"/>
      <c r="T124" s="208"/>
      <c r="U124" s="208"/>
      <c r="V124" s="208"/>
      <c r="W124" s="208"/>
      <c r="X124" s="208"/>
      <c r="Y124" s="208"/>
      <c r="Z124" s="208"/>
      <c r="AA124" s="208"/>
      <c r="AB124" s="208"/>
      <c r="AC124" s="208"/>
      <c r="AD124" s="208"/>
      <c r="AE124" s="208"/>
      <c r="AF124" s="208"/>
      <c r="AG124" s="208"/>
      <c r="AH124" s="208"/>
      <c r="AI124" s="208"/>
      <c r="AJ124" s="208"/>
      <c r="AK124" s="208"/>
      <c r="AL124" s="208"/>
      <c r="AM124" s="208"/>
      <c r="AN124" s="208"/>
      <c r="AO124" s="208"/>
      <c r="AP124" s="208"/>
      <c r="AQ124" s="208"/>
      <c r="AR124" s="208"/>
      <c r="AS124" s="208"/>
      <c r="AT124" s="208"/>
      <c r="AU124" s="208"/>
      <c r="AV124" s="208"/>
      <c r="AW124" s="208"/>
      <c r="AX124" s="208"/>
      <c r="AY124" s="208"/>
      <c r="AZ124" s="208"/>
      <c r="BA124" s="208"/>
    </row>
    <row r="125" spans="2:53" ht="15" customHeight="1" x14ac:dyDescent="0.25">
      <c r="B125" s="208"/>
      <c r="C125" s="208"/>
      <c r="D125" s="208"/>
      <c r="E125" s="208"/>
      <c r="F125" s="208"/>
      <c r="G125" s="208"/>
      <c r="H125" s="208"/>
      <c r="I125" s="208"/>
      <c r="J125" s="208"/>
      <c r="K125" s="208"/>
      <c r="L125" s="208"/>
      <c r="M125" s="208"/>
      <c r="N125" s="208"/>
      <c r="O125" s="208"/>
      <c r="P125" s="208"/>
      <c r="Q125" s="208"/>
      <c r="R125" s="208"/>
      <c r="S125" s="208"/>
      <c r="T125" s="208"/>
      <c r="U125" s="208"/>
      <c r="V125" s="208"/>
      <c r="W125" s="208"/>
      <c r="X125" s="208"/>
      <c r="Y125" s="208"/>
      <c r="Z125" s="208"/>
      <c r="AA125" s="208"/>
      <c r="AB125" s="208"/>
      <c r="AC125" s="208"/>
      <c r="AD125" s="208"/>
      <c r="AE125" s="208"/>
      <c r="AF125" s="208"/>
      <c r="AG125" s="208"/>
      <c r="AH125" s="208"/>
      <c r="AI125" s="208"/>
      <c r="AJ125" s="208"/>
      <c r="AK125" s="208"/>
      <c r="AL125" s="208"/>
      <c r="AM125" s="208"/>
      <c r="AN125" s="208"/>
      <c r="AO125" s="208"/>
      <c r="AP125" s="208"/>
      <c r="AQ125" s="208"/>
      <c r="AR125" s="208"/>
      <c r="AS125" s="208"/>
      <c r="AT125" s="208"/>
      <c r="AU125" s="208"/>
      <c r="AV125" s="208"/>
      <c r="AW125" s="208"/>
      <c r="AX125" s="208"/>
      <c r="AY125" s="208"/>
      <c r="AZ125" s="208"/>
      <c r="BA125" s="208"/>
    </row>
    <row r="126" spans="2:53" ht="15" customHeight="1" x14ac:dyDescent="0.25">
      <c r="B126" s="208"/>
      <c r="C126" s="208"/>
      <c r="D126" s="208"/>
      <c r="E126" s="208"/>
      <c r="F126" s="208"/>
      <c r="G126" s="208"/>
      <c r="H126" s="208"/>
      <c r="I126" s="208"/>
      <c r="J126" s="208"/>
      <c r="K126" s="208"/>
      <c r="L126" s="208"/>
      <c r="M126" s="208"/>
      <c r="N126" s="208"/>
      <c r="O126" s="208"/>
      <c r="P126" s="208"/>
      <c r="Q126" s="208"/>
      <c r="R126" s="208"/>
      <c r="S126" s="208"/>
      <c r="T126" s="208"/>
      <c r="U126" s="208"/>
      <c r="V126" s="208"/>
      <c r="W126" s="208"/>
      <c r="X126" s="208"/>
      <c r="Y126" s="208"/>
      <c r="Z126" s="208"/>
      <c r="AA126" s="208"/>
      <c r="AB126" s="208"/>
      <c r="AC126" s="208"/>
      <c r="AD126" s="208"/>
      <c r="AE126" s="208"/>
      <c r="AF126" s="208"/>
      <c r="AG126" s="208"/>
      <c r="AH126" s="208"/>
      <c r="AI126" s="208"/>
      <c r="AJ126" s="208"/>
      <c r="AK126" s="208"/>
      <c r="AL126" s="208"/>
      <c r="AM126" s="208"/>
      <c r="AN126" s="208"/>
      <c r="AO126" s="208"/>
      <c r="AP126" s="208"/>
      <c r="AQ126" s="208"/>
      <c r="AR126" s="208"/>
      <c r="AS126" s="208"/>
      <c r="AT126" s="208"/>
      <c r="AU126" s="208"/>
      <c r="AV126" s="208"/>
      <c r="AW126" s="208"/>
      <c r="AX126" s="208"/>
      <c r="AY126" s="208"/>
      <c r="AZ126" s="208"/>
      <c r="BA126" s="208"/>
    </row>
    <row r="127" spans="2:53" ht="15" customHeight="1" x14ac:dyDescent="0.25">
      <c r="B127" s="208"/>
      <c r="C127" s="208"/>
      <c r="D127" s="208"/>
      <c r="E127" s="208"/>
      <c r="F127" s="208"/>
      <c r="G127" s="208"/>
      <c r="H127" s="208"/>
      <c r="I127" s="208"/>
      <c r="J127" s="208"/>
      <c r="K127" s="208"/>
      <c r="L127" s="208"/>
      <c r="M127" s="208"/>
      <c r="N127" s="208"/>
      <c r="O127" s="208"/>
      <c r="P127" s="208"/>
      <c r="Q127" s="208"/>
      <c r="R127" s="208"/>
      <c r="S127" s="208"/>
      <c r="T127" s="208"/>
      <c r="U127" s="208"/>
      <c r="V127" s="208"/>
      <c r="W127" s="208"/>
      <c r="X127" s="208"/>
      <c r="Y127" s="208"/>
      <c r="Z127" s="208"/>
      <c r="AA127" s="208"/>
      <c r="AB127" s="208"/>
      <c r="AC127" s="208"/>
      <c r="AD127" s="208"/>
      <c r="AE127" s="208"/>
      <c r="AF127" s="208"/>
      <c r="AG127" s="208"/>
      <c r="AH127" s="208"/>
      <c r="AI127" s="208"/>
      <c r="AJ127" s="208"/>
      <c r="AK127" s="208"/>
      <c r="AL127" s="208"/>
      <c r="AM127" s="208"/>
      <c r="AN127" s="208"/>
      <c r="AO127" s="208"/>
      <c r="AP127" s="208"/>
      <c r="AQ127" s="208"/>
      <c r="AR127" s="208"/>
      <c r="AS127" s="208"/>
      <c r="AT127" s="208"/>
      <c r="AU127" s="208"/>
      <c r="AV127" s="208"/>
      <c r="AW127" s="208"/>
      <c r="AX127" s="208"/>
      <c r="AY127" s="208"/>
      <c r="AZ127" s="208"/>
      <c r="BA127" s="208"/>
    </row>
    <row r="128" spans="2:53" ht="15" customHeight="1" x14ac:dyDescent="0.25">
      <c r="B128" s="208"/>
      <c r="C128" s="208"/>
      <c r="D128" s="208"/>
      <c r="E128" s="208"/>
      <c r="F128" s="208"/>
      <c r="G128" s="208"/>
      <c r="H128" s="208"/>
      <c r="I128" s="208"/>
      <c r="J128" s="208"/>
      <c r="K128" s="208"/>
      <c r="L128" s="208"/>
      <c r="M128" s="208"/>
      <c r="N128" s="208"/>
      <c r="O128" s="208"/>
      <c r="P128" s="208"/>
      <c r="Q128" s="208"/>
      <c r="R128" s="208"/>
      <c r="S128" s="208"/>
      <c r="T128" s="208"/>
      <c r="U128" s="208"/>
      <c r="V128" s="208"/>
      <c r="W128" s="208"/>
      <c r="X128" s="208"/>
      <c r="Y128" s="208"/>
      <c r="Z128" s="208"/>
      <c r="AA128" s="208"/>
      <c r="AB128" s="208"/>
      <c r="AC128" s="208"/>
      <c r="AD128" s="208"/>
      <c r="AE128" s="208"/>
      <c r="AF128" s="208"/>
      <c r="AG128" s="208"/>
      <c r="AH128" s="208"/>
      <c r="AI128" s="208"/>
      <c r="AJ128" s="208"/>
      <c r="AK128" s="208"/>
      <c r="AL128" s="208"/>
      <c r="AM128" s="208"/>
      <c r="AN128" s="208"/>
      <c r="AO128" s="208"/>
      <c r="AP128" s="208"/>
      <c r="AQ128" s="208"/>
      <c r="AR128" s="208"/>
      <c r="AS128" s="208"/>
      <c r="AT128" s="208"/>
      <c r="AU128" s="208"/>
      <c r="AV128" s="208"/>
      <c r="AW128" s="208"/>
      <c r="AX128" s="208"/>
      <c r="AY128" s="208"/>
      <c r="AZ128" s="208"/>
      <c r="BA128" s="208"/>
    </row>
    <row r="129" spans="1:53" ht="15" customHeight="1" x14ac:dyDescent="0.25">
      <c r="A129" s="207"/>
      <c r="B129" s="208"/>
      <c r="C129" s="208"/>
      <c r="D129" s="208"/>
      <c r="E129" s="208"/>
      <c r="F129" s="208"/>
      <c r="G129" s="208"/>
      <c r="H129" s="208"/>
      <c r="I129" s="208"/>
      <c r="J129" s="208"/>
      <c r="K129" s="208"/>
      <c r="L129" s="208"/>
      <c r="M129" s="208"/>
      <c r="N129" s="208"/>
      <c r="O129" s="208"/>
      <c r="P129" s="208"/>
      <c r="Q129" s="208"/>
      <c r="R129" s="208"/>
      <c r="S129" s="208"/>
      <c r="T129" s="208"/>
      <c r="U129" s="208"/>
      <c r="V129" s="208"/>
      <c r="W129" s="208"/>
      <c r="X129" s="208"/>
      <c r="Y129" s="208"/>
      <c r="Z129" s="208"/>
      <c r="AA129" s="208"/>
      <c r="AB129" s="208"/>
      <c r="AC129" s="208"/>
      <c r="AD129" s="208"/>
      <c r="AE129" s="208"/>
      <c r="AF129" s="208"/>
      <c r="AG129" s="208"/>
      <c r="AH129" s="208"/>
      <c r="AI129" s="208"/>
      <c r="AJ129" s="208"/>
      <c r="AK129" s="208"/>
      <c r="AL129" s="208"/>
      <c r="AM129" s="208"/>
      <c r="AN129" s="208"/>
      <c r="AO129" s="208"/>
      <c r="AP129" s="208"/>
      <c r="AQ129" s="208"/>
      <c r="AR129" s="208"/>
      <c r="AS129" s="208"/>
      <c r="AT129" s="208"/>
      <c r="AU129" s="208"/>
      <c r="AV129" s="208"/>
      <c r="AW129" s="208"/>
      <c r="AX129" s="208"/>
      <c r="AY129" s="208"/>
      <c r="AZ129" s="208"/>
      <c r="BA129" s="208"/>
    </row>
    <row r="130" spans="1:53" ht="15" customHeight="1" x14ac:dyDescent="0.25">
      <c r="A130" s="207"/>
      <c r="B130" s="208"/>
      <c r="C130" s="208"/>
      <c r="D130" s="208"/>
      <c r="E130" s="208"/>
      <c r="F130" s="208"/>
      <c r="G130" s="208"/>
      <c r="H130" s="208"/>
      <c r="I130" s="208"/>
      <c r="J130" s="208"/>
      <c r="K130" s="208"/>
      <c r="L130" s="208"/>
      <c r="M130" s="208"/>
      <c r="N130" s="208"/>
      <c r="O130" s="208"/>
      <c r="P130" s="208"/>
      <c r="Q130" s="208"/>
      <c r="R130" s="208"/>
      <c r="S130" s="208"/>
      <c r="T130" s="208"/>
      <c r="U130" s="208"/>
      <c r="V130" s="208"/>
      <c r="W130" s="208"/>
      <c r="X130" s="208"/>
      <c r="Y130" s="208"/>
      <c r="Z130" s="208"/>
      <c r="AA130" s="208"/>
      <c r="AB130" s="208"/>
      <c r="AC130" s="208"/>
      <c r="AD130" s="208"/>
      <c r="AE130" s="208"/>
      <c r="AF130" s="208"/>
      <c r="AG130" s="208"/>
      <c r="AH130" s="208"/>
      <c r="AI130" s="208"/>
      <c r="AJ130" s="208"/>
      <c r="AK130" s="208"/>
      <c r="AL130" s="208"/>
      <c r="AM130" s="208"/>
      <c r="AN130" s="208"/>
      <c r="AO130" s="208"/>
      <c r="AP130" s="208"/>
      <c r="AQ130" s="208"/>
      <c r="AR130" s="208"/>
      <c r="AS130" s="208"/>
      <c r="AT130" s="208"/>
      <c r="AU130" s="208"/>
      <c r="AV130" s="208"/>
      <c r="AW130" s="208"/>
      <c r="AX130" s="208"/>
      <c r="AY130" s="208"/>
      <c r="AZ130" s="208"/>
      <c r="BA130" s="208"/>
    </row>
    <row r="131" spans="1:53" ht="15" customHeight="1" x14ac:dyDescent="0.25">
      <c r="A131" s="207"/>
      <c r="B131" s="208"/>
      <c r="C131" s="208"/>
      <c r="D131" s="208"/>
      <c r="E131" s="208"/>
      <c r="F131" s="208"/>
      <c r="G131" s="208"/>
      <c r="H131" s="208"/>
      <c r="I131" s="208"/>
      <c r="J131" s="208"/>
      <c r="K131" s="208"/>
      <c r="L131" s="208"/>
      <c r="M131" s="208"/>
      <c r="N131" s="208"/>
      <c r="O131" s="208"/>
      <c r="P131" s="208"/>
      <c r="Q131" s="208"/>
      <c r="R131" s="208"/>
      <c r="S131" s="208"/>
      <c r="T131" s="208"/>
      <c r="U131" s="208"/>
      <c r="V131" s="208"/>
      <c r="W131" s="208"/>
      <c r="X131" s="208"/>
      <c r="Y131" s="208"/>
      <c r="Z131" s="208"/>
      <c r="AA131" s="208"/>
      <c r="AB131" s="208"/>
      <c r="AC131" s="208"/>
      <c r="AD131" s="208"/>
      <c r="AE131" s="208"/>
      <c r="AF131" s="208"/>
      <c r="AG131" s="208"/>
      <c r="AH131" s="208"/>
      <c r="AI131" s="208"/>
      <c r="AJ131" s="208"/>
      <c r="AK131" s="208"/>
      <c r="AL131" s="208"/>
      <c r="AM131" s="208"/>
      <c r="AN131" s="208"/>
      <c r="AO131" s="208"/>
      <c r="AP131" s="208"/>
      <c r="AQ131" s="208"/>
      <c r="AR131" s="208"/>
      <c r="AS131" s="208"/>
      <c r="AT131" s="208"/>
      <c r="AU131" s="208"/>
      <c r="AV131" s="208"/>
      <c r="AW131" s="208"/>
      <c r="AX131" s="208"/>
      <c r="AY131" s="208"/>
      <c r="AZ131" s="208"/>
      <c r="BA131" s="208"/>
    </row>
    <row r="132" spans="1:53" ht="15" customHeight="1" x14ac:dyDescent="0.25">
      <c r="A132" s="207"/>
      <c r="B132" s="208"/>
      <c r="C132" s="208"/>
      <c r="D132" s="208"/>
      <c r="E132" s="208"/>
      <c r="F132" s="208"/>
      <c r="G132" s="208"/>
      <c r="H132" s="208"/>
      <c r="I132" s="208"/>
      <c r="J132" s="208"/>
      <c r="K132" s="208"/>
      <c r="L132" s="208"/>
      <c r="M132" s="208"/>
      <c r="N132" s="208"/>
      <c r="O132" s="208"/>
      <c r="P132" s="208"/>
      <c r="Q132" s="208"/>
      <c r="R132" s="208"/>
      <c r="S132" s="208"/>
      <c r="T132" s="208"/>
      <c r="U132" s="208"/>
      <c r="V132" s="208"/>
      <c r="W132" s="208"/>
      <c r="X132" s="208"/>
      <c r="Y132" s="208"/>
      <c r="Z132" s="208"/>
      <c r="AA132" s="208"/>
      <c r="AB132" s="208"/>
      <c r="AC132" s="208"/>
      <c r="AD132" s="208"/>
      <c r="AE132" s="208"/>
      <c r="AF132" s="208"/>
      <c r="AG132" s="208"/>
      <c r="AH132" s="208"/>
      <c r="AI132" s="208"/>
      <c r="AJ132" s="208"/>
      <c r="AK132" s="208"/>
      <c r="AL132" s="208"/>
      <c r="AM132" s="208"/>
      <c r="AN132" s="208"/>
      <c r="AO132" s="208"/>
      <c r="AP132" s="208"/>
      <c r="AQ132" s="208"/>
      <c r="AR132" s="208"/>
      <c r="AS132" s="208"/>
      <c r="AT132" s="208"/>
      <c r="AU132" s="208"/>
      <c r="AV132" s="208"/>
      <c r="AW132" s="208"/>
      <c r="AX132" s="208"/>
      <c r="AY132" s="208"/>
      <c r="AZ132" s="208"/>
      <c r="BA132" s="208"/>
    </row>
    <row r="133" spans="1:53" ht="15" customHeight="1" x14ac:dyDescent="0.25">
      <c r="A133" s="207"/>
      <c r="B133" s="208"/>
      <c r="C133" s="208"/>
      <c r="D133" s="208"/>
      <c r="E133" s="208"/>
      <c r="F133" s="208"/>
      <c r="G133" s="208"/>
      <c r="H133" s="208"/>
      <c r="I133" s="208"/>
      <c r="J133" s="208"/>
      <c r="K133" s="208"/>
      <c r="L133" s="208"/>
      <c r="M133" s="208"/>
      <c r="N133" s="208"/>
      <c r="O133" s="208"/>
      <c r="P133" s="208"/>
      <c r="Q133" s="208"/>
      <c r="R133" s="208"/>
      <c r="S133" s="208"/>
      <c r="T133" s="208"/>
      <c r="U133" s="208"/>
      <c r="V133" s="208"/>
      <c r="W133" s="208"/>
      <c r="X133" s="208"/>
      <c r="Y133" s="208"/>
      <c r="Z133" s="208"/>
      <c r="AA133" s="208"/>
      <c r="AB133" s="208"/>
      <c r="AC133" s="208"/>
      <c r="AD133" s="208"/>
      <c r="AE133" s="208"/>
      <c r="AF133" s="208"/>
      <c r="AG133" s="208"/>
      <c r="AH133" s="208"/>
      <c r="AI133" s="208"/>
      <c r="AJ133" s="208"/>
      <c r="AK133" s="208"/>
      <c r="AL133" s="208"/>
      <c r="AM133" s="208"/>
      <c r="AN133" s="208"/>
      <c r="AO133" s="208"/>
      <c r="AP133" s="208"/>
      <c r="AQ133" s="208"/>
      <c r="AR133" s="208"/>
      <c r="AS133" s="208"/>
      <c r="AT133" s="208"/>
      <c r="AU133" s="208"/>
      <c r="AV133" s="208"/>
      <c r="AW133" s="208"/>
      <c r="AX133" s="208"/>
      <c r="AY133" s="208"/>
      <c r="AZ133" s="208"/>
      <c r="BA133" s="208"/>
    </row>
    <row r="134" spans="1:53" ht="15" customHeight="1" x14ac:dyDescent="0.25">
      <c r="A134" s="207"/>
      <c r="B134" s="208"/>
      <c r="C134" s="208"/>
      <c r="D134" s="208"/>
      <c r="E134" s="208"/>
      <c r="F134" s="208"/>
      <c r="G134" s="208"/>
      <c r="H134" s="208"/>
      <c r="I134" s="208"/>
      <c r="J134" s="208"/>
      <c r="K134" s="208"/>
      <c r="L134" s="208"/>
      <c r="M134" s="208"/>
      <c r="N134" s="208"/>
      <c r="O134" s="208"/>
      <c r="P134" s="208"/>
      <c r="Q134" s="208"/>
      <c r="R134" s="208"/>
      <c r="S134" s="208"/>
      <c r="T134" s="208"/>
      <c r="U134" s="208"/>
      <c r="V134" s="208"/>
      <c r="W134" s="208"/>
      <c r="X134" s="208"/>
      <c r="Y134" s="208"/>
      <c r="Z134" s="208"/>
      <c r="AA134" s="208"/>
      <c r="AB134" s="208"/>
      <c r="AC134" s="208"/>
      <c r="AD134" s="208"/>
      <c r="AE134" s="208"/>
      <c r="AF134" s="208"/>
      <c r="AG134" s="208"/>
      <c r="AH134" s="208"/>
      <c r="AI134" s="208"/>
      <c r="AJ134" s="208"/>
      <c r="AK134" s="208"/>
      <c r="AL134" s="208"/>
      <c r="AM134" s="208"/>
      <c r="AN134" s="208"/>
      <c r="AO134" s="208"/>
      <c r="AP134" s="208"/>
      <c r="AQ134" s="208"/>
      <c r="AR134" s="208"/>
      <c r="AS134" s="208"/>
      <c r="AT134" s="208"/>
      <c r="AU134" s="208"/>
      <c r="AV134" s="208"/>
      <c r="AW134" s="208"/>
      <c r="AX134" s="208"/>
      <c r="AY134" s="208"/>
      <c r="AZ134" s="208"/>
      <c r="BA134" s="208"/>
    </row>
    <row r="135" spans="1:53" ht="15" customHeight="1" x14ac:dyDescent="0.25">
      <c r="A135" s="213" t="s">
        <v>852</v>
      </c>
      <c r="B135" s="208"/>
      <c r="C135" s="208"/>
      <c r="D135" s="208"/>
      <c r="E135" s="208"/>
      <c r="F135" s="208"/>
      <c r="G135" s="208"/>
      <c r="H135" s="208"/>
      <c r="I135" s="208"/>
      <c r="J135" s="208"/>
      <c r="K135" s="208"/>
      <c r="L135" s="208"/>
      <c r="M135" s="208"/>
      <c r="N135" s="208"/>
      <c r="O135" s="208"/>
      <c r="P135" s="208"/>
      <c r="Q135" s="208"/>
      <c r="R135" s="208"/>
      <c r="S135" s="208"/>
      <c r="T135" s="208"/>
      <c r="U135" s="208"/>
      <c r="V135" s="208"/>
      <c r="W135" s="208"/>
      <c r="X135" s="208"/>
      <c r="Y135" s="208"/>
      <c r="Z135" s="208"/>
      <c r="AA135" s="208"/>
      <c r="AB135" s="208"/>
      <c r="AC135" s="208"/>
      <c r="AD135" s="208"/>
      <c r="AE135" s="208"/>
      <c r="AF135" s="208"/>
      <c r="AG135" s="208"/>
      <c r="AH135" s="208"/>
      <c r="AI135" s="208"/>
      <c r="AJ135" s="208"/>
      <c r="AK135" s="208"/>
      <c r="AL135" s="208"/>
      <c r="AM135" s="208"/>
      <c r="AN135" s="208"/>
      <c r="AO135" s="208"/>
      <c r="AP135" s="208"/>
      <c r="AQ135" s="208"/>
      <c r="AR135" s="208"/>
      <c r="AS135" s="208"/>
      <c r="AT135" s="208"/>
      <c r="AU135" s="208"/>
      <c r="AV135" s="208"/>
      <c r="AW135" s="208"/>
      <c r="AX135" s="208"/>
      <c r="AY135" s="208"/>
      <c r="AZ135" s="208"/>
      <c r="BA135" s="208"/>
    </row>
    <row r="136" spans="1:53" ht="15" customHeight="1" x14ac:dyDescent="0.25">
      <c r="A136" s="207"/>
      <c r="B136" s="208"/>
      <c r="C136" s="208"/>
      <c r="D136" s="208"/>
      <c r="E136" s="208"/>
      <c r="F136" s="208"/>
      <c r="G136" s="208"/>
      <c r="H136" s="208"/>
      <c r="I136" s="208"/>
      <c r="J136" s="208"/>
      <c r="K136" s="208"/>
      <c r="L136" s="208"/>
      <c r="M136" s="208"/>
      <c r="N136" s="208"/>
      <c r="O136" s="208"/>
      <c r="P136" s="208"/>
      <c r="Q136" s="208"/>
      <c r="R136" s="208"/>
      <c r="S136" s="208"/>
      <c r="T136" s="208"/>
      <c r="U136" s="208"/>
      <c r="V136" s="208"/>
      <c r="W136" s="208"/>
      <c r="X136" s="208"/>
      <c r="Y136" s="208"/>
      <c r="Z136" s="208"/>
      <c r="AA136" s="208"/>
      <c r="AB136" s="208"/>
      <c r="AC136" s="208"/>
      <c r="AD136" s="208"/>
      <c r="AE136" s="208"/>
      <c r="AF136" s="208"/>
      <c r="AG136" s="208"/>
      <c r="AH136" s="208"/>
      <c r="AI136" s="208"/>
      <c r="AJ136" s="208"/>
      <c r="AK136" s="208"/>
      <c r="AL136" s="208"/>
      <c r="AM136" s="208"/>
      <c r="AN136" s="208"/>
      <c r="AO136" s="208"/>
      <c r="AP136" s="208"/>
      <c r="AQ136" s="208"/>
      <c r="AR136" s="208"/>
      <c r="AS136" s="208"/>
      <c r="AT136" s="208"/>
      <c r="AU136" s="208"/>
      <c r="AV136" s="208"/>
      <c r="AW136" s="208"/>
      <c r="AX136" s="208"/>
      <c r="AY136" s="208"/>
      <c r="AZ136" s="208"/>
      <c r="BA136" s="208"/>
    </row>
    <row r="137" spans="1:53" ht="15" customHeight="1" x14ac:dyDescent="0.25">
      <c r="A137" s="207"/>
      <c r="B137" s="208"/>
      <c r="C137" s="208"/>
      <c r="D137" s="208"/>
      <c r="E137" s="208"/>
      <c r="F137" s="208"/>
      <c r="G137" s="208"/>
      <c r="H137" s="208"/>
      <c r="I137" s="208"/>
      <c r="J137" s="208"/>
      <c r="K137" s="208"/>
      <c r="L137" s="208"/>
      <c r="M137" s="208"/>
      <c r="N137" s="208"/>
      <c r="O137" s="208"/>
      <c r="P137" s="208"/>
      <c r="Q137" s="208"/>
      <c r="R137" s="208"/>
      <c r="S137" s="208"/>
      <c r="T137" s="208"/>
      <c r="U137" s="208"/>
      <c r="V137" s="208"/>
      <c r="W137" s="208"/>
      <c r="X137" s="208"/>
      <c r="Y137" s="208"/>
      <c r="Z137" s="208"/>
      <c r="AA137" s="208"/>
      <c r="AB137" s="208"/>
      <c r="AC137" s="208"/>
      <c r="AD137" s="208"/>
      <c r="AE137" s="208"/>
      <c r="AF137" s="208"/>
      <c r="AG137" s="208"/>
      <c r="AH137" s="208"/>
      <c r="AI137" s="208"/>
      <c r="AJ137" s="208"/>
      <c r="AK137" s="208"/>
      <c r="AL137" s="208"/>
      <c r="AM137" s="208"/>
      <c r="AN137" s="208"/>
      <c r="AO137" s="208"/>
      <c r="AP137" s="208"/>
      <c r="AQ137" s="208"/>
      <c r="AR137" s="208"/>
      <c r="AS137" s="208"/>
      <c r="AT137" s="208"/>
      <c r="AU137" s="208"/>
      <c r="AV137" s="208"/>
      <c r="AW137" s="208"/>
      <c r="AX137" s="208"/>
      <c r="AY137" s="208"/>
      <c r="AZ137" s="208"/>
      <c r="BA137" s="208"/>
    </row>
    <row r="138" spans="1:53" ht="15" customHeight="1" x14ac:dyDescent="0.25">
      <c r="A138" s="207"/>
      <c r="B138" s="208"/>
      <c r="C138" s="208"/>
      <c r="D138" s="208"/>
      <c r="E138" s="208"/>
      <c r="F138" s="208"/>
      <c r="G138" s="208"/>
      <c r="H138" s="208"/>
      <c r="I138" s="208"/>
      <c r="J138" s="208"/>
      <c r="K138" s="208"/>
      <c r="L138" s="208"/>
      <c r="M138" s="208"/>
      <c r="N138" s="208"/>
      <c r="O138" s="208"/>
      <c r="P138" s="208"/>
      <c r="Q138" s="208"/>
      <c r="R138" s="208"/>
      <c r="S138" s="208"/>
      <c r="T138" s="208"/>
      <c r="U138" s="208"/>
      <c r="V138" s="208"/>
      <c r="W138" s="208"/>
      <c r="X138" s="208"/>
      <c r="Y138" s="208"/>
      <c r="Z138" s="208"/>
      <c r="AA138" s="208"/>
      <c r="AB138" s="208"/>
      <c r="AC138" s="208"/>
      <c r="AD138" s="208"/>
      <c r="AE138" s="208"/>
      <c r="AF138" s="208"/>
      <c r="AG138" s="208"/>
      <c r="AH138" s="208"/>
      <c r="AI138" s="208"/>
      <c r="AJ138" s="208"/>
      <c r="AK138" s="208"/>
      <c r="AL138" s="208"/>
      <c r="AM138" s="208"/>
      <c r="AN138" s="208"/>
      <c r="AO138" s="208"/>
      <c r="AP138" s="208"/>
      <c r="AQ138" s="208"/>
      <c r="AR138" s="208"/>
      <c r="AS138" s="208"/>
      <c r="AT138" s="208"/>
      <c r="AU138" s="208"/>
      <c r="AV138" s="208"/>
      <c r="AW138" s="208"/>
      <c r="AX138" s="208"/>
      <c r="AY138" s="208"/>
      <c r="AZ138" s="208"/>
      <c r="BA138" s="208"/>
    </row>
    <row r="139" spans="1:53" ht="15" customHeight="1" x14ac:dyDescent="0.25">
      <c r="A139" s="207"/>
      <c r="B139" s="208"/>
      <c r="C139" s="208"/>
      <c r="D139" s="208"/>
      <c r="E139" s="208"/>
      <c r="F139" s="208"/>
      <c r="G139" s="208"/>
      <c r="H139" s="208"/>
      <c r="I139" s="208"/>
      <c r="J139" s="208"/>
      <c r="K139" s="208"/>
      <c r="L139" s="208"/>
      <c r="M139" s="208"/>
      <c r="N139" s="208"/>
      <c r="O139" s="208"/>
      <c r="P139" s="208"/>
      <c r="Q139" s="208"/>
      <c r="R139" s="208"/>
      <c r="S139" s="208"/>
      <c r="T139" s="208"/>
      <c r="U139" s="208"/>
      <c r="V139" s="208"/>
      <c r="W139" s="208"/>
      <c r="X139" s="208"/>
      <c r="Y139" s="208"/>
      <c r="Z139" s="208"/>
      <c r="AA139" s="208"/>
      <c r="AB139" s="208"/>
      <c r="AC139" s="208"/>
      <c r="AD139" s="208"/>
      <c r="AE139" s="208"/>
      <c r="AF139" s="208"/>
      <c r="AG139" s="208"/>
      <c r="AH139" s="208"/>
      <c r="AI139" s="208"/>
      <c r="AJ139" s="208"/>
      <c r="AK139" s="208"/>
      <c r="AL139" s="208"/>
      <c r="AM139" s="208"/>
      <c r="AN139" s="208"/>
      <c r="AO139" s="208"/>
      <c r="AP139" s="208"/>
      <c r="AQ139" s="208"/>
      <c r="AR139" s="208"/>
      <c r="AS139" s="208"/>
      <c r="AT139" s="208"/>
      <c r="AU139" s="208"/>
      <c r="AV139" s="208"/>
      <c r="AW139" s="208"/>
      <c r="AX139" s="208"/>
      <c r="AY139" s="208"/>
      <c r="AZ139" s="208"/>
      <c r="BA139" s="208"/>
    </row>
    <row r="140" spans="1:53" ht="15" customHeight="1" x14ac:dyDescent="0.25">
      <c r="A140" s="207"/>
      <c r="B140" s="208"/>
      <c r="C140" s="208"/>
      <c r="D140" s="208"/>
      <c r="E140" s="208"/>
      <c r="F140" s="208"/>
      <c r="G140" s="208"/>
      <c r="H140" s="208"/>
      <c r="I140" s="208"/>
      <c r="J140" s="208"/>
      <c r="K140" s="208"/>
      <c r="L140" s="208"/>
      <c r="M140" s="208"/>
      <c r="N140" s="208"/>
      <c r="O140" s="208"/>
      <c r="P140" s="208"/>
      <c r="Q140" s="208"/>
      <c r="R140" s="208"/>
      <c r="S140" s="208"/>
      <c r="T140" s="208"/>
      <c r="U140" s="208"/>
      <c r="V140" s="208"/>
      <c r="W140" s="208"/>
      <c r="X140" s="208"/>
      <c r="Y140" s="208"/>
      <c r="Z140" s="208"/>
      <c r="AA140" s="208"/>
      <c r="AB140" s="208"/>
      <c r="AC140" s="208"/>
      <c r="AD140" s="208"/>
      <c r="AE140" s="208"/>
      <c r="AF140" s="208"/>
      <c r="AG140" s="208"/>
      <c r="AH140" s="208"/>
      <c r="AI140" s="208"/>
      <c r="AJ140" s="208"/>
      <c r="AK140" s="208"/>
      <c r="AL140" s="208"/>
      <c r="AM140" s="208"/>
      <c r="AN140" s="208"/>
      <c r="AO140" s="208"/>
      <c r="AP140" s="208"/>
      <c r="AQ140" s="208"/>
      <c r="AR140" s="208"/>
      <c r="AS140" s="208"/>
      <c r="AT140" s="208"/>
      <c r="AU140" s="208"/>
      <c r="AV140" s="208"/>
      <c r="AW140" s="208"/>
      <c r="AX140" s="208"/>
      <c r="AY140" s="208"/>
      <c r="AZ140" s="208"/>
      <c r="BA140" s="208"/>
    </row>
    <row r="141" spans="1:53" ht="15" customHeight="1" x14ac:dyDescent="0.25">
      <c r="A141" s="213" t="s">
        <v>853</v>
      </c>
      <c r="B141" s="208"/>
      <c r="C141" s="208"/>
      <c r="D141" s="208"/>
      <c r="E141" s="208"/>
      <c r="F141" s="208"/>
      <c r="G141" s="208"/>
      <c r="H141" s="208"/>
      <c r="I141" s="208"/>
      <c r="J141" s="208"/>
      <c r="K141" s="208"/>
      <c r="L141" s="208"/>
      <c r="M141" s="208"/>
      <c r="N141" s="208"/>
      <c r="O141" s="208"/>
      <c r="P141" s="208"/>
      <c r="Q141" s="208"/>
      <c r="R141" s="208"/>
      <c r="S141" s="208"/>
      <c r="T141" s="208"/>
      <c r="U141" s="208"/>
      <c r="V141" s="208"/>
      <c r="W141" s="208"/>
      <c r="X141" s="208"/>
      <c r="Y141" s="208"/>
      <c r="Z141" s="208"/>
      <c r="AA141" s="208"/>
      <c r="AB141" s="208"/>
      <c r="AC141" s="208"/>
      <c r="AD141" s="208"/>
      <c r="AE141" s="208"/>
      <c r="AF141" s="208"/>
      <c r="AG141" s="208"/>
      <c r="AH141" s="208"/>
      <c r="AI141" s="208"/>
      <c r="AJ141" s="208"/>
      <c r="AK141" s="208"/>
      <c r="AL141" s="208"/>
      <c r="AM141" s="208"/>
      <c r="AN141" s="208"/>
      <c r="AO141" s="208"/>
      <c r="AP141" s="208"/>
      <c r="AQ141" s="208"/>
      <c r="AR141" s="208"/>
      <c r="AS141" s="208"/>
      <c r="AT141" s="208"/>
      <c r="AU141" s="208"/>
      <c r="AV141" s="208"/>
      <c r="AW141" s="208"/>
      <c r="AX141" s="208"/>
      <c r="AY141" s="208"/>
      <c r="AZ141" s="208"/>
      <c r="BA141" s="208"/>
    </row>
    <row r="142" spans="1:53" ht="15" customHeight="1" x14ac:dyDescent="0.25">
      <c r="A142" s="213" t="s">
        <v>854</v>
      </c>
      <c r="B142" s="208"/>
      <c r="C142" s="208"/>
      <c r="D142" s="208"/>
      <c r="E142" s="208"/>
      <c r="F142" s="208"/>
      <c r="G142" s="208"/>
      <c r="H142" s="208"/>
      <c r="I142" s="208"/>
      <c r="J142" s="208"/>
      <c r="K142" s="208"/>
      <c r="L142" s="208"/>
      <c r="M142" s="208"/>
      <c r="N142" s="208"/>
      <c r="O142" s="208"/>
      <c r="P142" s="208"/>
      <c r="Q142" s="208"/>
      <c r="R142" s="208"/>
      <c r="S142" s="208"/>
      <c r="T142" s="208"/>
      <c r="U142" s="208"/>
      <c r="V142" s="208"/>
      <c r="W142" s="208"/>
      <c r="X142" s="208"/>
      <c r="Y142" s="208"/>
      <c r="Z142" s="208"/>
      <c r="AA142" s="208"/>
      <c r="AB142" s="208"/>
      <c r="AC142" s="208"/>
      <c r="AD142" s="208"/>
      <c r="AE142" s="208"/>
      <c r="AF142" s="208"/>
      <c r="AG142" s="208"/>
      <c r="AH142" s="208"/>
      <c r="AI142" s="208"/>
      <c r="AJ142" s="208"/>
      <c r="AK142" s="208"/>
      <c r="AL142" s="208"/>
      <c r="AM142" s="208"/>
      <c r="AN142" s="208"/>
      <c r="AO142" s="208"/>
      <c r="AP142" s="208"/>
      <c r="AQ142" s="208"/>
      <c r="AR142" s="208"/>
      <c r="AS142" s="208"/>
      <c r="AT142" s="208"/>
      <c r="AU142" s="208"/>
      <c r="AV142" s="208"/>
      <c r="AW142" s="208"/>
      <c r="AX142" s="208"/>
      <c r="AY142" s="208"/>
      <c r="AZ142" s="208"/>
      <c r="BA142" s="208"/>
    </row>
    <row r="143" spans="1:53" ht="15" customHeight="1" x14ac:dyDescent="0.25">
      <c r="A143" s="213" t="s">
        <v>855</v>
      </c>
      <c r="B143" s="208"/>
      <c r="C143" s="208"/>
      <c r="D143" s="208"/>
      <c r="E143" s="208"/>
      <c r="F143" s="208"/>
      <c r="G143" s="208"/>
      <c r="H143" s="208"/>
      <c r="I143" s="208"/>
      <c r="J143" s="208"/>
      <c r="K143" s="208"/>
      <c r="L143" s="208"/>
      <c r="M143" s="208"/>
      <c r="N143" s="208"/>
      <c r="O143" s="208"/>
      <c r="P143" s="208"/>
      <c r="Q143" s="208"/>
      <c r="R143" s="208"/>
      <c r="S143" s="208"/>
      <c r="T143" s="208"/>
      <c r="U143" s="208"/>
      <c r="V143" s="208"/>
      <c r="W143" s="208"/>
      <c r="X143" s="208"/>
      <c r="Y143" s="208"/>
      <c r="Z143" s="208"/>
      <c r="AA143" s="208"/>
      <c r="AB143" s="208"/>
      <c r="AC143" s="208"/>
      <c r="AD143" s="208"/>
      <c r="AE143" s="208"/>
      <c r="AF143" s="208"/>
      <c r="AG143" s="208"/>
      <c r="AH143" s="208"/>
      <c r="AI143" s="208"/>
      <c r="AJ143" s="208"/>
      <c r="AK143" s="208"/>
      <c r="AL143" s="208"/>
      <c r="AM143" s="208"/>
      <c r="AN143" s="208"/>
      <c r="AO143" s="208"/>
      <c r="AP143" s="208"/>
      <c r="AQ143" s="208"/>
      <c r="AR143" s="208"/>
      <c r="AS143" s="208"/>
      <c r="AT143" s="208"/>
      <c r="AU143" s="208"/>
      <c r="AV143" s="208"/>
      <c r="AW143" s="208"/>
      <c r="AX143" s="208"/>
      <c r="AY143" s="208"/>
      <c r="AZ143" s="208"/>
      <c r="BA143" s="208"/>
    </row>
    <row r="144" spans="1:53" ht="15" customHeight="1" x14ac:dyDescent="0.25">
      <c r="A144" s="213" t="s">
        <v>856</v>
      </c>
      <c r="B144" s="208"/>
      <c r="C144" s="208"/>
      <c r="D144" s="208"/>
      <c r="E144" s="208"/>
      <c r="F144" s="208"/>
      <c r="G144" s="208"/>
      <c r="H144" s="208"/>
      <c r="I144" s="208"/>
      <c r="J144" s="208"/>
      <c r="K144" s="208"/>
      <c r="L144" s="208"/>
      <c r="M144" s="208"/>
      <c r="N144" s="208"/>
      <c r="O144" s="208"/>
      <c r="P144" s="208"/>
      <c r="Q144" s="208"/>
      <c r="R144" s="208"/>
      <c r="S144" s="208"/>
      <c r="T144" s="208"/>
      <c r="U144" s="208"/>
      <c r="V144" s="208"/>
      <c r="W144" s="208"/>
      <c r="X144" s="208"/>
      <c r="Y144" s="208"/>
      <c r="Z144" s="208"/>
      <c r="AA144" s="208"/>
      <c r="AB144" s="208"/>
      <c r="AC144" s="208"/>
      <c r="AD144" s="208"/>
      <c r="AE144" s="208"/>
      <c r="AF144" s="208"/>
      <c r="AG144" s="208"/>
      <c r="AH144" s="208"/>
      <c r="AI144" s="208"/>
      <c r="AJ144" s="208"/>
      <c r="AK144" s="208"/>
      <c r="AL144" s="208"/>
      <c r="AM144" s="208"/>
      <c r="AN144" s="208"/>
      <c r="AO144" s="208"/>
      <c r="AP144" s="208"/>
      <c r="AQ144" s="208"/>
      <c r="AR144" s="208"/>
      <c r="AS144" s="208"/>
      <c r="AT144" s="208"/>
      <c r="AU144" s="208"/>
      <c r="AV144" s="208"/>
      <c r="AW144" s="208"/>
      <c r="AX144" s="208"/>
      <c r="AY144" s="208"/>
      <c r="AZ144" s="208"/>
      <c r="BA144" s="208"/>
    </row>
    <row r="145" spans="1:53" ht="15" customHeight="1" x14ac:dyDescent="0.25">
      <c r="A145" s="213" t="s">
        <v>857</v>
      </c>
      <c r="B145" s="208"/>
      <c r="C145" s="208"/>
      <c r="D145" s="208"/>
      <c r="E145" s="208"/>
      <c r="F145" s="208"/>
      <c r="G145" s="208"/>
      <c r="H145" s="208"/>
      <c r="I145" s="208"/>
      <c r="J145" s="208"/>
      <c r="K145" s="208"/>
      <c r="L145" s="208"/>
      <c r="M145" s="208"/>
      <c r="N145" s="208"/>
      <c r="O145" s="208"/>
      <c r="P145" s="208"/>
      <c r="Q145" s="208"/>
      <c r="R145" s="208"/>
      <c r="S145" s="208"/>
      <c r="T145" s="208"/>
      <c r="U145" s="208"/>
      <c r="V145" s="208"/>
      <c r="W145" s="208"/>
      <c r="X145" s="208"/>
      <c r="Y145" s="208"/>
      <c r="Z145" s="208"/>
      <c r="AA145" s="208"/>
      <c r="AB145" s="208"/>
      <c r="AC145" s="208"/>
      <c r="AD145" s="208"/>
      <c r="AE145" s="208"/>
      <c r="AF145" s="208"/>
      <c r="AG145" s="208"/>
      <c r="AH145" s="208"/>
      <c r="AI145" s="208"/>
      <c r="AJ145" s="208"/>
      <c r="AK145" s="208"/>
      <c r="AL145" s="208"/>
      <c r="AM145" s="208"/>
      <c r="AN145" s="208"/>
      <c r="AO145" s="208"/>
      <c r="AP145" s="208"/>
      <c r="AQ145" s="208"/>
      <c r="AR145" s="208"/>
      <c r="AS145" s="208"/>
      <c r="AT145" s="208"/>
      <c r="AU145" s="208"/>
      <c r="AV145" s="208"/>
      <c r="AW145" s="208"/>
      <c r="AX145" s="208"/>
      <c r="AY145" s="208"/>
      <c r="AZ145" s="208"/>
      <c r="BA145" s="208"/>
    </row>
    <row r="146" spans="1:53" ht="15" customHeight="1" x14ac:dyDescent="0.25">
      <c r="A146" s="213" t="s">
        <v>858</v>
      </c>
      <c r="B146" s="208"/>
      <c r="C146" s="208"/>
      <c r="D146" s="208"/>
      <c r="E146" s="208"/>
      <c r="F146" s="208"/>
      <c r="G146" s="208"/>
      <c r="H146" s="208"/>
      <c r="I146" s="208"/>
      <c r="J146" s="208"/>
      <c r="K146" s="208"/>
      <c r="L146" s="208"/>
      <c r="M146" s="208"/>
      <c r="N146" s="208"/>
      <c r="O146" s="208"/>
      <c r="P146" s="208"/>
      <c r="Q146" s="208"/>
      <c r="R146" s="208"/>
      <c r="S146" s="208"/>
      <c r="T146" s="208"/>
      <c r="U146" s="208"/>
      <c r="V146" s="208"/>
      <c r="W146" s="208"/>
      <c r="X146" s="208"/>
      <c r="Y146" s="208"/>
      <c r="Z146" s="208"/>
      <c r="AA146" s="208"/>
      <c r="AB146" s="208"/>
      <c r="AC146" s="208"/>
      <c r="AD146" s="208"/>
      <c r="AE146" s="208"/>
      <c r="AF146" s="208"/>
      <c r="AG146" s="208"/>
      <c r="AH146" s="208"/>
      <c r="AI146" s="208"/>
      <c r="AJ146" s="208"/>
      <c r="AK146" s="208"/>
      <c r="AL146" s="208"/>
      <c r="AM146" s="208"/>
      <c r="AN146" s="208"/>
      <c r="AO146" s="208"/>
      <c r="AP146" s="208"/>
      <c r="AQ146" s="208"/>
      <c r="AR146" s="208"/>
      <c r="AS146" s="208"/>
      <c r="AT146" s="208"/>
      <c r="AU146" s="208"/>
      <c r="AV146" s="208"/>
      <c r="AW146" s="208"/>
      <c r="AX146" s="208"/>
      <c r="AY146" s="208"/>
      <c r="AZ146" s="208"/>
      <c r="BA146" s="208"/>
    </row>
    <row r="147" spans="1:53" ht="15" customHeight="1" x14ac:dyDescent="0.25">
      <c r="A147" s="207"/>
      <c r="B147" s="208"/>
      <c r="C147" s="208"/>
      <c r="D147" s="208"/>
      <c r="E147" s="208"/>
      <c r="F147" s="208"/>
      <c r="G147" s="208"/>
      <c r="H147" s="208"/>
      <c r="I147" s="208"/>
      <c r="J147" s="208"/>
      <c r="K147" s="208"/>
      <c r="L147" s="208"/>
      <c r="M147" s="208"/>
      <c r="N147" s="208"/>
      <c r="O147" s="208"/>
      <c r="P147" s="208"/>
      <c r="Q147" s="208"/>
      <c r="R147" s="208"/>
      <c r="S147" s="208"/>
      <c r="T147" s="208"/>
      <c r="U147" s="208"/>
      <c r="V147" s="208"/>
      <c r="W147" s="208"/>
      <c r="X147" s="208"/>
      <c r="Y147" s="208"/>
      <c r="Z147" s="208"/>
      <c r="AA147" s="208"/>
      <c r="AB147" s="208"/>
      <c r="AC147" s="208"/>
      <c r="AD147" s="208"/>
      <c r="AE147" s="208"/>
      <c r="AF147" s="208"/>
      <c r="AG147" s="208"/>
      <c r="AH147" s="208"/>
      <c r="AI147" s="208"/>
      <c r="AJ147" s="208"/>
      <c r="AK147" s="208"/>
      <c r="AL147" s="208"/>
      <c r="AM147" s="208"/>
      <c r="AN147" s="208"/>
      <c r="AO147" s="208"/>
      <c r="AP147" s="208"/>
      <c r="AQ147" s="208"/>
      <c r="AR147" s="208"/>
      <c r="AS147" s="208"/>
      <c r="AT147" s="208"/>
      <c r="AU147" s="208"/>
      <c r="AV147" s="208"/>
      <c r="AW147" s="208"/>
      <c r="AX147" s="208"/>
      <c r="AY147" s="208"/>
      <c r="AZ147" s="208"/>
      <c r="BA147" s="208"/>
    </row>
    <row r="148" spans="1:53" ht="15" customHeight="1" x14ac:dyDescent="0.25">
      <c r="A148" s="207"/>
      <c r="B148" s="208"/>
      <c r="C148" s="208"/>
      <c r="D148" s="208"/>
      <c r="E148" s="208"/>
      <c r="F148" s="208"/>
      <c r="G148" s="208"/>
      <c r="H148" s="208"/>
      <c r="I148" s="208"/>
      <c r="J148" s="208"/>
      <c r="K148" s="208"/>
      <c r="L148" s="208"/>
      <c r="M148" s="208"/>
      <c r="N148" s="208"/>
      <c r="O148" s="208"/>
      <c r="P148" s="208"/>
      <c r="Q148" s="208"/>
      <c r="R148" s="208"/>
      <c r="S148" s="208"/>
      <c r="T148" s="208"/>
      <c r="U148" s="208"/>
      <c r="V148" s="208"/>
      <c r="W148" s="208"/>
      <c r="X148" s="208"/>
      <c r="Y148" s="208"/>
      <c r="Z148" s="208"/>
      <c r="AA148" s="208"/>
      <c r="AB148" s="208"/>
      <c r="AC148" s="208"/>
      <c r="AD148" s="208"/>
      <c r="AE148" s="208"/>
      <c r="AF148" s="208"/>
      <c r="AG148" s="208"/>
      <c r="AH148" s="208"/>
      <c r="AI148" s="208"/>
      <c r="AJ148" s="208"/>
      <c r="AK148" s="208"/>
      <c r="AL148" s="208"/>
      <c r="AM148" s="208"/>
      <c r="AN148" s="208"/>
      <c r="AO148" s="208"/>
      <c r="AP148" s="208"/>
      <c r="AQ148" s="208"/>
      <c r="AR148" s="208"/>
      <c r="AS148" s="208"/>
      <c r="AT148" s="208"/>
      <c r="AU148" s="208"/>
      <c r="AV148" s="208"/>
      <c r="AW148" s="208"/>
      <c r="AX148" s="208"/>
      <c r="AY148" s="208"/>
      <c r="AZ148" s="208"/>
      <c r="BA148" s="208"/>
    </row>
    <row r="149" spans="1:53" ht="15" customHeight="1" x14ac:dyDescent="0.25">
      <c r="A149" s="213" t="s">
        <v>859</v>
      </c>
      <c r="B149" s="208"/>
      <c r="C149" s="208"/>
      <c r="D149" s="208"/>
      <c r="E149" s="208"/>
      <c r="F149" s="208"/>
      <c r="G149" s="208"/>
      <c r="H149" s="208"/>
      <c r="I149" s="208"/>
      <c r="J149" s="208"/>
      <c r="K149" s="208"/>
      <c r="L149" s="208"/>
      <c r="M149" s="208"/>
      <c r="N149" s="208"/>
      <c r="O149" s="208"/>
      <c r="P149" s="208"/>
      <c r="Q149" s="208"/>
      <c r="R149" s="208"/>
      <c r="S149" s="208"/>
      <c r="T149" s="208"/>
      <c r="U149" s="208"/>
      <c r="V149" s="208"/>
      <c r="W149" s="208"/>
      <c r="X149" s="208"/>
      <c r="Y149" s="208"/>
      <c r="Z149" s="208"/>
      <c r="AA149" s="208"/>
      <c r="AB149" s="208"/>
      <c r="AC149" s="208"/>
      <c r="AD149" s="208"/>
      <c r="AE149" s="208"/>
      <c r="AF149" s="208"/>
      <c r="AG149" s="208"/>
      <c r="AH149" s="208"/>
      <c r="AI149" s="208"/>
      <c r="AJ149" s="208"/>
      <c r="AK149" s="208"/>
      <c r="AL149" s="208"/>
      <c r="AM149" s="208"/>
      <c r="AN149" s="208"/>
      <c r="AO149" s="208"/>
      <c r="AP149" s="208"/>
      <c r="AQ149" s="208"/>
      <c r="AR149" s="208"/>
      <c r="AS149" s="208"/>
      <c r="AT149" s="208"/>
      <c r="AU149" s="208"/>
      <c r="AV149" s="208"/>
      <c r="AW149" s="208"/>
      <c r="AX149" s="208"/>
      <c r="AY149" s="208"/>
      <c r="AZ149" s="208"/>
      <c r="BA149" s="208"/>
    </row>
    <row r="150" spans="1:53" ht="15" customHeight="1" x14ac:dyDescent="0.25">
      <c r="A150" s="213" t="s">
        <v>860</v>
      </c>
      <c r="B150" s="208"/>
      <c r="C150" s="208"/>
      <c r="D150" s="208"/>
      <c r="E150" s="208"/>
      <c r="F150" s="208"/>
      <c r="G150" s="208"/>
      <c r="H150" s="208"/>
      <c r="I150" s="208"/>
      <c r="J150" s="208"/>
      <c r="K150" s="208"/>
      <c r="L150" s="208"/>
      <c r="M150" s="208"/>
      <c r="N150" s="208"/>
      <c r="O150" s="208"/>
      <c r="P150" s="208"/>
      <c r="Q150" s="208"/>
      <c r="R150" s="208"/>
      <c r="S150" s="208"/>
      <c r="T150" s="208"/>
      <c r="U150" s="208"/>
      <c r="V150" s="208"/>
      <c r="W150" s="208"/>
      <c r="X150" s="208"/>
      <c r="Y150" s="208"/>
      <c r="Z150" s="208"/>
      <c r="AA150" s="208"/>
      <c r="AB150" s="208"/>
      <c r="AC150" s="208"/>
      <c r="AD150" s="208"/>
      <c r="AE150" s="208"/>
      <c r="AF150" s="208"/>
      <c r="AG150" s="208"/>
      <c r="AH150" s="208"/>
      <c r="AI150" s="208"/>
      <c r="AJ150" s="208"/>
      <c r="AK150" s="208"/>
      <c r="AL150" s="208"/>
      <c r="AM150" s="208"/>
      <c r="AN150" s="208"/>
      <c r="AO150" s="208"/>
      <c r="AP150" s="208"/>
      <c r="AQ150" s="208"/>
      <c r="AR150" s="208"/>
      <c r="AS150" s="208"/>
      <c r="AT150" s="208"/>
      <c r="AU150" s="208"/>
      <c r="AV150" s="208"/>
      <c r="AW150" s="208"/>
      <c r="AX150" s="208"/>
      <c r="AY150" s="208"/>
      <c r="AZ150" s="208"/>
      <c r="BA150" s="208"/>
    </row>
    <row r="151" spans="1:53" ht="15" customHeight="1" x14ac:dyDescent="0.25">
      <c r="A151" s="213" t="s">
        <v>861</v>
      </c>
      <c r="B151" s="208"/>
      <c r="C151" s="208"/>
      <c r="D151" s="208"/>
      <c r="E151" s="208"/>
      <c r="F151" s="208"/>
      <c r="G151" s="208"/>
      <c r="H151" s="208"/>
      <c r="I151" s="208"/>
      <c r="J151" s="208"/>
      <c r="K151" s="208"/>
      <c r="L151" s="208"/>
      <c r="M151" s="208"/>
      <c r="N151" s="208"/>
      <c r="O151" s="208"/>
      <c r="P151" s="208"/>
      <c r="Q151" s="208"/>
      <c r="R151" s="208"/>
      <c r="S151" s="208"/>
      <c r="T151" s="208"/>
      <c r="U151" s="208"/>
      <c r="V151" s="208"/>
      <c r="W151" s="208"/>
      <c r="X151" s="208"/>
      <c r="Y151" s="208"/>
      <c r="Z151" s="208"/>
      <c r="AA151" s="208"/>
      <c r="AB151" s="208"/>
      <c r="AC151" s="208"/>
      <c r="AD151" s="208"/>
      <c r="AE151" s="208"/>
      <c r="AF151" s="208"/>
      <c r="AG151" s="208"/>
      <c r="AH151" s="208"/>
      <c r="AI151" s="208"/>
      <c r="AJ151" s="208"/>
      <c r="AK151" s="208"/>
      <c r="AL151" s="208"/>
      <c r="AM151" s="208"/>
      <c r="AN151" s="208"/>
      <c r="AO151" s="208"/>
      <c r="AP151" s="208"/>
      <c r="AQ151" s="208"/>
      <c r="AR151" s="208"/>
      <c r="AS151" s="208"/>
      <c r="AT151" s="208"/>
      <c r="AU151" s="208"/>
      <c r="AV151" s="208"/>
      <c r="AW151" s="208"/>
      <c r="AX151" s="208"/>
      <c r="AY151" s="208"/>
      <c r="AZ151" s="208"/>
      <c r="BA151" s="208"/>
    </row>
    <row r="152" spans="1:53" ht="15" customHeight="1" x14ac:dyDescent="0.25">
      <c r="A152" s="213" t="s">
        <v>862</v>
      </c>
      <c r="B152" s="208"/>
      <c r="C152" s="208"/>
      <c r="D152" s="208"/>
      <c r="E152" s="208"/>
      <c r="F152" s="208"/>
      <c r="G152" s="208"/>
      <c r="H152" s="208"/>
      <c r="I152" s="208"/>
      <c r="J152" s="208"/>
      <c r="K152" s="208"/>
      <c r="L152" s="208"/>
      <c r="M152" s="208"/>
      <c r="N152" s="208"/>
      <c r="O152" s="208"/>
      <c r="P152" s="208"/>
      <c r="Q152" s="208"/>
      <c r="R152" s="208"/>
      <c r="S152" s="208"/>
      <c r="T152" s="208"/>
      <c r="U152" s="208"/>
      <c r="V152" s="208"/>
      <c r="W152" s="208"/>
      <c r="X152" s="208"/>
      <c r="Y152" s="208"/>
      <c r="Z152" s="208"/>
      <c r="AA152" s="208"/>
      <c r="AB152" s="208"/>
      <c r="AC152" s="208"/>
      <c r="AD152" s="208"/>
      <c r="AE152" s="208"/>
      <c r="AF152" s="208"/>
      <c r="AG152" s="208"/>
      <c r="AH152" s="208"/>
      <c r="AI152" s="208"/>
      <c r="AJ152" s="208"/>
      <c r="AK152" s="208"/>
      <c r="AL152" s="208"/>
      <c r="AM152" s="208"/>
      <c r="AN152" s="208"/>
      <c r="AO152" s="208"/>
      <c r="AP152" s="208"/>
      <c r="AQ152" s="208"/>
      <c r="AR152" s="208"/>
      <c r="AS152" s="208"/>
      <c r="AT152" s="208"/>
      <c r="AU152" s="208"/>
      <c r="AV152" s="208"/>
      <c r="AW152" s="208"/>
      <c r="AX152" s="208"/>
      <c r="AY152" s="208"/>
      <c r="AZ152" s="208"/>
      <c r="BA152" s="208"/>
    </row>
    <row r="153" spans="1:53" ht="15" customHeight="1" x14ac:dyDescent="0.25">
      <c r="A153" s="213" t="s">
        <v>863</v>
      </c>
      <c r="B153" s="208"/>
      <c r="C153" s="208"/>
      <c r="D153" s="208"/>
      <c r="E153" s="208"/>
      <c r="F153" s="208"/>
      <c r="G153" s="208"/>
      <c r="H153" s="208"/>
      <c r="I153" s="208"/>
      <c r="J153" s="208"/>
      <c r="K153" s="208"/>
      <c r="L153" s="208"/>
      <c r="M153" s="208"/>
      <c r="N153" s="208"/>
      <c r="O153" s="208"/>
      <c r="P153" s="208"/>
      <c r="Q153" s="208"/>
      <c r="R153" s="208"/>
      <c r="S153" s="208"/>
      <c r="T153" s="208"/>
      <c r="U153" s="208"/>
      <c r="V153" s="208"/>
      <c r="W153" s="208"/>
      <c r="X153" s="208"/>
      <c r="Y153" s="208"/>
      <c r="Z153" s="208"/>
      <c r="AA153" s="208"/>
      <c r="AB153" s="208"/>
      <c r="AC153" s="208"/>
      <c r="AD153" s="208"/>
      <c r="AE153" s="208"/>
      <c r="AF153" s="208"/>
      <c r="AG153" s="208"/>
      <c r="AH153" s="208"/>
      <c r="AI153" s="208"/>
      <c r="AJ153" s="208"/>
      <c r="AK153" s="208"/>
      <c r="AL153" s="208"/>
      <c r="AM153" s="208"/>
      <c r="AN153" s="208"/>
      <c r="AO153" s="208"/>
      <c r="AP153" s="208"/>
      <c r="AQ153" s="208"/>
      <c r="AR153" s="208"/>
      <c r="AS153" s="208"/>
      <c r="AT153" s="208"/>
      <c r="AU153" s="208"/>
      <c r="AV153" s="208"/>
      <c r="AW153" s="208"/>
      <c r="AX153" s="208"/>
      <c r="AY153" s="208"/>
      <c r="AZ153" s="208"/>
      <c r="BA153" s="208"/>
    </row>
    <row r="154" spans="1:53" ht="15" customHeight="1" x14ac:dyDescent="0.25">
      <c r="A154" s="213" t="s">
        <v>864</v>
      </c>
      <c r="B154" s="208"/>
      <c r="C154" s="208"/>
      <c r="D154" s="208"/>
      <c r="E154" s="208"/>
      <c r="F154" s="208"/>
      <c r="G154" s="208"/>
      <c r="H154" s="208"/>
      <c r="I154" s="208"/>
      <c r="J154" s="208"/>
      <c r="K154" s="208"/>
      <c r="L154" s="208"/>
      <c r="M154" s="208"/>
      <c r="N154" s="208"/>
      <c r="O154" s="208"/>
      <c r="P154" s="208"/>
      <c r="Q154" s="208"/>
      <c r="R154" s="208"/>
      <c r="S154" s="208"/>
      <c r="T154" s="208"/>
      <c r="U154" s="208"/>
      <c r="V154" s="208"/>
      <c r="W154" s="208"/>
      <c r="X154" s="208"/>
      <c r="Y154" s="208"/>
      <c r="Z154" s="208"/>
      <c r="AA154" s="208"/>
      <c r="AB154" s="208"/>
      <c r="AC154" s="208"/>
      <c r="AD154" s="208"/>
      <c r="AE154" s="208"/>
      <c r="AF154" s="208"/>
      <c r="AG154" s="208"/>
      <c r="AH154" s="208"/>
      <c r="AI154" s="208"/>
      <c r="AJ154" s="208"/>
      <c r="AK154" s="208"/>
      <c r="AL154" s="208"/>
      <c r="AM154" s="208"/>
      <c r="AN154" s="208"/>
      <c r="AO154" s="208"/>
      <c r="AP154" s="208"/>
      <c r="AQ154" s="208"/>
      <c r="AR154" s="208"/>
      <c r="AS154" s="208"/>
      <c r="AT154" s="208"/>
      <c r="AU154" s="208"/>
      <c r="AV154" s="208"/>
      <c r="AW154" s="208"/>
      <c r="AX154" s="208"/>
      <c r="AY154" s="208"/>
      <c r="AZ154" s="208"/>
      <c r="BA154" s="208"/>
    </row>
    <row r="155" spans="1:53" ht="15" customHeight="1" x14ac:dyDescent="0.25">
      <c r="A155" s="207"/>
      <c r="B155" s="208"/>
      <c r="C155" s="208"/>
      <c r="D155" s="208"/>
      <c r="E155" s="208"/>
      <c r="F155" s="208"/>
      <c r="G155" s="208"/>
      <c r="H155" s="208"/>
      <c r="I155" s="208"/>
      <c r="J155" s="208"/>
      <c r="K155" s="208"/>
      <c r="L155" s="208"/>
      <c r="M155" s="208"/>
      <c r="N155" s="208"/>
      <c r="O155" s="208"/>
      <c r="P155" s="208"/>
      <c r="Q155" s="208"/>
      <c r="R155" s="208"/>
      <c r="S155" s="208"/>
      <c r="T155" s="208"/>
      <c r="U155" s="208"/>
      <c r="V155" s="208"/>
      <c r="W155" s="208"/>
      <c r="X155" s="208"/>
      <c r="Y155" s="208"/>
      <c r="Z155" s="208"/>
      <c r="AA155" s="208"/>
      <c r="AB155" s="208"/>
      <c r="AC155" s="208"/>
      <c r="AD155" s="208"/>
      <c r="AE155" s="208"/>
      <c r="AF155" s="208"/>
      <c r="AG155" s="208"/>
      <c r="AH155" s="208"/>
      <c r="AI155" s="208"/>
      <c r="AJ155" s="208"/>
      <c r="AK155" s="208"/>
      <c r="AL155" s="208"/>
      <c r="AM155" s="208"/>
      <c r="AN155" s="208"/>
      <c r="AO155" s="208"/>
      <c r="AP155" s="208"/>
      <c r="AQ155" s="208"/>
      <c r="AR155" s="208"/>
      <c r="AS155" s="208"/>
      <c r="AT155" s="208"/>
      <c r="AU155" s="208"/>
      <c r="AV155" s="208"/>
      <c r="AW155" s="208"/>
      <c r="AX155" s="208"/>
      <c r="AY155" s="208"/>
      <c r="AZ155" s="208"/>
      <c r="BA155" s="208"/>
    </row>
    <row r="156" spans="1:53" ht="15" customHeight="1" x14ac:dyDescent="0.25">
      <c r="A156" s="207"/>
      <c r="B156" s="208"/>
      <c r="C156" s="208"/>
      <c r="D156" s="208"/>
      <c r="E156" s="208"/>
      <c r="F156" s="208"/>
      <c r="G156" s="208"/>
      <c r="H156" s="208"/>
      <c r="I156" s="208"/>
      <c r="J156" s="208"/>
      <c r="K156" s="208"/>
      <c r="L156" s="208"/>
      <c r="M156" s="208"/>
      <c r="N156" s="208"/>
      <c r="O156" s="208"/>
      <c r="P156" s="208"/>
      <c r="Q156" s="208"/>
      <c r="R156" s="208"/>
      <c r="S156" s="208"/>
      <c r="T156" s="208"/>
      <c r="U156" s="208"/>
      <c r="V156" s="208"/>
      <c r="W156" s="208"/>
      <c r="X156" s="208"/>
      <c r="Y156" s="208"/>
      <c r="Z156" s="208"/>
      <c r="AA156" s="208"/>
      <c r="AB156" s="208"/>
      <c r="AC156" s="208"/>
      <c r="AD156" s="208"/>
      <c r="AE156" s="208"/>
      <c r="AF156" s="208"/>
      <c r="AG156" s="208"/>
      <c r="AH156" s="208"/>
      <c r="AI156" s="208"/>
      <c r="AJ156" s="208"/>
      <c r="AK156" s="208"/>
      <c r="AL156" s="208"/>
      <c r="AM156" s="208"/>
      <c r="AN156" s="208"/>
      <c r="AO156" s="208"/>
      <c r="AP156" s="208"/>
      <c r="AQ156" s="208"/>
      <c r="AR156" s="208"/>
      <c r="AS156" s="208"/>
      <c r="AT156" s="208"/>
      <c r="AU156" s="208"/>
      <c r="AV156" s="208"/>
      <c r="AW156" s="208"/>
      <c r="AX156" s="208"/>
      <c r="AY156" s="208"/>
      <c r="AZ156" s="208"/>
      <c r="BA156" s="208"/>
    </row>
    <row r="157" spans="1:53" ht="15" customHeight="1" x14ac:dyDescent="0.25">
      <c r="A157" s="213" t="s">
        <v>865</v>
      </c>
      <c r="B157" s="208"/>
      <c r="C157" s="208"/>
      <c r="D157" s="208"/>
      <c r="E157" s="208"/>
      <c r="F157" s="208"/>
      <c r="G157" s="208"/>
      <c r="H157" s="208"/>
      <c r="I157" s="208"/>
      <c r="J157" s="208"/>
      <c r="K157" s="208"/>
      <c r="L157" s="208"/>
      <c r="M157" s="208"/>
      <c r="N157" s="208"/>
      <c r="O157" s="208"/>
      <c r="P157" s="208"/>
      <c r="Q157" s="208"/>
      <c r="R157" s="208"/>
      <c r="S157" s="208"/>
      <c r="T157" s="208"/>
      <c r="U157" s="208"/>
      <c r="V157" s="208"/>
      <c r="W157" s="208"/>
      <c r="X157" s="208"/>
      <c r="Y157" s="208"/>
      <c r="Z157" s="208"/>
      <c r="AA157" s="208"/>
      <c r="AB157" s="208"/>
      <c r="AC157" s="208"/>
      <c r="AD157" s="208"/>
      <c r="AE157" s="208"/>
      <c r="AF157" s="208"/>
      <c r="AG157" s="208"/>
      <c r="AH157" s="208"/>
      <c r="AI157" s="208"/>
      <c r="AJ157" s="208"/>
      <c r="AK157" s="208"/>
      <c r="AL157" s="208"/>
      <c r="AM157" s="208"/>
      <c r="AN157" s="208"/>
      <c r="AO157" s="208"/>
      <c r="AP157" s="208"/>
      <c r="AQ157" s="208"/>
      <c r="AR157" s="208"/>
      <c r="AS157" s="208"/>
      <c r="AT157" s="208"/>
      <c r="AU157" s="208"/>
      <c r="AV157" s="208"/>
      <c r="AW157" s="208"/>
      <c r="AX157" s="208"/>
      <c r="AY157" s="208"/>
      <c r="AZ157" s="208"/>
      <c r="BA157" s="208"/>
    </row>
    <row r="158" spans="1:53" ht="15" customHeight="1" x14ac:dyDescent="0.25">
      <c r="A158" s="213" t="s">
        <v>866</v>
      </c>
      <c r="B158" s="208"/>
      <c r="C158" s="208"/>
      <c r="D158" s="208"/>
      <c r="E158" s="208"/>
      <c r="F158" s="208"/>
      <c r="G158" s="208"/>
      <c r="H158" s="208"/>
      <c r="I158" s="208"/>
      <c r="J158" s="208"/>
      <c r="K158" s="208"/>
      <c r="L158" s="208"/>
      <c r="M158" s="208"/>
      <c r="N158" s="208"/>
      <c r="O158" s="208"/>
      <c r="P158" s="208"/>
      <c r="Q158" s="208"/>
      <c r="R158" s="208"/>
      <c r="S158" s="208"/>
      <c r="T158" s="208"/>
      <c r="U158" s="208"/>
      <c r="V158" s="208"/>
      <c r="W158" s="208"/>
      <c r="X158" s="208"/>
      <c r="Y158" s="208"/>
      <c r="Z158" s="208"/>
      <c r="AA158" s="208"/>
      <c r="AB158" s="208"/>
      <c r="AC158" s="208"/>
      <c r="AD158" s="208"/>
      <c r="AE158" s="208"/>
      <c r="AF158" s="208"/>
      <c r="AG158" s="208"/>
      <c r="AH158" s="208"/>
      <c r="AI158" s="208"/>
      <c r="AJ158" s="208"/>
      <c r="AK158" s="208"/>
      <c r="AL158" s="208"/>
      <c r="AM158" s="208"/>
      <c r="AN158" s="208"/>
      <c r="AO158" s="208"/>
      <c r="AP158" s="208"/>
      <c r="AQ158" s="208"/>
      <c r="AR158" s="208"/>
      <c r="AS158" s="208"/>
      <c r="AT158" s="208"/>
      <c r="AU158" s="208"/>
      <c r="AV158" s="208"/>
      <c r="AW158" s="208"/>
      <c r="AX158" s="208"/>
      <c r="AY158" s="208"/>
      <c r="AZ158" s="208"/>
      <c r="BA158" s="208"/>
    </row>
    <row r="159" spans="1:53" ht="15" customHeight="1" x14ac:dyDescent="0.25">
      <c r="A159" s="213" t="s">
        <v>867</v>
      </c>
      <c r="B159" s="208"/>
      <c r="C159" s="208"/>
      <c r="D159" s="208"/>
      <c r="E159" s="208"/>
      <c r="F159" s="208"/>
      <c r="G159" s="208"/>
      <c r="H159" s="208"/>
      <c r="I159" s="208"/>
      <c r="J159" s="208"/>
      <c r="K159" s="208"/>
      <c r="L159" s="208"/>
      <c r="M159" s="208"/>
      <c r="N159" s="208"/>
      <c r="O159" s="208"/>
      <c r="P159" s="208"/>
      <c r="Q159" s="208"/>
      <c r="R159" s="208"/>
      <c r="S159" s="208"/>
      <c r="T159" s="208"/>
      <c r="U159" s="208"/>
      <c r="V159" s="208"/>
      <c r="W159" s="208"/>
      <c r="X159" s="208"/>
      <c r="Y159" s="208"/>
      <c r="Z159" s="208"/>
      <c r="AA159" s="208"/>
      <c r="AB159" s="208"/>
      <c r="AC159" s="208"/>
      <c r="AD159" s="208"/>
      <c r="AE159" s="208"/>
      <c r="AF159" s="208" t="s">
        <v>639</v>
      </c>
      <c r="AG159" s="208"/>
      <c r="AH159" s="208"/>
      <c r="AI159" s="208"/>
      <c r="AJ159" s="208"/>
      <c r="AK159" s="208"/>
      <c r="AL159" s="208"/>
      <c r="AM159" s="208"/>
      <c r="AN159" s="208"/>
      <c r="AO159" s="208"/>
      <c r="AP159" s="208"/>
      <c r="AQ159" s="208"/>
      <c r="AR159" s="208"/>
      <c r="AS159" s="208"/>
      <c r="AT159" s="208"/>
      <c r="AU159" s="208"/>
      <c r="AV159" s="208"/>
      <c r="AW159" s="208"/>
      <c r="AX159" s="208"/>
      <c r="AY159" s="208"/>
      <c r="AZ159" s="208"/>
      <c r="BA159" s="208"/>
    </row>
    <row r="212" spans="2:32" ht="15" customHeight="1" x14ac:dyDescent="0.25">
      <c r="B212" s="207"/>
      <c r="C212" s="207"/>
      <c r="D212" s="207"/>
      <c r="E212" s="207"/>
      <c r="F212" s="207"/>
      <c r="G212" s="207"/>
      <c r="H212" s="207"/>
      <c r="I212" s="207"/>
      <c r="J212" s="207"/>
      <c r="K212" s="207"/>
      <c r="L212" s="207"/>
      <c r="M212" s="207"/>
      <c r="N212" s="207"/>
      <c r="O212" s="207"/>
      <c r="P212" s="207"/>
      <c r="Q212" s="207"/>
      <c r="R212" s="207"/>
      <c r="S212" s="207"/>
      <c r="T212" s="207"/>
      <c r="U212" s="207"/>
      <c r="V212" s="207"/>
      <c r="W212" s="207"/>
      <c r="X212" s="207"/>
      <c r="Y212" s="207"/>
      <c r="Z212" s="207"/>
      <c r="AA212" s="207"/>
      <c r="AB212" s="207"/>
      <c r="AC212" s="207"/>
      <c r="AD212" s="207"/>
      <c r="AE212" s="207"/>
      <c r="AF212" s="207"/>
    </row>
    <row r="213" spans="2:32" ht="15" customHeight="1" x14ac:dyDescent="0.25">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c r="AD213" s="306"/>
      <c r="AE213" s="306"/>
      <c r="AF213" s="306"/>
    </row>
    <row r="219" spans="2:32" ht="15" customHeight="1" x14ac:dyDescent="0.25">
      <c r="B219" s="207"/>
      <c r="C219" s="207"/>
      <c r="D219" s="207"/>
      <c r="E219" s="207"/>
      <c r="F219" s="207"/>
      <c r="G219" s="207"/>
      <c r="H219" s="207"/>
      <c r="I219" s="207"/>
      <c r="J219" s="207"/>
      <c r="K219" s="207"/>
      <c r="L219" s="207"/>
      <c r="M219" s="207"/>
      <c r="N219" s="207"/>
      <c r="O219" s="207"/>
      <c r="P219" s="207"/>
      <c r="Q219" s="207"/>
      <c r="R219" s="207"/>
      <c r="S219" s="207"/>
      <c r="T219" s="207"/>
      <c r="U219" s="207"/>
      <c r="V219" s="207"/>
      <c r="W219" s="207"/>
      <c r="X219" s="207"/>
      <c r="Y219" s="207"/>
      <c r="Z219" s="207"/>
      <c r="AA219" s="207"/>
      <c r="AB219" s="207"/>
      <c r="AC219" s="207"/>
      <c r="AD219" s="207"/>
      <c r="AE219" s="207"/>
      <c r="AF219" s="207"/>
    </row>
    <row r="220" spans="2:32" ht="15" customHeight="1" x14ac:dyDescent="0.25">
      <c r="B220" s="207"/>
      <c r="C220" s="207"/>
      <c r="D220" s="207"/>
      <c r="E220" s="207"/>
      <c r="F220" s="207"/>
      <c r="G220" s="207"/>
      <c r="H220" s="207"/>
      <c r="I220" s="207"/>
      <c r="J220" s="207"/>
      <c r="K220" s="207"/>
      <c r="L220" s="207"/>
      <c r="M220" s="207"/>
      <c r="N220" s="207"/>
      <c r="O220" s="207"/>
      <c r="P220" s="207"/>
      <c r="Q220" s="207"/>
      <c r="R220" s="207"/>
      <c r="S220" s="207"/>
      <c r="T220" s="207"/>
      <c r="U220" s="207"/>
      <c r="V220" s="207"/>
      <c r="W220" s="207"/>
      <c r="X220" s="207"/>
      <c r="Y220" s="207"/>
      <c r="Z220" s="207"/>
      <c r="AA220" s="207"/>
      <c r="AB220" s="207"/>
      <c r="AC220" s="207"/>
      <c r="AD220" s="207"/>
      <c r="AE220" s="207"/>
      <c r="AF220" s="207"/>
    </row>
    <row r="221" spans="2:32" ht="15" customHeight="1" x14ac:dyDescent="0.25">
      <c r="B221" s="207"/>
      <c r="C221" s="207"/>
      <c r="D221" s="207"/>
      <c r="E221" s="207"/>
      <c r="F221" s="207"/>
      <c r="G221" s="207"/>
      <c r="H221" s="207"/>
      <c r="I221" s="207"/>
      <c r="J221" s="207"/>
      <c r="K221" s="207"/>
      <c r="L221" s="207"/>
      <c r="M221" s="207"/>
      <c r="N221" s="207"/>
      <c r="O221" s="207"/>
      <c r="P221" s="207"/>
      <c r="Q221" s="207"/>
      <c r="R221" s="207"/>
      <c r="S221" s="207"/>
      <c r="T221" s="207"/>
      <c r="U221" s="207"/>
      <c r="V221" s="207"/>
      <c r="W221" s="207"/>
      <c r="X221" s="207"/>
      <c r="Y221" s="207"/>
      <c r="Z221" s="207"/>
      <c r="AA221" s="207"/>
      <c r="AB221" s="207"/>
      <c r="AC221" s="207"/>
      <c r="AD221" s="207"/>
      <c r="AE221" s="207"/>
      <c r="AF221" s="207"/>
    </row>
    <row r="222" spans="2:32" ht="15" customHeight="1" x14ac:dyDescent="0.25">
      <c r="B222" s="207"/>
      <c r="C222" s="207"/>
      <c r="D222" s="207"/>
      <c r="E222" s="207"/>
      <c r="F222" s="207"/>
      <c r="G222" s="207"/>
      <c r="H222" s="207"/>
      <c r="I222" s="207"/>
      <c r="J222" s="207"/>
      <c r="K222" s="207"/>
      <c r="L222" s="207"/>
      <c r="M222" s="207"/>
      <c r="N222" s="207"/>
      <c r="O222" s="207"/>
      <c r="P222" s="207"/>
      <c r="Q222" s="207"/>
      <c r="R222" s="207"/>
      <c r="S222" s="207"/>
      <c r="T222" s="207"/>
      <c r="U222" s="207"/>
      <c r="V222" s="207"/>
      <c r="W222" s="207"/>
      <c r="X222" s="207"/>
      <c r="Y222" s="207"/>
      <c r="Z222" s="207"/>
      <c r="AA222" s="207"/>
      <c r="AB222" s="207"/>
      <c r="AC222" s="207"/>
      <c r="AD222" s="207"/>
      <c r="AE222" s="207"/>
      <c r="AF222" s="207"/>
    </row>
    <row r="223" spans="2:32" ht="15" customHeight="1" x14ac:dyDescent="0.25">
      <c r="B223" s="207"/>
      <c r="C223" s="207"/>
      <c r="D223" s="207"/>
      <c r="E223" s="207"/>
      <c r="F223" s="207"/>
      <c r="G223" s="207"/>
      <c r="H223" s="207"/>
      <c r="I223" s="207"/>
      <c r="J223" s="207"/>
      <c r="K223" s="207"/>
      <c r="L223" s="207"/>
      <c r="M223" s="207"/>
      <c r="N223" s="207"/>
      <c r="O223" s="207"/>
      <c r="P223" s="207"/>
      <c r="Q223" s="207"/>
      <c r="R223" s="207"/>
      <c r="S223" s="207"/>
      <c r="T223" s="207"/>
      <c r="U223" s="207"/>
      <c r="V223" s="207"/>
      <c r="W223" s="207"/>
      <c r="X223" s="207"/>
      <c r="Y223" s="207"/>
      <c r="Z223" s="207"/>
      <c r="AA223" s="207"/>
      <c r="AB223" s="207"/>
      <c r="AC223" s="207"/>
      <c r="AD223" s="207"/>
      <c r="AE223" s="207"/>
      <c r="AF223" s="207"/>
    </row>
    <row r="224" spans="2:32" ht="15" customHeight="1" x14ac:dyDescent="0.25">
      <c r="B224" s="207"/>
      <c r="C224" s="207"/>
      <c r="D224" s="207"/>
      <c r="E224" s="207"/>
      <c r="F224" s="207"/>
      <c r="G224" s="207"/>
      <c r="H224" s="207"/>
      <c r="I224" s="207"/>
      <c r="J224" s="207"/>
      <c r="K224" s="207"/>
      <c r="L224" s="207"/>
      <c r="M224" s="207"/>
      <c r="N224" s="207"/>
      <c r="O224" s="207"/>
      <c r="P224" s="207"/>
      <c r="Q224" s="207"/>
      <c r="R224" s="207"/>
      <c r="S224" s="207"/>
      <c r="T224" s="207"/>
      <c r="U224" s="207"/>
      <c r="V224" s="207"/>
      <c r="W224" s="207"/>
      <c r="X224" s="207"/>
      <c r="Y224" s="207"/>
      <c r="Z224" s="207"/>
      <c r="AA224" s="207"/>
      <c r="AB224" s="207"/>
      <c r="AC224" s="207"/>
      <c r="AD224" s="207"/>
      <c r="AE224" s="207"/>
      <c r="AF224" s="207"/>
    </row>
    <row r="378" spans="2:32" ht="15" customHeight="1" x14ac:dyDescent="0.25">
      <c r="B378" s="207"/>
      <c r="C378" s="207"/>
      <c r="D378" s="207"/>
      <c r="E378" s="207"/>
      <c r="F378" s="207"/>
      <c r="G378" s="207"/>
      <c r="H378" s="207"/>
      <c r="I378" s="207"/>
      <c r="J378" s="207"/>
      <c r="K378" s="207"/>
      <c r="L378" s="207"/>
      <c r="M378" s="207"/>
      <c r="N378" s="207"/>
      <c r="O378" s="207"/>
      <c r="P378" s="207"/>
      <c r="Q378" s="207"/>
      <c r="R378" s="207"/>
      <c r="S378" s="207"/>
      <c r="T378" s="207"/>
      <c r="U378" s="207"/>
      <c r="V378" s="207"/>
      <c r="W378" s="207"/>
      <c r="X378" s="207"/>
      <c r="Y378" s="207"/>
      <c r="Z378" s="207"/>
      <c r="AA378" s="207"/>
      <c r="AB378" s="207"/>
      <c r="AC378" s="207"/>
      <c r="AD378" s="207"/>
      <c r="AE378" s="207"/>
      <c r="AF378" s="207"/>
    </row>
    <row r="379" spans="2:32" ht="15" customHeight="1" x14ac:dyDescent="0.25">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c r="AD379" s="306"/>
      <c r="AE379" s="306"/>
      <c r="AF379" s="306"/>
    </row>
    <row r="481" spans="2:32" ht="15" customHeight="1" x14ac:dyDescent="0.25">
      <c r="B481" s="207"/>
      <c r="C481" s="207"/>
      <c r="D481" s="207"/>
      <c r="E481" s="207"/>
      <c r="F481" s="207"/>
      <c r="G481" s="207"/>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c r="AD481" s="207"/>
      <c r="AE481" s="207"/>
      <c r="AF481" s="207"/>
    </row>
    <row r="495" spans="2:32" ht="15" customHeight="1" x14ac:dyDescent="0.25">
      <c r="B495" s="207"/>
      <c r="C495" s="207"/>
      <c r="D495" s="207"/>
      <c r="E495" s="207"/>
      <c r="F495" s="207"/>
      <c r="G495" s="207"/>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c r="AD495" s="207"/>
      <c r="AE495" s="207"/>
      <c r="AF495" s="207"/>
    </row>
    <row r="496" spans="2:32" ht="15" customHeight="1" x14ac:dyDescent="0.25">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c r="AD496" s="306"/>
      <c r="AE496" s="306"/>
      <c r="AF496" s="306"/>
    </row>
    <row r="647" spans="2:32" ht="15" customHeight="1" x14ac:dyDescent="0.25">
      <c r="B647" s="207"/>
      <c r="C647" s="207"/>
      <c r="D647" s="207"/>
      <c r="E647" s="207"/>
      <c r="F647" s="207"/>
      <c r="G647" s="207"/>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c r="AD647" s="207"/>
      <c r="AE647" s="207"/>
      <c r="AF647" s="207"/>
    </row>
    <row r="648" spans="2:32" ht="15" customHeight="1" x14ac:dyDescent="0.25">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c r="AD648" s="306"/>
      <c r="AE648" s="306"/>
      <c r="AF648" s="306"/>
    </row>
    <row r="747" spans="2:32" ht="15" customHeight="1" x14ac:dyDescent="0.25">
      <c r="B747" s="207"/>
      <c r="C747" s="207"/>
      <c r="D747" s="207"/>
      <c r="E747" s="207"/>
      <c r="F747" s="207"/>
      <c r="G747" s="207"/>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c r="AD747" s="207"/>
      <c r="AE747" s="207"/>
      <c r="AF747" s="207"/>
    </row>
    <row r="748" spans="2:32" ht="15" customHeight="1" x14ac:dyDescent="0.25">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c r="AD748" s="306"/>
      <c r="AE748" s="306"/>
      <c r="AF748" s="306"/>
    </row>
    <row r="833" spans="2:32" ht="15" customHeight="1" x14ac:dyDescent="0.25">
      <c r="B833" s="207"/>
      <c r="C833" s="207"/>
      <c r="D833" s="207"/>
      <c r="E833" s="207"/>
      <c r="F833" s="207"/>
      <c r="G833" s="207"/>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c r="AD833" s="207"/>
      <c r="AE833" s="207"/>
      <c r="AF833" s="207"/>
    </row>
    <row r="838" spans="2:32" ht="15" customHeight="1" x14ac:dyDescent="0.25">
      <c r="B838" s="207"/>
      <c r="C838" s="207"/>
      <c r="D838" s="207"/>
      <c r="E838" s="207"/>
      <c r="F838" s="207"/>
      <c r="G838" s="207"/>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c r="AD838" s="207"/>
      <c r="AE838" s="207"/>
      <c r="AF838" s="207"/>
    </row>
    <row r="839" spans="2:32" ht="15" customHeight="1" x14ac:dyDescent="0.25">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c r="AD839" s="306"/>
      <c r="AE839" s="306"/>
      <c r="AF839" s="306"/>
    </row>
    <row r="898" spans="2:32" ht="15" customHeight="1" x14ac:dyDescent="0.25">
      <c r="B898" s="207"/>
      <c r="C898" s="207"/>
      <c r="D898" s="207"/>
      <c r="E898" s="207"/>
      <c r="F898" s="207"/>
      <c r="G898" s="207"/>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c r="AD898" s="207"/>
      <c r="AE898" s="207"/>
      <c r="AF898" s="207"/>
    </row>
    <row r="904" spans="2:32" ht="15" customHeight="1" x14ac:dyDescent="0.25">
      <c r="B904" s="207"/>
      <c r="C904" s="207"/>
      <c r="D904" s="207"/>
      <c r="E904" s="207"/>
      <c r="F904" s="207"/>
      <c r="G904" s="207"/>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c r="AD904" s="207"/>
      <c r="AE904" s="207"/>
      <c r="AF904" s="207"/>
    </row>
    <row r="909" spans="2:32" ht="15" customHeight="1" x14ac:dyDescent="0.25">
      <c r="B909" s="207"/>
      <c r="C909" s="207"/>
      <c r="D909" s="207"/>
      <c r="E909" s="207"/>
      <c r="F909" s="207"/>
      <c r="G909" s="207"/>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c r="AD909" s="207"/>
      <c r="AE909" s="207"/>
      <c r="AF909" s="207"/>
    </row>
    <row r="910" spans="2:32" ht="15" customHeight="1" x14ac:dyDescent="0.25">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c r="AD910" s="306"/>
      <c r="AE910" s="306"/>
      <c r="AF910" s="306"/>
    </row>
    <row r="993" spans="2:32" ht="15" customHeight="1" x14ac:dyDescent="0.25">
      <c r="B993" s="207"/>
      <c r="C993" s="207"/>
      <c r="D993" s="207"/>
      <c r="E993" s="207"/>
      <c r="F993" s="207"/>
      <c r="G993" s="207"/>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c r="AD993" s="207"/>
      <c r="AE993" s="207"/>
      <c r="AF993" s="207"/>
    </row>
    <row r="997" spans="2:32" ht="15" customHeight="1" x14ac:dyDescent="0.25">
      <c r="B997" s="207"/>
      <c r="C997" s="207"/>
      <c r="D997" s="207"/>
      <c r="E997" s="207"/>
      <c r="F997" s="207"/>
      <c r="G997" s="207"/>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c r="AD997" s="207"/>
      <c r="AE997" s="207"/>
      <c r="AF997" s="207"/>
    </row>
    <row r="1000" spans="2:32" ht="15" customHeight="1" x14ac:dyDescent="0.25">
      <c r="B1000" s="207"/>
      <c r="C1000" s="207"/>
      <c r="D1000" s="207"/>
      <c r="E1000" s="207"/>
      <c r="F1000" s="207"/>
      <c r="G1000" s="207"/>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c r="AD1000" s="207"/>
      <c r="AE1000" s="207"/>
      <c r="AF1000" s="207"/>
    </row>
    <row r="1002" spans="2:32" ht="15" customHeight="1" x14ac:dyDescent="0.25">
      <c r="B1002" s="207"/>
      <c r="C1002" s="207"/>
      <c r="D1002" s="207"/>
      <c r="E1002" s="207"/>
      <c r="F1002" s="207"/>
      <c r="G1002" s="207"/>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c r="AD1002" s="207"/>
      <c r="AE1002" s="207"/>
      <c r="AF1002" s="207"/>
    </row>
    <row r="1004" spans="2:32" ht="15" customHeight="1" x14ac:dyDescent="0.25">
      <c r="B1004" s="207"/>
      <c r="C1004" s="207"/>
      <c r="D1004" s="207"/>
      <c r="E1004" s="207"/>
      <c r="F1004" s="207"/>
      <c r="G1004" s="207"/>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c r="AD1004" s="207"/>
      <c r="AE1004" s="207"/>
      <c r="AF1004" s="207"/>
    </row>
    <row r="1005" spans="2:32" ht="15" customHeight="1" x14ac:dyDescent="0.25">
      <c r="B1005" s="306"/>
      <c r="C1005" s="306"/>
      <c r="D1005" s="306"/>
      <c r="E1005" s="306"/>
      <c r="F1005" s="306"/>
      <c r="G1005" s="306"/>
      <c r="H1005" s="306"/>
      <c r="I1005" s="306"/>
      <c r="J1005" s="306"/>
      <c r="K1005" s="306"/>
      <c r="L1005" s="306"/>
      <c r="M1005" s="306"/>
      <c r="N1005" s="306"/>
      <c r="O1005" s="306"/>
      <c r="P1005" s="306"/>
      <c r="Q1005" s="306"/>
      <c r="R1005" s="306"/>
      <c r="S1005" s="306"/>
      <c r="T1005" s="306"/>
      <c r="U1005" s="306"/>
      <c r="V1005" s="306"/>
      <c r="W1005" s="306"/>
      <c r="X1005" s="306"/>
      <c r="Y1005" s="306"/>
      <c r="Z1005" s="306"/>
      <c r="AA1005" s="306"/>
      <c r="AB1005" s="306"/>
      <c r="AC1005" s="306"/>
      <c r="AD1005" s="306"/>
      <c r="AE1005" s="306"/>
      <c r="AF1005" s="306"/>
    </row>
    <row r="1154" spans="2:32" ht="15" customHeight="1" x14ac:dyDescent="0.25">
      <c r="B1154" s="207"/>
      <c r="C1154" s="207"/>
      <c r="D1154" s="207"/>
      <c r="E1154" s="207"/>
      <c r="F1154" s="207"/>
      <c r="G1154" s="207"/>
      <c r="H1154" s="207"/>
      <c r="I1154" s="207"/>
      <c r="J1154" s="207"/>
      <c r="K1154" s="207"/>
      <c r="L1154" s="207"/>
      <c r="M1154" s="207"/>
      <c r="N1154" s="207"/>
      <c r="O1154" s="207"/>
      <c r="P1154" s="207"/>
      <c r="Q1154" s="207"/>
      <c r="R1154" s="207"/>
      <c r="S1154" s="207"/>
      <c r="T1154" s="207"/>
      <c r="U1154" s="207"/>
      <c r="V1154" s="207"/>
      <c r="W1154" s="207"/>
      <c r="X1154" s="207"/>
      <c r="Y1154" s="207"/>
      <c r="Z1154" s="207"/>
      <c r="AA1154" s="207"/>
      <c r="AB1154" s="207"/>
      <c r="AC1154" s="207"/>
      <c r="AD1154" s="207"/>
      <c r="AE1154" s="207"/>
      <c r="AF1154" s="207"/>
    </row>
    <row r="1155" spans="2:32" ht="15" customHeight="1" x14ac:dyDescent="0.25">
      <c r="B1155" s="306"/>
      <c r="C1155" s="306"/>
      <c r="D1155" s="306"/>
      <c r="E1155" s="306"/>
      <c r="F1155" s="306"/>
      <c r="G1155" s="306"/>
      <c r="H1155" s="306"/>
      <c r="I1155" s="306"/>
      <c r="J1155" s="306"/>
      <c r="K1155" s="306"/>
      <c r="L1155" s="306"/>
      <c r="M1155" s="306"/>
      <c r="N1155" s="306"/>
      <c r="O1155" s="306"/>
      <c r="P1155" s="306"/>
      <c r="Q1155" s="306"/>
      <c r="R1155" s="306"/>
      <c r="S1155" s="306"/>
      <c r="T1155" s="306"/>
      <c r="U1155" s="306"/>
      <c r="V1155" s="306"/>
      <c r="W1155" s="306"/>
      <c r="X1155" s="306"/>
      <c r="Y1155" s="306"/>
      <c r="Z1155" s="306"/>
      <c r="AA1155" s="306"/>
      <c r="AB1155" s="306"/>
      <c r="AC1155" s="306"/>
      <c r="AD1155" s="306"/>
      <c r="AE1155" s="306"/>
      <c r="AF1155" s="306"/>
    </row>
    <row r="1313" spans="2:32" ht="15" customHeight="1" x14ac:dyDescent="0.25">
      <c r="B1313" s="207"/>
      <c r="C1313" s="207"/>
      <c r="D1313" s="207"/>
      <c r="E1313" s="207"/>
      <c r="F1313" s="207"/>
      <c r="G1313" s="207"/>
      <c r="H1313" s="207"/>
      <c r="I1313" s="207"/>
      <c r="J1313" s="207"/>
      <c r="K1313" s="207"/>
      <c r="L1313" s="207"/>
      <c r="M1313" s="207"/>
      <c r="N1313" s="207"/>
      <c r="O1313" s="207"/>
      <c r="P1313" s="207"/>
      <c r="Q1313" s="207"/>
      <c r="R1313" s="207"/>
      <c r="S1313" s="207"/>
      <c r="T1313" s="207"/>
      <c r="U1313" s="207"/>
      <c r="V1313" s="207"/>
      <c r="W1313" s="207"/>
      <c r="X1313" s="207"/>
      <c r="Y1313" s="207"/>
      <c r="Z1313" s="207"/>
      <c r="AA1313" s="207"/>
      <c r="AB1313" s="207"/>
      <c r="AC1313" s="207"/>
      <c r="AD1313" s="207"/>
      <c r="AE1313" s="207"/>
      <c r="AF1313" s="207"/>
    </row>
    <row r="1326" spans="2:32" ht="15" customHeight="1" x14ac:dyDescent="0.25">
      <c r="B1326" s="207"/>
      <c r="C1326" s="207"/>
      <c r="D1326" s="207"/>
      <c r="E1326" s="207"/>
      <c r="F1326" s="207"/>
      <c r="G1326" s="207"/>
      <c r="H1326" s="207"/>
      <c r="I1326" s="207"/>
      <c r="J1326" s="207"/>
      <c r="K1326" s="207"/>
      <c r="L1326" s="207"/>
      <c r="M1326" s="207"/>
      <c r="N1326" s="207"/>
      <c r="O1326" s="207"/>
      <c r="P1326" s="207"/>
      <c r="Q1326" s="207"/>
      <c r="R1326" s="207"/>
      <c r="S1326" s="207"/>
      <c r="T1326" s="207"/>
      <c r="U1326" s="207"/>
      <c r="V1326" s="207"/>
      <c r="W1326" s="207"/>
      <c r="X1326" s="207"/>
      <c r="Y1326" s="207"/>
      <c r="Z1326" s="207"/>
      <c r="AA1326" s="207"/>
      <c r="AB1326" s="207"/>
      <c r="AC1326" s="207"/>
      <c r="AD1326" s="207"/>
      <c r="AE1326" s="207"/>
      <c r="AF1326" s="207"/>
    </row>
    <row r="1327" spans="2:32" ht="15" customHeight="1" x14ac:dyDescent="0.25">
      <c r="B1327" s="306"/>
      <c r="C1327" s="306"/>
      <c r="D1327" s="306"/>
      <c r="E1327" s="306"/>
      <c r="F1327" s="306"/>
      <c r="G1327" s="306"/>
      <c r="H1327" s="306"/>
      <c r="I1327" s="306"/>
      <c r="J1327" s="306"/>
      <c r="K1327" s="306"/>
      <c r="L1327" s="306"/>
      <c r="M1327" s="306"/>
      <c r="N1327" s="306"/>
      <c r="O1327" s="306"/>
      <c r="P1327" s="306"/>
      <c r="Q1327" s="306"/>
      <c r="R1327" s="306"/>
      <c r="S1327" s="306"/>
      <c r="T1327" s="306"/>
      <c r="U1327" s="306"/>
      <c r="V1327" s="306"/>
      <c r="W1327" s="306"/>
      <c r="X1327" s="306"/>
      <c r="Y1327" s="306"/>
      <c r="Z1327" s="306"/>
      <c r="AA1327" s="306"/>
      <c r="AB1327" s="306"/>
      <c r="AC1327" s="306"/>
      <c r="AD1327" s="306"/>
      <c r="AE1327" s="306"/>
      <c r="AF1327" s="306"/>
    </row>
    <row r="1417" spans="2:32" ht="15" customHeight="1" x14ac:dyDescent="0.25">
      <c r="B1417" s="207"/>
      <c r="C1417" s="207"/>
      <c r="D1417" s="207"/>
      <c r="E1417" s="207"/>
      <c r="F1417" s="207"/>
      <c r="G1417" s="207"/>
      <c r="H1417" s="207"/>
      <c r="I1417" s="207"/>
      <c r="J1417" s="207"/>
      <c r="K1417" s="207"/>
      <c r="L1417" s="207"/>
      <c r="M1417" s="207"/>
      <c r="N1417" s="207"/>
      <c r="O1417" s="207"/>
      <c r="P1417" s="207"/>
      <c r="Q1417" s="207"/>
      <c r="R1417" s="207"/>
      <c r="S1417" s="207"/>
      <c r="T1417" s="207"/>
      <c r="U1417" s="207"/>
      <c r="V1417" s="207"/>
      <c r="W1417" s="207"/>
      <c r="X1417" s="207"/>
      <c r="Y1417" s="207"/>
      <c r="Z1417" s="207"/>
      <c r="AA1417" s="207"/>
      <c r="AB1417" s="207"/>
      <c r="AC1417" s="207"/>
      <c r="AD1417" s="207"/>
      <c r="AE1417" s="207"/>
      <c r="AF1417" s="207"/>
    </row>
    <row r="1421" spans="2:32" ht="15" customHeight="1" x14ac:dyDescent="0.25">
      <c r="B1421" s="207"/>
      <c r="C1421" s="207"/>
      <c r="D1421" s="207"/>
      <c r="E1421" s="207"/>
      <c r="F1421" s="207"/>
      <c r="G1421" s="207"/>
      <c r="H1421" s="207"/>
      <c r="I1421" s="207"/>
      <c r="J1421" s="207"/>
      <c r="K1421" s="207"/>
      <c r="L1421" s="207"/>
      <c r="M1421" s="207"/>
      <c r="N1421" s="207"/>
      <c r="O1421" s="207"/>
      <c r="P1421" s="207"/>
      <c r="Q1421" s="207"/>
      <c r="R1421" s="207"/>
      <c r="S1421" s="207"/>
      <c r="T1421" s="207"/>
      <c r="U1421" s="207"/>
      <c r="V1421" s="207"/>
      <c r="W1421" s="207"/>
      <c r="X1421" s="207"/>
      <c r="Y1421" s="207"/>
      <c r="Z1421" s="207"/>
      <c r="AA1421" s="207"/>
      <c r="AB1421" s="207"/>
      <c r="AC1421" s="207"/>
      <c r="AD1421" s="207"/>
      <c r="AE1421" s="207"/>
      <c r="AF1421" s="207"/>
    </row>
    <row r="1422" spans="2:32" ht="15" customHeight="1" x14ac:dyDescent="0.25">
      <c r="B1422" s="306"/>
      <c r="C1422" s="306"/>
      <c r="D1422" s="306"/>
      <c r="E1422" s="306"/>
      <c r="F1422" s="306"/>
      <c r="G1422" s="306"/>
      <c r="H1422" s="306"/>
      <c r="I1422" s="306"/>
      <c r="J1422" s="306"/>
      <c r="K1422" s="306"/>
      <c r="L1422" s="306"/>
      <c r="M1422" s="306"/>
      <c r="N1422" s="306"/>
      <c r="O1422" s="306"/>
      <c r="P1422" s="306"/>
      <c r="Q1422" s="306"/>
      <c r="R1422" s="306"/>
      <c r="S1422" s="306"/>
      <c r="T1422" s="306"/>
      <c r="U1422" s="306"/>
      <c r="V1422" s="306"/>
      <c r="W1422" s="306"/>
      <c r="X1422" s="306"/>
      <c r="Y1422" s="306"/>
      <c r="Z1422" s="306"/>
      <c r="AA1422" s="306"/>
      <c r="AB1422" s="306"/>
      <c r="AC1422" s="306"/>
      <c r="AD1422" s="306"/>
      <c r="AE1422" s="306"/>
      <c r="AF1422" s="306"/>
    </row>
    <row r="1539" spans="2:32" ht="15" customHeight="1" x14ac:dyDescent="0.25">
      <c r="B1539" s="207"/>
      <c r="C1539" s="207"/>
      <c r="D1539" s="207"/>
      <c r="E1539" s="207"/>
      <c r="F1539" s="207"/>
      <c r="G1539" s="207"/>
      <c r="H1539" s="207"/>
      <c r="I1539" s="207"/>
      <c r="J1539" s="207"/>
      <c r="K1539" s="207"/>
      <c r="L1539" s="207"/>
      <c r="M1539" s="207"/>
      <c r="N1539" s="207"/>
      <c r="O1539" s="207"/>
      <c r="P1539" s="207"/>
      <c r="Q1539" s="207"/>
      <c r="R1539" s="207"/>
      <c r="S1539" s="207"/>
      <c r="T1539" s="207"/>
      <c r="U1539" s="207"/>
      <c r="V1539" s="207"/>
      <c r="W1539" s="207"/>
      <c r="X1539" s="207"/>
      <c r="Y1539" s="207"/>
      <c r="Z1539" s="207"/>
      <c r="AA1539" s="207"/>
      <c r="AB1539" s="207"/>
      <c r="AC1539" s="207"/>
      <c r="AD1539" s="207"/>
      <c r="AE1539" s="207"/>
      <c r="AF1539" s="207"/>
    </row>
    <row r="1540" spans="2:32" ht="15" customHeight="1" x14ac:dyDescent="0.25">
      <c r="B1540" s="306"/>
      <c r="C1540" s="306"/>
      <c r="D1540" s="306"/>
      <c r="E1540" s="306"/>
      <c r="F1540" s="306"/>
      <c r="G1540" s="306"/>
      <c r="H1540" s="306"/>
      <c r="I1540" s="306"/>
      <c r="J1540" s="306"/>
      <c r="K1540" s="306"/>
      <c r="L1540" s="306"/>
      <c r="M1540" s="306"/>
      <c r="N1540" s="306"/>
      <c r="O1540" s="306"/>
      <c r="P1540" s="306"/>
      <c r="Q1540" s="306"/>
      <c r="R1540" s="306"/>
      <c r="S1540" s="306"/>
      <c r="T1540" s="306"/>
      <c r="U1540" s="306"/>
      <c r="V1540" s="306"/>
      <c r="W1540" s="306"/>
      <c r="X1540" s="306"/>
      <c r="Y1540" s="306"/>
      <c r="Z1540" s="306"/>
      <c r="AA1540" s="306"/>
      <c r="AB1540" s="306"/>
      <c r="AC1540" s="306"/>
      <c r="AD1540" s="306"/>
      <c r="AE1540" s="306"/>
      <c r="AF1540" s="306"/>
    </row>
    <row r="1544" spans="2:32" ht="15" customHeight="1" x14ac:dyDescent="0.25">
      <c r="B1544" s="207"/>
      <c r="C1544" s="207"/>
      <c r="D1544" s="207"/>
      <c r="E1544" s="207"/>
      <c r="F1544" s="207"/>
      <c r="G1544" s="207"/>
      <c r="H1544" s="207"/>
      <c r="I1544" s="207"/>
      <c r="J1544" s="207"/>
      <c r="K1544" s="207"/>
      <c r="L1544" s="207"/>
      <c r="M1544" s="207"/>
      <c r="N1544" s="207"/>
      <c r="O1544" s="207"/>
      <c r="P1544" s="207"/>
      <c r="Q1544" s="207"/>
      <c r="R1544" s="207"/>
      <c r="S1544" s="207"/>
      <c r="T1544" s="207"/>
      <c r="U1544" s="207"/>
      <c r="V1544" s="207"/>
      <c r="W1544" s="207"/>
      <c r="X1544" s="207"/>
      <c r="Y1544" s="207"/>
      <c r="Z1544" s="207"/>
      <c r="AA1544" s="207"/>
      <c r="AB1544" s="207"/>
      <c r="AC1544" s="207"/>
      <c r="AD1544" s="207"/>
      <c r="AE1544" s="207"/>
      <c r="AF1544" s="207"/>
    </row>
    <row r="1545" spans="2:32" ht="15" customHeight="1" x14ac:dyDescent="0.25">
      <c r="B1545" s="207"/>
      <c r="C1545" s="207"/>
      <c r="D1545" s="207"/>
      <c r="E1545" s="207"/>
      <c r="F1545" s="207"/>
      <c r="G1545" s="207"/>
      <c r="H1545" s="207"/>
      <c r="I1545" s="207"/>
      <c r="J1545" s="207"/>
      <c r="K1545" s="207"/>
      <c r="L1545" s="207"/>
      <c r="M1545" s="207"/>
      <c r="N1545" s="207"/>
      <c r="O1545" s="207"/>
      <c r="P1545" s="207"/>
      <c r="Q1545" s="207"/>
      <c r="R1545" s="207"/>
      <c r="S1545" s="207"/>
      <c r="T1545" s="207"/>
      <c r="U1545" s="207"/>
      <c r="V1545" s="207"/>
      <c r="W1545" s="207"/>
      <c r="X1545" s="207"/>
      <c r="Y1545" s="207"/>
      <c r="Z1545" s="207"/>
      <c r="AA1545" s="207"/>
      <c r="AB1545" s="207"/>
      <c r="AC1545" s="207"/>
      <c r="AD1545" s="207"/>
      <c r="AE1545" s="207"/>
      <c r="AF1545" s="207"/>
    </row>
    <row r="1546" spans="2:32" ht="15" customHeight="1" x14ac:dyDescent="0.25">
      <c r="B1546" s="207"/>
      <c r="C1546" s="207"/>
      <c r="D1546" s="207"/>
      <c r="E1546" s="207"/>
      <c r="F1546" s="207"/>
      <c r="G1546" s="207"/>
      <c r="H1546" s="207"/>
      <c r="I1546" s="207"/>
      <c r="J1546" s="207"/>
      <c r="K1546" s="207"/>
      <c r="L1546" s="207"/>
      <c r="M1546" s="207"/>
      <c r="N1546" s="207"/>
      <c r="O1546" s="207"/>
      <c r="P1546" s="207"/>
      <c r="Q1546" s="207"/>
      <c r="R1546" s="207"/>
      <c r="S1546" s="207"/>
      <c r="T1546" s="207"/>
      <c r="U1546" s="207"/>
      <c r="V1546" s="207"/>
      <c r="W1546" s="207"/>
      <c r="X1546" s="207"/>
      <c r="Y1546" s="207"/>
      <c r="Z1546" s="207"/>
      <c r="AA1546" s="207"/>
      <c r="AB1546" s="207"/>
      <c r="AC1546" s="207"/>
      <c r="AD1546" s="207"/>
      <c r="AE1546" s="207"/>
      <c r="AF1546" s="207"/>
    </row>
    <row r="1547" spans="2:32" ht="15" customHeight="1" x14ac:dyDescent="0.25">
      <c r="B1547" s="207"/>
      <c r="C1547" s="207"/>
      <c r="D1547" s="207"/>
      <c r="E1547" s="207"/>
      <c r="F1547" s="207"/>
      <c r="G1547" s="207"/>
      <c r="H1547" s="207"/>
      <c r="I1547" s="207"/>
      <c r="J1547" s="207"/>
      <c r="K1547" s="207"/>
      <c r="L1547" s="207"/>
      <c r="M1547" s="207"/>
      <c r="N1547" s="207"/>
      <c r="O1547" s="207"/>
      <c r="P1547" s="207"/>
      <c r="Q1547" s="207"/>
      <c r="R1547" s="207"/>
      <c r="S1547" s="207"/>
      <c r="T1547" s="207"/>
      <c r="U1547" s="207"/>
      <c r="V1547" s="207"/>
      <c r="W1547" s="207"/>
      <c r="X1547" s="207"/>
      <c r="Y1547" s="207"/>
      <c r="Z1547" s="207"/>
      <c r="AA1547" s="207"/>
      <c r="AB1547" s="207"/>
      <c r="AC1547" s="207"/>
      <c r="AD1547" s="207"/>
      <c r="AE1547" s="207"/>
      <c r="AF1547" s="207"/>
    </row>
    <row r="1548" spans="2:32" ht="15" customHeight="1" x14ac:dyDescent="0.25">
      <c r="B1548" s="207"/>
      <c r="C1548" s="207"/>
      <c r="D1548" s="207"/>
      <c r="E1548" s="207"/>
      <c r="F1548" s="207"/>
      <c r="G1548" s="207"/>
      <c r="H1548" s="207"/>
      <c r="I1548" s="207"/>
      <c r="J1548" s="207"/>
      <c r="K1548" s="207"/>
      <c r="L1548" s="207"/>
      <c r="M1548" s="207"/>
      <c r="N1548" s="207"/>
      <c r="O1548" s="207"/>
      <c r="P1548" s="207"/>
      <c r="Q1548" s="207"/>
      <c r="R1548" s="207"/>
      <c r="S1548" s="207"/>
      <c r="T1548" s="207"/>
      <c r="U1548" s="207"/>
      <c r="V1548" s="207"/>
      <c r="W1548" s="207"/>
      <c r="X1548" s="207"/>
      <c r="Y1548" s="207"/>
      <c r="Z1548" s="207"/>
      <c r="AA1548" s="207"/>
      <c r="AB1548" s="207"/>
      <c r="AC1548" s="207"/>
      <c r="AD1548" s="207"/>
      <c r="AE1548" s="207"/>
      <c r="AF1548" s="207"/>
    </row>
    <row r="1549" spans="2:32" ht="15" customHeight="1" x14ac:dyDescent="0.25">
      <c r="B1549" s="207"/>
      <c r="C1549" s="207"/>
      <c r="D1549" s="207"/>
      <c r="E1549" s="207"/>
      <c r="F1549" s="207"/>
      <c r="G1549" s="207"/>
      <c r="H1549" s="207"/>
      <c r="I1549" s="207"/>
      <c r="J1549" s="207"/>
      <c r="K1549" s="207"/>
      <c r="L1549" s="207"/>
      <c r="M1549" s="207"/>
      <c r="N1549" s="207"/>
      <c r="O1549" s="207"/>
      <c r="P1549" s="207"/>
      <c r="Q1549" s="207"/>
      <c r="R1549" s="207"/>
      <c r="S1549" s="207"/>
      <c r="T1549" s="207"/>
      <c r="U1549" s="207"/>
      <c r="V1549" s="207"/>
      <c r="W1549" s="207"/>
      <c r="X1549" s="207"/>
      <c r="Y1549" s="207"/>
      <c r="Z1549" s="207"/>
      <c r="AA1549" s="207"/>
      <c r="AB1549" s="207"/>
      <c r="AC1549" s="207"/>
      <c r="AD1549" s="207"/>
      <c r="AE1549" s="207"/>
      <c r="AF1549" s="207"/>
    </row>
    <row r="1550" spans="2:32" ht="15" customHeight="1" x14ac:dyDescent="0.25">
      <c r="B1550" s="207"/>
      <c r="C1550" s="207"/>
      <c r="D1550" s="207"/>
      <c r="E1550" s="207"/>
      <c r="F1550" s="207"/>
      <c r="G1550" s="207"/>
      <c r="H1550" s="207"/>
      <c r="I1550" s="207"/>
      <c r="J1550" s="207"/>
      <c r="K1550" s="207"/>
      <c r="L1550" s="207"/>
      <c r="M1550" s="207"/>
      <c r="N1550" s="207"/>
      <c r="O1550" s="207"/>
      <c r="P1550" s="207"/>
      <c r="Q1550" s="207"/>
      <c r="R1550" s="207"/>
      <c r="S1550" s="207"/>
      <c r="T1550" s="207"/>
      <c r="U1550" s="207"/>
      <c r="V1550" s="207"/>
      <c r="W1550" s="207"/>
      <c r="X1550" s="207"/>
      <c r="Y1550" s="207"/>
      <c r="Z1550" s="207"/>
      <c r="AA1550" s="207"/>
      <c r="AB1550" s="207"/>
      <c r="AC1550" s="207"/>
      <c r="AD1550" s="207"/>
      <c r="AE1550" s="207"/>
      <c r="AF1550" s="207"/>
    </row>
    <row r="1551" spans="2:32" ht="15" customHeight="1" x14ac:dyDescent="0.25">
      <c r="B1551" s="207"/>
      <c r="C1551" s="207"/>
      <c r="D1551" s="207"/>
      <c r="E1551" s="207"/>
      <c r="F1551" s="207"/>
      <c r="G1551" s="207"/>
      <c r="H1551" s="207"/>
      <c r="I1551" s="207"/>
      <c r="J1551" s="207"/>
      <c r="K1551" s="207"/>
      <c r="L1551" s="207"/>
      <c r="M1551" s="207"/>
      <c r="N1551" s="207"/>
      <c r="O1551" s="207"/>
      <c r="P1551" s="207"/>
      <c r="Q1551" s="207"/>
      <c r="R1551" s="207"/>
      <c r="S1551" s="207"/>
      <c r="T1551" s="207"/>
      <c r="U1551" s="207"/>
      <c r="V1551" s="207"/>
      <c r="W1551" s="207"/>
      <c r="X1551" s="207"/>
      <c r="Y1551" s="207"/>
      <c r="Z1551" s="207"/>
      <c r="AA1551" s="207"/>
      <c r="AB1551" s="207"/>
      <c r="AC1551" s="207"/>
      <c r="AD1551" s="207"/>
      <c r="AE1551" s="207"/>
      <c r="AF1551" s="207"/>
    </row>
    <row r="1552" spans="2:32" ht="15" customHeight="1" x14ac:dyDescent="0.25">
      <c r="B1552" s="207"/>
      <c r="C1552" s="207"/>
      <c r="D1552" s="207"/>
      <c r="E1552" s="207"/>
      <c r="F1552" s="207"/>
      <c r="G1552" s="207"/>
      <c r="H1552" s="207"/>
      <c r="I1552" s="207"/>
      <c r="J1552" s="207"/>
      <c r="K1552" s="207"/>
      <c r="L1552" s="207"/>
      <c r="M1552" s="207"/>
      <c r="N1552" s="207"/>
      <c r="O1552" s="207"/>
      <c r="P1552" s="207"/>
      <c r="Q1552" s="207"/>
      <c r="R1552" s="207"/>
      <c r="S1552" s="207"/>
      <c r="T1552" s="207"/>
      <c r="U1552" s="207"/>
      <c r="V1552" s="207"/>
      <c r="W1552" s="207"/>
      <c r="X1552" s="207"/>
      <c r="Y1552" s="207"/>
      <c r="Z1552" s="207"/>
      <c r="AA1552" s="207"/>
      <c r="AB1552" s="207"/>
      <c r="AC1552" s="207"/>
      <c r="AD1552" s="207"/>
      <c r="AE1552" s="207"/>
      <c r="AF1552" s="207"/>
    </row>
    <row r="1636" spans="2:32" ht="15" customHeight="1" x14ac:dyDescent="0.25">
      <c r="B1636" s="207"/>
      <c r="C1636" s="207"/>
      <c r="D1636" s="207"/>
      <c r="E1636" s="207"/>
      <c r="F1636" s="207"/>
      <c r="G1636" s="207"/>
      <c r="H1636" s="207"/>
      <c r="I1636" s="207"/>
      <c r="J1636" s="207"/>
      <c r="K1636" s="207"/>
      <c r="L1636" s="207"/>
      <c r="M1636" s="207"/>
      <c r="N1636" s="207"/>
      <c r="O1636" s="207"/>
      <c r="P1636" s="207"/>
      <c r="Q1636" s="207"/>
      <c r="R1636" s="207"/>
      <c r="S1636" s="207"/>
      <c r="T1636" s="207"/>
      <c r="U1636" s="207"/>
      <c r="V1636" s="207"/>
      <c r="W1636" s="207"/>
      <c r="X1636" s="207"/>
      <c r="Y1636" s="207"/>
      <c r="Z1636" s="207"/>
      <c r="AA1636" s="207"/>
      <c r="AB1636" s="207"/>
      <c r="AC1636" s="207"/>
      <c r="AD1636" s="207"/>
      <c r="AE1636" s="207"/>
      <c r="AF1636" s="207"/>
    </row>
    <row r="1639" spans="2:32" ht="15" customHeight="1" x14ac:dyDescent="0.25">
      <c r="B1639" s="207"/>
      <c r="C1639" s="207"/>
      <c r="D1639" s="207"/>
      <c r="E1639" s="207"/>
      <c r="F1639" s="207"/>
      <c r="G1639" s="207"/>
      <c r="H1639" s="207"/>
      <c r="I1639" s="207"/>
      <c r="J1639" s="207"/>
      <c r="K1639" s="207"/>
      <c r="L1639" s="207"/>
      <c r="M1639" s="207"/>
      <c r="N1639" s="207"/>
      <c r="O1639" s="207"/>
      <c r="P1639" s="207"/>
      <c r="Q1639" s="207"/>
      <c r="R1639" s="207"/>
      <c r="S1639" s="207"/>
      <c r="T1639" s="207"/>
      <c r="U1639" s="207"/>
      <c r="V1639" s="207"/>
      <c r="W1639" s="207"/>
      <c r="X1639" s="207"/>
      <c r="Y1639" s="207"/>
      <c r="Z1639" s="207"/>
      <c r="AA1639" s="207"/>
      <c r="AB1639" s="207"/>
      <c r="AC1639" s="207"/>
      <c r="AD1639" s="207"/>
      <c r="AE1639" s="207"/>
      <c r="AF1639" s="207"/>
    </row>
    <row r="1640" spans="2:32" ht="15" customHeight="1" x14ac:dyDescent="0.25">
      <c r="B1640" s="306"/>
      <c r="C1640" s="306"/>
      <c r="D1640" s="306"/>
      <c r="E1640" s="306"/>
      <c r="F1640" s="306"/>
      <c r="G1640" s="306"/>
      <c r="H1640" s="306"/>
      <c r="I1640" s="306"/>
      <c r="J1640" s="306"/>
      <c r="K1640" s="306"/>
      <c r="L1640" s="306"/>
      <c r="M1640" s="306"/>
      <c r="N1640" s="306"/>
      <c r="O1640" s="306"/>
      <c r="P1640" s="306"/>
      <c r="Q1640" s="306"/>
      <c r="R1640" s="306"/>
      <c r="S1640" s="306"/>
      <c r="T1640" s="306"/>
      <c r="U1640" s="306"/>
      <c r="V1640" s="306"/>
      <c r="W1640" s="306"/>
      <c r="X1640" s="306"/>
      <c r="Y1640" s="306"/>
      <c r="Z1640" s="306"/>
      <c r="AA1640" s="306"/>
      <c r="AB1640" s="306"/>
      <c r="AC1640" s="306"/>
      <c r="AD1640" s="306"/>
      <c r="AE1640" s="306"/>
      <c r="AF1640" s="306"/>
    </row>
    <row r="1644" spans="2:32" ht="15" customHeight="1" x14ac:dyDescent="0.25">
      <c r="B1644" s="207"/>
      <c r="C1644" s="207"/>
      <c r="D1644" s="207"/>
      <c r="E1644" s="207"/>
      <c r="F1644" s="207"/>
      <c r="G1644" s="207"/>
      <c r="H1644" s="207"/>
      <c r="I1644" s="207"/>
      <c r="J1644" s="207"/>
      <c r="K1644" s="207"/>
      <c r="L1644" s="207"/>
      <c r="M1644" s="207"/>
      <c r="N1644" s="207"/>
      <c r="O1644" s="207"/>
      <c r="P1644" s="207"/>
      <c r="Q1644" s="207"/>
      <c r="R1644" s="207"/>
      <c r="S1644" s="207"/>
      <c r="T1644" s="207"/>
      <c r="U1644" s="207"/>
      <c r="V1644" s="207"/>
      <c r="W1644" s="207"/>
      <c r="X1644" s="207"/>
      <c r="Y1644" s="207"/>
      <c r="Z1644" s="207"/>
      <c r="AA1644" s="207"/>
      <c r="AB1644" s="207"/>
      <c r="AC1644" s="207"/>
      <c r="AD1644" s="207"/>
      <c r="AE1644" s="207"/>
      <c r="AF1644" s="207"/>
    </row>
    <row r="1645" spans="2:32" ht="15" customHeight="1" x14ac:dyDescent="0.25">
      <c r="B1645" s="207"/>
      <c r="C1645" s="207"/>
      <c r="D1645" s="207"/>
      <c r="E1645" s="207"/>
      <c r="F1645" s="207"/>
      <c r="G1645" s="207"/>
      <c r="H1645" s="207"/>
      <c r="I1645" s="207"/>
      <c r="J1645" s="207"/>
      <c r="K1645" s="207"/>
      <c r="L1645" s="207"/>
      <c r="M1645" s="207"/>
      <c r="N1645" s="207"/>
      <c r="O1645" s="207"/>
      <c r="P1645" s="207"/>
      <c r="Q1645" s="207"/>
      <c r="R1645" s="207"/>
      <c r="S1645" s="207"/>
      <c r="T1645" s="207"/>
      <c r="U1645" s="207"/>
      <c r="V1645" s="207"/>
      <c r="W1645" s="207"/>
      <c r="X1645" s="207"/>
      <c r="Y1645" s="207"/>
      <c r="Z1645" s="207"/>
      <c r="AA1645" s="207"/>
      <c r="AB1645" s="207"/>
      <c r="AC1645" s="207"/>
      <c r="AD1645" s="207"/>
      <c r="AE1645" s="207"/>
      <c r="AF1645" s="207"/>
    </row>
    <row r="1646" spans="2:32" ht="15" customHeight="1" x14ac:dyDescent="0.25">
      <c r="B1646" s="207"/>
      <c r="C1646" s="207"/>
      <c r="D1646" s="207"/>
      <c r="E1646" s="207"/>
      <c r="F1646" s="207"/>
      <c r="G1646" s="207"/>
      <c r="H1646" s="207"/>
      <c r="I1646" s="207"/>
      <c r="J1646" s="207"/>
      <c r="K1646" s="207"/>
      <c r="L1646" s="207"/>
      <c r="M1646" s="207"/>
      <c r="N1646" s="207"/>
      <c r="O1646" s="207"/>
      <c r="P1646" s="207"/>
      <c r="Q1646" s="207"/>
      <c r="R1646" s="207"/>
      <c r="S1646" s="207"/>
      <c r="T1646" s="207"/>
      <c r="U1646" s="207"/>
      <c r="V1646" s="207"/>
      <c r="W1646" s="207"/>
      <c r="X1646" s="207"/>
      <c r="Y1646" s="207"/>
      <c r="Z1646" s="207"/>
      <c r="AA1646" s="207"/>
      <c r="AB1646" s="207"/>
      <c r="AC1646" s="207"/>
      <c r="AD1646" s="207"/>
      <c r="AE1646" s="207"/>
      <c r="AF1646" s="207"/>
    </row>
    <row r="1647" spans="2:32" ht="15" customHeight="1" x14ac:dyDescent="0.25">
      <c r="B1647" s="207"/>
      <c r="C1647" s="207"/>
      <c r="D1647" s="207"/>
      <c r="E1647" s="207"/>
      <c r="F1647" s="207"/>
      <c r="G1647" s="207"/>
      <c r="H1647" s="207"/>
      <c r="I1647" s="207"/>
      <c r="J1647" s="207"/>
      <c r="K1647" s="207"/>
      <c r="L1647" s="207"/>
      <c r="M1647" s="207"/>
      <c r="N1647" s="207"/>
      <c r="O1647" s="207"/>
      <c r="P1647" s="207"/>
      <c r="Q1647" s="207"/>
      <c r="R1647" s="207"/>
      <c r="S1647" s="207"/>
      <c r="T1647" s="207"/>
      <c r="U1647" s="207"/>
      <c r="V1647" s="207"/>
      <c r="W1647" s="207"/>
      <c r="X1647" s="207"/>
      <c r="Y1647" s="207"/>
      <c r="Z1647" s="207"/>
      <c r="AA1647" s="207"/>
      <c r="AB1647" s="207"/>
      <c r="AC1647" s="207"/>
      <c r="AD1647" s="207"/>
      <c r="AE1647" s="207"/>
      <c r="AF1647" s="207"/>
    </row>
    <row r="1648" spans="2:32" ht="15" customHeight="1" x14ac:dyDescent="0.25">
      <c r="B1648" s="207"/>
      <c r="C1648" s="207"/>
      <c r="D1648" s="207"/>
      <c r="E1648" s="207"/>
      <c r="F1648" s="207"/>
      <c r="G1648" s="207"/>
      <c r="H1648" s="207"/>
      <c r="I1648" s="207"/>
      <c r="J1648" s="207"/>
      <c r="K1648" s="207"/>
      <c r="L1648" s="207"/>
      <c r="M1648" s="207"/>
      <c r="N1648" s="207"/>
      <c r="O1648" s="207"/>
      <c r="P1648" s="207"/>
      <c r="Q1648" s="207"/>
      <c r="R1648" s="207"/>
      <c r="S1648" s="207"/>
      <c r="T1648" s="207"/>
      <c r="U1648" s="207"/>
      <c r="V1648" s="207"/>
      <c r="W1648" s="207"/>
      <c r="X1648" s="207"/>
      <c r="Y1648" s="207"/>
      <c r="Z1648" s="207"/>
      <c r="AA1648" s="207"/>
      <c r="AB1648" s="207"/>
      <c r="AC1648" s="207"/>
      <c r="AD1648" s="207"/>
      <c r="AE1648" s="207"/>
      <c r="AF1648" s="207"/>
    </row>
    <row r="1730" spans="2:32" ht="15" customHeight="1" x14ac:dyDescent="0.25">
      <c r="B1730" s="207"/>
      <c r="C1730" s="207"/>
      <c r="D1730" s="207"/>
      <c r="E1730" s="207"/>
      <c r="F1730" s="207"/>
      <c r="G1730" s="207"/>
      <c r="H1730" s="207"/>
      <c r="I1730" s="207"/>
      <c r="J1730" s="207"/>
      <c r="K1730" s="207"/>
      <c r="L1730" s="207"/>
      <c r="M1730" s="207"/>
      <c r="N1730" s="207"/>
      <c r="O1730" s="207"/>
      <c r="P1730" s="207"/>
      <c r="Q1730" s="207"/>
      <c r="R1730" s="207"/>
      <c r="S1730" s="207"/>
      <c r="T1730" s="207"/>
      <c r="U1730" s="207"/>
      <c r="V1730" s="207"/>
      <c r="W1730" s="207"/>
      <c r="X1730" s="207"/>
      <c r="Y1730" s="207"/>
      <c r="Z1730" s="207"/>
      <c r="AA1730" s="207"/>
      <c r="AB1730" s="207"/>
      <c r="AC1730" s="207"/>
      <c r="AD1730" s="207"/>
      <c r="AE1730" s="207"/>
      <c r="AF1730" s="207"/>
    </row>
    <row r="1736" spans="2:32" ht="15" customHeight="1" x14ac:dyDescent="0.25">
      <c r="B1736" s="207"/>
      <c r="C1736" s="207"/>
      <c r="D1736" s="207"/>
      <c r="E1736" s="207"/>
      <c r="F1736" s="207"/>
      <c r="G1736" s="207"/>
      <c r="H1736" s="207"/>
      <c r="I1736" s="207"/>
      <c r="J1736" s="207"/>
      <c r="K1736" s="207"/>
      <c r="L1736" s="207"/>
      <c r="M1736" s="207"/>
      <c r="N1736" s="207"/>
      <c r="O1736" s="207"/>
      <c r="P1736" s="207"/>
      <c r="Q1736" s="207"/>
      <c r="R1736" s="207"/>
      <c r="S1736" s="207"/>
      <c r="T1736" s="207"/>
      <c r="U1736" s="207"/>
      <c r="V1736" s="207"/>
      <c r="W1736" s="207"/>
      <c r="X1736" s="207"/>
      <c r="Y1736" s="207"/>
      <c r="Z1736" s="207"/>
      <c r="AA1736" s="207"/>
      <c r="AB1736" s="207"/>
      <c r="AC1736" s="207"/>
      <c r="AD1736" s="207"/>
      <c r="AE1736" s="207"/>
      <c r="AF1736" s="207"/>
    </row>
    <row r="1739" spans="2:32" ht="15" customHeight="1" x14ac:dyDescent="0.25">
      <c r="B1739" s="207"/>
      <c r="C1739" s="207"/>
      <c r="D1739" s="207"/>
      <c r="E1739" s="207"/>
      <c r="F1739" s="207"/>
      <c r="G1739" s="207"/>
      <c r="H1739" s="207"/>
      <c r="I1739" s="207"/>
      <c r="J1739" s="207"/>
      <c r="K1739" s="207"/>
      <c r="L1739" s="207"/>
      <c r="M1739" s="207"/>
      <c r="N1739" s="207"/>
      <c r="O1739" s="207"/>
      <c r="P1739" s="207"/>
      <c r="Q1739" s="207"/>
      <c r="R1739" s="207"/>
      <c r="S1739" s="207"/>
      <c r="T1739" s="207"/>
      <c r="U1739" s="207"/>
      <c r="V1739" s="207"/>
      <c r="W1739" s="207"/>
      <c r="X1739" s="207"/>
      <c r="Y1739" s="207"/>
      <c r="Z1739" s="207"/>
      <c r="AA1739" s="207"/>
      <c r="AB1739" s="207"/>
      <c r="AC1739" s="207"/>
      <c r="AD1739" s="207"/>
      <c r="AE1739" s="207"/>
      <c r="AF1739" s="207"/>
    </row>
    <row r="1740" spans="2:32" ht="15" customHeight="1" x14ac:dyDescent="0.25">
      <c r="B1740" s="306"/>
      <c r="C1740" s="306"/>
      <c r="D1740" s="306"/>
      <c r="E1740" s="306"/>
      <c r="F1740" s="306"/>
      <c r="G1740" s="306"/>
      <c r="H1740" s="306"/>
      <c r="I1740" s="306"/>
      <c r="J1740" s="306"/>
      <c r="K1740" s="306"/>
      <c r="L1740" s="306"/>
      <c r="M1740" s="306"/>
      <c r="N1740" s="306"/>
      <c r="O1740" s="306"/>
      <c r="P1740" s="306"/>
      <c r="Q1740" s="306"/>
      <c r="R1740" s="306"/>
      <c r="S1740" s="306"/>
      <c r="T1740" s="306"/>
      <c r="U1740" s="306"/>
      <c r="V1740" s="306"/>
      <c r="W1740" s="306"/>
      <c r="X1740" s="306"/>
      <c r="Y1740" s="306"/>
      <c r="Z1740" s="306"/>
      <c r="AA1740" s="306"/>
      <c r="AB1740" s="306"/>
      <c r="AC1740" s="306"/>
      <c r="AD1740" s="306"/>
      <c r="AE1740" s="306"/>
      <c r="AF1740" s="306"/>
    </row>
    <row r="1744" spans="2:32" ht="15" customHeight="1" x14ac:dyDescent="0.25">
      <c r="B1744" s="207"/>
      <c r="C1744" s="207"/>
      <c r="D1744" s="207"/>
      <c r="E1744" s="207"/>
      <c r="F1744" s="207"/>
      <c r="G1744" s="207"/>
      <c r="H1744" s="207"/>
      <c r="I1744" s="207"/>
      <c r="J1744" s="207"/>
      <c r="K1744" s="207"/>
      <c r="L1744" s="207"/>
      <c r="M1744" s="207"/>
      <c r="N1744" s="207"/>
      <c r="O1744" s="207"/>
      <c r="P1744" s="207"/>
      <c r="Q1744" s="207"/>
      <c r="R1744" s="207"/>
      <c r="S1744" s="207"/>
      <c r="T1744" s="207"/>
      <c r="U1744" s="207"/>
      <c r="V1744" s="207"/>
      <c r="W1744" s="207"/>
      <c r="X1744" s="207"/>
      <c r="Y1744" s="207"/>
      <c r="Z1744" s="207"/>
      <c r="AA1744" s="207"/>
      <c r="AB1744" s="207"/>
      <c r="AC1744" s="207"/>
      <c r="AD1744" s="207"/>
      <c r="AE1744" s="207"/>
      <c r="AF1744" s="207"/>
    </row>
    <row r="1830" spans="2:32" ht="15" customHeight="1" x14ac:dyDescent="0.25">
      <c r="B1830" s="207"/>
      <c r="C1830" s="207"/>
      <c r="D1830" s="207"/>
      <c r="E1830" s="207"/>
      <c r="F1830" s="207"/>
      <c r="G1830" s="207"/>
      <c r="H1830" s="207"/>
      <c r="I1830" s="207"/>
      <c r="J1830" s="207"/>
      <c r="K1830" s="207"/>
      <c r="L1830" s="207"/>
      <c r="M1830" s="207"/>
      <c r="N1830" s="207"/>
      <c r="O1830" s="207"/>
      <c r="P1830" s="207"/>
      <c r="Q1830" s="207"/>
      <c r="R1830" s="207"/>
      <c r="S1830" s="207"/>
      <c r="T1830" s="207"/>
      <c r="U1830" s="207"/>
      <c r="V1830" s="207"/>
      <c r="W1830" s="207"/>
      <c r="X1830" s="207"/>
      <c r="Y1830" s="207"/>
      <c r="Z1830" s="207"/>
      <c r="AA1830" s="207"/>
      <c r="AB1830" s="207"/>
      <c r="AC1830" s="207"/>
      <c r="AD1830" s="207"/>
      <c r="AE1830" s="207"/>
      <c r="AF1830" s="207"/>
    </row>
    <row r="1836" spans="2:32" ht="15" customHeight="1" x14ac:dyDescent="0.25">
      <c r="B1836" s="207"/>
      <c r="C1836" s="207"/>
      <c r="D1836" s="207"/>
      <c r="E1836" s="207"/>
      <c r="F1836" s="207"/>
      <c r="G1836" s="207"/>
      <c r="H1836" s="207"/>
      <c r="I1836" s="207"/>
      <c r="J1836" s="207"/>
      <c r="K1836" s="207"/>
      <c r="L1836" s="207"/>
      <c r="M1836" s="207"/>
      <c r="N1836" s="207"/>
      <c r="O1836" s="207"/>
      <c r="P1836" s="207"/>
      <c r="Q1836" s="207"/>
      <c r="R1836" s="207"/>
      <c r="S1836" s="207"/>
      <c r="T1836" s="207"/>
      <c r="U1836" s="207"/>
      <c r="V1836" s="207"/>
      <c r="W1836" s="207"/>
      <c r="X1836" s="207"/>
      <c r="Y1836" s="207"/>
      <c r="Z1836" s="207"/>
      <c r="AA1836" s="207"/>
      <c r="AB1836" s="207"/>
      <c r="AC1836" s="207"/>
      <c r="AD1836" s="207"/>
      <c r="AE1836" s="207"/>
      <c r="AF1836" s="207"/>
    </row>
    <row r="1839" spans="2:32" ht="15" customHeight="1" x14ac:dyDescent="0.25">
      <c r="B1839" s="207"/>
      <c r="C1839" s="207"/>
      <c r="D1839" s="207"/>
      <c r="E1839" s="207"/>
      <c r="F1839" s="207"/>
      <c r="G1839" s="207"/>
      <c r="H1839" s="207"/>
      <c r="I1839" s="207"/>
      <c r="J1839" s="207"/>
      <c r="K1839" s="207"/>
      <c r="L1839" s="207"/>
      <c r="M1839" s="207"/>
      <c r="N1839" s="207"/>
      <c r="O1839" s="207"/>
      <c r="P1839" s="207"/>
      <c r="Q1839" s="207"/>
      <c r="R1839" s="207"/>
      <c r="S1839" s="207"/>
      <c r="T1839" s="207"/>
      <c r="U1839" s="207"/>
      <c r="V1839" s="207"/>
      <c r="W1839" s="207"/>
      <c r="X1839" s="207"/>
      <c r="Y1839" s="207"/>
      <c r="Z1839" s="207"/>
      <c r="AA1839" s="207"/>
      <c r="AB1839" s="207"/>
      <c r="AC1839" s="207"/>
      <c r="AD1839" s="207"/>
      <c r="AE1839" s="207"/>
      <c r="AF1839" s="207"/>
    </row>
    <row r="1840" spans="2:32" ht="15" customHeight="1" x14ac:dyDescent="0.25">
      <c r="B1840" s="306"/>
      <c r="C1840" s="306"/>
      <c r="D1840" s="306"/>
      <c r="E1840" s="306"/>
      <c r="F1840" s="306"/>
      <c r="G1840" s="306"/>
      <c r="H1840" s="306"/>
      <c r="I1840" s="306"/>
      <c r="J1840" s="306"/>
      <c r="K1840" s="306"/>
      <c r="L1840" s="306"/>
      <c r="M1840" s="306"/>
      <c r="N1840" s="306"/>
      <c r="O1840" s="306"/>
      <c r="P1840" s="306"/>
      <c r="Q1840" s="306"/>
      <c r="R1840" s="306"/>
      <c r="S1840" s="306"/>
      <c r="T1840" s="306"/>
      <c r="U1840" s="306"/>
      <c r="V1840" s="306"/>
      <c r="W1840" s="306"/>
      <c r="X1840" s="306"/>
      <c r="Y1840" s="306"/>
      <c r="Z1840" s="306"/>
      <c r="AA1840" s="306"/>
      <c r="AB1840" s="306"/>
      <c r="AC1840" s="306"/>
      <c r="AD1840" s="306"/>
      <c r="AE1840" s="306"/>
      <c r="AF1840" s="306"/>
    </row>
    <row r="1939" spans="2:32" ht="15" customHeight="1" x14ac:dyDescent="0.25">
      <c r="B1939" s="207"/>
      <c r="C1939" s="207"/>
      <c r="D1939" s="207"/>
      <c r="E1939" s="207"/>
      <c r="F1939" s="207"/>
      <c r="G1939" s="207"/>
      <c r="H1939" s="207"/>
      <c r="I1939" s="207"/>
      <c r="J1939" s="207"/>
      <c r="K1939" s="207"/>
      <c r="L1939" s="207"/>
      <c r="M1939" s="207"/>
      <c r="N1939" s="207"/>
      <c r="O1939" s="207"/>
      <c r="P1939" s="207"/>
      <c r="Q1939" s="207"/>
      <c r="R1939" s="207"/>
      <c r="S1939" s="207"/>
      <c r="T1939" s="207"/>
      <c r="U1939" s="207"/>
      <c r="V1939" s="207"/>
      <c r="W1939" s="207"/>
      <c r="X1939" s="207"/>
      <c r="Y1939" s="207"/>
      <c r="Z1939" s="207"/>
      <c r="AA1939" s="207"/>
      <c r="AB1939" s="207"/>
      <c r="AC1939" s="207"/>
      <c r="AD1939" s="207"/>
      <c r="AE1939" s="207"/>
      <c r="AF1939" s="207"/>
    </row>
    <row r="1940" spans="2:32" ht="15" customHeight="1" x14ac:dyDescent="0.25">
      <c r="B1940" s="306"/>
      <c r="C1940" s="306"/>
      <c r="D1940" s="306"/>
      <c r="E1940" s="306"/>
      <c r="F1940" s="306"/>
      <c r="G1940" s="306"/>
      <c r="H1940" s="306"/>
      <c r="I1940" s="306"/>
      <c r="J1940" s="306"/>
      <c r="K1940" s="306"/>
      <c r="L1940" s="306"/>
      <c r="M1940" s="306"/>
      <c r="N1940" s="306"/>
      <c r="O1940" s="306"/>
      <c r="P1940" s="306"/>
      <c r="Q1940" s="306"/>
      <c r="R1940" s="306"/>
      <c r="S1940" s="306"/>
      <c r="T1940" s="306"/>
      <c r="U1940" s="306"/>
      <c r="V1940" s="306"/>
      <c r="W1940" s="306"/>
      <c r="X1940" s="306"/>
      <c r="Y1940" s="306"/>
      <c r="Z1940" s="306"/>
      <c r="AA1940" s="306"/>
      <c r="AB1940" s="306"/>
      <c r="AC1940" s="306"/>
      <c r="AD1940" s="306"/>
      <c r="AE1940" s="306"/>
      <c r="AF1940" s="306"/>
    </row>
    <row r="1944" spans="2:32" ht="15" customHeight="1" x14ac:dyDescent="0.25">
      <c r="B1944" s="207"/>
      <c r="C1944" s="207"/>
      <c r="D1944" s="207"/>
      <c r="E1944" s="207"/>
      <c r="F1944" s="207"/>
      <c r="G1944" s="207"/>
      <c r="H1944" s="207"/>
      <c r="I1944" s="207"/>
      <c r="J1944" s="207"/>
      <c r="K1944" s="207"/>
      <c r="L1944" s="207"/>
      <c r="M1944" s="207"/>
      <c r="N1944" s="207"/>
      <c r="O1944" s="207"/>
      <c r="P1944" s="207"/>
      <c r="Q1944" s="207"/>
      <c r="R1944" s="207"/>
      <c r="S1944" s="207"/>
      <c r="T1944" s="207"/>
      <c r="U1944" s="207"/>
      <c r="V1944" s="207"/>
      <c r="W1944" s="207"/>
      <c r="X1944" s="207"/>
      <c r="Y1944" s="207"/>
      <c r="Z1944" s="207"/>
      <c r="AA1944" s="207"/>
      <c r="AB1944" s="207"/>
      <c r="AC1944" s="207"/>
      <c r="AD1944" s="207"/>
      <c r="AE1944" s="207"/>
      <c r="AF1944" s="207"/>
    </row>
    <row r="1945" spans="2:32" ht="15" customHeight="1" x14ac:dyDescent="0.25">
      <c r="B1945" s="207"/>
      <c r="C1945" s="207"/>
      <c r="D1945" s="207"/>
      <c r="E1945" s="207"/>
      <c r="F1945" s="207"/>
      <c r="G1945" s="207"/>
      <c r="H1945" s="207"/>
      <c r="I1945" s="207"/>
      <c r="J1945" s="207"/>
      <c r="K1945" s="207"/>
      <c r="L1945" s="207"/>
      <c r="M1945" s="207"/>
      <c r="N1945" s="207"/>
      <c r="O1945" s="207"/>
      <c r="P1945" s="207"/>
      <c r="Q1945" s="207"/>
      <c r="R1945" s="207"/>
      <c r="S1945" s="207"/>
      <c r="T1945" s="207"/>
      <c r="U1945" s="207"/>
      <c r="V1945" s="207"/>
      <c r="W1945" s="207"/>
      <c r="X1945" s="207"/>
      <c r="Y1945" s="207"/>
      <c r="Z1945" s="207"/>
      <c r="AA1945" s="207"/>
      <c r="AB1945" s="207"/>
      <c r="AC1945" s="207"/>
      <c r="AD1945" s="207"/>
      <c r="AE1945" s="207"/>
      <c r="AF1945" s="207"/>
    </row>
    <row r="1946" spans="2:32" ht="15" customHeight="1" x14ac:dyDescent="0.25">
      <c r="B1946" s="207"/>
      <c r="C1946" s="207"/>
      <c r="D1946" s="207"/>
      <c r="E1946" s="207"/>
      <c r="F1946" s="207"/>
      <c r="G1946" s="207"/>
      <c r="H1946" s="207"/>
      <c r="I1946" s="207"/>
      <c r="J1946" s="207"/>
      <c r="K1946" s="207"/>
      <c r="L1946" s="207"/>
      <c r="M1946" s="207"/>
      <c r="N1946" s="207"/>
      <c r="O1946" s="207"/>
      <c r="P1946" s="207"/>
      <c r="Q1946" s="207"/>
      <c r="R1946" s="207"/>
      <c r="S1946" s="207"/>
      <c r="T1946" s="207"/>
      <c r="U1946" s="207"/>
      <c r="V1946" s="207"/>
      <c r="W1946" s="207"/>
      <c r="X1946" s="207"/>
      <c r="Y1946" s="207"/>
      <c r="Z1946" s="207"/>
      <c r="AA1946" s="207"/>
      <c r="AB1946" s="207"/>
      <c r="AC1946" s="207"/>
      <c r="AD1946" s="207"/>
      <c r="AE1946" s="207"/>
      <c r="AF1946" s="207"/>
    </row>
    <row r="1947" spans="2:32" ht="15" customHeight="1" x14ac:dyDescent="0.25">
      <c r="B1947" s="207"/>
      <c r="C1947" s="207"/>
      <c r="D1947" s="207"/>
      <c r="E1947" s="207"/>
      <c r="F1947" s="207"/>
      <c r="G1947" s="207"/>
      <c r="H1947" s="207"/>
      <c r="I1947" s="207"/>
      <c r="J1947" s="207"/>
      <c r="K1947" s="207"/>
      <c r="L1947" s="207"/>
      <c r="M1947" s="207"/>
      <c r="N1947" s="207"/>
      <c r="O1947" s="207"/>
      <c r="P1947" s="207"/>
      <c r="Q1947" s="207"/>
      <c r="R1947" s="207"/>
      <c r="S1947" s="207"/>
      <c r="T1947" s="207"/>
      <c r="U1947" s="207"/>
      <c r="V1947" s="207"/>
      <c r="W1947" s="207"/>
      <c r="X1947" s="207"/>
      <c r="Y1947" s="207"/>
      <c r="Z1947" s="207"/>
      <c r="AA1947" s="207"/>
      <c r="AB1947" s="207"/>
      <c r="AC1947" s="207"/>
      <c r="AD1947" s="207"/>
      <c r="AE1947" s="207"/>
      <c r="AF1947" s="207"/>
    </row>
    <row r="1948" spans="2:32" ht="15" customHeight="1" x14ac:dyDescent="0.25">
      <c r="B1948" s="207"/>
      <c r="C1948" s="207"/>
      <c r="D1948" s="207"/>
      <c r="E1948" s="207"/>
      <c r="F1948" s="207"/>
      <c r="G1948" s="207"/>
      <c r="H1948" s="207"/>
      <c r="I1948" s="207"/>
      <c r="J1948" s="207"/>
      <c r="K1948" s="207"/>
      <c r="L1948" s="207"/>
      <c r="M1948" s="207"/>
      <c r="N1948" s="207"/>
      <c r="O1948" s="207"/>
      <c r="P1948" s="207"/>
      <c r="Q1948" s="207"/>
      <c r="R1948" s="207"/>
      <c r="S1948" s="207"/>
      <c r="T1948" s="207"/>
      <c r="U1948" s="207"/>
      <c r="V1948" s="207"/>
      <c r="W1948" s="207"/>
      <c r="X1948" s="207"/>
      <c r="Y1948" s="207"/>
      <c r="Z1948" s="207"/>
      <c r="AA1948" s="207"/>
      <c r="AB1948" s="207"/>
      <c r="AC1948" s="207"/>
      <c r="AD1948" s="207"/>
      <c r="AE1948" s="207"/>
      <c r="AF1948" s="207"/>
    </row>
    <row r="1949" spans="2:32" ht="15" customHeight="1" x14ac:dyDescent="0.25">
      <c r="B1949" s="207"/>
      <c r="C1949" s="207"/>
      <c r="D1949" s="207"/>
      <c r="E1949" s="207"/>
      <c r="F1949" s="207"/>
      <c r="G1949" s="207"/>
      <c r="H1949" s="207"/>
      <c r="I1949" s="207"/>
      <c r="J1949" s="207"/>
      <c r="K1949" s="207"/>
      <c r="L1949" s="207"/>
      <c r="M1949" s="207"/>
      <c r="N1949" s="207"/>
      <c r="O1949" s="207"/>
      <c r="P1949" s="207"/>
      <c r="Q1949" s="207"/>
      <c r="R1949" s="207"/>
      <c r="S1949" s="207"/>
      <c r="T1949" s="207"/>
      <c r="U1949" s="207"/>
      <c r="V1949" s="207"/>
      <c r="W1949" s="207"/>
      <c r="X1949" s="207"/>
      <c r="Y1949" s="207"/>
      <c r="Z1949" s="207"/>
      <c r="AA1949" s="207"/>
      <c r="AB1949" s="207"/>
      <c r="AC1949" s="207"/>
      <c r="AD1949" s="207"/>
      <c r="AE1949" s="207"/>
      <c r="AF1949" s="207"/>
    </row>
    <row r="1950" spans="2:32" ht="15" customHeight="1" x14ac:dyDescent="0.25">
      <c r="B1950" s="207"/>
      <c r="C1950" s="207"/>
      <c r="D1950" s="207"/>
      <c r="E1950" s="207"/>
      <c r="F1950" s="207"/>
      <c r="G1950" s="207"/>
      <c r="H1950" s="207"/>
      <c r="I1950" s="207"/>
      <c r="J1950" s="207"/>
      <c r="K1950" s="207"/>
      <c r="L1950" s="207"/>
      <c r="M1950" s="207"/>
      <c r="N1950" s="207"/>
      <c r="O1950" s="207"/>
      <c r="P1950" s="207"/>
      <c r="Q1950" s="207"/>
      <c r="R1950" s="207"/>
      <c r="S1950" s="207"/>
      <c r="T1950" s="207"/>
      <c r="U1950" s="207"/>
      <c r="V1950" s="207"/>
      <c r="W1950" s="207"/>
      <c r="X1950" s="207"/>
      <c r="Y1950" s="207"/>
      <c r="Z1950" s="207"/>
      <c r="AA1950" s="207"/>
      <c r="AB1950" s="207"/>
      <c r="AC1950" s="207"/>
      <c r="AD1950" s="207"/>
      <c r="AE1950" s="207"/>
      <c r="AF1950" s="207"/>
    </row>
    <row r="1951" spans="2:32" ht="15" customHeight="1" x14ac:dyDescent="0.25">
      <c r="B1951" s="207"/>
      <c r="C1951" s="207"/>
      <c r="D1951" s="207"/>
      <c r="E1951" s="207"/>
      <c r="F1951" s="207"/>
      <c r="G1951" s="207"/>
      <c r="H1951" s="207"/>
      <c r="I1951" s="207"/>
      <c r="J1951" s="207"/>
      <c r="K1951" s="207"/>
      <c r="L1951" s="207"/>
      <c r="M1951" s="207"/>
      <c r="N1951" s="207"/>
      <c r="O1951" s="207"/>
      <c r="P1951" s="207"/>
      <c r="Q1951" s="207"/>
      <c r="R1951" s="207"/>
      <c r="S1951" s="207"/>
      <c r="T1951" s="207"/>
      <c r="U1951" s="207"/>
      <c r="V1951" s="207"/>
      <c r="W1951" s="207"/>
      <c r="X1951" s="207"/>
      <c r="Y1951" s="207"/>
      <c r="Z1951" s="207"/>
      <c r="AA1951" s="207"/>
      <c r="AB1951" s="207"/>
      <c r="AC1951" s="207"/>
      <c r="AD1951" s="207"/>
      <c r="AE1951" s="207"/>
      <c r="AF1951" s="207"/>
    </row>
    <row r="1952" spans="2:32" ht="15" customHeight="1" x14ac:dyDescent="0.25">
      <c r="B1952" s="207"/>
      <c r="C1952" s="207"/>
      <c r="D1952" s="207"/>
      <c r="E1952" s="207"/>
      <c r="F1952" s="207"/>
      <c r="G1952" s="207"/>
      <c r="H1952" s="207"/>
      <c r="I1952" s="207"/>
      <c r="J1952" s="207"/>
      <c r="K1952" s="207"/>
      <c r="L1952" s="207"/>
      <c r="M1952" s="207"/>
      <c r="N1952" s="207"/>
      <c r="O1952" s="207"/>
      <c r="P1952" s="207"/>
      <c r="Q1952" s="207"/>
      <c r="R1952" s="207"/>
      <c r="S1952" s="207"/>
      <c r="T1952" s="207"/>
      <c r="U1952" s="207"/>
      <c r="V1952" s="207"/>
      <c r="W1952" s="207"/>
      <c r="X1952" s="207"/>
      <c r="Y1952" s="207"/>
      <c r="Z1952" s="207"/>
      <c r="AA1952" s="207"/>
      <c r="AB1952" s="207"/>
      <c r="AC1952" s="207"/>
      <c r="AD1952" s="207"/>
      <c r="AE1952" s="207"/>
      <c r="AF1952" s="207"/>
    </row>
    <row r="2036" spans="2:32" ht="15" customHeight="1" x14ac:dyDescent="0.25">
      <c r="B2036" s="207"/>
      <c r="C2036" s="207"/>
      <c r="D2036" s="207"/>
      <c r="E2036" s="207"/>
      <c r="F2036" s="207"/>
      <c r="G2036" s="207"/>
      <c r="H2036" s="207"/>
      <c r="I2036" s="207"/>
      <c r="J2036" s="207"/>
      <c r="K2036" s="207"/>
      <c r="L2036" s="207"/>
      <c r="M2036" s="207"/>
      <c r="N2036" s="207"/>
      <c r="O2036" s="207"/>
      <c r="P2036" s="207"/>
      <c r="Q2036" s="207"/>
      <c r="R2036" s="207"/>
      <c r="S2036" s="207"/>
      <c r="T2036" s="207"/>
      <c r="U2036" s="207"/>
      <c r="V2036" s="207"/>
      <c r="W2036" s="207"/>
      <c r="X2036" s="207"/>
      <c r="Y2036" s="207"/>
      <c r="Z2036" s="207"/>
      <c r="AA2036" s="207"/>
      <c r="AB2036" s="207"/>
      <c r="AC2036" s="207"/>
      <c r="AD2036" s="207"/>
      <c r="AE2036" s="207"/>
      <c r="AF2036" s="207"/>
    </row>
    <row r="2039" spans="2:32" ht="15" customHeight="1" x14ac:dyDescent="0.25">
      <c r="B2039" s="207"/>
      <c r="C2039" s="207"/>
      <c r="D2039" s="207"/>
      <c r="E2039" s="207"/>
      <c r="F2039" s="207"/>
      <c r="G2039" s="207"/>
      <c r="H2039" s="207"/>
      <c r="I2039" s="207"/>
      <c r="J2039" s="207"/>
      <c r="K2039" s="207"/>
      <c r="L2039" s="207"/>
      <c r="M2039" s="207"/>
      <c r="N2039" s="207"/>
      <c r="O2039" s="207"/>
      <c r="P2039" s="207"/>
      <c r="Q2039" s="207"/>
      <c r="R2039" s="207"/>
      <c r="S2039" s="207"/>
      <c r="T2039" s="207"/>
      <c r="U2039" s="207"/>
      <c r="V2039" s="207"/>
      <c r="W2039" s="207"/>
      <c r="X2039" s="207"/>
      <c r="Y2039" s="207"/>
      <c r="Z2039" s="207"/>
      <c r="AA2039" s="207"/>
      <c r="AB2039" s="207"/>
      <c r="AC2039" s="207"/>
      <c r="AD2039" s="207"/>
      <c r="AE2039" s="207"/>
      <c r="AF2039" s="207"/>
    </row>
    <row r="2040" spans="2:32" ht="15" customHeight="1" x14ac:dyDescent="0.25">
      <c r="B2040" s="306"/>
      <c r="C2040" s="306"/>
      <c r="D2040" s="306"/>
      <c r="E2040" s="306"/>
      <c r="F2040" s="306"/>
      <c r="G2040" s="306"/>
      <c r="H2040" s="306"/>
      <c r="I2040" s="306"/>
      <c r="J2040" s="306"/>
      <c r="K2040" s="306"/>
      <c r="L2040" s="306"/>
      <c r="M2040" s="306"/>
      <c r="N2040" s="306"/>
      <c r="O2040" s="306"/>
      <c r="P2040" s="306"/>
      <c r="Q2040" s="306"/>
      <c r="R2040" s="306"/>
      <c r="S2040" s="306"/>
      <c r="T2040" s="306"/>
      <c r="U2040" s="306"/>
      <c r="V2040" s="306"/>
      <c r="W2040" s="306"/>
      <c r="X2040" s="306"/>
      <c r="Y2040" s="306"/>
      <c r="Z2040" s="306"/>
      <c r="AA2040" s="306"/>
      <c r="AB2040" s="306"/>
      <c r="AC2040" s="306"/>
      <c r="AD2040" s="306"/>
      <c r="AE2040" s="306"/>
      <c r="AF2040" s="306"/>
    </row>
    <row r="2044" spans="2:32" ht="15" customHeight="1" x14ac:dyDescent="0.25">
      <c r="B2044" s="207"/>
      <c r="C2044" s="207"/>
      <c r="D2044" s="207"/>
      <c r="E2044" s="207"/>
      <c r="F2044" s="207"/>
      <c r="G2044" s="207"/>
      <c r="H2044" s="207"/>
      <c r="I2044" s="207"/>
      <c r="J2044" s="207"/>
      <c r="K2044" s="207"/>
      <c r="L2044" s="207"/>
      <c r="M2044" s="207"/>
      <c r="N2044" s="207"/>
      <c r="O2044" s="207"/>
      <c r="P2044" s="207"/>
      <c r="Q2044" s="207"/>
      <c r="R2044" s="207"/>
      <c r="S2044" s="207"/>
      <c r="T2044" s="207"/>
      <c r="U2044" s="207"/>
      <c r="V2044" s="207"/>
      <c r="W2044" s="207"/>
      <c r="X2044" s="207"/>
      <c r="Y2044" s="207"/>
      <c r="Z2044" s="207"/>
      <c r="AA2044" s="207"/>
      <c r="AB2044" s="207"/>
      <c r="AC2044" s="207"/>
      <c r="AD2044" s="207"/>
      <c r="AE2044" s="207"/>
      <c r="AF2044" s="207"/>
    </row>
    <row r="2045" spans="2:32" ht="15" customHeight="1" x14ac:dyDescent="0.25">
      <c r="B2045" s="207"/>
      <c r="C2045" s="207"/>
      <c r="D2045" s="207"/>
      <c r="E2045" s="207"/>
      <c r="F2045" s="207"/>
      <c r="G2045" s="207"/>
      <c r="H2045" s="207"/>
      <c r="I2045" s="207"/>
      <c r="J2045" s="207"/>
      <c r="K2045" s="207"/>
      <c r="L2045" s="207"/>
      <c r="M2045" s="207"/>
      <c r="N2045" s="207"/>
      <c r="O2045" s="207"/>
      <c r="P2045" s="207"/>
      <c r="Q2045" s="207"/>
      <c r="R2045" s="207"/>
      <c r="S2045" s="207"/>
      <c r="T2045" s="207"/>
      <c r="U2045" s="207"/>
      <c r="V2045" s="207"/>
      <c r="W2045" s="207"/>
      <c r="X2045" s="207"/>
      <c r="Y2045" s="207"/>
      <c r="Z2045" s="207"/>
      <c r="AA2045" s="207"/>
      <c r="AB2045" s="207"/>
      <c r="AC2045" s="207"/>
      <c r="AD2045" s="207"/>
      <c r="AE2045" s="207"/>
      <c r="AF2045" s="207"/>
    </row>
    <row r="2046" spans="2:32" ht="15" customHeight="1" x14ac:dyDescent="0.25">
      <c r="B2046" s="207"/>
      <c r="C2046" s="207"/>
      <c r="D2046" s="207"/>
      <c r="E2046" s="207"/>
      <c r="F2046" s="207"/>
      <c r="G2046" s="207"/>
      <c r="H2046" s="207"/>
      <c r="I2046" s="207"/>
      <c r="J2046" s="207"/>
      <c r="K2046" s="207"/>
      <c r="L2046" s="207"/>
      <c r="M2046" s="207"/>
      <c r="N2046" s="207"/>
      <c r="O2046" s="207"/>
      <c r="P2046" s="207"/>
      <c r="Q2046" s="207"/>
      <c r="R2046" s="207"/>
      <c r="S2046" s="207"/>
      <c r="T2046" s="207"/>
      <c r="U2046" s="207"/>
      <c r="V2046" s="207"/>
      <c r="W2046" s="207"/>
      <c r="X2046" s="207"/>
      <c r="Y2046" s="207"/>
      <c r="Z2046" s="207"/>
      <c r="AA2046" s="207"/>
      <c r="AB2046" s="207"/>
      <c r="AC2046" s="207"/>
      <c r="AD2046" s="207"/>
      <c r="AE2046" s="207"/>
      <c r="AF2046" s="207"/>
    </row>
    <row r="2047" spans="2:32" ht="15" customHeight="1" x14ac:dyDescent="0.25">
      <c r="B2047" s="207"/>
      <c r="C2047" s="207"/>
      <c r="D2047" s="207"/>
      <c r="E2047" s="207"/>
      <c r="F2047" s="207"/>
      <c r="G2047" s="207"/>
      <c r="H2047" s="207"/>
      <c r="I2047" s="207"/>
      <c r="J2047" s="207"/>
      <c r="K2047" s="207"/>
      <c r="L2047" s="207"/>
      <c r="M2047" s="207"/>
      <c r="N2047" s="207"/>
      <c r="O2047" s="207"/>
      <c r="P2047" s="207"/>
      <c r="Q2047" s="207"/>
      <c r="R2047" s="207"/>
      <c r="S2047" s="207"/>
      <c r="T2047" s="207"/>
      <c r="U2047" s="207"/>
      <c r="V2047" s="207"/>
      <c r="W2047" s="207"/>
      <c r="X2047" s="207"/>
      <c r="Y2047" s="207"/>
      <c r="Z2047" s="207"/>
      <c r="AA2047" s="207"/>
      <c r="AB2047" s="207"/>
      <c r="AC2047" s="207"/>
      <c r="AD2047" s="207"/>
      <c r="AE2047" s="207"/>
      <c r="AF2047" s="207"/>
    </row>
    <row r="2048" spans="2:32" ht="15" customHeight="1" x14ac:dyDescent="0.25">
      <c r="B2048" s="207"/>
      <c r="C2048" s="207"/>
      <c r="D2048" s="207"/>
      <c r="E2048" s="207"/>
      <c r="F2048" s="207"/>
      <c r="G2048" s="207"/>
      <c r="H2048" s="207"/>
      <c r="I2048" s="207"/>
      <c r="J2048" s="207"/>
      <c r="K2048" s="207"/>
      <c r="L2048" s="207"/>
      <c r="M2048" s="207"/>
      <c r="N2048" s="207"/>
      <c r="O2048" s="207"/>
      <c r="P2048" s="207"/>
      <c r="Q2048" s="207"/>
      <c r="R2048" s="207"/>
      <c r="S2048" s="207"/>
      <c r="T2048" s="207"/>
      <c r="U2048" s="207"/>
      <c r="V2048" s="207"/>
      <c r="W2048" s="207"/>
      <c r="X2048" s="207"/>
      <c r="Y2048" s="207"/>
      <c r="Z2048" s="207"/>
      <c r="AA2048" s="207"/>
      <c r="AB2048" s="207"/>
      <c r="AC2048" s="207"/>
      <c r="AD2048" s="207"/>
      <c r="AE2048" s="207"/>
      <c r="AF2048" s="207"/>
    </row>
    <row r="2130" spans="2:32" ht="15" customHeight="1" x14ac:dyDescent="0.25">
      <c r="B2130" s="207"/>
      <c r="C2130" s="207"/>
      <c r="D2130" s="207"/>
      <c r="E2130" s="207"/>
      <c r="F2130" s="207"/>
      <c r="G2130" s="207"/>
      <c r="H2130" s="207"/>
      <c r="I2130" s="207"/>
      <c r="J2130" s="207"/>
      <c r="K2130" s="207"/>
      <c r="L2130" s="207"/>
      <c r="M2130" s="207"/>
      <c r="N2130" s="207"/>
      <c r="O2130" s="207"/>
      <c r="P2130" s="207"/>
      <c r="Q2130" s="207"/>
      <c r="R2130" s="207"/>
      <c r="S2130" s="207"/>
      <c r="T2130" s="207"/>
      <c r="U2130" s="207"/>
      <c r="V2130" s="207"/>
      <c r="W2130" s="207"/>
      <c r="X2130" s="207"/>
      <c r="Y2130" s="207"/>
      <c r="Z2130" s="207"/>
      <c r="AA2130" s="207"/>
      <c r="AB2130" s="207"/>
      <c r="AC2130" s="207"/>
      <c r="AD2130" s="207"/>
      <c r="AE2130" s="207"/>
      <c r="AF2130" s="207"/>
    </row>
    <row r="2136" spans="2:32" ht="15" customHeight="1" x14ac:dyDescent="0.25">
      <c r="B2136" s="207"/>
      <c r="C2136" s="207"/>
      <c r="D2136" s="207"/>
      <c r="E2136" s="207"/>
      <c r="F2136" s="207"/>
      <c r="G2136" s="207"/>
      <c r="H2136" s="207"/>
      <c r="I2136" s="207"/>
      <c r="J2136" s="207"/>
      <c r="K2136" s="207"/>
      <c r="L2136" s="207"/>
      <c r="M2136" s="207"/>
      <c r="N2136" s="207"/>
      <c r="O2136" s="207"/>
      <c r="P2136" s="207"/>
      <c r="Q2136" s="207"/>
      <c r="R2136" s="207"/>
      <c r="S2136" s="207"/>
      <c r="T2136" s="207"/>
      <c r="U2136" s="207"/>
      <c r="V2136" s="207"/>
      <c r="W2136" s="207"/>
      <c r="X2136" s="207"/>
      <c r="Y2136" s="207"/>
      <c r="Z2136" s="207"/>
      <c r="AA2136" s="207"/>
      <c r="AB2136" s="207"/>
      <c r="AC2136" s="207"/>
      <c r="AD2136" s="207"/>
      <c r="AE2136" s="207"/>
      <c r="AF2136" s="207"/>
    </row>
    <row r="2139" spans="2:32" ht="15" customHeight="1" x14ac:dyDescent="0.25">
      <c r="B2139" s="207"/>
      <c r="C2139" s="207"/>
      <c r="D2139" s="207"/>
      <c r="E2139" s="207"/>
      <c r="F2139" s="207"/>
      <c r="G2139" s="207"/>
      <c r="H2139" s="207"/>
      <c r="I2139" s="207"/>
      <c r="J2139" s="207"/>
      <c r="K2139" s="207"/>
      <c r="L2139" s="207"/>
      <c r="M2139" s="207"/>
      <c r="N2139" s="207"/>
      <c r="O2139" s="207"/>
      <c r="P2139" s="207"/>
      <c r="Q2139" s="207"/>
      <c r="R2139" s="207"/>
      <c r="S2139" s="207"/>
      <c r="T2139" s="207"/>
      <c r="U2139" s="207"/>
      <c r="V2139" s="207"/>
      <c r="W2139" s="207"/>
      <c r="X2139" s="207"/>
      <c r="Y2139" s="207"/>
      <c r="Z2139" s="207"/>
      <c r="AA2139" s="207"/>
      <c r="AB2139" s="207"/>
      <c r="AC2139" s="207"/>
      <c r="AD2139" s="207"/>
      <c r="AE2139" s="207"/>
      <c r="AF2139" s="207"/>
    </row>
    <row r="2140" spans="2:32" ht="15" customHeight="1" x14ac:dyDescent="0.25">
      <c r="B2140" s="306"/>
      <c r="C2140" s="306"/>
      <c r="D2140" s="306"/>
      <c r="E2140" s="306"/>
      <c r="F2140" s="306"/>
      <c r="G2140" s="306"/>
      <c r="H2140" s="306"/>
      <c r="I2140" s="306"/>
      <c r="J2140" s="306"/>
      <c r="K2140" s="306"/>
      <c r="L2140" s="306"/>
      <c r="M2140" s="306"/>
      <c r="N2140" s="306"/>
      <c r="O2140" s="306"/>
      <c r="P2140" s="306"/>
      <c r="Q2140" s="306"/>
      <c r="R2140" s="306"/>
      <c r="S2140" s="306"/>
      <c r="T2140" s="306"/>
      <c r="U2140" s="306"/>
      <c r="V2140" s="306"/>
      <c r="W2140" s="306"/>
      <c r="X2140" s="306"/>
      <c r="Y2140" s="306"/>
      <c r="Z2140" s="306"/>
      <c r="AA2140" s="306"/>
      <c r="AB2140" s="306"/>
      <c r="AC2140" s="306"/>
      <c r="AD2140" s="306"/>
      <c r="AE2140" s="306"/>
      <c r="AF2140" s="306"/>
    </row>
    <row r="2144" spans="2:32" ht="15" customHeight="1" x14ac:dyDescent="0.25">
      <c r="B2144" s="207"/>
      <c r="C2144" s="207"/>
      <c r="D2144" s="207"/>
      <c r="E2144" s="207"/>
      <c r="F2144" s="207"/>
      <c r="G2144" s="207"/>
      <c r="H2144" s="207"/>
      <c r="I2144" s="207"/>
      <c r="J2144" s="207"/>
      <c r="K2144" s="207"/>
      <c r="L2144" s="207"/>
      <c r="M2144" s="207"/>
      <c r="N2144" s="207"/>
      <c r="O2144" s="207"/>
      <c r="P2144" s="207"/>
      <c r="Q2144" s="207"/>
      <c r="R2144" s="207"/>
      <c r="S2144" s="207"/>
      <c r="T2144" s="207"/>
      <c r="U2144" s="207"/>
      <c r="V2144" s="207"/>
      <c r="W2144" s="207"/>
      <c r="X2144" s="207"/>
      <c r="Y2144" s="207"/>
      <c r="Z2144" s="207"/>
      <c r="AA2144" s="207"/>
      <c r="AB2144" s="207"/>
      <c r="AC2144" s="207"/>
      <c r="AD2144" s="207"/>
      <c r="AE2144" s="207"/>
      <c r="AF2144" s="207"/>
    </row>
    <row r="2230" spans="2:32" ht="15" customHeight="1" x14ac:dyDescent="0.25">
      <c r="B2230" s="207"/>
      <c r="C2230" s="207"/>
      <c r="D2230" s="207"/>
      <c r="E2230" s="207"/>
      <c r="F2230" s="207"/>
      <c r="G2230" s="207"/>
      <c r="H2230" s="207"/>
      <c r="I2230" s="207"/>
      <c r="J2230" s="207"/>
      <c r="K2230" s="207"/>
      <c r="L2230" s="207"/>
      <c r="M2230" s="207"/>
      <c r="N2230" s="207"/>
      <c r="O2230" s="207"/>
      <c r="P2230" s="207"/>
      <c r="Q2230" s="207"/>
      <c r="R2230" s="207"/>
      <c r="S2230" s="207"/>
      <c r="T2230" s="207"/>
      <c r="U2230" s="207"/>
      <c r="V2230" s="207"/>
      <c r="W2230" s="207"/>
      <c r="X2230" s="207"/>
      <c r="Y2230" s="207"/>
      <c r="Z2230" s="207"/>
      <c r="AA2230" s="207"/>
      <c r="AB2230" s="207"/>
      <c r="AC2230" s="207"/>
      <c r="AD2230" s="207"/>
      <c r="AE2230" s="207"/>
      <c r="AF2230" s="207"/>
    </row>
    <row r="2236" spans="2:32" ht="15" customHeight="1" x14ac:dyDescent="0.25">
      <c r="B2236" s="207"/>
      <c r="C2236" s="207"/>
      <c r="D2236" s="207"/>
      <c r="E2236" s="207"/>
      <c r="F2236" s="207"/>
      <c r="G2236" s="207"/>
      <c r="H2236" s="207"/>
      <c r="I2236" s="207"/>
      <c r="J2236" s="207"/>
      <c r="K2236" s="207"/>
      <c r="L2236" s="207"/>
      <c r="M2236" s="207"/>
      <c r="N2236" s="207"/>
      <c r="O2236" s="207"/>
      <c r="P2236" s="207"/>
      <c r="Q2236" s="207"/>
      <c r="R2236" s="207"/>
      <c r="S2236" s="207"/>
      <c r="T2236" s="207"/>
      <c r="U2236" s="207"/>
      <c r="V2236" s="207"/>
      <c r="W2236" s="207"/>
      <c r="X2236" s="207"/>
      <c r="Y2236" s="207"/>
      <c r="Z2236" s="207"/>
      <c r="AA2236" s="207"/>
      <c r="AB2236" s="207"/>
      <c r="AC2236" s="207"/>
      <c r="AD2236" s="207"/>
      <c r="AE2236" s="207"/>
      <c r="AF2236" s="207"/>
    </row>
    <row r="2239" spans="2:32" ht="15" customHeight="1" x14ac:dyDescent="0.25">
      <c r="B2239" s="207"/>
      <c r="C2239" s="207"/>
      <c r="D2239" s="207"/>
      <c r="E2239" s="207"/>
      <c r="F2239" s="207"/>
      <c r="G2239" s="207"/>
      <c r="H2239" s="207"/>
      <c r="I2239" s="207"/>
      <c r="J2239" s="207"/>
      <c r="K2239" s="207"/>
      <c r="L2239" s="207"/>
      <c r="M2239" s="207"/>
      <c r="N2239" s="207"/>
      <c r="O2239" s="207"/>
      <c r="P2239" s="207"/>
      <c r="Q2239" s="207"/>
      <c r="R2239" s="207"/>
      <c r="S2239" s="207"/>
      <c r="T2239" s="207"/>
      <c r="U2239" s="207"/>
      <c r="V2239" s="207"/>
      <c r="W2239" s="207"/>
      <c r="X2239" s="207"/>
      <c r="Y2239" s="207"/>
      <c r="Z2239" s="207"/>
      <c r="AA2239" s="207"/>
      <c r="AB2239" s="207"/>
      <c r="AC2239" s="207"/>
      <c r="AD2239" s="207"/>
      <c r="AE2239" s="207"/>
      <c r="AF2239" s="207"/>
    </row>
    <row r="2240" spans="2:32" ht="15" customHeight="1" x14ac:dyDescent="0.25">
      <c r="B2240" s="306"/>
      <c r="C2240" s="306"/>
      <c r="D2240" s="306"/>
      <c r="E2240" s="306"/>
      <c r="F2240" s="306"/>
      <c r="G2240" s="306"/>
      <c r="H2240" s="306"/>
      <c r="I2240" s="306"/>
      <c r="J2240" s="306"/>
      <c r="K2240" s="306"/>
      <c r="L2240" s="306"/>
      <c r="M2240" s="306"/>
      <c r="N2240" s="306"/>
      <c r="O2240" s="306"/>
      <c r="P2240" s="306"/>
      <c r="Q2240" s="306"/>
      <c r="R2240" s="306"/>
      <c r="S2240" s="306"/>
      <c r="T2240" s="306"/>
      <c r="U2240" s="306"/>
      <c r="V2240" s="306"/>
      <c r="W2240" s="306"/>
      <c r="X2240" s="306"/>
      <c r="Y2240" s="306"/>
      <c r="Z2240" s="306"/>
      <c r="AA2240" s="306"/>
      <c r="AB2240" s="306"/>
      <c r="AC2240" s="306"/>
      <c r="AD2240" s="306"/>
      <c r="AE2240" s="306"/>
      <c r="AF2240" s="306"/>
    </row>
    <row r="2339" spans="2:32" ht="15" customHeight="1" x14ac:dyDescent="0.25">
      <c r="B2339" s="207"/>
      <c r="C2339" s="207"/>
      <c r="D2339" s="207"/>
      <c r="E2339" s="207"/>
      <c r="F2339" s="207"/>
      <c r="G2339" s="207"/>
      <c r="H2339" s="207"/>
      <c r="I2339" s="207"/>
      <c r="J2339" s="207"/>
      <c r="K2339" s="207"/>
      <c r="L2339" s="207"/>
      <c r="M2339" s="207"/>
      <c r="N2339" s="207"/>
      <c r="O2339" s="207"/>
      <c r="P2339" s="207"/>
      <c r="Q2339" s="207"/>
      <c r="R2339" s="207"/>
      <c r="S2339" s="207"/>
      <c r="T2339" s="207"/>
      <c r="U2339" s="207"/>
      <c r="V2339" s="207"/>
      <c r="W2339" s="207"/>
      <c r="X2339" s="207"/>
      <c r="Y2339" s="207"/>
      <c r="Z2339" s="207"/>
      <c r="AA2339" s="207"/>
      <c r="AB2339" s="207"/>
      <c r="AC2339" s="207"/>
      <c r="AD2339" s="207"/>
      <c r="AE2339" s="207"/>
      <c r="AF2339" s="207"/>
    </row>
    <row r="2340" spans="2:32" ht="15" customHeight="1" x14ac:dyDescent="0.25">
      <c r="B2340" s="306"/>
      <c r="C2340" s="306"/>
      <c r="D2340" s="306"/>
      <c r="E2340" s="306"/>
      <c r="F2340" s="306"/>
      <c r="G2340" s="306"/>
      <c r="H2340" s="306"/>
      <c r="I2340" s="306"/>
      <c r="J2340" s="306"/>
      <c r="K2340" s="306"/>
      <c r="L2340" s="306"/>
      <c r="M2340" s="306"/>
      <c r="N2340" s="306"/>
      <c r="O2340" s="306"/>
      <c r="P2340" s="306"/>
      <c r="Q2340" s="306"/>
      <c r="R2340" s="306"/>
      <c r="S2340" s="306"/>
      <c r="T2340" s="306"/>
      <c r="U2340" s="306"/>
      <c r="V2340" s="306"/>
      <c r="W2340" s="306"/>
      <c r="X2340" s="306"/>
      <c r="Y2340" s="306"/>
      <c r="Z2340" s="306"/>
      <c r="AA2340" s="306"/>
      <c r="AB2340" s="306"/>
      <c r="AC2340" s="306"/>
      <c r="AD2340" s="306"/>
      <c r="AE2340" s="306"/>
      <c r="AF2340" s="306"/>
    </row>
    <row r="2440" spans="2:34" ht="15" customHeight="1" x14ac:dyDescent="0.25">
      <c r="B2440" s="309"/>
      <c r="C2440" s="309"/>
      <c r="D2440" s="309"/>
      <c r="E2440" s="309"/>
      <c r="F2440" s="309"/>
      <c r="G2440" s="309"/>
      <c r="H2440" s="309"/>
      <c r="I2440" s="309"/>
      <c r="J2440" s="309"/>
      <c r="K2440" s="309"/>
      <c r="L2440" s="309"/>
      <c r="M2440" s="309"/>
      <c r="N2440" s="309"/>
      <c r="O2440" s="309"/>
      <c r="P2440" s="309"/>
      <c r="Q2440" s="309"/>
      <c r="R2440" s="309"/>
      <c r="S2440" s="309"/>
      <c r="T2440" s="309"/>
      <c r="U2440" s="309"/>
      <c r="V2440" s="309"/>
      <c r="W2440" s="309"/>
      <c r="X2440" s="309"/>
      <c r="Y2440" s="309"/>
      <c r="Z2440" s="309"/>
      <c r="AA2440" s="309"/>
      <c r="AB2440" s="309"/>
      <c r="AC2440" s="309"/>
      <c r="AD2440" s="309"/>
      <c r="AE2440" s="309"/>
      <c r="AF2440" s="309"/>
      <c r="AG2440" s="309"/>
      <c r="AH2440" s="309"/>
    </row>
    <row r="2540" spans="2:34" ht="15" customHeight="1" x14ac:dyDescent="0.25">
      <c r="B2540" s="309"/>
      <c r="C2540" s="309"/>
      <c r="D2540" s="309"/>
      <c r="E2540" s="309"/>
      <c r="F2540" s="309"/>
      <c r="G2540" s="309"/>
      <c r="H2540" s="309"/>
      <c r="I2540" s="309"/>
      <c r="J2540" s="309"/>
      <c r="K2540" s="309"/>
      <c r="L2540" s="309"/>
      <c r="M2540" s="309"/>
      <c r="N2540" s="309"/>
      <c r="O2540" s="309"/>
      <c r="P2540" s="309"/>
      <c r="Q2540" s="309"/>
      <c r="R2540" s="309"/>
      <c r="S2540" s="309"/>
      <c r="T2540" s="309"/>
      <c r="U2540" s="309"/>
      <c r="V2540" s="309"/>
      <c r="W2540" s="309"/>
      <c r="X2540" s="309"/>
      <c r="Y2540" s="309"/>
      <c r="Z2540" s="309"/>
      <c r="AA2540" s="309"/>
      <c r="AB2540" s="309"/>
      <c r="AC2540" s="309"/>
      <c r="AD2540" s="309"/>
      <c r="AE2540" s="309"/>
      <c r="AF2540" s="309"/>
      <c r="AG2540" s="309"/>
      <c r="AH2540" s="309"/>
    </row>
  </sheetData>
  <mergeCells count="24">
    <mergeCell ref="B80:AG80"/>
    <mergeCell ref="B88:AF88"/>
    <mergeCell ref="B213:AF213"/>
    <mergeCell ref="B379:AF379"/>
    <mergeCell ref="B496:AF496"/>
    <mergeCell ref="B648:AF648"/>
    <mergeCell ref="B748:AF748"/>
    <mergeCell ref="B839:AF839"/>
    <mergeCell ref="B910:AF910"/>
    <mergeCell ref="B1005:AF1005"/>
    <mergeCell ref="B1422:AF1422"/>
    <mergeCell ref="B1155:AF1155"/>
    <mergeCell ref="B1327:AF1327"/>
    <mergeCell ref="B2540:AH2540"/>
    <mergeCell ref="B2440:AH2440"/>
    <mergeCell ref="B2140:AF2140"/>
    <mergeCell ref="B2240:AF2240"/>
    <mergeCell ref="B2340:AF2340"/>
    <mergeCell ref="B2040:AF2040"/>
    <mergeCell ref="B1540:AF1540"/>
    <mergeCell ref="B1640:AF1640"/>
    <mergeCell ref="B1740:AF1740"/>
    <mergeCell ref="B1840:AF1840"/>
    <mergeCell ref="B1940:AF1940"/>
  </mergeCells>
  <pageMargins left="0.75" right="0.75" top="1" bottom="1" header="0.5" footer="0.5"/>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4DF60-FD5A-4C54-9EDD-339542AD61AC}">
  <dimension ref="A1:AJ43"/>
  <sheetViews>
    <sheetView workbookViewId="0">
      <selection sqref="A1:XFD1048576"/>
    </sheetView>
  </sheetViews>
  <sheetFormatPr defaultRowHeight="15" x14ac:dyDescent="0.25"/>
  <sheetData>
    <row r="1" spans="1:35" x14ac:dyDescent="0.25">
      <c r="A1" t="s">
        <v>797</v>
      </c>
    </row>
    <row r="2" spans="1:35" x14ac:dyDescent="0.25">
      <c r="A2" t="s">
        <v>876</v>
      </c>
    </row>
    <row r="3" spans="1:35" x14ac:dyDescent="0.25">
      <c r="A3" t="s">
        <v>877</v>
      </c>
    </row>
    <row r="4" spans="1:35" x14ac:dyDescent="0.25">
      <c r="A4" t="s">
        <v>798</v>
      </c>
    </row>
    <row r="5" spans="1:35" x14ac:dyDescent="0.25">
      <c r="B5" t="s">
        <v>799</v>
      </c>
      <c r="C5" t="s">
        <v>800</v>
      </c>
      <c r="D5" t="s">
        <v>801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868</v>
      </c>
    </row>
    <row r="8" spans="1:35" x14ac:dyDescent="0.25">
      <c r="A8" t="s">
        <v>126</v>
      </c>
    </row>
    <row r="9" spans="1:35" x14ac:dyDescent="0.25">
      <c r="A9" t="s">
        <v>717</v>
      </c>
    </row>
    <row r="10" spans="1:35" x14ac:dyDescent="0.25">
      <c r="A10" t="s">
        <v>802</v>
      </c>
      <c r="B10" t="s">
        <v>878</v>
      </c>
      <c r="C10" t="s">
        <v>879</v>
      </c>
      <c r="D10" t="s">
        <v>803</v>
      </c>
      <c r="F10">
        <v>11.391961</v>
      </c>
      <c r="G10">
        <v>11.911623000000001</v>
      </c>
      <c r="H10">
        <v>12.286136000000001</v>
      </c>
      <c r="I10">
        <v>12.405836000000001</v>
      </c>
      <c r="J10">
        <v>12.564268</v>
      </c>
      <c r="K10">
        <v>12.638444</v>
      </c>
      <c r="L10">
        <v>12.756741999999999</v>
      </c>
      <c r="M10">
        <v>12.72641</v>
      </c>
      <c r="N10">
        <v>12.711926999999999</v>
      </c>
      <c r="O10">
        <v>12.640687</v>
      </c>
      <c r="P10">
        <v>12.643459</v>
      </c>
      <c r="Q10">
        <v>12.650594</v>
      </c>
      <c r="R10">
        <v>12.649630999999999</v>
      </c>
      <c r="S10">
        <v>12.664894</v>
      </c>
      <c r="T10">
        <v>12.608809000000001</v>
      </c>
      <c r="U10">
        <v>12.553323000000001</v>
      </c>
      <c r="V10">
        <v>12.463748000000001</v>
      </c>
      <c r="W10">
        <v>12.381916</v>
      </c>
      <c r="X10">
        <v>12.31338</v>
      </c>
      <c r="Y10">
        <v>12.207516</v>
      </c>
      <c r="Z10">
        <v>12.241076</v>
      </c>
      <c r="AA10">
        <v>12.313478999999999</v>
      </c>
      <c r="AB10">
        <v>12.393143</v>
      </c>
      <c r="AC10">
        <v>12.397959999999999</v>
      </c>
      <c r="AD10">
        <v>12.389208</v>
      </c>
      <c r="AE10">
        <v>12.286963</v>
      </c>
      <c r="AF10">
        <v>12.299671999999999</v>
      </c>
      <c r="AG10">
        <v>12.441811</v>
      </c>
      <c r="AH10">
        <v>12.510002</v>
      </c>
      <c r="AI10" s="98">
        <v>3.0000000000000001E-3</v>
      </c>
    </row>
    <row r="11" spans="1:35" x14ac:dyDescent="0.25">
      <c r="A11" t="s">
        <v>804</v>
      </c>
      <c r="B11" t="s">
        <v>880</v>
      </c>
      <c r="C11" t="s">
        <v>881</v>
      </c>
      <c r="D11" t="s">
        <v>803</v>
      </c>
      <c r="F11">
        <v>9.5885540000000002</v>
      </c>
      <c r="G11">
        <v>10.055934000000001</v>
      </c>
      <c r="H11">
        <v>10.358483</v>
      </c>
      <c r="I11">
        <v>10.399044</v>
      </c>
      <c r="J11">
        <v>10.477204</v>
      </c>
      <c r="K11">
        <v>10.4938</v>
      </c>
      <c r="L11">
        <v>10.500588</v>
      </c>
      <c r="M11">
        <v>10.464238</v>
      </c>
      <c r="N11">
        <v>10.505914000000001</v>
      </c>
      <c r="O11">
        <v>10.499349</v>
      </c>
      <c r="P11">
        <v>10.566034999999999</v>
      </c>
      <c r="Q11">
        <v>10.619910000000001</v>
      </c>
      <c r="R11">
        <v>10.638350000000001</v>
      </c>
      <c r="S11">
        <v>10.668874000000001</v>
      </c>
      <c r="T11">
        <v>10.704992000000001</v>
      </c>
      <c r="U11">
        <v>10.735191</v>
      </c>
      <c r="V11">
        <v>10.759776</v>
      </c>
      <c r="W11">
        <v>10.788214</v>
      </c>
      <c r="X11">
        <v>10.798835</v>
      </c>
      <c r="Y11">
        <v>10.850989</v>
      </c>
      <c r="Z11">
        <v>10.894672999999999</v>
      </c>
      <c r="AA11">
        <v>10.890307999999999</v>
      </c>
      <c r="AB11">
        <v>10.938000000000001</v>
      </c>
      <c r="AC11">
        <v>10.994806000000001</v>
      </c>
      <c r="AD11">
        <v>11.054777</v>
      </c>
      <c r="AE11">
        <v>11.106519</v>
      </c>
      <c r="AF11">
        <v>11.092962999999999</v>
      </c>
      <c r="AG11">
        <v>11.133082</v>
      </c>
      <c r="AH11">
        <v>11.17417</v>
      </c>
      <c r="AI11" s="98">
        <v>5.0000000000000001E-3</v>
      </c>
    </row>
    <row r="12" spans="1:35" x14ac:dyDescent="0.25">
      <c r="A12" t="s">
        <v>805</v>
      </c>
      <c r="B12" t="s">
        <v>882</v>
      </c>
      <c r="C12" t="s">
        <v>883</v>
      </c>
      <c r="D12" t="s">
        <v>803</v>
      </c>
      <c r="F12">
        <v>0.17188800000000001</v>
      </c>
      <c r="G12">
        <v>0.22576399999999999</v>
      </c>
      <c r="H12">
        <v>0.242261</v>
      </c>
      <c r="I12">
        <v>0.25711800000000001</v>
      </c>
      <c r="J12">
        <v>0.26454800000000001</v>
      </c>
      <c r="K12">
        <v>0.26898100000000003</v>
      </c>
      <c r="L12">
        <v>0.27247700000000002</v>
      </c>
      <c r="M12">
        <v>0.27371699999999999</v>
      </c>
      <c r="N12">
        <v>0.27545199999999997</v>
      </c>
      <c r="O12">
        <v>0.27702199999999999</v>
      </c>
      <c r="P12">
        <v>0.279275</v>
      </c>
      <c r="Q12">
        <v>0.27875299999999997</v>
      </c>
      <c r="R12">
        <v>0.278364</v>
      </c>
      <c r="S12">
        <v>0.27689000000000002</v>
      </c>
      <c r="T12">
        <v>0.275561</v>
      </c>
      <c r="U12">
        <v>0.27396799999999999</v>
      </c>
      <c r="V12">
        <v>0.271229</v>
      </c>
      <c r="W12">
        <v>0.26994099999999999</v>
      </c>
      <c r="X12">
        <v>0.26982600000000001</v>
      </c>
      <c r="Y12">
        <v>0.26937499999999998</v>
      </c>
      <c r="Z12">
        <v>0.271509</v>
      </c>
      <c r="AA12">
        <v>0.27307199999999998</v>
      </c>
      <c r="AB12">
        <v>0.28427999999999998</v>
      </c>
      <c r="AC12">
        <v>0.28966599999999998</v>
      </c>
      <c r="AD12">
        <v>0.29224800000000001</v>
      </c>
      <c r="AE12">
        <v>0.29572799999999999</v>
      </c>
      <c r="AF12">
        <v>0.29759000000000002</v>
      </c>
      <c r="AG12">
        <v>0.29797699999999999</v>
      </c>
      <c r="AH12">
        <v>0.29855100000000001</v>
      </c>
      <c r="AI12" s="98">
        <v>0.02</v>
      </c>
    </row>
    <row r="13" spans="1:35" x14ac:dyDescent="0.25">
      <c r="A13" t="s">
        <v>806</v>
      </c>
      <c r="B13" t="s">
        <v>884</v>
      </c>
      <c r="C13" t="s">
        <v>885</v>
      </c>
      <c r="D13" t="s">
        <v>803</v>
      </c>
      <c r="F13">
        <v>1.383148</v>
      </c>
      <c r="G13">
        <v>1.3939710000000001</v>
      </c>
      <c r="H13">
        <v>1.4910829999999999</v>
      </c>
      <c r="I13">
        <v>1.4972380000000001</v>
      </c>
      <c r="J13">
        <v>1.510162</v>
      </c>
      <c r="K13">
        <v>1.5066600000000001</v>
      </c>
      <c r="L13">
        <v>1.4981640000000001</v>
      </c>
      <c r="M13">
        <v>1.486872</v>
      </c>
      <c r="N13">
        <v>1.483546</v>
      </c>
      <c r="O13">
        <v>1.477908</v>
      </c>
      <c r="P13">
        <v>1.475312</v>
      </c>
      <c r="Q13">
        <v>1.480861</v>
      </c>
      <c r="R13">
        <v>1.4801340000000001</v>
      </c>
      <c r="S13">
        <v>1.489117</v>
      </c>
      <c r="T13">
        <v>1.508624</v>
      </c>
      <c r="U13">
        <v>1.520391</v>
      </c>
      <c r="V13">
        <v>1.5281750000000001</v>
      </c>
      <c r="W13">
        <v>1.5370550000000001</v>
      </c>
      <c r="X13">
        <v>1.546359</v>
      </c>
      <c r="Y13">
        <v>1.552486</v>
      </c>
      <c r="Z13">
        <v>1.5626739999999999</v>
      </c>
      <c r="AA13">
        <v>1.57283</v>
      </c>
      <c r="AB13">
        <v>1.578892</v>
      </c>
      <c r="AC13">
        <v>1.5883229999999999</v>
      </c>
      <c r="AD13">
        <v>1.60924</v>
      </c>
      <c r="AE13">
        <v>1.6261810000000001</v>
      </c>
      <c r="AF13">
        <v>1.64815</v>
      </c>
      <c r="AG13">
        <v>1.6753830000000001</v>
      </c>
      <c r="AH13">
        <v>1.6977990000000001</v>
      </c>
      <c r="AI13" s="98">
        <v>7.0000000000000001E-3</v>
      </c>
    </row>
    <row r="14" spans="1:35" x14ac:dyDescent="0.25">
      <c r="A14" t="s">
        <v>807</v>
      </c>
      <c r="B14" t="s">
        <v>886</v>
      </c>
      <c r="C14" t="s">
        <v>887</v>
      </c>
      <c r="D14" t="s">
        <v>803</v>
      </c>
      <c r="F14">
        <v>0.52672200000000002</v>
      </c>
      <c r="G14">
        <v>0.51117100000000004</v>
      </c>
      <c r="H14">
        <v>0.41799599999999998</v>
      </c>
      <c r="I14">
        <v>0.43217699999999998</v>
      </c>
      <c r="J14">
        <v>0.439193</v>
      </c>
      <c r="K14">
        <v>0.44259599999999999</v>
      </c>
      <c r="L14">
        <v>0.44938600000000001</v>
      </c>
      <c r="M14">
        <v>0.45603500000000002</v>
      </c>
      <c r="N14">
        <v>0.474379</v>
      </c>
      <c r="O14">
        <v>0.48058200000000001</v>
      </c>
      <c r="P14">
        <v>0.48591699999999999</v>
      </c>
      <c r="Q14">
        <v>0.49399599999999999</v>
      </c>
      <c r="R14">
        <v>0.50722100000000003</v>
      </c>
      <c r="S14">
        <v>0.52530699999999997</v>
      </c>
      <c r="T14">
        <v>0.53810599999999997</v>
      </c>
      <c r="U14">
        <v>0.54498899999999995</v>
      </c>
      <c r="V14">
        <v>0.55918699999999999</v>
      </c>
      <c r="W14">
        <v>0.57356200000000002</v>
      </c>
      <c r="X14">
        <v>0.593468</v>
      </c>
      <c r="Y14">
        <v>0.60889099999999996</v>
      </c>
      <c r="Z14">
        <v>0.61158699999999999</v>
      </c>
      <c r="AA14">
        <v>0.609151</v>
      </c>
      <c r="AB14">
        <v>0.59970599999999996</v>
      </c>
      <c r="AC14">
        <v>0.59114599999999995</v>
      </c>
      <c r="AD14">
        <v>0.57980799999999999</v>
      </c>
      <c r="AE14">
        <v>0.56974899999999995</v>
      </c>
      <c r="AF14">
        <v>0.55709399999999998</v>
      </c>
      <c r="AG14">
        <v>0.54962100000000003</v>
      </c>
      <c r="AH14">
        <v>0.53740699999999997</v>
      </c>
      <c r="AI14" s="98">
        <v>1E-3</v>
      </c>
    </row>
    <row r="15" spans="1:35" x14ac:dyDescent="0.25">
      <c r="A15" t="s">
        <v>808</v>
      </c>
      <c r="B15" t="s">
        <v>888</v>
      </c>
      <c r="C15" t="s">
        <v>889</v>
      </c>
      <c r="D15" t="s">
        <v>803</v>
      </c>
      <c r="F15">
        <v>5.3044130000000003</v>
      </c>
      <c r="G15">
        <v>5.6627210000000003</v>
      </c>
      <c r="H15">
        <v>5.683052</v>
      </c>
      <c r="I15">
        <v>5.6803299999999997</v>
      </c>
      <c r="J15">
        <v>5.6571629999999997</v>
      </c>
      <c r="K15">
        <v>5.6255199999999999</v>
      </c>
      <c r="L15">
        <v>5.596425</v>
      </c>
      <c r="M15">
        <v>5.5502320000000003</v>
      </c>
      <c r="N15">
        <v>5.5339359999999997</v>
      </c>
      <c r="O15">
        <v>5.5129479999999997</v>
      </c>
      <c r="P15">
        <v>5.4842019999999998</v>
      </c>
      <c r="Q15">
        <v>5.4770469999999998</v>
      </c>
      <c r="R15">
        <v>5.4611499999999999</v>
      </c>
      <c r="S15">
        <v>5.4234520000000002</v>
      </c>
      <c r="T15">
        <v>5.4030230000000001</v>
      </c>
      <c r="U15">
        <v>5.4030680000000002</v>
      </c>
      <c r="V15">
        <v>5.4030189999999996</v>
      </c>
      <c r="W15">
        <v>5.3940190000000001</v>
      </c>
      <c r="X15">
        <v>5.3706870000000002</v>
      </c>
      <c r="Y15">
        <v>5.3890719999999996</v>
      </c>
      <c r="Z15">
        <v>5.4129009999999997</v>
      </c>
      <c r="AA15">
        <v>5.4207580000000002</v>
      </c>
      <c r="AB15">
        <v>5.4398350000000004</v>
      </c>
      <c r="AC15">
        <v>5.4736710000000004</v>
      </c>
      <c r="AD15">
        <v>5.4990670000000001</v>
      </c>
      <c r="AE15">
        <v>5.5072679999999998</v>
      </c>
      <c r="AF15">
        <v>5.4959340000000001</v>
      </c>
      <c r="AG15">
        <v>5.510453</v>
      </c>
      <c r="AH15">
        <v>5.5125590000000004</v>
      </c>
      <c r="AI15" s="98">
        <v>1E-3</v>
      </c>
    </row>
    <row r="16" spans="1:35" x14ac:dyDescent="0.25">
      <c r="A16" t="s">
        <v>809</v>
      </c>
      <c r="B16" t="s">
        <v>890</v>
      </c>
      <c r="C16" t="s">
        <v>891</v>
      </c>
      <c r="D16" t="s">
        <v>803</v>
      </c>
      <c r="F16">
        <v>0.79108800000000001</v>
      </c>
      <c r="G16">
        <v>0.82060500000000003</v>
      </c>
      <c r="H16">
        <v>0.901864</v>
      </c>
      <c r="I16">
        <v>0.91389799999999999</v>
      </c>
      <c r="J16">
        <v>0.94774199999999997</v>
      </c>
      <c r="K16">
        <v>0.95677999999999996</v>
      </c>
      <c r="L16">
        <v>0.95888899999999999</v>
      </c>
      <c r="M16">
        <v>0.96229399999999998</v>
      </c>
      <c r="N16">
        <v>0.96433500000000005</v>
      </c>
      <c r="O16">
        <v>0.96512699999999996</v>
      </c>
      <c r="P16">
        <v>1.0055400000000001</v>
      </c>
      <c r="Q16">
        <v>1.0246599999999999</v>
      </c>
      <c r="R16">
        <v>1.0344530000000001</v>
      </c>
      <c r="S16">
        <v>1.0449820000000001</v>
      </c>
      <c r="T16">
        <v>1.0544480000000001</v>
      </c>
      <c r="U16">
        <v>1.0661940000000001</v>
      </c>
      <c r="V16">
        <v>1.0766880000000001</v>
      </c>
      <c r="W16">
        <v>1.093658</v>
      </c>
      <c r="X16">
        <v>1.1022970000000001</v>
      </c>
      <c r="Y16">
        <v>1.1076900000000001</v>
      </c>
      <c r="Z16">
        <v>1.1064160000000001</v>
      </c>
      <c r="AA16">
        <v>1.109191</v>
      </c>
      <c r="AB16">
        <v>1.14141</v>
      </c>
      <c r="AC16">
        <v>1.152717</v>
      </c>
      <c r="AD16">
        <v>1.1558200000000001</v>
      </c>
      <c r="AE16">
        <v>1.1608830000000001</v>
      </c>
      <c r="AF16">
        <v>1.1644909999999999</v>
      </c>
      <c r="AG16">
        <v>1.169268</v>
      </c>
      <c r="AH16">
        <v>1.175559</v>
      </c>
      <c r="AI16" s="98">
        <v>1.4E-2</v>
      </c>
    </row>
    <row r="17" spans="1:36" x14ac:dyDescent="0.25">
      <c r="A17" t="s">
        <v>810</v>
      </c>
      <c r="B17" t="s">
        <v>892</v>
      </c>
      <c r="C17" t="s">
        <v>893</v>
      </c>
      <c r="D17" t="s">
        <v>803</v>
      </c>
      <c r="F17">
        <v>1.1107400000000001</v>
      </c>
      <c r="G17">
        <v>1.1749799999999999</v>
      </c>
      <c r="H17">
        <v>1.346333</v>
      </c>
      <c r="I17">
        <v>1.3446689999999999</v>
      </c>
      <c r="J17">
        <v>1.383713</v>
      </c>
      <c r="K17">
        <v>1.41899</v>
      </c>
      <c r="L17">
        <v>1.4511179999999999</v>
      </c>
      <c r="M17">
        <v>1.462647</v>
      </c>
      <c r="N17">
        <v>1.503288</v>
      </c>
      <c r="O17">
        <v>1.516634</v>
      </c>
      <c r="P17">
        <v>1.567483</v>
      </c>
      <c r="Q17">
        <v>1.601777</v>
      </c>
      <c r="R17">
        <v>1.6215310000000001</v>
      </c>
      <c r="S17">
        <v>1.6656820000000001</v>
      </c>
      <c r="T17">
        <v>1.6944129999999999</v>
      </c>
      <c r="U17">
        <v>1.707527</v>
      </c>
      <c r="V17">
        <v>1.7144219999999999</v>
      </c>
      <c r="W17">
        <v>1.7225600000000001</v>
      </c>
      <c r="X17">
        <v>1.728105</v>
      </c>
      <c r="Y17">
        <v>1.7445600000000001</v>
      </c>
      <c r="Z17">
        <v>1.7608250000000001</v>
      </c>
      <c r="AA17">
        <v>1.745668</v>
      </c>
      <c r="AB17">
        <v>1.7411620000000001</v>
      </c>
      <c r="AC17">
        <v>1.752758</v>
      </c>
      <c r="AD17">
        <v>1.775987</v>
      </c>
      <c r="AE17">
        <v>1.807755</v>
      </c>
      <c r="AF17">
        <v>1.7942469999999999</v>
      </c>
      <c r="AG17">
        <v>1.799285</v>
      </c>
      <c r="AH17">
        <v>1.824435</v>
      </c>
      <c r="AI17" s="98">
        <v>1.7999999999999999E-2</v>
      </c>
    </row>
    <row r="18" spans="1:36" x14ac:dyDescent="0.25">
      <c r="A18" t="s">
        <v>811</v>
      </c>
      <c r="B18" t="s">
        <v>894</v>
      </c>
      <c r="C18" t="s">
        <v>895</v>
      </c>
      <c r="D18" t="s">
        <v>803</v>
      </c>
      <c r="F18">
        <v>0.30055300000000001</v>
      </c>
      <c r="G18">
        <v>0.26672299999999999</v>
      </c>
      <c r="H18">
        <v>0.275893</v>
      </c>
      <c r="I18">
        <v>0.27361600000000003</v>
      </c>
      <c r="J18">
        <v>0.27468300000000001</v>
      </c>
      <c r="K18">
        <v>0.27427400000000002</v>
      </c>
      <c r="L18">
        <v>0.27412999999999998</v>
      </c>
      <c r="M18">
        <v>0.27244099999999999</v>
      </c>
      <c r="N18">
        <v>0.27097900000000003</v>
      </c>
      <c r="O18">
        <v>0.26912799999999998</v>
      </c>
      <c r="P18">
        <v>0.26830599999999999</v>
      </c>
      <c r="Q18">
        <v>0.26281599999999999</v>
      </c>
      <c r="R18">
        <v>0.255498</v>
      </c>
      <c r="S18">
        <v>0.24344299999999999</v>
      </c>
      <c r="T18">
        <v>0.23081699999999999</v>
      </c>
      <c r="U18">
        <v>0.219053</v>
      </c>
      <c r="V18">
        <v>0.20705599999999999</v>
      </c>
      <c r="W18">
        <v>0.19741900000000001</v>
      </c>
      <c r="X18">
        <v>0.18809200000000001</v>
      </c>
      <c r="Y18">
        <v>0.17891599999999999</v>
      </c>
      <c r="Z18">
        <v>0.16876099999999999</v>
      </c>
      <c r="AA18">
        <v>0.159638</v>
      </c>
      <c r="AB18">
        <v>0.15271599999999999</v>
      </c>
      <c r="AC18">
        <v>0.14652599999999999</v>
      </c>
      <c r="AD18">
        <v>0.14260700000000001</v>
      </c>
      <c r="AE18">
        <v>0.13895399999999999</v>
      </c>
      <c r="AF18">
        <v>0.135458</v>
      </c>
      <c r="AG18">
        <v>0.13109499999999999</v>
      </c>
      <c r="AH18">
        <v>0.12786</v>
      </c>
      <c r="AI18" s="98">
        <v>-0.03</v>
      </c>
    </row>
    <row r="19" spans="1:36" x14ac:dyDescent="0.25">
      <c r="A19" t="s">
        <v>812</v>
      </c>
      <c r="B19" t="s">
        <v>896</v>
      </c>
      <c r="C19" t="s">
        <v>897</v>
      </c>
      <c r="D19" t="s">
        <v>803</v>
      </c>
      <c r="F19">
        <v>1.803407</v>
      </c>
      <c r="G19">
        <v>1.855688</v>
      </c>
      <c r="H19">
        <v>1.9276530000000001</v>
      </c>
      <c r="I19">
        <v>2.006793</v>
      </c>
      <c r="J19">
        <v>2.0870639999999998</v>
      </c>
      <c r="K19">
        <v>2.144644</v>
      </c>
      <c r="L19">
        <v>2.2561529999999999</v>
      </c>
      <c r="M19">
        <v>2.2621720000000001</v>
      </c>
      <c r="N19">
        <v>2.206013</v>
      </c>
      <c r="O19">
        <v>2.1413380000000002</v>
      </c>
      <c r="P19">
        <v>2.0774240000000002</v>
      </c>
      <c r="Q19">
        <v>2.0306829999999998</v>
      </c>
      <c r="R19">
        <v>2.0112809999999999</v>
      </c>
      <c r="S19">
        <v>1.996021</v>
      </c>
      <c r="T19">
        <v>1.903816</v>
      </c>
      <c r="U19">
        <v>1.8181309999999999</v>
      </c>
      <c r="V19">
        <v>1.7039709999999999</v>
      </c>
      <c r="W19">
        <v>1.593702</v>
      </c>
      <c r="X19">
        <v>1.514545</v>
      </c>
      <c r="Y19">
        <v>1.3565259999999999</v>
      </c>
      <c r="Z19">
        <v>1.3464020000000001</v>
      </c>
      <c r="AA19">
        <v>1.4231720000000001</v>
      </c>
      <c r="AB19">
        <v>1.4551430000000001</v>
      </c>
      <c r="AC19">
        <v>1.403154</v>
      </c>
      <c r="AD19">
        <v>1.3344309999999999</v>
      </c>
      <c r="AE19">
        <v>1.180445</v>
      </c>
      <c r="AF19">
        <v>1.206709</v>
      </c>
      <c r="AG19">
        <v>1.3087279999999999</v>
      </c>
      <c r="AH19">
        <v>1.3358319999999999</v>
      </c>
      <c r="AI19" s="98">
        <v>-1.0999999999999999E-2</v>
      </c>
    </row>
    <row r="20" spans="1:36" x14ac:dyDescent="0.25">
      <c r="A20" t="s">
        <v>813</v>
      </c>
      <c r="B20" t="s">
        <v>898</v>
      </c>
      <c r="C20" t="s">
        <v>899</v>
      </c>
      <c r="D20" t="s">
        <v>803</v>
      </c>
      <c r="F20">
        <v>1.769407</v>
      </c>
      <c r="G20">
        <v>1.822009</v>
      </c>
      <c r="H20">
        <v>1.906318</v>
      </c>
      <c r="I20">
        <v>1.9873620000000001</v>
      </c>
      <c r="J20">
        <v>2.0692119999999998</v>
      </c>
      <c r="K20">
        <v>2.1281219999999998</v>
      </c>
      <c r="L20">
        <v>2.121645</v>
      </c>
      <c r="M20">
        <v>2.1076549999999998</v>
      </c>
      <c r="N20">
        <v>2.019549</v>
      </c>
      <c r="O20">
        <v>1.944442</v>
      </c>
      <c r="P20">
        <v>1.8774139999999999</v>
      </c>
      <c r="Q20">
        <v>1.8275060000000001</v>
      </c>
      <c r="R20">
        <v>1.8038860000000001</v>
      </c>
      <c r="S20">
        <v>1.7932889999999999</v>
      </c>
      <c r="T20">
        <v>1.7003440000000001</v>
      </c>
      <c r="U20">
        <v>1.623243</v>
      </c>
      <c r="V20">
        <v>1.5266059999999999</v>
      </c>
      <c r="W20">
        <v>1.4028970000000001</v>
      </c>
      <c r="X20">
        <v>1.327631</v>
      </c>
      <c r="Y20">
        <v>1.157386</v>
      </c>
      <c r="Z20">
        <v>1.1489990000000001</v>
      </c>
      <c r="AA20">
        <v>1.2343280000000001</v>
      </c>
      <c r="AB20">
        <v>1.257517</v>
      </c>
      <c r="AC20">
        <v>1.1857709999999999</v>
      </c>
      <c r="AD20">
        <v>1.123478</v>
      </c>
      <c r="AE20">
        <v>0.98335300000000003</v>
      </c>
      <c r="AF20">
        <v>0.91574800000000001</v>
      </c>
      <c r="AG20">
        <v>1.012054</v>
      </c>
      <c r="AH20">
        <v>1.0609869999999999</v>
      </c>
      <c r="AI20" s="98">
        <v>-1.7999999999999999E-2</v>
      </c>
    </row>
    <row r="21" spans="1:36" x14ac:dyDescent="0.25">
      <c r="A21" t="s">
        <v>814</v>
      </c>
      <c r="B21" t="s">
        <v>815</v>
      </c>
      <c r="C21" t="s">
        <v>900</v>
      </c>
      <c r="D21" t="s">
        <v>901</v>
      </c>
      <c r="E21" t="s">
        <v>803</v>
      </c>
      <c r="G21">
        <v>9.6970000000000008E-3</v>
      </c>
      <c r="H21">
        <v>8.3529999999999993E-3</v>
      </c>
      <c r="I21">
        <v>7.345E-3</v>
      </c>
      <c r="J21">
        <v>6.561E-3</v>
      </c>
      <c r="K21">
        <v>5.934E-3</v>
      </c>
      <c r="L21">
        <v>5.4209999999999996E-3</v>
      </c>
      <c r="M21">
        <v>4.993E-3</v>
      </c>
      <c r="N21">
        <v>4.6309999999999997E-3</v>
      </c>
      <c r="O21">
        <v>4.3210000000000002E-3</v>
      </c>
      <c r="P21">
        <v>4.052E-3</v>
      </c>
      <c r="Q21">
        <v>3.8170000000000001E-3</v>
      </c>
      <c r="R21">
        <v>3.6099999999999999E-3</v>
      </c>
      <c r="S21">
        <v>3.4250000000000001E-3</v>
      </c>
      <c r="T21">
        <v>3.2599999999999999E-3</v>
      </c>
      <c r="U21">
        <v>3.1120000000000002E-3</v>
      </c>
      <c r="V21">
        <v>2.977E-3</v>
      </c>
      <c r="W21">
        <v>2.8549999999999999E-3</v>
      </c>
      <c r="X21">
        <v>2.7439999999999999E-3</v>
      </c>
      <c r="Y21">
        <v>2.6410000000000001E-3</v>
      </c>
      <c r="Z21">
        <v>2.5469999999999998E-3</v>
      </c>
      <c r="AA21">
        <v>2.4599999999999999E-3</v>
      </c>
      <c r="AB21">
        <v>2.3800000000000002E-3</v>
      </c>
      <c r="AC21">
        <v>2.3050000000000002E-3</v>
      </c>
      <c r="AD21">
        <v>2.2360000000000001E-3</v>
      </c>
      <c r="AE21">
        <v>2.1710000000000002E-3</v>
      </c>
      <c r="AF21">
        <v>2.1099999999999999E-3</v>
      </c>
      <c r="AG21">
        <v>2.0530000000000001E-3</v>
      </c>
      <c r="AH21">
        <v>2E-3</v>
      </c>
      <c r="AI21">
        <v>1.9499999999999999E-3</v>
      </c>
      <c r="AJ21" s="98">
        <v>-5.6000000000000001E-2</v>
      </c>
    </row>
    <row r="22" spans="1:36" x14ac:dyDescent="0.25">
      <c r="A22" t="s">
        <v>816</v>
      </c>
      <c r="B22" t="s">
        <v>815</v>
      </c>
      <c r="C22" t="s">
        <v>902</v>
      </c>
      <c r="D22" t="s">
        <v>903</v>
      </c>
      <c r="E22" t="s">
        <v>803</v>
      </c>
      <c r="G22">
        <v>8.5136000000000003E-2</v>
      </c>
      <c r="H22">
        <v>7.9364000000000004E-2</v>
      </c>
      <c r="I22">
        <v>7.2545999999999999E-2</v>
      </c>
      <c r="J22">
        <v>6.4921000000000006E-2</v>
      </c>
      <c r="K22">
        <v>5.8893000000000001E-2</v>
      </c>
      <c r="L22">
        <v>5.3895999999999999E-2</v>
      </c>
      <c r="M22">
        <v>4.9768E-2</v>
      </c>
      <c r="N22">
        <v>4.6399999999999997E-2</v>
      </c>
      <c r="O22">
        <v>4.3549999999999998E-2</v>
      </c>
      <c r="P22">
        <v>4.1002999999999998E-2</v>
      </c>
      <c r="Q22">
        <v>3.8834E-2</v>
      </c>
      <c r="R22">
        <v>3.687E-2</v>
      </c>
      <c r="S22">
        <v>3.5071999999999999E-2</v>
      </c>
      <c r="T22">
        <v>3.8408999999999999E-2</v>
      </c>
      <c r="U22">
        <v>4.3032000000000001E-2</v>
      </c>
      <c r="V22">
        <v>4.1974999999999998E-2</v>
      </c>
      <c r="W22">
        <v>5.1547000000000003E-2</v>
      </c>
      <c r="X22">
        <v>5.5216000000000001E-2</v>
      </c>
      <c r="Y22">
        <v>5.4595999999999999E-2</v>
      </c>
      <c r="Z22">
        <v>5.3893999999999997E-2</v>
      </c>
      <c r="AA22">
        <v>5.5669999999999997E-2</v>
      </c>
      <c r="AB22">
        <v>5.7558999999999999E-2</v>
      </c>
      <c r="AC22">
        <v>5.6937000000000001E-2</v>
      </c>
      <c r="AD22">
        <v>6.5226000000000006E-2</v>
      </c>
      <c r="AE22">
        <v>6.9947999999999996E-2</v>
      </c>
      <c r="AF22">
        <v>6.9535E-2</v>
      </c>
      <c r="AG22">
        <v>7.2605000000000003E-2</v>
      </c>
      <c r="AH22">
        <v>7.1707000000000007E-2</v>
      </c>
      <c r="AI22">
        <v>7.2537000000000004E-2</v>
      </c>
      <c r="AJ22" s="98">
        <v>-6.0000000000000001E-3</v>
      </c>
    </row>
    <row r="23" spans="1:36" x14ac:dyDescent="0.25">
      <c r="A23" t="s">
        <v>817</v>
      </c>
      <c r="B23" t="s">
        <v>904</v>
      </c>
      <c r="C23" t="s">
        <v>905</v>
      </c>
      <c r="D23" t="s">
        <v>803</v>
      </c>
      <c r="F23">
        <v>1.674574</v>
      </c>
      <c r="G23">
        <v>1.7342919999999999</v>
      </c>
      <c r="H23">
        <v>1.826427</v>
      </c>
      <c r="I23">
        <v>1.9158809999999999</v>
      </c>
      <c r="J23">
        <v>2.0043850000000001</v>
      </c>
      <c r="K23">
        <v>2.0688049999999998</v>
      </c>
      <c r="L23">
        <v>2.0668839999999999</v>
      </c>
      <c r="M23">
        <v>2.0566239999999998</v>
      </c>
      <c r="N23">
        <v>1.971678</v>
      </c>
      <c r="O23">
        <v>1.8993869999999999</v>
      </c>
      <c r="P23">
        <v>1.834762</v>
      </c>
      <c r="Q23">
        <v>1.787026</v>
      </c>
      <c r="R23">
        <v>1.7653890000000001</v>
      </c>
      <c r="S23">
        <v>1.75162</v>
      </c>
      <c r="T23">
        <v>1.654201</v>
      </c>
      <c r="U23">
        <v>1.5782910000000001</v>
      </c>
      <c r="V23">
        <v>1.4722040000000001</v>
      </c>
      <c r="W23">
        <v>1.344937</v>
      </c>
      <c r="X23">
        <v>1.2703930000000001</v>
      </c>
      <c r="Y23">
        <v>1.1009439999999999</v>
      </c>
      <c r="Z23">
        <v>1.0908690000000001</v>
      </c>
      <c r="AA23">
        <v>1.1743889999999999</v>
      </c>
      <c r="AB23">
        <v>1.1982740000000001</v>
      </c>
      <c r="AC23">
        <v>1.118309</v>
      </c>
      <c r="AD23">
        <v>1.0513589999999999</v>
      </c>
      <c r="AE23">
        <v>0.91170799999999996</v>
      </c>
      <c r="AF23">
        <v>0.84109</v>
      </c>
      <c r="AG23">
        <v>0.93834700000000004</v>
      </c>
      <c r="AH23">
        <v>0.98650000000000004</v>
      </c>
      <c r="AI23" s="98">
        <v>-1.9E-2</v>
      </c>
    </row>
    <row r="24" spans="1:36" x14ac:dyDescent="0.25">
      <c r="A24" t="s">
        <v>818</v>
      </c>
      <c r="B24" t="s">
        <v>906</v>
      </c>
      <c r="C24" t="s">
        <v>907</v>
      </c>
      <c r="D24" t="s">
        <v>803</v>
      </c>
      <c r="F24">
        <v>3.4000000000000002E-2</v>
      </c>
      <c r="G24">
        <v>3.3680000000000002E-2</v>
      </c>
      <c r="H24">
        <v>2.1335E-2</v>
      </c>
      <c r="I24">
        <v>1.9429999999999999E-2</v>
      </c>
      <c r="J24">
        <v>1.7852E-2</v>
      </c>
      <c r="K24">
        <v>1.6522999999999999E-2</v>
      </c>
      <c r="L24">
        <v>0.13450799999999999</v>
      </c>
      <c r="M24">
        <v>0.15451799999999999</v>
      </c>
      <c r="N24">
        <v>0.18646399999999999</v>
      </c>
      <c r="O24">
        <v>0.19689599999999999</v>
      </c>
      <c r="P24">
        <v>0.20000999999999999</v>
      </c>
      <c r="Q24">
        <v>0.203177</v>
      </c>
      <c r="R24">
        <v>0.207395</v>
      </c>
      <c r="S24">
        <v>0.202732</v>
      </c>
      <c r="T24">
        <v>0.20347199999999999</v>
      </c>
      <c r="U24">
        <v>0.19488800000000001</v>
      </c>
      <c r="V24">
        <v>0.17736499999999999</v>
      </c>
      <c r="W24">
        <v>0.190805</v>
      </c>
      <c r="X24">
        <v>0.186914</v>
      </c>
      <c r="Y24">
        <v>0.19914000000000001</v>
      </c>
      <c r="Z24">
        <v>0.197403</v>
      </c>
      <c r="AA24">
        <v>0.18884400000000001</v>
      </c>
      <c r="AB24">
        <v>0.197626</v>
      </c>
      <c r="AC24">
        <v>0.21738299999999999</v>
      </c>
      <c r="AD24">
        <v>0.210953</v>
      </c>
      <c r="AE24">
        <v>0.19709199999999999</v>
      </c>
      <c r="AF24">
        <v>0.29096100000000003</v>
      </c>
      <c r="AG24">
        <v>0.29667399999999999</v>
      </c>
      <c r="AH24">
        <v>0.27484500000000001</v>
      </c>
      <c r="AI24" s="98">
        <v>7.6999999999999999E-2</v>
      </c>
    </row>
    <row r="25" spans="1:36" x14ac:dyDescent="0.25">
      <c r="A25" t="s">
        <v>819</v>
      </c>
      <c r="B25" t="s">
        <v>908</v>
      </c>
      <c r="C25" t="s">
        <v>909</v>
      </c>
      <c r="D25" t="s">
        <v>803</v>
      </c>
      <c r="F25">
        <v>2.2984999999999998E-2</v>
      </c>
      <c r="G25">
        <v>2.0434000000000001E-2</v>
      </c>
      <c r="H25">
        <v>1.8411E-2</v>
      </c>
      <c r="I25">
        <v>1.6767000000000001E-2</v>
      </c>
      <c r="J25">
        <v>1.5405E-2</v>
      </c>
      <c r="K25">
        <v>1.4258E-2</v>
      </c>
      <c r="L25">
        <v>1.3278999999999999E-2</v>
      </c>
      <c r="M25">
        <v>1.2433E-2</v>
      </c>
      <c r="N25">
        <v>1.1696E-2</v>
      </c>
      <c r="O25">
        <v>1.1047E-2</v>
      </c>
      <c r="P25">
        <v>1.0470999999999999E-2</v>
      </c>
      <c r="Q25">
        <v>9.9570000000000006E-3</v>
      </c>
      <c r="R25">
        <v>9.495E-3</v>
      </c>
      <c r="S25">
        <v>9.0779999999999993E-3</v>
      </c>
      <c r="T25">
        <v>8.6999999999999994E-3</v>
      </c>
      <c r="U25">
        <v>8.3549999999999996E-3</v>
      </c>
      <c r="V25">
        <v>8.0389999999999993E-3</v>
      </c>
      <c r="W25">
        <v>7.7479999999999997E-3</v>
      </c>
      <c r="X25">
        <v>7.4809999999999998E-3</v>
      </c>
      <c r="Y25">
        <v>7.2329999999999998E-3</v>
      </c>
      <c r="Z25">
        <v>7.0029999999999997E-3</v>
      </c>
      <c r="AA25">
        <v>6.7889999999999999E-3</v>
      </c>
      <c r="AB25">
        <v>6.5900000000000004E-3</v>
      </c>
      <c r="AC25">
        <v>6.404E-3</v>
      </c>
      <c r="AD25">
        <v>6.2290000000000002E-3</v>
      </c>
      <c r="AE25">
        <v>6.0650000000000001E-3</v>
      </c>
      <c r="AF25">
        <v>5.9109999999999996E-3</v>
      </c>
      <c r="AG25">
        <v>5.7660000000000003E-3</v>
      </c>
      <c r="AH25">
        <v>5.6290000000000003E-3</v>
      </c>
      <c r="AI25" s="98">
        <v>-4.9000000000000002E-2</v>
      </c>
    </row>
    <row r="26" spans="1:36" x14ac:dyDescent="0.25">
      <c r="A26" t="s">
        <v>820</v>
      </c>
      <c r="B26" t="s">
        <v>910</v>
      </c>
      <c r="C26" t="s">
        <v>911</v>
      </c>
      <c r="D26" t="s">
        <v>803</v>
      </c>
      <c r="F26">
        <v>1.1015E-2</v>
      </c>
      <c r="G26">
        <v>1.3245E-2</v>
      </c>
      <c r="H26">
        <v>2.9239999999999999E-3</v>
      </c>
      <c r="I26">
        <v>2.663E-3</v>
      </c>
      <c r="J26">
        <v>2.447E-3</v>
      </c>
      <c r="K26">
        <v>2.264E-3</v>
      </c>
      <c r="L26">
        <v>0.121229</v>
      </c>
      <c r="M26">
        <v>0.14208399999999999</v>
      </c>
      <c r="N26">
        <v>0.17476800000000001</v>
      </c>
      <c r="O26">
        <v>0.18584899999999999</v>
      </c>
      <c r="P26">
        <v>0.18953900000000001</v>
      </c>
      <c r="Q26">
        <v>0.19322</v>
      </c>
      <c r="R26">
        <v>0.19789999999999999</v>
      </c>
      <c r="S26">
        <v>0.19365399999999999</v>
      </c>
      <c r="T26">
        <v>0.194773</v>
      </c>
      <c r="U26">
        <v>0.18653400000000001</v>
      </c>
      <c r="V26">
        <v>0.16932700000000001</v>
      </c>
      <c r="W26">
        <v>0.183057</v>
      </c>
      <c r="X26">
        <v>0.17943400000000001</v>
      </c>
      <c r="Y26">
        <v>0.19190699999999999</v>
      </c>
      <c r="Z26">
        <v>0.19040000000000001</v>
      </c>
      <c r="AA26">
        <v>0.18205499999999999</v>
      </c>
      <c r="AB26">
        <v>0.19103600000000001</v>
      </c>
      <c r="AC26">
        <v>0.210979</v>
      </c>
      <c r="AD26">
        <v>0.20472299999999999</v>
      </c>
      <c r="AE26">
        <v>0.191027</v>
      </c>
      <c r="AF26">
        <v>0.285049</v>
      </c>
      <c r="AG26">
        <v>0.290908</v>
      </c>
      <c r="AH26">
        <v>0.26921600000000001</v>
      </c>
      <c r="AI26" s="98">
        <v>0.121</v>
      </c>
    </row>
    <row r="27" spans="1:36" x14ac:dyDescent="0.25">
      <c r="A27" t="s">
        <v>821</v>
      </c>
      <c r="B27" t="s">
        <v>912</v>
      </c>
      <c r="C27" t="s">
        <v>913</v>
      </c>
      <c r="D27" t="s">
        <v>803</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164</v>
      </c>
    </row>
    <row r="28" spans="1:36" x14ac:dyDescent="0.25">
      <c r="A28" t="s">
        <v>819</v>
      </c>
      <c r="B28" t="s">
        <v>914</v>
      </c>
      <c r="C28" t="s">
        <v>915</v>
      </c>
      <c r="D28" t="s">
        <v>803</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t="s">
        <v>164</v>
      </c>
    </row>
    <row r="29" spans="1:36" x14ac:dyDescent="0.25">
      <c r="A29" t="s">
        <v>820</v>
      </c>
      <c r="B29" t="s">
        <v>916</v>
      </c>
      <c r="C29" t="s">
        <v>917</v>
      </c>
      <c r="D29" t="s">
        <v>803</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164</v>
      </c>
    </row>
    <row r="30" spans="1:36" x14ac:dyDescent="0.25">
      <c r="A30" t="s">
        <v>869</v>
      </c>
    </row>
    <row r="31" spans="1:36" x14ac:dyDescent="0.25">
      <c r="A31" t="s">
        <v>822</v>
      </c>
      <c r="B31" t="s">
        <v>918</v>
      </c>
      <c r="C31" t="s">
        <v>919</v>
      </c>
      <c r="D31" t="s">
        <v>870</v>
      </c>
      <c r="F31">
        <v>93.569550000000007</v>
      </c>
      <c r="G31">
        <v>90.688018999999997</v>
      </c>
      <c r="H31">
        <v>89.880752999999999</v>
      </c>
      <c r="I31">
        <v>84.382957000000005</v>
      </c>
      <c r="J31">
        <v>85.041725</v>
      </c>
      <c r="K31">
        <v>85.383301000000003</v>
      </c>
      <c r="L31">
        <v>86.061263999999994</v>
      </c>
      <c r="M31">
        <v>86.621978999999996</v>
      </c>
      <c r="N31">
        <v>87.183043999999995</v>
      </c>
      <c r="O31">
        <v>87.737740000000002</v>
      </c>
      <c r="P31">
        <v>88.503822</v>
      </c>
      <c r="Q31">
        <v>88.924880999999999</v>
      </c>
      <c r="R31">
        <v>89.668982999999997</v>
      </c>
      <c r="S31">
        <v>90.255950999999996</v>
      </c>
      <c r="T31">
        <v>90.907584999999997</v>
      </c>
      <c r="U31">
        <v>91.408783</v>
      </c>
      <c r="V31">
        <v>91.902000000000001</v>
      </c>
      <c r="W31">
        <v>92.410072</v>
      </c>
      <c r="X31">
        <v>92.865814</v>
      </c>
      <c r="Y31">
        <v>93.327019000000007</v>
      </c>
      <c r="Z31">
        <v>93.728690999999998</v>
      </c>
      <c r="AA31">
        <v>94.147246999999993</v>
      </c>
      <c r="AB31">
        <v>94.595359999999999</v>
      </c>
      <c r="AC31">
        <v>94.925362000000007</v>
      </c>
      <c r="AD31">
        <v>95.628647000000001</v>
      </c>
      <c r="AE31">
        <v>95.99221</v>
      </c>
      <c r="AF31">
        <v>96.606430000000003</v>
      </c>
      <c r="AG31">
        <v>97.285224999999997</v>
      </c>
      <c r="AH31">
        <v>97.564826999999994</v>
      </c>
      <c r="AI31" s="98">
        <v>1E-3</v>
      </c>
    </row>
    <row r="32" spans="1:36" x14ac:dyDescent="0.25">
      <c r="A32" t="s">
        <v>804</v>
      </c>
    </row>
    <row r="33" spans="1:35" x14ac:dyDescent="0.25">
      <c r="A33" t="s">
        <v>805</v>
      </c>
      <c r="B33" t="s">
        <v>920</v>
      </c>
      <c r="C33" t="s">
        <v>921</v>
      </c>
      <c r="D33" t="s">
        <v>870</v>
      </c>
      <c r="F33">
        <v>88.857887000000005</v>
      </c>
      <c r="G33">
        <v>99.212326000000004</v>
      </c>
      <c r="H33">
        <v>94.988663000000003</v>
      </c>
      <c r="I33">
        <v>89.303764000000001</v>
      </c>
      <c r="J33">
        <v>89.548919999999995</v>
      </c>
      <c r="K33">
        <v>89.768142999999995</v>
      </c>
      <c r="L33">
        <v>90.547218000000001</v>
      </c>
      <c r="M33">
        <v>91.051865000000006</v>
      </c>
      <c r="N33">
        <v>91.577278000000007</v>
      </c>
      <c r="O33">
        <v>92.153046000000003</v>
      </c>
      <c r="P33">
        <v>92.960587000000004</v>
      </c>
      <c r="Q33">
        <v>93.412353999999993</v>
      </c>
      <c r="R33">
        <v>94.127028999999993</v>
      </c>
      <c r="S33">
        <v>94.470359999999999</v>
      </c>
      <c r="T33">
        <v>95.220528000000002</v>
      </c>
      <c r="U33">
        <v>95.801322999999996</v>
      </c>
      <c r="V33">
        <v>96.284996000000007</v>
      </c>
      <c r="W33">
        <v>96.854927000000004</v>
      </c>
      <c r="X33">
        <v>97.344397999999998</v>
      </c>
      <c r="Y33">
        <v>97.794792000000001</v>
      </c>
      <c r="Z33">
        <v>98.245575000000002</v>
      </c>
      <c r="AA33">
        <v>98.603347999999997</v>
      </c>
      <c r="AB33">
        <v>99.192466999999994</v>
      </c>
      <c r="AC33">
        <v>99.519240999999994</v>
      </c>
      <c r="AD33">
        <v>100.305092</v>
      </c>
      <c r="AE33">
        <v>100.732124</v>
      </c>
      <c r="AF33">
        <v>101.418869</v>
      </c>
      <c r="AG33">
        <v>102.114525</v>
      </c>
      <c r="AH33">
        <v>102.35509500000001</v>
      </c>
      <c r="AI33" s="98">
        <v>5.0000000000000001E-3</v>
      </c>
    </row>
    <row r="34" spans="1:35" x14ac:dyDescent="0.25">
      <c r="A34" t="s">
        <v>806</v>
      </c>
      <c r="B34" t="s">
        <v>922</v>
      </c>
      <c r="C34" t="s">
        <v>923</v>
      </c>
      <c r="D34" t="s">
        <v>870</v>
      </c>
      <c r="F34">
        <v>95.68544</v>
      </c>
      <c r="G34">
        <v>95.794312000000005</v>
      </c>
      <c r="H34">
        <v>95.883910999999998</v>
      </c>
      <c r="I34">
        <v>90.399497999999994</v>
      </c>
      <c r="J34">
        <v>91.131546</v>
      </c>
      <c r="K34">
        <v>91.528312999999997</v>
      </c>
      <c r="L34">
        <v>92.118324000000001</v>
      </c>
      <c r="M34">
        <v>92.703568000000004</v>
      </c>
      <c r="N34">
        <v>93.309517</v>
      </c>
      <c r="O34">
        <v>93.948668999999995</v>
      </c>
      <c r="P34">
        <v>94.753540000000001</v>
      </c>
      <c r="Q34">
        <v>95.190856999999994</v>
      </c>
      <c r="R34">
        <v>95.845398000000003</v>
      </c>
      <c r="S34">
        <v>96.49588</v>
      </c>
      <c r="T34">
        <v>97.171149999999997</v>
      </c>
      <c r="U34">
        <v>97.714309999999998</v>
      </c>
      <c r="V34">
        <v>98.333259999999996</v>
      </c>
      <c r="W34">
        <v>98.926674000000006</v>
      </c>
      <c r="X34">
        <v>99.474213000000006</v>
      </c>
      <c r="Y34">
        <v>100.062691</v>
      </c>
      <c r="Z34">
        <v>100.453789</v>
      </c>
      <c r="AA34">
        <v>100.804619</v>
      </c>
      <c r="AB34">
        <v>101.212402</v>
      </c>
      <c r="AC34">
        <v>101.616806</v>
      </c>
      <c r="AD34">
        <v>102.36889600000001</v>
      </c>
      <c r="AE34">
        <v>102.921783</v>
      </c>
      <c r="AF34">
        <v>103.49346199999999</v>
      </c>
      <c r="AG34">
        <v>104.019524</v>
      </c>
      <c r="AH34">
        <v>104.26900500000001</v>
      </c>
      <c r="AI34" s="98">
        <v>3.0000000000000001E-3</v>
      </c>
    </row>
    <row r="35" spans="1:35" x14ac:dyDescent="0.25">
      <c r="A35" t="s">
        <v>807</v>
      </c>
      <c r="B35" t="s">
        <v>924</v>
      </c>
      <c r="C35" t="s">
        <v>925</v>
      </c>
      <c r="D35" t="s">
        <v>870</v>
      </c>
      <c r="F35">
        <v>98.130981000000006</v>
      </c>
      <c r="G35">
        <v>94.383713</v>
      </c>
      <c r="H35">
        <v>90.740181000000007</v>
      </c>
      <c r="I35">
        <v>84.768531999999993</v>
      </c>
      <c r="J35">
        <v>84.886436000000003</v>
      </c>
      <c r="K35">
        <v>85.133735999999999</v>
      </c>
      <c r="L35">
        <v>85.873610999999997</v>
      </c>
      <c r="M35">
        <v>86.350455999999994</v>
      </c>
      <c r="N35">
        <v>86.822616999999994</v>
      </c>
      <c r="O35">
        <v>87.440726999999995</v>
      </c>
      <c r="P35">
        <v>88.191131999999996</v>
      </c>
      <c r="Q35">
        <v>88.665749000000005</v>
      </c>
      <c r="R35">
        <v>89.437965000000005</v>
      </c>
      <c r="S35">
        <v>89.868660000000006</v>
      </c>
      <c r="T35">
        <v>90.594016999999994</v>
      </c>
      <c r="U35">
        <v>91.177993999999998</v>
      </c>
      <c r="V35">
        <v>91.598381000000003</v>
      </c>
      <c r="W35">
        <v>92.125457999999995</v>
      </c>
      <c r="X35">
        <v>92.554053999999994</v>
      </c>
      <c r="Y35">
        <v>93.055801000000002</v>
      </c>
      <c r="Z35">
        <v>93.488913999999994</v>
      </c>
      <c r="AA35">
        <v>93.914230000000003</v>
      </c>
      <c r="AB35">
        <v>94.329200999999998</v>
      </c>
      <c r="AC35">
        <v>94.675751000000005</v>
      </c>
      <c r="AD35">
        <v>95.389281999999994</v>
      </c>
      <c r="AE35">
        <v>95.815421999999998</v>
      </c>
      <c r="AF35">
        <v>96.491089000000002</v>
      </c>
      <c r="AG35">
        <v>97.212631000000002</v>
      </c>
      <c r="AH35">
        <v>97.388603000000003</v>
      </c>
      <c r="AI35" s="98">
        <v>0</v>
      </c>
    </row>
    <row r="36" spans="1:35" x14ac:dyDescent="0.25">
      <c r="A36" t="s">
        <v>808</v>
      </c>
      <c r="B36" t="s">
        <v>926</v>
      </c>
      <c r="C36" t="s">
        <v>927</v>
      </c>
      <c r="D36" t="s">
        <v>870</v>
      </c>
      <c r="F36">
        <v>93.609229999999997</v>
      </c>
      <c r="G36">
        <v>86.461112999999997</v>
      </c>
      <c r="H36">
        <v>86.292457999999996</v>
      </c>
      <c r="I36">
        <v>80.893378999999996</v>
      </c>
      <c r="J36">
        <v>81.731491000000005</v>
      </c>
      <c r="K36">
        <v>82.064789000000005</v>
      </c>
      <c r="L36">
        <v>82.691490000000002</v>
      </c>
      <c r="M36">
        <v>83.278709000000006</v>
      </c>
      <c r="N36">
        <v>83.977737000000005</v>
      </c>
      <c r="O36">
        <v>84.534981000000002</v>
      </c>
      <c r="P36">
        <v>85.362258999999995</v>
      </c>
      <c r="Q36">
        <v>85.825187999999997</v>
      </c>
      <c r="R36">
        <v>86.492241000000007</v>
      </c>
      <c r="S36">
        <v>87.179732999999999</v>
      </c>
      <c r="T36">
        <v>87.881134000000003</v>
      </c>
      <c r="U36">
        <v>88.412880000000001</v>
      </c>
      <c r="V36">
        <v>89.023674</v>
      </c>
      <c r="W36">
        <v>89.591353999999995</v>
      </c>
      <c r="X36">
        <v>90.093422000000004</v>
      </c>
      <c r="Y36">
        <v>90.656464</v>
      </c>
      <c r="Z36">
        <v>91.054466000000005</v>
      </c>
      <c r="AA36">
        <v>91.388396999999998</v>
      </c>
      <c r="AB36">
        <v>91.799225000000007</v>
      </c>
      <c r="AC36">
        <v>92.156897999999998</v>
      </c>
      <c r="AD36">
        <v>92.970673000000005</v>
      </c>
      <c r="AE36">
        <v>93.360680000000002</v>
      </c>
      <c r="AF36">
        <v>93.968765000000005</v>
      </c>
      <c r="AG36">
        <v>94.543152000000006</v>
      </c>
      <c r="AH36">
        <v>94.848754999999997</v>
      </c>
      <c r="AI36" s="98">
        <v>0</v>
      </c>
    </row>
    <row r="37" spans="1:35" x14ac:dyDescent="0.25">
      <c r="A37" t="s">
        <v>809</v>
      </c>
      <c r="B37" t="s">
        <v>928</v>
      </c>
      <c r="C37" t="s">
        <v>929</v>
      </c>
      <c r="D37" t="s">
        <v>870</v>
      </c>
      <c r="F37">
        <v>87.180954</v>
      </c>
      <c r="G37">
        <v>92.036902999999995</v>
      </c>
      <c r="H37">
        <v>88.479484999999997</v>
      </c>
      <c r="I37">
        <v>82.607307000000006</v>
      </c>
      <c r="J37">
        <v>82.661804000000004</v>
      </c>
      <c r="K37">
        <v>82.822685000000007</v>
      </c>
      <c r="L37">
        <v>83.559486000000007</v>
      </c>
      <c r="M37">
        <v>84.041297999999998</v>
      </c>
      <c r="N37">
        <v>84.512459000000007</v>
      </c>
      <c r="O37">
        <v>85.110909000000007</v>
      </c>
      <c r="P37">
        <v>85.915985000000006</v>
      </c>
      <c r="Q37">
        <v>86.400413999999998</v>
      </c>
      <c r="R37">
        <v>87.534592000000004</v>
      </c>
      <c r="S37">
        <v>87.931038000000001</v>
      </c>
      <c r="T37">
        <v>88.644226000000003</v>
      </c>
      <c r="U37">
        <v>89.200996000000004</v>
      </c>
      <c r="V37">
        <v>89.598731999999998</v>
      </c>
      <c r="W37">
        <v>90.137314000000003</v>
      </c>
      <c r="X37">
        <v>90.580910000000003</v>
      </c>
      <c r="Y37">
        <v>91.091369999999998</v>
      </c>
      <c r="Z37">
        <v>91.540481999999997</v>
      </c>
      <c r="AA37">
        <v>91.967644000000007</v>
      </c>
      <c r="AB37">
        <v>92.417900000000003</v>
      </c>
      <c r="AC37">
        <v>92.766388000000006</v>
      </c>
      <c r="AD37">
        <v>93.501014999999995</v>
      </c>
      <c r="AE37">
        <v>93.951087999999999</v>
      </c>
      <c r="AF37">
        <v>94.641334999999998</v>
      </c>
      <c r="AG37">
        <v>95.371825999999999</v>
      </c>
      <c r="AH37">
        <v>95.549521999999996</v>
      </c>
      <c r="AI37" s="98">
        <v>3.0000000000000001E-3</v>
      </c>
    </row>
    <row r="38" spans="1:35" x14ac:dyDescent="0.25">
      <c r="A38" t="s">
        <v>810</v>
      </c>
      <c r="B38" t="s">
        <v>930</v>
      </c>
      <c r="C38" t="s">
        <v>931</v>
      </c>
      <c r="D38" t="s">
        <v>870</v>
      </c>
      <c r="F38">
        <v>87.180954</v>
      </c>
      <c r="G38">
        <v>92.036902999999995</v>
      </c>
      <c r="H38">
        <v>88.479484999999997</v>
      </c>
      <c r="I38">
        <v>82.607307000000006</v>
      </c>
      <c r="J38">
        <v>82.661804000000004</v>
      </c>
      <c r="K38">
        <v>82.822685000000007</v>
      </c>
      <c r="L38">
        <v>83.559486000000007</v>
      </c>
      <c r="M38">
        <v>84.041297999999998</v>
      </c>
      <c r="N38">
        <v>84.512459000000007</v>
      </c>
      <c r="O38">
        <v>85.110909000000007</v>
      </c>
      <c r="P38">
        <v>85.915985000000006</v>
      </c>
      <c r="Q38">
        <v>86.400413999999998</v>
      </c>
      <c r="R38">
        <v>87.534592000000004</v>
      </c>
      <c r="S38">
        <v>87.931038000000001</v>
      </c>
      <c r="T38">
        <v>88.644226000000003</v>
      </c>
      <c r="U38">
        <v>89.200996000000004</v>
      </c>
      <c r="V38">
        <v>89.598731999999998</v>
      </c>
      <c r="W38">
        <v>90.137314000000003</v>
      </c>
      <c r="X38">
        <v>90.580910000000003</v>
      </c>
      <c r="Y38">
        <v>91.091369999999998</v>
      </c>
      <c r="Z38">
        <v>91.540481999999997</v>
      </c>
      <c r="AA38">
        <v>91.967644000000007</v>
      </c>
      <c r="AB38">
        <v>92.417900000000003</v>
      </c>
      <c r="AC38">
        <v>92.766388000000006</v>
      </c>
      <c r="AD38">
        <v>93.501014999999995</v>
      </c>
      <c r="AE38">
        <v>93.951087999999999</v>
      </c>
      <c r="AF38">
        <v>94.641334999999998</v>
      </c>
      <c r="AG38">
        <v>95.371825999999999</v>
      </c>
      <c r="AH38">
        <v>95.549521999999996</v>
      </c>
      <c r="AI38" s="98">
        <v>3.0000000000000001E-3</v>
      </c>
    </row>
    <row r="39" spans="1:35" x14ac:dyDescent="0.25">
      <c r="A39" t="s">
        <v>811</v>
      </c>
      <c r="B39" t="s">
        <v>932</v>
      </c>
      <c r="C39" t="s">
        <v>933</v>
      </c>
      <c r="D39" t="s">
        <v>870</v>
      </c>
      <c r="F39">
        <v>100.237137</v>
      </c>
      <c r="G39">
        <v>94.045676999999998</v>
      </c>
      <c r="H39">
        <v>95.098320000000001</v>
      </c>
      <c r="I39">
        <v>89.280617000000007</v>
      </c>
      <c r="J39">
        <v>89.667525999999995</v>
      </c>
      <c r="K39">
        <v>90.015343000000001</v>
      </c>
      <c r="L39">
        <v>90.526176000000007</v>
      </c>
      <c r="M39">
        <v>90.989204000000001</v>
      </c>
      <c r="N39">
        <v>91.176765000000003</v>
      </c>
      <c r="O39">
        <v>91.685019999999994</v>
      </c>
      <c r="P39">
        <v>92.435164999999998</v>
      </c>
      <c r="Q39">
        <v>92.69014</v>
      </c>
      <c r="R39">
        <v>93.147789000000003</v>
      </c>
      <c r="S39">
        <v>93.708275</v>
      </c>
      <c r="T39">
        <v>94.256103999999993</v>
      </c>
      <c r="U39">
        <v>94.817665000000005</v>
      </c>
      <c r="V39">
        <v>95.323363999999998</v>
      </c>
      <c r="W39">
        <v>96.041556999999997</v>
      </c>
      <c r="X39">
        <v>96.441490000000002</v>
      </c>
      <c r="Y39">
        <v>97.234436000000002</v>
      </c>
      <c r="Z39">
        <v>97.643051</v>
      </c>
      <c r="AA39">
        <v>98.205544000000003</v>
      </c>
      <c r="AB39">
        <v>99.080916999999999</v>
      </c>
      <c r="AC39">
        <v>99.543685999999994</v>
      </c>
      <c r="AD39">
        <v>99.042709000000002</v>
      </c>
      <c r="AE39">
        <v>99.467788999999996</v>
      </c>
      <c r="AF39">
        <v>99.620307999999994</v>
      </c>
      <c r="AG39">
        <v>100.30740400000001</v>
      </c>
      <c r="AH39">
        <v>100.51384</v>
      </c>
      <c r="AI39" s="98">
        <v>0</v>
      </c>
    </row>
    <row r="40" spans="1:35" x14ac:dyDescent="0.25">
      <c r="A40" t="s">
        <v>812</v>
      </c>
    </row>
    <row r="41" spans="1:35" x14ac:dyDescent="0.25">
      <c r="A41" t="s">
        <v>813</v>
      </c>
      <c r="B41" t="s">
        <v>934</v>
      </c>
      <c r="C41" t="s">
        <v>935</v>
      </c>
      <c r="D41" t="s">
        <v>870</v>
      </c>
      <c r="F41">
        <v>97.072922000000005</v>
      </c>
      <c r="G41">
        <v>95.794312000000005</v>
      </c>
      <c r="H41">
        <v>95.883910999999998</v>
      </c>
      <c r="I41">
        <v>90.399497999999994</v>
      </c>
      <c r="J41">
        <v>91.131546</v>
      </c>
      <c r="K41">
        <v>91.528312999999997</v>
      </c>
      <c r="L41">
        <v>92.118324000000001</v>
      </c>
      <c r="M41">
        <v>92.703568000000004</v>
      </c>
      <c r="N41">
        <v>93.309517</v>
      </c>
      <c r="O41">
        <v>93.948668999999995</v>
      </c>
      <c r="P41">
        <v>94.753540000000001</v>
      </c>
      <c r="Q41">
        <v>95.190856999999994</v>
      </c>
      <c r="R41">
        <v>95.845398000000003</v>
      </c>
      <c r="S41">
        <v>96.49588</v>
      </c>
      <c r="T41">
        <v>97.171149999999997</v>
      </c>
      <c r="U41">
        <v>97.714309999999998</v>
      </c>
      <c r="V41">
        <v>98.333259999999996</v>
      </c>
      <c r="W41">
        <v>98.926674000000006</v>
      </c>
      <c r="X41">
        <v>99.474213000000006</v>
      </c>
      <c r="Y41">
        <v>100.062691</v>
      </c>
      <c r="Z41">
        <v>100.453789</v>
      </c>
      <c r="AA41">
        <v>100.804619</v>
      </c>
      <c r="AB41">
        <v>101.212402</v>
      </c>
      <c r="AC41">
        <v>101.616806</v>
      </c>
      <c r="AD41">
        <v>102.36889600000001</v>
      </c>
      <c r="AE41">
        <v>102.921783</v>
      </c>
      <c r="AF41">
        <v>103.49346199999999</v>
      </c>
      <c r="AG41">
        <v>104.019524</v>
      </c>
      <c r="AH41">
        <v>104.26900500000001</v>
      </c>
      <c r="AI41" s="98">
        <v>3.0000000000000001E-3</v>
      </c>
    </row>
    <row r="42" spans="1:35" x14ac:dyDescent="0.25">
      <c r="A42" t="s">
        <v>818</v>
      </c>
      <c r="B42" t="s">
        <v>936</v>
      </c>
      <c r="C42" t="s">
        <v>937</v>
      </c>
      <c r="D42" t="s">
        <v>870</v>
      </c>
      <c r="F42">
        <v>70.551292000000004</v>
      </c>
      <c r="G42">
        <v>94.045676999999998</v>
      </c>
      <c r="H42">
        <v>95.098320000000001</v>
      </c>
      <c r="I42">
        <v>89.280617000000007</v>
      </c>
      <c r="J42">
        <v>89.667525999999995</v>
      </c>
      <c r="K42">
        <v>90.015343000000001</v>
      </c>
      <c r="L42">
        <v>90.526176000000007</v>
      </c>
      <c r="M42">
        <v>90.989204000000001</v>
      </c>
      <c r="N42">
        <v>91.176765000000003</v>
      </c>
      <c r="O42">
        <v>91.685019999999994</v>
      </c>
      <c r="P42">
        <v>92.435164999999998</v>
      </c>
      <c r="Q42">
        <v>92.69014</v>
      </c>
      <c r="R42">
        <v>93.147789000000003</v>
      </c>
      <c r="S42">
        <v>93.708275</v>
      </c>
      <c r="T42">
        <v>94.256103999999993</v>
      </c>
      <c r="U42">
        <v>94.817665000000005</v>
      </c>
      <c r="V42">
        <v>95.323363999999998</v>
      </c>
      <c r="W42">
        <v>96.041556999999997</v>
      </c>
      <c r="X42">
        <v>96.441490000000002</v>
      </c>
      <c r="Y42">
        <v>97.234436000000002</v>
      </c>
      <c r="Z42">
        <v>97.643051</v>
      </c>
      <c r="AA42">
        <v>98.205544000000003</v>
      </c>
      <c r="AB42">
        <v>99.080916999999999</v>
      </c>
      <c r="AC42">
        <v>99.543685999999994</v>
      </c>
      <c r="AD42">
        <v>99.042709000000002</v>
      </c>
      <c r="AE42">
        <v>99.467788999999996</v>
      </c>
      <c r="AF42">
        <v>99.620307999999994</v>
      </c>
      <c r="AG42">
        <v>100.30740400000001</v>
      </c>
      <c r="AH42">
        <v>100.51384</v>
      </c>
      <c r="AI42" s="98">
        <v>1.2999999999999999E-2</v>
      </c>
    </row>
    <row r="43" spans="1:35" x14ac:dyDescent="0.25">
      <c r="A43" t="s">
        <v>821</v>
      </c>
      <c r="B43" t="s">
        <v>938</v>
      </c>
      <c r="C43" t="s">
        <v>939</v>
      </c>
      <c r="D43" t="s">
        <v>870</v>
      </c>
      <c r="F43">
        <v>0</v>
      </c>
      <c r="G43">
        <v>95.169678000000005</v>
      </c>
      <c r="H43">
        <v>93.930976999999999</v>
      </c>
      <c r="I43">
        <v>88.551704000000001</v>
      </c>
      <c r="J43">
        <v>89.145034999999993</v>
      </c>
      <c r="K43">
        <v>89.565460000000002</v>
      </c>
      <c r="L43">
        <v>90.069564999999997</v>
      </c>
      <c r="M43">
        <v>90.752196999999995</v>
      </c>
      <c r="N43">
        <v>91.383826999999997</v>
      </c>
      <c r="O43">
        <v>91.704680999999994</v>
      </c>
      <c r="P43">
        <v>92.557143999999994</v>
      </c>
      <c r="Q43">
        <v>92.936286999999993</v>
      </c>
      <c r="R43">
        <v>93.634665999999996</v>
      </c>
      <c r="S43">
        <v>94.611748000000006</v>
      </c>
      <c r="T43">
        <v>95.246398999999997</v>
      </c>
      <c r="U43">
        <v>95.927978999999993</v>
      </c>
      <c r="V43">
        <v>96.400688000000002</v>
      </c>
      <c r="W43">
        <v>96.986427000000006</v>
      </c>
      <c r="X43">
        <v>97.520163999999994</v>
      </c>
      <c r="Y43">
        <v>97.897841999999997</v>
      </c>
      <c r="Z43">
        <v>98.306685999999999</v>
      </c>
      <c r="AA43">
        <v>98.543892</v>
      </c>
      <c r="AB43">
        <v>99.086692999999997</v>
      </c>
      <c r="AC43">
        <v>99.283600000000007</v>
      </c>
      <c r="AD43">
        <v>100.08094</v>
      </c>
      <c r="AE43">
        <v>100.541389</v>
      </c>
      <c r="AF43">
        <v>101.20822099999999</v>
      </c>
      <c r="AG43">
        <v>101.781921</v>
      </c>
      <c r="AH43">
        <v>102.010139</v>
      </c>
      <c r="AI43" t="s">
        <v>164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7CBA82-667D-4FB2-AF39-F06177D59FC6}">
  <dimension ref="A1:AG2344"/>
  <sheetViews>
    <sheetView workbookViewId="0">
      <pane xSplit="2" ySplit="1" topLeftCell="C4" activePane="bottomRight" state="frozen"/>
      <selection pane="topRight" activeCell="C1" sqref="C1"/>
      <selection pane="bottomLeft" activeCell="A2" sqref="A2"/>
      <selection pane="bottomRight" activeCell="C17" sqref="C17"/>
    </sheetView>
  </sheetViews>
  <sheetFormatPr defaultColWidth="9.140625" defaultRowHeight="15" customHeight="1" x14ac:dyDescent="0.2"/>
  <cols>
    <col min="1" max="1" width="22.42578125" style="207" hidden="1" customWidth="1"/>
    <col min="2" max="2" width="49" style="207" customWidth="1"/>
    <col min="3" max="3" width="18" style="207" bestFit="1" customWidth="1"/>
    <col min="4" max="31" width="9.140625" style="207"/>
    <col min="32" max="32" width="9.140625" style="276"/>
    <col min="33" max="16384" width="9.140625" style="207"/>
  </cols>
  <sheetData>
    <row r="1" spans="1:32" ht="15" customHeight="1" thickBot="1" x14ac:dyDescent="0.25">
      <c r="B1" s="223" t="s">
        <v>645</v>
      </c>
      <c r="C1" s="220">
        <v>2022</v>
      </c>
      <c r="D1" s="220">
        <v>2023</v>
      </c>
      <c r="E1" s="220">
        <v>2024</v>
      </c>
      <c r="F1" s="220">
        <v>2025</v>
      </c>
      <c r="G1" s="220">
        <v>2026</v>
      </c>
      <c r="H1" s="220">
        <v>2027</v>
      </c>
      <c r="I1" s="220">
        <v>2028</v>
      </c>
      <c r="J1" s="220">
        <v>2029</v>
      </c>
      <c r="K1" s="220">
        <v>2030</v>
      </c>
      <c r="L1" s="220">
        <v>2031</v>
      </c>
      <c r="M1" s="220">
        <v>2032</v>
      </c>
      <c r="N1" s="220">
        <v>2033</v>
      </c>
      <c r="O1" s="220">
        <v>2034</v>
      </c>
      <c r="P1" s="220">
        <v>2035</v>
      </c>
      <c r="Q1" s="220">
        <v>2036</v>
      </c>
      <c r="R1" s="220">
        <v>2037</v>
      </c>
      <c r="S1" s="220">
        <v>2038</v>
      </c>
      <c r="T1" s="220">
        <v>2039</v>
      </c>
      <c r="U1" s="220">
        <v>2040</v>
      </c>
      <c r="V1" s="220">
        <v>2041</v>
      </c>
      <c r="W1" s="220">
        <v>2042</v>
      </c>
      <c r="X1" s="220">
        <v>2043</v>
      </c>
      <c r="Y1" s="220">
        <v>2044</v>
      </c>
      <c r="Z1" s="220">
        <v>2045</v>
      </c>
      <c r="AA1" s="220">
        <v>2046</v>
      </c>
      <c r="AB1" s="220">
        <v>2047</v>
      </c>
      <c r="AC1" s="220">
        <v>2048</v>
      </c>
      <c r="AD1" s="220">
        <v>2049</v>
      </c>
      <c r="AE1" s="220">
        <v>2050</v>
      </c>
    </row>
    <row r="2" spans="1:32" ht="15" customHeight="1" thickTop="1" x14ac:dyDescent="0.2"/>
    <row r="3" spans="1:32" ht="15" customHeight="1" x14ac:dyDescent="0.2">
      <c r="C3" s="240" t="s">
        <v>117</v>
      </c>
      <c r="D3" s="240" t="s">
        <v>644</v>
      </c>
      <c r="E3" s="225"/>
      <c r="F3" s="225"/>
      <c r="G3" s="225"/>
    </row>
    <row r="4" spans="1:32" ht="15" customHeight="1" x14ac:dyDescent="0.2">
      <c r="C4" s="240" t="s">
        <v>118</v>
      </c>
      <c r="D4" s="240" t="s">
        <v>643</v>
      </c>
      <c r="E4" s="225"/>
      <c r="F4" s="225"/>
      <c r="G4" s="240" t="s">
        <v>642</v>
      </c>
    </row>
    <row r="5" spans="1:32" ht="15" customHeight="1" x14ac:dyDescent="0.2">
      <c r="C5" s="240" t="s">
        <v>119</v>
      </c>
      <c r="D5" s="240" t="s">
        <v>641</v>
      </c>
      <c r="E5" s="225"/>
      <c r="F5" s="225"/>
      <c r="G5" s="225"/>
    </row>
    <row r="6" spans="1:32" ht="15" customHeight="1" x14ac:dyDescent="0.2">
      <c r="C6" s="240" t="s">
        <v>120</v>
      </c>
      <c r="D6" s="225"/>
      <c r="E6" s="240" t="s">
        <v>640</v>
      </c>
      <c r="F6" s="225"/>
      <c r="G6" s="225"/>
    </row>
    <row r="7" spans="1:32" ht="12" customHeight="1" x14ac:dyDescent="0.2"/>
    <row r="8" spans="1:32" ht="12" customHeight="1" x14ac:dyDescent="0.2"/>
    <row r="9" spans="1:32" ht="12" customHeight="1" x14ac:dyDescent="0.2"/>
    <row r="10" spans="1:32" ht="15" customHeight="1" x14ac:dyDescent="0.25">
      <c r="A10" s="213" t="s">
        <v>721</v>
      </c>
      <c r="B10" s="224" t="s">
        <v>720</v>
      </c>
      <c r="AF10" s="259" t="s">
        <v>639</v>
      </c>
    </row>
    <row r="11" spans="1:32" ht="15" customHeight="1" x14ac:dyDescent="0.25">
      <c r="B11" s="223"/>
      <c r="C11" s="238"/>
      <c r="AF11" s="259" t="s">
        <v>638</v>
      </c>
    </row>
    <row r="12" spans="1:32" ht="15" customHeight="1" x14ac:dyDescent="0.2">
      <c r="B12" s="223"/>
      <c r="C12" s="239"/>
      <c r="D12" s="222"/>
      <c r="E12" s="222"/>
      <c r="F12" s="222"/>
      <c r="G12" s="222"/>
      <c r="H12" s="222"/>
      <c r="I12" s="222"/>
      <c r="J12" s="222"/>
      <c r="K12" s="222"/>
      <c r="L12" s="222"/>
      <c r="M12" s="222"/>
      <c r="N12" s="222"/>
      <c r="O12" s="222"/>
      <c r="P12" s="222"/>
      <c r="Q12" s="222"/>
      <c r="R12" s="222"/>
      <c r="S12" s="222"/>
      <c r="T12" s="222"/>
      <c r="U12" s="222"/>
      <c r="V12" s="222"/>
      <c r="W12" s="222"/>
      <c r="X12" s="222"/>
      <c r="Y12" s="222"/>
      <c r="Z12" s="222"/>
      <c r="AA12" s="222"/>
      <c r="AB12" s="222"/>
      <c r="AC12" s="222"/>
      <c r="AD12" s="222"/>
      <c r="AE12" s="222"/>
      <c r="AF12" s="259" t="s">
        <v>637</v>
      </c>
    </row>
    <row r="13" spans="1:32" ht="15" customHeight="1" thickBot="1" x14ac:dyDescent="0.25">
      <c r="B13" s="220" t="s">
        <v>719</v>
      </c>
      <c r="C13" s="220">
        <v>2022</v>
      </c>
      <c r="D13" s="220">
        <v>2023</v>
      </c>
      <c r="E13" s="220">
        <v>2024</v>
      </c>
      <c r="F13" s="220">
        <v>2025</v>
      </c>
      <c r="G13" s="220">
        <v>2026</v>
      </c>
      <c r="H13" s="220">
        <v>2027</v>
      </c>
      <c r="I13" s="220">
        <v>2028</v>
      </c>
      <c r="J13" s="220">
        <v>2029</v>
      </c>
      <c r="K13" s="220">
        <v>2030</v>
      </c>
      <c r="L13" s="220">
        <v>2031</v>
      </c>
      <c r="M13" s="220">
        <v>2032</v>
      </c>
      <c r="N13" s="220">
        <v>2033</v>
      </c>
      <c r="O13" s="220">
        <v>2034</v>
      </c>
      <c r="P13" s="220">
        <v>2035</v>
      </c>
      <c r="Q13" s="220">
        <v>2036</v>
      </c>
      <c r="R13" s="220">
        <v>2037</v>
      </c>
      <c r="S13" s="220">
        <v>2038</v>
      </c>
      <c r="T13" s="220">
        <v>2039</v>
      </c>
      <c r="U13" s="220">
        <v>2040</v>
      </c>
      <c r="V13" s="220">
        <v>2041</v>
      </c>
      <c r="W13" s="220">
        <v>2042</v>
      </c>
      <c r="X13" s="220">
        <v>2043</v>
      </c>
      <c r="Y13" s="220">
        <v>2044</v>
      </c>
      <c r="Z13" s="220">
        <v>2045</v>
      </c>
      <c r="AA13" s="220">
        <v>2046</v>
      </c>
      <c r="AB13" s="220">
        <v>2047</v>
      </c>
      <c r="AC13" s="220">
        <v>2048</v>
      </c>
      <c r="AD13" s="220">
        <v>2049</v>
      </c>
      <c r="AE13" s="220">
        <v>2050</v>
      </c>
      <c r="AF13" s="257" t="s">
        <v>636</v>
      </c>
    </row>
    <row r="14" spans="1:32" ht="15" customHeight="1" thickTop="1" x14ac:dyDescent="0.25">
      <c r="C14" s="238"/>
      <c r="AF14" s="278"/>
    </row>
    <row r="15" spans="1:32" ht="15" customHeight="1" x14ac:dyDescent="0.2">
      <c r="B15" s="216" t="s">
        <v>718</v>
      </c>
      <c r="C15" s="237"/>
      <c r="D15" s="237"/>
      <c r="E15" s="237"/>
      <c r="F15" s="237"/>
      <c r="G15" s="237"/>
      <c r="H15" s="237"/>
      <c r="I15" s="237"/>
      <c r="J15" s="237"/>
      <c r="K15" s="237"/>
      <c r="L15" s="237"/>
      <c r="M15" s="237"/>
      <c r="N15" s="237"/>
      <c r="O15" s="237"/>
      <c r="P15" s="237"/>
      <c r="Q15" s="237"/>
      <c r="R15" s="237"/>
      <c r="S15" s="237"/>
      <c r="T15" s="237"/>
      <c r="U15" s="237"/>
      <c r="V15" s="237"/>
      <c r="W15" s="237"/>
      <c r="X15" s="237"/>
      <c r="Y15" s="237"/>
      <c r="Z15" s="237"/>
      <c r="AA15" s="237"/>
      <c r="AB15" s="237"/>
      <c r="AC15" s="237"/>
      <c r="AD15" s="237"/>
      <c r="AE15" s="237"/>
    </row>
    <row r="16" spans="1:32" ht="15" customHeight="1" x14ac:dyDescent="0.2">
      <c r="B16" s="216" t="s">
        <v>717</v>
      </c>
      <c r="C16" s="236">
        <f>C17*10^6*'AEO 2023 Table 71'!C48*10^6*365</f>
        <v>2.3679764567032736E+16</v>
      </c>
      <c r="D16" s="236">
        <f>D17*10^6*'AEO 2023 Table 71'!D48*10^6*365</f>
        <v>2.4728737027147004E+16</v>
      </c>
      <c r="E16" s="236">
        <f>E17*10^6*'AEO 2023 Table 71'!E48*10^6*365</f>
        <v>2.5492429439569244E+16</v>
      </c>
      <c r="F16" s="236">
        <f>F17*10^6*'AEO 2023 Table 71'!F48*10^6*365</f>
        <v>2.5746445353594464E+16</v>
      </c>
      <c r="G16" s="236">
        <f>G17*10^6*'AEO 2023 Table 71'!G48*10^6*365</f>
        <v>2.6072596439582016E+16</v>
      </c>
      <c r="H16" s="236">
        <f>H17*10^6*'AEO 2023 Table 71'!H48*10^6*365</f>
        <v>2.622797963220162E+16</v>
      </c>
      <c r="I16" s="236">
        <f>I17*10^6*'AEO 2023 Table 71'!I48*10^6*365</f>
        <v>2.6499031297775448E+16</v>
      </c>
      <c r="J16" s="236">
        <f>J17*10^6*'AEO 2023 Table 71'!J48*10^6*365</f>
        <v>2.64392801821044E+16</v>
      </c>
      <c r="K16" s="236">
        <f>K17*10^6*'AEO 2023 Table 71'!K48*10^6*365</f>
        <v>2.6410309768301236E+16</v>
      </c>
      <c r="L16" s="236">
        <f>L17*10^6*'AEO 2023 Table 71'!L48*10^6*365</f>
        <v>2.6258005991900128E+16</v>
      </c>
      <c r="M16" s="236">
        <f>M17*10^6*'AEO 2023 Table 71'!M48*10^6*365</f>
        <v>2.6257801756969192E+16</v>
      </c>
      <c r="N16" s="236">
        <f>N17*10^6*'AEO 2023 Table 71'!N48*10^6*365</f>
        <v>2.626863939301932E+16</v>
      </c>
      <c r="O16" s="236">
        <f>O17*10^6*'AEO 2023 Table 71'!O48*10^6*365</f>
        <v>2.6261140763466016E+16</v>
      </c>
      <c r="P16" s="236">
        <f>P17*10^6*'AEO 2023 Table 71'!P48*10^6*365</f>
        <v>2.628605512753396E+16</v>
      </c>
      <c r="Q16" s="236">
        <f>Q17*10^6*'AEO 2023 Table 71'!Q48*10^6*365</f>
        <v>2.61602803002198E+16</v>
      </c>
      <c r="R16" s="236">
        <f>R17*10^6*'AEO 2023 Table 71'!R48*10^6*365</f>
        <v>2.603781057630702E+16</v>
      </c>
      <c r="S16" s="236">
        <f>S17*10^6*'AEO 2023 Table 71'!S48*10^6*365</f>
        <v>2.584180308811662E+16</v>
      </c>
      <c r="T16" s="236">
        <f>T17*10^6*'AEO 2023 Table 71'!T48*10^6*365</f>
        <v>2.566552423108112E+16</v>
      </c>
      <c r="U16" s="236">
        <f>U17*10^6*'AEO 2023 Table 71'!U48*10^6*365</f>
        <v>2.5512319634829304E+16</v>
      </c>
      <c r="V16" s="236">
        <f>V17*10^6*'AEO 2023 Table 71'!V48*10^6*365</f>
        <v>2.5276162080968096E+16</v>
      </c>
      <c r="W16" s="236">
        <f>W17*10^6*'AEO 2023 Table 71'!W48*10^6*365</f>
        <v>2.5337942148612596E+16</v>
      </c>
      <c r="X16" s="236">
        <f>X17*10^6*'AEO 2023 Table 71'!X48*10^6*365</f>
        <v>2.5487297576225464E+16</v>
      </c>
      <c r="Y16" s="236">
        <f>Y17*10^6*'AEO 2023 Table 71'!Y48*10^6*365</f>
        <v>2.5654163923969844E+16</v>
      </c>
      <c r="Z16" s="236">
        <f>Z17*10^6*'AEO 2023 Table 71'!Z48*10^6*365</f>
        <v>2.5661587534294596E+16</v>
      </c>
      <c r="AA16" s="236">
        <f>AA17*10^6*'AEO 2023 Table 71'!AA48*10^6*365</f>
        <v>2.5636684826588156E+16</v>
      </c>
      <c r="AB16" s="236">
        <f>AB17*10^6*'AEO 2023 Table 71'!AB48*10^6*365</f>
        <v>2.5407737862494128E+16</v>
      </c>
      <c r="AC16" s="236">
        <f>AC17*10^6*'AEO 2023 Table 71'!AC48*10^6*365</f>
        <v>2.544917895163028E+16</v>
      </c>
      <c r="AD16" s="236">
        <f>AD17*10^6*'AEO 2023 Table 71'!AD48*10^6*365</f>
        <v>2.5748759222087368E+16</v>
      </c>
      <c r="AE16" s="236">
        <f>AE17*10^6*'AEO 2023 Table 71'!AE48*10^6*365</f>
        <v>2.58842299661656E+16</v>
      </c>
    </row>
    <row r="17" spans="1:32" ht="15" customHeight="1" x14ac:dyDescent="0.2">
      <c r="A17" s="213" t="s">
        <v>716</v>
      </c>
      <c r="B17" s="216" t="s">
        <v>715</v>
      </c>
      <c r="C17" s="218">
        <f>'AEO 2023 Table 58 Raw'!F10</f>
        <v>11.391961</v>
      </c>
      <c r="D17" s="218">
        <f>'AEO 2023 Table 58 Raw'!G10</f>
        <v>11.911623000000001</v>
      </c>
      <c r="E17" s="218">
        <f>'AEO 2023 Table 58 Raw'!H10</f>
        <v>12.286136000000001</v>
      </c>
      <c r="F17" s="218">
        <f>'AEO 2023 Table 58 Raw'!I10</f>
        <v>12.405836000000001</v>
      </c>
      <c r="G17" s="218">
        <f>'AEO 2023 Table 58 Raw'!J10</f>
        <v>12.564268</v>
      </c>
      <c r="H17" s="218">
        <f>'AEO 2023 Table 58 Raw'!K10</f>
        <v>12.638444</v>
      </c>
      <c r="I17" s="218">
        <f>'AEO 2023 Table 58 Raw'!L10</f>
        <v>12.756741999999999</v>
      </c>
      <c r="J17" s="218">
        <f>'AEO 2023 Table 58 Raw'!M10</f>
        <v>12.72641</v>
      </c>
      <c r="K17" s="218">
        <f>'AEO 2023 Table 58 Raw'!N10</f>
        <v>12.711926999999999</v>
      </c>
      <c r="L17" s="218">
        <f>'AEO 2023 Table 58 Raw'!O10</f>
        <v>12.640687</v>
      </c>
      <c r="M17" s="218">
        <f>'AEO 2023 Table 58 Raw'!P10</f>
        <v>12.643459</v>
      </c>
      <c r="N17" s="218">
        <f>'AEO 2023 Table 58 Raw'!Q10</f>
        <v>12.650594</v>
      </c>
      <c r="O17" s="218">
        <f>'AEO 2023 Table 58 Raw'!R10</f>
        <v>12.649630999999999</v>
      </c>
      <c r="P17" s="218">
        <f>'AEO 2023 Table 58 Raw'!S10</f>
        <v>12.664894</v>
      </c>
      <c r="Q17" s="218">
        <f>'AEO 2023 Table 58 Raw'!T10</f>
        <v>12.608809000000001</v>
      </c>
      <c r="R17" s="218">
        <f>'AEO 2023 Table 58 Raw'!U10</f>
        <v>12.553323000000001</v>
      </c>
      <c r="S17" s="218">
        <f>'AEO 2023 Table 58 Raw'!V10</f>
        <v>12.463748000000001</v>
      </c>
      <c r="T17" s="218">
        <f>'AEO 2023 Table 58 Raw'!W10</f>
        <v>12.381916</v>
      </c>
      <c r="U17" s="218">
        <f>'AEO 2023 Table 58 Raw'!X10</f>
        <v>12.31338</v>
      </c>
      <c r="V17" s="218">
        <f>'AEO 2023 Table 58 Raw'!Y10</f>
        <v>12.207516</v>
      </c>
      <c r="W17" s="218">
        <f>'AEO 2023 Table 58 Raw'!Z10</f>
        <v>12.241076</v>
      </c>
      <c r="X17" s="218">
        <f>'AEO 2023 Table 58 Raw'!AA10</f>
        <v>12.313478999999999</v>
      </c>
      <c r="Y17" s="218">
        <f>'AEO 2023 Table 58 Raw'!AB10</f>
        <v>12.393143</v>
      </c>
      <c r="Z17" s="218">
        <f>'AEO 2023 Table 58 Raw'!AC10</f>
        <v>12.397959999999999</v>
      </c>
      <c r="AA17" s="218">
        <f>'AEO 2023 Table 58 Raw'!AD10</f>
        <v>12.389208</v>
      </c>
      <c r="AB17" s="218">
        <f>'AEO 2023 Table 58 Raw'!AE10</f>
        <v>12.286963</v>
      </c>
      <c r="AC17" s="218">
        <f>'AEO 2023 Table 58 Raw'!AF10</f>
        <v>12.299671999999999</v>
      </c>
      <c r="AD17" s="218">
        <f>'AEO 2023 Table 58 Raw'!AG10</f>
        <v>12.441811</v>
      </c>
      <c r="AE17" s="218">
        <f>'AEO 2023 Table 58 Raw'!AH10</f>
        <v>12.510002</v>
      </c>
      <c r="AF17" s="256">
        <f>'AEO 2023 Table 58 Raw'!AI10</f>
        <v>3.0000000000000001E-3</v>
      </c>
    </row>
    <row r="18" spans="1:32" ht="15" customHeight="1" x14ac:dyDescent="0.2">
      <c r="C18" s="218"/>
      <c r="D18" s="218"/>
      <c r="E18" s="218"/>
      <c r="F18" s="218"/>
      <c r="G18" s="218"/>
      <c r="H18" s="218"/>
      <c r="I18" s="218"/>
      <c r="J18" s="218"/>
      <c r="K18" s="218"/>
      <c r="L18" s="218"/>
      <c r="M18" s="218"/>
      <c r="N18" s="218"/>
      <c r="O18" s="218"/>
      <c r="P18" s="218"/>
      <c r="Q18" s="218"/>
      <c r="R18" s="218"/>
      <c r="S18" s="218"/>
      <c r="T18" s="218"/>
      <c r="U18" s="218"/>
      <c r="V18" s="218"/>
      <c r="W18" s="218"/>
      <c r="X18" s="218"/>
      <c r="Y18" s="218"/>
      <c r="Z18" s="218"/>
      <c r="AA18" s="218"/>
      <c r="AB18" s="218"/>
      <c r="AC18" s="218"/>
      <c r="AD18" s="218"/>
      <c r="AE18" s="218"/>
      <c r="AF18" s="256"/>
    </row>
    <row r="19" spans="1:32" ht="15" customHeight="1" x14ac:dyDescent="0.2">
      <c r="A19" s="213" t="s">
        <v>714</v>
      </c>
      <c r="B19" s="216" t="s">
        <v>687</v>
      </c>
      <c r="C19" s="218">
        <f>'AEO 2023 Table 58 Raw'!F11</f>
        <v>9.5885540000000002</v>
      </c>
      <c r="D19" s="218">
        <f>'AEO 2023 Table 58 Raw'!G11</f>
        <v>10.055934000000001</v>
      </c>
      <c r="E19" s="218">
        <f>'AEO 2023 Table 58 Raw'!H11</f>
        <v>10.358483</v>
      </c>
      <c r="F19" s="218">
        <f>'AEO 2023 Table 58 Raw'!I11</f>
        <v>10.399044</v>
      </c>
      <c r="G19" s="218">
        <f>'AEO 2023 Table 58 Raw'!J11</f>
        <v>10.477204</v>
      </c>
      <c r="H19" s="218">
        <f>'AEO 2023 Table 58 Raw'!K11</f>
        <v>10.4938</v>
      </c>
      <c r="I19" s="218">
        <f>'AEO 2023 Table 58 Raw'!L11</f>
        <v>10.500588</v>
      </c>
      <c r="J19" s="218">
        <f>'AEO 2023 Table 58 Raw'!M11</f>
        <v>10.464238</v>
      </c>
      <c r="K19" s="218">
        <f>'AEO 2023 Table 58 Raw'!N11</f>
        <v>10.505914000000001</v>
      </c>
      <c r="L19" s="218">
        <f>'AEO 2023 Table 58 Raw'!O11</f>
        <v>10.499349</v>
      </c>
      <c r="M19" s="218">
        <f>'AEO 2023 Table 58 Raw'!P11</f>
        <v>10.566034999999999</v>
      </c>
      <c r="N19" s="218">
        <f>'AEO 2023 Table 58 Raw'!Q11</f>
        <v>10.619910000000001</v>
      </c>
      <c r="O19" s="218">
        <f>'AEO 2023 Table 58 Raw'!R11</f>
        <v>10.638350000000001</v>
      </c>
      <c r="P19" s="218">
        <f>'AEO 2023 Table 58 Raw'!S11</f>
        <v>10.668874000000001</v>
      </c>
      <c r="Q19" s="218">
        <f>'AEO 2023 Table 58 Raw'!T11</f>
        <v>10.704992000000001</v>
      </c>
      <c r="R19" s="218">
        <f>'AEO 2023 Table 58 Raw'!U11</f>
        <v>10.735191</v>
      </c>
      <c r="S19" s="218">
        <f>'AEO 2023 Table 58 Raw'!V11</f>
        <v>10.759776</v>
      </c>
      <c r="T19" s="218">
        <f>'AEO 2023 Table 58 Raw'!W11</f>
        <v>10.788214</v>
      </c>
      <c r="U19" s="218">
        <f>'AEO 2023 Table 58 Raw'!X11</f>
        <v>10.798835</v>
      </c>
      <c r="V19" s="218">
        <f>'AEO 2023 Table 58 Raw'!Y11</f>
        <v>10.850989</v>
      </c>
      <c r="W19" s="218">
        <f>'AEO 2023 Table 58 Raw'!Z11</f>
        <v>10.894672999999999</v>
      </c>
      <c r="X19" s="218">
        <f>'AEO 2023 Table 58 Raw'!AA11</f>
        <v>10.890307999999999</v>
      </c>
      <c r="Y19" s="218">
        <f>'AEO 2023 Table 58 Raw'!AB11</f>
        <v>10.938000000000001</v>
      </c>
      <c r="Z19" s="218">
        <f>'AEO 2023 Table 58 Raw'!AC11</f>
        <v>10.994806000000001</v>
      </c>
      <c r="AA19" s="218">
        <f>'AEO 2023 Table 58 Raw'!AD11</f>
        <v>11.054777</v>
      </c>
      <c r="AB19" s="218">
        <f>'AEO 2023 Table 58 Raw'!AE11</f>
        <v>11.106519</v>
      </c>
      <c r="AC19" s="218">
        <f>'AEO 2023 Table 58 Raw'!AF11</f>
        <v>11.092962999999999</v>
      </c>
      <c r="AD19" s="218">
        <f>'AEO 2023 Table 58 Raw'!AG11</f>
        <v>11.133082</v>
      </c>
      <c r="AE19" s="218">
        <f>'AEO 2023 Table 58 Raw'!AH11</f>
        <v>11.17417</v>
      </c>
      <c r="AF19" s="256">
        <f>'AEO 2023 Table 58 Raw'!AI11</f>
        <v>5.0000000000000001E-3</v>
      </c>
    </row>
    <row r="20" spans="1:32" ht="15" customHeight="1" x14ac:dyDescent="0.25">
      <c r="A20" s="213" t="s">
        <v>713</v>
      </c>
      <c r="B20" s="212" t="s">
        <v>685</v>
      </c>
      <c r="C20" s="218">
        <f>'AEO 2023 Table 58 Raw'!F12</f>
        <v>0.17188800000000001</v>
      </c>
      <c r="D20" s="218">
        <f>'AEO 2023 Table 58 Raw'!G12</f>
        <v>0.22576399999999999</v>
      </c>
      <c r="E20" s="218">
        <f>'AEO 2023 Table 58 Raw'!H12</f>
        <v>0.242261</v>
      </c>
      <c r="F20" s="218">
        <f>'AEO 2023 Table 58 Raw'!I12</f>
        <v>0.25711800000000001</v>
      </c>
      <c r="G20" s="218">
        <f>'AEO 2023 Table 58 Raw'!J12</f>
        <v>0.26454800000000001</v>
      </c>
      <c r="H20" s="218">
        <f>'AEO 2023 Table 58 Raw'!K12</f>
        <v>0.26898100000000003</v>
      </c>
      <c r="I20" s="218">
        <f>'AEO 2023 Table 58 Raw'!L12</f>
        <v>0.27247700000000002</v>
      </c>
      <c r="J20" s="218">
        <f>'AEO 2023 Table 58 Raw'!M12</f>
        <v>0.27371699999999999</v>
      </c>
      <c r="K20" s="218">
        <f>'AEO 2023 Table 58 Raw'!N12</f>
        <v>0.27545199999999997</v>
      </c>
      <c r="L20" s="218">
        <f>'AEO 2023 Table 58 Raw'!O12</f>
        <v>0.27702199999999999</v>
      </c>
      <c r="M20" s="218">
        <f>'AEO 2023 Table 58 Raw'!P12</f>
        <v>0.279275</v>
      </c>
      <c r="N20" s="218">
        <f>'AEO 2023 Table 58 Raw'!Q12</f>
        <v>0.27875299999999997</v>
      </c>
      <c r="O20" s="218">
        <f>'AEO 2023 Table 58 Raw'!R12</f>
        <v>0.278364</v>
      </c>
      <c r="P20" s="218">
        <f>'AEO 2023 Table 58 Raw'!S12</f>
        <v>0.27689000000000002</v>
      </c>
      <c r="Q20" s="218">
        <f>'AEO 2023 Table 58 Raw'!T12</f>
        <v>0.275561</v>
      </c>
      <c r="R20" s="218">
        <f>'AEO 2023 Table 58 Raw'!U12</f>
        <v>0.27396799999999999</v>
      </c>
      <c r="S20" s="218">
        <f>'AEO 2023 Table 58 Raw'!V12</f>
        <v>0.271229</v>
      </c>
      <c r="T20" s="218">
        <f>'AEO 2023 Table 58 Raw'!W12</f>
        <v>0.26994099999999999</v>
      </c>
      <c r="U20" s="218">
        <f>'AEO 2023 Table 58 Raw'!X12</f>
        <v>0.26982600000000001</v>
      </c>
      <c r="V20" s="218">
        <f>'AEO 2023 Table 58 Raw'!Y12</f>
        <v>0.26937499999999998</v>
      </c>
      <c r="W20" s="218">
        <f>'AEO 2023 Table 58 Raw'!Z12</f>
        <v>0.271509</v>
      </c>
      <c r="X20" s="218">
        <f>'AEO 2023 Table 58 Raw'!AA12</f>
        <v>0.27307199999999998</v>
      </c>
      <c r="Y20" s="218">
        <f>'AEO 2023 Table 58 Raw'!AB12</f>
        <v>0.28427999999999998</v>
      </c>
      <c r="Z20" s="218">
        <f>'AEO 2023 Table 58 Raw'!AC12</f>
        <v>0.28966599999999998</v>
      </c>
      <c r="AA20" s="218">
        <f>'AEO 2023 Table 58 Raw'!AD12</f>
        <v>0.29224800000000001</v>
      </c>
      <c r="AB20" s="218">
        <f>'AEO 2023 Table 58 Raw'!AE12</f>
        <v>0.29572799999999999</v>
      </c>
      <c r="AC20" s="218">
        <f>'AEO 2023 Table 58 Raw'!AF12</f>
        <v>0.29759000000000002</v>
      </c>
      <c r="AD20" s="218">
        <f>'AEO 2023 Table 58 Raw'!AG12</f>
        <v>0.29797699999999999</v>
      </c>
      <c r="AE20" s="218">
        <f>'AEO 2023 Table 58 Raw'!AH12</f>
        <v>0.29855100000000001</v>
      </c>
      <c r="AF20" s="256">
        <f>'AEO 2023 Table 58 Raw'!AI12</f>
        <v>0.02</v>
      </c>
    </row>
    <row r="21" spans="1:32" ht="15" customHeight="1" x14ac:dyDescent="0.25">
      <c r="A21" s="213" t="s">
        <v>712</v>
      </c>
      <c r="B21" s="212" t="s">
        <v>683</v>
      </c>
      <c r="C21" s="218">
        <f>'AEO 2023 Table 58 Raw'!F13</f>
        <v>1.383148</v>
      </c>
      <c r="D21" s="218">
        <f>'AEO 2023 Table 58 Raw'!G13</f>
        <v>1.3939710000000001</v>
      </c>
      <c r="E21" s="218">
        <f>'AEO 2023 Table 58 Raw'!H13</f>
        <v>1.4910829999999999</v>
      </c>
      <c r="F21" s="218">
        <f>'AEO 2023 Table 58 Raw'!I13</f>
        <v>1.4972380000000001</v>
      </c>
      <c r="G21" s="218">
        <f>'AEO 2023 Table 58 Raw'!J13</f>
        <v>1.510162</v>
      </c>
      <c r="H21" s="218">
        <f>'AEO 2023 Table 58 Raw'!K13</f>
        <v>1.5066600000000001</v>
      </c>
      <c r="I21" s="218">
        <f>'AEO 2023 Table 58 Raw'!L13</f>
        <v>1.4981640000000001</v>
      </c>
      <c r="J21" s="218">
        <f>'AEO 2023 Table 58 Raw'!M13</f>
        <v>1.486872</v>
      </c>
      <c r="K21" s="218">
        <f>'AEO 2023 Table 58 Raw'!N13</f>
        <v>1.483546</v>
      </c>
      <c r="L21" s="218">
        <f>'AEO 2023 Table 58 Raw'!O13</f>
        <v>1.477908</v>
      </c>
      <c r="M21" s="218">
        <f>'AEO 2023 Table 58 Raw'!P13</f>
        <v>1.475312</v>
      </c>
      <c r="N21" s="218">
        <f>'AEO 2023 Table 58 Raw'!Q13</f>
        <v>1.480861</v>
      </c>
      <c r="O21" s="218">
        <f>'AEO 2023 Table 58 Raw'!R13</f>
        <v>1.4801340000000001</v>
      </c>
      <c r="P21" s="218">
        <f>'AEO 2023 Table 58 Raw'!S13</f>
        <v>1.489117</v>
      </c>
      <c r="Q21" s="218">
        <f>'AEO 2023 Table 58 Raw'!T13</f>
        <v>1.508624</v>
      </c>
      <c r="R21" s="218">
        <f>'AEO 2023 Table 58 Raw'!U13</f>
        <v>1.520391</v>
      </c>
      <c r="S21" s="218">
        <f>'AEO 2023 Table 58 Raw'!V13</f>
        <v>1.5281750000000001</v>
      </c>
      <c r="T21" s="218">
        <f>'AEO 2023 Table 58 Raw'!W13</f>
        <v>1.5370550000000001</v>
      </c>
      <c r="U21" s="218">
        <f>'AEO 2023 Table 58 Raw'!X13</f>
        <v>1.546359</v>
      </c>
      <c r="V21" s="218">
        <f>'AEO 2023 Table 58 Raw'!Y13</f>
        <v>1.552486</v>
      </c>
      <c r="W21" s="218">
        <f>'AEO 2023 Table 58 Raw'!Z13</f>
        <v>1.5626739999999999</v>
      </c>
      <c r="X21" s="218">
        <f>'AEO 2023 Table 58 Raw'!AA13</f>
        <v>1.57283</v>
      </c>
      <c r="Y21" s="218">
        <f>'AEO 2023 Table 58 Raw'!AB13</f>
        <v>1.578892</v>
      </c>
      <c r="Z21" s="218">
        <f>'AEO 2023 Table 58 Raw'!AC13</f>
        <v>1.5883229999999999</v>
      </c>
      <c r="AA21" s="218">
        <f>'AEO 2023 Table 58 Raw'!AD13</f>
        <v>1.60924</v>
      </c>
      <c r="AB21" s="218">
        <f>'AEO 2023 Table 58 Raw'!AE13</f>
        <v>1.6261810000000001</v>
      </c>
      <c r="AC21" s="218">
        <f>'AEO 2023 Table 58 Raw'!AF13</f>
        <v>1.64815</v>
      </c>
      <c r="AD21" s="218">
        <f>'AEO 2023 Table 58 Raw'!AG13</f>
        <v>1.6753830000000001</v>
      </c>
      <c r="AE21" s="218">
        <f>'AEO 2023 Table 58 Raw'!AH13</f>
        <v>1.6977990000000001</v>
      </c>
      <c r="AF21" s="256">
        <f>'AEO 2023 Table 58 Raw'!AI13</f>
        <v>7.0000000000000001E-3</v>
      </c>
    </row>
    <row r="22" spans="1:32" ht="15" customHeight="1" x14ac:dyDescent="0.25">
      <c r="A22" s="213" t="s">
        <v>711</v>
      </c>
      <c r="B22" s="212" t="s">
        <v>681</v>
      </c>
      <c r="C22" s="218">
        <f>'AEO 2023 Table 58 Raw'!F14</f>
        <v>0.52672200000000002</v>
      </c>
      <c r="D22" s="218">
        <f>'AEO 2023 Table 58 Raw'!G14</f>
        <v>0.51117100000000004</v>
      </c>
      <c r="E22" s="218">
        <f>'AEO 2023 Table 58 Raw'!H14</f>
        <v>0.41799599999999998</v>
      </c>
      <c r="F22" s="218">
        <f>'AEO 2023 Table 58 Raw'!I14</f>
        <v>0.43217699999999998</v>
      </c>
      <c r="G22" s="218">
        <f>'AEO 2023 Table 58 Raw'!J14</f>
        <v>0.439193</v>
      </c>
      <c r="H22" s="218">
        <f>'AEO 2023 Table 58 Raw'!K14</f>
        <v>0.44259599999999999</v>
      </c>
      <c r="I22" s="218">
        <f>'AEO 2023 Table 58 Raw'!L14</f>
        <v>0.44938600000000001</v>
      </c>
      <c r="J22" s="218">
        <f>'AEO 2023 Table 58 Raw'!M14</f>
        <v>0.45603500000000002</v>
      </c>
      <c r="K22" s="218">
        <f>'AEO 2023 Table 58 Raw'!N14</f>
        <v>0.474379</v>
      </c>
      <c r="L22" s="218">
        <f>'AEO 2023 Table 58 Raw'!O14</f>
        <v>0.48058200000000001</v>
      </c>
      <c r="M22" s="218">
        <f>'AEO 2023 Table 58 Raw'!P14</f>
        <v>0.48591699999999999</v>
      </c>
      <c r="N22" s="218">
        <f>'AEO 2023 Table 58 Raw'!Q14</f>
        <v>0.49399599999999999</v>
      </c>
      <c r="O22" s="218">
        <f>'AEO 2023 Table 58 Raw'!R14</f>
        <v>0.50722100000000003</v>
      </c>
      <c r="P22" s="218">
        <f>'AEO 2023 Table 58 Raw'!S14</f>
        <v>0.52530699999999997</v>
      </c>
      <c r="Q22" s="218">
        <f>'AEO 2023 Table 58 Raw'!T14</f>
        <v>0.53810599999999997</v>
      </c>
      <c r="R22" s="218">
        <f>'AEO 2023 Table 58 Raw'!U14</f>
        <v>0.54498899999999995</v>
      </c>
      <c r="S22" s="218">
        <f>'AEO 2023 Table 58 Raw'!V14</f>
        <v>0.55918699999999999</v>
      </c>
      <c r="T22" s="218">
        <f>'AEO 2023 Table 58 Raw'!W14</f>
        <v>0.57356200000000002</v>
      </c>
      <c r="U22" s="218">
        <f>'AEO 2023 Table 58 Raw'!X14</f>
        <v>0.593468</v>
      </c>
      <c r="V22" s="218">
        <f>'AEO 2023 Table 58 Raw'!Y14</f>
        <v>0.60889099999999996</v>
      </c>
      <c r="W22" s="218">
        <f>'AEO 2023 Table 58 Raw'!Z14</f>
        <v>0.61158699999999999</v>
      </c>
      <c r="X22" s="218">
        <f>'AEO 2023 Table 58 Raw'!AA14</f>
        <v>0.609151</v>
      </c>
      <c r="Y22" s="218">
        <f>'AEO 2023 Table 58 Raw'!AB14</f>
        <v>0.59970599999999996</v>
      </c>
      <c r="Z22" s="218">
        <f>'AEO 2023 Table 58 Raw'!AC14</f>
        <v>0.59114599999999995</v>
      </c>
      <c r="AA22" s="218">
        <f>'AEO 2023 Table 58 Raw'!AD14</f>
        <v>0.57980799999999999</v>
      </c>
      <c r="AB22" s="218">
        <f>'AEO 2023 Table 58 Raw'!AE14</f>
        <v>0.56974899999999995</v>
      </c>
      <c r="AC22" s="218">
        <f>'AEO 2023 Table 58 Raw'!AF14</f>
        <v>0.55709399999999998</v>
      </c>
      <c r="AD22" s="218">
        <f>'AEO 2023 Table 58 Raw'!AG14</f>
        <v>0.54962100000000003</v>
      </c>
      <c r="AE22" s="218">
        <f>'AEO 2023 Table 58 Raw'!AH14</f>
        <v>0.53740699999999997</v>
      </c>
      <c r="AF22" s="256">
        <f>'AEO 2023 Table 58 Raw'!AI14</f>
        <v>1E-3</v>
      </c>
    </row>
    <row r="23" spans="1:32" ht="15" customHeight="1" x14ac:dyDescent="0.25">
      <c r="A23" s="213" t="s">
        <v>710</v>
      </c>
      <c r="B23" s="212" t="s">
        <v>679</v>
      </c>
      <c r="C23" s="218">
        <f>'AEO 2023 Table 58 Raw'!F15</f>
        <v>5.3044130000000003</v>
      </c>
      <c r="D23" s="218">
        <f>'AEO 2023 Table 58 Raw'!G15</f>
        <v>5.6627210000000003</v>
      </c>
      <c r="E23" s="218">
        <f>'AEO 2023 Table 58 Raw'!H15</f>
        <v>5.683052</v>
      </c>
      <c r="F23" s="218">
        <f>'AEO 2023 Table 58 Raw'!I15</f>
        <v>5.6803299999999997</v>
      </c>
      <c r="G23" s="218">
        <f>'AEO 2023 Table 58 Raw'!J15</f>
        <v>5.6571629999999997</v>
      </c>
      <c r="H23" s="218">
        <f>'AEO 2023 Table 58 Raw'!K15</f>
        <v>5.6255199999999999</v>
      </c>
      <c r="I23" s="218">
        <f>'AEO 2023 Table 58 Raw'!L15</f>
        <v>5.596425</v>
      </c>
      <c r="J23" s="218">
        <f>'AEO 2023 Table 58 Raw'!M15</f>
        <v>5.5502320000000003</v>
      </c>
      <c r="K23" s="218">
        <f>'AEO 2023 Table 58 Raw'!N15</f>
        <v>5.5339359999999997</v>
      </c>
      <c r="L23" s="218">
        <f>'AEO 2023 Table 58 Raw'!O15</f>
        <v>5.5129479999999997</v>
      </c>
      <c r="M23" s="218">
        <f>'AEO 2023 Table 58 Raw'!P15</f>
        <v>5.4842019999999998</v>
      </c>
      <c r="N23" s="218">
        <f>'AEO 2023 Table 58 Raw'!Q15</f>
        <v>5.4770469999999998</v>
      </c>
      <c r="O23" s="218">
        <f>'AEO 2023 Table 58 Raw'!R15</f>
        <v>5.4611499999999999</v>
      </c>
      <c r="P23" s="218">
        <f>'AEO 2023 Table 58 Raw'!S15</f>
        <v>5.4234520000000002</v>
      </c>
      <c r="Q23" s="218">
        <f>'AEO 2023 Table 58 Raw'!T15</f>
        <v>5.4030230000000001</v>
      </c>
      <c r="R23" s="218">
        <f>'AEO 2023 Table 58 Raw'!U15</f>
        <v>5.4030680000000002</v>
      </c>
      <c r="S23" s="218">
        <f>'AEO 2023 Table 58 Raw'!V15</f>
        <v>5.4030189999999996</v>
      </c>
      <c r="T23" s="218">
        <f>'AEO 2023 Table 58 Raw'!W15</f>
        <v>5.3940190000000001</v>
      </c>
      <c r="U23" s="218">
        <f>'AEO 2023 Table 58 Raw'!X15</f>
        <v>5.3706870000000002</v>
      </c>
      <c r="V23" s="218">
        <f>'AEO 2023 Table 58 Raw'!Y15</f>
        <v>5.3890719999999996</v>
      </c>
      <c r="W23" s="218">
        <f>'AEO 2023 Table 58 Raw'!Z15</f>
        <v>5.4129009999999997</v>
      </c>
      <c r="X23" s="218">
        <f>'AEO 2023 Table 58 Raw'!AA15</f>
        <v>5.4207580000000002</v>
      </c>
      <c r="Y23" s="218">
        <f>'AEO 2023 Table 58 Raw'!AB15</f>
        <v>5.4398350000000004</v>
      </c>
      <c r="Z23" s="218">
        <f>'AEO 2023 Table 58 Raw'!AC15</f>
        <v>5.4736710000000004</v>
      </c>
      <c r="AA23" s="218">
        <f>'AEO 2023 Table 58 Raw'!AD15</f>
        <v>5.4990670000000001</v>
      </c>
      <c r="AB23" s="218">
        <f>'AEO 2023 Table 58 Raw'!AE15</f>
        <v>5.5072679999999998</v>
      </c>
      <c r="AC23" s="218">
        <f>'AEO 2023 Table 58 Raw'!AF15</f>
        <v>5.4959340000000001</v>
      </c>
      <c r="AD23" s="218">
        <f>'AEO 2023 Table 58 Raw'!AG15</f>
        <v>5.510453</v>
      </c>
      <c r="AE23" s="218">
        <f>'AEO 2023 Table 58 Raw'!AH15</f>
        <v>5.5125590000000004</v>
      </c>
      <c r="AF23" s="256">
        <f>'AEO 2023 Table 58 Raw'!AI15</f>
        <v>1E-3</v>
      </c>
    </row>
    <row r="24" spans="1:32" ht="15" customHeight="1" x14ac:dyDescent="0.25">
      <c r="A24" s="213" t="s">
        <v>709</v>
      </c>
      <c r="B24" s="212" t="s">
        <v>677</v>
      </c>
      <c r="C24" s="218">
        <f>'AEO 2023 Table 58 Raw'!F16</f>
        <v>0.79108800000000001</v>
      </c>
      <c r="D24" s="218">
        <f>'AEO 2023 Table 58 Raw'!G16</f>
        <v>0.82060500000000003</v>
      </c>
      <c r="E24" s="218">
        <f>'AEO 2023 Table 58 Raw'!H16</f>
        <v>0.901864</v>
      </c>
      <c r="F24" s="218">
        <f>'AEO 2023 Table 58 Raw'!I16</f>
        <v>0.91389799999999999</v>
      </c>
      <c r="G24" s="218">
        <f>'AEO 2023 Table 58 Raw'!J16</f>
        <v>0.94774199999999997</v>
      </c>
      <c r="H24" s="218">
        <f>'AEO 2023 Table 58 Raw'!K16</f>
        <v>0.95677999999999996</v>
      </c>
      <c r="I24" s="218">
        <f>'AEO 2023 Table 58 Raw'!L16</f>
        <v>0.95888899999999999</v>
      </c>
      <c r="J24" s="218">
        <f>'AEO 2023 Table 58 Raw'!M16</f>
        <v>0.96229399999999998</v>
      </c>
      <c r="K24" s="218">
        <f>'AEO 2023 Table 58 Raw'!N16</f>
        <v>0.96433500000000005</v>
      </c>
      <c r="L24" s="218">
        <f>'AEO 2023 Table 58 Raw'!O16</f>
        <v>0.96512699999999996</v>
      </c>
      <c r="M24" s="218">
        <f>'AEO 2023 Table 58 Raw'!P16</f>
        <v>1.0055400000000001</v>
      </c>
      <c r="N24" s="218">
        <f>'AEO 2023 Table 58 Raw'!Q16</f>
        <v>1.0246599999999999</v>
      </c>
      <c r="O24" s="218">
        <f>'AEO 2023 Table 58 Raw'!R16</f>
        <v>1.0344530000000001</v>
      </c>
      <c r="P24" s="218">
        <f>'AEO 2023 Table 58 Raw'!S16</f>
        <v>1.0449820000000001</v>
      </c>
      <c r="Q24" s="218">
        <f>'AEO 2023 Table 58 Raw'!T16</f>
        <v>1.0544480000000001</v>
      </c>
      <c r="R24" s="218">
        <f>'AEO 2023 Table 58 Raw'!U16</f>
        <v>1.0661940000000001</v>
      </c>
      <c r="S24" s="218">
        <f>'AEO 2023 Table 58 Raw'!V16</f>
        <v>1.0766880000000001</v>
      </c>
      <c r="T24" s="218">
        <f>'AEO 2023 Table 58 Raw'!W16</f>
        <v>1.093658</v>
      </c>
      <c r="U24" s="218">
        <f>'AEO 2023 Table 58 Raw'!X16</f>
        <v>1.1022970000000001</v>
      </c>
      <c r="V24" s="218">
        <f>'AEO 2023 Table 58 Raw'!Y16</f>
        <v>1.1076900000000001</v>
      </c>
      <c r="W24" s="218">
        <f>'AEO 2023 Table 58 Raw'!Z16</f>
        <v>1.1064160000000001</v>
      </c>
      <c r="X24" s="218">
        <f>'AEO 2023 Table 58 Raw'!AA16</f>
        <v>1.109191</v>
      </c>
      <c r="Y24" s="218">
        <f>'AEO 2023 Table 58 Raw'!AB16</f>
        <v>1.14141</v>
      </c>
      <c r="Z24" s="218">
        <f>'AEO 2023 Table 58 Raw'!AC16</f>
        <v>1.152717</v>
      </c>
      <c r="AA24" s="218">
        <f>'AEO 2023 Table 58 Raw'!AD16</f>
        <v>1.1558200000000001</v>
      </c>
      <c r="AB24" s="218">
        <f>'AEO 2023 Table 58 Raw'!AE16</f>
        <v>1.1608830000000001</v>
      </c>
      <c r="AC24" s="218">
        <f>'AEO 2023 Table 58 Raw'!AF16</f>
        <v>1.1644909999999999</v>
      </c>
      <c r="AD24" s="218">
        <f>'AEO 2023 Table 58 Raw'!AG16</f>
        <v>1.169268</v>
      </c>
      <c r="AE24" s="218">
        <f>'AEO 2023 Table 58 Raw'!AH16</f>
        <v>1.175559</v>
      </c>
      <c r="AF24" s="256">
        <f>'AEO 2023 Table 58 Raw'!AI16</f>
        <v>1.4E-2</v>
      </c>
    </row>
    <row r="25" spans="1:32" ht="15" customHeight="1" x14ac:dyDescent="0.25">
      <c r="A25" s="213" t="s">
        <v>708</v>
      </c>
      <c r="B25" s="212" t="s">
        <v>675</v>
      </c>
      <c r="C25" s="218">
        <f>'AEO 2023 Table 58 Raw'!F17</f>
        <v>1.1107400000000001</v>
      </c>
      <c r="D25" s="218">
        <f>'AEO 2023 Table 58 Raw'!G17</f>
        <v>1.1749799999999999</v>
      </c>
      <c r="E25" s="218">
        <f>'AEO 2023 Table 58 Raw'!H17</f>
        <v>1.346333</v>
      </c>
      <c r="F25" s="218">
        <f>'AEO 2023 Table 58 Raw'!I17</f>
        <v>1.3446689999999999</v>
      </c>
      <c r="G25" s="218">
        <f>'AEO 2023 Table 58 Raw'!J17</f>
        <v>1.383713</v>
      </c>
      <c r="H25" s="218">
        <f>'AEO 2023 Table 58 Raw'!K17</f>
        <v>1.41899</v>
      </c>
      <c r="I25" s="218">
        <f>'AEO 2023 Table 58 Raw'!L17</f>
        <v>1.4511179999999999</v>
      </c>
      <c r="J25" s="218">
        <f>'AEO 2023 Table 58 Raw'!M17</f>
        <v>1.462647</v>
      </c>
      <c r="K25" s="218">
        <f>'AEO 2023 Table 58 Raw'!N17</f>
        <v>1.503288</v>
      </c>
      <c r="L25" s="218">
        <f>'AEO 2023 Table 58 Raw'!O17</f>
        <v>1.516634</v>
      </c>
      <c r="M25" s="218">
        <f>'AEO 2023 Table 58 Raw'!P17</f>
        <v>1.567483</v>
      </c>
      <c r="N25" s="218">
        <f>'AEO 2023 Table 58 Raw'!Q17</f>
        <v>1.601777</v>
      </c>
      <c r="O25" s="218">
        <f>'AEO 2023 Table 58 Raw'!R17</f>
        <v>1.6215310000000001</v>
      </c>
      <c r="P25" s="218">
        <f>'AEO 2023 Table 58 Raw'!S17</f>
        <v>1.6656820000000001</v>
      </c>
      <c r="Q25" s="218">
        <f>'AEO 2023 Table 58 Raw'!T17</f>
        <v>1.6944129999999999</v>
      </c>
      <c r="R25" s="218">
        <f>'AEO 2023 Table 58 Raw'!U17</f>
        <v>1.707527</v>
      </c>
      <c r="S25" s="218">
        <f>'AEO 2023 Table 58 Raw'!V17</f>
        <v>1.7144219999999999</v>
      </c>
      <c r="T25" s="218">
        <f>'AEO 2023 Table 58 Raw'!W17</f>
        <v>1.7225600000000001</v>
      </c>
      <c r="U25" s="218">
        <f>'AEO 2023 Table 58 Raw'!X17</f>
        <v>1.728105</v>
      </c>
      <c r="V25" s="218">
        <f>'AEO 2023 Table 58 Raw'!Y17</f>
        <v>1.7445600000000001</v>
      </c>
      <c r="W25" s="218">
        <f>'AEO 2023 Table 58 Raw'!Z17</f>
        <v>1.7608250000000001</v>
      </c>
      <c r="X25" s="218">
        <f>'AEO 2023 Table 58 Raw'!AA17</f>
        <v>1.745668</v>
      </c>
      <c r="Y25" s="218">
        <f>'AEO 2023 Table 58 Raw'!AB17</f>
        <v>1.7411620000000001</v>
      </c>
      <c r="Z25" s="218">
        <f>'AEO 2023 Table 58 Raw'!AC17</f>
        <v>1.752758</v>
      </c>
      <c r="AA25" s="218">
        <f>'AEO 2023 Table 58 Raw'!AD17</f>
        <v>1.775987</v>
      </c>
      <c r="AB25" s="218">
        <f>'AEO 2023 Table 58 Raw'!AE17</f>
        <v>1.807755</v>
      </c>
      <c r="AC25" s="218">
        <f>'AEO 2023 Table 58 Raw'!AF17</f>
        <v>1.7942469999999999</v>
      </c>
      <c r="AD25" s="218">
        <f>'AEO 2023 Table 58 Raw'!AG17</f>
        <v>1.799285</v>
      </c>
      <c r="AE25" s="218">
        <f>'AEO 2023 Table 58 Raw'!AH17</f>
        <v>1.824435</v>
      </c>
      <c r="AF25" s="256">
        <f>'AEO 2023 Table 58 Raw'!AI17</f>
        <v>1.7999999999999999E-2</v>
      </c>
    </row>
    <row r="26" spans="1:32" ht="15" customHeight="1" x14ac:dyDescent="0.25">
      <c r="A26" s="213" t="s">
        <v>707</v>
      </c>
      <c r="B26" s="212" t="s">
        <v>673</v>
      </c>
      <c r="C26" s="218">
        <f>'AEO 2023 Table 58 Raw'!F18</f>
        <v>0.30055300000000001</v>
      </c>
      <c r="D26" s="218">
        <f>'AEO 2023 Table 58 Raw'!G18</f>
        <v>0.26672299999999999</v>
      </c>
      <c r="E26" s="218">
        <f>'AEO 2023 Table 58 Raw'!H18</f>
        <v>0.275893</v>
      </c>
      <c r="F26" s="218">
        <f>'AEO 2023 Table 58 Raw'!I18</f>
        <v>0.27361600000000003</v>
      </c>
      <c r="G26" s="218">
        <f>'AEO 2023 Table 58 Raw'!J18</f>
        <v>0.27468300000000001</v>
      </c>
      <c r="H26" s="218">
        <f>'AEO 2023 Table 58 Raw'!K18</f>
        <v>0.27427400000000002</v>
      </c>
      <c r="I26" s="218">
        <f>'AEO 2023 Table 58 Raw'!L18</f>
        <v>0.27412999999999998</v>
      </c>
      <c r="J26" s="218">
        <f>'AEO 2023 Table 58 Raw'!M18</f>
        <v>0.27244099999999999</v>
      </c>
      <c r="K26" s="218">
        <f>'AEO 2023 Table 58 Raw'!N18</f>
        <v>0.27097900000000003</v>
      </c>
      <c r="L26" s="218">
        <f>'AEO 2023 Table 58 Raw'!O18</f>
        <v>0.26912799999999998</v>
      </c>
      <c r="M26" s="218">
        <f>'AEO 2023 Table 58 Raw'!P18</f>
        <v>0.26830599999999999</v>
      </c>
      <c r="N26" s="218">
        <f>'AEO 2023 Table 58 Raw'!Q18</f>
        <v>0.26281599999999999</v>
      </c>
      <c r="O26" s="218">
        <f>'AEO 2023 Table 58 Raw'!R18</f>
        <v>0.255498</v>
      </c>
      <c r="P26" s="218">
        <f>'AEO 2023 Table 58 Raw'!S18</f>
        <v>0.24344299999999999</v>
      </c>
      <c r="Q26" s="218">
        <f>'AEO 2023 Table 58 Raw'!T18</f>
        <v>0.23081699999999999</v>
      </c>
      <c r="R26" s="218">
        <f>'AEO 2023 Table 58 Raw'!U18</f>
        <v>0.219053</v>
      </c>
      <c r="S26" s="218">
        <f>'AEO 2023 Table 58 Raw'!V18</f>
        <v>0.20705599999999999</v>
      </c>
      <c r="T26" s="218">
        <f>'AEO 2023 Table 58 Raw'!W18</f>
        <v>0.19741900000000001</v>
      </c>
      <c r="U26" s="218">
        <f>'AEO 2023 Table 58 Raw'!X18</f>
        <v>0.18809200000000001</v>
      </c>
      <c r="V26" s="218">
        <f>'AEO 2023 Table 58 Raw'!Y18</f>
        <v>0.17891599999999999</v>
      </c>
      <c r="W26" s="218">
        <f>'AEO 2023 Table 58 Raw'!Z18</f>
        <v>0.16876099999999999</v>
      </c>
      <c r="X26" s="218">
        <f>'AEO 2023 Table 58 Raw'!AA18</f>
        <v>0.159638</v>
      </c>
      <c r="Y26" s="218">
        <f>'AEO 2023 Table 58 Raw'!AB18</f>
        <v>0.15271599999999999</v>
      </c>
      <c r="Z26" s="218">
        <f>'AEO 2023 Table 58 Raw'!AC18</f>
        <v>0.14652599999999999</v>
      </c>
      <c r="AA26" s="218">
        <f>'AEO 2023 Table 58 Raw'!AD18</f>
        <v>0.14260700000000001</v>
      </c>
      <c r="AB26" s="218">
        <f>'AEO 2023 Table 58 Raw'!AE18</f>
        <v>0.13895399999999999</v>
      </c>
      <c r="AC26" s="218">
        <f>'AEO 2023 Table 58 Raw'!AF18</f>
        <v>0.135458</v>
      </c>
      <c r="AD26" s="218">
        <f>'AEO 2023 Table 58 Raw'!AG18</f>
        <v>0.13109499999999999</v>
      </c>
      <c r="AE26" s="218">
        <f>'AEO 2023 Table 58 Raw'!AH18</f>
        <v>0.12786</v>
      </c>
      <c r="AF26" s="256">
        <f>'AEO 2023 Table 58 Raw'!AI18</f>
        <v>-0.03</v>
      </c>
    </row>
    <row r="27" spans="1:32" ht="15" customHeight="1" x14ac:dyDescent="0.2">
      <c r="C27" s="218"/>
      <c r="D27" s="218"/>
      <c r="E27" s="218"/>
      <c r="F27" s="218"/>
      <c r="G27" s="218"/>
      <c r="H27" s="218"/>
      <c r="I27" s="218"/>
      <c r="J27" s="218"/>
      <c r="K27" s="218"/>
      <c r="L27" s="218"/>
      <c r="M27" s="218"/>
      <c r="N27" s="218"/>
      <c r="O27" s="218"/>
      <c r="P27" s="218"/>
      <c r="Q27" s="218"/>
      <c r="R27" s="218"/>
      <c r="S27" s="218"/>
      <c r="T27" s="218"/>
      <c r="U27" s="218"/>
      <c r="V27" s="218"/>
      <c r="W27" s="218"/>
      <c r="X27" s="218"/>
      <c r="Y27" s="218"/>
      <c r="Z27" s="218"/>
      <c r="AA27" s="218"/>
      <c r="AB27" s="218"/>
      <c r="AC27" s="218"/>
      <c r="AD27" s="218"/>
      <c r="AE27" s="218"/>
      <c r="AF27" s="256"/>
    </row>
    <row r="28" spans="1:32" ht="15" customHeight="1" x14ac:dyDescent="0.2">
      <c r="A28" s="213" t="s">
        <v>706</v>
      </c>
      <c r="B28" s="216" t="s">
        <v>672</v>
      </c>
      <c r="C28" s="218">
        <f>'AEO 2023 Table 58 Raw'!F19</f>
        <v>1.803407</v>
      </c>
      <c r="D28" s="218">
        <f>'AEO 2023 Table 58 Raw'!G19</f>
        <v>1.855688</v>
      </c>
      <c r="E28" s="218">
        <f>'AEO 2023 Table 58 Raw'!H19</f>
        <v>1.9276530000000001</v>
      </c>
      <c r="F28" s="218">
        <f>'AEO 2023 Table 58 Raw'!I19</f>
        <v>2.006793</v>
      </c>
      <c r="G28" s="218">
        <f>'AEO 2023 Table 58 Raw'!J19</f>
        <v>2.0870639999999998</v>
      </c>
      <c r="H28" s="218">
        <f>'AEO 2023 Table 58 Raw'!K19</f>
        <v>2.144644</v>
      </c>
      <c r="I28" s="218">
        <f>'AEO 2023 Table 58 Raw'!L19</f>
        <v>2.2561529999999999</v>
      </c>
      <c r="J28" s="218">
        <f>'AEO 2023 Table 58 Raw'!M19</f>
        <v>2.2621720000000001</v>
      </c>
      <c r="K28" s="218">
        <f>'AEO 2023 Table 58 Raw'!N19</f>
        <v>2.206013</v>
      </c>
      <c r="L28" s="218">
        <f>'AEO 2023 Table 58 Raw'!O19</f>
        <v>2.1413380000000002</v>
      </c>
      <c r="M28" s="218">
        <f>'AEO 2023 Table 58 Raw'!P19</f>
        <v>2.0774240000000002</v>
      </c>
      <c r="N28" s="218">
        <f>'AEO 2023 Table 58 Raw'!Q19</f>
        <v>2.0306829999999998</v>
      </c>
      <c r="O28" s="218">
        <f>'AEO 2023 Table 58 Raw'!R19</f>
        <v>2.0112809999999999</v>
      </c>
      <c r="P28" s="218">
        <f>'AEO 2023 Table 58 Raw'!S19</f>
        <v>1.996021</v>
      </c>
      <c r="Q28" s="218">
        <f>'AEO 2023 Table 58 Raw'!T19</f>
        <v>1.903816</v>
      </c>
      <c r="R28" s="218">
        <f>'AEO 2023 Table 58 Raw'!U19</f>
        <v>1.8181309999999999</v>
      </c>
      <c r="S28" s="218">
        <f>'AEO 2023 Table 58 Raw'!V19</f>
        <v>1.7039709999999999</v>
      </c>
      <c r="T28" s="218">
        <f>'AEO 2023 Table 58 Raw'!W19</f>
        <v>1.593702</v>
      </c>
      <c r="U28" s="218">
        <f>'AEO 2023 Table 58 Raw'!X19</f>
        <v>1.514545</v>
      </c>
      <c r="V28" s="218">
        <f>'AEO 2023 Table 58 Raw'!Y19</f>
        <v>1.3565259999999999</v>
      </c>
      <c r="W28" s="218">
        <f>'AEO 2023 Table 58 Raw'!Z19</f>
        <v>1.3464020000000001</v>
      </c>
      <c r="X28" s="218">
        <f>'AEO 2023 Table 58 Raw'!AA19</f>
        <v>1.4231720000000001</v>
      </c>
      <c r="Y28" s="218">
        <f>'AEO 2023 Table 58 Raw'!AB19</f>
        <v>1.4551430000000001</v>
      </c>
      <c r="Z28" s="218">
        <f>'AEO 2023 Table 58 Raw'!AC19</f>
        <v>1.403154</v>
      </c>
      <c r="AA28" s="218">
        <f>'AEO 2023 Table 58 Raw'!AD19</f>
        <v>1.3344309999999999</v>
      </c>
      <c r="AB28" s="218">
        <f>'AEO 2023 Table 58 Raw'!AE19</f>
        <v>1.180445</v>
      </c>
      <c r="AC28" s="218">
        <f>'AEO 2023 Table 58 Raw'!AF19</f>
        <v>1.206709</v>
      </c>
      <c r="AD28" s="218">
        <f>'AEO 2023 Table 58 Raw'!AG19</f>
        <v>1.3087279999999999</v>
      </c>
      <c r="AE28" s="218">
        <f>'AEO 2023 Table 58 Raw'!AH19</f>
        <v>1.3358319999999999</v>
      </c>
      <c r="AF28" s="256">
        <f>'AEO 2023 Table 58 Raw'!AI19</f>
        <v>-1.0999999999999999E-2</v>
      </c>
    </row>
    <row r="29" spans="1:32" ht="15" customHeight="1" x14ac:dyDescent="0.25">
      <c r="A29" s="213" t="s">
        <v>705</v>
      </c>
      <c r="B29" s="212" t="s">
        <v>670</v>
      </c>
      <c r="C29" s="218">
        <f>'AEO 2023 Table 58 Raw'!F20</f>
        <v>1.769407</v>
      </c>
      <c r="D29" s="218">
        <f>'AEO 2023 Table 58 Raw'!G20</f>
        <v>1.822009</v>
      </c>
      <c r="E29" s="218">
        <f>'AEO 2023 Table 58 Raw'!H20</f>
        <v>1.906318</v>
      </c>
      <c r="F29" s="218">
        <f>'AEO 2023 Table 58 Raw'!I20</f>
        <v>1.9873620000000001</v>
      </c>
      <c r="G29" s="218">
        <f>'AEO 2023 Table 58 Raw'!J20</f>
        <v>2.0692119999999998</v>
      </c>
      <c r="H29" s="218">
        <f>'AEO 2023 Table 58 Raw'!K20</f>
        <v>2.1281219999999998</v>
      </c>
      <c r="I29" s="218">
        <f>'AEO 2023 Table 58 Raw'!L20</f>
        <v>2.121645</v>
      </c>
      <c r="J29" s="218">
        <f>'AEO 2023 Table 58 Raw'!M20</f>
        <v>2.1076549999999998</v>
      </c>
      <c r="K29" s="218">
        <f>'AEO 2023 Table 58 Raw'!N20</f>
        <v>2.019549</v>
      </c>
      <c r="L29" s="218">
        <f>'AEO 2023 Table 58 Raw'!O20</f>
        <v>1.944442</v>
      </c>
      <c r="M29" s="218">
        <f>'AEO 2023 Table 58 Raw'!P20</f>
        <v>1.8774139999999999</v>
      </c>
      <c r="N29" s="218">
        <f>'AEO 2023 Table 58 Raw'!Q20</f>
        <v>1.8275060000000001</v>
      </c>
      <c r="O29" s="218">
        <f>'AEO 2023 Table 58 Raw'!R20</f>
        <v>1.8038860000000001</v>
      </c>
      <c r="P29" s="218">
        <f>'AEO 2023 Table 58 Raw'!S20</f>
        <v>1.7932889999999999</v>
      </c>
      <c r="Q29" s="218">
        <f>'AEO 2023 Table 58 Raw'!T20</f>
        <v>1.7003440000000001</v>
      </c>
      <c r="R29" s="218">
        <f>'AEO 2023 Table 58 Raw'!U20</f>
        <v>1.623243</v>
      </c>
      <c r="S29" s="218">
        <f>'AEO 2023 Table 58 Raw'!V20</f>
        <v>1.5266059999999999</v>
      </c>
      <c r="T29" s="218">
        <f>'AEO 2023 Table 58 Raw'!W20</f>
        <v>1.4028970000000001</v>
      </c>
      <c r="U29" s="218">
        <f>'AEO 2023 Table 58 Raw'!X20</f>
        <v>1.327631</v>
      </c>
      <c r="V29" s="218">
        <f>'AEO 2023 Table 58 Raw'!Y20</f>
        <v>1.157386</v>
      </c>
      <c r="W29" s="218">
        <f>'AEO 2023 Table 58 Raw'!Z20</f>
        <v>1.1489990000000001</v>
      </c>
      <c r="X29" s="218">
        <f>'AEO 2023 Table 58 Raw'!AA20</f>
        <v>1.2343280000000001</v>
      </c>
      <c r="Y29" s="218">
        <f>'AEO 2023 Table 58 Raw'!AB20</f>
        <v>1.257517</v>
      </c>
      <c r="Z29" s="218">
        <f>'AEO 2023 Table 58 Raw'!AC20</f>
        <v>1.1857709999999999</v>
      </c>
      <c r="AA29" s="218">
        <f>'AEO 2023 Table 58 Raw'!AD20</f>
        <v>1.123478</v>
      </c>
      <c r="AB29" s="218">
        <f>'AEO 2023 Table 58 Raw'!AE20</f>
        <v>0.98335300000000003</v>
      </c>
      <c r="AC29" s="218">
        <f>'AEO 2023 Table 58 Raw'!AF20</f>
        <v>0.91574800000000001</v>
      </c>
      <c r="AD29" s="218">
        <f>'AEO 2023 Table 58 Raw'!AG20</f>
        <v>1.012054</v>
      </c>
      <c r="AE29" s="218">
        <f>'AEO 2023 Table 58 Raw'!AH20</f>
        <v>1.0609869999999999</v>
      </c>
      <c r="AF29" s="256">
        <f>'AEO 2023 Table 58 Raw'!AI20</f>
        <v>-1.7999999999999999E-2</v>
      </c>
    </row>
    <row r="30" spans="1:32" ht="15" customHeight="1" x14ac:dyDescent="0.25">
      <c r="A30" s="213" t="s">
        <v>704</v>
      </c>
      <c r="B30" s="212" t="s">
        <v>703</v>
      </c>
      <c r="C30" s="218">
        <f>'AEO 2023 Table 58 Raw'!F21</f>
        <v>0</v>
      </c>
      <c r="D30" s="218">
        <f>'AEO 2023 Table 58 Raw'!G21</f>
        <v>9.6970000000000008E-3</v>
      </c>
      <c r="E30" s="218">
        <f>'AEO 2023 Table 58 Raw'!H21</f>
        <v>8.3529999999999993E-3</v>
      </c>
      <c r="F30" s="218">
        <f>'AEO 2023 Table 58 Raw'!I21</f>
        <v>7.345E-3</v>
      </c>
      <c r="G30" s="218">
        <f>'AEO 2023 Table 58 Raw'!J21</f>
        <v>6.561E-3</v>
      </c>
      <c r="H30" s="218">
        <f>'AEO 2023 Table 58 Raw'!K21</f>
        <v>5.934E-3</v>
      </c>
      <c r="I30" s="218">
        <f>'AEO 2023 Table 58 Raw'!L21</f>
        <v>5.4209999999999996E-3</v>
      </c>
      <c r="J30" s="218">
        <f>'AEO 2023 Table 58 Raw'!M21</f>
        <v>4.993E-3</v>
      </c>
      <c r="K30" s="218">
        <f>'AEO 2023 Table 58 Raw'!N21</f>
        <v>4.6309999999999997E-3</v>
      </c>
      <c r="L30" s="218">
        <f>'AEO 2023 Table 58 Raw'!O21</f>
        <v>4.3210000000000002E-3</v>
      </c>
      <c r="M30" s="218">
        <f>'AEO 2023 Table 58 Raw'!P21</f>
        <v>4.052E-3</v>
      </c>
      <c r="N30" s="218">
        <f>'AEO 2023 Table 58 Raw'!Q21</f>
        <v>3.8170000000000001E-3</v>
      </c>
      <c r="O30" s="218">
        <f>'AEO 2023 Table 58 Raw'!R21</f>
        <v>3.6099999999999999E-3</v>
      </c>
      <c r="P30" s="218">
        <f>'AEO 2023 Table 58 Raw'!S21</f>
        <v>3.4250000000000001E-3</v>
      </c>
      <c r="Q30" s="218">
        <f>'AEO 2023 Table 58 Raw'!T21</f>
        <v>3.2599999999999999E-3</v>
      </c>
      <c r="R30" s="218">
        <f>'AEO 2023 Table 58 Raw'!U21</f>
        <v>3.1120000000000002E-3</v>
      </c>
      <c r="S30" s="218">
        <f>'AEO 2023 Table 58 Raw'!V21</f>
        <v>2.977E-3</v>
      </c>
      <c r="T30" s="218">
        <f>'AEO 2023 Table 58 Raw'!W21</f>
        <v>2.8549999999999999E-3</v>
      </c>
      <c r="U30" s="218">
        <f>'AEO 2023 Table 58 Raw'!X21</f>
        <v>2.7439999999999999E-3</v>
      </c>
      <c r="V30" s="218">
        <f>'AEO 2023 Table 58 Raw'!Y21</f>
        <v>2.6410000000000001E-3</v>
      </c>
      <c r="W30" s="218">
        <f>'AEO 2023 Table 58 Raw'!Z21</f>
        <v>2.5469999999999998E-3</v>
      </c>
      <c r="X30" s="218">
        <f>'AEO 2023 Table 58 Raw'!AA21</f>
        <v>2.4599999999999999E-3</v>
      </c>
      <c r="Y30" s="218">
        <f>'AEO 2023 Table 58 Raw'!AB21</f>
        <v>2.3800000000000002E-3</v>
      </c>
      <c r="Z30" s="218">
        <f>'AEO 2023 Table 58 Raw'!AC21</f>
        <v>2.3050000000000002E-3</v>
      </c>
      <c r="AA30" s="218">
        <f>'AEO 2023 Table 58 Raw'!AD21</f>
        <v>2.2360000000000001E-3</v>
      </c>
      <c r="AB30" s="218">
        <f>'AEO 2023 Table 58 Raw'!AE21</f>
        <v>2.1710000000000002E-3</v>
      </c>
      <c r="AC30" s="218">
        <f>'AEO 2023 Table 58 Raw'!AF21</f>
        <v>2.1099999999999999E-3</v>
      </c>
      <c r="AD30" s="218">
        <f>'AEO 2023 Table 58 Raw'!AG21</f>
        <v>2.0530000000000001E-3</v>
      </c>
      <c r="AE30" s="218">
        <f>'AEO 2023 Table 58 Raw'!AH21</f>
        <v>2E-3</v>
      </c>
      <c r="AF30" s="256">
        <f>'AEO 2023 Table 58 Raw'!AI21</f>
        <v>1.9499999999999999E-3</v>
      </c>
    </row>
    <row r="31" spans="1:32" ht="15" customHeight="1" x14ac:dyDescent="0.25">
      <c r="A31" s="213" t="s">
        <v>702</v>
      </c>
      <c r="B31" s="212" t="s">
        <v>701</v>
      </c>
      <c r="C31" s="218">
        <f>'AEO 2023 Table 58 Raw'!F22</f>
        <v>0</v>
      </c>
      <c r="D31" s="218">
        <f>'AEO 2023 Table 58 Raw'!G22</f>
        <v>8.5136000000000003E-2</v>
      </c>
      <c r="E31" s="218">
        <f>'AEO 2023 Table 58 Raw'!H22</f>
        <v>7.9364000000000004E-2</v>
      </c>
      <c r="F31" s="218">
        <f>'AEO 2023 Table 58 Raw'!I22</f>
        <v>7.2545999999999999E-2</v>
      </c>
      <c r="G31" s="218">
        <f>'AEO 2023 Table 58 Raw'!J22</f>
        <v>6.4921000000000006E-2</v>
      </c>
      <c r="H31" s="218">
        <f>'AEO 2023 Table 58 Raw'!K22</f>
        <v>5.8893000000000001E-2</v>
      </c>
      <c r="I31" s="218">
        <f>'AEO 2023 Table 58 Raw'!L22</f>
        <v>5.3895999999999999E-2</v>
      </c>
      <c r="J31" s="218">
        <f>'AEO 2023 Table 58 Raw'!M22</f>
        <v>4.9768E-2</v>
      </c>
      <c r="K31" s="218">
        <f>'AEO 2023 Table 58 Raw'!N22</f>
        <v>4.6399999999999997E-2</v>
      </c>
      <c r="L31" s="218">
        <f>'AEO 2023 Table 58 Raw'!O22</f>
        <v>4.3549999999999998E-2</v>
      </c>
      <c r="M31" s="218">
        <f>'AEO 2023 Table 58 Raw'!P22</f>
        <v>4.1002999999999998E-2</v>
      </c>
      <c r="N31" s="218">
        <f>'AEO 2023 Table 58 Raw'!Q22</f>
        <v>3.8834E-2</v>
      </c>
      <c r="O31" s="218">
        <f>'AEO 2023 Table 58 Raw'!R22</f>
        <v>3.687E-2</v>
      </c>
      <c r="P31" s="218">
        <f>'AEO 2023 Table 58 Raw'!S22</f>
        <v>3.5071999999999999E-2</v>
      </c>
      <c r="Q31" s="218">
        <f>'AEO 2023 Table 58 Raw'!T22</f>
        <v>3.8408999999999999E-2</v>
      </c>
      <c r="R31" s="218">
        <f>'AEO 2023 Table 58 Raw'!U22</f>
        <v>4.3032000000000001E-2</v>
      </c>
      <c r="S31" s="218">
        <f>'AEO 2023 Table 58 Raw'!V22</f>
        <v>4.1974999999999998E-2</v>
      </c>
      <c r="T31" s="218">
        <f>'AEO 2023 Table 58 Raw'!W22</f>
        <v>5.1547000000000003E-2</v>
      </c>
      <c r="U31" s="218">
        <f>'AEO 2023 Table 58 Raw'!X22</f>
        <v>5.5216000000000001E-2</v>
      </c>
      <c r="V31" s="218">
        <f>'AEO 2023 Table 58 Raw'!Y22</f>
        <v>5.4595999999999999E-2</v>
      </c>
      <c r="W31" s="218">
        <f>'AEO 2023 Table 58 Raw'!Z22</f>
        <v>5.3893999999999997E-2</v>
      </c>
      <c r="X31" s="218">
        <f>'AEO 2023 Table 58 Raw'!AA22</f>
        <v>5.5669999999999997E-2</v>
      </c>
      <c r="Y31" s="218">
        <f>'AEO 2023 Table 58 Raw'!AB22</f>
        <v>5.7558999999999999E-2</v>
      </c>
      <c r="Z31" s="218">
        <f>'AEO 2023 Table 58 Raw'!AC22</f>
        <v>5.6937000000000001E-2</v>
      </c>
      <c r="AA31" s="218">
        <f>'AEO 2023 Table 58 Raw'!AD22</f>
        <v>6.5226000000000006E-2</v>
      </c>
      <c r="AB31" s="218">
        <f>'AEO 2023 Table 58 Raw'!AE22</f>
        <v>6.9947999999999996E-2</v>
      </c>
      <c r="AC31" s="218">
        <f>'AEO 2023 Table 58 Raw'!AF22</f>
        <v>6.9535E-2</v>
      </c>
      <c r="AD31" s="218">
        <f>'AEO 2023 Table 58 Raw'!AG22</f>
        <v>7.2605000000000003E-2</v>
      </c>
      <c r="AE31" s="218">
        <f>'AEO 2023 Table 58 Raw'!AH22</f>
        <v>7.1707000000000007E-2</v>
      </c>
      <c r="AF31" s="256">
        <f>'AEO 2023 Table 58 Raw'!AI22</f>
        <v>7.2537000000000004E-2</v>
      </c>
    </row>
    <row r="32" spans="1:32" ht="12" customHeight="1" x14ac:dyDescent="0.25">
      <c r="A32" s="213" t="s">
        <v>700</v>
      </c>
      <c r="B32" s="212" t="s">
        <v>699</v>
      </c>
      <c r="C32" s="218">
        <f>'AEO 2023 Table 58 Raw'!F23</f>
        <v>1.674574</v>
      </c>
      <c r="D32" s="218">
        <f>'AEO 2023 Table 58 Raw'!G23</f>
        <v>1.7342919999999999</v>
      </c>
      <c r="E32" s="218">
        <f>'AEO 2023 Table 58 Raw'!H23</f>
        <v>1.826427</v>
      </c>
      <c r="F32" s="218">
        <f>'AEO 2023 Table 58 Raw'!I23</f>
        <v>1.9158809999999999</v>
      </c>
      <c r="G32" s="218">
        <f>'AEO 2023 Table 58 Raw'!J23</f>
        <v>2.0043850000000001</v>
      </c>
      <c r="H32" s="218">
        <f>'AEO 2023 Table 58 Raw'!K23</f>
        <v>2.0688049999999998</v>
      </c>
      <c r="I32" s="218">
        <f>'AEO 2023 Table 58 Raw'!L23</f>
        <v>2.0668839999999999</v>
      </c>
      <c r="J32" s="218">
        <f>'AEO 2023 Table 58 Raw'!M23</f>
        <v>2.0566239999999998</v>
      </c>
      <c r="K32" s="218">
        <f>'AEO 2023 Table 58 Raw'!N23</f>
        <v>1.971678</v>
      </c>
      <c r="L32" s="218">
        <f>'AEO 2023 Table 58 Raw'!O23</f>
        <v>1.8993869999999999</v>
      </c>
      <c r="M32" s="218">
        <f>'AEO 2023 Table 58 Raw'!P23</f>
        <v>1.834762</v>
      </c>
      <c r="N32" s="218">
        <f>'AEO 2023 Table 58 Raw'!Q23</f>
        <v>1.787026</v>
      </c>
      <c r="O32" s="218">
        <f>'AEO 2023 Table 58 Raw'!R23</f>
        <v>1.7653890000000001</v>
      </c>
      <c r="P32" s="218">
        <f>'AEO 2023 Table 58 Raw'!S23</f>
        <v>1.75162</v>
      </c>
      <c r="Q32" s="218">
        <f>'AEO 2023 Table 58 Raw'!T23</f>
        <v>1.654201</v>
      </c>
      <c r="R32" s="218">
        <f>'AEO 2023 Table 58 Raw'!U23</f>
        <v>1.5782910000000001</v>
      </c>
      <c r="S32" s="218">
        <f>'AEO 2023 Table 58 Raw'!V23</f>
        <v>1.4722040000000001</v>
      </c>
      <c r="T32" s="218">
        <f>'AEO 2023 Table 58 Raw'!W23</f>
        <v>1.344937</v>
      </c>
      <c r="U32" s="218">
        <f>'AEO 2023 Table 58 Raw'!X23</f>
        <v>1.2703930000000001</v>
      </c>
      <c r="V32" s="218">
        <f>'AEO 2023 Table 58 Raw'!Y23</f>
        <v>1.1009439999999999</v>
      </c>
      <c r="W32" s="218">
        <f>'AEO 2023 Table 58 Raw'!Z23</f>
        <v>1.0908690000000001</v>
      </c>
      <c r="X32" s="218">
        <f>'AEO 2023 Table 58 Raw'!AA23</f>
        <v>1.1743889999999999</v>
      </c>
      <c r="Y32" s="218">
        <f>'AEO 2023 Table 58 Raw'!AB23</f>
        <v>1.1982740000000001</v>
      </c>
      <c r="Z32" s="218">
        <f>'AEO 2023 Table 58 Raw'!AC23</f>
        <v>1.118309</v>
      </c>
      <c r="AA32" s="218">
        <f>'AEO 2023 Table 58 Raw'!AD23</f>
        <v>1.0513589999999999</v>
      </c>
      <c r="AB32" s="218">
        <f>'AEO 2023 Table 58 Raw'!AE23</f>
        <v>0.91170799999999996</v>
      </c>
      <c r="AC32" s="218">
        <f>'AEO 2023 Table 58 Raw'!AF23</f>
        <v>0.84109</v>
      </c>
      <c r="AD32" s="218">
        <f>'AEO 2023 Table 58 Raw'!AG23</f>
        <v>0.93834700000000004</v>
      </c>
      <c r="AE32" s="218">
        <f>'AEO 2023 Table 58 Raw'!AH23</f>
        <v>0.98650000000000004</v>
      </c>
      <c r="AF32" s="256">
        <f>'AEO 2023 Table 58 Raw'!AI23</f>
        <v>-1.9E-2</v>
      </c>
    </row>
    <row r="33" spans="1:32" ht="12" customHeight="1" x14ac:dyDescent="0.25">
      <c r="A33" s="213" t="s">
        <v>698</v>
      </c>
      <c r="B33" s="212" t="s">
        <v>668</v>
      </c>
      <c r="C33" s="218">
        <f>'AEO 2023 Table 58 Raw'!F24</f>
        <v>3.4000000000000002E-2</v>
      </c>
      <c r="D33" s="218">
        <f>'AEO 2023 Table 58 Raw'!G24</f>
        <v>3.3680000000000002E-2</v>
      </c>
      <c r="E33" s="218">
        <f>'AEO 2023 Table 58 Raw'!H24</f>
        <v>2.1335E-2</v>
      </c>
      <c r="F33" s="218">
        <f>'AEO 2023 Table 58 Raw'!I24</f>
        <v>1.9429999999999999E-2</v>
      </c>
      <c r="G33" s="218">
        <f>'AEO 2023 Table 58 Raw'!J24</f>
        <v>1.7852E-2</v>
      </c>
      <c r="H33" s="218">
        <f>'AEO 2023 Table 58 Raw'!K24</f>
        <v>1.6522999999999999E-2</v>
      </c>
      <c r="I33" s="218">
        <f>'AEO 2023 Table 58 Raw'!L24</f>
        <v>0.13450799999999999</v>
      </c>
      <c r="J33" s="218">
        <f>'AEO 2023 Table 58 Raw'!M24</f>
        <v>0.15451799999999999</v>
      </c>
      <c r="K33" s="218">
        <f>'AEO 2023 Table 58 Raw'!N24</f>
        <v>0.18646399999999999</v>
      </c>
      <c r="L33" s="218">
        <f>'AEO 2023 Table 58 Raw'!O24</f>
        <v>0.19689599999999999</v>
      </c>
      <c r="M33" s="218">
        <f>'AEO 2023 Table 58 Raw'!P24</f>
        <v>0.20000999999999999</v>
      </c>
      <c r="N33" s="218">
        <f>'AEO 2023 Table 58 Raw'!Q24</f>
        <v>0.203177</v>
      </c>
      <c r="O33" s="218">
        <f>'AEO 2023 Table 58 Raw'!R24</f>
        <v>0.207395</v>
      </c>
      <c r="P33" s="218">
        <f>'AEO 2023 Table 58 Raw'!S24</f>
        <v>0.202732</v>
      </c>
      <c r="Q33" s="218">
        <f>'AEO 2023 Table 58 Raw'!T24</f>
        <v>0.20347199999999999</v>
      </c>
      <c r="R33" s="218">
        <f>'AEO 2023 Table 58 Raw'!U24</f>
        <v>0.19488800000000001</v>
      </c>
      <c r="S33" s="218">
        <f>'AEO 2023 Table 58 Raw'!V24</f>
        <v>0.17736499999999999</v>
      </c>
      <c r="T33" s="218">
        <f>'AEO 2023 Table 58 Raw'!W24</f>
        <v>0.190805</v>
      </c>
      <c r="U33" s="218">
        <f>'AEO 2023 Table 58 Raw'!X24</f>
        <v>0.186914</v>
      </c>
      <c r="V33" s="218">
        <f>'AEO 2023 Table 58 Raw'!Y24</f>
        <v>0.19914000000000001</v>
      </c>
      <c r="W33" s="218">
        <f>'AEO 2023 Table 58 Raw'!Z24</f>
        <v>0.197403</v>
      </c>
      <c r="X33" s="218">
        <f>'AEO 2023 Table 58 Raw'!AA24</f>
        <v>0.18884400000000001</v>
      </c>
      <c r="Y33" s="218">
        <f>'AEO 2023 Table 58 Raw'!AB24</f>
        <v>0.197626</v>
      </c>
      <c r="Z33" s="218">
        <f>'AEO 2023 Table 58 Raw'!AC24</f>
        <v>0.21738299999999999</v>
      </c>
      <c r="AA33" s="218">
        <f>'AEO 2023 Table 58 Raw'!AD24</f>
        <v>0.210953</v>
      </c>
      <c r="AB33" s="218">
        <f>'AEO 2023 Table 58 Raw'!AE24</f>
        <v>0.19709199999999999</v>
      </c>
      <c r="AC33" s="218">
        <f>'AEO 2023 Table 58 Raw'!AF24</f>
        <v>0.29096100000000003</v>
      </c>
      <c r="AD33" s="218">
        <f>'AEO 2023 Table 58 Raw'!AG24</f>
        <v>0.29667399999999999</v>
      </c>
      <c r="AE33" s="218">
        <f>'AEO 2023 Table 58 Raw'!AH24</f>
        <v>0.27484500000000001</v>
      </c>
      <c r="AF33" s="256">
        <f>'AEO 2023 Table 58 Raw'!AI24</f>
        <v>7.6999999999999999E-2</v>
      </c>
    </row>
    <row r="34" spans="1:32" ht="12" customHeight="1" x14ac:dyDescent="0.25">
      <c r="A34" s="213" t="s">
        <v>697</v>
      </c>
      <c r="B34" s="212" t="s">
        <v>693</v>
      </c>
      <c r="C34" s="218">
        <f>'AEO 2023 Table 58 Raw'!F25</f>
        <v>2.2984999999999998E-2</v>
      </c>
      <c r="D34" s="218">
        <f>'AEO 2023 Table 58 Raw'!G25</f>
        <v>2.0434000000000001E-2</v>
      </c>
      <c r="E34" s="218">
        <f>'AEO 2023 Table 58 Raw'!H25</f>
        <v>1.8411E-2</v>
      </c>
      <c r="F34" s="218">
        <f>'AEO 2023 Table 58 Raw'!I25</f>
        <v>1.6767000000000001E-2</v>
      </c>
      <c r="G34" s="218">
        <f>'AEO 2023 Table 58 Raw'!J25</f>
        <v>1.5405E-2</v>
      </c>
      <c r="H34" s="218">
        <f>'AEO 2023 Table 58 Raw'!K25</f>
        <v>1.4258E-2</v>
      </c>
      <c r="I34" s="218">
        <f>'AEO 2023 Table 58 Raw'!L25</f>
        <v>1.3278999999999999E-2</v>
      </c>
      <c r="J34" s="218">
        <f>'AEO 2023 Table 58 Raw'!M25</f>
        <v>1.2433E-2</v>
      </c>
      <c r="K34" s="218">
        <f>'AEO 2023 Table 58 Raw'!N25</f>
        <v>1.1696E-2</v>
      </c>
      <c r="L34" s="218">
        <f>'AEO 2023 Table 58 Raw'!O25</f>
        <v>1.1047E-2</v>
      </c>
      <c r="M34" s="218">
        <f>'AEO 2023 Table 58 Raw'!P25</f>
        <v>1.0470999999999999E-2</v>
      </c>
      <c r="N34" s="218">
        <f>'AEO 2023 Table 58 Raw'!Q25</f>
        <v>9.9570000000000006E-3</v>
      </c>
      <c r="O34" s="218">
        <f>'AEO 2023 Table 58 Raw'!R25</f>
        <v>9.495E-3</v>
      </c>
      <c r="P34" s="218">
        <f>'AEO 2023 Table 58 Raw'!S25</f>
        <v>9.0779999999999993E-3</v>
      </c>
      <c r="Q34" s="218">
        <f>'AEO 2023 Table 58 Raw'!T25</f>
        <v>8.6999999999999994E-3</v>
      </c>
      <c r="R34" s="218">
        <f>'AEO 2023 Table 58 Raw'!U25</f>
        <v>8.3549999999999996E-3</v>
      </c>
      <c r="S34" s="218">
        <f>'AEO 2023 Table 58 Raw'!V25</f>
        <v>8.0389999999999993E-3</v>
      </c>
      <c r="T34" s="218">
        <f>'AEO 2023 Table 58 Raw'!W25</f>
        <v>7.7479999999999997E-3</v>
      </c>
      <c r="U34" s="218">
        <f>'AEO 2023 Table 58 Raw'!X25</f>
        <v>7.4809999999999998E-3</v>
      </c>
      <c r="V34" s="218">
        <f>'AEO 2023 Table 58 Raw'!Y25</f>
        <v>7.2329999999999998E-3</v>
      </c>
      <c r="W34" s="218">
        <f>'AEO 2023 Table 58 Raw'!Z25</f>
        <v>7.0029999999999997E-3</v>
      </c>
      <c r="X34" s="218">
        <f>'AEO 2023 Table 58 Raw'!AA25</f>
        <v>6.7889999999999999E-3</v>
      </c>
      <c r="Y34" s="218">
        <f>'AEO 2023 Table 58 Raw'!AB25</f>
        <v>6.5900000000000004E-3</v>
      </c>
      <c r="Z34" s="218">
        <f>'AEO 2023 Table 58 Raw'!AC25</f>
        <v>6.404E-3</v>
      </c>
      <c r="AA34" s="218">
        <f>'AEO 2023 Table 58 Raw'!AD25</f>
        <v>6.2290000000000002E-3</v>
      </c>
      <c r="AB34" s="218">
        <f>'AEO 2023 Table 58 Raw'!AE25</f>
        <v>6.0650000000000001E-3</v>
      </c>
      <c r="AC34" s="218">
        <f>'AEO 2023 Table 58 Raw'!AF25</f>
        <v>5.9109999999999996E-3</v>
      </c>
      <c r="AD34" s="218">
        <f>'AEO 2023 Table 58 Raw'!AG25</f>
        <v>5.7660000000000003E-3</v>
      </c>
      <c r="AE34" s="218">
        <f>'AEO 2023 Table 58 Raw'!AH25</f>
        <v>5.6290000000000003E-3</v>
      </c>
      <c r="AF34" s="256">
        <f>'AEO 2023 Table 58 Raw'!AI25</f>
        <v>-4.9000000000000002E-2</v>
      </c>
    </row>
    <row r="35" spans="1:32" ht="12" customHeight="1" x14ac:dyDescent="0.25">
      <c r="A35" s="213" t="s">
        <v>696</v>
      </c>
      <c r="B35" s="212" t="s">
        <v>691</v>
      </c>
      <c r="C35" s="218">
        <f>'AEO 2023 Table 58 Raw'!F26</f>
        <v>1.1015E-2</v>
      </c>
      <c r="D35" s="218">
        <f>'AEO 2023 Table 58 Raw'!G26</f>
        <v>1.3245E-2</v>
      </c>
      <c r="E35" s="218">
        <f>'AEO 2023 Table 58 Raw'!H26</f>
        <v>2.9239999999999999E-3</v>
      </c>
      <c r="F35" s="218">
        <f>'AEO 2023 Table 58 Raw'!I26</f>
        <v>2.663E-3</v>
      </c>
      <c r="G35" s="218">
        <f>'AEO 2023 Table 58 Raw'!J26</f>
        <v>2.447E-3</v>
      </c>
      <c r="H35" s="218">
        <f>'AEO 2023 Table 58 Raw'!K26</f>
        <v>2.264E-3</v>
      </c>
      <c r="I35" s="218">
        <f>'AEO 2023 Table 58 Raw'!L26</f>
        <v>0.121229</v>
      </c>
      <c r="J35" s="218">
        <f>'AEO 2023 Table 58 Raw'!M26</f>
        <v>0.14208399999999999</v>
      </c>
      <c r="K35" s="218">
        <f>'AEO 2023 Table 58 Raw'!N26</f>
        <v>0.17476800000000001</v>
      </c>
      <c r="L35" s="218">
        <f>'AEO 2023 Table 58 Raw'!O26</f>
        <v>0.18584899999999999</v>
      </c>
      <c r="M35" s="218">
        <f>'AEO 2023 Table 58 Raw'!P26</f>
        <v>0.18953900000000001</v>
      </c>
      <c r="N35" s="218">
        <f>'AEO 2023 Table 58 Raw'!Q26</f>
        <v>0.19322</v>
      </c>
      <c r="O35" s="218">
        <f>'AEO 2023 Table 58 Raw'!R26</f>
        <v>0.19789999999999999</v>
      </c>
      <c r="P35" s="218">
        <f>'AEO 2023 Table 58 Raw'!S26</f>
        <v>0.19365399999999999</v>
      </c>
      <c r="Q35" s="218">
        <f>'AEO 2023 Table 58 Raw'!T26</f>
        <v>0.194773</v>
      </c>
      <c r="R35" s="218">
        <f>'AEO 2023 Table 58 Raw'!U26</f>
        <v>0.18653400000000001</v>
      </c>
      <c r="S35" s="218">
        <f>'AEO 2023 Table 58 Raw'!V26</f>
        <v>0.16932700000000001</v>
      </c>
      <c r="T35" s="218">
        <f>'AEO 2023 Table 58 Raw'!W26</f>
        <v>0.183057</v>
      </c>
      <c r="U35" s="218">
        <f>'AEO 2023 Table 58 Raw'!X26</f>
        <v>0.17943400000000001</v>
      </c>
      <c r="V35" s="218">
        <f>'AEO 2023 Table 58 Raw'!Y26</f>
        <v>0.19190699999999999</v>
      </c>
      <c r="W35" s="218">
        <f>'AEO 2023 Table 58 Raw'!Z26</f>
        <v>0.19040000000000001</v>
      </c>
      <c r="X35" s="218">
        <f>'AEO 2023 Table 58 Raw'!AA26</f>
        <v>0.18205499999999999</v>
      </c>
      <c r="Y35" s="218">
        <f>'AEO 2023 Table 58 Raw'!AB26</f>
        <v>0.19103600000000001</v>
      </c>
      <c r="Z35" s="218">
        <f>'AEO 2023 Table 58 Raw'!AC26</f>
        <v>0.210979</v>
      </c>
      <c r="AA35" s="218">
        <f>'AEO 2023 Table 58 Raw'!AD26</f>
        <v>0.20472299999999999</v>
      </c>
      <c r="AB35" s="218">
        <f>'AEO 2023 Table 58 Raw'!AE26</f>
        <v>0.191027</v>
      </c>
      <c r="AC35" s="218">
        <f>'AEO 2023 Table 58 Raw'!AF26</f>
        <v>0.285049</v>
      </c>
      <c r="AD35" s="218">
        <f>'AEO 2023 Table 58 Raw'!AG26</f>
        <v>0.290908</v>
      </c>
      <c r="AE35" s="218">
        <f>'AEO 2023 Table 58 Raw'!AH26</f>
        <v>0.26921600000000001</v>
      </c>
      <c r="AF35" s="256">
        <f>'AEO 2023 Table 58 Raw'!AI26</f>
        <v>0.121</v>
      </c>
    </row>
    <row r="36" spans="1:32" ht="12" customHeight="1" x14ac:dyDescent="0.25">
      <c r="A36" s="213" t="s">
        <v>695</v>
      </c>
      <c r="B36" s="212" t="s">
        <v>666</v>
      </c>
      <c r="C36" s="218">
        <f>'AEO 2023 Table 58 Raw'!F27</f>
        <v>0</v>
      </c>
      <c r="D36" s="218">
        <f>'AEO 2023 Table 58 Raw'!G27</f>
        <v>0</v>
      </c>
      <c r="E36" s="218">
        <f>'AEO 2023 Table 58 Raw'!H27</f>
        <v>0</v>
      </c>
      <c r="F36" s="218">
        <f>'AEO 2023 Table 58 Raw'!I27</f>
        <v>0</v>
      </c>
      <c r="G36" s="218">
        <f>'AEO 2023 Table 58 Raw'!J27</f>
        <v>0</v>
      </c>
      <c r="H36" s="218">
        <f>'AEO 2023 Table 58 Raw'!K27</f>
        <v>0</v>
      </c>
      <c r="I36" s="218">
        <f>'AEO 2023 Table 58 Raw'!L27</f>
        <v>0</v>
      </c>
      <c r="J36" s="218">
        <f>'AEO 2023 Table 58 Raw'!M27</f>
        <v>0</v>
      </c>
      <c r="K36" s="218">
        <f>'AEO 2023 Table 58 Raw'!N27</f>
        <v>0</v>
      </c>
      <c r="L36" s="218">
        <f>'AEO 2023 Table 58 Raw'!O27</f>
        <v>0</v>
      </c>
      <c r="M36" s="218">
        <f>'AEO 2023 Table 58 Raw'!P27</f>
        <v>0</v>
      </c>
      <c r="N36" s="218">
        <f>'AEO 2023 Table 58 Raw'!Q27</f>
        <v>0</v>
      </c>
      <c r="O36" s="218">
        <f>'AEO 2023 Table 58 Raw'!R27</f>
        <v>0</v>
      </c>
      <c r="P36" s="218">
        <f>'AEO 2023 Table 58 Raw'!S27</f>
        <v>0</v>
      </c>
      <c r="Q36" s="218">
        <f>'AEO 2023 Table 58 Raw'!T27</f>
        <v>0</v>
      </c>
      <c r="R36" s="218">
        <f>'AEO 2023 Table 58 Raw'!U27</f>
        <v>0</v>
      </c>
      <c r="S36" s="218">
        <f>'AEO 2023 Table 58 Raw'!V27</f>
        <v>0</v>
      </c>
      <c r="T36" s="218">
        <f>'AEO 2023 Table 58 Raw'!W27</f>
        <v>0</v>
      </c>
      <c r="U36" s="218">
        <f>'AEO 2023 Table 58 Raw'!X27</f>
        <v>0</v>
      </c>
      <c r="V36" s="218">
        <f>'AEO 2023 Table 58 Raw'!Y27</f>
        <v>0</v>
      </c>
      <c r="W36" s="218">
        <f>'AEO 2023 Table 58 Raw'!Z27</f>
        <v>0</v>
      </c>
      <c r="X36" s="218">
        <f>'AEO 2023 Table 58 Raw'!AA27</f>
        <v>0</v>
      </c>
      <c r="Y36" s="218">
        <f>'AEO 2023 Table 58 Raw'!AB27</f>
        <v>0</v>
      </c>
      <c r="Z36" s="218">
        <f>'AEO 2023 Table 58 Raw'!AC27</f>
        <v>0</v>
      </c>
      <c r="AA36" s="218">
        <f>'AEO 2023 Table 58 Raw'!AD27</f>
        <v>0</v>
      </c>
      <c r="AB36" s="218">
        <f>'AEO 2023 Table 58 Raw'!AE27</f>
        <v>0</v>
      </c>
      <c r="AC36" s="218">
        <f>'AEO 2023 Table 58 Raw'!AF27</f>
        <v>0</v>
      </c>
      <c r="AD36" s="218">
        <f>'AEO 2023 Table 58 Raw'!AG27</f>
        <v>0</v>
      </c>
      <c r="AE36" s="218">
        <f>'AEO 2023 Table 58 Raw'!AH27</f>
        <v>0</v>
      </c>
      <c r="AF36" s="256" t="str">
        <f>'AEO 2023 Table 58 Raw'!AI27</f>
        <v>- -</v>
      </c>
    </row>
    <row r="37" spans="1:32" ht="12" customHeight="1" x14ac:dyDescent="0.25">
      <c r="A37" s="213" t="s">
        <v>694</v>
      </c>
      <c r="B37" s="212" t="s">
        <v>693</v>
      </c>
      <c r="C37" s="218">
        <f>'AEO 2023 Table 58 Raw'!F28</f>
        <v>0</v>
      </c>
      <c r="D37" s="218">
        <f>'AEO 2023 Table 58 Raw'!G28</f>
        <v>0</v>
      </c>
      <c r="E37" s="218">
        <f>'AEO 2023 Table 58 Raw'!H28</f>
        <v>0</v>
      </c>
      <c r="F37" s="218">
        <f>'AEO 2023 Table 58 Raw'!I28</f>
        <v>0</v>
      </c>
      <c r="G37" s="218">
        <f>'AEO 2023 Table 58 Raw'!J28</f>
        <v>0</v>
      </c>
      <c r="H37" s="218">
        <f>'AEO 2023 Table 58 Raw'!K28</f>
        <v>0</v>
      </c>
      <c r="I37" s="218">
        <f>'AEO 2023 Table 58 Raw'!L28</f>
        <v>0</v>
      </c>
      <c r="J37" s="218">
        <f>'AEO 2023 Table 58 Raw'!M28</f>
        <v>0</v>
      </c>
      <c r="K37" s="218">
        <f>'AEO 2023 Table 58 Raw'!N28</f>
        <v>0</v>
      </c>
      <c r="L37" s="218">
        <f>'AEO 2023 Table 58 Raw'!O28</f>
        <v>0</v>
      </c>
      <c r="M37" s="218">
        <f>'AEO 2023 Table 58 Raw'!P28</f>
        <v>0</v>
      </c>
      <c r="N37" s="218">
        <f>'AEO 2023 Table 58 Raw'!Q28</f>
        <v>0</v>
      </c>
      <c r="O37" s="218">
        <f>'AEO 2023 Table 58 Raw'!R28</f>
        <v>0</v>
      </c>
      <c r="P37" s="218">
        <f>'AEO 2023 Table 58 Raw'!S28</f>
        <v>0</v>
      </c>
      <c r="Q37" s="218">
        <f>'AEO 2023 Table 58 Raw'!T28</f>
        <v>0</v>
      </c>
      <c r="R37" s="218">
        <f>'AEO 2023 Table 58 Raw'!U28</f>
        <v>0</v>
      </c>
      <c r="S37" s="218">
        <f>'AEO 2023 Table 58 Raw'!V28</f>
        <v>0</v>
      </c>
      <c r="T37" s="218">
        <f>'AEO 2023 Table 58 Raw'!W28</f>
        <v>0</v>
      </c>
      <c r="U37" s="218">
        <f>'AEO 2023 Table 58 Raw'!X28</f>
        <v>0</v>
      </c>
      <c r="V37" s="218">
        <f>'AEO 2023 Table 58 Raw'!Y28</f>
        <v>0</v>
      </c>
      <c r="W37" s="218">
        <f>'AEO 2023 Table 58 Raw'!Z28</f>
        <v>0</v>
      </c>
      <c r="X37" s="218">
        <f>'AEO 2023 Table 58 Raw'!AA28</f>
        <v>0</v>
      </c>
      <c r="Y37" s="218">
        <f>'AEO 2023 Table 58 Raw'!AB28</f>
        <v>0</v>
      </c>
      <c r="Z37" s="218">
        <f>'AEO 2023 Table 58 Raw'!AC28</f>
        <v>0</v>
      </c>
      <c r="AA37" s="218">
        <f>'AEO 2023 Table 58 Raw'!AD28</f>
        <v>0</v>
      </c>
      <c r="AB37" s="218">
        <f>'AEO 2023 Table 58 Raw'!AE28</f>
        <v>0</v>
      </c>
      <c r="AC37" s="218">
        <f>'AEO 2023 Table 58 Raw'!AF28</f>
        <v>0</v>
      </c>
      <c r="AD37" s="218">
        <f>'AEO 2023 Table 58 Raw'!AG28</f>
        <v>0</v>
      </c>
      <c r="AE37" s="218">
        <f>'AEO 2023 Table 58 Raw'!AH28</f>
        <v>0</v>
      </c>
      <c r="AF37" s="256" t="str">
        <f>'AEO 2023 Table 58 Raw'!AI28</f>
        <v>- -</v>
      </c>
    </row>
    <row r="38" spans="1:32" ht="12" customHeight="1" x14ac:dyDescent="0.25">
      <c r="A38" s="213" t="s">
        <v>692</v>
      </c>
      <c r="B38" s="212" t="s">
        <v>691</v>
      </c>
      <c r="C38" s="218">
        <f>'AEO 2023 Table 58 Raw'!F29</f>
        <v>0</v>
      </c>
      <c r="D38" s="218">
        <f>'AEO 2023 Table 58 Raw'!G29</f>
        <v>0</v>
      </c>
      <c r="E38" s="218">
        <f>'AEO 2023 Table 58 Raw'!H29</f>
        <v>0</v>
      </c>
      <c r="F38" s="218">
        <f>'AEO 2023 Table 58 Raw'!I29</f>
        <v>0</v>
      </c>
      <c r="G38" s="218">
        <f>'AEO 2023 Table 58 Raw'!J29</f>
        <v>0</v>
      </c>
      <c r="H38" s="218">
        <f>'AEO 2023 Table 58 Raw'!K29</f>
        <v>0</v>
      </c>
      <c r="I38" s="218">
        <f>'AEO 2023 Table 58 Raw'!L29</f>
        <v>0</v>
      </c>
      <c r="J38" s="218">
        <f>'AEO 2023 Table 58 Raw'!M29</f>
        <v>0</v>
      </c>
      <c r="K38" s="218">
        <f>'AEO 2023 Table 58 Raw'!N29</f>
        <v>0</v>
      </c>
      <c r="L38" s="218">
        <f>'AEO 2023 Table 58 Raw'!O29</f>
        <v>0</v>
      </c>
      <c r="M38" s="218">
        <f>'AEO 2023 Table 58 Raw'!P29</f>
        <v>0</v>
      </c>
      <c r="N38" s="218">
        <f>'AEO 2023 Table 58 Raw'!Q29</f>
        <v>0</v>
      </c>
      <c r="O38" s="218">
        <f>'AEO 2023 Table 58 Raw'!R29</f>
        <v>0</v>
      </c>
      <c r="P38" s="218">
        <f>'AEO 2023 Table 58 Raw'!S29</f>
        <v>0</v>
      </c>
      <c r="Q38" s="218">
        <f>'AEO 2023 Table 58 Raw'!T29</f>
        <v>0</v>
      </c>
      <c r="R38" s="218">
        <f>'AEO 2023 Table 58 Raw'!U29</f>
        <v>0</v>
      </c>
      <c r="S38" s="218">
        <f>'AEO 2023 Table 58 Raw'!V29</f>
        <v>0</v>
      </c>
      <c r="T38" s="218">
        <f>'AEO 2023 Table 58 Raw'!W29</f>
        <v>0</v>
      </c>
      <c r="U38" s="218">
        <f>'AEO 2023 Table 58 Raw'!X29</f>
        <v>0</v>
      </c>
      <c r="V38" s="218">
        <f>'AEO 2023 Table 58 Raw'!Y29</f>
        <v>0</v>
      </c>
      <c r="W38" s="218">
        <f>'AEO 2023 Table 58 Raw'!Z29</f>
        <v>0</v>
      </c>
      <c r="X38" s="218">
        <f>'AEO 2023 Table 58 Raw'!AA29</f>
        <v>0</v>
      </c>
      <c r="Y38" s="218">
        <f>'AEO 2023 Table 58 Raw'!AB29</f>
        <v>0</v>
      </c>
      <c r="Z38" s="218">
        <f>'AEO 2023 Table 58 Raw'!AC29</f>
        <v>0</v>
      </c>
      <c r="AA38" s="218">
        <f>'AEO 2023 Table 58 Raw'!AD29</f>
        <v>0</v>
      </c>
      <c r="AB38" s="218">
        <f>'AEO 2023 Table 58 Raw'!AE29</f>
        <v>0</v>
      </c>
      <c r="AC38" s="218">
        <f>'AEO 2023 Table 58 Raw'!AF29</f>
        <v>0</v>
      </c>
      <c r="AD38" s="218">
        <f>'AEO 2023 Table 58 Raw'!AG29</f>
        <v>0</v>
      </c>
      <c r="AE38" s="218">
        <f>'AEO 2023 Table 58 Raw'!AH29</f>
        <v>0</v>
      </c>
      <c r="AF38" s="256" t="str">
        <f>'AEO 2023 Table 58 Raw'!AI29</f>
        <v>- -</v>
      </c>
    </row>
    <row r="39" spans="1:32" ht="12" customHeight="1" x14ac:dyDescent="0.2">
      <c r="C39" s="218"/>
      <c r="D39" s="218"/>
      <c r="E39" s="218"/>
      <c r="F39" s="218"/>
      <c r="G39" s="218"/>
      <c r="H39" s="218"/>
      <c r="I39" s="218"/>
      <c r="J39" s="218"/>
      <c r="K39" s="218"/>
      <c r="L39" s="218"/>
      <c r="M39" s="218"/>
      <c r="N39" s="218"/>
      <c r="O39" s="218"/>
      <c r="P39" s="218"/>
      <c r="Q39" s="218"/>
      <c r="R39" s="218"/>
      <c r="S39" s="218"/>
      <c r="T39" s="218"/>
      <c r="U39" s="218"/>
      <c r="V39" s="218"/>
      <c r="W39" s="218"/>
      <c r="X39" s="218"/>
      <c r="Y39" s="218"/>
      <c r="Z39" s="218"/>
      <c r="AA39" s="218"/>
      <c r="AB39" s="218"/>
      <c r="AC39" s="218"/>
      <c r="AD39" s="218"/>
      <c r="AE39" s="218"/>
      <c r="AF39" s="256"/>
    </row>
    <row r="40" spans="1:32" ht="12" customHeight="1" x14ac:dyDescent="0.2">
      <c r="C40" s="218"/>
      <c r="D40" s="218"/>
      <c r="E40" s="218"/>
      <c r="F40" s="218"/>
      <c r="G40" s="218"/>
      <c r="H40" s="218"/>
      <c r="I40" s="218"/>
      <c r="J40" s="218"/>
      <c r="K40" s="218"/>
      <c r="L40" s="218"/>
      <c r="M40" s="218"/>
      <c r="N40" s="218"/>
      <c r="O40" s="218"/>
      <c r="P40" s="218"/>
      <c r="Q40" s="218"/>
      <c r="R40" s="218"/>
      <c r="S40" s="218"/>
      <c r="T40" s="218"/>
      <c r="U40" s="218"/>
      <c r="V40" s="218"/>
      <c r="W40" s="218"/>
      <c r="X40" s="218"/>
      <c r="Y40" s="218"/>
      <c r="Z40" s="218"/>
      <c r="AA40" s="218"/>
      <c r="AB40" s="218"/>
      <c r="AC40" s="218"/>
      <c r="AD40" s="218"/>
      <c r="AE40" s="218"/>
      <c r="AF40" s="256"/>
    </row>
    <row r="41" spans="1:32" ht="12" customHeight="1" x14ac:dyDescent="0.2">
      <c r="B41" s="216" t="s">
        <v>690</v>
      </c>
      <c r="C41" s="218"/>
      <c r="D41" s="218"/>
      <c r="E41" s="218"/>
      <c r="F41" s="218"/>
      <c r="G41" s="218"/>
      <c r="H41" s="218"/>
      <c r="I41" s="218"/>
      <c r="J41" s="218"/>
      <c r="K41" s="218"/>
      <c r="L41" s="218"/>
      <c r="M41" s="218"/>
      <c r="N41" s="218"/>
      <c r="O41" s="218"/>
      <c r="P41" s="218"/>
      <c r="Q41" s="218"/>
      <c r="R41" s="218"/>
      <c r="S41" s="218"/>
      <c r="T41" s="218"/>
      <c r="U41" s="218"/>
      <c r="V41" s="218"/>
      <c r="W41" s="218"/>
      <c r="X41" s="218"/>
      <c r="Y41" s="218"/>
      <c r="Z41" s="218"/>
      <c r="AA41" s="218"/>
      <c r="AB41" s="218"/>
      <c r="AC41" s="218"/>
      <c r="AD41" s="218"/>
      <c r="AE41" s="218"/>
      <c r="AF41" s="256"/>
    </row>
    <row r="42" spans="1:32" ht="12" customHeight="1" x14ac:dyDescent="0.2">
      <c r="C42" s="218"/>
      <c r="D42" s="218"/>
      <c r="E42" s="218"/>
      <c r="F42" s="218"/>
      <c r="G42" s="218"/>
      <c r="H42" s="218"/>
      <c r="I42" s="218"/>
      <c r="J42" s="218"/>
      <c r="K42" s="218"/>
      <c r="L42" s="218"/>
      <c r="M42" s="218"/>
      <c r="N42" s="218"/>
      <c r="O42" s="218"/>
      <c r="P42" s="218"/>
      <c r="Q42" s="218"/>
      <c r="R42" s="218"/>
      <c r="S42" s="218"/>
      <c r="T42" s="218"/>
      <c r="U42" s="218"/>
      <c r="V42" s="218"/>
      <c r="W42" s="218"/>
      <c r="X42" s="218"/>
      <c r="Y42" s="218"/>
      <c r="Z42" s="218"/>
      <c r="AA42" s="218"/>
      <c r="AB42" s="218"/>
      <c r="AC42" s="218"/>
      <c r="AD42" s="218"/>
      <c r="AE42" s="218"/>
      <c r="AF42" s="256"/>
    </row>
    <row r="43" spans="1:32" ht="12" customHeight="1" x14ac:dyDescent="0.2">
      <c r="A43" s="213" t="s">
        <v>689</v>
      </c>
      <c r="B43" s="216" t="s">
        <v>688</v>
      </c>
      <c r="C43" s="218">
        <f>'AEO 2023 Table 58 Raw'!F31</f>
        <v>93.569550000000007</v>
      </c>
      <c r="D43" s="218">
        <f>'AEO 2023 Table 58 Raw'!G31</f>
        <v>90.688018999999997</v>
      </c>
      <c r="E43" s="218">
        <f>'AEO 2023 Table 58 Raw'!H31</f>
        <v>89.880752999999999</v>
      </c>
      <c r="F43" s="218">
        <f>'AEO 2023 Table 58 Raw'!I31</f>
        <v>84.382957000000005</v>
      </c>
      <c r="G43" s="218">
        <f>'AEO 2023 Table 58 Raw'!J31</f>
        <v>85.041725</v>
      </c>
      <c r="H43" s="218">
        <f>'AEO 2023 Table 58 Raw'!K31</f>
        <v>85.383301000000003</v>
      </c>
      <c r="I43" s="218">
        <f>'AEO 2023 Table 58 Raw'!L31</f>
        <v>86.061263999999994</v>
      </c>
      <c r="J43" s="218">
        <f>'AEO 2023 Table 58 Raw'!M31</f>
        <v>86.621978999999996</v>
      </c>
      <c r="K43" s="218">
        <f>'AEO 2023 Table 58 Raw'!N31</f>
        <v>87.183043999999995</v>
      </c>
      <c r="L43" s="218">
        <f>'AEO 2023 Table 58 Raw'!O31</f>
        <v>87.737740000000002</v>
      </c>
      <c r="M43" s="218">
        <f>'AEO 2023 Table 58 Raw'!P31</f>
        <v>88.503822</v>
      </c>
      <c r="N43" s="218">
        <f>'AEO 2023 Table 58 Raw'!Q31</f>
        <v>88.924880999999999</v>
      </c>
      <c r="O43" s="218">
        <f>'AEO 2023 Table 58 Raw'!R31</f>
        <v>89.668982999999997</v>
      </c>
      <c r="P43" s="218">
        <f>'AEO 2023 Table 58 Raw'!S31</f>
        <v>90.255950999999996</v>
      </c>
      <c r="Q43" s="218">
        <f>'AEO 2023 Table 58 Raw'!T31</f>
        <v>90.907584999999997</v>
      </c>
      <c r="R43" s="218">
        <f>'AEO 2023 Table 58 Raw'!U31</f>
        <v>91.408783</v>
      </c>
      <c r="S43" s="218">
        <f>'AEO 2023 Table 58 Raw'!V31</f>
        <v>91.902000000000001</v>
      </c>
      <c r="T43" s="218">
        <f>'AEO 2023 Table 58 Raw'!W31</f>
        <v>92.410072</v>
      </c>
      <c r="U43" s="218">
        <f>'AEO 2023 Table 58 Raw'!X31</f>
        <v>92.865814</v>
      </c>
      <c r="V43" s="218">
        <f>'AEO 2023 Table 58 Raw'!Y31</f>
        <v>93.327019000000007</v>
      </c>
      <c r="W43" s="218">
        <f>'AEO 2023 Table 58 Raw'!Z31</f>
        <v>93.728690999999998</v>
      </c>
      <c r="X43" s="218">
        <f>'AEO 2023 Table 58 Raw'!AA31</f>
        <v>94.147246999999993</v>
      </c>
      <c r="Y43" s="218">
        <f>'AEO 2023 Table 58 Raw'!AB31</f>
        <v>94.595359999999999</v>
      </c>
      <c r="Z43" s="218">
        <f>'AEO 2023 Table 58 Raw'!AC31</f>
        <v>94.925362000000007</v>
      </c>
      <c r="AA43" s="218">
        <f>'AEO 2023 Table 58 Raw'!AD31</f>
        <v>95.628647000000001</v>
      </c>
      <c r="AB43" s="218">
        <f>'AEO 2023 Table 58 Raw'!AE31</f>
        <v>95.99221</v>
      </c>
      <c r="AC43" s="218">
        <f>'AEO 2023 Table 58 Raw'!AF31</f>
        <v>96.606430000000003</v>
      </c>
      <c r="AD43" s="218">
        <f>'AEO 2023 Table 58 Raw'!AG31</f>
        <v>97.285224999999997</v>
      </c>
      <c r="AE43" s="218">
        <f>'AEO 2023 Table 58 Raw'!AH31</f>
        <v>97.564826999999994</v>
      </c>
      <c r="AF43" s="256">
        <f>'AEO 2023 Table 58 Raw'!AI31</f>
        <v>1E-3</v>
      </c>
    </row>
    <row r="44" spans="1:32" ht="12" customHeight="1" x14ac:dyDescent="0.2">
      <c r="C44" s="218"/>
      <c r="D44" s="218"/>
      <c r="E44" s="218"/>
      <c r="F44" s="218"/>
      <c r="G44" s="218"/>
      <c r="H44" s="218"/>
      <c r="I44" s="218"/>
      <c r="J44" s="218"/>
      <c r="K44" s="218"/>
      <c r="L44" s="218"/>
      <c r="M44" s="218"/>
      <c r="N44" s="218"/>
      <c r="O44" s="218"/>
      <c r="P44" s="218"/>
      <c r="Q44" s="218"/>
      <c r="R44" s="218"/>
      <c r="S44" s="218"/>
      <c r="T44" s="218"/>
      <c r="U44" s="218"/>
      <c r="V44" s="218"/>
      <c r="W44" s="218"/>
      <c r="X44" s="218"/>
      <c r="Y44" s="218"/>
      <c r="Z44" s="218"/>
      <c r="AA44" s="218"/>
      <c r="AB44" s="218"/>
      <c r="AC44" s="218"/>
      <c r="AD44" s="218"/>
      <c r="AE44" s="218"/>
      <c r="AF44" s="256"/>
    </row>
    <row r="45" spans="1:32" ht="12" customHeight="1" x14ac:dyDescent="0.2">
      <c r="B45" s="216" t="s">
        <v>687</v>
      </c>
      <c r="C45" s="218"/>
      <c r="D45" s="218"/>
      <c r="E45" s="218"/>
      <c r="F45" s="218"/>
      <c r="G45" s="218"/>
      <c r="H45" s="218"/>
      <c r="I45" s="218"/>
      <c r="J45" s="218"/>
      <c r="K45" s="218"/>
      <c r="L45" s="218"/>
      <c r="M45" s="218"/>
      <c r="N45" s="218"/>
      <c r="O45" s="218"/>
      <c r="P45" s="218"/>
      <c r="Q45" s="218"/>
      <c r="R45" s="218"/>
      <c r="S45" s="218"/>
      <c r="T45" s="218"/>
      <c r="U45" s="218"/>
      <c r="V45" s="218"/>
      <c r="W45" s="218"/>
      <c r="X45" s="218"/>
      <c r="Y45" s="218"/>
      <c r="Z45" s="218"/>
      <c r="AA45" s="218"/>
      <c r="AB45" s="218"/>
      <c r="AC45" s="218"/>
      <c r="AD45" s="218"/>
      <c r="AE45" s="218"/>
      <c r="AF45" s="256"/>
    </row>
    <row r="46" spans="1:32" ht="12" customHeight="1" x14ac:dyDescent="0.25">
      <c r="A46" s="213" t="s">
        <v>686</v>
      </c>
      <c r="B46" s="212" t="s">
        <v>685</v>
      </c>
      <c r="C46" s="218">
        <f>'AEO 2023 Table 58 Raw'!F33</f>
        <v>88.857887000000005</v>
      </c>
      <c r="D46" s="218">
        <f>'AEO 2023 Table 58 Raw'!G33</f>
        <v>99.212326000000004</v>
      </c>
      <c r="E46" s="218">
        <f>'AEO 2023 Table 58 Raw'!H33</f>
        <v>94.988663000000003</v>
      </c>
      <c r="F46" s="218">
        <f>'AEO 2023 Table 58 Raw'!I33</f>
        <v>89.303764000000001</v>
      </c>
      <c r="G46" s="218">
        <f>'AEO 2023 Table 58 Raw'!J33</f>
        <v>89.548919999999995</v>
      </c>
      <c r="H46" s="218">
        <f>'AEO 2023 Table 58 Raw'!K33</f>
        <v>89.768142999999995</v>
      </c>
      <c r="I46" s="218">
        <f>'AEO 2023 Table 58 Raw'!L33</f>
        <v>90.547218000000001</v>
      </c>
      <c r="J46" s="218">
        <f>'AEO 2023 Table 58 Raw'!M33</f>
        <v>91.051865000000006</v>
      </c>
      <c r="K46" s="218">
        <f>'AEO 2023 Table 58 Raw'!N33</f>
        <v>91.577278000000007</v>
      </c>
      <c r="L46" s="218">
        <f>'AEO 2023 Table 58 Raw'!O33</f>
        <v>92.153046000000003</v>
      </c>
      <c r="M46" s="218">
        <f>'AEO 2023 Table 58 Raw'!P33</f>
        <v>92.960587000000004</v>
      </c>
      <c r="N46" s="218">
        <f>'AEO 2023 Table 58 Raw'!Q33</f>
        <v>93.412353999999993</v>
      </c>
      <c r="O46" s="218">
        <f>'AEO 2023 Table 58 Raw'!R33</f>
        <v>94.127028999999993</v>
      </c>
      <c r="P46" s="218">
        <f>'AEO 2023 Table 58 Raw'!S33</f>
        <v>94.470359999999999</v>
      </c>
      <c r="Q46" s="218">
        <f>'AEO 2023 Table 58 Raw'!T33</f>
        <v>95.220528000000002</v>
      </c>
      <c r="R46" s="218">
        <f>'AEO 2023 Table 58 Raw'!U33</f>
        <v>95.801322999999996</v>
      </c>
      <c r="S46" s="218">
        <f>'AEO 2023 Table 58 Raw'!V33</f>
        <v>96.284996000000007</v>
      </c>
      <c r="T46" s="218">
        <f>'AEO 2023 Table 58 Raw'!W33</f>
        <v>96.854927000000004</v>
      </c>
      <c r="U46" s="218">
        <f>'AEO 2023 Table 58 Raw'!X33</f>
        <v>97.344397999999998</v>
      </c>
      <c r="V46" s="218">
        <f>'AEO 2023 Table 58 Raw'!Y33</f>
        <v>97.794792000000001</v>
      </c>
      <c r="W46" s="218">
        <f>'AEO 2023 Table 58 Raw'!Z33</f>
        <v>98.245575000000002</v>
      </c>
      <c r="X46" s="218">
        <f>'AEO 2023 Table 58 Raw'!AA33</f>
        <v>98.603347999999997</v>
      </c>
      <c r="Y46" s="218">
        <f>'AEO 2023 Table 58 Raw'!AB33</f>
        <v>99.192466999999994</v>
      </c>
      <c r="Z46" s="218">
        <f>'AEO 2023 Table 58 Raw'!AC33</f>
        <v>99.519240999999994</v>
      </c>
      <c r="AA46" s="218">
        <f>'AEO 2023 Table 58 Raw'!AD33</f>
        <v>100.305092</v>
      </c>
      <c r="AB46" s="218">
        <f>'AEO 2023 Table 58 Raw'!AE33</f>
        <v>100.732124</v>
      </c>
      <c r="AC46" s="218">
        <f>'AEO 2023 Table 58 Raw'!AF33</f>
        <v>101.418869</v>
      </c>
      <c r="AD46" s="218">
        <f>'AEO 2023 Table 58 Raw'!AG33</f>
        <v>102.114525</v>
      </c>
      <c r="AE46" s="218">
        <f>'AEO 2023 Table 58 Raw'!AH33</f>
        <v>102.35509500000001</v>
      </c>
      <c r="AF46" s="256">
        <f>'AEO 2023 Table 58 Raw'!AI33</f>
        <v>5.0000000000000001E-3</v>
      </c>
    </row>
    <row r="47" spans="1:32" ht="12" customHeight="1" x14ac:dyDescent="0.25">
      <c r="A47" s="213" t="s">
        <v>684</v>
      </c>
      <c r="B47" s="212" t="s">
        <v>683</v>
      </c>
      <c r="C47" s="218">
        <f>'AEO 2023 Table 58 Raw'!F34</f>
        <v>95.68544</v>
      </c>
      <c r="D47" s="218">
        <f>'AEO 2023 Table 58 Raw'!G34</f>
        <v>95.794312000000005</v>
      </c>
      <c r="E47" s="218">
        <f>'AEO 2023 Table 58 Raw'!H34</f>
        <v>95.883910999999998</v>
      </c>
      <c r="F47" s="218">
        <f>'AEO 2023 Table 58 Raw'!I34</f>
        <v>90.399497999999994</v>
      </c>
      <c r="G47" s="218">
        <f>'AEO 2023 Table 58 Raw'!J34</f>
        <v>91.131546</v>
      </c>
      <c r="H47" s="218">
        <f>'AEO 2023 Table 58 Raw'!K34</f>
        <v>91.528312999999997</v>
      </c>
      <c r="I47" s="218">
        <f>'AEO 2023 Table 58 Raw'!L34</f>
        <v>92.118324000000001</v>
      </c>
      <c r="J47" s="218">
        <f>'AEO 2023 Table 58 Raw'!M34</f>
        <v>92.703568000000004</v>
      </c>
      <c r="K47" s="218">
        <f>'AEO 2023 Table 58 Raw'!N34</f>
        <v>93.309517</v>
      </c>
      <c r="L47" s="218">
        <f>'AEO 2023 Table 58 Raw'!O34</f>
        <v>93.948668999999995</v>
      </c>
      <c r="M47" s="218">
        <f>'AEO 2023 Table 58 Raw'!P34</f>
        <v>94.753540000000001</v>
      </c>
      <c r="N47" s="218">
        <f>'AEO 2023 Table 58 Raw'!Q34</f>
        <v>95.190856999999994</v>
      </c>
      <c r="O47" s="218">
        <f>'AEO 2023 Table 58 Raw'!R34</f>
        <v>95.845398000000003</v>
      </c>
      <c r="P47" s="218">
        <f>'AEO 2023 Table 58 Raw'!S34</f>
        <v>96.49588</v>
      </c>
      <c r="Q47" s="218">
        <f>'AEO 2023 Table 58 Raw'!T34</f>
        <v>97.171149999999997</v>
      </c>
      <c r="R47" s="218">
        <f>'AEO 2023 Table 58 Raw'!U34</f>
        <v>97.714309999999998</v>
      </c>
      <c r="S47" s="218">
        <f>'AEO 2023 Table 58 Raw'!V34</f>
        <v>98.333259999999996</v>
      </c>
      <c r="T47" s="218">
        <f>'AEO 2023 Table 58 Raw'!W34</f>
        <v>98.926674000000006</v>
      </c>
      <c r="U47" s="218">
        <f>'AEO 2023 Table 58 Raw'!X34</f>
        <v>99.474213000000006</v>
      </c>
      <c r="V47" s="218">
        <f>'AEO 2023 Table 58 Raw'!Y34</f>
        <v>100.062691</v>
      </c>
      <c r="W47" s="218">
        <f>'AEO 2023 Table 58 Raw'!Z34</f>
        <v>100.453789</v>
      </c>
      <c r="X47" s="218">
        <f>'AEO 2023 Table 58 Raw'!AA34</f>
        <v>100.804619</v>
      </c>
      <c r="Y47" s="218">
        <f>'AEO 2023 Table 58 Raw'!AB34</f>
        <v>101.212402</v>
      </c>
      <c r="Z47" s="218">
        <f>'AEO 2023 Table 58 Raw'!AC34</f>
        <v>101.616806</v>
      </c>
      <c r="AA47" s="218">
        <f>'AEO 2023 Table 58 Raw'!AD34</f>
        <v>102.36889600000001</v>
      </c>
      <c r="AB47" s="218">
        <f>'AEO 2023 Table 58 Raw'!AE34</f>
        <v>102.921783</v>
      </c>
      <c r="AC47" s="218">
        <f>'AEO 2023 Table 58 Raw'!AF34</f>
        <v>103.49346199999999</v>
      </c>
      <c r="AD47" s="218">
        <f>'AEO 2023 Table 58 Raw'!AG34</f>
        <v>104.019524</v>
      </c>
      <c r="AE47" s="218">
        <f>'AEO 2023 Table 58 Raw'!AH34</f>
        <v>104.26900500000001</v>
      </c>
      <c r="AF47" s="256">
        <f>'AEO 2023 Table 58 Raw'!AI34</f>
        <v>3.0000000000000001E-3</v>
      </c>
    </row>
    <row r="48" spans="1:32" ht="12" customHeight="1" x14ac:dyDescent="0.25">
      <c r="A48" s="213" t="s">
        <v>682</v>
      </c>
      <c r="B48" s="212" t="s">
        <v>681</v>
      </c>
      <c r="C48" s="218">
        <f>'AEO 2023 Table 58 Raw'!F35</f>
        <v>98.130981000000006</v>
      </c>
      <c r="D48" s="218">
        <f>'AEO 2023 Table 58 Raw'!G35</f>
        <v>94.383713</v>
      </c>
      <c r="E48" s="218">
        <f>'AEO 2023 Table 58 Raw'!H35</f>
        <v>90.740181000000007</v>
      </c>
      <c r="F48" s="218">
        <f>'AEO 2023 Table 58 Raw'!I35</f>
        <v>84.768531999999993</v>
      </c>
      <c r="G48" s="218">
        <f>'AEO 2023 Table 58 Raw'!J35</f>
        <v>84.886436000000003</v>
      </c>
      <c r="H48" s="218">
        <f>'AEO 2023 Table 58 Raw'!K35</f>
        <v>85.133735999999999</v>
      </c>
      <c r="I48" s="218">
        <f>'AEO 2023 Table 58 Raw'!L35</f>
        <v>85.873610999999997</v>
      </c>
      <c r="J48" s="218">
        <f>'AEO 2023 Table 58 Raw'!M35</f>
        <v>86.350455999999994</v>
      </c>
      <c r="K48" s="218">
        <f>'AEO 2023 Table 58 Raw'!N35</f>
        <v>86.822616999999994</v>
      </c>
      <c r="L48" s="218">
        <f>'AEO 2023 Table 58 Raw'!O35</f>
        <v>87.440726999999995</v>
      </c>
      <c r="M48" s="218">
        <f>'AEO 2023 Table 58 Raw'!P35</f>
        <v>88.191131999999996</v>
      </c>
      <c r="N48" s="218">
        <f>'AEO 2023 Table 58 Raw'!Q35</f>
        <v>88.665749000000005</v>
      </c>
      <c r="O48" s="218">
        <f>'AEO 2023 Table 58 Raw'!R35</f>
        <v>89.437965000000005</v>
      </c>
      <c r="P48" s="218">
        <f>'AEO 2023 Table 58 Raw'!S35</f>
        <v>89.868660000000006</v>
      </c>
      <c r="Q48" s="218">
        <f>'AEO 2023 Table 58 Raw'!T35</f>
        <v>90.594016999999994</v>
      </c>
      <c r="R48" s="218">
        <f>'AEO 2023 Table 58 Raw'!U35</f>
        <v>91.177993999999998</v>
      </c>
      <c r="S48" s="218">
        <f>'AEO 2023 Table 58 Raw'!V35</f>
        <v>91.598381000000003</v>
      </c>
      <c r="T48" s="218">
        <f>'AEO 2023 Table 58 Raw'!W35</f>
        <v>92.125457999999995</v>
      </c>
      <c r="U48" s="218">
        <f>'AEO 2023 Table 58 Raw'!X35</f>
        <v>92.554053999999994</v>
      </c>
      <c r="V48" s="218">
        <f>'AEO 2023 Table 58 Raw'!Y35</f>
        <v>93.055801000000002</v>
      </c>
      <c r="W48" s="218">
        <f>'AEO 2023 Table 58 Raw'!Z35</f>
        <v>93.488913999999994</v>
      </c>
      <c r="X48" s="218">
        <f>'AEO 2023 Table 58 Raw'!AA35</f>
        <v>93.914230000000003</v>
      </c>
      <c r="Y48" s="218">
        <f>'AEO 2023 Table 58 Raw'!AB35</f>
        <v>94.329200999999998</v>
      </c>
      <c r="Z48" s="218">
        <f>'AEO 2023 Table 58 Raw'!AC35</f>
        <v>94.675751000000005</v>
      </c>
      <c r="AA48" s="218">
        <f>'AEO 2023 Table 58 Raw'!AD35</f>
        <v>95.389281999999994</v>
      </c>
      <c r="AB48" s="218">
        <f>'AEO 2023 Table 58 Raw'!AE35</f>
        <v>95.815421999999998</v>
      </c>
      <c r="AC48" s="218">
        <f>'AEO 2023 Table 58 Raw'!AF35</f>
        <v>96.491089000000002</v>
      </c>
      <c r="AD48" s="218">
        <f>'AEO 2023 Table 58 Raw'!AG35</f>
        <v>97.212631000000002</v>
      </c>
      <c r="AE48" s="218">
        <f>'AEO 2023 Table 58 Raw'!AH35</f>
        <v>97.388603000000003</v>
      </c>
      <c r="AF48" s="256">
        <f>'AEO 2023 Table 58 Raw'!AI35</f>
        <v>0</v>
      </c>
    </row>
    <row r="49" spans="1:32" ht="12" customHeight="1" x14ac:dyDescent="0.25">
      <c r="A49" s="213" t="s">
        <v>680</v>
      </c>
      <c r="B49" s="212" t="s">
        <v>679</v>
      </c>
      <c r="C49" s="218">
        <f>'AEO 2023 Table 58 Raw'!F36</f>
        <v>93.609229999999997</v>
      </c>
      <c r="D49" s="218">
        <f>'AEO 2023 Table 58 Raw'!G36</f>
        <v>86.461112999999997</v>
      </c>
      <c r="E49" s="218">
        <f>'AEO 2023 Table 58 Raw'!H36</f>
        <v>86.292457999999996</v>
      </c>
      <c r="F49" s="218">
        <f>'AEO 2023 Table 58 Raw'!I36</f>
        <v>80.893378999999996</v>
      </c>
      <c r="G49" s="218">
        <f>'AEO 2023 Table 58 Raw'!J36</f>
        <v>81.731491000000005</v>
      </c>
      <c r="H49" s="218">
        <f>'AEO 2023 Table 58 Raw'!K36</f>
        <v>82.064789000000005</v>
      </c>
      <c r="I49" s="218">
        <f>'AEO 2023 Table 58 Raw'!L36</f>
        <v>82.691490000000002</v>
      </c>
      <c r="J49" s="218">
        <f>'AEO 2023 Table 58 Raw'!M36</f>
        <v>83.278709000000006</v>
      </c>
      <c r="K49" s="218">
        <f>'AEO 2023 Table 58 Raw'!N36</f>
        <v>83.977737000000005</v>
      </c>
      <c r="L49" s="218">
        <f>'AEO 2023 Table 58 Raw'!O36</f>
        <v>84.534981000000002</v>
      </c>
      <c r="M49" s="218">
        <f>'AEO 2023 Table 58 Raw'!P36</f>
        <v>85.362258999999995</v>
      </c>
      <c r="N49" s="218">
        <f>'AEO 2023 Table 58 Raw'!Q36</f>
        <v>85.825187999999997</v>
      </c>
      <c r="O49" s="218">
        <f>'AEO 2023 Table 58 Raw'!R36</f>
        <v>86.492241000000007</v>
      </c>
      <c r="P49" s="218">
        <f>'AEO 2023 Table 58 Raw'!S36</f>
        <v>87.179732999999999</v>
      </c>
      <c r="Q49" s="218">
        <f>'AEO 2023 Table 58 Raw'!T36</f>
        <v>87.881134000000003</v>
      </c>
      <c r="R49" s="218">
        <f>'AEO 2023 Table 58 Raw'!U36</f>
        <v>88.412880000000001</v>
      </c>
      <c r="S49" s="218">
        <f>'AEO 2023 Table 58 Raw'!V36</f>
        <v>89.023674</v>
      </c>
      <c r="T49" s="218">
        <f>'AEO 2023 Table 58 Raw'!W36</f>
        <v>89.591353999999995</v>
      </c>
      <c r="U49" s="218">
        <f>'AEO 2023 Table 58 Raw'!X36</f>
        <v>90.093422000000004</v>
      </c>
      <c r="V49" s="218">
        <f>'AEO 2023 Table 58 Raw'!Y36</f>
        <v>90.656464</v>
      </c>
      <c r="W49" s="218">
        <f>'AEO 2023 Table 58 Raw'!Z36</f>
        <v>91.054466000000005</v>
      </c>
      <c r="X49" s="218">
        <f>'AEO 2023 Table 58 Raw'!AA36</f>
        <v>91.388396999999998</v>
      </c>
      <c r="Y49" s="218">
        <f>'AEO 2023 Table 58 Raw'!AB36</f>
        <v>91.799225000000007</v>
      </c>
      <c r="Z49" s="218">
        <f>'AEO 2023 Table 58 Raw'!AC36</f>
        <v>92.156897999999998</v>
      </c>
      <c r="AA49" s="218">
        <f>'AEO 2023 Table 58 Raw'!AD36</f>
        <v>92.970673000000005</v>
      </c>
      <c r="AB49" s="218">
        <f>'AEO 2023 Table 58 Raw'!AE36</f>
        <v>93.360680000000002</v>
      </c>
      <c r="AC49" s="218">
        <f>'AEO 2023 Table 58 Raw'!AF36</f>
        <v>93.968765000000005</v>
      </c>
      <c r="AD49" s="218">
        <f>'AEO 2023 Table 58 Raw'!AG36</f>
        <v>94.543152000000006</v>
      </c>
      <c r="AE49" s="218">
        <f>'AEO 2023 Table 58 Raw'!AH36</f>
        <v>94.848754999999997</v>
      </c>
      <c r="AF49" s="256">
        <f>'AEO 2023 Table 58 Raw'!AI36</f>
        <v>0</v>
      </c>
    </row>
    <row r="50" spans="1:32" ht="15" customHeight="1" x14ac:dyDescent="0.25">
      <c r="A50" s="213" t="s">
        <v>678</v>
      </c>
      <c r="B50" s="212" t="s">
        <v>677</v>
      </c>
      <c r="C50" s="218">
        <f>'AEO 2023 Table 58 Raw'!F37</f>
        <v>87.180954</v>
      </c>
      <c r="D50" s="218">
        <f>'AEO 2023 Table 58 Raw'!G37</f>
        <v>92.036902999999995</v>
      </c>
      <c r="E50" s="218">
        <f>'AEO 2023 Table 58 Raw'!H37</f>
        <v>88.479484999999997</v>
      </c>
      <c r="F50" s="218">
        <f>'AEO 2023 Table 58 Raw'!I37</f>
        <v>82.607307000000006</v>
      </c>
      <c r="G50" s="218">
        <f>'AEO 2023 Table 58 Raw'!J37</f>
        <v>82.661804000000004</v>
      </c>
      <c r="H50" s="218">
        <f>'AEO 2023 Table 58 Raw'!K37</f>
        <v>82.822685000000007</v>
      </c>
      <c r="I50" s="218">
        <f>'AEO 2023 Table 58 Raw'!L37</f>
        <v>83.559486000000007</v>
      </c>
      <c r="J50" s="218">
        <f>'AEO 2023 Table 58 Raw'!M37</f>
        <v>84.041297999999998</v>
      </c>
      <c r="K50" s="218">
        <f>'AEO 2023 Table 58 Raw'!N37</f>
        <v>84.512459000000007</v>
      </c>
      <c r="L50" s="218">
        <f>'AEO 2023 Table 58 Raw'!O37</f>
        <v>85.110909000000007</v>
      </c>
      <c r="M50" s="218">
        <f>'AEO 2023 Table 58 Raw'!P37</f>
        <v>85.915985000000006</v>
      </c>
      <c r="N50" s="218">
        <f>'AEO 2023 Table 58 Raw'!Q37</f>
        <v>86.400413999999998</v>
      </c>
      <c r="O50" s="218">
        <f>'AEO 2023 Table 58 Raw'!R37</f>
        <v>87.534592000000004</v>
      </c>
      <c r="P50" s="218">
        <f>'AEO 2023 Table 58 Raw'!S37</f>
        <v>87.931038000000001</v>
      </c>
      <c r="Q50" s="218">
        <f>'AEO 2023 Table 58 Raw'!T37</f>
        <v>88.644226000000003</v>
      </c>
      <c r="R50" s="218">
        <f>'AEO 2023 Table 58 Raw'!U37</f>
        <v>89.200996000000004</v>
      </c>
      <c r="S50" s="218">
        <f>'AEO 2023 Table 58 Raw'!V37</f>
        <v>89.598731999999998</v>
      </c>
      <c r="T50" s="218">
        <f>'AEO 2023 Table 58 Raw'!W37</f>
        <v>90.137314000000003</v>
      </c>
      <c r="U50" s="218">
        <f>'AEO 2023 Table 58 Raw'!X37</f>
        <v>90.580910000000003</v>
      </c>
      <c r="V50" s="218">
        <f>'AEO 2023 Table 58 Raw'!Y37</f>
        <v>91.091369999999998</v>
      </c>
      <c r="W50" s="218">
        <f>'AEO 2023 Table 58 Raw'!Z37</f>
        <v>91.540481999999997</v>
      </c>
      <c r="X50" s="218">
        <f>'AEO 2023 Table 58 Raw'!AA37</f>
        <v>91.967644000000007</v>
      </c>
      <c r="Y50" s="218">
        <f>'AEO 2023 Table 58 Raw'!AB37</f>
        <v>92.417900000000003</v>
      </c>
      <c r="Z50" s="218">
        <f>'AEO 2023 Table 58 Raw'!AC37</f>
        <v>92.766388000000006</v>
      </c>
      <c r="AA50" s="218">
        <f>'AEO 2023 Table 58 Raw'!AD37</f>
        <v>93.501014999999995</v>
      </c>
      <c r="AB50" s="218">
        <f>'AEO 2023 Table 58 Raw'!AE37</f>
        <v>93.951087999999999</v>
      </c>
      <c r="AC50" s="218">
        <f>'AEO 2023 Table 58 Raw'!AF37</f>
        <v>94.641334999999998</v>
      </c>
      <c r="AD50" s="218">
        <f>'AEO 2023 Table 58 Raw'!AG37</f>
        <v>95.371825999999999</v>
      </c>
      <c r="AE50" s="218">
        <f>'AEO 2023 Table 58 Raw'!AH37</f>
        <v>95.549521999999996</v>
      </c>
      <c r="AF50" s="256">
        <f>'AEO 2023 Table 58 Raw'!AI37</f>
        <v>3.0000000000000001E-3</v>
      </c>
    </row>
    <row r="51" spans="1:32" ht="15" customHeight="1" x14ac:dyDescent="0.25">
      <c r="A51" s="213" t="s">
        <v>676</v>
      </c>
      <c r="B51" s="212" t="s">
        <v>675</v>
      </c>
      <c r="C51" s="218">
        <f>'AEO 2023 Table 58 Raw'!F38</f>
        <v>87.180954</v>
      </c>
      <c r="D51" s="218">
        <f>'AEO 2023 Table 58 Raw'!G38</f>
        <v>92.036902999999995</v>
      </c>
      <c r="E51" s="218">
        <f>'AEO 2023 Table 58 Raw'!H38</f>
        <v>88.479484999999997</v>
      </c>
      <c r="F51" s="218">
        <f>'AEO 2023 Table 58 Raw'!I38</f>
        <v>82.607307000000006</v>
      </c>
      <c r="G51" s="218">
        <f>'AEO 2023 Table 58 Raw'!J38</f>
        <v>82.661804000000004</v>
      </c>
      <c r="H51" s="218">
        <f>'AEO 2023 Table 58 Raw'!K38</f>
        <v>82.822685000000007</v>
      </c>
      <c r="I51" s="218">
        <f>'AEO 2023 Table 58 Raw'!L38</f>
        <v>83.559486000000007</v>
      </c>
      <c r="J51" s="218">
        <f>'AEO 2023 Table 58 Raw'!M38</f>
        <v>84.041297999999998</v>
      </c>
      <c r="K51" s="218">
        <f>'AEO 2023 Table 58 Raw'!N38</f>
        <v>84.512459000000007</v>
      </c>
      <c r="L51" s="218">
        <f>'AEO 2023 Table 58 Raw'!O38</f>
        <v>85.110909000000007</v>
      </c>
      <c r="M51" s="218">
        <f>'AEO 2023 Table 58 Raw'!P38</f>
        <v>85.915985000000006</v>
      </c>
      <c r="N51" s="218">
        <f>'AEO 2023 Table 58 Raw'!Q38</f>
        <v>86.400413999999998</v>
      </c>
      <c r="O51" s="218">
        <f>'AEO 2023 Table 58 Raw'!R38</f>
        <v>87.534592000000004</v>
      </c>
      <c r="P51" s="218">
        <f>'AEO 2023 Table 58 Raw'!S38</f>
        <v>87.931038000000001</v>
      </c>
      <c r="Q51" s="218">
        <f>'AEO 2023 Table 58 Raw'!T38</f>
        <v>88.644226000000003</v>
      </c>
      <c r="R51" s="218">
        <f>'AEO 2023 Table 58 Raw'!U38</f>
        <v>89.200996000000004</v>
      </c>
      <c r="S51" s="218">
        <f>'AEO 2023 Table 58 Raw'!V38</f>
        <v>89.598731999999998</v>
      </c>
      <c r="T51" s="218">
        <f>'AEO 2023 Table 58 Raw'!W38</f>
        <v>90.137314000000003</v>
      </c>
      <c r="U51" s="218">
        <f>'AEO 2023 Table 58 Raw'!X38</f>
        <v>90.580910000000003</v>
      </c>
      <c r="V51" s="218">
        <f>'AEO 2023 Table 58 Raw'!Y38</f>
        <v>91.091369999999998</v>
      </c>
      <c r="W51" s="218">
        <f>'AEO 2023 Table 58 Raw'!Z38</f>
        <v>91.540481999999997</v>
      </c>
      <c r="X51" s="218">
        <f>'AEO 2023 Table 58 Raw'!AA38</f>
        <v>91.967644000000007</v>
      </c>
      <c r="Y51" s="218">
        <f>'AEO 2023 Table 58 Raw'!AB38</f>
        <v>92.417900000000003</v>
      </c>
      <c r="Z51" s="218">
        <f>'AEO 2023 Table 58 Raw'!AC38</f>
        <v>92.766388000000006</v>
      </c>
      <c r="AA51" s="218">
        <f>'AEO 2023 Table 58 Raw'!AD38</f>
        <v>93.501014999999995</v>
      </c>
      <c r="AB51" s="218">
        <f>'AEO 2023 Table 58 Raw'!AE38</f>
        <v>93.951087999999999</v>
      </c>
      <c r="AC51" s="218">
        <f>'AEO 2023 Table 58 Raw'!AF38</f>
        <v>94.641334999999998</v>
      </c>
      <c r="AD51" s="218">
        <f>'AEO 2023 Table 58 Raw'!AG38</f>
        <v>95.371825999999999</v>
      </c>
      <c r="AE51" s="218">
        <f>'AEO 2023 Table 58 Raw'!AH38</f>
        <v>95.549521999999996</v>
      </c>
      <c r="AF51" s="256">
        <f>'AEO 2023 Table 58 Raw'!AI38</f>
        <v>3.0000000000000001E-3</v>
      </c>
    </row>
    <row r="52" spans="1:32" ht="15" customHeight="1" x14ac:dyDescent="0.25">
      <c r="A52" s="213" t="s">
        <v>674</v>
      </c>
      <c r="B52" s="212" t="s">
        <v>673</v>
      </c>
      <c r="C52" s="218">
        <f>'AEO 2023 Table 58 Raw'!F39</f>
        <v>100.237137</v>
      </c>
      <c r="D52" s="218">
        <f>'AEO 2023 Table 58 Raw'!G39</f>
        <v>94.045676999999998</v>
      </c>
      <c r="E52" s="218">
        <f>'AEO 2023 Table 58 Raw'!H39</f>
        <v>95.098320000000001</v>
      </c>
      <c r="F52" s="218">
        <f>'AEO 2023 Table 58 Raw'!I39</f>
        <v>89.280617000000007</v>
      </c>
      <c r="G52" s="218">
        <f>'AEO 2023 Table 58 Raw'!J39</f>
        <v>89.667525999999995</v>
      </c>
      <c r="H52" s="218">
        <f>'AEO 2023 Table 58 Raw'!K39</f>
        <v>90.015343000000001</v>
      </c>
      <c r="I52" s="218">
        <f>'AEO 2023 Table 58 Raw'!L39</f>
        <v>90.526176000000007</v>
      </c>
      <c r="J52" s="218">
        <f>'AEO 2023 Table 58 Raw'!M39</f>
        <v>90.989204000000001</v>
      </c>
      <c r="K52" s="218">
        <f>'AEO 2023 Table 58 Raw'!N39</f>
        <v>91.176765000000003</v>
      </c>
      <c r="L52" s="218">
        <f>'AEO 2023 Table 58 Raw'!O39</f>
        <v>91.685019999999994</v>
      </c>
      <c r="M52" s="218">
        <f>'AEO 2023 Table 58 Raw'!P39</f>
        <v>92.435164999999998</v>
      </c>
      <c r="N52" s="218">
        <f>'AEO 2023 Table 58 Raw'!Q39</f>
        <v>92.69014</v>
      </c>
      <c r="O52" s="218">
        <f>'AEO 2023 Table 58 Raw'!R39</f>
        <v>93.147789000000003</v>
      </c>
      <c r="P52" s="218">
        <f>'AEO 2023 Table 58 Raw'!S39</f>
        <v>93.708275</v>
      </c>
      <c r="Q52" s="218">
        <f>'AEO 2023 Table 58 Raw'!T39</f>
        <v>94.256103999999993</v>
      </c>
      <c r="R52" s="218">
        <f>'AEO 2023 Table 58 Raw'!U39</f>
        <v>94.817665000000005</v>
      </c>
      <c r="S52" s="218">
        <f>'AEO 2023 Table 58 Raw'!V39</f>
        <v>95.323363999999998</v>
      </c>
      <c r="T52" s="218">
        <f>'AEO 2023 Table 58 Raw'!W39</f>
        <v>96.041556999999997</v>
      </c>
      <c r="U52" s="218">
        <f>'AEO 2023 Table 58 Raw'!X39</f>
        <v>96.441490000000002</v>
      </c>
      <c r="V52" s="218">
        <f>'AEO 2023 Table 58 Raw'!Y39</f>
        <v>97.234436000000002</v>
      </c>
      <c r="W52" s="218">
        <f>'AEO 2023 Table 58 Raw'!Z39</f>
        <v>97.643051</v>
      </c>
      <c r="X52" s="218">
        <f>'AEO 2023 Table 58 Raw'!AA39</f>
        <v>98.205544000000003</v>
      </c>
      <c r="Y52" s="218">
        <f>'AEO 2023 Table 58 Raw'!AB39</f>
        <v>99.080916999999999</v>
      </c>
      <c r="Z52" s="218">
        <f>'AEO 2023 Table 58 Raw'!AC39</f>
        <v>99.543685999999994</v>
      </c>
      <c r="AA52" s="218">
        <f>'AEO 2023 Table 58 Raw'!AD39</f>
        <v>99.042709000000002</v>
      </c>
      <c r="AB52" s="218">
        <f>'AEO 2023 Table 58 Raw'!AE39</f>
        <v>99.467788999999996</v>
      </c>
      <c r="AC52" s="218">
        <f>'AEO 2023 Table 58 Raw'!AF39</f>
        <v>99.620307999999994</v>
      </c>
      <c r="AD52" s="218">
        <f>'AEO 2023 Table 58 Raw'!AG39</f>
        <v>100.30740400000001</v>
      </c>
      <c r="AE52" s="218">
        <f>'AEO 2023 Table 58 Raw'!AH39</f>
        <v>100.51384</v>
      </c>
      <c r="AF52" s="256">
        <f>'AEO 2023 Table 58 Raw'!AI39</f>
        <v>0</v>
      </c>
    </row>
    <row r="53" spans="1:32" ht="15" customHeight="1" x14ac:dyDescent="0.2">
      <c r="C53" s="218"/>
      <c r="D53" s="218"/>
      <c r="E53" s="218"/>
      <c r="F53" s="218"/>
      <c r="G53" s="218"/>
      <c r="H53" s="218"/>
      <c r="I53" s="218"/>
      <c r="J53" s="218"/>
      <c r="K53" s="218"/>
      <c r="L53" s="218"/>
      <c r="M53" s="218"/>
      <c r="N53" s="218"/>
      <c r="O53" s="218"/>
      <c r="P53" s="218"/>
      <c r="Q53" s="218"/>
      <c r="R53" s="218"/>
      <c r="S53" s="218"/>
      <c r="T53" s="218"/>
      <c r="U53" s="218"/>
      <c r="V53" s="218"/>
      <c r="W53" s="218"/>
      <c r="X53" s="218"/>
      <c r="Y53" s="218"/>
      <c r="Z53" s="218"/>
      <c r="AA53" s="218"/>
      <c r="AB53" s="218"/>
      <c r="AC53" s="218"/>
      <c r="AD53" s="218"/>
      <c r="AE53" s="218"/>
      <c r="AF53" s="256"/>
    </row>
    <row r="54" spans="1:32" ht="15" customHeight="1" x14ac:dyDescent="0.2">
      <c r="B54" s="216" t="s">
        <v>672</v>
      </c>
      <c r="C54" s="218"/>
      <c r="D54" s="218"/>
      <c r="E54" s="218"/>
      <c r="F54" s="218"/>
      <c r="G54" s="218"/>
      <c r="H54" s="218"/>
      <c r="I54" s="218"/>
      <c r="J54" s="218"/>
      <c r="K54" s="218"/>
      <c r="L54" s="218"/>
      <c r="M54" s="218"/>
      <c r="N54" s="218"/>
      <c r="O54" s="218"/>
      <c r="P54" s="218"/>
      <c r="Q54" s="218"/>
      <c r="R54" s="218"/>
      <c r="S54" s="218"/>
      <c r="T54" s="218"/>
      <c r="U54" s="218"/>
      <c r="V54" s="218"/>
      <c r="W54" s="218"/>
      <c r="X54" s="218"/>
      <c r="Y54" s="218"/>
      <c r="Z54" s="218"/>
      <c r="AA54" s="218"/>
      <c r="AB54" s="218"/>
      <c r="AC54" s="218"/>
      <c r="AD54" s="218"/>
      <c r="AE54" s="218"/>
      <c r="AF54" s="256"/>
    </row>
    <row r="55" spans="1:32" ht="15" customHeight="1" x14ac:dyDescent="0.25">
      <c r="A55" s="213" t="s">
        <v>671</v>
      </c>
      <c r="B55" s="212" t="s">
        <v>670</v>
      </c>
      <c r="C55" s="218">
        <f>'AEO 2023 Table 58 Raw'!F41</f>
        <v>97.072922000000005</v>
      </c>
      <c r="D55" s="218">
        <f>'AEO 2023 Table 58 Raw'!G41</f>
        <v>95.794312000000005</v>
      </c>
      <c r="E55" s="218">
        <f>'AEO 2023 Table 58 Raw'!H41</f>
        <v>95.883910999999998</v>
      </c>
      <c r="F55" s="218">
        <f>'AEO 2023 Table 58 Raw'!I41</f>
        <v>90.399497999999994</v>
      </c>
      <c r="G55" s="218">
        <f>'AEO 2023 Table 58 Raw'!J41</f>
        <v>91.131546</v>
      </c>
      <c r="H55" s="218">
        <f>'AEO 2023 Table 58 Raw'!K41</f>
        <v>91.528312999999997</v>
      </c>
      <c r="I55" s="218">
        <f>'AEO 2023 Table 58 Raw'!L41</f>
        <v>92.118324000000001</v>
      </c>
      <c r="J55" s="218">
        <f>'AEO 2023 Table 58 Raw'!M41</f>
        <v>92.703568000000004</v>
      </c>
      <c r="K55" s="218">
        <f>'AEO 2023 Table 58 Raw'!N41</f>
        <v>93.309517</v>
      </c>
      <c r="L55" s="218">
        <f>'AEO 2023 Table 58 Raw'!O41</f>
        <v>93.948668999999995</v>
      </c>
      <c r="M55" s="218">
        <f>'AEO 2023 Table 58 Raw'!P41</f>
        <v>94.753540000000001</v>
      </c>
      <c r="N55" s="218">
        <f>'AEO 2023 Table 58 Raw'!Q41</f>
        <v>95.190856999999994</v>
      </c>
      <c r="O55" s="218">
        <f>'AEO 2023 Table 58 Raw'!R41</f>
        <v>95.845398000000003</v>
      </c>
      <c r="P55" s="218">
        <f>'AEO 2023 Table 58 Raw'!S41</f>
        <v>96.49588</v>
      </c>
      <c r="Q55" s="218">
        <f>'AEO 2023 Table 58 Raw'!T41</f>
        <v>97.171149999999997</v>
      </c>
      <c r="R55" s="218">
        <f>'AEO 2023 Table 58 Raw'!U41</f>
        <v>97.714309999999998</v>
      </c>
      <c r="S55" s="218">
        <f>'AEO 2023 Table 58 Raw'!V41</f>
        <v>98.333259999999996</v>
      </c>
      <c r="T55" s="218">
        <f>'AEO 2023 Table 58 Raw'!W41</f>
        <v>98.926674000000006</v>
      </c>
      <c r="U55" s="218">
        <f>'AEO 2023 Table 58 Raw'!X41</f>
        <v>99.474213000000006</v>
      </c>
      <c r="V55" s="218">
        <f>'AEO 2023 Table 58 Raw'!Y41</f>
        <v>100.062691</v>
      </c>
      <c r="W55" s="218">
        <f>'AEO 2023 Table 58 Raw'!Z41</f>
        <v>100.453789</v>
      </c>
      <c r="X55" s="218">
        <f>'AEO 2023 Table 58 Raw'!AA41</f>
        <v>100.804619</v>
      </c>
      <c r="Y55" s="218">
        <f>'AEO 2023 Table 58 Raw'!AB41</f>
        <v>101.212402</v>
      </c>
      <c r="Z55" s="218">
        <f>'AEO 2023 Table 58 Raw'!AC41</f>
        <v>101.616806</v>
      </c>
      <c r="AA55" s="218">
        <f>'AEO 2023 Table 58 Raw'!AD41</f>
        <v>102.36889600000001</v>
      </c>
      <c r="AB55" s="218">
        <f>'AEO 2023 Table 58 Raw'!AE41</f>
        <v>102.921783</v>
      </c>
      <c r="AC55" s="218">
        <f>'AEO 2023 Table 58 Raw'!AF41</f>
        <v>103.49346199999999</v>
      </c>
      <c r="AD55" s="218">
        <f>'AEO 2023 Table 58 Raw'!AG41</f>
        <v>104.019524</v>
      </c>
      <c r="AE55" s="218">
        <f>'AEO 2023 Table 58 Raw'!AH41</f>
        <v>104.26900500000001</v>
      </c>
      <c r="AF55" s="256">
        <f>'AEO 2023 Table 58 Raw'!AI41</f>
        <v>3.0000000000000001E-3</v>
      </c>
    </row>
    <row r="56" spans="1:32" ht="15" customHeight="1" x14ac:dyDescent="0.25">
      <c r="A56" s="213" t="s">
        <v>669</v>
      </c>
      <c r="B56" s="212" t="s">
        <v>668</v>
      </c>
      <c r="C56" s="218">
        <f>'AEO 2023 Table 58 Raw'!F42</f>
        <v>70.551292000000004</v>
      </c>
      <c r="D56" s="218">
        <f>'AEO 2023 Table 58 Raw'!G42</f>
        <v>94.045676999999998</v>
      </c>
      <c r="E56" s="218">
        <f>'AEO 2023 Table 58 Raw'!H42</f>
        <v>95.098320000000001</v>
      </c>
      <c r="F56" s="218">
        <f>'AEO 2023 Table 58 Raw'!I42</f>
        <v>89.280617000000007</v>
      </c>
      <c r="G56" s="218">
        <f>'AEO 2023 Table 58 Raw'!J42</f>
        <v>89.667525999999995</v>
      </c>
      <c r="H56" s="218">
        <f>'AEO 2023 Table 58 Raw'!K42</f>
        <v>90.015343000000001</v>
      </c>
      <c r="I56" s="218">
        <f>'AEO 2023 Table 58 Raw'!L42</f>
        <v>90.526176000000007</v>
      </c>
      <c r="J56" s="218">
        <f>'AEO 2023 Table 58 Raw'!M42</f>
        <v>90.989204000000001</v>
      </c>
      <c r="K56" s="218">
        <f>'AEO 2023 Table 58 Raw'!N42</f>
        <v>91.176765000000003</v>
      </c>
      <c r="L56" s="218">
        <f>'AEO 2023 Table 58 Raw'!O42</f>
        <v>91.685019999999994</v>
      </c>
      <c r="M56" s="218">
        <f>'AEO 2023 Table 58 Raw'!P42</f>
        <v>92.435164999999998</v>
      </c>
      <c r="N56" s="218">
        <f>'AEO 2023 Table 58 Raw'!Q42</f>
        <v>92.69014</v>
      </c>
      <c r="O56" s="218">
        <f>'AEO 2023 Table 58 Raw'!R42</f>
        <v>93.147789000000003</v>
      </c>
      <c r="P56" s="218">
        <f>'AEO 2023 Table 58 Raw'!S42</f>
        <v>93.708275</v>
      </c>
      <c r="Q56" s="218">
        <f>'AEO 2023 Table 58 Raw'!T42</f>
        <v>94.256103999999993</v>
      </c>
      <c r="R56" s="218">
        <f>'AEO 2023 Table 58 Raw'!U42</f>
        <v>94.817665000000005</v>
      </c>
      <c r="S56" s="218">
        <f>'AEO 2023 Table 58 Raw'!V42</f>
        <v>95.323363999999998</v>
      </c>
      <c r="T56" s="218">
        <f>'AEO 2023 Table 58 Raw'!W42</f>
        <v>96.041556999999997</v>
      </c>
      <c r="U56" s="218">
        <f>'AEO 2023 Table 58 Raw'!X42</f>
        <v>96.441490000000002</v>
      </c>
      <c r="V56" s="218">
        <f>'AEO 2023 Table 58 Raw'!Y42</f>
        <v>97.234436000000002</v>
      </c>
      <c r="W56" s="218">
        <f>'AEO 2023 Table 58 Raw'!Z42</f>
        <v>97.643051</v>
      </c>
      <c r="X56" s="218">
        <f>'AEO 2023 Table 58 Raw'!AA42</f>
        <v>98.205544000000003</v>
      </c>
      <c r="Y56" s="218">
        <f>'AEO 2023 Table 58 Raw'!AB42</f>
        <v>99.080916999999999</v>
      </c>
      <c r="Z56" s="218">
        <f>'AEO 2023 Table 58 Raw'!AC42</f>
        <v>99.543685999999994</v>
      </c>
      <c r="AA56" s="218">
        <f>'AEO 2023 Table 58 Raw'!AD42</f>
        <v>99.042709000000002</v>
      </c>
      <c r="AB56" s="218">
        <f>'AEO 2023 Table 58 Raw'!AE42</f>
        <v>99.467788999999996</v>
      </c>
      <c r="AC56" s="218">
        <f>'AEO 2023 Table 58 Raw'!AF42</f>
        <v>99.620307999999994</v>
      </c>
      <c r="AD56" s="218">
        <f>'AEO 2023 Table 58 Raw'!AG42</f>
        <v>100.30740400000001</v>
      </c>
      <c r="AE56" s="218">
        <f>'AEO 2023 Table 58 Raw'!AH42</f>
        <v>100.51384</v>
      </c>
      <c r="AF56" s="256">
        <f>'AEO 2023 Table 58 Raw'!AI42</f>
        <v>1.2999999999999999E-2</v>
      </c>
    </row>
    <row r="57" spans="1:32" ht="15" customHeight="1" x14ac:dyDescent="0.25">
      <c r="A57" s="213" t="s">
        <v>667</v>
      </c>
      <c r="B57" s="212" t="s">
        <v>666</v>
      </c>
      <c r="C57" s="218">
        <f>'AEO 2023 Table 58 Raw'!F43</f>
        <v>0</v>
      </c>
      <c r="D57" s="218">
        <f>'AEO 2023 Table 58 Raw'!G43</f>
        <v>95.169678000000005</v>
      </c>
      <c r="E57" s="218">
        <f>'AEO 2023 Table 58 Raw'!H43</f>
        <v>93.930976999999999</v>
      </c>
      <c r="F57" s="218">
        <f>'AEO 2023 Table 58 Raw'!I43</f>
        <v>88.551704000000001</v>
      </c>
      <c r="G57" s="218">
        <f>'AEO 2023 Table 58 Raw'!J43</f>
        <v>89.145034999999993</v>
      </c>
      <c r="H57" s="218">
        <f>'AEO 2023 Table 58 Raw'!K43</f>
        <v>89.565460000000002</v>
      </c>
      <c r="I57" s="218">
        <f>'AEO 2023 Table 58 Raw'!L43</f>
        <v>90.069564999999997</v>
      </c>
      <c r="J57" s="218">
        <f>'AEO 2023 Table 58 Raw'!M43</f>
        <v>90.752196999999995</v>
      </c>
      <c r="K57" s="218">
        <f>'AEO 2023 Table 58 Raw'!N43</f>
        <v>91.383826999999997</v>
      </c>
      <c r="L57" s="218">
        <f>'AEO 2023 Table 58 Raw'!O43</f>
        <v>91.704680999999994</v>
      </c>
      <c r="M57" s="218">
        <f>'AEO 2023 Table 58 Raw'!P43</f>
        <v>92.557143999999994</v>
      </c>
      <c r="N57" s="218">
        <f>'AEO 2023 Table 58 Raw'!Q43</f>
        <v>92.936286999999993</v>
      </c>
      <c r="O57" s="218">
        <f>'AEO 2023 Table 58 Raw'!R43</f>
        <v>93.634665999999996</v>
      </c>
      <c r="P57" s="218">
        <f>'AEO 2023 Table 58 Raw'!S43</f>
        <v>94.611748000000006</v>
      </c>
      <c r="Q57" s="218">
        <f>'AEO 2023 Table 58 Raw'!T43</f>
        <v>95.246398999999997</v>
      </c>
      <c r="R57" s="218">
        <f>'AEO 2023 Table 58 Raw'!U43</f>
        <v>95.927978999999993</v>
      </c>
      <c r="S57" s="218">
        <f>'AEO 2023 Table 58 Raw'!V43</f>
        <v>96.400688000000002</v>
      </c>
      <c r="T57" s="218">
        <f>'AEO 2023 Table 58 Raw'!W43</f>
        <v>96.986427000000006</v>
      </c>
      <c r="U57" s="218">
        <f>'AEO 2023 Table 58 Raw'!X43</f>
        <v>97.520163999999994</v>
      </c>
      <c r="V57" s="218">
        <f>'AEO 2023 Table 58 Raw'!Y43</f>
        <v>97.897841999999997</v>
      </c>
      <c r="W57" s="218">
        <f>'AEO 2023 Table 58 Raw'!Z43</f>
        <v>98.306685999999999</v>
      </c>
      <c r="X57" s="218">
        <f>'AEO 2023 Table 58 Raw'!AA43</f>
        <v>98.543892</v>
      </c>
      <c r="Y57" s="218">
        <f>'AEO 2023 Table 58 Raw'!AB43</f>
        <v>99.086692999999997</v>
      </c>
      <c r="Z57" s="218">
        <f>'AEO 2023 Table 58 Raw'!AC43</f>
        <v>99.283600000000007</v>
      </c>
      <c r="AA57" s="218">
        <f>'AEO 2023 Table 58 Raw'!AD43</f>
        <v>100.08094</v>
      </c>
      <c r="AB57" s="218">
        <f>'AEO 2023 Table 58 Raw'!AE43</f>
        <v>100.541389</v>
      </c>
      <c r="AC57" s="218">
        <f>'AEO 2023 Table 58 Raw'!AF43</f>
        <v>101.20822099999999</v>
      </c>
      <c r="AD57" s="218">
        <f>'AEO 2023 Table 58 Raw'!AG43</f>
        <v>101.781921</v>
      </c>
      <c r="AE57" s="218">
        <f>'AEO 2023 Table 58 Raw'!AH43</f>
        <v>102.010139</v>
      </c>
      <c r="AF57" s="256" t="str">
        <f>'AEO 2023 Table 58 Raw'!AI43</f>
        <v>- -</v>
      </c>
    </row>
    <row r="58" spans="1:32" ht="15" customHeight="1" x14ac:dyDescent="0.25">
      <c r="A58" s="213"/>
      <c r="B58" s="212"/>
      <c r="C58" s="218"/>
      <c r="D58" s="214"/>
      <c r="E58" s="214"/>
      <c r="F58" s="214"/>
      <c r="G58" s="214"/>
      <c r="H58" s="214"/>
      <c r="I58" s="214"/>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60"/>
    </row>
    <row r="59" spans="1:32" ht="15" customHeight="1" x14ac:dyDescent="0.2">
      <c r="B59" s="251" t="s">
        <v>665</v>
      </c>
      <c r="C59" s="252"/>
      <c r="D59" s="253"/>
      <c r="E59" s="253"/>
      <c r="F59" s="253"/>
      <c r="G59" s="253"/>
      <c r="H59" s="253"/>
      <c r="I59" s="253"/>
      <c r="J59" s="253"/>
      <c r="K59" s="253"/>
      <c r="L59" s="253"/>
      <c r="M59" s="253"/>
      <c r="N59" s="253"/>
      <c r="O59" s="253"/>
      <c r="P59" s="253"/>
      <c r="Q59" s="253"/>
      <c r="R59" s="253"/>
      <c r="S59" s="253"/>
      <c r="T59" s="253"/>
      <c r="U59" s="253"/>
      <c r="V59" s="253"/>
      <c r="W59" s="253"/>
      <c r="X59" s="253"/>
      <c r="Y59" s="253"/>
      <c r="Z59" s="253"/>
      <c r="AA59" s="253"/>
      <c r="AB59" s="253"/>
      <c r="AC59" s="253"/>
      <c r="AD59" s="253"/>
      <c r="AE59" s="253"/>
      <c r="AF59" s="277"/>
    </row>
    <row r="60" spans="1:32" ht="15" customHeight="1" x14ac:dyDescent="0.25">
      <c r="A60" s="213"/>
      <c r="B60" s="254" t="s">
        <v>664</v>
      </c>
      <c r="C60" s="252">
        <f>'AEO 2023 Table 58 Raw'!F45</f>
        <v>0</v>
      </c>
      <c r="D60" s="255">
        <v>1.284764</v>
      </c>
      <c r="E60" s="255">
        <v>1.4580550000000001</v>
      </c>
      <c r="F60" s="255">
        <v>1.5908169999999999</v>
      </c>
      <c r="G60" s="255">
        <v>1.6137649999999999</v>
      </c>
      <c r="H60" s="255">
        <v>1.6009679999999999</v>
      </c>
      <c r="I60" s="255">
        <v>1.599423</v>
      </c>
      <c r="J60" s="255">
        <v>1.578719</v>
      </c>
      <c r="K60" s="255">
        <v>1.5497179999999999</v>
      </c>
      <c r="L60" s="255">
        <v>1.5040849999999999</v>
      </c>
      <c r="M60" s="255">
        <v>1.4916259999999999</v>
      </c>
      <c r="N60" s="255">
        <v>1.4868920000000001</v>
      </c>
      <c r="O60" s="255">
        <v>1.487927</v>
      </c>
      <c r="P60" s="255">
        <v>1.4872069999999999</v>
      </c>
      <c r="Q60" s="255">
        <v>1.48733</v>
      </c>
      <c r="R60" s="255">
        <v>1.483563</v>
      </c>
      <c r="S60" s="255">
        <v>1.4794579999999999</v>
      </c>
      <c r="T60" s="255">
        <v>1.514265</v>
      </c>
      <c r="U60" s="255">
        <v>1.5341340000000001</v>
      </c>
      <c r="V60" s="255">
        <v>1.5550079999999999</v>
      </c>
      <c r="W60" s="255">
        <v>1.5617829999999999</v>
      </c>
      <c r="X60" s="255">
        <v>1.5509059999999999</v>
      </c>
      <c r="Y60" s="255">
        <v>1.5359940000000001</v>
      </c>
      <c r="Z60" s="255">
        <v>1.5211079999999999</v>
      </c>
      <c r="AA60" s="255">
        <v>1.5134639999999999</v>
      </c>
      <c r="AB60" s="255">
        <v>1.494211</v>
      </c>
      <c r="AC60" s="255">
        <v>1.477779</v>
      </c>
      <c r="AD60" s="255">
        <v>1.485681</v>
      </c>
      <c r="AE60" s="255">
        <v>1.486883</v>
      </c>
      <c r="AF60" s="261">
        <v>9.94328569616032E-3</v>
      </c>
    </row>
    <row r="61" spans="1:32" ht="15" customHeight="1" x14ac:dyDescent="0.25">
      <c r="B61" s="254" t="s">
        <v>663</v>
      </c>
      <c r="C61" s="252">
        <f>'AEO 2023 Table 58 Raw'!F46</f>
        <v>0</v>
      </c>
      <c r="D61" s="255">
        <v>1.0280320000000001</v>
      </c>
      <c r="E61" s="255">
        <v>1.0314650000000001</v>
      </c>
      <c r="F61" s="255">
        <v>1.140107</v>
      </c>
      <c r="G61" s="255">
        <v>1.1831989999999999</v>
      </c>
      <c r="H61" s="255">
        <v>1.1913959999999999</v>
      </c>
      <c r="I61" s="255">
        <v>1.1917629999999999</v>
      </c>
      <c r="J61" s="255">
        <v>1.183924</v>
      </c>
      <c r="K61" s="255">
        <v>1.1745890000000001</v>
      </c>
      <c r="L61" s="255">
        <v>1.1603030000000001</v>
      </c>
      <c r="M61" s="255">
        <v>1.1514230000000001</v>
      </c>
      <c r="N61" s="255">
        <v>1.1402289999999999</v>
      </c>
      <c r="O61" s="255">
        <v>1.099218</v>
      </c>
      <c r="P61" s="255">
        <v>1.0804069999999999</v>
      </c>
      <c r="Q61" s="255">
        <v>1.0648770000000001</v>
      </c>
      <c r="R61" s="255">
        <v>1.0541480000000001</v>
      </c>
      <c r="S61" s="255">
        <v>1.0433939999999999</v>
      </c>
      <c r="T61" s="255">
        <v>1.0376399999999999</v>
      </c>
      <c r="U61" s="255">
        <v>1.0224880000000001</v>
      </c>
      <c r="V61" s="255">
        <v>1.0169570000000001</v>
      </c>
      <c r="W61" s="255">
        <v>1.0066440000000001</v>
      </c>
      <c r="X61" s="255">
        <v>0.99712800000000001</v>
      </c>
      <c r="Y61" s="255">
        <v>0.98489099999999996</v>
      </c>
      <c r="Z61" s="255">
        <v>0.97634900000000002</v>
      </c>
      <c r="AA61" s="255">
        <v>0.96655400000000002</v>
      </c>
      <c r="AB61" s="255">
        <v>0.95903799999999995</v>
      </c>
      <c r="AC61" s="255">
        <v>0.950075</v>
      </c>
      <c r="AD61" s="255">
        <v>0.94272999999999996</v>
      </c>
      <c r="AE61" s="255">
        <v>0.93457800000000002</v>
      </c>
      <c r="AF61" s="261">
        <v>-2.6385793604141168E-3</v>
      </c>
    </row>
    <row r="62" spans="1:32" ht="12" customHeight="1" x14ac:dyDescent="0.25">
      <c r="A62" s="213"/>
      <c r="B62" s="254" t="s">
        <v>662</v>
      </c>
      <c r="C62" s="252">
        <f>'AEO 2023 Table 58 Raw'!F47</f>
        <v>0</v>
      </c>
      <c r="D62" s="255">
        <v>9.0939999999999993E-2</v>
      </c>
      <c r="E62" s="255">
        <v>9.1294E-2</v>
      </c>
      <c r="F62" s="255">
        <v>8.8376999999999997E-2</v>
      </c>
      <c r="G62" s="255">
        <v>8.4127999999999994E-2</v>
      </c>
      <c r="H62" s="255">
        <v>8.0047999999999994E-2</v>
      </c>
      <c r="I62" s="255">
        <v>8.1989999999999993E-2</v>
      </c>
      <c r="J62" s="255">
        <v>8.2497000000000001E-2</v>
      </c>
      <c r="K62" s="255">
        <v>8.2003000000000006E-2</v>
      </c>
      <c r="L62" s="255">
        <v>8.3749000000000004E-2</v>
      </c>
      <c r="M62" s="255">
        <v>8.4531999999999996E-2</v>
      </c>
      <c r="N62" s="255">
        <v>8.4376999999999994E-2</v>
      </c>
      <c r="O62" s="255">
        <v>8.3419999999999994E-2</v>
      </c>
      <c r="P62" s="255">
        <v>8.2951999999999998E-2</v>
      </c>
      <c r="Q62" s="255">
        <v>8.1757999999999997E-2</v>
      </c>
      <c r="R62" s="255">
        <v>8.5082000000000005E-2</v>
      </c>
      <c r="S62" s="255">
        <v>8.6193000000000006E-2</v>
      </c>
      <c r="T62" s="255">
        <v>8.6421999999999999E-2</v>
      </c>
      <c r="U62" s="255">
        <v>8.7248000000000006E-2</v>
      </c>
      <c r="V62" s="255">
        <v>8.7848999999999997E-2</v>
      </c>
      <c r="W62" s="255">
        <v>8.7977E-2</v>
      </c>
      <c r="X62" s="255">
        <v>8.7927000000000005E-2</v>
      </c>
      <c r="Y62" s="255">
        <v>8.7832999999999994E-2</v>
      </c>
      <c r="Z62" s="255">
        <v>8.8201000000000002E-2</v>
      </c>
      <c r="AA62" s="255">
        <v>9.0679999999999997E-2</v>
      </c>
      <c r="AB62" s="255">
        <v>9.1795000000000002E-2</v>
      </c>
      <c r="AC62" s="255">
        <v>9.2543E-2</v>
      </c>
      <c r="AD62" s="255">
        <v>9.3478000000000006E-2</v>
      </c>
      <c r="AE62" s="255">
        <v>9.4021999999999994E-2</v>
      </c>
      <c r="AF62" s="261">
        <v>-1.0746697513037699E-3</v>
      </c>
    </row>
    <row r="63" spans="1:32" ht="15" customHeight="1" x14ac:dyDescent="0.25">
      <c r="B63" s="254" t="s">
        <v>661</v>
      </c>
      <c r="C63" s="252">
        <f>'AEO 2023 Table 58 Raw'!F48</f>
        <v>0</v>
      </c>
      <c r="D63" s="255">
        <v>0.108209</v>
      </c>
      <c r="E63" s="255">
        <v>0.119158</v>
      </c>
      <c r="F63" s="255">
        <v>0.13134199999999999</v>
      </c>
      <c r="G63" s="255">
        <v>0.13572500000000001</v>
      </c>
      <c r="H63" s="255">
        <v>0.13825599999999999</v>
      </c>
      <c r="I63" s="255">
        <v>0.14230999999999999</v>
      </c>
      <c r="J63" s="255">
        <v>0.16400000000000001</v>
      </c>
      <c r="K63" s="255">
        <v>0.17142399999999999</v>
      </c>
      <c r="L63" s="255">
        <v>0.17405799999999999</v>
      </c>
      <c r="M63" s="255">
        <v>0.17841499999999999</v>
      </c>
      <c r="N63" s="255">
        <v>0.18232400000000001</v>
      </c>
      <c r="O63" s="255">
        <v>0.18602099999999999</v>
      </c>
      <c r="P63" s="255">
        <v>0.187887</v>
      </c>
      <c r="Q63" s="255">
        <v>0.20077700000000001</v>
      </c>
      <c r="R63" s="255">
        <v>0.21138999999999999</v>
      </c>
      <c r="S63" s="255">
        <v>0.21752199999999999</v>
      </c>
      <c r="T63" s="255">
        <v>0.22464200000000001</v>
      </c>
      <c r="U63" s="255">
        <v>0.23003499999999999</v>
      </c>
      <c r="V63" s="255">
        <v>0.23413600000000001</v>
      </c>
      <c r="W63" s="255">
        <v>0.23627000000000001</v>
      </c>
      <c r="X63" s="255">
        <v>0.23932300000000001</v>
      </c>
      <c r="Y63" s="255">
        <v>0.245171</v>
      </c>
      <c r="Z63" s="255">
        <v>0.25260899999999997</v>
      </c>
      <c r="AA63" s="255">
        <v>0.259579</v>
      </c>
      <c r="AB63" s="255">
        <v>0.26474500000000001</v>
      </c>
      <c r="AC63" s="255">
        <v>0.26828600000000002</v>
      </c>
      <c r="AD63" s="255">
        <v>0.27250600000000003</v>
      </c>
      <c r="AE63" s="255">
        <v>0.27456599999999998</v>
      </c>
      <c r="AF63" s="261">
        <v>3.4735126759146251E-2</v>
      </c>
    </row>
    <row r="64" spans="1:32" ht="15" customHeight="1" x14ac:dyDescent="0.25">
      <c r="A64" s="213"/>
      <c r="B64" s="254" t="s">
        <v>660</v>
      </c>
      <c r="C64" s="252">
        <f>'AEO 2023 Table 58 Raw'!F49</f>
        <v>0</v>
      </c>
      <c r="D64" s="255">
        <v>0.93689800000000001</v>
      </c>
      <c r="E64" s="255">
        <v>0.91462600000000005</v>
      </c>
      <c r="F64" s="255">
        <v>0.90052699999999997</v>
      </c>
      <c r="G64" s="255">
        <v>0.84066099999999999</v>
      </c>
      <c r="H64" s="255">
        <v>0.81380799999999998</v>
      </c>
      <c r="I64" s="255">
        <v>0.78795000000000004</v>
      </c>
      <c r="J64" s="255">
        <v>0.77431499999999998</v>
      </c>
      <c r="K64" s="255">
        <v>0.76019899999999996</v>
      </c>
      <c r="L64" s="255">
        <v>0.74055400000000005</v>
      </c>
      <c r="M64" s="255">
        <v>0.71574199999999999</v>
      </c>
      <c r="N64" s="255">
        <v>0.68988099999999997</v>
      </c>
      <c r="O64" s="255">
        <v>0.66662299999999997</v>
      </c>
      <c r="P64" s="255">
        <v>0.64348099999999997</v>
      </c>
      <c r="Q64" s="255">
        <v>0.62117500000000003</v>
      </c>
      <c r="R64" s="255">
        <v>0.59982100000000005</v>
      </c>
      <c r="S64" s="255">
        <v>0.57878399999999997</v>
      </c>
      <c r="T64" s="255">
        <v>0.55893000000000004</v>
      </c>
      <c r="U64" s="255">
        <v>0.54042000000000001</v>
      </c>
      <c r="V64" s="255">
        <v>0.52385899999999996</v>
      </c>
      <c r="W64" s="255">
        <v>0.50435700000000006</v>
      </c>
      <c r="X64" s="255">
        <v>0.48875299999999999</v>
      </c>
      <c r="Y64" s="255">
        <v>0.471661</v>
      </c>
      <c r="Z64" s="255">
        <v>0.45653899999999997</v>
      </c>
      <c r="AA64" s="255">
        <v>0.44107600000000002</v>
      </c>
      <c r="AB64" s="255">
        <v>0.42733900000000002</v>
      </c>
      <c r="AC64" s="255">
        <v>0.41376099999999999</v>
      </c>
      <c r="AD64" s="255">
        <v>0.402283</v>
      </c>
      <c r="AE64" s="255">
        <v>0.390766</v>
      </c>
      <c r="AF64" s="261">
        <v>-2.8691932153612432E-2</v>
      </c>
    </row>
    <row r="65" spans="1:33" ht="15" customHeight="1" x14ac:dyDescent="0.25">
      <c r="B65" s="254" t="s">
        <v>659</v>
      </c>
      <c r="C65" s="252">
        <f>'AEO 2023 Table 58 Raw'!F50</f>
        <v>0</v>
      </c>
      <c r="D65" s="255">
        <v>0.57191999999999998</v>
      </c>
      <c r="E65" s="255">
        <v>0.58917799999999998</v>
      </c>
      <c r="F65" s="255">
        <v>0.63555499999999998</v>
      </c>
      <c r="G65" s="255">
        <v>0.64706399999999997</v>
      </c>
      <c r="H65" s="255">
        <v>0.65484100000000001</v>
      </c>
      <c r="I65" s="255">
        <v>0.65867799999999999</v>
      </c>
      <c r="J65" s="255">
        <v>0.65889500000000001</v>
      </c>
      <c r="K65" s="255">
        <v>0.65491699999999997</v>
      </c>
      <c r="L65" s="255">
        <v>0.65032900000000005</v>
      </c>
      <c r="M65" s="255">
        <v>0.64883800000000003</v>
      </c>
      <c r="N65" s="255">
        <v>0.64614700000000003</v>
      </c>
      <c r="O65" s="255">
        <v>0.64855200000000002</v>
      </c>
      <c r="P65" s="255">
        <v>0.64564699999999997</v>
      </c>
      <c r="Q65" s="255">
        <v>0.64165000000000005</v>
      </c>
      <c r="R65" s="255">
        <v>0.63980800000000004</v>
      </c>
      <c r="S65" s="255">
        <v>0.63741599999999998</v>
      </c>
      <c r="T65" s="255">
        <v>0.635988</v>
      </c>
      <c r="U65" s="255">
        <v>0.63754599999999995</v>
      </c>
      <c r="V65" s="255">
        <v>0.634853</v>
      </c>
      <c r="W65" s="255">
        <v>0.63371299999999997</v>
      </c>
      <c r="X65" s="255">
        <v>0.63036199999999998</v>
      </c>
      <c r="Y65" s="255">
        <v>0.62960499999999997</v>
      </c>
      <c r="Z65" s="255">
        <v>0.62827999999999995</v>
      </c>
      <c r="AA65" s="255">
        <v>0.63241999999999998</v>
      </c>
      <c r="AB65" s="255">
        <v>0.63028799999999996</v>
      </c>
      <c r="AC65" s="255">
        <v>0.62731599999999998</v>
      </c>
      <c r="AD65" s="255">
        <v>0.62464600000000003</v>
      </c>
      <c r="AE65" s="255">
        <v>0.62132399999999999</v>
      </c>
      <c r="AF65" s="261">
        <v>1.1970317533106961E-2</v>
      </c>
    </row>
    <row r="66" spans="1:33" ht="15" customHeight="1" x14ac:dyDescent="0.25">
      <c r="A66" s="213"/>
      <c r="B66" s="254" t="s">
        <v>658</v>
      </c>
      <c r="C66" s="252">
        <f>'AEO 2023 Table 58 Raw'!F51</f>
        <v>0</v>
      </c>
      <c r="D66" s="255">
        <v>0.66259900000000005</v>
      </c>
      <c r="E66" s="255">
        <v>0.714036</v>
      </c>
      <c r="F66" s="255">
        <v>0.74614199999999997</v>
      </c>
      <c r="G66" s="255">
        <v>0.81572699999999998</v>
      </c>
      <c r="H66" s="255">
        <v>0.85282999999999998</v>
      </c>
      <c r="I66" s="255">
        <v>0.87607599999999997</v>
      </c>
      <c r="J66" s="255">
        <v>0.88318099999999999</v>
      </c>
      <c r="K66" s="255">
        <v>0.88894300000000004</v>
      </c>
      <c r="L66" s="255">
        <v>0.89415800000000001</v>
      </c>
      <c r="M66" s="255">
        <v>0.91067900000000002</v>
      </c>
      <c r="N66" s="255">
        <v>0.91531499999999999</v>
      </c>
      <c r="O66" s="255">
        <v>0.92198199999999997</v>
      </c>
      <c r="P66" s="255">
        <v>0.92446300000000003</v>
      </c>
      <c r="Q66" s="255">
        <v>0.92510300000000001</v>
      </c>
      <c r="R66" s="255">
        <v>0.92275200000000002</v>
      </c>
      <c r="S66" s="255">
        <v>0.919678</v>
      </c>
      <c r="T66" s="255">
        <v>0.93414399999999997</v>
      </c>
      <c r="U66" s="255">
        <v>0.93334399999999995</v>
      </c>
      <c r="V66" s="255">
        <v>0.92922000000000005</v>
      </c>
      <c r="W66" s="255">
        <v>0.92518400000000001</v>
      </c>
      <c r="X66" s="255">
        <v>0.92080200000000001</v>
      </c>
      <c r="Y66" s="255">
        <v>0.90487600000000001</v>
      </c>
      <c r="Z66" s="255">
        <v>0.91307799999999995</v>
      </c>
      <c r="AA66" s="255">
        <v>0.91250799999999999</v>
      </c>
      <c r="AB66" s="255">
        <v>0.911659</v>
      </c>
      <c r="AC66" s="255">
        <v>0.91034599999999999</v>
      </c>
      <c r="AD66" s="255">
        <v>0.90981999999999996</v>
      </c>
      <c r="AE66" s="255">
        <v>0.90815400000000002</v>
      </c>
      <c r="AF66" s="261">
        <v>1.712588640701318E-2</v>
      </c>
    </row>
    <row r="67" spans="1:33" ht="15" customHeight="1" x14ac:dyDescent="0.25">
      <c r="B67" s="254" t="s">
        <v>657</v>
      </c>
      <c r="C67" s="252">
        <f>'AEO 2023 Table 58 Raw'!F52</f>
        <v>0</v>
      </c>
      <c r="D67" s="255">
        <v>2.4514999999999999E-2</v>
      </c>
      <c r="E67" s="255">
        <v>2.3675000000000002E-2</v>
      </c>
      <c r="F67" s="255">
        <v>2.2865E-2</v>
      </c>
      <c r="G67" s="255">
        <v>2.2082999999999998E-2</v>
      </c>
      <c r="H67" s="255">
        <v>2.1328E-2</v>
      </c>
      <c r="I67" s="255">
        <v>2.0598999999999999E-2</v>
      </c>
      <c r="J67" s="255">
        <v>1.9896E-2</v>
      </c>
      <c r="K67" s="255">
        <v>1.9217000000000001E-2</v>
      </c>
      <c r="L67" s="255">
        <v>1.8561999999999999E-2</v>
      </c>
      <c r="M67" s="255">
        <v>1.7929E-2</v>
      </c>
      <c r="N67" s="255">
        <v>1.7319000000000001E-2</v>
      </c>
      <c r="O67" s="255">
        <v>1.6729000000000001E-2</v>
      </c>
      <c r="P67" s="255">
        <v>1.6160999999999998E-2</v>
      </c>
      <c r="Q67" s="255">
        <v>1.5306E-2</v>
      </c>
      <c r="R67" s="255">
        <v>1.4787E-2</v>
      </c>
      <c r="S67" s="255">
        <v>1.4285000000000001E-2</v>
      </c>
      <c r="T67" s="255">
        <v>1.3801000000000001E-2</v>
      </c>
      <c r="U67" s="255">
        <v>1.3334E-2</v>
      </c>
      <c r="V67" s="255">
        <v>1.2883E-2</v>
      </c>
      <c r="W67" s="255">
        <v>1.2447E-2</v>
      </c>
      <c r="X67" s="255">
        <v>1.201E-2</v>
      </c>
      <c r="Y67" s="255">
        <v>1.1605000000000001E-2</v>
      </c>
      <c r="Z67" s="255">
        <v>1.1213000000000001E-2</v>
      </c>
      <c r="AA67" s="255">
        <v>1.0834999999999999E-2</v>
      </c>
      <c r="AB67" s="255">
        <v>1.047E-2</v>
      </c>
      <c r="AC67" s="255">
        <v>1.0106E-2</v>
      </c>
      <c r="AD67" s="255">
        <v>9.7660000000000004E-3</v>
      </c>
      <c r="AE67" s="255">
        <v>9.4380000000000002E-3</v>
      </c>
      <c r="AF67" s="261">
        <v>-3.4339723966695601E-2</v>
      </c>
    </row>
    <row r="68" spans="1:33" ht="15" customHeight="1" x14ac:dyDescent="0.25">
      <c r="A68" s="213"/>
      <c r="B68" s="254" t="s">
        <v>656</v>
      </c>
      <c r="C68" s="252">
        <f>'AEO 2023 Table 58 Raw'!F53</f>
        <v>0</v>
      </c>
      <c r="D68" s="255">
        <v>2.9532660000000002</v>
      </c>
      <c r="E68" s="255">
        <v>2.965916</v>
      </c>
      <c r="F68" s="255">
        <v>2.9557959999999999</v>
      </c>
      <c r="G68" s="255">
        <v>2.9667849999999998</v>
      </c>
      <c r="H68" s="255">
        <v>2.8972009999999999</v>
      </c>
      <c r="I68" s="255">
        <v>2.8384860000000001</v>
      </c>
      <c r="J68" s="255">
        <v>2.7772760000000001</v>
      </c>
      <c r="K68" s="255">
        <v>2.7183890000000002</v>
      </c>
      <c r="L68" s="255">
        <v>2.6596289999999998</v>
      </c>
      <c r="M68" s="255">
        <v>2.630852</v>
      </c>
      <c r="N68" s="255">
        <v>2.5908549999999999</v>
      </c>
      <c r="O68" s="255">
        <v>2.566443</v>
      </c>
      <c r="P68" s="255">
        <v>2.5687519999999999</v>
      </c>
      <c r="Q68" s="255">
        <v>2.5559699999999999</v>
      </c>
      <c r="R68" s="255">
        <v>2.5856520000000001</v>
      </c>
      <c r="S68" s="255">
        <v>2.59788</v>
      </c>
      <c r="T68" s="255">
        <v>2.623691</v>
      </c>
      <c r="U68" s="255">
        <v>2.628755</v>
      </c>
      <c r="V68" s="255">
        <v>2.6226189999999998</v>
      </c>
      <c r="W68" s="255">
        <v>2.6181760000000001</v>
      </c>
      <c r="X68" s="255">
        <v>2.610916</v>
      </c>
      <c r="Y68" s="255">
        <v>2.6086330000000002</v>
      </c>
      <c r="Z68" s="255">
        <v>2.6322230000000002</v>
      </c>
      <c r="AA68" s="255">
        <v>2.6362909999999999</v>
      </c>
      <c r="AB68" s="255">
        <v>2.6419679999999999</v>
      </c>
      <c r="AC68" s="255">
        <v>2.6491899999999999</v>
      </c>
      <c r="AD68" s="255">
        <v>2.6548240000000001</v>
      </c>
      <c r="AE68" s="255">
        <v>2.6649790000000002</v>
      </c>
      <c r="AF68" s="261">
        <v>1.5354898062709399E-3</v>
      </c>
    </row>
    <row r="69" spans="1:33" ht="15" customHeight="1" x14ac:dyDescent="0.25">
      <c r="B69" s="254" t="s">
        <v>655</v>
      </c>
      <c r="C69" s="252">
        <f>'AEO 2023 Table 58 Raw'!F54</f>
        <v>0</v>
      </c>
      <c r="D69" s="255">
        <v>8.5125000000000006E-2</v>
      </c>
      <c r="E69" s="255">
        <v>8.4968000000000002E-2</v>
      </c>
      <c r="F69" s="255">
        <v>8.0169000000000004E-2</v>
      </c>
      <c r="G69" s="255">
        <v>7.5577000000000005E-2</v>
      </c>
      <c r="H69" s="255">
        <v>7.0812E-2</v>
      </c>
      <c r="I69" s="255">
        <v>6.9669999999999996E-2</v>
      </c>
      <c r="J69" s="255">
        <v>6.7444000000000004E-2</v>
      </c>
      <c r="K69" s="255">
        <v>6.3023999999999997E-2</v>
      </c>
      <c r="L69" s="255">
        <v>5.9395999999999997E-2</v>
      </c>
      <c r="M69" s="255">
        <v>5.6011999999999999E-2</v>
      </c>
      <c r="N69" s="255">
        <v>5.3795999999999997E-2</v>
      </c>
      <c r="O69" s="255">
        <v>5.2447000000000001E-2</v>
      </c>
      <c r="P69" s="255">
        <v>5.0970000000000001E-2</v>
      </c>
      <c r="Q69" s="255">
        <v>5.0594E-2</v>
      </c>
      <c r="R69" s="255">
        <v>5.4174E-2</v>
      </c>
      <c r="S69" s="255">
        <v>5.4212000000000003E-2</v>
      </c>
      <c r="T69" s="255">
        <v>6.7061999999999997E-2</v>
      </c>
      <c r="U69" s="255">
        <v>7.1486999999999995E-2</v>
      </c>
      <c r="V69" s="255">
        <v>7.3588000000000001E-2</v>
      </c>
      <c r="W69" s="255">
        <v>7.4077000000000004E-2</v>
      </c>
      <c r="X69" s="255">
        <v>7.4184E-2</v>
      </c>
      <c r="Y69" s="255">
        <v>7.4565000000000006E-2</v>
      </c>
      <c r="Z69" s="255">
        <v>7.5391E-2</v>
      </c>
      <c r="AA69" s="255">
        <v>7.8283000000000005E-2</v>
      </c>
      <c r="AB69" s="255">
        <v>8.0937999999999996E-2</v>
      </c>
      <c r="AC69" s="255">
        <v>8.2483000000000001E-2</v>
      </c>
      <c r="AD69" s="255">
        <v>8.4103999999999998E-2</v>
      </c>
      <c r="AE69" s="255">
        <v>8.5531999999999997E-2</v>
      </c>
      <c r="AF69" s="261">
        <v>1.230076423969173E-2</v>
      </c>
    </row>
    <row r="70" spans="1:33" ht="12" customHeight="1" x14ac:dyDescent="0.25">
      <c r="A70" s="213"/>
      <c r="B70" s="254" t="s">
        <v>654</v>
      </c>
      <c r="C70" s="252">
        <f>'AEO 2023 Table 58 Raw'!F55</f>
        <v>0</v>
      </c>
      <c r="D70" s="255">
        <v>0.880444</v>
      </c>
      <c r="E70" s="255">
        <v>0.90887499999999999</v>
      </c>
      <c r="F70" s="255">
        <v>0.97579000000000005</v>
      </c>
      <c r="G70" s="255">
        <v>0.98759399999999997</v>
      </c>
      <c r="H70" s="255">
        <v>0.99220299999999995</v>
      </c>
      <c r="I70" s="255">
        <v>0.99519999999999997</v>
      </c>
      <c r="J70" s="255">
        <v>0.99718099999999998</v>
      </c>
      <c r="K70" s="255">
        <v>0.99511799999999995</v>
      </c>
      <c r="L70" s="255">
        <v>0.99204499999999995</v>
      </c>
      <c r="M70" s="255">
        <v>0.99677300000000002</v>
      </c>
      <c r="N70" s="255">
        <v>1.056262</v>
      </c>
      <c r="O70" s="255">
        <v>1.0919620000000001</v>
      </c>
      <c r="P70" s="255">
        <v>1.128754</v>
      </c>
      <c r="Q70" s="255">
        <v>1.155376</v>
      </c>
      <c r="R70" s="255">
        <v>1.186167</v>
      </c>
      <c r="S70" s="255">
        <v>1.2150099999999999</v>
      </c>
      <c r="T70" s="255">
        <v>1.241271</v>
      </c>
      <c r="U70" s="255">
        <v>1.3296760000000001</v>
      </c>
      <c r="V70" s="255">
        <v>1.38167</v>
      </c>
      <c r="W70" s="255">
        <v>1.4153960000000001</v>
      </c>
      <c r="X70" s="255">
        <v>1.442509</v>
      </c>
      <c r="Y70" s="255">
        <v>1.4783599999999999</v>
      </c>
      <c r="Z70" s="255">
        <v>1.5060770000000001</v>
      </c>
      <c r="AA70" s="255">
        <v>1.531763</v>
      </c>
      <c r="AB70" s="255">
        <v>1.5538110000000001</v>
      </c>
      <c r="AC70" s="255">
        <v>1.5875680000000001</v>
      </c>
      <c r="AD70" s="255">
        <v>1.617103</v>
      </c>
      <c r="AE70" s="255">
        <v>1.668501</v>
      </c>
      <c r="AF70" s="261">
        <v>3.3873338912561612E-2</v>
      </c>
    </row>
    <row r="71" spans="1:33" ht="15" customHeight="1" x14ac:dyDescent="0.25">
      <c r="B71" s="254" t="s">
        <v>653</v>
      </c>
      <c r="C71" s="252">
        <f>'AEO 2023 Table 58 Raw'!F56</f>
        <v>0</v>
      </c>
      <c r="D71" s="255">
        <v>8.6267139999999998</v>
      </c>
      <c r="E71" s="255">
        <v>8.9012469999999997</v>
      </c>
      <c r="F71" s="255">
        <v>9.2674869999999991</v>
      </c>
      <c r="G71" s="255">
        <v>9.3723089999999996</v>
      </c>
      <c r="H71" s="255">
        <v>9.3136899999999994</v>
      </c>
      <c r="I71" s="255">
        <v>9.2621450000000003</v>
      </c>
      <c r="J71" s="255">
        <v>9.1873269999999998</v>
      </c>
      <c r="K71" s="255">
        <v>9.0775419999999993</v>
      </c>
      <c r="L71" s="255">
        <v>8.9368680000000005</v>
      </c>
      <c r="M71" s="255">
        <v>8.8828200000000006</v>
      </c>
      <c r="N71" s="255">
        <v>8.8633939999999996</v>
      </c>
      <c r="O71" s="255">
        <v>8.8213259999999991</v>
      </c>
      <c r="P71" s="255">
        <v>8.8166810000000009</v>
      </c>
      <c r="Q71" s="255">
        <v>8.7999159999999996</v>
      </c>
      <c r="R71" s="255">
        <v>8.8373419999999996</v>
      </c>
      <c r="S71" s="255">
        <v>8.8438309999999998</v>
      </c>
      <c r="T71" s="255">
        <v>8.937856</v>
      </c>
      <c r="U71" s="255">
        <v>9.0284659999999999</v>
      </c>
      <c r="V71" s="255">
        <v>9.0726399999999998</v>
      </c>
      <c r="W71" s="255">
        <v>9.0760260000000006</v>
      </c>
      <c r="X71" s="255">
        <v>9.0548210000000005</v>
      </c>
      <c r="Y71" s="255">
        <v>9.0331939999999999</v>
      </c>
      <c r="Z71" s="255">
        <v>9.0610680000000006</v>
      </c>
      <c r="AA71" s="255">
        <v>9.0734530000000007</v>
      </c>
      <c r="AB71" s="255">
        <v>9.0662629999999993</v>
      </c>
      <c r="AC71" s="255">
        <v>9.0694520000000001</v>
      </c>
      <c r="AD71" s="255">
        <v>9.0969420000000003</v>
      </c>
      <c r="AE71" s="255">
        <v>9.1387420000000006</v>
      </c>
      <c r="AF71" s="261">
        <v>6.8470039657695381E-3</v>
      </c>
    </row>
    <row r="72" spans="1:33" ht="15" customHeight="1" x14ac:dyDescent="0.25">
      <c r="A72" s="213"/>
      <c r="B72" s="212"/>
      <c r="C72" s="214"/>
      <c r="D72" s="214"/>
      <c r="E72" s="214"/>
      <c r="F72" s="214"/>
      <c r="G72" s="214"/>
      <c r="H72" s="214"/>
      <c r="I72" s="214"/>
      <c r="J72" s="214"/>
      <c r="K72" s="214"/>
      <c r="L72" s="214"/>
      <c r="M72" s="214"/>
      <c r="N72" s="214"/>
      <c r="O72" s="214"/>
      <c r="P72" s="214"/>
      <c r="Q72" s="214"/>
      <c r="R72" s="214"/>
      <c r="S72" s="214"/>
      <c r="T72" s="214"/>
      <c r="U72" s="214"/>
      <c r="V72" s="214"/>
      <c r="W72" s="214"/>
      <c r="X72" s="214"/>
      <c r="Y72" s="214"/>
      <c r="Z72" s="214"/>
      <c r="AA72" s="214"/>
      <c r="AB72" s="214"/>
      <c r="AC72" s="214"/>
      <c r="AD72" s="214"/>
      <c r="AE72" s="214"/>
      <c r="AF72" s="260"/>
    </row>
    <row r="74" spans="1:33" ht="15" customHeight="1" x14ac:dyDescent="0.2">
      <c r="B74" s="312" t="s">
        <v>652</v>
      </c>
      <c r="C74" s="308"/>
      <c r="D74" s="308"/>
      <c r="E74" s="308"/>
      <c r="F74" s="308"/>
      <c r="G74" s="308"/>
      <c r="H74" s="308"/>
      <c r="I74" s="308"/>
      <c r="J74" s="308"/>
      <c r="K74" s="308"/>
      <c r="L74" s="308"/>
      <c r="M74" s="308"/>
      <c r="N74" s="308"/>
      <c r="O74" s="308"/>
      <c r="P74" s="308"/>
      <c r="Q74" s="308"/>
      <c r="R74" s="308"/>
      <c r="S74" s="308"/>
      <c r="T74" s="308"/>
      <c r="U74" s="308"/>
      <c r="V74" s="308"/>
      <c r="W74" s="308"/>
      <c r="X74" s="308"/>
      <c r="Y74" s="308"/>
      <c r="Z74" s="308"/>
      <c r="AA74" s="308"/>
      <c r="AB74" s="308"/>
      <c r="AC74" s="308"/>
      <c r="AD74" s="308"/>
      <c r="AE74" s="308"/>
      <c r="AF74" s="308"/>
      <c r="AG74" s="234"/>
    </row>
    <row r="75" spans="1:33" ht="15" customHeight="1" x14ac:dyDescent="0.2">
      <c r="B75" s="208" t="s">
        <v>651</v>
      </c>
    </row>
    <row r="76" spans="1:33" ht="15" customHeight="1" x14ac:dyDescent="0.2">
      <c r="B76" s="208" t="s">
        <v>601</v>
      </c>
    </row>
    <row r="77" spans="1:33" ht="15" customHeight="1" x14ac:dyDescent="0.2">
      <c r="B77" s="208" t="s">
        <v>650</v>
      </c>
    </row>
    <row r="78" spans="1:33" ht="12" customHeight="1" x14ac:dyDescent="0.2">
      <c r="B78" s="208" t="s">
        <v>649</v>
      </c>
    </row>
    <row r="79" spans="1:33" ht="15" customHeight="1" x14ac:dyDescent="0.2">
      <c r="B79" s="208" t="s">
        <v>613</v>
      </c>
    </row>
    <row r="80" spans="1:33" ht="15" customHeight="1" x14ac:dyDescent="0.2">
      <c r="B80" s="208" t="s">
        <v>612</v>
      </c>
    </row>
    <row r="84" spans="2:32" ht="12" customHeight="1" x14ac:dyDescent="0.2"/>
    <row r="88" spans="2:32" ht="15" customHeight="1" x14ac:dyDescent="0.2">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c r="AD88" s="306"/>
      <c r="AE88" s="306"/>
      <c r="AF88" s="306"/>
    </row>
    <row r="93" spans="2:32" ht="12" customHeight="1" x14ac:dyDescent="0.2"/>
    <row r="94" spans="2:32" ht="12" customHeight="1" x14ac:dyDescent="0.2"/>
    <row r="95" spans="2:32" ht="12" customHeight="1" x14ac:dyDescent="0.2"/>
    <row r="96" spans="2:32" ht="12" customHeight="1" x14ac:dyDescent="0.2"/>
    <row r="97" ht="12" customHeight="1" x14ac:dyDescent="0.2"/>
    <row r="98" ht="12" customHeight="1" x14ac:dyDescent="0.2"/>
    <row r="99" ht="12" customHeight="1" x14ac:dyDescent="0.2"/>
    <row r="100" ht="12" customHeight="1" x14ac:dyDescent="0.2"/>
    <row r="101" ht="12" customHeight="1" x14ac:dyDescent="0.2"/>
    <row r="102" ht="12" customHeight="1" x14ac:dyDescent="0.2"/>
    <row r="103" ht="12" customHeight="1" x14ac:dyDescent="0.2"/>
    <row r="104" ht="12" customHeight="1" x14ac:dyDescent="0.2"/>
    <row r="105" ht="12" customHeight="1" x14ac:dyDescent="0.2"/>
    <row r="106" ht="12" customHeight="1" x14ac:dyDescent="0.2"/>
    <row r="107" ht="12" customHeight="1" x14ac:dyDescent="0.2"/>
    <row r="108" ht="12" customHeight="1" x14ac:dyDescent="0.2"/>
    <row r="109" ht="12" customHeight="1" x14ac:dyDescent="0.2"/>
    <row r="110" ht="12" customHeight="1" x14ac:dyDescent="0.2"/>
    <row r="111" ht="12" customHeight="1" x14ac:dyDescent="0.2"/>
    <row r="112" ht="12" customHeight="1" x14ac:dyDescent="0.2"/>
    <row r="113" ht="12" customHeight="1" x14ac:dyDescent="0.2"/>
    <row r="114" ht="12" customHeight="1" x14ac:dyDescent="0.2"/>
    <row r="115" ht="12" customHeight="1" x14ac:dyDescent="0.2"/>
    <row r="116" ht="12" customHeight="1" x14ac:dyDescent="0.2"/>
    <row r="117" ht="12" customHeight="1" x14ac:dyDescent="0.2"/>
    <row r="118" ht="12" customHeight="1" x14ac:dyDescent="0.2"/>
    <row r="119" ht="12" customHeight="1" x14ac:dyDescent="0.2"/>
    <row r="120" ht="12" customHeight="1" x14ac:dyDescent="0.2"/>
    <row r="121" ht="12" customHeight="1" x14ac:dyDescent="0.2"/>
    <row r="122" ht="12" customHeight="1" x14ac:dyDescent="0.2"/>
    <row r="123" ht="12" customHeight="1" x14ac:dyDescent="0.2"/>
    <row r="124" ht="12" customHeight="1" x14ac:dyDescent="0.2"/>
    <row r="125" ht="12" customHeight="1" x14ac:dyDescent="0.2"/>
    <row r="126" ht="12" customHeight="1" x14ac:dyDescent="0.2"/>
    <row r="127" ht="12" customHeight="1" x14ac:dyDescent="0.2"/>
    <row r="128" ht="12" customHeight="1" x14ac:dyDescent="0.2"/>
    <row r="129" ht="12" customHeight="1" x14ac:dyDescent="0.2"/>
    <row r="130" ht="12" customHeight="1" x14ac:dyDescent="0.2"/>
    <row r="131" ht="12" customHeight="1" x14ac:dyDescent="0.2"/>
    <row r="132" ht="12" customHeight="1" x14ac:dyDescent="0.2"/>
    <row r="133" ht="12" customHeight="1" x14ac:dyDescent="0.2"/>
    <row r="134" ht="12" customHeight="1" x14ac:dyDescent="0.2"/>
    <row r="135" ht="12" customHeight="1" x14ac:dyDescent="0.2"/>
    <row r="136" ht="12" customHeight="1" x14ac:dyDescent="0.2"/>
    <row r="137" ht="12" customHeight="1" x14ac:dyDescent="0.2"/>
    <row r="138" ht="12" customHeight="1" x14ac:dyDescent="0.2"/>
    <row r="139" ht="12" customHeight="1" x14ac:dyDescent="0.2"/>
    <row r="140" ht="12" customHeight="1" x14ac:dyDescent="0.2"/>
    <row r="141" ht="12" customHeight="1" x14ac:dyDescent="0.2"/>
    <row r="142" ht="12" customHeight="1" x14ac:dyDescent="0.2"/>
    <row r="143" ht="12" customHeight="1" x14ac:dyDescent="0.2"/>
    <row r="144" ht="12" customHeight="1" x14ac:dyDescent="0.2"/>
    <row r="145" ht="12" customHeight="1" x14ac:dyDescent="0.2"/>
    <row r="146" ht="12" customHeight="1" x14ac:dyDescent="0.2"/>
    <row r="147" ht="12" customHeight="1" x14ac:dyDescent="0.2"/>
    <row r="148" ht="12" customHeight="1" x14ac:dyDescent="0.2"/>
    <row r="149" ht="12" customHeight="1" x14ac:dyDescent="0.2"/>
    <row r="158" ht="12" customHeight="1" x14ac:dyDescent="0.2"/>
    <row r="167" ht="12" customHeight="1" x14ac:dyDescent="0.2"/>
    <row r="179" ht="12" customHeight="1" x14ac:dyDescent="0.2"/>
    <row r="180" ht="12" customHeight="1" x14ac:dyDescent="0.2"/>
    <row r="182" ht="12" customHeight="1" x14ac:dyDescent="0.2"/>
    <row r="184" ht="12" customHeight="1" x14ac:dyDescent="0.2"/>
    <row r="193" ht="12" customHeight="1" x14ac:dyDescent="0.2"/>
    <row r="214" spans="2:32" ht="15" customHeight="1" x14ac:dyDescent="0.2">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c r="AD214" s="306"/>
      <c r="AE214" s="306"/>
      <c r="AF214" s="306"/>
    </row>
    <row r="221" spans="2:32" ht="12" customHeight="1" x14ac:dyDescent="0.2"/>
    <row r="222" spans="2:32" ht="12" customHeight="1" x14ac:dyDescent="0.2"/>
    <row r="223" spans="2:32" ht="12" customHeight="1" x14ac:dyDescent="0.2"/>
    <row r="224" spans="2:32" ht="12" customHeight="1" x14ac:dyDescent="0.2"/>
    <row r="225" ht="12" customHeight="1" x14ac:dyDescent="0.2"/>
    <row r="226" ht="12" customHeight="1" x14ac:dyDescent="0.2"/>
    <row r="227" ht="12" customHeight="1" x14ac:dyDescent="0.2"/>
    <row r="228" ht="12" customHeight="1" x14ac:dyDescent="0.2"/>
    <row r="229" ht="12" customHeight="1" x14ac:dyDescent="0.2"/>
    <row r="230" ht="12" customHeight="1" x14ac:dyDescent="0.2"/>
    <row r="231" ht="12" customHeight="1" x14ac:dyDescent="0.2"/>
    <row r="232" ht="12" customHeight="1" x14ac:dyDescent="0.2"/>
    <row r="233" ht="12" customHeight="1" x14ac:dyDescent="0.2"/>
    <row r="234" ht="12" customHeight="1" x14ac:dyDescent="0.2"/>
    <row r="235" ht="12" customHeight="1" x14ac:dyDescent="0.2"/>
    <row r="236" ht="12" customHeight="1" x14ac:dyDescent="0.2"/>
    <row r="237" ht="12" customHeight="1" x14ac:dyDescent="0.2"/>
    <row r="238" ht="12" customHeight="1" x14ac:dyDescent="0.2"/>
    <row r="239" ht="12" customHeight="1" x14ac:dyDescent="0.2"/>
    <row r="240" ht="12" customHeight="1" x14ac:dyDescent="0.2"/>
    <row r="241" ht="12" customHeight="1" x14ac:dyDescent="0.2"/>
    <row r="242" ht="12" customHeight="1" x14ac:dyDescent="0.2"/>
    <row r="243" ht="12" customHeight="1" x14ac:dyDescent="0.2"/>
    <row r="244" ht="12" customHeight="1" x14ac:dyDescent="0.2"/>
    <row r="245" ht="12" customHeight="1" x14ac:dyDescent="0.2"/>
    <row r="246" ht="12" customHeight="1" x14ac:dyDescent="0.2"/>
    <row r="247" ht="12" customHeight="1" x14ac:dyDescent="0.2"/>
    <row r="248" ht="12" customHeight="1" x14ac:dyDescent="0.2"/>
    <row r="249" ht="12" customHeight="1" x14ac:dyDescent="0.2"/>
    <row r="250" ht="12" customHeight="1" x14ac:dyDescent="0.2"/>
    <row r="251" ht="12" customHeight="1" x14ac:dyDescent="0.2"/>
    <row r="252" ht="12" customHeight="1" x14ac:dyDescent="0.2"/>
    <row r="253" ht="12" customHeight="1" x14ac:dyDescent="0.2"/>
    <row r="254" ht="12" customHeight="1" x14ac:dyDescent="0.2"/>
    <row r="255" ht="12" customHeight="1" x14ac:dyDescent="0.2"/>
    <row r="256" ht="12" customHeight="1" x14ac:dyDescent="0.2"/>
    <row r="257" ht="12" customHeight="1" x14ac:dyDescent="0.2"/>
    <row r="258" ht="12" customHeight="1" x14ac:dyDescent="0.2"/>
    <row r="259" ht="12" customHeight="1" x14ac:dyDescent="0.2"/>
    <row r="260" ht="12" customHeight="1" x14ac:dyDescent="0.2"/>
    <row r="261" ht="12" customHeight="1" x14ac:dyDescent="0.2"/>
    <row r="262" ht="12" customHeight="1" x14ac:dyDescent="0.2"/>
    <row r="263" ht="12" customHeight="1" x14ac:dyDescent="0.2"/>
    <row r="264" ht="12" customHeight="1" x14ac:dyDescent="0.2"/>
    <row r="265" ht="12" customHeight="1" x14ac:dyDescent="0.2"/>
    <row r="266" ht="12" customHeight="1" x14ac:dyDescent="0.2"/>
    <row r="267" ht="12" customHeight="1" x14ac:dyDescent="0.2"/>
    <row r="268" ht="12" customHeight="1" x14ac:dyDescent="0.2"/>
    <row r="269" ht="12" customHeight="1" x14ac:dyDescent="0.2"/>
    <row r="270" ht="12" customHeight="1" x14ac:dyDescent="0.2"/>
    <row r="271" ht="12" customHeight="1" x14ac:dyDescent="0.2"/>
    <row r="272" ht="12" customHeight="1" x14ac:dyDescent="0.2"/>
    <row r="273" ht="12" customHeight="1" x14ac:dyDescent="0.2"/>
    <row r="274" ht="12" customHeight="1" x14ac:dyDescent="0.2"/>
    <row r="275" ht="12" customHeight="1" x14ac:dyDescent="0.2"/>
    <row r="276" ht="12" customHeight="1" x14ac:dyDescent="0.2"/>
    <row r="277" ht="12" customHeight="1" x14ac:dyDescent="0.2"/>
    <row r="278" ht="12" customHeight="1" x14ac:dyDescent="0.2"/>
    <row r="279" ht="12" customHeight="1" x14ac:dyDescent="0.2"/>
    <row r="280" ht="12" customHeight="1" x14ac:dyDescent="0.2"/>
    <row r="281" ht="12" customHeight="1" x14ac:dyDescent="0.2"/>
    <row r="282" ht="12" customHeight="1" x14ac:dyDescent="0.2"/>
    <row r="283" ht="12" customHeight="1" x14ac:dyDescent="0.2"/>
    <row r="284" ht="12" customHeight="1" x14ac:dyDescent="0.2"/>
    <row r="285" ht="12" customHeight="1" x14ac:dyDescent="0.2"/>
    <row r="286" ht="12" customHeight="1" x14ac:dyDescent="0.2"/>
    <row r="287" ht="12" customHeight="1" x14ac:dyDescent="0.2"/>
    <row r="288" ht="12" customHeight="1" x14ac:dyDescent="0.2"/>
    <row r="289" ht="12" customHeight="1" x14ac:dyDescent="0.2"/>
    <row r="290" ht="12" customHeight="1" x14ac:dyDescent="0.2"/>
    <row r="291" ht="12" customHeight="1" x14ac:dyDescent="0.2"/>
    <row r="292" ht="12" customHeight="1" x14ac:dyDescent="0.2"/>
    <row r="293" ht="12" customHeight="1" x14ac:dyDescent="0.2"/>
    <row r="294" ht="12" customHeight="1" x14ac:dyDescent="0.2"/>
    <row r="295" ht="12" customHeight="1" x14ac:dyDescent="0.2"/>
    <row r="296" ht="12" customHeight="1" x14ac:dyDescent="0.2"/>
    <row r="297" ht="12" customHeight="1" x14ac:dyDescent="0.2"/>
    <row r="298" ht="12" customHeight="1" x14ac:dyDescent="0.2"/>
    <row r="299" ht="12" customHeight="1" x14ac:dyDescent="0.2"/>
    <row r="300" ht="12" customHeight="1" x14ac:dyDescent="0.2"/>
    <row r="301" ht="12" customHeight="1" x14ac:dyDescent="0.2"/>
    <row r="302" ht="12" customHeight="1" x14ac:dyDescent="0.2"/>
    <row r="303" ht="12" customHeight="1" x14ac:dyDescent="0.2"/>
    <row r="304" ht="12" customHeight="1" x14ac:dyDescent="0.2"/>
    <row r="305" ht="12" customHeight="1" x14ac:dyDescent="0.2"/>
    <row r="306" ht="12" customHeight="1" x14ac:dyDescent="0.2"/>
    <row r="307" ht="12" customHeight="1" x14ac:dyDescent="0.2"/>
    <row r="308" ht="12" customHeight="1" x14ac:dyDescent="0.2"/>
    <row r="309" ht="12" customHeight="1" x14ac:dyDescent="0.2"/>
    <row r="310" ht="12" customHeight="1" x14ac:dyDescent="0.2"/>
    <row r="311" ht="12" customHeight="1" x14ac:dyDescent="0.2"/>
    <row r="312" ht="12" customHeight="1" x14ac:dyDescent="0.2"/>
    <row r="313" ht="12" customHeight="1" x14ac:dyDescent="0.2"/>
    <row r="314" ht="12" customHeight="1" x14ac:dyDescent="0.2"/>
    <row r="322" ht="12" customHeight="1" x14ac:dyDescent="0.2"/>
    <row r="331" ht="12" customHeight="1" x14ac:dyDescent="0.2"/>
    <row r="343" ht="12" customHeight="1" x14ac:dyDescent="0.2"/>
    <row r="344" ht="12" customHeight="1" x14ac:dyDescent="0.2"/>
    <row r="349" ht="12" customHeight="1" x14ac:dyDescent="0.2"/>
    <row r="352" ht="12" customHeight="1" x14ac:dyDescent="0.2"/>
    <row r="361" ht="12" customHeight="1" x14ac:dyDescent="0.2"/>
    <row r="383" spans="2:32" ht="15" customHeight="1" x14ac:dyDescent="0.2">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c r="AD383" s="306"/>
      <c r="AE383" s="306"/>
      <c r="AF383" s="306"/>
    </row>
    <row r="389" ht="12" customHeight="1" x14ac:dyDescent="0.2"/>
    <row r="390" ht="12" customHeight="1" x14ac:dyDescent="0.2"/>
    <row r="391" ht="12" customHeight="1" x14ac:dyDescent="0.2"/>
    <row r="392" ht="12" customHeight="1" x14ac:dyDescent="0.2"/>
    <row r="393" ht="12" customHeight="1" x14ac:dyDescent="0.2"/>
    <row r="394" ht="12" customHeight="1" x14ac:dyDescent="0.2"/>
    <row r="395" ht="12" customHeight="1" x14ac:dyDescent="0.2"/>
    <row r="396" ht="12" customHeight="1" x14ac:dyDescent="0.2"/>
    <row r="397" ht="12" customHeight="1" x14ac:dyDescent="0.2"/>
    <row r="398" ht="12" customHeight="1" x14ac:dyDescent="0.2"/>
    <row r="399" ht="12" customHeight="1" x14ac:dyDescent="0.2"/>
    <row r="400" ht="12" customHeight="1" x14ac:dyDescent="0.2"/>
    <row r="401" ht="12" customHeight="1" x14ac:dyDescent="0.2"/>
    <row r="402" ht="12" customHeight="1" x14ac:dyDescent="0.2"/>
    <row r="403" ht="12" customHeight="1" x14ac:dyDescent="0.2"/>
    <row r="404" ht="12" customHeight="1" x14ac:dyDescent="0.2"/>
    <row r="405" ht="12" customHeight="1" x14ac:dyDescent="0.2"/>
    <row r="406" ht="12" customHeight="1" x14ac:dyDescent="0.2"/>
    <row r="407" ht="12" customHeight="1" x14ac:dyDescent="0.2"/>
    <row r="408" ht="12" customHeight="1" x14ac:dyDescent="0.2"/>
    <row r="409" ht="12" customHeight="1" x14ac:dyDescent="0.2"/>
    <row r="410" ht="12" customHeight="1" x14ac:dyDescent="0.2"/>
    <row r="411" ht="12" customHeight="1" x14ac:dyDescent="0.2"/>
    <row r="412" ht="12" customHeight="1" x14ac:dyDescent="0.2"/>
    <row r="413" ht="12" customHeight="1" x14ac:dyDescent="0.2"/>
    <row r="414" ht="12" customHeight="1" x14ac:dyDescent="0.2"/>
    <row r="415" ht="12" customHeight="1" x14ac:dyDescent="0.2"/>
    <row r="416" ht="12" customHeight="1" x14ac:dyDescent="0.2"/>
    <row r="417" ht="12" customHeight="1" x14ac:dyDescent="0.2"/>
    <row r="418" ht="12" customHeight="1" x14ac:dyDescent="0.2"/>
    <row r="419" ht="12" customHeight="1" x14ac:dyDescent="0.2"/>
    <row r="420" ht="12" customHeight="1" x14ac:dyDescent="0.2"/>
    <row r="421" ht="12" customHeight="1" x14ac:dyDescent="0.2"/>
    <row r="422" ht="12" customHeight="1" x14ac:dyDescent="0.2"/>
    <row r="423" ht="12" customHeight="1" x14ac:dyDescent="0.2"/>
    <row r="424" ht="12" customHeight="1" x14ac:dyDescent="0.2"/>
    <row r="425" ht="12" customHeight="1" x14ac:dyDescent="0.2"/>
    <row r="426" ht="12" customHeight="1" x14ac:dyDescent="0.2"/>
    <row r="427" ht="12" customHeight="1" x14ac:dyDescent="0.2"/>
    <row r="428" ht="12" customHeight="1" x14ac:dyDescent="0.2"/>
    <row r="429" ht="12" customHeight="1" x14ac:dyDescent="0.2"/>
    <row r="430" ht="12" customHeight="1" x14ac:dyDescent="0.2"/>
    <row r="431" ht="12" customHeight="1" x14ac:dyDescent="0.2"/>
    <row r="432" ht="12" customHeight="1" x14ac:dyDescent="0.2"/>
    <row r="433" ht="12" customHeight="1" x14ac:dyDescent="0.2"/>
    <row r="434" ht="12" customHeight="1" x14ac:dyDescent="0.2"/>
    <row r="435" ht="12" customHeight="1" x14ac:dyDescent="0.2"/>
    <row r="436" ht="12" customHeight="1" x14ac:dyDescent="0.2"/>
    <row r="437" ht="12" customHeight="1" x14ac:dyDescent="0.2"/>
    <row r="438" ht="12" customHeight="1" x14ac:dyDescent="0.2"/>
    <row r="439" ht="12" customHeight="1" x14ac:dyDescent="0.2"/>
    <row r="440" ht="12" customHeight="1" x14ac:dyDescent="0.2"/>
    <row r="441" ht="12" customHeight="1" x14ac:dyDescent="0.2"/>
    <row r="442" ht="12" customHeight="1" x14ac:dyDescent="0.2"/>
    <row r="443" ht="12" customHeight="1" x14ac:dyDescent="0.2"/>
    <row r="444" ht="12" customHeight="1" x14ac:dyDescent="0.2"/>
    <row r="445" ht="12" customHeight="1" x14ac:dyDescent="0.2"/>
    <row r="446" ht="12" customHeight="1" x14ac:dyDescent="0.2"/>
    <row r="447" ht="12" customHeight="1" x14ac:dyDescent="0.2"/>
    <row r="448" ht="12" customHeight="1" x14ac:dyDescent="0.2"/>
    <row r="449" ht="12" customHeight="1" x14ac:dyDescent="0.2"/>
    <row r="450" ht="12" customHeight="1" x14ac:dyDescent="0.2"/>
    <row r="451" ht="12" customHeight="1" x14ac:dyDescent="0.2"/>
    <row r="452" ht="12" customHeight="1" x14ac:dyDescent="0.2"/>
    <row r="453" ht="12" customHeight="1" x14ac:dyDescent="0.2"/>
    <row r="454" ht="12" customHeight="1" x14ac:dyDescent="0.2"/>
    <row r="455" ht="12" customHeight="1" x14ac:dyDescent="0.2"/>
    <row r="456" ht="12" customHeight="1" x14ac:dyDescent="0.2"/>
    <row r="457" ht="12" customHeight="1" x14ac:dyDescent="0.2"/>
    <row r="458" ht="12" customHeight="1" x14ac:dyDescent="0.2"/>
    <row r="459" ht="12" customHeight="1" x14ac:dyDescent="0.2"/>
    <row r="460" ht="12" customHeight="1" x14ac:dyDescent="0.2"/>
    <row r="461" ht="12" customHeight="1" x14ac:dyDescent="0.2"/>
    <row r="462" ht="12" customHeight="1" x14ac:dyDescent="0.2"/>
    <row r="463" ht="12" customHeight="1" x14ac:dyDescent="0.2"/>
    <row r="464" ht="12" customHeight="1" x14ac:dyDescent="0.2"/>
    <row r="465" ht="12" customHeight="1" x14ac:dyDescent="0.2"/>
    <row r="466" ht="12" customHeight="1" x14ac:dyDescent="0.2"/>
    <row r="467" ht="12" customHeight="1" x14ac:dyDescent="0.2"/>
    <row r="468" ht="12" customHeight="1" x14ac:dyDescent="0.2"/>
    <row r="469" ht="12" customHeight="1" x14ac:dyDescent="0.2"/>
    <row r="470" ht="12" customHeight="1" x14ac:dyDescent="0.2"/>
    <row r="471" ht="12" customHeight="1" x14ac:dyDescent="0.2"/>
    <row r="472" ht="12" customHeight="1" x14ac:dyDescent="0.2"/>
    <row r="473" ht="12" customHeight="1" x14ac:dyDescent="0.2"/>
    <row r="474" ht="12" customHeight="1" x14ac:dyDescent="0.2"/>
    <row r="475" ht="12" customHeight="1" x14ac:dyDescent="0.2"/>
    <row r="476" ht="12" customHeight="1" x14ac:dyDescent="0.2"/>
    <row r="477" ht="12" customHeight="1" x14ac:dyDescent="0.2"/>
    <row r="478" ht="12" customHeight="1" x14ac:dyDescent="0.2"/>
    <row r="479" ht="12" customHeight="1" x14ac:dyDescent="0.2"/>
    <row r="480" ht="12" customHeight="1" x14ac:dyDescent="0.2"/>
    <row r="500" spans="2:32" ht="15" customHeight="1" x14ac:dyDescent="0.2">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c r="AD500" s="306"/>
      <c r="AE500" s="306"/>
      <c r="AF500" s="306"/>
    </row>
    <row r="504" spans="2:32" ht="12" customHeight="1" x14ac:dyDescent="0.2"/>
    <row r="505" spans="2:32" ht="12" customHeight="1" x14ac:dyDescent="0.2"/>
    <row r="506" spans="2:32" ht="12" customHeight="1" x14ac:dyDescent="0.2"/>
    <row r="507" spans="2:32" ht="12" customHeight="1" x14ac:dyDescent="0.2"/>
    <row r="508" spans="2:32" ht="12" customHeight="1" x14ac:dyDescent="0.2"/>
    <row r="509" spans="2:32" ht="12" customHeight="1" x14ac:dyDescent="0.2"/>
    <row r="510" spans="2:32" ht="12" customHeight="1" x14ac:dyDescent="0.2"/>
    <row r="511" spans="2:32" ht="12" customHeight="1" x14ac:dyDescent="0.2"/>
    <row r="512" spans="2:32" ht="12" customHeight="1" x14ac:dyDescent="0.2"/>
    <row r="513" ht="12" customHeight="1" x14ac:dyDescent="0.2"/>
    <row r="514" ht="12" customHeight="1" x14ac:dyDescent="0.2"/>
    <row r="515" ht="12" customHeight="1" x14ac:dyDescent="0.2"/>
    <row r="516" ht="12" customHeight="1" x14ac:dyDescent="0.2"/>
    <row r="517" ht="12" customHeight="1" x14ac:dyDescent="0.2"/>
    <row r="518" ht="12" customHeight="1" x14ac:dyDescent="0.2"/>
    <row r="519" ht="12" customHeight="1" x14ac:dyDescent="0.2"/>
    <row r="520" ht="12" customHeight="1" x14ac:dyDescent="0.2"/>
    <row r="521" ht="12" customHeight="1" x14ac:dyDescent="0.2"/>
    <row r="522" ht="12" customHeight="1" x14ac:dyDescent="0.2"/>
    <row r="523" ht="12" customHeight="1" x14ac:dyDescent="0.2"/>
    <row r="524" ht="12" customHeight="1" x14ac:dyDescent="0.2"/>
    <row r="525" ht="12" customHeight="1" x14ac:dyDescent="0.2"/>
    <row r="526" ht="12" customHeight="1" x14ac:dyDescent="0.2"/>
    <row r="527" ht="12" customHeight="1" x14ac:dyDescent="0.2"/>
    <row r="528" ht="12" customHeight="1" x14ac:dyDescent="0.2"/>
    <row r="529" ht="12" customHeight="1" x14ac:dyDescent="0.2"/>
    <row r="530" ht="12" customHeight="1" x14ac:dyDescent="0.2"/>
    <row r="531" ht="12" customHeight="1" x14ac:dyDescent="0.2"/>
    <row r="532" ht="12" customHeight="1" x14ac:dyDescent="0.2"/>
    <row r="533" ht="12" customHeight="1" x14ac:dyDescent="0.2"/>
    <row r="534" ht="12" customHeight="1" x14ac:dyDescent="0.2"/>
    <row r="535" ht="12" customHeight="1" x14ac:dyDescent="0.2"/>
    <row r="536" ht="12" customHeight="1" x14ac:dyDescent="0.2"/>
    <row r="537" ht="12" customHeight="1" x14ac:dyDescent="0.2"/>
    <row r="538" ht="12" customHeight="1" x14ac:dyDescent="0.2"/>
    <row r="539" ht="12" customHeight="1" x14ac:dyDescent="0.2"/>
    <row r="540" ht="12" customHeight="1" x14ac:dyDescent="0.2"/>
    <row r="541" ht="12" customHeight="1" x14ac:dyDescent="0.2"/>
    <row r="542" ht="12" customHeight="1" x14ac:dyDescent="0.2"/>
    <row r="543" ht="12" customHeight="1" x14ac:dyDescent="0.2"/>
    <row r="544" ht="12" customHeight="1" x14ac:dyDescent="0.2"/>
    <row r="545" ht="12" customHeight="1" x14ac:dyDescent="0.2"/>
    <row r="546" ht="12" customHeight="1" x14ac:dyDescent="0.2"/>
    <row r="547" ht="12" customHeight="1" x14ac:dyDescent="0.2"/>
    <row r="548" ht="12" customHeight="1" x14ac:dyDescent="0.2"/>
    <row r="549" ht="12" customHeight="1" x14ac:dyDescent="0.2"/>
    <row r="550" ht="12" customHeight="1" x14ac:dyDescent="0.2"/>
    <row r="551" ht="12" customHeight="1" x14ac:dyDescent="0.2"/>
    <row r="552" ht="12" customHeight="1" x14ac:dyDescent="0.2"/>
    <row r="553" ht="12" customHeight="1" x14ac:dyDescent="0.2"/>
    <row r="554" ht="12" customHeight="1" x14ac:dyDescent="0.2"/>
    <row r="555" ht="12" customHeight="1" x14ac:dyDescent="0.2"/>
    <row r="556" ht="12" customHeight="1" x14ac:dyDescent="0.2"/>
    <row r="557" ht="12" customHeight="1" x14ac:dyDescent="0.2"/>
    <row r="558" ht="12" customHeight="1" x14ac:dyDescent="0.2"/>
    <row r="559" ht="12" customHeight="1" x14ac:dyDescent="0.2"/>
    <row r="560" ht="12" customHeight="1" x14ac:dyDescent="0.2"/>
    <row r="561" ht="12" customHeight="1" x14ac:dyDescent="0.2"/>
    <row r="562" ht="12" customHeight="1" x14ac:dyDescent="0.2"/>
    <row r="563" ht="12" customHeight="1" x14ac:dyDescent="0.2"/>
    <row r="564" ht="12" customHeight="1" x14ac:dyDescent="0.2"/>
    <row r="565" ht="12" customHeight="1" x14ac:dyDescent="0.2"/>
    <row r="566" ht="12" customHeight="1" x14ac:dyDescent="0.2"/>
    <row r="567" ht="12" customHeight="1" x14ac:dyDescent="0.2"/>
    <row r="568" ht="12" customHeight="1" x14ac:dyDescent="0.2"/>
    <row r="569" ht="12" customHeight="1" x14ac:dyDescent="0.2"/>
    <row r="570" ht="12" customHeight="1" x14ac:dyDescent="0.2"/>
    <row r="571" ht="12" customHeight="1" x14ac:dyDescent="0.2"/>
    <row r="572" ht="12" customHeight="1" x14ac:dyDescent="0.2"/>
    <row r="573" ht="12" customHeight="1" x14ac:dyDescent="0.2"/>
    <row r="574" ht="12" customHeight="1" x14ac:dyDescent="0.2"/>
    <row r="575" ht="12" customHeight="1" x14ac:dyDescent="0.2"/>
    <row r="576" ht="12" customHeight="1" x14ac:dyDescent="0.2"/>
    <row r="577" ht="12" customHeight="1" x14ac:dyDescent="0.2"/>
    <row r="578" ht="12" customHeight="1" x14ac:dyDescent="0.2"/>
    <row r="579" ht="12" customHeight="1" x14ac:dyDescent="0.2"/>
    <row r="580" ht="12" customHeight="1" x14ac:dyDescent="0.2"/>
    <row r="596" ht="12" customHeight="1" x14ac:dyDescent="0.2"/>
    <row r="607" ht="12" customHeight="1" x14ac:dyDescent="0.2"/>
    <row r="618" ht="12" customHeight="1" x14ac:dyDescent="0.2"/>
    <row r="629" ht="12" customHeight="1" x14ac:dyDescent="0.2"/>
    <row r="640" ht="12" customHeight="1" x14ac:dyDescent="0.2"/>
    <row r="652" spans="2:32" ht="15" customHeight="1" x14ac:dyDescent="0.2">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c r="AD652" s="306"/>
      <c r="AE652" s="306"/>
      <c r="AF652" s="306"/>
    </row>
    <row r="663" ht="12" customHeight="1" x14ac:dyDescent="0.2"/>
    <row r="664" ht="12" customHeight="1" x14ac:dyDescent="0.2"/>
    <row r="665" ht="12" customHeight="1" x14ac:dyDescent="0.2"/>
    <row r="666" ht="12" customHeight="1" x14ac:dyDescent="0.2"/>
    <row r="667" ht="12" customHeight="1" x14ac:dyDescent="0.2"/>
    <row r="668" ht="12" customHeight="1" x14ac:dyDescent="0.2"/>
    <row r="669" ht="12" customHeight="1" x14ac:dyDescent="0.2"/>
    <row r="670" ht="12" customHeight="1" x14ac:dyDescent="0.2"/>
    <row r="671" ht="12" customHeight="1" x14ac:dyDescent="0.2"/>
    <row r="672" ht="12" customHeight="1" x14ac:dyDescent="0.2"/>
    <row r="673" ht="12" customHeight="1" x14ac:dyDescent="0.2"/>
    <row r="674" ht="12" customHeight="1" x14ac:dyDescent="0.2"/>
    <row r="675" ht="12" customHeight="1" x14ac:dyDescent="0.2"/>
    <row r="676" ht="12" customHeight="1" x14ac:dyDescent="0.2"/>
    <row r="677" ht="12" customHeight="1" x14ac:dyDescent="0.2"/>
    <row r="678" ht="12" customHeight="1" x14ac:dyDescent="0.2"/>
    <row r="679" ht="12" customHeight="1" x14ac:dyDescent="0.2"/>
    <row r="680" ht="12" customHeight="1" x14ac:dyDescent="0.2"/>
    <row r="696" ht="12" customHeight="1" x14ac:dyDescent="0.2"/>
    <row r="707" ht="12" customHeight="1" x14ac:dyDescent="0.2"/>
    <row r="718" ht="12" customHeight="1" x14ac:dyDescent="0.2"/>
    <row r="729" ht="12" customHeight="1" x14ac:dyDescent="0.2"/>
    <row r="740" spans="2:32" ht="12" customHeight="1" x14ac:dyDescent="0.2"/>
    <row r="752" spans="2:32" ht="15" customHeight="1" x14ac:dyDescent="0.2">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c r="AD752" s="306"/>
      <c r="AE752" s="306"/>
      <c r="AF752" s="306"/>
    </row>
    <row r="762" ht="12" customHeight="1" x14ac:dyDescent="0.2"/>
    <row r="763" ht="12" customHeight="1" x14ac:dyDescent="0.2"/>
    <row r="764" ht="12" customHeight="1" x14ac:dyDescent="0.2"/>
    <row r="765" ht="12" customHeight="1" x14ac:dyDescent="0.2"/>
    <row r="766" ht="12" customHeight="1" x14ac:dyDescent="0.2"/>
    <row r="767" ht="12" customHeight="1" x14ac:dyDescent="0.2"/>
    <row r="768" ht="12" customHeight="1" x14ac:dyDescent="0.2"/>
    <row r="769" ht="12" customHeight="1" x14ac:dyDescent="0.2"/>
    <row r="770" ht="12" customHeight="1" x14ac:dyDescent="0.2"/>
    <row r="771" ht="12" customHeight="1" x14ac:dyDescent="0.2"/>
    <row r="772" ht="12" customHeight="1" x14ac:dyDescent="0.2"/>
    <row r="773" ht="12" customHeight="1" x14ac:dyDescent="0.2"/>
    <row r="774" ht="12" customHeight="1" x14ac:dyDescent="0.2"/>
    <row r="775" ht="12" customHeight="1" x14ac:dyDescent="0.2"/>
    <row r="776" ht="12" customHeight="1" x14ac:dyDescent="0.2"/>
    <row r="777" ht="12" customHeight="1" x14ac:dyDescent="0.2"/>
    <row r="778" ht="12" customHeight="1" x14ac:dyDescent="0.2"/>
    <row r="779" ht="12" customHeight="1" x14ac:dyDescent="0.2"/>
    <row r="780" ht="12" customHeight="1" x14ac:dyDescent="0.2"/>
    <row r="789" ht="12" customHeight="1" x14ac:dyDescent="0.2"/>
    <row r="794" ht="12" customHeight="1" x14ac:dyDescent="0.2"/>
    <row r="801" ht="12" customHeight="1" x14ac:dyDescent="0.2"/>
    <row r="806" ht="12" customHeight="1" x14ac:dyDescent="0.2"/>
    <row r="810" ht="12" customHeight="1" x14ac:dyDescent="0.2"/>
    <row r="816" ht="12" customHeight="1" x14ac:dyDescent="0.2"/>
    <row r="823" ht="12" customHeight="1" x14ac:dyDescent="0.2"/>
    <row r="828" ht="12" customHeight="1" x14ac:dyDescent="0.2"/>
    <row r="832" ht="12" customHeight="1" x14ac:dyDescent="0.2"/>
    <row r="837" spans="2:32" ht="12" customHeight="1" x14ac:dyDescent="0.2"/>
    <row r="843" spans="2:32" ht="15" customHeight="1" x14ac:dyDescent="0.2">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c r="AD843" s="306"/>
      <c r="AE843" s="306"/>
      <c r="AF843" s="306"/>
    </row>
    <row r="852" ht="12" customHeight="1" x14ac:dyDescent="0.2"/>
    <row r="853" ht="12" customHeight="1" x14ac:dyDescent="0.2"/>
    <row r="854" ht="12" customHeight="1" x14ac:dyDescent="0.2"/>
    <row r="855" ht="12" customHeight="1" x14ac:dyDescent="0.2"/>
    <row r="856" ht="12" customHeight="1" x14ac:dyDescent="0.2"/>
    <row r="857" ht="12" customHeight="1" x14ac:dyDescent="0.2"/>
    <row r="858" ht="12" customHeight="1" x14ac:dyDescent="0.2"/>
    <row r="859" ht="12" customHeight="1" x14ac:dyDescent="0.2"/>
    <row r="860" ht="12" customHeight="1" x14ac:dyDescent="0.2"/>
    <row r="861" ht="12" customHeight="1" x14ac:dyDescent="0.2"/>
    <row r="862" ht="12" customHeight="1" x14ac:dyDescent="0.2"/>
    <row r="863" ht="12" customHeight="1" x14ac:dyDescent="0.2"/>
    <row r="864" ht="12" customHeight="1" x14ac:dyDescent="0.2"/>
    <row r="865" ht="12" customHeight="1" x14ac:dyDescent="0.2"/>
    <row r="866" ht="12" customHeight="1" x14ac:dyDescent="0.2"/>
    <row r="867" ht="12" customHeight="1" x14ac:dyDescent="0.2"/>
    <row r="868" ht="12" customHeight="1" x14ac:dyDescent="0.2"/>
    <row r="869" ht="12" customHeight="1" x14ac:dyDescent="0.2"/>
    <row r="870" ht="12" customHeight="1" x14ac:dyDescent="0.2"/>
    <row r="871" ht="12" customHeight="1" x14ac:dyDescent="0.2"/>
    <row r="872" ht="12" customHeight="1" x14ac:dyDescent="0.2"/>
    <row r="873" ht="12" customHeight="1" x14ac:dyDescent="0.2"/>
    <row r="874" ht="12" customHeight="1" x14ac:dyDescent="0.2"/>
    <row r="875" ht="12" customHeight="1" x14ac:dyDescent="0.2"/>
    <row r="876" ht="12" customHeight="1" x14ac:dyDescent="0.2"/>
    <row r="877" ht="12" customHeight="1" x14ac:dyDescent="0.2"/>
    <row r="878" ht="12" customHeight="1" x14ac:dyDescent="0.2"/>
    <row r="879" ht="12" customHeight="1" x14ac:dyDescent="0.2"/>
    <row r="880" ht="12" customHeight="1" x14ac:dyDescent="0.2"/>
    <row r="887" ht="12" customHeight="1" x14ac:dyDescent="0.2"/>
    <row r="893" ht="12" customHeight="1" x14ac:dyDescent="0.2"/>
    <row r="896" ht="12" customHeight="1" x14ac:dyDescent="0.2"/>
    <row r="898" ht="12" customHeight="1" x14ac:dyDescent="0.2"/>
    <row r="899" ht="12" customHeight="1" x14ac:dyDescent="0.2"/>
    <row r="902" ht="12" customHeight="1" x14ac:dyDescent="0.2"/>
    <row r="908" ht="12" customHeight="1" x14ac:dyDescent="0.2"/>
    <row r="911" ht="12" customHeight="1" x14ac:dyDescent="0.2"/>
    <row r="914" spans="2:32" ht="15" customHeight="1" x14ac:dyDescent="0.2">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c r="AD914" s="306"/>
      <c r="AE914" s="306"/>
      <c r="AF914" s="306"/>
    </row>
    <row r="923" spans="2:32" ht="12" customHeight="1" x14ac:dyDescent="0.2"/>
    <row r="924" spans="2:32" ht="12" customHeight="1" x14ac:dyDescent="0.2"/>
    <row r="925" spans="2:32" ht="12" customHeight="1" x14ac:dyDescent="0.2"/>
    <row r="926" spans="2:32" ht="12" customHeight="1" x14ac:dyDescent="0.2"/>
    <row r="927" spans="2:32" ht="12" customHeight="1" x14ac:dyDescent="0.2"/>
    <row r="928" spans="2:32" ht="12" customHeight="1" x14ac:dyDescent="0.2"/>
    <row r="929" ht="12" customHeight="1" x14ac:dyDescent="0.2"/>
    <row r="930" ht="12" customHeight="1" x14ac:dyDescent="0.2"/>
    <row r="940" ht="12" customHeight="1" x14ac:dyDescent="0.2"/>
    <row r="945" ht="12" customHeight="1" x14ac:dyDescent="0.2"/>
    <row r="950" ht="12" customHeight="1" x14ac:dyDescent="0.2"/>
    <row r="955" ht="12" customHeight="1" x14ac:dyDescent="0.2"/>
    <row r="957" ht="12" customHeight="1" x14ac:dyDescent="0.2"/>
    <row r="961" ht="12" customHeight="1" x14ac:dyDescent="0.2"/>
    <row r="963" ht="12" customHeight="1" x14ac:dyDescent="0.2"/>
    <row r="968" ht="12" customHeight="1" x14ac:dyDescent="0.2"/>
    <row r="972" ht="12" customHeight="1" x14ac:dyDescent="0.2"/>
    <row r="976" ht="12" customHeight="1" x14ac:dyDescent="0.2"/>
    <row r="977" ht="12" customHeight="1" x14ac:dyDescent="0.2"/>
    <row r="982" ht="12" customHeight="1" x14ac:dyDescent="0.2"/>
    <row r="987" ht="12" customHeight="1" x14ac:dyDescent="0.2"/>
    <row r="990" ht="12" customHeight="1" x14ac:dyDescent="0.2"/>
    <row r="992" ht="12" customHeight="1" x14ac:dyDescent="0.2"/>
    <row r="997" ht="12" customHeight="1" x14ac:dyDescent="0.2"/>
    <row r="1001" ht="12" customHeight="1" x14ac:dyDescent="0.2"/>
    <row r="1004" ht="12" customHeight="1" x14ac:dyDescent="0.2"/>
    <row r="1006" ht="12" customHeight="1" x14ac:dyDescent="0.2"/>
    <row r="1009" spans="2:32" ht="15" customHeight="1" x14ac:dyDescent="0.2">
      <c r="B1009" s="306"/>
      <c r="C1009" s="306"/>
      <c r="D1009" s="306"/>
      <c r="E1009" s="306"/>
      <c r="F1009" s="306"/>
      <c r="G1009" s="306"/>
      <c r="H1009" s="306"/>
      <c r="I1009" s="306"/>
      <c r="J1009" s="306"/>
      <c r="K1009" s="306"/>
      <c r="L1009" s="306"/>
      <c r="M1009" s="306"/>
      <c r="N1009" s="306"/>
      <c r="O1009" s="306"/>
      <c r="P1009" s="306"/>
      <c r="Q1009" s="306"/>
      <c r="R1009" s="306"/>
      <c r="S1009" s="306"/>
      <c r="T1009" s="306"/>
      <c r="U1009" s="306"/>
      <c r="V1009" s="306"/>
      <c r="W1009" s="306"/>
      <c r="X1009" s="306"/>
      <c r="Y1009" s="306"/>
      <c r="Z1009" s="306"/>
      <c r="AA1009" s="306"/>
      <c r="AB1009" s="306"/>
      <c r="AC1009" s="306"/>
      <c r="AD1009" s="306"/>
      <c r="AE1009" s="306"/>
      <c r="AF1009" s="306"/>
    </row>
    <row r="1032" ht="12" customHeight="1" x14ac:dyDescent="0.2"/>
    <row r="1033" ht="12" customHeight="1" x14ac:dyDescent="0.2"/>
    <row r="1034" ht="12" customHeight="1" x14ac:dyDescent="0.2"/>
    <row r="1035" ht="12" customHeight="1" x14ac:dyDescent="0.2"/>
    <row r="1036" ht="12" customHeight="1" x14ac:dyDescent="0.2"/>
    <row r="1037" ht="12" customHeight="1" x14ac:dyDescent="0.2"/>
    <row r="1038" ht="12" customHeight="1" x14ac:dyDescent="0.2"/>
    <row r="1039" ht="12" customHeight="1" x14ac:dyDescent="0.2"/>
    <row r="1040" ht="12" customHeight="1" x14ac:dyDescent="0.2"/>
    <row r="1041" ht="12" customHeight="1" x14ac:dyDescent="0.2"/>
    <row r="1042" ht="12" customHeight="1" x14ac:dyDescent="0.2"/>
    <row r="1043" ht="12" customHeight="1" x14ac:dyDescent="0.2"/>
    <row r="1044" ht="12" customHeight="1" x14ac:dyDescent="0.2"/>
    <row r="1045" ht="12" customHeight="1" x14ac:dyDescent="0.2"/>
    <row r="1046" ht="12" customHeight="1" x14ac:dyDescent="0.2"/>
    <row r="1047" ht="12" customHeight="1" x14ac:dyDescent="0.2"/>
    <row r="1048" ht="12" customHeight="1" x14ac:dyDescent="0.2"/>
    <row r="1049" ht="12" customHeight="1" x14ac:dyDescent="0.2"/>
    <row r="1050" ht="12" customHeight="1" x14ac:dyDescent="0.2"/>
    <row r="1051" ht="12" customHeight="1" x14ac:dyDescent="0.2"/>
    <row r="1052" ht="12" customHeight="1" x14ac:dyDescent="0.2"/>
    <row r="1053" ht="12" customHeight="1" x14ac:dyDescent="0.2"/>
    <row r="1054" ht="12" customHeight="1" x14ac:dyDescent="0.2"/>
    <row r="1055" ht="12" customHeight="1" x14ac:dyDescent="0.2"/>
    <row r="1056" ht="12" customHeight="1" x14ac:dyDescent="0.2"/>
    <row r="1057" ht="12" customHeight="1" x14ac:dyDescent="0.2"/>
    <row r="1058" ht="12" customHeight="1" x14ac:dyDescent="0.2"/>
    <row r="1059" ht="12" customHeight="1" x14ac:dyDescent="0.2"/>
    <row r="1060" ht="12" customHeight="1" x14ac:dyDescent="0.2"/>
    <row r="1061" ht="12" customHeight="1" x14ac:dyDescent="0.2"/>
    <row r="1062" ht="12" customHeight="1" x14ac:dyDescent="0.2"/>
    <row r="1063" ht="12" customHeight="1" x14ac:dyDescent="0.2"/>
    <row r="1064" ht="12" customHeight="1" x14ac:dyDescent="0.2"/>
    <row r="1065" ht="12" customHeight="1" x14ac:dyDescent="0.2"/>
    <row r="1066" ht="12" customHeight="1" x14ac:dyDescent="0.2"/>
    <row r="1067" ht="12" customHeight="1" x14ac:dyDescent="0.2"/>
    <row r="1068" ht="12" customHeight="1" x14ac:dyDescent="0.2"/>
    <row r="1069" ht="12" customHeight="1" x14ac:dyDescent="0.2"/>
    <row r="1070" ht="12" customHeight="1" x14ac:dyDescent="0.2"/>
    <row r="1071" ht="12" customHeight="1" x14ac:dyDescent="0.2"/>
    <row r="1072" ht="12" customHeight="1" x14ac:dyDescent="0.2"/>
    <row r="1073" ht="12" customHeight="1" x14ac:dyDescent="0.2"/>
    <row r="1074" ht="12" customHeight="1" x14ac:dyDescent="0.2"/>
    <row r="1075" ht="12" customHeight="1" x14ac:dyDescent="0.2"/>
    <row r="1076" ht="12" customHeight="1" x14ac:dyDescent="0.2"/>
    <row r="1077" ht="12" customHeight="1" x14ac:dyDescent="0.2"/>
    <row r="1078" ht="12" customHeight="1" x14ac:dyDescent="0.2"/>
    <row r="1079" ht="12" customHeight="1" x14ac:dyDescent="0.2"/>
    <row r="1080" ht="12" customHeight="1" x14ac:dyDescent="0.2"/>
    <row r="1090" ht="12" customHeight="1" x14ac:dyDescent="0.2"/>
    <row r="1095" ht="12" customHeight="1" x14ac:dyDescent="0.2"/>
    <row r="1100" ht="12" customHeight="1" x14ac:dyDescent="0.2"/>
    <row r="1105" ht="12" customHeight="1" x14ac:dyDescent="0.2"/>
    <row r="1107" ht="12" customHeight="1" x14ac:dyDescent="0.2"/>
    <row r="1111" ht="12" customHeight="1" x14ac:dyDescent="0.2"/>
    <row r="1113" ht="12" customHeight="1" x14ac:dyDescent="0.2"/>
    <row r="1118" ht="12" customHeight="1" x14ac:dyDescent="0.2"/>
    <row r="1122" ht="12" customHeight="1" x14ac:dyDescent="0.2"/>
    <row r="1126" ht="12" customHeight="1" x14ac:dyDescent="0.2"/>
    <row r="1127" ht="12" customHeight="1" x14ac:dyDescent="0.2"/>
    <row r="1132" ht="12" customHeight="1" x14ac:dyDescent="0.2"/>
    <row r="1137" ht="12" customHeight="1" x14ac:dyDescent="0.2"/>
    <row r="1140" ht="12" customHeight="1" x14ac:dyDescent="0.2"/>
    <row r="1142" ht="12" customHeight="1" x14ac:dyDescent="0.2"/>
    <row r="1147" ht="12" customHeight="1" x14ac:dyDescent="0.2"/>
    <row r="1151" ht="12" customHeight="1" x14ac:dyDescent="0.2"/>
    <row r="1154" spans="2:32" ht="12" customHeight="1" x14ac:dyDescent="0.2"/>
    <row r="1156" spans="2:32" ht="12" customHeight="1" x14ac:dyDescent="0.2"/>
    <row r="1159" spans="2:32" ht="15" customHeight="1" x14ac:dyDescent="0.2">
      <c r="B1159" s="306"/>
      <c r="C1159" s="306"/>
      <c r="D1159" s="306"/>
      <c r="E1159" s="306"/>
      <c r="F1159" s="306"/>
      <c r="G1159" s="306"/>
      <c r="H1159" s="306"/>
      <c r="I1159" s="306"/>
      <c r="J1159" s="306"/>
      <c r="K1159" s="306"/>
      <c r="L1159" s="306"/>
      <c r="M1159" s="306"/>
      <c r="N1159" s="306"/>
      <c r="O1159" s="306"/>
      <c r="P1159" s="306"/>
      <c r="Q1159" s="306"/>
      <c r="R1159" s="306"/>
      <c r="S1159" s="306"/>
      <c r="T1159" s="306"/>
      <c r="U1159" s="306"/>
      <c r="V1159" s="306"/>
      <c r="W1159" s="306"/>
      <c r="X1159" s="306"/>
      <c r="Y1159" s="306"/>
      <c r="Z1159" s="306"/>
      <c r="AA1159" s="306"/>
      <c r="AB1159" s="306"/>
      <c r="AC1159" s="306"/>
      <c r="AD1159" s="306"/>
      <c r="AE1159" s="306"/>
      <c r="AF1159" s="306"/>
    </row>
    <row r="1180" ht="12" customHeight="1" x14ac:dyDescent="0.2"/>
    <row r="1181" ht="12" customHeight="1" x14ac:dyDescent="0.2"/>
    <row r="1182" ht="12" customHeight="1" x14ac:dyDescent="0.2"/>
    <row r="1183" ht="12" customHeight="1" x14ac:dyDescent="0.2"/>
    <row r="1184" ht="12" customHeight="1" x14ac:dyDescent="0.2"/>
    <row r="1185" ht="12" customHeight="1" x14ac:dyDescent="0.2"/>
    <row r="1186" ht="12" customHeight="1" x14ac:dyDescent="0.2"/>
    <row r="1187" ht="12" customHeight="1" x14ac:dyDescent="0.2"/>
    <row r="1188" ht="12" customHeight="1" x14ac:dyDescent="0.2"/>
    <row r="1189" ht="12" customHeight="1" x14ac:dyDescent="0.2"/>
    <row r="1190" ht="12" customHeight="1" x14ac:dyDescent="0.2"/>
    <row r="1191" ht="12" customHeight="1" x14ac:dyDescent="0.2"/>
    <row r="1192" ht="12" customHeight="1" x14ac:dyDescent="0.2"/>
    <row r="1193" ht="12" customHeight="1" x14ac:dyDescent="0.2"/>
    <row r="1194" ht="12" customHeight="1" x14ac:dyDescent="0.2"/>
    <row r="1195" ht="12" customHeight="1" x14ac:dyDescent="0.2"/>
    <row r="1196" ht="12" customHeight="1" x14ac:dyDescent="0.2"/>
    <row r="1197" ht="12" customHeight="1" x14ac:dyDescent="0.2"/>
    <row r="1198" ht="12" customHeight="1" x14ac:dyDescent="0.2"/>
    <row r="1199" ht="12" customHeight="1" x14ac:dyDescent="0.2"/>
    <row r="1200" ht="12" customHeight="1" x14ac:dyDescent="0.2"/>
    <row r="1201" ht="12" customHeight="1" x14ac:dyDescent="0.2"/>
    <row r="1202" ht="12" customHeight="1" x14ac:dyDescent="0.2"/>
    <row r="1203" ht="12" customHeight="1" x14ac:dyDescent="0.2"/>
    <row r="1204" ht="12" customHeight="1" x14ac:dyDescent="0.2"/>
    <row r="1205" ht="12" customHeight="1" x14ac:dyDescent="0.2"/>
    <row r="1269" ht="12" customHeight="1" x14ac:dyDescent="0.2"/>
    <row r="1304" ht="12" customHeight="1" x14ac:dyDescent="0.2"/>
    <row r="1317" ht="12" customHeight="1" x14ac:dyDescent="0.2"/>
    <row r="1331" spans="2:32" ht="15" customHeight="1" x14ac:dyDescent="0.2">
      <c r="B1331" s="306"/>
      <c r="C1331" s="306"/>
      <c r="D1331" s="306"/>
      <c r="E1331" s="306"/>
      <c r="F1331" s="306"/>
      <c r="G1331" s="306"/>
      <c r="H1331" s="306"/>
      <c r="I1331" s="306"/>
      <c r="J1331" s="306"/>
      <c r="K1331" s="306"/>
      <c r="L1331" s="306"/>
      <c r="M1331" s="306"/>
      <c r="N1331" s="306"/>
      <c r="O1331" s="306"/>
      <c r="P1331" s="306"/>
      <c r="Q1331" s="306"/>
      <c r="R1331" s="306"/>
      <c r="S1331" s="306"/>
      <c r="T1331" s="306"/>
      <c r="U1331" s="306"/>
      <c r="V1331" s="306"/>
      <c r="W1331" s="306"/>
      <c r="X1331" s="306"/>
      <c r="Y1331" s="306"/>
      <c r="Z1331" s="306"/>
      <c r="AA1331" s="306"/>
      <c r="AB1331" s="306"/>
      <c r="AC1331" s="306"/>
      <c r="AD1331" s="306"/>
      <c r="AE1331" s="306"/>
      <c r="AF1331" s="306"/>
    </row>
    <row r="1335" spans="2:32" ht="12" customHeight="1" x14ac:dyDescent="0.2"/>
    <row r="1336" spans="2:32" ht="12" customHeight="1" x14ac:dyDescent="0.2"/>
    <row r="1337" spans="2:32" ht="12" customHeight="1" x14ac:dyDescent="0.2"/>
    <row r="1338" spans="2:32" ht="12" customHeight="1" x14ac:dyDescent="0.2"/>
    <row r="1339" spans="2:32" ht="12" customHeight="1" x14ac:dyDescent="0.2"/>
    <row r="1340" spans="2:32" ht="12" customHeight="1" x14ac:dyDescent="0.2"/>
    <row r="1341" spans="2:32" ht="12" customHeight="1" x14ac:dyDescent="0.2"/>
    <row r="1342" spans="2:32" ht="12" customHeight="1" x14ac:dyDescent="0.2"/>
    <row r="1343" spans="2:32" ht="12" customHeight="1" x14ac:dyDescent="0.2"/>
    <row r="1344" spans="2:32" ht="12" customHeight="1" x14ac:dyDescent="0.2"/>
    <row r="1345" ht="12" customHeight="1" x14ac:dyDescent="0.2"/>
    <row r="1346" ht="12" customHeight="1" x14ac:dyDescent="0.2"/>
    <row r="1347" ht="12" customHeight="1" x14ac:dyDescent="0.2"/>
    <row r="1348" ht="12" customHeight="1" x14ac:dyDescent="0.2"/>
    <row r="1349" ht="12" customHeight="1" x14ac:dyDescent="0.2"/>
    <row r="1350" ht="12" customHeight="1" x14ac:dyDescent="0.2"/>
    <row r="1351" ht="12" customHeight="1" x14ac:dyDescent="0.2"/>
    <row r="1352" ht="12" customHeight="1" x14ac:dyDescent="0.2"/>
    <row r="1353" ht="12" customHeight="1" x14ac:dyDescent="0.2"/>
    <row r="1354" ht="12" customHeight="1" x14ac:dyDescent="0.2"/>
    <row r="1355" ht="12" customHeight="1" x14ac:dyDescent="0.2"/>
    <row r="1398" ht="12" customHeight="1" x14ac:dyDescent="0.2"/>
    <row r="1407" ht="12" customHeight="1" x14ac:dyDescent="0.2"/>
    <row r="1421" ht="12" customHeight="1" x14ac:dyDescent="0.2"/>
    <row r="1426" spans="2:32" ht="15" customHeight="1" x14ac:dyDescent="0.2">
      <c r="B1426" s="306"/>
      <c r="C1426" s="306"/>
      <c r="D1426" s="306"/>
      <c r="E1426" s="306"/>
      <c r="F1426" s="306"/>
      <c r="G1426" s="306"/>
      <c r="H1426" s="306"/>
      <c r="I1426" s="306"/>
      <c r="J1426" s="306"/>
      <c r="K1426" s="306"/>
      <c r="L1426" s="306"/>
      <c r="M1426" s="306"/>
      <c r="N1426" s="306"/>
      <c r="O1426" s="306"/>
      <c r="P1426" s="306"/>
      <c r="Q1426" s="306"/>
      <c r="R1426" s="306"/>
      <c r="S1426" s="306"/>
      <c r="T1426" s="306"/>
      <c r="U1426" s="306"/>
      <c r="V1426" s="306"/>
      <c r="W1426" s="306"/>
      <c r="X1426" s="306"/>
      <c r="Y1426" s="306"/>
      <c r="Z1426" s="306"/>
      <c r="AA1426" s="306"/>
      <c r="AB1426" s="306"/>
      <c r="AC1426" s="306"/>
      <c r="AD1426" s="306"/>
      <c r="AE1426" s="306"/>
      <c r="AF1426" s="306"/>
    </row>
    <row r="1432" spans="2:32" ht="12" customHeight="1" x14ac:dyDescent="0.2"/>
    <row r="1433" spans="2:32" ht="12" customHeight="1" x14ac:dyDescent="0.2"/>
    <row r="1434" spans="2:32" ht="12" customHeight="1" x14ac:dyDescent="0.2"/>
    <row r="1435" spans="2:32" ht="12" customHeight="1" x14ac:dyDescent="0.2"/>
    <row r="1436" spans="2:32" ht="12" customHeight="1" x14ac:dyDescent="0.2"/>
    <row r="1437" spans="2:32" ht="12" customHeight="1" x14ac:dyDescent="0.2"/>
    <row r="1438" spans="2:32" ht="12" customHeight="1" x14ac:dyDescent="0.2"/>
    <row r="1439" spans="2:32" ht="12" customHeight="1" x14ac:dyDescent="0.2"/>
    <row r="1440" spans="2:32" ht="12" customHeight="1" x14ac:dyDescent="0.2"/>
    <row r="1441" ht="12" customHeight="1" x14ac:dyDescent="0.2"/>
    <row r="1442" ht="12" customHeight="1" x14ac:dyDescent="0.2"/>
    <row r="1443" ht="12" customHeight="1" x14ac:dyDescent="0.2"/>
    <row r="1444" ht="12" customHeight="1" x14ac:dyDescent="0.2"/>
    <row r="1445" ht="12" customHeight="1" x14ac:dyDescent="0.2"/>
    <row r="1446" ht="12" customHeight="1" x14ac:dyDescent="0.2"/>
    <row r="1447" ht="12" customHeight="1" x14ac:dyDescent="0.2"/>
    <row r="1448" ht="12" customHeight="1" x14ac:dyDescent="0.2"/>
    <row r="1449" ht="12" customHeight="1" x14ac:dyDescent="0.2"/>
    <row r="1450" ht="12" customHeight="1" x14ac:dyDescent="0.2"/>
    <row r="1451" ht="12" customHeight="1" x14ac:dyDescent="0.2"/>
    <row r="1452" ht="12" customHeight="1" x14ac:dyDescent="0.2"/>
    <row r="1453" ht="12" customHeight="1" x14ac:dyDescent="0.2"/>
    <row r="1454" ht="12" customHeight="1" x14ac:dyDescent="0.2"/>
    <row r="1455" ht="12" customHeight="1" x14ac:dyDescent="0.2"/>
    <row r="1456" ht="12" customHeight="1" x14ac:dyDescent="0.2"/>
    <row r="1457" ht="12" customHeight="1" x14ac:dyDescent="0.2"/>
    <row r="1458" ht="12" customHeight="1" x14ac:dyDescent="0.2"/>
    <row r="1459" ht="12" customHeight="1" x14ac:dyDescent="0.2"/>
    <row r="1460" ht="12" customHeight="1" x14ac:dyDescent="0.2"/>
    <row r="1461" ht="12" customHeight="1" x14ac:dyDescent="0.2"/>
    <row r="1462" ht="12" customHeight="1" x14ac:dyDescent="0.2"/>
    <row r="1463" ht="12" customHeight="1" x14ac:dyDescent="0.2"/>
    <row r="1464" ht="12" customHeight="1" x14ac:dyDescent="0.2"/>
    <row r="1465" ht="12" customHeight="1" x14ac:dyDescent="0.2"/>
    <row r="1466" ht="12" customHeight="1" x14ac:dyDescent="0.2"/>
    <row r="1467" ht="12" customHeight="1" x14ac:dyDescent="0.2"/>
    <row r="1468" ht="12" customHeight="1" x14ac:dyDescent="0.2"/>
    <row r="1469" ht="12" customHeight="1" x14ac:dyDescent="0.2"/>
    <row r="1470" ht="12" customHeight="1" x14ac:dyDescent="0.2"/>
    <row r="1471" ht="12" customHeight="1" x14ac:dyDescent="0.2"/>
    <row r="1472" ht="12" customHeight="1" x14ac:dyDescent="0.2"/>
    <row r="1473" ht="12" customHeight="1" x14ac:dyDescent="0.2"/>
    <row r="1474" ht="12" customHeight="1" x14ac:dyDescent="0.2"/>
    <row r="1475" ht="12" customHeight="1" x14ac:dyDescent="0.2"/>
    <row r="1476" ht="12" customHeight="1" x14ac:dyDescent="0.2"/>
    <row r="1477" ht="12" customHeight="1" x14ac:dyDescent="0.2"/>
    <row r="1478" ht="12" customHeight="1" x14ac:dyDescent="0.2"/>
    <row r="1479" ht="12" customHeight="1" x14ac:dyDescent="0.2"/>
    <row r="1480" ht="12" customHeight="1" x14ac:dyDescent="0.2"/>
    <row r="1481" ht="12" customHeight="1" x14ac:dyDescent="0.2"/>
    <row r="1482" ht="12" customHeight="1" x14ac:dyDescent="0.2"/>
    <row r="1483" ht="12" customHeight="1" x14ac:dyDescent="0.2"/>
    <row r="1484" ht="12" customHeight="1" x14ac:dyDescent="0.2"/>
    <row r="1485" ht="12" customHeight="1" x14ac:dyDescent="0.2"/>
    <row r="1486" ht="12" customHeight="1" x14ac:dyDescent="0.2"/>
    <row r="1487" ht="12" customHeight="1" x14ac:dyDescent="0.2"/>
    <row r="1488" ht="12" customHeight="1" x14ac:dyDescent="0.2"/>
    <row r="1489" ht="12" customHeight="1" x14ac:dyDescent="0.2"/>
    <row r="1490" ht="12" customHeight="1" x14ac:dyDescent="0.2"/>
    <row r="1491" ht="12" customHeight="1" x14ac:dyDescent="0.2"/>
    <row r="1492" ht="12" customHeight="1" x14ac:dyDescent="0.2"/>
    <row r="1493" ht="12" customHeight="1" x14ac:dyDescent="0.2"/>
    <row r="1494" ht="12" customHeight="1" x14ac:dyDescent="0.2"/>
    <row r="1495" ht="12" customHeight="1" x14ac:dyDescent="0.2"/>
    <row r="1496" ht="12" customHeight="1" x14ac:dyDescent="0.2"/>
    <row r="1497" ht="12" customHeight="1" x14ac:dyDescent="0.2"/>
    <row r="1498" ht="12" customHeight="1" x14ac:dyDescent="0.2"/>
    <row r="1499" ht="12" customHeight="1" x14ac:dyDescent="0.2"/>
    <row r="1500" ht="12" customHeight="1" x14ac:dyDescent="0.2"/>
    <row r="1501" ht="12" customHeight="1" x14ac:dyDescent="0.2"/>
    <row r="1502" ht="12" customHeight="1" x14ac:dyDescent="0.2"/>
    <row r="1503" ht="12" customHeight="1" x14ac:dyDescent="0.2"/>
    <row r="1504" ht="12" customHeight="1" x14ac:dyDescent="0.2"/>
    <row r="1505" ht="12" customHeight="1" x14ac:dyDescent="0.2"/>
    <row r="1518" ht="12" customHeight="1" x14ac:dyDescent="0.2"/>
    <row r="1526" ht="12" customHeight="1" x14ac:dyDescent="0.2"/>
    <row r="1534" ht="12" customHeight="1" x14ac:dyDescent="0.2"/>
    <row r="1540" spans="2:32" ht="12" customHeight="1" x14ac:dyDescent="0.2"/>
    <row r="1544" spans="2:32" ht="15" customHeight="1" x14ac:dyDescent="0.2">
      <c r="B1544" s="306"/>
      <c r="C1544" s="306"/>
      <c r="D1544" s="306"/>
      <c r="E1544" s="306"/>
      <c r="F1544" s="306"/>
      <c r="G1544" s="306"/>
      <c r="H1544" s="306"/>
      <c r="I1544" s="306"/>
      <c r="J1544" s="306"/>
      <c r="K1544" s="306"/>
      <c r="L1544" s="306"/>
      <c r="M1544" s="306"/>
      <c r="N1544" s="306"/>
      <c r="O1544" s="306"/>
      <c r="P1544" s="306"/>
      <c r="Q1544" s="306"/>
      <c r="R1544" s="306"/>
      <c r="S1544" s="306"/>
      <c r="T1544" s="306"/>
      <c r="U1544" s="306"/>
      <c r="V1544" s="306"/>
      <c r="W1544" s="306"/>
      <c r="X1544" s="306"/>
      <c r="Y1544" s="306"/>
      <c r="Z1544" s="306"/>
      <c r="AA1544" s="306"/>
      <c r="AB1544" s="306"/>
      <c r="AC1544" s="306"/>
      <c r="AD1544" s="306"/>
      <c r="AE1544" s="306"/>
      <c r="AF1544" s="306"/>
    </row>
    <row r="1549" spans="2:32" ht="12" customHeight="1" x14ac:dyDescent="0.2"/>
    <row r="1550" spans="2:32" ht="12" customHeight="1" x14ac:dyDescent="0.2"/>
    <row r="1551" spans="2:32" ht="12" customHeight="1" x14ac:dyDescent="0.2"/>
    <row r="1552" spans="2:32" ht="12" customHeight="1" x14ac:dyDescent="0.2"/>
    <row r="1553" ht="12" customHeight="1" x14ac:dyDescent="0.2"/>
    <row r="1554" ht="12" customHeight="1" x14ac:dyDescent="0.2"/>
    <row r="1555" ht="12" customHeight="1" x14ac:dyDescent="0.2"/>
    <row r="1556" ht="12" customHeight="1" x14ac:dyDescent="0.2"/>
    <row r="1557" ht="12" customHeight="1" x14ac:dyDescent="0.2"/>
    <row r="1558" ht="12" customHeight="1" x14ac:dyDescent="0.2"/>
    <row r="1559" ht="12" customHeight="1" x14ac:dyDescent="0.2"/>
    <row r="1560" ht="12" customHeight="1" x14ac:dyDescent="0.2"/>
    <row r="1561" ht="12" customHeight="1" x14ac:dyDescent="0.2"/>
    <row r="1562" ht="12" customHeight="1" x14ac:dyDescent="0.2"/>
    <row r="1563" ht="12" customHeight="1" x14ac:dyDescent="0.2"/>
    <row r="1564" ht="12" customHeight="1" x14ac:dyDescent="0.2"/>
    <row r="1565" ht="12" customHeight="1" x14ac:dyDescent="0.2"/>
    <row r="1566" ht="12" customHeight="1" x14ac:dyDescent="0.2"/>
    <row r="1567" ht="12" customHeight="1" x14ac:dyDescent="0.2"/>
    <row r="1568" ht="12" customHeight="1" x14ac:dyDescent="0.2"/>
    <row r="1569" ht="12" customHeight="1" x14ac:dyDescent="0.2"/>
    <row r="1570" ht="12" customHeight="1" x14ac:dyDescent="0.2"/>
    <row r="1571" ht="12" customHeight="1" x14ac:dyDescent="0.2"/>
    <row r="1572" ht="12" customHeight="1" x14ac:dyDescent="0.2"/>
    <row r="1573" ht="12" customHeight="1" x14ac:dyDescent="0.2"/>
    <row r="1574" ht="12" customHeight="1" x14ac:dyDescent="0.2"/>
    <row r="1575" ht="12" customHeight="1" x14ac:dyDescent="0.2"/>
    <row r="1576" ht="12" customHeight="1" x14ac:dyDescent="0.2"/>
    <row r="1577" ht="12" customHeight="1" x14ac:dyDescent="0.2"/>
    <row r="1578" ht="12" customHeight="1" x14ac:dyDescent="0.2"/>
    <row r="1579" ht="12" customHeight="1" x14ac:dyDescent="0.2"/>
    <row r="1580" ht="12" customHeight="1" x14ac:dyDescent="0.2"/>
    <row r="1581" ht="12" customHeight="1" x14ac:dyDescent="0.2"/>
    <row r="1582" ht="12" customHeight="1" x14ac:dyDescent="0.2"/>
    <row r="1583" ht="12" customHeight="1" x14ac:dyDescent="0.2"/>
    <row r="1584" ht="12" customHeight="1" x14ac:dyDescent="0.2"/>
    <row r="1585" ht="12" customHeight="1" x14ac:dyDescent="0.2"/>
    <row r="1586" ht="12" customHeight="1" x14ac:dyDescent="0.2"/>
    <row r="1587" ht="12" customHeight="1" x14ac:dyDescent="0.2"/>
    <row r="1588" ht="12" customHeight="1" x14ac:dyDescent="0.2"/>
    <row r="1589" ht="12" customHeight="1" x14ac:dyDescent="0.2"/>
    <row r="1590" ht="12" customHeight="1" x14ac:dyDescent="0.2"/>
    <row r="1591" ht="12" customHeight="1" x14ac:dyDescent="0.2"/>
    <row r="1592" ht="12" customHeight="1" x14ac:dyDescent="0.2"/>
    <row r="1593" ht="12" customHeight="1" x14ac:dyDescent="0.2"/>
    <row r="1594" ht="12" customHeight="1" x14ac:dyDescent="0.2"/>
    <row r="1595" ht="12" customHeight="1" x14ac:dyDescent="0.2"/>
    <row r="1596" ht="12" customHeight="1" x14ac:dyDescent="0.2"/>
    <row r="1597" ht="12" customHeight="1" x14ac:dyDescent="0.2"/>
    <row r="1598" ht="12" customHeight="1" x14ac:dyDescent="0.2"/>
    <row r="1599" ht="12" customHeight="1" x14ac:dyDescent="0.2"/>
    <row r="1600" ht="12" customHeight="1" x14ac:dyDescent="0.2"/>
    <row r="1601" ht="12" customHeight="1" x14ac:dyDescent="0.2"/>
    <row r="1602" ht="12" customHeight="1" x14ac:dyDescent="0.2"/>
    <row r="1603" ht="12" customHeight="1" x14ac:dyDescent="0.2"/>
    <row r="1604" ht="12" customHeight="1" x14ac:dyDescent="0.2"/>
    <row r="1605" ht="12" customHeight="1" x14ac:dyDescent="0.2"/>
    <row r="1618" ht="12" customHeight="1" x14ac:dyDescent="0.2"/>
    <row r="1626" ht="12" customHeight="1" x14ac:dyDescent="0.2"/>
    <row r="1634" spans="2:32" ht="12" customHeight="1" x14ac:dyDescent="0.2"/>
    <row r="1640" spans="2:32" ht="12" customHeight="1" x14ac:dyDescent="0.2"/>
    <row r="1644" spans="2:32" ht="15" customHeight="1" x14ac:dyDescent="0.2">
      <c r="B1644" s="306"/>
      <c r="C1644" s="306"/>
      <c r="D1644" s="306"/>
      <c r="E1644" s="306"/>
      <c r="F1644" s="306"/>
      <c r="G1644" s="306"/>
      <c r="H1644" s="306"/>
      <c r="I1644" s="306"/>
      <c r="J1644" s="306"/>
      <c r="K1644" s="306"/>
      <c r="L1644" s="306"/>
      <c r="M1644" s="306"/>
      <c r="N1644" s="306"/>
      <c r="O1644" s="306"/>
      <c r="P1644" s="306"/>
      <c r="Q1644" s="306"/>
      <c r="R1644" s="306"/>
      <c r="S1644" s="306"/>
      <c r="T1644" s="306"/>
      <c r="U1644" s="306"/>
      <c r="V1644" s="306"/>
      <c r="W1644" s="306"/>
      <c r="X1644" s="306"/>
      <c r="Y1644" s="306"/>
      <c r="Z1644" s="306"/>
      <c r="AA1644" s="306"/>
      <c r="AB1644" s="306"/>
      <c r="AC1644" s="306"/>
      <c r="AD1644" s="306"/>
      <c r="AE1644" s="306"/>
      <c r="AF1644" s="306"/>
    </row>
    <row r="1649" ht="12" customHeight="1" x14ac:dyDescent="0.2"/>
    <row r="1650" ht="12" customHeight="1" x14ac:dyDescent="0.2"/>
    <row r="1651" ht="12" customHeight="1" x14ac:dyDescent="0.2"/>
    <row r="1652" ht="12" customHeight="1" x14ac:dyDescent="0.2"/>
    <row r="1653" ht="12" customHeight="1" x14ac:dyDescent="0.2"/>
    <row r="1654" ht="12" customHeight="1" x14ac:dyDescent="0.2"/>
    <row r="1655" ht="12" customHeight="1" x14ac:dyDescent="0.2"/>
    <row r="1656" ht="12" customHeight="1" x14ac:dyDescent="0.2"/>
    <row r="1657" ht="12" customHeight="1" x14ac:dyDescent="0.2"/>
    <row r="1658" ht="12" customHeight="1" x14ac:dyDescent="0.2"/>
    <row r="1659" ht="12" customHeight="1" x14ac:dyDescent="0.2"/>
    <row r="1660" ht="12" customHeight="1" x14ac:dyDescent="0.2"/>
    <row r="1661" ht="12" customHeight="1" x14ac:dyDescent="0.2"/>
    <row r="1662" ht="12" customHeight="1" x14ac:dyDescent="0.2"/>
    <row r="1663" ht="12" customHeight="1" x14ac:dyDescent="0.2"/>
    <row r="1664" ht="12" customHeight="1" x14ac:dyDescent="0.2"/>
    <row r="1665" ht="12" customHeight="1" x14ac:dyDescent="0.2"/>
    <row r="1666" ht="12" customHeight="1" x14ac:dyDescent="0.2"/>
    <row r="1667" ht="12" customHeight="1" x14ac:dyDescent="0.2"/>
    <row r="1668" ht="12" customHeight="1" x14ac:dyDescent="0.2"/>
    <row r="1669" ht="12" customHeight="1" x14ac:dyDescent="0.2"/>
    <row r="1670" ht="12" customHeight="1" x14ac:dyDescent="0.2"/>
    <row r="1671" ht="12" customHeight="1" x14ac:dyDescent="0.2"/>
    <row r="1672" ht="12" customHeight="1" x14ac:dyDescent="0.2"/>
    <row r="1673" ht="12" customHeight="1" x14ac:dyDescent="0.2"/>
    <row r="1674" ht="12" customHeight="1" x14ac:dyDescent="0.2"/>
    <row r="1675" ht="12" customHeight="1" x14ac:dyDescent="0.2"/>
    <row r="1676" ht="12" customHeight="1" x14ac:dyDescent="0.2"/>
    <row r="1677" ht="12" customHeight="1" x14ac:dyDescent="0.2"/>
    <row r="1678" ht="12" customHeight="1" x14ac:dyDescent="0.2"/>
    <row r="1679" ht="12" customHeight="1" x14ac:dyDescent="0.2"/>
    <row r="1680" ht="12" customHeight="1" x14ac:dyDescent="0.2"/>
    <row r="1681" ht="12" customHeight="1" x14ac:dyDescent="0.2"/>
    <row r="1682" ht="12" customHeight="1" x14ac:dyDescent="0.2"/>
    <row r="1683" ht="12" customHeight="1" x14ac:dyDescent="0.2"/>
    <row r="1684" ht="12" customHeight="1" x14ac:dyDescent="0.2"/>
    <row r="1685" ht="12" customHeight="1" x14ac:dyDescent="0.2"/>
    <row r="1686" ht="12" customHeight="1" x14ac:dyDescent="0.2"/>
    <row r="1687" ht="12" customHeight="1" x14ac:dyDescent="0.2"/>
    <row r="1688" ht="12" customHeight="1" x14ac:dyDescent="0.2"/>
    <row r="1689" ht="12" customHeight="1" x14ac:dyDescent="0.2"/>
    <row r="1690" ht="12" customHeight="1" x14ac:dyDescent="0.2"/>
    <row r="1691" ht="12" customHeight="1" x14ac:dyDescent="0.2"/>
    <row r="1692" ht="12" customHeight="1" x14ac:dyDescent="0.2"/>
    <row r="1693" ht="12" customHeight="1" x14ac:dyDescent="0.2"/>
    <row r="1694" ht="12" customHeight="1" x14ac:dyDescent="0.2"/>
    <row r="1695" ht="12" customHeight="1" x14ac:dyDescent="0.2"/>
    <row r="1696" ht="12" customHeight="1" x14ac:dyDescent="0.2"/>
    <row r="1697" ht="12" customHeight="1" x14ac:dyDescent="0.2"/>
    <row r="1698" ht="12" customHeight="1" x14ac:dyDescent="0.2"/>
    <row r="1699" ht="12" customHeight="1" x14ac:dyDescent="0.2"/>
    <row r="1700" ht="12" customHeight="1" x14ac:dyDescent="0.2"/>
    <row r="1701" ht="12" customHeight="1" x14ac:dyDescent="0.2"/>
    <row r="1702" ht="12" customHeight="1" x14ac:dyDescent="0.2"/>
    <row r="1703" ht="12" customHeight="1" x14ac:dyDescent="0.2"/>
    <row r="1704" ht="12" customHeight="1" x14ac:dyDescent="0.2"/>
    <row r="1705" ht="12" customHeight="1" x14ac:dyDescent="0.2"/>
    <row r="1718" ht="12" customHeight="1" x14ac:dyDescent="0.2"/>
    <row r="1726" ht="12" customHeight="1" x14ac:dyDescent="0.2"/>
    <row r="1734" spans="2:32" ht="12" customHeight="1" x14ac:dyDescent="0.2"/>
    <row r="1740" spans="2:32" ht="12" customHeight="1" x14ac:dyDescent="0.2"/>
    <row r="1744" spans="2:32" ht="15" customHeight="1" x14ac:dyDescent="0.2">
      <c r="B1744" s="306"/>
      <c r="C1744" s="306"/>
      <c r="D1744" s="306"/>
      <c r="E1744" s="306"/>
      <c r="F1744" s="306"/>
      <c r="G1744" s="306"/>
      <c r="H1744" s="306"/>
      <c r="I1744" s="306"/>
      <c r="J1744" s="306"/>
      <c r="K1744" s="306"/>
      <c r="L1744" s="306"/>
      <c r="M1744" s="306"/>
      <c r="N1744" s="306"/>
      <c r="O1744" s="306"/>
      <c r="P1744" s="306"/>
      <c r="Q1744" s="306"/>
      <c r="R1744" s="306"/>
      <c r="S1744" s="306"/>
      <c r="T1744" s="306"/>
      <c r="U1744" s="306"/>
      <c r="V1744" s="306"/>
      <c r="W1744" s="306"/>
      <c r="X1744" s="306"/>
      <c r="Y1744" s="306"/>
      <c r="Z1744" s="306"/>
      <c r="AA1744" s="306"/>
      <c r="AB1744" s="306"/>
      <c r="AC1744" s="306"/>
      <c r="AD1744" s="306"/>
      <c r="AE1744" s="306"/>
      <c r="AF1744" s="306"/>
    </row>
    <row r="1749" ht="12" customHeight="1" x14ac:dyDescent="0.2"/>
    <row r="1750" ht="12" customHeight="1" x14ac:dyDescent="0.2"/>
    <row r="1751" ht="12" customHeight="1" x14ac:dyDescent="0.2"/>
    <row r="1752" ht="12" customHeight="1" x14ac:dyDescent="0.2"/>
    <row r="1753" ht="12" customHeight="1" x14ac:dyDescent="0.2"/>
    <row r="1754" ht="12" customHeight="1" x14ac:dyDescent="0.2"/>
    <row r="1755" ht="12" customHeight="1" x14ac:dyDescent="0.2"/>
    <row r="1756" ht="12" customHeight="1" x14ac:dyDescent="0.2"/>
    <row r="1757" ht="12" customHeight="1" x14ac:dyDescent="0.2"/>
    <row r="1758" ht="12" customHeight="1" x14ac:dyDescent="0.2"/>
    <row r="1759" ht="12" customHeight="1" x14ac:dyDescent="0.2"/>
    <row r="1760" ht="12" customHeight="1" x14ac:dyDescent="0.2"/>
    <row r="1761" ht="12" customHeight="1" x14ac:dyDescent="0.2"/>
    <row r="1762" ht="12" customHeight="1" x14ac:dyDescent="0.2"/>
    <row r="1763" ht="12" customHeight="1" x14ac:dyDescent="0.2"/>
    <row r="1764" ht="12" customHeight="1" x14ac:dyDescent="0.2"/>
    <row r="1765" ht="12" customHeight="1" x14ac:dyDescent="0.2"/>
    <row r="1766" ht="12" customHeight="1" x14ac:dyDescent="0.2"/>
    <row r="1767" ht="12" customHeight="1" x14ac:dyDescent="0.2"/>
    <row r="1768" ht="12" customHeight="1" x14ac:dyDescent="0.2"/>
    <row r="1769" ht="12" customHeight="1" x14ac:dyDescent="0.2"/>
    <row r="1770" ht="12" customHeight="1" x14ac:dyDescent="0.2"/>
    <row r="1771" ht="12" customHeight="1" x14ac:dyDescent="0.2"/>
    <row r="1772" ht="12" customHeight="1" x14ac:dyDescent="0.2"/>
    <row r="1773" ht="12" customHeight="1" x14ac:dyDescent="0.2"/>
    <row r="1774" ht="12" customHeight="1" x14ac:dyDescent="0.2"/>
    <row r="1775" ht="12" customHeight="1" x14ac:dyDescent="0.2"/>
    <row r="1776" ht="12" customHeight="1" x14ac:dyDescent="0.2"/>
    <row r="1777" ht="12" customHeight="1" x14ac:dyDescent="0.2"/>
    <row r="1778" ht="12" customHeight="1" x14ac:dyDescent="0.2"/>
    <row r="1779" ht="12" customHeight="1" x14ac:dyDescent="0.2"/>
    <row r="1780" ht="12" customHeight="1" x14ac:dyDescent="0.2"/>
    <row r="1781" ht="12" customHeight="1" x14ac:dyDescent="0.2"/>
    <row r="1782" ht="12" customHeight="1" x14ac:dyDescent="0.2"/>
    <row r="1783" ht="12" customHeight="1" x14ac:dyDescent="0.2"/>
    <row r="1784" ht="12" customHeight="1" x14ac:dyDescent="0.2"/>
    <row r="1785" ht="12" customHeight="1" x14ac:dyDescent="0.2"/>
    <row r="1786" ht="12" customHeight="1" x14ac:dyDescent="0.2"/>
    <row r="1787" ht="12" customHeight="1" x14ac:dyDescent="0.2"/>
    <row r="1788" ht="12" customHeight="1" x14ac:dyDescent="0.2"/>
    <row r="1789" ht="12" customHeight="1" x14ac:dyDescent="0.2"/>
    <row r="1790" ht="12" customHeight="1" x14ac:dyDescent="0.2"/>
    <row r="1791" ht="12" customHeight="1" x14ac:dyDescent="0.2"/>
    <row r="1792" ht="12" customHeight="1" x14ac:dyDescent="0.2"/>
    <row r="1793" ht="12" customHeight="1" x14ac:dyDescent="0.2"/>
    <row r="1794" ht="12" customHeight="1" x14ac:dyDescent="0.2"/>
    <row r="1795" ht="12" customHeight="1" x14ac:dyDescent="0.2"/>
    <row r="1796" ht="12" customHeight="1" x14ac:dyDescent="0.2"/>
    <row r="1797" ht="12" customHeight="1" x14ac:dyDescent="0.2"/>
    <row r="1798" ht="12" customHeight="1" x14ac:dyDescent="0.2"/>
    <row r="1799" ht="12" customHeight="1" x14ac:dyDescent="0.2"/>
    <row r="1800" ht="12" customHeight="1" x14ac:dyDescent="0.2"/>
    <row r="1801" ht="12" customHeight="1" x14ac:dyDescent="0.2"/>
    <row r="1802" ht="12" customHeight="1" x14ac:dyDescent="0.2"/>
    <row r="1803" ht="12" customHeight="1" x14ac:dyDescent="0.2"/>
    <row r="1804" ht="12" customHeight="1" x14ac:dyDescent="0.2"/>
    <row r="1805" ht="12" customHeight="1" x14ac:dyDescent="0.2"/>
    <row r="1818" ht="12" customHeight="1" x14ac:dyDescent="0.2"/>
    <row r="1826" ht="12" customHeight="1" x14ac:dyDescent="0.2"/>
    <row r="1834" ht="12" customHeight="1" x14ac:dyDescent="0.2"/>
    <row r="1840" ht="12" customHeight="1" x14ac:dyDescent="0.2"/>
    <row r="1844" spans="2:32" ht="15" customHeight="1" x14ac:dyDescent="0.2">
      <c r="B1844" s="306"/>
      <c r="C1844" s="306"/>
      <c r="D1844" s="306"/>
      <c r="E1844" s="306"/>
      <c r="F1844" s="306"/>
      <c r="G1844" s="306"/>
      <c r="H1844" s="306"/>
      <c r="I1844" s="306"/>
      <c r="J1844" s="306"/>
      <c r="K1844" s="306"/>
      <c r="L1844" s="306"/>
      <c r="M1844" s="306"/>
      <c r="N1844" s="306"/>
      <c r="O1844" s="306"/>
      <c r="P1844" s="306"/>
      <c r="Q1844" s="306"/>
      <c r="R1844" s="306"/>
      <c r="S1844" s="306"/>
      <c r="T1844" s="306"/>
      <c r="U1844" s="306"/>
      <c r="V1844" s="306"/>
      <c r="W1844" s="306"/>
      <c r="X1844" s="306"/>
      <c r="Y1844" s="306"/>
      <c r="Z1844" s="306"/>
      <c r="AA1844" s="306"/>
      <c r="AB1844" s="306"/>
      <c r="AC1844" s="306"/>
      <c r="AD1844" s="306"/>
      <c r="AE1844" s="306"/>
      <c r="AF1844" s="306"/>
    </row>
    <row r="1849" spans="2:32" ht="12" customHeight="1" x14ac:dyDescent="0.2"/>
    <row r="1850" spans="2:32" ht="12" customHeight="1" x14ac:dyDescent="0.2"/>
    <row r="1851" spans="2:32" ht="12" customHeight="1" x14ac:dyDescent="0.2"/>
    <row r="1852" spans="2:32" ht="12" customHeight="1" x14ac:dyDescent="0.2"/>
    <row r="1853" spans="2:32" ht="12" customHeight="1" x14ac:dyDescent="0.2"/>
    <row r="1854" spans="2:32" ht="12" customHeight="1" x14ac:dyDescent="0.2"/>
    <row r="1855" spans="2:32" ht="12" customHeight="1" x14ac:dyDescent="0.2"/>
    <row r="1856" spans="2:32" ht="12" customHeight="1" x14ac:dyDescent="0.2"/>
    <row r="1857" ht="12" customHeight="1" x14ac:dyDescent="0.2"/>
    <row r="1858" ht="12" customHeight="1" x14ac:dyDescent="0.2"/>
    <row r="1859" ht="12" customHeight="1" x14ac:dyDescent="0.2"/>
    <row r="1860" ht="12" customHeight="1" x14ac:dyDescent="0.2"/>
    <row r="1861" ht="12" customHeight="1" x14ac:dyDescent="0.2"/>
    <row r="1862" ht="12" customHeight="1" x14ac:dyDescent="0.2"/>
    <row r="1863" ht="12" customHeight="1" x14ac:dyDescent="0.2"/>
    <row r="1864" ht="12" customHeight="1" x14ac:dyDescent="0.2"/>
    <row r="1865" ht="12" customHeight="1" x14ac:dyDescent="0.2"/>
    <row r="1866" ht="12" customHeight="1" x14ac:dyDescent="0.2"/>
    <row r="1867" ht="12" customHeight="1" x14ac:dyDescent="0.2"/>
    <row r="1868" ht="12" customHeight="1" x14ac:dyDescent="0.2"/>
    <row r="1869" ht="12" customHeight="1" x14ac:dyDescent="0.2"/>
    <row r="1870" ht="12" customHeight="1" x14ac:dyDescent="0.2"/>
    <row r="1871" ht="12" customHeight="1" x14ac:dyDescent="0.2"/>
    <row r="1872" ht="12" customHeight="1" x14ac:dyDescent="0.2"/>
    <row r="1873" ht="12" customHeight="1" x14ac:dyDescent="0.2"/>
    <row r="1874" ht="12" customHeight="1" x14ac:dyDescent="0.2"/>
    <row r="1875" ht="12" customHeight="1" x14ac:dyDescent="0.2"/>
    <row r="1876" ht="12" customHeight="1" x14ac:dyDescent="0.2"/>
    <row r="1877" ht="12" customHeight="1" x14ac:dyDescent="0.2"/>
    <row r="1878" ht="12" customHeight="1" x14ac:dyDescent="0.2"/>
    <row r="1879" ht="12" customHeight="1" x14ac:dyDescent="0.2"/>
    <row r="1880" ht="12" customHeight="1" x14ac:dyDescent="0.2"/>
    <row r="1881" ht="12" customHeight="1" x14ac:dyDescent="0.2"/>
    <row r="1882" ht="12" customHeight="1" x14ac:dyDescent="0.2"/>
    <row r="1883" ht="12" customHeight="1" x14ac:dyDescent="0.2"/>
    <row r="1884" ht="12" customHeight="1" x14ac:dyDescent="0.2"/>
    <row r="1885" ht="12" customHeight="1" x14ac:dyDescent="0.2"/>
    <row r="1886" ht="12" customHeight="1" x14ac:dyDescent="0.2"/>
    <row r="1887" ht="12" customHeight="1" x14ac:dyDescent="0.2"/>
    <row r="1888" ht="12" customHeight="1" x14ac:dyDescent="0.2"/>
    <row r="1889" ht="12" customHeight="1" x14ac:dyDescent="0.2"/>
    <row r="1890" ht="12" customHeight="1" x14ac:dyDescent="0.2"/>
    <row r="1891" ht="12" customHeight="1" x14ac:dyDescent="0.2"/>
    <row r="1892" ht="12" customHeight="1" x14ac:dyDescent="0.2"/>
    <row r="1893" ht="12" customHeight="1" x14ac:dyDescent="0.2"/>
    <row r="1894" ht="12" customHeight="1" x14ac:dyDescent="0.2"/>
    <row r="1895" ht="12" customHeight="1" x14ac:dyDescent="0.2"/>
    <row r="1896" ht="12" customHeight="1" x14ac:dyDescent="0.2"/>
    <row r="1897" ht="12" customHeight="1" x14ac:dyDescent="0.2"/>
    <row r="1898" ht="12" customHeight="1" x14ac:dyDescent="0.2"/>
    <row r="1899" ht="12" customHeight="1" x14ac:dyDescent="0.2"/>
    <row r="1900" ht="12" customHeight="1" x14ac:dyDescent="0.2"/>
    <row r="1901" ht="12" customHeight="1" x14ac:dyDescent="0.2"/>
    <row r="1902" ht="12" customHeight="1" x14ac:dyDescent="0.2"/>
    <row r="1903" ht="12" customHeight="1" x14ac:dyDescent="0.2"/>
    <row r="1904" ht="12" customHeight="1" x14ac:dyDescent="0.2"/>
    <row r="1905" ht="12" customHeight="1" x14ac:dyDescent="0.2"/>
    <row r="1918" ht="12" customHeight="1" x14ac:dyDescent="0.2"/>
    <row r="1926" ht="12" customHeight="1" x14ac:dyDescent="0.2"/>
    <row r="1934" ht="12" customHeight="1" x14ac:dyDescent="0.2"/>
    <row r="1940" spans="2:32" ht="12" customHeight="1" x14ac:dyDescent="0.2"/>
    <row r="1944" spans="2:32" ht="15" customHeight="1" x14ac:dyDescent="0.2">
      <c r="B1944" s="306"/>
      <c r="C1944" s="306"/>
      <c r="D1944" s="306"/>
      <c r="E1944" s="306"/>
      <c r="F1944" s="306"/>
      <c r="G1944" s="306"/>
      <c r="H1944" s="306"/>
      <c r="I1944" s="306"/>
      <c r="J1944" s="306"/>
      <c r="K1944" s="306"/>
      <c r="L1944" s="306"/>
      <c r="M1944" s="306"/>
      <c r="N1944" s="306"/>
      <c r="O1944" s="306"/>
      <c r="P1944" s="306"/>
      <c r="Q1944" s="306"/>
      <c r="R1944" s="306"/>
      <c r="S1944" s="306"/>
      <c r="T1944" s="306"/>
      <c r="U1944" s="306"/>
      <c r="V1944" s="306"/>
      <c r="W1944" s="306"/>
      <c r="X1944" s="306"/>
      <c r="Y1944" s="306"/>
      <c r="Z1944" s="306"/>
      <c r="AA1944" s="306"/>
      <c r="AB1944" s="306"/>
      <c r="AC1944" s="306"/>
      <c r="AD1944" s="306"/>
      <c r="AE1944" s="306"/>
      <c r="AF1944" s="306"/>
    </row>
    <row r="1949" spans="2:32" ht="12" customHeight="1" x14ac:dyDescent="0.2"/>
    <row r="1950" spans="2:32" ht="12" customHeight="1" x14ac:dyDescent="0.2"/>
    <row r="1951" spans="2:32" ht="12" customHeight="1" x14ac:dyDescent="0.2"/>
    <row r="1952" spans="2:32" ht="12" customHeight="1" x14ac:dyDescent="0.2"/>
    <row r="1953" ht="12" customHeight="1" x14ac:dyDescent="0.2"/>
    <row r="1954" ht="12" customHeight="1" x14ac:dyDescent="0.2"/>
    <row r="1955" ht="12" customHeight="1" x14ac:dyDescent="0.2"/>
    <row r="1956" ht="12" customHeight="1" x14ac:dyDescent="0.2"/>
    <row r="1957" ht="12" customHeight="1" x14ac:dyDescent="0.2"/>
    <row r="1958" ht="12" customHeight="1" x14ac:dyDescent="0.2"/>
    <row r="1959" ht="12" customHeight="1" x14ac:dyDescent="0.2"/>
    <row r="1960" ht="12" customHeight="1" x14ac:dyDescent="0.2"/>
    <row r="1961" ht="12" customHeight="1" x14ac:dyDescent="0.2"/>
    <row r="1962" ht="12" customHeight="1" x14ac:dyDescent="0.2"/>
    <row r="1963" ht="12" customHeight="1" x14ac:dyDescent="0.2"/>
    <row r="1964" ht="12" customHeight="1" x14ac:dyDescent="0.2"/>
    <row r="1965" ht="12" customHeight="1" x14ac:dyDescent="0.2"/>
    <row r="1966" ht="12" customHeight="1" x14ac:dyDescent="0.2"/>
    <row r="1967" ht="12" customHeight="1" x14ac:dyDescent="0.2"/>
    <row r="1968" ht="12" customHeight="1" x14ac:dyDescent="0.2"/>
    <row r="1969" ht="12" customHeight="1" x14ac:dyDescent="0.2"/>
    <row r="1970" ht="12" customHeight="1" x14ac:dyDescent="0.2"/>
    <row r="1971" ht="12" customHeight="1" x14ac:dyDescent="0.2"/>
    <row r="1972" ht="12" customHeight="1" x14ac:dyDescent="0.2"/>
    <row r="1973" ht="12" customHeight="1" x14ac:dyDescent="0.2"/>
    <row r="1974" ht="12" customHeight="1" x14ac:dyDescent="0.2"/>
    <row r="1975" ht="12" customHeight="1" x14ac:dyDescent="0.2"/>
    <row r="1976" ht="12" customHeight="1" x14ac:dyDescent="0.2"/>
    <row r="1977" ht="12" customHeight="1" x14ac:dyDescent="0.2"/>
    <row r="1978" ht="12" customHeight="1" x14ac:dyDescent="0.2"/>
    <row r="1979" ht="12" customHeight="1" x14ac:dyDescent="0.2"/>
    <row r="1980" ht="12" customHeight="1" x14ac:dyDescent="0.2"/>
    <row r="1981" ht="12" customHeight="1" x14ac:dyDescent="0.2"/>
    <row r="1982" ht="12" customHeight="1" x14ac:dyDescent="0.2"/>
    <row r="1983" ht="12" customHeight="1" x14ac:dyDescent="0.2"/>
    <row r="1984" ht="12" customHeight="1" x14ac:dyDescent="0.2"/>
    <row r="1985" ht="12" customHeight="1" x14ac:dyDescent="0.2"/>
    <row r="1986" ht="12" customHeight="1" x14ac:dyDescent="0.2"/>
    <row r="1987" ht="12" customHeight="1" x14ac:dyDescent="0.2"/>
    <row r="1988" ht="12" customHeight="1" x14ac:dyDescent="0.2"/>
    <row r="1989" ht="12" customHeight="1" x14ac:dyDescent="0.2"/>
    <row r="1990" ht="12" customHeight="1" x14ac:dyDescent="0.2"/>
    <row r="1991" ht="12" customHeight="1" x14ac:dyDescent="0.2"/>
    <row r="1992" ht="12" customHeight="1" x14ac:dyDescent="0.2"/>
    <row r="1993" ht="12" customHeight="1" x14ac:dyDescent="0.2"/>
    <row r="1994" ht="12" customHeight="1" x14ac:dyDescent="0.2"/>
    <row r="1995" ht="12" customHeight="1" x14ac:dyDescent="0.2"/>
    <row r="1996" ht="12" customHeight="1" x14ac:dyDescent="0.2"/>
    <row r="1997" ht="12" customHeight="1" x14ac:dyDescent="0.2"/>
    <row r="1998" ht="12" customHeight="1" x14ac:dyDescent="0.2"/>
    <row r="1999" ht="12" customHeight="1" x14ac:dyDescent="0.2"/>
    <row r="2000" ht="12" customHeight="1" x14ac:dyDescent="0.2"/>
    <row r="2001" ht="12" customHeight="1" x14ac:dyDescent="0.2"/>
    <row r="2002" ht="12" customHeight="1" x14ac:dyDescent="0.2"/>
    <row r="2003" ht="12" customHeight="1" x14ac:dyDescent="0.2"/>
    <row r="2004" ht="12" customHeight="1" x14ac:dyDescent="0.2"/>
    <row r="2005" ht="12" customHeight="1" x14ac:dyDescent="0.2"/>
    <row r="2018" ht="12" customHeight="1" x14ac:dyDescent="0.2"/>
    <row r="2026" ht="12" customHeight="1" x14ac:dyDescent="0.2"/>
    <row r="2034" spans="2:32" ht="12" customHeight="1" x14ac:dyDescent="0.2"/>
    <row r="2040" spans="2:32" ht="12" customHeight="1" x14ac:dyDescent="0.2"/>
    <row r="2044" spans="2:32" ht="15" customHeight="1" x14ac:dyDescent="0.2">
      <c r="B2044" s="306"/>
      <c r="C2044" s="306"/>
      <c r="D2044" s="306"/>
      <c r="E2044" s="306"/>
      <c r="F2044" s="306"/>
      <c r="G2044" s="306"/>
      <c r="H2044" s="306"/>
      <c r="I2044" s="306"/>
      <c r="J2044" s="306"/>
      <c r="K2044" s="306"/>
      <c r="L2044" s="306"/>
      <c r="M2044" s="306"/>
      <c r="N2044" s="306"/>
      <c r="O2044" s="306"/>
      <c r="P2044" s="306"/>
      <c r="Q2044" s="306"/>
      <c r="R2044" s="306"/>
      <c r="S2044" s="306"/>
      <c r="T2044" s="306"/>
      <c r="U2044" s="306"/>
      <c r="V2044" s="306"/>
      <c r="W2044" s="306"/>
      <c r="X2044" s="306"/>
      <c r="Y2044" s="306"/>
      <c r="Z2044" s="306"/>
      <c r="AA2044" s="306"/>
      <c r="AB2044" s="306"/>
      <c r="AC2044" s="306"/>
      <c r="AD2044" s="306"/>
      <c r="AE2044" s="306"/>
      <c r="AF2044" s="306"/>
    </row>
    <row r="2049" ht="12" customHeight="1" x14ac:dyDescent="0.2"/>
    <row r="2050" ht="12" customHeight="1" x14ac:dyDescent="0.2"/>
    <row r="2051" ht="12" customHeight="1" x14ac:dyDescent="0.2"/>
    <row r="2052" ht="12" customHeight="1" x14ac:dyDescent="0.2"/>
    <row r="2053" ht="12" customHeight="1" x14ac:dyDescent="0.2"/>
    <row r="2054" ht="12" customHeight="1" x14ac:dyDescent="0.2"/>
    <row r="2055" ht="12" customHeight="1" x14ac:dyDescent="0.2"/>
    <row r="2056" ht="12" customHeight="1" x14ac:dyDescent="0.2"/>
    <row r="2057" ht="12" customHeight="1" x14ac:dyDescent="0.2"/>
    <row r="2058" ht="12" customHeight="1" x14ac:dyDescent="0.2"/>
    <row r="2059" ht="12" customHeight="1" x14ac:dyDescent="0.2"/>
    <row r="2060" ht="12" customHeight="1" x14ac:dyDescent="0.2"/>
    <row r="2061" ht="12" customHeight="1" x14ac:dyDescent="0.2"/>
    <row r="2062" ht="12" customHeight="1" x14ac:dyDescent="0.2"/>
    <row r="2063" ht="12" customHeight="1" x14ac:dyDescent="0.2"/>
    <row r="2064" ht="12" customHeight="1" x14ac:dyDescent="0.2"/>
    <row r="2065" ht="12" customHeight="1" x14ac:dyDescent="0.2"/>
    <row r="2066" ht="12" customHeight="1" x14ac:dyDescent="0.2"/>
    <row r="2067" ht="12" customHeight="1" x14ac:dyDescent="0.2"/>
    <row r="2068" ht="12" customHeight="1" x14ac:dyDescent="0.2"/>
    <row r="2069" ht="12" customHeight="1" x14ac:dyDescent="0.2"/>
    <row r="2070" ht="12" customHeight="1" x14ac:dyDescent="0.2"/>
    <row r="2071" ht="12" customHeight="1" x14ac:dyDescent="0.2"/>
    <row r="2072" ht="12" customHeight="1" x14ac:dyDescent="0.2"/>
    <row r="2073" ht="12" customHeight="1" x14ac:dyDescent="0.2"/>
    <row r="2074" ht="12" customHeight="1" x14ac:dyDescent="0.2"/>
    <row r="2075" ht="12" customHeight="1" x14ac:dyDescent="0.2"/>
    <row r="2076" ht="12" customHeight="1" x14ac:dyDescent="0.2"/>
    <row r="2077" ht="12" customHeight="1" x14ac:dyDescent="0.2"/>
    <row r="2078" ht="12" customHeight="1" x14ac:dyDescent="0.2"/>
    <row r="2079" ht="12" customHeight="1" x14ac:dyDescent="0.2"/>
    <row r="2080" ht="12" customHeight="1" x14ac:dyDescent="0.2"/>
    <row r="2081" ht="12" customHeight="1" x14ac:dyDescent="0.2"/>
    <row r="2082" ht="12" customHeight="1" x14ac:dyDescent="0.2"/>
    <row r="2083" ht="12" customHeight="1" x14ac:dyDescent="0.2"/>
    <row r="2084" ht="12" customHeight="1" x14ac:dyDescent="0.2"/>
    <row r="2085" ht="12" customHeight="1" x14ac:dyDescent="0.2"/>
    <row r="2086" ht="12" customHeight="1" x14ac:dyDescent="0.2"/>
    <row r="2087" ht="12" customHeight="1" x14ac:dyDescent="0.2"/>
    <row r="2088" ht="12" customHeight="1" x14ac:dyDescent="0.2"/>
    <row r="2089" ht="12" customHeight="1" x14ac:dyDescent="0.2"/>
    <row r="2090" ht="12" customHeight="1" x14ac:dyDescent="0.2"/>
    <row r="2091" ht="12" customHeight="1" x14ac:dyDescent="0.2"/>
    <row r="2092" ht="12" customHeight="1" x14ac:dyDescent="0.2"/>
    <row r="2093" ht="12" customHeight="1" x14ac:dyDescent="0.2"/>
    <row r="2094" ht="12" customHeight="1" x14ac:dyDescent="0.2"/>
    <row r="2095" ht="12" customHeight="1" x14ac:dyDescent="0.2"/>
    <row r="2096" ht="12" customHeight="1" x14ac:dyDescent="0.2"/>
    <row r="2097" ht="12" customHeight="1" x14ac:dyDescent="0.2"/>
    <row r="2098" ht="12" customHeight="1" x14ac:dyDescent="0.2"/>
    <row r="2099" ht="12" customHeight="1" x14ac:dyDescent="0.2"/>
    <row r="2100" ht="12" customHeight="1" x14ac:dyDescent="0.2"/>
    <row r="2101" ht="12" customHeight="1" x14ac:dyDescent="0.2"/>
    <row r="2102" ht="12" customHeight="1" x14ac:dyDescent="0.2"/>
    <row r="2103" ht="12" customHeight="1" x14ac:dyDescent="0.2"/>
    <row r="2104" ht="12" customHeight="1" x14ac:dyDescent="0.2"/>
    <row r="2105" ht="12" customHeight="1" x14ac:dyDescent="0.2"/>
    <row r="2118" ht="12" customHeight="1" x14ac:dyDescent="0.2"/>
    <row r="2126" ht="12" customHeight="1" x14ac:dyDescent="0.2"/>
    <row r="2134" spans="2:32" ht="12" customHeight="1" x14ac:dyDescent="0.2"/>
    <row r="2140" spans="2:32" ht="12" customHeight="1" x14ac:dyDescent="0.2"/>
    <row r="2144" spans="2:32" ht="15" customHeight="1" x14ac:dyDescent="0.2">
      <c r="B2144" s="306"/>
      <c r="C2144" s="306"/>
      <c r="D2144" s="306"/>
      <c r="E2144" s="306"/>
      <c r="F2144" s="306"/>
      <c r="G2144" s="306"/>
      <c r="H2144" s="306"/>
      <c r="I2144" s="306"/>
      <c r="J2144" s="306"/>
      <c r="K2144" s="306"/>
      <c r="L2144" s="306"/>
      <c r="M2144" s="306"/>
      <c r="N2144" s="306"/>
      <c r="O2144" s="306"/>
      <c r="P2144" s="306"/>
      <c r="Q2144" s="306"/>
      <c r="R2144" s="306"/>
      <c r="S2144" s="306"/>
      <c r="T2144" s="306"/>
      <c r="U2144" s="306"/>
      <c r="V2144" s="306"/>
      <c r="W2144" s="306"/>
      <c r="X2144" s="306"/>
      <c r="Y2144" s="306"/>
      <c r="Z2144" s="306"/>
      <c r="AA2144" s="306"/>
      <c r="AB2144" s="306"/>
      <c r="AC2144" s="306"/>
      <c r="AD2144" s="306"/>
      <c r="AE2144" s="306"/>
      <c r="AF2144" s="306"/>
    </row>
    <row r="2149" ht="12" customHeight="1" x14ac:dyDescent="0.2"/>
    <row r="2150" ht="12" customHeight="1" x14ac:dyDescent="0.2"/>
    <row r="2151" ht="12" customHeight="1" x14ac:dyDescent="0.2"/>
    <row r="2152" ht="12" customHeight="1" x14ac:dyDescent="0.2"/>
    <row r="2153" ht="12" customHeight="1" x14ac:dyDescent="0.2"/>
    <row r="2154" ht="12" customHeight="1" x14ac:dyDescent="0.2"/>
    <row r="2155" ht="12" customHeight="1" x14ac:dyDescent="0.2"/>
    <row r="2156" ht="12" customHeight="1" x14ac:dyDescent="0.2"/>
    <row r="2157" ht="12" customHeight="1" x14ac:dyDescent="0.2"/>
    <row r="2158" ht="12" customHeight="1" x14ac:dyDescent="0.2"/>
    <row r="2159" ht="12" customHeight="1" x14ac:dyDescent="0.2"/>
    <row r="2160" ht="12" customHeight="1" x14ac:dyDescent="0.2"/>
    <row r="2161" ht="12" customHeight="1" x14ac:dyDescent="0.2"/>
    <row r="2162" ht="12" customHeight="1" x14ac:dyDescent="0.2"/>
    <row r="2163" ht="12" customHeight="1" x14ac:dyDescent="0.2"/>
    <row r="2164" ht="12" customHeight="1" x14ac:dyDescent="0.2"/>
    <row r="2165" ht="12" customHeight="1" x14ac:dyDescent="0.2"/>
    <row r="2166" ht="12" customHeight="1" x14ac:dyDescent="0.2"/>
    <row r="2167" ht="12" customHeight="1" x14ac:dyDescent="0.2"/>
    <row r="2168" ht="12" customHeight="1" x14ac:dyDescent="0.2"/>
    <row r="2169" ht="12" customHeight="1" x14ac:dyDescent="0.2"/>
    <row r="2170" ht="12" customHeight="1" x14ac:dyDescent="0.2"/>
    <row r="2171" ht="12" customHeight="1" x14ac:dyDescent="0.2"/>
    <row r="2172" ht="12" customHeight="1" x14ac:dyDescent="0.2"/>
    <row r="2173" ht="12" customHeight="1" x14ac:dyDescent="0.2"/>
    <row r="2174" ht="12" customHeight="1" x14ac:dyDescent="0.2"/>
    <row r="2175" ht="12" customHeight="1" x14ac:dyDescent="0.2"/>
    <row r="2176" ht="12" customHeight="1" x14ac:dyDescent="0.2"/>
    <row r="2177" ht="12" customHeight="1" x14ac:dyDescent="0.2"/>
    <row r="2178" ht="12" customHeight="1" x14ac:dyDescent="0.2"/>
    <row r="2179" ht="12" customHeight="1" x14ac:dyDescent="0.2"/>
    <row r="2180" ht="12" customHeight="1" x14ac:dyDescent="0.2"/>
    <row r="2181" ht="12" customHeight="1" x14ac:dyDescent="0.2"/>
    <row r="2182" ht="12" customHeight="1" x14ac:dyDescent="0.2"/>
    <row r="2183" ht="12" customHeight="1" x14ac:dyDescent="0.2"/>
    <row r="2184" ht="12" customHeight="1" x14ac:dyDescent="0.2"/>
    <row r="2185" ht="12" customHeight="1" x14ac:dyDescent="0.2"/>
    <row r="2186" ht="12" customHeight="1" x14ac:dyDescent="0.2"/>
    <row r="2187" ht="12" customHeight="1" x14ac:dyDescent="0.2"/>
    <row r="2188" ht="12" customHeight="1" x14ac:dyDescent="0.2"/>
    <row r="2189" ht="12" customHeight="1" x14ac:dyDescent="0.2"/>
    <row r="2190" ht="12" customHeight="1" x14ac:dyDescent="0.2"/>
    <row r="2191" ht="12" customHeight="1" x14ac:dyDescent="0.2"/>
    <row r="2192" ht="12" customHeight="1" x14ac:dyDescent="0.2"/>
    <row r="2193" ht="12" customHeight="1" x14ac:dyDescent="0.2"/>
    <row r="2194" ht="12" customHeight="1" x14ac:dyDescent="0.2"/>
    <row r="2195" ht="12" customHeight="1" x14ac:dyDescent="0.2"/>
    <row r="2196" ht="12" customHeight="1" x14ac:dyDescent="0.2"/>
    <row r="2197" ht="12" customHeight="1" x14ac:dyDescent="0.2"/>
    <row r="2198" ht="12" customHeight="1" x14ac:dyDescent="0.2"/>
    <row r="2199" ht="12" customHeight="1" x14ac:dyDescent="0.2"/>
    <row r="2200" ht="12" customHeight="1" x14ac:dyDescent="0.2"/>
    <row r="2201" ht="12" customHeight="1" x14ac:dyDescent="0.2"/>
    <row r="2202" ht="12" customHeight="1" x14ac:dyDescent="0.2"/>
    <row r="2203" ht="12" customHeight="1" x14ac:dyDescent="0.2"/>
    <row r="2204" ht="12" customHeight="1" x14ac:dyDescent="0.2"/>
    <row r="2205" ht="12" customHeight="1" x14ac:dyDescent="0.2"/>
    <row r="2218" ht="12" customHeight="1" x14ac:dyDescent="0.2"/>
    <row r="2226" ht="12" customHeight="1" x14ac:dyDescent="0.2"/>
    <row r="2234" ht="12" customHeight="1" x14ac:dyDescent="0.2"/>
    <row r="2240" ht="12" customHeight="1" x14ac:dyDescent="0.2"/>
    <row r="2244" spans="2:32" ht="15" customHeight="1" x14ac:dyDescent="0.2">
      <c r="B2244" s="306"/>
      <c r="C2244" s="306"/>
      <c r="D2244" s="306"/>
      <c r="E2244" s="306"/>
      <c r="F2244" s="306"/>
      <c r="G2244" s="306"/>
      <c r="H2244" s="306"/>
      <c r="I2244" s="306"/>
      <c r="J2244" s="306"/>
      <c r="K2244" s="306"/>
      <c r="L2244" s="306"/>
      <c r="M2244" s="306"/>
      <c r="N2244" s="306"/>
      <c r="O2244" s="306"/>
      <c r="P2244" s="306"/>
      <c r="Q2244" s="306"/>
      <c r="R2244" s="306"/>
      <c r="S2244" s="306"/>
      <c r="T2244" s="306"/>
      <c r="U2244" s="306"/>
      <c r="V2244" s="306"/>
      <c r="W2244" s="306"/>
      <c r="X2244" s="306"/>
      <c r="Y2244" s="306"/>
      <c r="Z2244" s="306"/>
      <c r="AA2244" s="306"/>
      <c r="AB2244" s="306"/>
      <c r="AC2244" s="306"/>
      <c r="AD2244" s="306"/>
      <c r="AE2244" s="306"/>
      <c r="AF2244" s="306"/>
    </row>
    <row r="2249" spans="2:32" ht="12" customHeight="1" x14ac:dyDescent="0.2"/>
    <row r="2250" spans="2:32" ht="12" customHeight="1" x14ac:dyDescent="0.2"/>
    <row r="2251" spans="2:32" ht="12" customHeight="1" x14ac:dyDescent="0.2"/>
    <row r="2252" spans="2:32" ht="12" customHeight="1" x14ac:dyDescent="0.2"/>
    <row r="2253" spans="2:32" ht="12" customHeight="1" x14ac:dyDescent="0.2"/>
    <row r="2254" spans="2:32" ht="12" customHeight="1" x14ac:dyDescent="0.2"/>
    <row r="2255" spans="2:32" ht="12" customHeight="1" x14ac:dyDescent="0.2"/>
    <row r="2256" spans="2:32" ht="12" customHeight="1" x14ac:dyDescent="0.2"/>
    <row r="2257" ht="12" customHeight="1" x14ac:dyDescent="0.2"/>
    <row r="2258" ht="12" customHeight="1" x14ac:dyDescent="0.2"/>
    <row r="2259" ht="12" customHeight="1" x14ac:dyDescent="0.2"/>
    <row r="2260" ht="12" customHeight="1" x14ac:dyDescent="0.2"/>
    <row r="2261" ht="12" customHeight="1" x14ac:dyDescent="0.2"/>
    <row r="2262" ht="12" customHeight="1" x14ac:dyDescent="0.2"/>
    <row r="2263" ht="12" customHeight="1" x14ac:dyDescent="0.2"/>
    <row r="2264" ht="12" customHeight="1" x14ac:dyDescent="0.2"/>
    <row r="2265" ht="12" customHeight="1" x14ac:dyDescent="0.2"/>
    <row r="2266" ht="12" customHeight="1" x14ac:dyDescent="0.2"/>
    <row r="2267" ht="12" customHeight="1" x14ac:dyDescent="0.2"/>
    <row r="2268" ht="12" customHeight="1" x14ac:dyDescent="0.2"/>
    <row r="2269" ht="12" customHeight="1" x14ac:dyDescent="0.2"/>
    <row r="2270" ht="12" customHeight="1" x14ac:dyDescent="0.2"/>
    <row r="2271" ht="12" customHeight="1" x14ac:dyDescent="0.2"/>
    <row r="2272" ht="12" customHeight="1" x14ac:dyDescent="0.2"/>
    <row r="2273" ht="12" customHeight="1" x14ac:dyDescent="0.2"/>
    <row r="2274" ht="12" customHeight="1" x14ac:dyDescent="0.2"/>
    <row r="2275" ht="12" customHeight="1" x14ac:dyDescent="0.2"/>
    <row r="2276" ht="12" customHeight="1" x14ac:dyDescent="0.2"/>
    <row r="2277" ht="12" customHeight="1" x14ac:dyDescent="0.2"/>
    <row r="2278" ht="12" customHeight="1" x14ac:dyDescent="0.2"/>
    <row r="2279" ht="12" customHeight="1" x14ac:dyDescent="0.2"/>
    <row r="2280" ht="12" customHeight="1" x14ac:dyDescent="0.2"/>
    <row r="2281" ht="12" customHeight="1" x14ac:dyDescent="0.2"/>
    <row r="2282" ht="12" customHeight="1" x14ac:dyDescent="0.2"/>
    <row r="2283" ht="12" customHeight="1" x14ac:dyDescent="0.2"/>
    <row r="2284" ht="12" customHeight="1" x14ac:dyDescent="0.2"/>
    <row r="2285" ht="12" customHeight="1" x14ac:dyDescent="0.2"/>
    <row r="2286" ht="12" customHeight="1" x14ac:dyDescent="0.2"/>
    <row r="2287" ht="12" customHeight="1" x14ac:dyDescent="0.2"/>
    <row r="2288" ht="12" customHeight="1" x14ac:dyDescent="0.2"/>
    <row r="2289" ht="12" customHeight="1" x14ac:dyDescent="0.2"/>
    <row r="2290" ht="12" customHeight="1" x14ac:dyDescent="0.2"/>
    <row r="2291" ht="12" customHeight="1" x14ac:dyDescent="0.2"/>
    <row r="2292" ht="12" customHeight="1" x14ac:dyDescent="0.2"/>
    <row r="2293" ht="12" customHeight="1" x14ac:dyDescent="0.2"/>
    <row r="2294" ht="12" customHeight="1" x14ac:dyDescent="0.2"/>
    <row r="2295" ht="12" customHeight="1" x14ac:dyDescent="0.2"/>
    <row r="2296" ht="12" customHeight="1" x14ac:dyDescent="0.2"/>
    <row r="2297" ht="12" customHeight="1" x14ac:dyDescent="0.2"/>
    <row r="2298" ht="12" customHeight="1" x14ac:dyDescent="0.2"/>
    <row r="2299" ht="12" customHeight="1" x14ac:dyDescent="0.2"/>
    <row r="2300" ht="12" customHeight="1" x14ac:dyDescent="0.2"/>
    <row r="2301" ht="12" customHeight="1" x14ac:dyDescent="0.2"/>
    <row r="2302" ht="12" customHeight="1" x14ac:dyDescent="0.2"/>
    <row r="2303" ht="12" customHeight="1" x14ac:dyDescent="0.2"/>
    <row r="2304" ht="12" customHeight="1" x14ac:dyDescent="0.2"/>
    <row r="2305" ht="12" customHeight="1" x14ac:dyDescent="0.2"/>
    <row r="2318" ht="12" customHeight="1" x14ac:dyDescent="0.2"/>
    <row r="2326" ht="12" customHeight="1" x14ac:dyDescent="0.2"/>
    <row r="2334" ht="12" customHeight="1" x14ac:dyDescent="0.2"/>
    <row r="2340" spans="2:32" ht="12" customHeight="1" x14ac:dyDescent="0.2"/>
    <row r="2344" spans="2:32" ht="15" customHeight="1" x14ac:dyDescent="0.2">
      <c r="B2344" s="306"/>
      <c r="C2344" s="306"/>
      <c r="D2344" s="306"/>
      <c r="E2344" s="306"/>
      <c r="F2344" s="306"/>
      <c r="G2344" s="306"/>
      <c r="H2344" s="306"/>
      <c r="I2344" s="306"/>
      <c r="J2344" s="306"/>
      <c r="K2344" s="306"/>
      <c r="L2344" s="306"/>
      <c r="M2344" s="306"/>
      <c r="N2344" s="306"/>
      <c r="O2344" s="306"/>
      <c r="P2344" s="306"/>
      <c r="Q2344" s="306"/>
      <c r="R2344" s="306"/>
      <c r="S2344" s="306"/>
      <c r="T2344" s="306"/>
      <c r="U2344" s="306"/>
      <c r="V2344" s="306"/>
      <c r="W2344" s="306"/>
      <c r="X2344" s="306"/>
      <c r="Y2344" s="306"/>
      <c r="Z2344" s="306"/>
      <c r="AA2344" s="306"/>
      <c r="AB2344" s="306"/>
      <c r="AC2344" s="306"/>
      <c r="AD2344" s="306"/>
      <c r="AE2344" s="306"/>
      <c r="AF2344" s="306"/>
    </row>
  </sheetData>
  <mergeCells count="22">
    <mergeCell ref="B74:AF74"/>
    <mergeCell ref="B1426:AF1426"/>
    <mergeCell ref="B88:AF88"/>
    <mergeCell ref="B214:AF214"/>
    <mergeCell ref="B383:AF383"/>
    <mergeCell ref="B500:AF500"/>
    <mergeCell ref="B652:AF652"/>
    <mergeCell ref="B752:AF752"/>
    <mergeCell ref="B843:AF843"/>
    <mergeCell ref="B914:AF914"/>
    <mergeCell ref="B1009:AF1009"/>
    <mergeCell ref="B1159:AF1159"/>
    <mergeCell ref="B1331:AF1331"/>
    <mergeCell ref="B2144:AF2144"/>
    <mergeCell ref="B2244:AF2244"/>
    <mergeCell ref="B2344:AF2344"/>
    <mergeCell ref="B1544:AF1544"/>
    <mergeCell ref="B1644:AF1644"/>
    <mergeCell ref="B1744:AF1744"/>
    <mergeCell ref="B1844:AF1844"/>
    <mergeCell ref="B1944:AF1944"/>
    <mergeCell ref="B2044:AF2044"/>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89CA3-629F-4433-A841-694178524AFD}">
  <dimension ref="A1:AJ46"/>
  <sheetViews>
    <sheetView topLeftCell="A2" workbookViewId="0">
      <selection activeCell="S31" sqref="S31"/>
    </sheetView>
  </sheetViews>
  <sheetFormatPr defaultRowHeight="15" x14ac:dyDescent="0.25"/>
  <sheetData>
    <row r="1" spans="1:35" x14ac:dyDescent="0.25">
      <c r="A1" t="s">
        <v>823</v>
      </c>
    </row>
    <row r="2" spans="1:35" x14ac:dyDescent="0.25">
      <c r="A2" t="s">
        <v>940</v>
      </c>
    </row>
    <row r="3" spans="1:35" x14ac:dyDescent="0.25">
      <c r="A3" t="s">
        <v>941</v>
      </c>
    </row>
    <row r="4" spans="1:35" x14ac:dyDescent="0.25">
      <c r="A4" t="s">
        <v>798</v>
      </c>
    </row>
    <row r="5" spans="1:35" x14ac:dyDescent="0.25">
      <c r="B5" t="s">
        <v>799</v>
      </c>
      <c r="C5" t="s">
        <v>800</v>
      </c>
      <c r="D5" t="s">
        <v>801</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868</v>
      </c>
    </row>
    <row r="8" spans="1:35" x14ac:dyDescent="0.25">
      <c r="A8" t="s">
        <v>824</v>
      </c>
    </row>
    <row r="9" spans="1:35" x14ac:dyDescent="0.25">
      <c r="A9" t="s">
        <v>802</v>
      </c>
      <c r="B9" t="s">
        <v>942</v>
      </c>
      <c r="C9" t="s">
        <v>943</v>
      </c>
      <c r="D9" t="s">
        <v>825</v>
      </c>
      <c r="F9">
        <v>36.11721</v>
      </c>
      <c r="G9">
        <v>36.160473000000003</v>
      </c>
      <c r="H9">
        <v>35.236457999999999</v>
      </c>
      <c r="I9">
        <v>35.385081999999997</v>
      </c>
      <c r="J9">
        <v>35.842360999999997</v>
      </c>
      <c r="K9">
        <v>35.789593000000004</v>
      </c>
      <c r="L9">
        <v>36.084969000000001</v>
      </c>
      <c r="M9">
        <v>36.326552999999997</v>
      </c>
      <c r="N9">
        <v>36.675776999999997</v>
      </c>
      <c r="O9">
        <v>37.108832999999997</v>
      </c>
      <c r="P9">
        <v>37.608638999999997</v>
      </c>
      <c r="Q9">
        <v>38.184341000000003</v>
      </c>
      <c r="R9">
        <v>38.686110999999997</v>
      </c>
      <c r="S9">
        <v>39.140957</v>
      </c>
      <c r="T9">
        <v>39.498707000000003</v>
      </c>
      <c r="U9">
        <v>39.853999999999999</v>
      </c>
      <c r="V9">
        <v>40.120361000000003</v>
      </c>
      <c r="W9">
        <v>40.358707000000003</v>
      </c>
      <c r="X9">
        <v>40.500950000000003</v>
      </c>
      <c r="Y9">
        <v>40.620883999999997</v>
      </c>
      <c r="Z9">
        <v>40.794955999999999</v>
      </c>
      <c r="AA9">
        <v>40.906959999999998</v>
      </c>
      <c r="AB9">
        <v>40.974735000000003</v>
      </c>
      <c r="AC9">
        <v>41.124125999999997</v>
      </c>
      <c r="AD9">
        <v>40.952205999999997</v>
      </c>
      <c r="AE9">
        <v>41.157238</v>
      </c>
      <c r="AF9">
        <v>41.220950999999999</v>
      </c>
      <c r="AG9">
        <v>41.302062999999997</v>
      </c>
      <c r="AH9">
        <v>41.677504999999996</v>
      </c>
      <c r="AI9" s="98">
        <v>5.0000000000000001E-3</v>
      </c>
    </row>
    <row r="10" spans="1:35" x14ac:dyDescent="0.25">
      <c r="A10" t="s">
        <v>804</v>
      </c>
      <c r="B10" t="s">
        <v>944</v>
      </c>
      <c r="C10" t="s">
        <v>945</v>
      </c>
      <c r="D10" t="s">
        <v>825</v>
      </c>
      <c r="F10">
        <v>35.046551000000001</v>
      </c>
      <c r="G10">
        <v>35.336418000000002</v>
      </c>
      <c r="H10">
        <v>34.441242000000003</v>
      </c>
      <c r="I10">
        <v>34.503323000000002</v>
      </c>
      <c r="J10">
        <v>34.879745</v>
      </c>
      <c r="K10">
        <v>34.711131999999999</v>
      </c>
      <c r="L10">
        <v>34.854388999999998</v>
      </c>
      <c r="M10">
        <v>35.019587999999999</v>
      </c>
      <c r="N10">
        <v>35.347614</v>
      </c>
      <c r="O10">
        <v>35.780498999999999</v>
      </c>
      <c r="P10">
        <v>36.265155999999998</v>
      </c>
      <c r="Q10">
        <v>36.855311999999998</v>
      </c>
      <c r="R10">
        <v>37.366810000000001</v>
      </c>
      <c r="S10">
        <v>37.837581999999998</v>
      </c>
      <c r="T10">
        <v>38.213298999999999</v>
      </c>
      <c r="U10">
        <v>38.579849000000003</v>
      </c>
      <c r="V10">
        <v>38.861893000000002</v>
      </c>
      <c r="W10">
        <v>39.162666000000002</v>
      </c>
      <c r="X10">
        <v>39.335422999999999</v>
      </c>
      <c r="Y10">
        <v>39.544559</v>
      </c>
      <c r="Z10">
        <v>39.670769</v>
      </c>
      <c r="AA10">
        <v>39.661568000000003</v>
      </c>
      <c r="AB10">
        <v>39.646687</v>
      </c>
      <c r="AC10">
        <v>39.801341999999998</v>
      </c>
      <c r="AD10">
        <v>39.645775</v>
      </c>
      <c r="AE10">
        <v>39.963863000000003</v>
      </c>
      <c r="AF10">
        <v>39.982841000000001</v>
      </c>
      <c r="AG10">
        <v>39.924835000000002</v>
      </c>
      <c r="AH10">
        <v>40.241112000000001</v>
      </c>
      <c r="AI10" s="98">
        <v>5.0000000000000001E-3</v>
      </c>
    </row>
    <row r="11" spans="1:35" x14ac:dyDescent="0.25">
      <c r="A11" t="s">
        <v>805</v>
      </c>
      <c r="B11" t="s">
        <v>946</v>
      </c>
      <c r="C11" t="s">
        <v>947</v>
      </c>
      <c r="D11" t="s">
        <v>825</v>
      </c>
      <c r="F11">
        <v>15.131968000000001</v>
      </c>
      <c r="G11">
        <v>13.514215</v>
      </c>
      <c r="H11">
        <v>12.409003999999999</v>
      </c>
      <c r="I11">
        <v>12.356494</v>
      </c>
      <c r="J11">
        <v>12.315032</v>
      </c>
      <c r="K11">
        <v>12.338302000000001</v>
      </c>
      <c r="L11">
        <v>12.570937000000001</v>
      </c>
      <c r="M11">
        <v>12.812768999999999</v>
      </c>
      <c r="N11">
        <v>13.143781000000001</v>
      </c>
      <c r="O11">
        <v>13.462552000000001</v>
      </c>
      <c r="P11">
        <v>13.766328</v>
      </c>
      <c r="Q11">
        <v>14.026498999999999</v>
      </c>
      <c r="R11">
        <v>14.216332</v>
      </c>
      <c r="S11">
        <v>14.421331</v>
      </c>
      <c r="T11">
        <v>14.398187999999999</v>
      </c>
      <c r="U11">
        <v>14.399077999999999</v>
      </c>
      <c r="V11">
        <v>14.592781</v>
      </c>
      <c r="W11">
        <v>14.478137</v>
      </c>
      <c r="X11">
        <v>14.673952999999999</v>
      </c>
      <c r="Y11">
        <v>14.809990000000001</v>
      </c>
      <c r="Z11">
        <v>14.946555999999999</v>
      </c>
      <c r="AA11">
        <v>14.964318</v>
      </c>
      <c r="AB11">
        <v>15.028558</v>
      </c>
      <c r="AC11">
        <v>15.185708999999999</v>
      </c>
      <c r="AD11">
        <v>15.102778000000001</v>
      </c>
      <c r="AE11">
        <v>15.243244000000001</v>
      </c>
      <c r="AF11">
        <v>15.234793</v>
      </c>
      <c r="AG11">
        <v>15.235981000000001</v>
      </c>
      <c r="AH11">
        <v>15.51906</v>
      </c>
      <c r="AI11" s="98">
        <v>1E-3</v>
      </c>
    </row>
    <row r="12" spans="1:35" x14ac:dyDescent="0.25">
      <c r="A12" t="s">
        <v>806</v>
      </c>
      <c r="B12" t="s">
        <v>948</v>
      </c>
      <c r="C12" t="s">
        <v>949</v>
      </c>
      <c r="D12" t="s">
        <v>825</v>
      </c>
      <c r="F12">
        <v>7.2286619999999999</v>
      </c>
      <c r="G12">
        <v>8.5563400000000005</v>
      </c>
      <c r="H12">
        <v>9.3733869999999992</v>
      </c>
      <c r="I12">
        <v>9.4303489999999996</v>
      </c>
      <c r="J12">
        <v>9.4719440000000006</v>
      </c>
      <c r="K12">
        <v>9.2772819999999996</v>
      </c>
      <c r="L12">
        <v>9.1850959999999997</v>
      </c>
      <c r="M12">
        <v>9.1667780000000008</v>
      </c>
      <c r="N12">
        <v>9.1780740000000005</v>
      </c>
      <c r="O12">
        <v>9.3368199999999995</v>
      </c>
      <c r="P12">
        <v>9.5347799999999996</v>
      </c>
      <c r="Q12">
        <v>9.8192369999999993</v>
      </c>
      <c r="R12">
        <v>10.124262999999999</v>
      </c>
      <c r="S12">
        <v>10.378657</v>
      </c>
      <c r="T12">
        <v>10.682347999999999</v>
      </c>
      <c r="U12">
        <v>10.900270000000001</v>
      </c>
      <c r="V12">
        <v>11.017419</v>
      </c>
      <c r="W12">
        <v>11.257377999999999</v>
      </c>
      <c r="X12">
        <v>11.210609</v>
      </c>
      <c r="Y12">
        <v>11.234081</v>
      </c>
      <c r="Z12">
        <v>11.199199999999999</v>
      </c>
      <c r="AA12">
        <v>11.143196</v>
      </c>
      <c r="AB12">
        <v>10.985035999999999</v>
      </c>
      <c r="AC12">
        <v>10.95787</v>
      </c>
      <c r="AD12">
        <v>10.843297</v>
      </c>
      <c r="AE12">
        <v>10.943599000000001</v>
      </c>
      <c r="AF12">
        <v>10.983874999999999</v>
      </c>
      <c r="AG12">
        <v>10.947718999999999</v>
      </c>
      <c r="AH12">
        <v>10.954504</v>
      </c>
      <c r="AI12" s="98">
        <v>1.4999999999999999E-2</v>
      </c>
    </row>
    <row r="13" spans="1:35" x14ac:dyDescent="0.25">
      <c r="A13" t="s">
        <v>807</v>
      </c>
      <c r="B13" t="s">
        <v>950</v>
      </c>
      <c r="C13" t="s">
        <v>951</v>
      </c>
      <c r="D13" t="s">
        <v>825</v>
      </c>
      <c r="F13">
        <v>2.765047</v>
      </c>
      <c r="G13">
        <v>2.8520099999999999</v>
      </c>
      <c r="H13">
        <v>2.5916299999999999</v>
      </c>
      <c r="I13">
        <v>2.5846640000000001</v>
      </c>
      <c r="J13">
        <v>2.6066729999999998</v>
      </c>
      <c r="K13">
        <v>2.5580370000000001</v>
      </c>
      <c r="L13">
        <v>2.5117409999999998</v>
      </c>
      <c r="M13">
        <v>2.4558680000000002</v>
      </c>
      <c r="N13">
        <v>2.4240409999999999</v>
      </c>
      <c r="O13">
        <v>2.370743</v>
      </c>
      <c r="P13">
        <v>2.3427530000000001</v>
      </c>
      <c r="Q13">
        <v>2.3159380000000001</v>
      </c>
      <c r="R13">
        <v>2.2911609999999998</v>
      </c>
      <c r="S13">
        <v>2.262149</v>
      </c>
      <c r="T13">
        <v>2.2564839999999999</v>
      </c>
      <c r="U13">
        <v>2.2384390000000001</v>
      </c>
      <c r="V13">
        <v>2.1964229999999998</v>
      </c>
      <c r="W13">
        <v>2.2079390000000001</v>
      </c>
      <c r="X13">
        <v>2.190404</v>
      </c>
      <c r="Y13">
        <v>2.186232</v>
      </c>
      <c r="Z13">
        <v>2.1957789999999999</v>
      </c>
      <c r="AA13">
        <v>2.1949329999999998</v>
      </c>
      <c r="AB13">
        <v>2.184463</v>
      </c>
      <c r="AC13">
        <v>2.1750759999999998</v>
      </c>
      <c r="AD13">
        <v>2.1522320000000001</v>
      </c>
      <c r="AE13">
        <v>2.1924160000000001</v>
      </c>
      <c r="AF13">
        <v>2.1777799999999998</v>
      </c>
      <c r="AG13">
        <v>2.151856</v>
      </c>
      <c r="AH13">
        <v>2.1329410000000002</v>
      </c>
      <c r="AI13" s="98">
        <v>-8.9999999999999993E-3</v>
      </c>
    </row>
    <row r="14" spans="1:35" x14ac:dyDescent="0.25">
      <c r="A14" t="s">
        <v>808</v>
      </c>
      <c r="B14" t="s">
        <v>952</v>
      </c>
      <c r="C14" t="s">
        <v>953</v>
      </c>
      <c r="D14" t="s">
        <v>825</v>
      </c>
      <c r="F14">
        <v>4.9147590000000001</v>
      </c>
      <c r="G14">
        <v>6.044238</v>
      </c>
      <c r="H14">
        <v>5.8083309999999999</v>
      </c>
      <c r="I14">
        <v>5.7644859999999998</v>
      </c>
      <c r="J14">
        <v>6.0372459999999997</v>
      </c>
      <c r="K14">
        <v>6.0447620000000004</v>
      </c>
      <c r="L14">
        <v>6.0454559999999997</v>
      </c>
      <c r="M14">
        <v>6.0230579999999998</v>
      </c>
      <c r="N14">
        <v>6.0371350000000001</v>
      </c>
      <c r="O14">
        <v>6.0711459999999997</v>
      </c>
      <c r="P14">
        <v>6.139278</v>
      </c>
      <c r="Q14">
        <v>6.2320440000000001</v>
      </c>
      <c r="R14">
        <v>6.3443699999999996</v>
      </c>
      <c r="S14">
        <v>6.4301389999999996</v>
      </c>
      <c r="T14">
        <v>6.4663519999999997</v>
      </c>
      <c r="U14">
        <v>6.6165900000000004</v>
      </c>
      <c r="V14">
        <v>6.6031839999999997</v>
      </c>
      <c r="W14">
        <v>6.7659159999999998</v>
      </c>
      <c r="X14">
        <v>6.7559199999999997</v>
      </c>
      <c r="Y14">
        <v>6.815601</v>
      </c>
      <c r="Z14">
        <v>6.8641690000000004</v>
      </c>
      <c r="AA14">
        <v>6.9378120000000001</v>
      </c>
      <c r="AB14">
        <v>7.0285299999999999</v>
      </c>
      <c r="AC14">
        <v>7.1206069999999997</v>
      </c>
      <c r="AD14">
        <v>7.2255140000000004</v>
      </c>
      <c r="AE14">
        <v>7.2802439999999997</v>
      </c>
      <c r="AF14">
        <v>7.3185330000000004</v>
      </c>
      <c r="AG14">
        <v>7.3635650000000004</v>
      </c>
      <c r="AH14">
        <v>7.4240089999999999</v>
      </c>
      <c r="AI14" s="98">
        <v>1.4999999999999999E-2</v>
      </c>
    </row>
    <row r="15" spans="1:35" x14ac:dyDescent="0.25">
      <c r="A15" t="s">
        <v>809</v>
      </c>
      <c r="B15" t="s">
        <v>954</v>
      </c>
      <c r="C15" t="s">
        <v>955</v>
      </c>
      <c r="D15" t="s">
        <v>825</v>
      </c>
      <c r="F15">
        <v>4.0809680000000004</v>
      </c>
      <c r="G15">
        <v>3.4298959999999998</v>
      </c>
      <c r="H15">
        <v>3.3649249999999999</v>
      </c>
      <c r="I15">
        <v>3.4911530000000002</v>
      </c>
      <c r="J15">
        <v>3.5706099999999998</v>
      </c>
      <c r="K15">
        <v>3.6165069999999999</v>
      </c>
      <c r="L15">
        <v>3.6659310000000001</v>
      </c>
      <c r="M15">
        <v>3.6911269999999998</v>
      </c>
      <c r="N15">
        <v>3.6992050000000001</v>
      </c>
      <c r="O15">
        <v>3.6791390000000002</v>
      </c>
      <c r="P15">
        <v>3.6153949999999999</v>
      </c>
      <c r="Q15">
        <v>3.5917379999999999</v>
      </c>
      <c r="R15">
        <v>3.5256259999999999</v>
      </c>
      <c r="S15">
        <v>3.4782839999999999</v>
      </c>
      <c r="T15">
        <v>3.5425270000000002</v>
      </c>
      <c r="U15">
        <v>3.5633370000000002</v>
      </c>
      <c r="V15">
        <v>3.5968460000000002</v>
      </c>
      <c r="W15">
        <v>3.5992929999999999</v>
      </c>
      <c r="X15">
        <v>3.652844</v>
      </c>
      <c r="Y15">
        <v>3.6483539999999999</v>
      </c>
      <c r="Z15">
        <v>3.6183130000000001</v>
      </c>
      <c r="AA15">
        <v>3.590814</v>
      </c>
      <c r="AB15">
        <v>3.5982479999999999</v>
      </c>
      <c r="AC15">
        <v>3.5431509999999999</v>
      </c>
      <c r="AD15">
        <v>3.5027900000000001</v>
      </c>
      <c r="AE15">
        <v>3.481233</v>
      </c>
      <c r="AF15">
        <v>3.4508709999999998</v>
      </c>
      <c r="AG15">
        <v>3.4092220000000002</v>
      </c>
      <c r="AH15">
        <v>3.3890660000000001</v>
      </c>
      <c r="AI15" s="98">
        <v>-7.0000000000000001E-3</v>
      </c>
    </row>
    <row r="16" spans="1:35" x14ac:dyDescent="0.25">
      <c r="A16" t="s">
        <v>810</v>
      </c>
      <c r="B16" t="s">
        <v>956</v>
      </c>
      <c r="C16" t="s">
        <v>957</v>
      </c>
      <c r="D16" t="s">
        <v>825</v>
      </c>
      <c r="F16">
        <v>0.75800800000000002</v>
      </c>
      <c r="G16">
        <v>0.81315800000000005</v>
      </c>
      <c r="H16">
        <v>0.78812199999999999</v>
      </c>
      <c r="I16">
        <v>0.77618299999999996</v>
      </c>
      <c r="J16">
        <v>0.78711500000000001</v>
      </c>
      <c r="K16">
        <v>0.79225199999999996</v>
      </c>
      <c r="L16">
        <v>0.79710899999999996</v>
      </c>
      <c r="M16">
        <v>0.79716399999999998</v>
      </c>
      <c r="N16">
        <v>0.79778800000000005</v>
      </c>
      <c r="O16">
        <v>0.79563799999999996</v>
      </c>
      <c r="P16">
        <v>0.80580600000000002</v>
      </c>
      <c r="Q16">
        <v>0.81167699999999998</v>
      </c>
      <c r="R16">
        <v>0.81084500000000004</v>
      </c>
      <c r="S16">
        <v>0.81581400000000004</v>
      </c>
      <c r="T16">
        <v>0.81935999999999998</v>
      </c>
      <c r="U16">
        <v>0.81682399999999999</v>
      </c>
      <c r="V16">
        <v>0.81228299999999998</v>
      </c>
      <c r="W16">
        <v>0.808585</v>
      </c>
      <c r="X16">
        <v>0.805369</v>
      </c>
      <c r="Y16">
        <v>0.80545900000000004</v>
      </c>
      <c r="Z16">
        <v>0.80577399999999999</v>
      </c>
      <c r="AA16">
        <v>0.79252100000000003</v>
      </c>
      <c r="AB16">
        <v>0.785659</v>
      </c>
      <c r="AC16">
        <v>0.78407199999999999</v>
      </c>
      <c r="AD16">
        <v>0.78545100000000001</v>
      </c>
      <c r="AE16">
        <v>0.79039300000000001</v>
      </c>
      <c r="AF16">
        <v>0.78535299999999997</v>
      </c>
      <c r="AG16">
        <v>0.785941</v>
      </c>
      <c r="AH16">
        <v>0.79201600000000005</v>
      </c>
      <c r="AI16" s="98">
        <v>2E-3</v>
      </c>
    </row>
    <row r="17" spans="1:36" x14ac:dyDescent="0.25">
      <c r="A17" t="s">
        <v>811</v>
      </c>
      <c r="B17" t="s">
        <v>958</v>
      </c>
      <c r="C17" t="s">
        <v>959</v>
      </c>
      <c r="D17" t="s">
        <v>825</v>
      </c>
      <c r="F17">
        <v>0.16714100000000001</v>
      </c>
      <c r="G17">
        <v>0.126558</v>
      </c>
      <c r="H17">
        <v>0.105848</v>
      </c>
      <c r="I17">
        <v>9.9992999999999999E-2</v>
      </c>
      <c r="J17">
        <v>9.1124999999999998E-2</v>
      </c>
      <c r="K17">
        <v>8.3989999999999995E-2</v>
      </c>
      <c r="L17">
        <v>7.8120999999999996E-2</v>
      </c>
      <c r="M17">
        <v>7.2828000000000004E-2</v>
      </c>
      <c r="N17">
        <v>6.7596000000000003E-2</v>
      </c>
      <c r="O17">
        <v>6.4461000000000004E-2</v>
      </c>
      <c r="P17">
        <v>6.0816000000000002E-2</v>
      </c>
      <c r="Q17">
        <v>5.8180999999999997E-2</v>
      </c>
      <c r="R17">
        <v>5.4211000000000002E-2</v>
      </c>
      <c r="S17">
        <v>5.1208999999999998E-2</v>
      </c>
      <c r="T17">
        <v>4.8042000000000001E-2</v>
      </c>
      <c r="U17">
        <v>4.5319999999999999E-2</v>
      </c>
      <c r="V17">
        <v>4.2956000000000001E-2</v>
      </c>
      <c r="W17">
        <v>4.5420000000000002E-2</v>
      </c>
      <c r="X17">
        <v>4.6322000000000002E-2</v>
      </c>
      <c r="Y17">
        <v>4.4842E-2</v>
      </c>
      <c r="Z17">
        <v>4.0979000000000002E-2</v>
      </c>
      <c r="AA17">
        <v>3.7976999999999997E-2</v>
      </c>
      <c r="AB17">
        <v>3.6194999999999998E-2</v>
      </c>
      <c r="AC17">
        <v>3.4856999999999999E-2</v>
      </c>
      <c r="AD17">
        <v>3.3711999999999999E-2</v>
      </c>
      <c r="AE17">
        <v>3.2732999999999998E-2</v>
      </c>
      <c r="AF17">
        <v>3.1639E-2</v>
      </c>
      <c r="AG17">
        <v>3.0550999999999998E-2</v>
      </c>
      <c r="AH17">
        <v>2.9517999999999999E-2</v>
      </c>
      <c r="AI17" s="98">
        <v>-0.06</v>
      </c>
    </row>
    <row r="18" spans="1:36" x14ac:dyDescent="0.25">
      <c r="A18" t="s">
        <v>812</v>
      </c>
      <c r="B18" t="s">
        <v>960</v>
      </c>
      <c r="C18" t="s">
        <v>961</v>
      </c>
      <c r="D18" t="s">
        <v>825</v>
      </c>
      <c r="F18">
        <v>1.0706560000000001</v>
      </c>
      <c r="G18">
        <v>0.82405700000000004</v>
      </c>
      <c r="H18">
        <v>0.79521600000000003</v>
      </c>
      <c r="I18">
        <v>0.88176200000000005</v>
      </c>
      <c r="J18">
        <v>0.96261099999999999</v>
      </c>
      <c r="K18">
        <v>1.0784549999999999</v>
      </c>
      <c r="L18">
        <v>1.2305779999999999</v>
      </c>
      <c r="M18">
        <v>1.306956</v>
      </c>
      <c r="N18">
        <v>1.3281579999999999</v>
      </c>
      <c r="O18">
        <v>1.328338</v>
      </c>
      <c r="P18">
        <v>1.3434820000000001</v>
      </c>
      <c r="Q18">
        <v>1.3290299999999999</v>
      </c>
      <c r="R18">
        <v>1.3193049999999999</v>
      </c>
      <c r="S18">
        <v>1.3033729999999999</v>
      </c>
      <c r="T18">
        <v>1.2854049999999999</v>
      </c>
      <c r="U18">
        <v>1.2741439999999999</v>
      </c>
      <c r="V18">
        <v>1.2584709999999999</v>
      </c>
      <c r="W18">
        <v>1.196043</v>
      </c>
      <c r="X18">
        <v>1.1655279999999999</v>
      </c>
      <c r="Y18">
        <v>1.076319</v>
      </c>
      <c r="Z18">
        <v>1.124182</v>
      </c>
      <c r="AA18">
        <v>1.2453890000000001</v>
      </c>
      <c r="AB18">
        <v>1.3280449999999999</v>
      </c>
      <c r="AC18">
        <v>1.322789</v>
      </c>
      <c r="AD18">
        <v>1.3064309999999999</v>
      </c>
      <c r="AE18">
        <v>1.193373</v>
      </c>
      <c r="AF18">
        <v>1.2381059999999999</v>
      </c>
      <c r="AG18">
        <v>1.37723</v>
      </c>
      <c r="AH18">
        <v>1.4363900000000001</v>
      </c>
      <c r="AI18" s="98">
        <v>1.0999999999999999E-2</v>
      </c>
    </row>
    <row r="19" spans="1:36" x14ac:dyDescent="0.25">
      <c r="A19" t="s">
        <v>813</v>
      </c>
      <c r="B19" t="s">
        <v>962</v>
      </c>
      <c r="C19" t="s">
        <v>963</v>
      </c>
      <c r="D19" t="s">
        <v>825</v>
      </c>
      <c r="F19">
        <v>1.06135</v>
      </c>
      <c r="G19">
        <v>0.82008899999999996</v>
      </c>
      <c r="H19">
        <v>0.79153499999999999</v>
      </c>
      <c r="I19">
        <v>0.878328</v>
      </c>
      <c r="J19">
        <v>0.95938999999999997</v>
      </c>
      <c r="K19">
        <v>1.07542</v>
      </c>
      <c r="L19">
        <v>1.1036159999999999</v>
      </c>
      <c r="M19">
        <v>1.115855</v>
      </c>
      <c r="N19">
        <v>1.111558</v>
      </c>
      <c r="O19">
        <v>1.098036</v>
      </c>
      <c r="P19">
        <v>1.1078079999999999</v>
      </c>
      <c r="Q19">
        <v>1.090719</v>
      </c>
      <c r="R19">
        <v>1.0843119999999999</v>
      </c>
      <c r="S19">
        <v>1.083777</v>
      </c>
      <c r="T19">
        <v>1.0567200000000001</v>
      </c>
      <c r="U19">
        <v>1.054063</v>
      </c>
      <c r="V19">
        <v>1.059612</v>
      </c>
      <c r="W19">
        <v>0.98557799999999995</v>
      </c>
      <c r="X19">
        <v>0.95047099999999995</v>
      </c>
      <c r="Y19">
        <v>0.84499899999999994</v>
      </c>
      <c r="Z19">
        <v>0.89997099999999997</v>
      </c>
      <c r="AA19">
        <v>1.036117</v>
      </c>
      <c r="AB19">
        <v>1.1083609999999999</v>
      </c>
      <c r="AC19">
        <v>1.0920719999999999</v>
      </c>
      <c r="AD19">
        <v>1.09266</v>
      </c>
      <c r="AE19">
        <v>0.99212900000000004</v>
      </c>
      <c r="AF19">
        <v>0.96922399999999997</v>
      </c>
      <c r="AG19">
        <v>1.108598</v>
      </c>
      <c r="AH19">
        <v>1.187927</v>
      </c>
      <c r="AI19" s="98">
        <v>4.0000000000000001E-3</v>
      </c>
    </row>
    <row r="20" spans="1:36" x14ac:dyDescent="0.25">
      <c r="A20" t="s">
        <v>814</v>
      </c>
      <c r="B20" t="s">
        <v>815</v>
      </c>
      <c r="C20" t="s">
        <v>964</v>
      </c>
      <c r="D20" t="s">
        <v>965</v>
      </c>
      <c r="E20" t="s">
        <v>825</v>
      </c>
      <c r="G20">
        <v>6.8781999999999996E-2</v>
      </c>
      <c r="H20">
        <v>4.1140000000000003E-2</v>
      </c>
      <c r="I20">
        <v>3.2001000000000002E-2</v>
      </c>
      <c r="J20">
        <v>2.9929999999999998E-2</v>
      </c>
      <c r="K20">
        <v>2.6897999999999998E-2</v>
      </c>
      <c r="L20">
        <v>2.5100999999999998E-2</v>
      </c>
      <c r="M20">
        <v>2.3498999999999999E-2</v>
      </c>
      <c r="N20">
        <v>2.1878000000000002E-2</v>
      </c>
      <c r="O20">
        <v>2.0369000000000002E-2</v>
      </c>
      <c r="P20">
        <v>1.9035E-2</v>
      </c>
      <c r="Q20">
        <v>1.7819999999999999E-2</v>
      </c>
      <c r="R20">
        <v>1.6830000000000001E-2</v>
      </c>
      <c r="S20">
        <v>1.5731999999999999E-2</v>
      </c>
      <c r="T20">
        <v>1.4827999999999999E-2</v>
      </c>
      <c r="U20">
        <v>1.3899E-2</v>
      </c>
      <c r="V20">
        <v>1.3306E-2</v>
      </c>
      <c r="W20">
        <v>1.2813E-2</v>
      </c>
      <c r="X20">
        <v>1.196E-2</v>
      </c>
      <c r="Y20">
        <v>1.1762E-2</v>
      </c>
      <c r="Z20">
        <v>1.1226E-2</v>
      </c>
      <c r="AA20">
        <v>1.0688E-2</v>
      </c>
      <c r="AB20">
        <v>1.0236E-2</v>
      </c>
      <c r="AC20">
        <v>9.9080000000000001E-3</v>
      </c>
      <c r="AD20">
        <v>9.6349999999999995E-3</v>
      </c>
      <c r="AE20">
        <v>9.3279999999999995E-3</v>
      </c>
      <c r="AF20">
        <v>9.0050000000000009E-3</v>
      </c>
      <c r="AG20">
        <v>8.7530000000000004E-3</v>
      </c>
      <c r="AH20">
        <v>8.4700000000000001E-3</v>
      </c>
      <c r="AI20">
        <v>8.3029999999999996E-3</v>
      </c>
      <c r="AJ20" s="98">
        <v>-7.2999999999999995E-2</v>
      </c>
    </row>
    <row r="21" spans="1:36" x14ac:dyDescent="0.25">
      <c r="A21" t="s">
        <v>816</v>
      </c>
      <c r="B21" t="s">
        <v>815</v>
      </c>
      <c r="C21" t="s">
        <v>966</v>
      </c>
      <c r="D21" t="s">
        <v>967</v>
      </c>
      <c r="E21" t="s">
        <v>825</v>
      </c>
      <c r="G21">
        <v>0.11572</v>
      </c>
      <c r="H21">
        <v>9.2628000000000002E-2</v>
      </c>
      <c r="I21">
        <v>7.1988999999999997E-2</v>
      </c>
      <c r="J21">
        <v>6.8005999999999997E-2</v>
      </c>
      <c r="K21">
        <v>6.1443999999999999E-2</v>
      </c>
      <c r="L21">
        <v>5.7699E-2</v>
      </c>
      <c r="M21">
        <v>5.4343000000000002E-2</v>
      </c>
      <c r="N21">
        <v>5.0840000000000003E-2</v>
      </c>
      <c r="O21">
        <v>4.7669999999999997E-2</v>
      </c>
      <c r="P21">
        <v>4.4852999999999997E-2</v>
      </c>
      <c r="Q21">
        <v>4.2416000000000002E-2</v>
      </c>
      <c r="R21">
        <v>4.0592000000000003E-2</v>
      </c>
      <c r="S21">
        <v>3.8177000000000003E-2</v>
      </c>
      <c r="T21">
        <v>4.6588999999999998E-2</v>
      </c>
      <c r="U21">
        <v>5.7213E-2</v>
      </c>
      <c r="V21">
        <v>5.6627999999999998E-2</v>
      </c>
      <c r="W21">
        <v>7.8799999999999995E-2</v>
      </c>
      <c r="X21">
        <v>8.5582000000000005E-2</v>
      </c>
      <c r="Y21">
        <v>8.7631000000000001E-2</v>
      </c>
      <c r="Z21">
        <v>8.6255999999999999E-2</v>
      </c>
      <c r="AA21">
        <v>8.9688000000000004E-2</v>
      </c>
      <c r="AB21">
        <v>9.3800999999999995E-2</v>
      </c>
      <c r="AC21">
        <v>9.3534999999999993E-2</v>
      </c>
      <c r="AD21">
        <v>0.112123</v>
      </c>
      <c r="AE21">
        <v>0.122999</v>
      </c>
      <c r="AF21">
        <v>0.12216200000000001</v>
      </c>
      <c r="AG21">
        <v>0.12929599999999999</v>
      </c>
      <c r="AH21">
        <v>0.12904199999999999</v>
      </c>
      <c r="AI21">
        <v>0.13311799999999999</v>
      </c>
      <c r="AJ21" s="98">
        <v>5.0000000000000001E-3</v>
      </c>
    </row>
    <row r="22" spans="1:36" x14ac:dyDescent="0.25">
      <c r="A22" t="s">
        <v>817</v>
      </c>
      <c r="B22" t="s">
        <v>968</v>
      </c>
      <c r="C22" t="s">
        <v>969</v>
      </c>
      <c r="D22" t="s">
        <v>825</v>
      </c>
      <c r="F22">
        <v>0.60306099999999996</v>
      </c>
      <c r="G22">
        <v>0.68852400000000002</v>
      </c>
      <c r="H22">
        <v>0.68940999999999997</v>
      </c>
      <c r="I22">
        <v>0.78200999999999998</v>
      </c>
      <c r="J22">
        <v>0.872479</v>
      </c>
      <c r="K22">
        <v>0.99390400000000001</v>
      </c>
      <c r="L22">
        <v>1.02694</v>
      </c>
      <c r="M22">
        <v>1.0442039999999999</v>
      </c>
      <c r="N22">
        <v>1.0445040000000001</v>
      </c>
      <c r="O22">
        <v>1.0350649999999999</v>
      </c>
      <c r="P22">
        <v>1.0484279999999999</v>
      </c>
      <c r="Q22">
        <v>1.0341009999999999</v>
      </c>
      <c r="R22">
        <v>1.0311619999999999</v>
      </c>
      <c r="S22">
        <v>1.023077</v>
      </c>
      <c r="T22">
        <v>0.98629</v>
      </c>
      <c r="U22">
        <v>0.98477899999999996</v>
      </c>
      <c r="V22">
        <v>0.96861900000000001</v>
      </c>
      <c r="W22">
        <v>0.88863000000000003</v>
      </c>
      <c r="X22">
        <v>0.85164899999999999</v>
      </c>
      <c r="Y22">
        <v>0.74806499999999998</v>
      </c>
      <c r="Z22">
        <v>0.80012399999999995</v>
      </c>
      <c r="AA22">
        <v>0.93259000000000003</v>
      </c>
      <c r="AB22">
        <v>1.0054099999999999</v>
      </c>
      <c r="AC22">
        <v>0.97079000000000004</v>
      </c>
      <c r="AD22">
        <v>0.96079400000000004</v>
      </c>
      <c r="AE22">
        <v>0.86140899999999998</v>
      </c>
      <c r="AF22">
        <v>0.83160999999999996</v>
      </c>
      <c r="AG22">
        <v>0.97150899999999996</v>
      </c>
      <c r="AH22">
        <v>1.0469170000000001</v>
      </c>
      <c r="AI22" s="98">
        <v>0.02</v>
      </c>
    </row>
    <row r="23" spans="1:36" x14ac:dyDescent="0.25">
      <c r="A23" t="s">
        <v>818</v>
      </c>
      <c r="B23" t="s">
        <v>970</v>
      </c>
      <c r="C23" t="s">
        <v>971</v>
      </c>
      <c r="D23" t="s">
        <v>825</v>
      </c>
      <c r="F23">
        <v>9.306E-3</v>
      </c>
      <c r="G23">
        <v>3.967E-3</v>
      </c>
      <c r="H23">
        <v>3.6800000000000001E-3</v>
      </c>
      <c r="I23">
        <v>3.434E-3</v>
      </c>
      <c r="J23">
        <v>3.2209999999999999E-3</v>
      </c>
      <c r="K23">
        <v>3.0339999999999998E-3</v>
      </c>
      <c r="L23">
        <v>0.12696199999999999</v>
      </c>
      <c r="M23">
        <v>0.19110099999999999</v>
      </c>
      <c r="N23">
        <v>0.21659999999999999</v>
      </c>
      <c r="O23">
        <v>0.23030200000000001</v>
      </c>
      <c r="P23">
        <v>0.23567399999999999</v>
      </c>
      <c r="Q23">
        <v>0.238311</v>
      </c>
      <c r="R23">
        <v>0.23499400000000001</v>
      </c>
      <c r="S23">
        <v>0.21959600000000001</v>
      </c>
      <c r="T23">
        <v>0.228685</v>
      </c>
      <c r="U23">
        <v>0.220081</v>
      </c>
      <c r="V23">
        <v>0.19885900000000001</v>
      </c>
      <c r="W23">
        <v>0.21046500000000001</v>
      </c>
      <c r="X23">
        <v>0.215057</v>
      </c>
      <c r="Y23">
        <v>0.23132</v>
      </c>
      <c r="Z23">
        <v>0.22421099999999999</v>
      </c>
      <c r="AA23">
        <v>0.20927200000000001</v>
      </c>
      <c r="AB23">
        <v>0.21968399999999999</v>
      </c>
      <c r="AC23">
        <v>0.230716</v>
      </c>
      <c r="AD23">
        <v>0.21377199999999999</v>
      </c>
      <c r="AE23">
        <v>0.20124400000000001</v>
      </c>
      <c r="AF23">
        <v>0.26888200000000001</v>
      </c>
      <c r="AG23">
        <v>0.26863199999999998</v>
      </c>
      <c r="AH23">
        <v>0.24846299999999999</v>
      </c>
      <c r="AI23" s="98">
        <v>0.124</v>
      </c>
    </row>
    <row r="24" spans="1:36" x14ac:dyDescent="0.25">
      <c r="A24" t="s">
        <v>819</v>
      </c>
      <c r="B24" t="s">
        <v>972</v>
      </c>
      <c r="C24" t="s">
        <v>973</v>
      </c>
      <c r="D24" t="s">
        <v>825</v>
      </c>
      <c r="F24">
        <v>3.2290000000000001E-3</v>
      </c>
      <c r="G24">
        <v>3.0379999999999999E-3</v>
      </c>
      <c r="H24">
        <v>2.8189999999999999E-3</v>
      </c>
      <c r="I24">
        <v>2.63E-3</v>
      </c>
      <c r="J24">
        <v>2.467E-3</v>
      </c>
      <c r="K24">
        <v>2.3240000000000001E-3</v>
      </c>
      <c r="L24">
        <v>2.1979999999999999E-3</v>
      </c>
      <c r="M24">
        <v>2.0860000000000002E-3</v>
      </c>
      <c r="N24">
        <v>1.9849999999999998E-3</v>
      </c>
      <c r="O24">
        <v>1.895E-3</v>
      </c>
      <c r="P24">
        <v>1.8140000000000001E-3</v>
      </c>
      <c r="Q24">
        <v>1.7390000000000001E-3</v>
      </c>
      <c r="R24">
        <v>1.6720000000000001E-3</v>
      </c>
      <c r="S24">
        <v>1.609E-3</v>
      </c>
      <c r="T24">
        <v>1.552E-3</v>
      </c>
      <c r="U24">
        <v>1.5E-3</v>
      </c>
      <c r="V24">
        <v>1.451E-3</v>
      </c>
      <c r="W24">
        <v>1.405E-3</v>
      </c>
      <c r="X24">
        <v>1.3630000000000001E-3</v>
      </c>
      <c r="Y24">
        <v>1.3240000000000001E-3</v>
      </c>
      <c r="Z24">
        <v>1.2869999999999999E-3</v>
      </c>
      <c r="AA24">
        <v>1.2520000000000001E-3</v>
      </c>
      <c r="AB24">
        <v>1.2199999999999999E-3</v>
      </c>
      <c r="AC24">
        <v>1.189E-3</v>
      </c>
      <c r="AD24">
        <v>1.16E-3</v>
      </c>
      <c r="AE24">
        <v>1.1329999999999999E-3</v>
      </c>
      <c r="AF24">
        <v>1.1069999999999999E-3</v>
      </c>
      <c r="AG24">
        <v>1.083E-3</v>
      </c>
      <c r="AH24">
        <v>1.06E-3</v>
      </c>
      <c r="AI24" s="98">
        <v>-3.9E-2</v>
      </c>
    </row>
    <row r="25" spans="1:36" x14ac:dyDescent="0.25">
      <c r="A25" t="s">
        <v>820</v>
      </c>
      <c r="B25" t="s">
        <v>974</v>
      </c>
      <c r="C25" t="s">
        <v>975</v>
      </c>
      <c r="D25" t="s">
        <v>825</v>
      </c>
      <c r="F25">
        <v>6.0769999999999999E-3</v>
      </c>
      <c r="G25">
        <v>9.2900000000000003E-4</v>
      </c>
      <c r="H25">
        <v>8.6200000000000003E-4</v>
      </c>
      <c r="I25">
        <v>8.0400000000000003E-4</v>
      </c>
      <c r="J25">
        <v>7.54E-4</v>
      </c>
      <c r="K25">
        <v>7.1100000000000004E-4</v>
      </c>
      <c r="L25">
        <v>0.124764</v>
      </c>
      <c r="M25">
        <v>0.18901499999999999</v>
      </c>
      <c r="N25">
        <v>0.214615</v>
      </c>
      <c r="O25">
        <v>0.228407</v>
      </c>
      <c r="P25">
        <v>0.23386000000000001</v>
      </c>
      <c r="Q25">
        <v>0.236571</v>
      </c>
      <c r="R25">
        <v>0.233322</v>
      </c>
      <c r="S25">
        <v>0.21798699999999999</v>
      </c>
      <c r="T25">
        <v>0.227133</v>
      </c>
      <c r="U25">
        <v>0.218582</v>
      </c>
      <c r="V25">
        <v>0.197408</v>
      </c>
      <c r="W25">
        <v>0.20906</v>
      </c>
      <c r="X25">
        <v>0.213694</v>
      </c>
      <c r="Y25">
        <v>0.22999600000000001</v>
      </c>
      <c r="Z25">
        <v>0.22292400000000001</v>
      </c>
      <c r="AA25">
        <v>0.20801900000000001</v>
      </c>
      <c r="AB25">
        <v>0.21846499999999999</v>
      </c>
      <c r="AC25">
        <v>0.22952700000000001</v>
      </c>
      <c r="AD25">
        <v>0.21261099999999999</v>
      </c>
      <c r="AE25">
        <v>0.20011100000000001</v>
      </c>
      <c r="AF25">
        <v>0.26777400000000001</v>
      </c>
      <c r="AG25">
        <v>0.26754899999999998</v>
      </c>
      <c r="AH25">
        <v>0.24740300000000001</v>
      </c>
      <c r="AI25" s="98">
        <v>0.14199999999999999</v>
      </c>
    </row>
    <row r="26" spans="1:36" x14ac:dyDescent="0.25">
      <c r="A26" t="s">
        <v>821</v>
      </c>
      <c r="B26" t="s">
        <v>976</v>
      </c>
      <c r="C26" t="s">
        <v>977</v>
      </c>
      <c r="D26" t="s">
        <v>825</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t="s">
        <v>164</v>
      </c>
    </row>
    <row r="27" spans="1:36" x14ac:dyDescent="0.25">
      <c r="A27" t="s">
        <v>819</v>
      </c>
      <c r="B27" t="s">
        <v>978</v>
      </c>
      <c r="C27" t="s">
        <v>979</v>
      </c>
      <c r="D27" t="s">
        <v>825</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164</v>
      </c>
    </row>
    <row r="28" spans="1:36" x14ac:dyDescent="0.25">
      <c r="A28" t="s">
        <v>820</v>
      </c>
      <c r="B28" t="s">
        <v>980</v>
      </c>
      <c r="C28" t="s">
        <v>981</v>
      </c>
      <c r="D28" t="s">
        <v>825</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t="s">
        <v>164</v>
      </c>
    </row>
    <row r="29" spans="1:36" x14ac:dyDescent="0.25">
      <c r="A29" t="s">
        <v>761</v>
      </c>
    </row>
    <row r="30" spans="1:36" x14ac:dyDescent="0.25">
      <c r="A30" t="s">
        <v>871</v>
      </c>
    </row>
    <row r="31" spans="1:36" x14ac:dyDescent="0.25">
      <c r="A31" t="s">
        <v>826</v>
      </c>
      <c r="B31" t="s">
        <v>982</v>
      </c>
      <c r="C31" t="s">
        <v>983</v>
      </c>
      <c r="D31" t="s">
        <v>872</v>
      </c>
      <c r="F31">
        <v>6.5239969999999996</v>
      </c>
      <c r="G31">
        <v>5.2663760000000002</v>
      </c>
      <c r="H31">
        <v>4.072381</v>
      </c>
      <c r="I31">
        <v>3.4895139999999998</v>
      </c>
      <c r="J31">
        <v>3.0655079999999999</v>
      </c>
      <c r="K31">
        <v>2.8530009999999999</v>
      </c>
      <c r="L31">
        <v>2.7999040000000002</v>
      </c>
      <c r="M31">
        <v>2.825097</v>
      </c>
      <c r="N31">
        <v>2.91248</v>
      </c>
      <c r="O31">
        <v>3.043758</v>
      </c>
      <c r="P31">
        <v>3.2080039999999999</v>
      </c>
      <c r="Q31">
        <v>3.4169179999999999</v>
      </c>
      <c r="R31">
        <v>3.5694300000000001</v>
      </c>
      <c r="S31">
        <v>3.6818240000000002</v>
      </c>
      <c r="T31">
        <v>3.6941549999999999</v>
      </c>
      <c r="U31">
        <v>3.7375959999999999</v>
      </c>
      <c r="V31">
        <v>3.8665609999999999</v>
      </c>
      <c r="W31">
        <v>3.78878</v>
      </c>
      <c r="X31">
        <v>3.9380649999999999</v>
      </c>
      <c r="Y31">
        <v>4.0221549999999997</v>
      </c>
      <c r="Z31">
        <v>4.0147370000000002</v>
      </c>
      <c r="AA31">
        <v>3.9506160000000001</v>
      </c>
      <c r="AB31">
        <v>3.9137680000000001</v>
      </c>
      <c r="AC31">
        <v>3.9107059999999998</v>
      </c>
      <c r="AD31">
        <v>3.9070830000000001</v>
      </c>
      <c r="AE31">
        <v>3.8707060000000002</v>
      </c>
      <c r="AF31">
        <v>3.849094</v>
      </c>
      <c r="AG31">
        <v>3.7838949999999998</v>
      </c>
      <c r="AH31">
        <v>3.7710149999999998</v>
      </c>
      <c r="AI31" s="98">
        <v>-1.9E-2</v>
      </c>
    </row>
    <row r="32" spans="1:36" x14ac:dyDescent="0.25">
      <c r="A32" t="s">
        <v>827</v>
      </c>
      <c r="B32" t="s">
        <v>984</v>
      </c>
      <c r="C32" t="s">
        <v>985</v>
      </c>
      <c r="D32" t="s">
        <v>872</v>
      </c>
      <c r="F32">
        <v>5.108581</v>
      </c>
      <c r="G32">
        <v>4.4967220000000001</v>
      </c>
      <c r="H32">
        <v>3.4699879999999999</v>
      </c>
      <c r="I32">
        <v>2.892442</v>
      </c>
      <c r="J32">
        <v>2.4597579999999999</v>
      </c>
      <c r="K32">
        <v>2.2255189999999998</v>
      </c>
      <c r="L32">
        <v>2.1330260000000001</v>
      </c>
      <c r="M32">
        <v>2.1154679999999999</v>
      </c>
      <c r="N32">
        <v>2.1566519999999998</v>
      </c>
      <c r="O32">
        <v>2.2405629999999999</v>
      </c>
      <c r="P32">
        <v>2.33826</v>
      </c>
      <c r="Q32">
        <v>2.4639769999999999</v>
      </c>
      <c r="R32">
        <v>2.575345</v>
      </c>
      <c r="S32">
        <v>2.6765279999999998</v>
      </c>
      <c r="T32">
        <v>2.713635</v>
      </c>
      <c r="U32">
        <v>2.761968</v>
      </c>
      <c r="V32">
        <v>2.8671609999999998</v>
      </c>
      <c r="W32">
        <v>2.848468</v>
      </c>
      <c r="X32">
        <v>2.9408919999999998</v>
      </c>
      <c r="Y32">
        <v>2.988464</v>
      </c>
      <c r="Z32">
        <v>2.962466</v>
      </c>
      <c r="AA32">
        <v>2.906876</v>
      </c>
      <c r="AB32">
        <v>2.867534</v>
      </c>
      <c r="AC32">
        <v>2.843702</v>
      </c>
      <c r="AD32">
        <v>2.8171309999999998</v>
      </c>
      <c r="AE32">
        <v>2.7773189999999999</v>
      </c>
      <c r="AF32">
        <v>2.7427380000000001</v>
      </c>
      <c r="AG32">
        <v>2.6932330000000002</v>
      </c>
      <c r="AH32">
        <v>2.6760290000000002</v>
      </c>
      <c r="AI32" s="98">
        <v>-2.3E-2</v>
      </c>
    </row>
    <row r="33" spans="1:35" x14ac:dyDescent="0.25">
      <c r="A33" t="s">
        <v>873</v>
      </c>
    </row>
    <row r="34" spans="1:35" x14ac:dyDescent="0.25">
      <c r="A34" t="s">
        <v>827</v>
      </c>
      <c r="B34" t="s">
        <v>984</v>
      </c>
      <c r="C34" t="s">
        <v>986</v>
      </c>
      <c r="D34" t="s">
        <v>874</v>
      </c>
      <c r="F34">
        <v>5.2975979999999998</v>
      </c>
      <c r="G34">
        <v>4.6631</v>
      </c>
      <c r="H34">
        <v>3.5983779999999999</v>
      </c>
      <c r="I34">
        <v>2.9994619999999999</v>
      </c>
      <c r="J34">
        <v>2.5507680000000001</v>
      </c>
      <c r="K34">
        <v>2.3078630000000002</v>
      </c>
      <c r="L34">
        <v>2.211948</v>
      </c>
      <c r="M34">
        <v>2.19374</v>
      </c>
      <c r="N34">
        <v>2.2364480000000002</v>
      </c>
      <c r="O34">
        <v>2.323464</v>
      </c>
      <c r="P34">
        <v>2.424776</v>
      </c>
      <c r="Q34">
        <v>2.5551439999999999</v>
      </c>
      <c r="R34">
        <v>2.6706319999999999</v>
      </c>
      <c r="S34">
        <v>2.7755589999999999</v>
      </c>
      <c r="T34">
        <v>2.8140399999999999</v>
      </c>
      <c r="U34">
        <v>2.8641610000000002</v>
      </c>
      <c r="V34">
        <v>2.9732460000000001</v>
      </c>
      <c r="W34">
        <v>2.9538609999999998</v>
      </c>
      <c r="X34">
        <v>3.0497040000000002</v>
      </c>
      <c r="Y34">
        <v>3.099037</v>
      </c>
      <c r="Z34">
        <v>3.0720770000000002</v>
      </c>
      <c r="AA34">
        <v>3.0144299999999999</v>
      </c>
      <c r="AB34">
        <v>2.973633</v>
      </c>
      <c r="AC34">
        <v>2.9489179999999999</v>
      </c>
      <c r="AD34">
        <v>2.9213650000000002</v>
      </c>
      <c r="AE34">
        <v>2.88008</v>
      </c>
      <c r="AF34">
        <v>2.8442189999999998</v>
      </c>
      <c r="AG34">
        <v>2.7928829999999998</v>
      </c>
      <c r="AH34">
        <v>2.775042</v>
      </c>
      <c r="AI34" s="98">
        <v>-2.3E-2</v>
      </c>
    </row>
    <row r="35" spans="1:35" x14ac:dyDescent="0.25">
      <c r="A35" t="s">
        <v>828</v>
      </c>
    </row>
    <row r="36" spans="1:35" x14ac:dyDescent="0.25">
      <c r="A36" t="s">
        <v>805</v>
      </c>
      <c r="B36" t="s">
        <v>987</v>
      </c>
      <c r="C36" t="s">
        <v>988</v>
      </c>
      <c r="D36" t="s">
        <v>874</v>
      </c>
      <c r="F36">
        <v>4.4959629999999997</v>
      </c>
      <c r="G36">
        <v>4.4082569999999999</v>
      </c>
      <c r="H36">
        <v>3.4397419999999999</v>
      </c>
      <c r="I36">
        <v>2.8283160000000001</v>
      </c>
      <c r="J36">
        <v>2.3670089999999999</v>
      </c>
      <c r="K36">
        <v>2.1059209999999999</v>
      </c>
      <c r="L36">
        <v>1.9708650000000001</v>
      </c>
      <c r="M36">
        <v>1.9037379999999999</v>
      </c>
      <c r="N36">
        <v>1.88818</v>
      </c>
      <c r="O36">
        <v>1.908919</v>
      </c>
      <c r="P36">
        <v>1.9521790000000001</v>
      </c>
      <c r="Q36">
        <v>2.013541</v>
      </c>
      <c r="R36">
        <v>2.0847609999999999</v>
      </c>
      <c r="S36">
        <v>2.159367</v>
      </c>
      <c r="T36">
        <v>2.213028</v>
      </c>
      <c r="U36">
        <v>2.2716859999999999</v>
      </c>
      <c r="V36">
        <v>2.3547530000000001</v>
      </c>
      <c r="W36">
        <v>2.391489</v>
      </c>
      <c r="X36">
        <v>2.4335049999999998</v>
      </c>
      <c r="Y36">
        <v>2.4477760000000002</v>
      </c>
      <c r="Z36">
        <v>2.4048090000000002</v>
      </c>
      <c r="AA36">
        <v>2.3516710000000001</v>
      </c>
      <c r="AB36">
        <v>2.3198470000000002</v>
      </c>
      <c r="AC36">
        <v>2.281933</v>
      </c>
      <c r="AD36">
        <v>2.246254</v>
      </c>
      <c r="AE36">
        <v>2.1983990000000002</v>
      </c>
      <c r="AF36">
        <v>2.1485880000000002</v>
      </c>
      <c r="AG36">
        <v>2.104743</v>
      </c>
      <c r="AH36">
        <v>2.0810490000000001</v>
      </c>
      <c r="AI36" s="98">
        <v>-2.7E-2</v>
      </c>
    </row>
    <row r="37" spans="1:35" x14ac:dyDescent="0.25">
      <c r="A37" t="s">
        <v>806</v>
      </c>
      <c r="B37" t="s">
        <v>989</v>
      </c>
      <c r="C37" t="s">
        <v>990</v>
      </c>
      <c r="D37" t="s">
        <v>874</v>
      </c>
      <c r="F37">
        <v>6.3429729999999998</v>
      </c>
      <c r="G37">
        <v>5.0638860000000001</v>
      </c>
      <c r="H37">
        <v>3.8424939999999999</v>
      </c>
      <c r="I37">
        <v>3.246102</v>
      </c>
      <c r="J37">
        <v>2.8130739999999999</v>
      </c>
      <c r="K37">
        <v>2.5968300000000002</v>
      </c>
      <c r="L37">
        <v>2.544311</v>
      </c>
      <c r="M37">
        <v>2.5725560000000001</v>
      </c>
      <c r="N37">
        <v>2.6718120000000001</v>
      </c>
      <c r="O37">
        <v>2.8189120000000001</v>
      </c>
      <c r="P37">
        <v>2.9821749999999998</v>
      </c>
      <c r="Q37">
        <v>3.184034</v>
      </c>
      <c r="R37">
        <v>3.3399139999999998</v>
      </c>
      <c r="S37">
        <v>3.467139</v>
      </c>
      <c r="T37">
        <v>3.4780950000000002</v>
      </c>
      <c r="U37">
        <v>3.5141309999999999</v>
      </c>
      <c r="V37">
        <v>3.6485919999999998</v>
      </c>
      <c r="W37">
        <v>3.5646909999999998</v>
      </c>
      <c r="X37">
        <v>3.7171240000000001</v>
      </c>
      <c r="Y37">
        <v>3.8010280000000001</v>
      </c>
      <c r="Z37">
        <v>3.7923230000000001</v>
      </c>
      <c r="AA37">
        <v>3.7256070000000001</v>
      </c>
      <c r="AB37">
        <v>3.6872379999999998</v>
      </c>
      <c r="AC37">
        <v>3.6837900000000001</v>
      </c>
      <c r="AD37">
        <v>3.6789170000000002</v>
      </c>
      <c r="AE37">
        <v>3.6394250000000001</v>
      </c>
      <c r="AF37">
        <v>3.6158779999999999</v>
      </c>
      <c r="AG37">
        <v>3.5478489999999998</v>
      </c>
      <c r="AH37">
        <v>3.5338590000000001</v>
      </c>
      <c r="AI37" s="98">
        <v>-2.1000000000000001E-2</v>
      </c>
    </row>
    <row r="38" spans="1:35" x14ac:dyDescent="0.25">
      <c r="A38" t="s">
        <v>807</v>
      </c>
      <c r="B38" t="s">
        <v>991</v>
      </c>
      <c r="C38" t="s">
        <v>992</v>
      </c>
      <c r="D38" t="s">
        <v>874</v>
      </c>
      <c r="F38">
        <v>5.8915139999999999</v>
      </c>
      <c r="G38">
        <v>4.6853030000000002</v>
      </c>
      <c r="H38">
        <v>3.5877150000000002</v>
      </c>
      <c r="I38">
        <v>3.0053209999999999</v>
      </c>
      <c r="J38">
        <v>2.5560939999999999</v>
      </c>
      <c r="K38">
        <v>2.317663</v>
      </c>
      <c r="L38">
        <v>2.240961</v>
      </c>
      <c r="M38">
        <v>2.2630059999999999</v>
      </c>
      <c r="N38">
        <v>2.3608470000000001</v>
      </c>
      <c r="O38">
        <v>2.4953669999999999</v>
      </c>
      <c r="P38">
        <v>2.6261060000000001</v>
      </c>
      <c r="Q38">
        <v>2.7932009999999998</v>
      </c>
      <c r="R38">
        <v>2.928839</v>
      </c>
      <c r="S38">
        <v>3.0490930000000001</v>
      </c>
      <c r="T38">
        <v>3.0638510000000001</v>
      </c>
      <c r="U38">
        <v>3.0951689999999998</v>
      </c>
      <c r="V38">
        <v>3.2267220000000001</v>
      </c>
      <c r="W38">
        <v>3.154944</v>
      </c>
      <c r="X38">
        <v>3.295776</v>
      </c>
      <c r="Y38">
        <v>3.3773249999999999</v>
      </c>
      <c r="Z38">
        <v>3.3681040000000002</v>
      </c>
      <c r="AA38">
        <v>3.3123320000000001</v>
      </c>
      <c r="AB38">
        <v>3.2647430000000002</v>
      </c>
      <c r="AC38">
        <v>3.2453669999999999</v>
      </c>
      <c r="AD38">
        <v>3.2254160000000001</v>
      </c>
      <c r="AE38">
        <v>3.1873019999999999</v>
      </c>
      <c r="AF38">
        <v>3.1660509999999999</v>
      </c>
      <c r="AG38">
        <v>3.1209479999999998</v>
      </c>
      <c r="AH38">
        <v>3.1151680000000002</v>
      </c>
      <c r="AI38" s="98">
        <v>-2.3E-2</v>
      </c>
    </row>
    <row r="39" spans="1:35" x14ac:dyDescent="0.25">
      <c r="A39" t="s">
        <v>808</v>
      </c>
      <c r="B39" t="s">
        <v>993</v>
      </c>
      <c r="C39" t="s">
        <v>994</v>
      </c>
      <c r="D39" t="s">
        <v>874</v>
      </c>
      <c r="F39">
        <v>6.0054930000000004</v>
      </c>
      <c r="G39">
        <v>4.6929999999999996</v>
      </c>
      <c r="H39">
        <v>3.5293540000000001</v>
      </c>
      <c r="I39">
        <v>2.9567860000000001</v>
      </c>
      <c r="J39">
        <v>2.5199959999999999</v>
      </c>
      <c r="K39">
        <v>2.2933050000000001</v>
      </c>
      <c r="L39">
        <v>2.226445</v>
      </c>
      <c r="M39">
        <v>2.2486039999999998</v>
      </c>
      <c r="N39">
        <v>2.354171</v>
      </c>
      <c r="O39">
        <v>2.520651</v>
      </c>
      <c r="P39">
        <v>2.6787049999999999</v>
      </c>
      <c r="Q39">
        <v>2.8540019999999999</v>
      </c>
      <c r="R39">
        <v>2.9957069999999999</v>
      </c>
      <c r="S39">
        <v>3.12826</v>
      </c>
      <c r="T39">
        <v>3.145562</v>
      </c>
      <c r="U39">
        <v>3.1655769999999999</v>
      </c>
      <c r="V39">
        <v>3.2987120000000001</v>
      </c>
      <c r="W39">
        <v>3.2221449999999998</v>
      </c>
      <c r="X39">
        <v>3.3748459999999998</v>
      </c>
      <c r="Y39">
        <v>3.4584280000000001</v>
      </c>
      <c r="Z39">
        <v>3.4513050000000001</v>
      </c>
      <c r="AA39">
        <v>3.3975749999999998</v>
      </c>
      <c r="AB39">
        <v>3.355302</v>
      </c>
      <c r="AC39">
        <v>3.335531</v>
      </c>
      <c r="AD39">
        <v>3.3156349999999999</v>
      </c>
      <c r="AE39">
        <v>3.2825989999999998</v>
      </c>
      <c r="AF39">
        <v>3.2647089999999999</v>
      </c>
      <c r="AG39">
        <v>3.2152989999999999</v>
      </c>
      <c r="AH39">
        <v>3.2084280000000001</v>
      </c>
      <c r="AI39" s="98">
        <v>-2.1999999999999999E-2</v>
      </c>
    </row>
    <row r="40" spans="1:35" x14ac:dyDescent="0.25">
      <c r="A40" t="s">
        <v>809</v>
      </c>
      <c r="B40" t="s">
        <v>995</v>
      </c>
      <c r="C40" t="s">
        <v>996</v>
      </c>
      <c r="D40" t="s">
        <v>874</v>
      </c>
      <c r="F40">
        <v>5.7428319999999999</v>
      </c>
      <c r="G40">
        <v>4.6267870000000002</v>
      </c>
      <c r="H40">
        <v>3.5419700000000001</v>
      </c>
      <c r="I40">
        <v>2.9589439999999998</v>
      </c>
      <c r="J40">
        <v>2.5114649999999998</v>
      </c>
      <c r="K40">
        <v>2.2631420000000002</v>
      </c>
      <c r="L40">
        <v>2.1761529999999998</v>
      </c>
      <c r="M40">
        <v>2.1840290000000002</v>
      </c>
      <c r="N40">
        <v>2.271296</v>
      </c>
      <c r="O40">
        <v>2.41635</v>
      </c>
      <c r="P40">
        <v>2.5546199999999999</v>
      </c>
      <c r="Q40">
        <v>2.7211599999999998</v>
      </c>
      <c r="R40">
        <v>2.8684379999999998</v>
      </c>
      <c r="S40">
        <v>3.0044749999999998</v>
      </c>
      <c r="T40">
        <v>3.0244900000000001</v>
      </c>
      <c r="U40">
        <v>3.0543170000000002</v>
      </c>
      <c r="V40">
        <v>3.1895280000000001</v>
      </c>
      <c r="W40">
        <v>3.1231789999999999</v>
      </c>
      <c r="X40">
        <v>3.2636590000000001</v>
      </c>
      <c r="Y40">
        <v>3.350009</v>
      </c>
      <c r="Z40">
        <v>3.3515619999999999</v>
      </c>
      <c r="AA40">
        <v>3.3052579999999998</v>
      </c>
      <c r="AB40">
        <v>3.2570139999999999</v>
      </c>
      <c r="AC40">
        <v>3.2445439999999999</v>
      </c>
      <c r="AD40">
        <v>3.2170939999999999</v>
      </c>
      <c r="AE40">
        <v>3.1892580000000001</v>
      </c>
      <c r="AF40">
        <v>3.1694640000000001</v>
      </c>
      <c r="AG40">
        <v>3.1349830000000001</v>
      </c>
      <c r="AH40">
        <v>3.1337890000000002</v>
      </c>
      <c r="AI40" s="98">
        <v>-2.1000000000000001E-2</v>
      </c>
    </row>
    <row r="41" spans="1:35" x14ac:dyDescent="0.25">
      <c r="A41" t="s">
        <v>810</v>
      </c>
      <c r="B41" t="s">
        <v>997</v>
      </c>
      <c r="C41" t="s">
        <v>998</v>
      </c>
      <c r="D41" t="s">
        <v>874</v>
      </c>
      <c r="F41">
        <v>6.9591979999999998</v>
      </c>
      <c r="G41">
        <v>5.6467239999999999</v>
      </c>
      <c r="H41">
        <v>4.4294690000000001</v>
      </c>
      <c r="I41">
        <v>3.9095849999999999</v>
      </c>
      <c r="J41">
        <v>3.500575</v>
      </c>
      <c r="K41">
        <v>3.2276199999999999</v>
      </c>
      <c r="L41">
        <v>3.1106769999999999</v>
      </c>
      <c r="M41">
        <v>3.0860889999999999</v>
      </c>
      <c r="N41">
        <v>3.0940530000000002</v>
      </c>
      <c r="O41">
        <v>3.1933029999999998</v>
      </c>
      <c r="P41">
        <v>3.2778230000000002</v>
      </c>
      <c r="Q41">
        <v>3.4708130000000001</v>
      </c>
      <c r="R41">
        <v>3.6365530000000001</v>
      </c>
      <c r="S41">
        <v>3.7934290000000002</v>
      </c>
      <c r="T41">
        <v>3.8334000000000001</v>
      </c>
      <c r="U41">
        <v>3.8918490000000001</v>
      </c>
      <c r="V41">
        <v>4.0668040000000003</v>
      </c>
      <c r="W41">
        <v>3.995746</v>
      </c>
      <c r="X41">
        <v>4.1380369999999997</v>
      </c>
      <c r="Y41">
        <v>4.2252549999999998</v>
      </c>
      <c r="Z41">
        <v>4.2448370000000004</v>
      </c>
      <c r="AA41">
        <v>4.2194149999999997</v>
      </c>
      <c r="AB41">
        <v>4.1595459999999997</v>
      </c>
      <c r="AC41">
        <v>4.1602589999999999</v>
      </c>
      <c r="AD41">
        <v>4.0740990000000004</v>
      </c>
      <c r="AE41">
        <v>4.0680959999999997</v>
      </c>
      <c r="AF41">
        <v>4.0162409999999999</v>
      </c>
      <c r="AG41">
        <v>4.016356</v>
      </c>
      <c r="AH41">
        <v>4.0476710000000002</v>
      </c>
      <c r="AI41" s="98">
        <v>-1.9E-2</v>
      </c>
    </row>
    <row r="42" spans="1:35" x14ac:dyDescent="0.25">
      <c r="A42" t="s">
        <v>811</v>
      </c>
      <c r="B42" t="s">
        <v>999</v>
      </c>
      <c r="C42" t="s">
        <v>1000</v>
      </c>
      <c r="D42" t="s">
        <v>874</v>
      </c>
      <c r="F42">
        <v>4.8680899999999996</v>
      </c>
      <c r="G42">
        <v>4.0415279999999996</v>
      </c>
      <c r="H42">
        <v>3.3707829999999999</v>
      </c>
      <c r="I42">
        <v>2.8559860000000001</v>
      </c>
      <c r="J42">
        <v>2.4666619999999999</v>
      </c>
      <c r="K42">
        <v>2.2481239999999998</v>
      </c>
      <c r="L42">
        <v>2.1878920000000002</v>
      </c>
      <c r="M42">
        <v>2.198744</v>
      </c>
      <c r="N42">
        <v>2.2463129999999998</v>
      </c>
      <c r="O42">
        <v>2.339305</v>
      </c>
      <c r="P42">
        <v>2.420661</v>
      </c>
      <c r="Q42">
        <v>2.5568789999999999</v>
      </c>
      <c r="R42">
        <v>2.6638519999999999</v>
      </c>
      <c r="S42">
        <v>2.7634240000000001</v>
      </c>
      <c r="T42">
        <v>2.790686</v>
      </c>
      <c r="U42">
        <v>2.8370479999999998</v>
      </c>
      <c r="V42">
        <v>2.9367529999999999</v>
      </c>
      <c r="W42">
        <v>2.894342</v>
      </c>
      <c r="X42">
        <v>2.9898069999999999</v>
      </c>
      <c r="Y42">
        <v>3.0607899999999999</v>
      </c>
      <c r="Z42">
        <v>3.0476000000000001</v>
      </c>
      <c r="AA42">
        <v>2.9894099999999999</v>
      </c>
      <c r="AB42">
        <v>2.9198719999999998</v>
      </c>
      <c r="AC42">
        <v>2.8737279999999998</v>
      </c>
      <c r="AD42">
        <v>2.8330199999999999</v>
      </c>
      <c r="AE42">
        <v>2.7897940000000001</v>
      </c>
      <c r="AF42">
        <v>2.7444069999999998</v>
      </c>
      <c r="AG42">
        <v>2.7021459999999999</v>
      </c>
      <c r="AH42">
        <v>2.6863000000000001</v>
      </c>
      <c r="AI42" s="98">
        <v>-2.1000000000000001E-2</v>
      </c>
    </row>
    <row r="43" spans="1:35" x14ac:dyDescent="0.25">
      <c r="A43" t="s">
        <v>829</v>
      </c>
    </row>
    <row r="44" spans="1:35" x14ac:dyDescent="0.25">
      <c r="A44" t="s">
        <v>813</v>
      </c>
      <c r="B44" t="s">
        <v>1001</v>
      </c>
      <c r="C44" t="s">
        <v>1002</v>
      </c>
      <c r="D44" t="s">
        <v>874</v>
      </c>
      <c r="F44">
        <v>6.4264919999999996</v>
      </c>
      <c r="G44">
        <v>5.1109070000000001</v>
      </c>
      <c r="H44">
        <v>3.8791600000000002</v>
      </c>
      <c r="I44">
        <v>3.2782439999999999</v>
      </c>
      <c r="J44">
        <v>2.8389440000000001</v>
      </c>
      <c r="K44">
        <v>2.6161099999999999</v>
      </c>
      <c r="L44">
        <v>2.5613450000000002</v>
      </c>
      <c r="M44">
        <v>2.5883780000000001</v>
      </c>
      <c r="N44">
        <v>2.681772</v>
      </c>
      <c r="O44">
        <v>2.8220939999999999</v>
      </c>
      <c r="P44">
        <v>2.988642</v>
      </c>
      <c r="Q44">
        <v>3.1979950000000001</v>
      </c>
      <c r="R44">
        <v>3.3554940000000002</v>
      </c>
      <c r="S44">
        <v>3.4771990000000002</v>
      </c>
      <c r="T44">
        <v>3.489903</v>
      </c>
      <c r="U44">
        <v>3.5308799999999998</v>
      </c>
      <c r="V44">
        <v>3.6615030000000002</v>
      </c>
      <c r="W44">
        <v>3.5801370000000001</v>
      </c>
      <c r="X44">
        <v>3.7352129999999999</v>
      </c>
      <c r="Y44">
        <v>3.8213919999999999</v>
      </c>
      <c r="Z44">
        <v>3.811334</v>
      </c>
      <c r="AA44">
        <v>3.7473779999999999</v>
      </c>
      <c r="AB44">
        <v>3.707001</v>
      </c>
      <c r="AC44">
        <v>3.7038259999999998</v>
      </c>
      <c r="AD44">
        <v>3.6993559999999999</v>
      </c>
      <c r="AE44">
        <v>3.6609560000000001</v>
      </c>
      <c r="AF44">
        <v>3.6383130000000001</v>
      </c>
      <c r="AG44">
        <v>3.5636570000000001</v>
      </c>
      <c r="AH44">
        <v>3.547059</v>
      </c>
      <c r="AI44" s="98">
        <v>-2.1000000000000001E-2</v>
      </c>
    </row>
    <row r="45" spans="1:35" x14ac:dyDescent="0.25">
      <c r="A45" t="s">
        <v>818</v>
      </c>
      <c r="B45" t="s">
        <v>1003</v>
      </c>
      <c r="C45" t="s">
        <v>1002</v>
      </c>
      <c r="D45" t="s">
        <v>874</v>
      </c>
      <c r="F45">
        <v>6.0059880000000003</v>
      </c>
      <c r="G45">
        <v>6.0059880000000003</v>
      </c>
      <c r="H45">
        <v>6.0059880000000003</v>
      </c>
      <c r="I45">
        <v>6.0059880000000003</v>
      </c>
      <c r="J45">
        <v>6.0059880000000003</v>
      </c>
      <c r="K45">
        <v>6.0059880000000003</v>
      </c>
      <c r="L45">
        <v>3.1150419999999999</v>
      </c>
      <c r="M45">
        <v>3.0880589999999999</v>
      </c>
      <c r="N45">
        <v>3.0940530000000002</v>
      </c>
      <c r="O45">
        <v>3.1933029999999998</v>
      </c>
      <c r="P45">
        <v>3.2778230000000002</v>
      </c>
      <c r="Q45">
        <v>3.4708130000000001</v>
      </c>
      <c r="R45">
        <v>3.6365530000000001</v>
      </c>
      <c r="S45">
        <v>3.7934290000000002</v>
      </c>
      <c r="T45">
        <v>3.8334000000000001</v>
      </c>
      <c r="U45">
        <v>3.8918499999999998</v>
      </c>
      <c r="V45">
        <v>4.0668040000000003</v>
      </c>
      <c r="W45">
        <v>3.995746</v>
      </c>
      <c r="X45">
        <v>4.1380369999999997</v>
      </c>
      <c r="Y45">
        <v>4.2252559999999999</v>
      </c>
      <c r="Z45">
        <v>4.2448370000000004</v>
      </c>
      <c r="AA45">
        <v>4.2194149999999997</v>
      </c>
      <c r="AB45">
        <v>4.1595459999999997</v>
      </c>
      <c r="AC45">
        <v>4.1602589999999999</v>
      </c>
      <c r="AD45">
        <v>4.0740990000000004</v>
      </c>
      <c r="AE45">
        <v>4.0680959999999997</v>
      </c>
      <c r="AF45">
        <v>4.0162409999999999</v>
      </c>
      <c r="AG45">
        <v>4.016356</v>
      </c>
      <c r="AH45">
        <v>4.0476710000000002</v>
      </c>
      <c r="AI45" s="98">
        <v>-1.4E-2</v>
      </c>
    </row>
    <row r="46" spans="1:35" x14ac:dyDescent="0.25">
      <c r="A46" t="s">
        <v>821</v>
      </c>
      <c r="B46" t="s">
        <v>1004</v>
      </c>
      <c r="C46" t="s">
        <v>1002</v>
      </c>
      <c r="D46" t="s">
        <v>874</v>
      </c>
      <c r="F46" t="s">
        <v>164</v>
      </c>
      <c r="G46" t="s">
        <v>164</v>
      </c>
      <c r="H46" t="s">
        <v>164</v>
      </c>
      <c r="I46" t="s">
        <v>164</v>
      </c>
      <c r="J46" t="s">
        <v>164</v>
      </c>
      <c r="K46" t="s">
        <v>164</v>
      </c>
      <c r="L46" t="s">
        <v>164</v>
      </c>
      <c r="M46" t="s">
        <v>164</v>
      </c>
      <c r="N46" t="s">
        <v>164</v>
      </c>
      <c r="O46" t="s">
        <v>164</v>
      </c>
      <c r="P46" t="s">
        <v>164</v>
      </c>
      <c r="Q46" t="s">
        <v>164</v>
      </c>
      <c r="R46" t="s">
        <v>164</v>
      </c>
      <c r="S46" t="s">
        <v>164</v>
      </c>
      <c r="T46" t="s">
        <v>164</v>
      </c>
      <c r="U46" t="s">
        <v>164</v>
      </c>
      <c r="V46" t="s">
        <v>164</v>
      </c>
      <c r="W46" t="s">
        <v>164</v>
      </c>
      <c r="X46" t="s">
        <v>164</v>
      </c>
      <c r="Y46" t="s">
        <v>164</v>
      </c>
      <c r="Z46" t="s">
        <v>164</v>
      </c>
      <c r="AA46" t="s">
        <v>164</v>
      </c>
      <c r="AB46" t="s">
        <v>164</v>
      </c>
      <c r="AC46" t="s">
        <v>164</v>
      </c>
      <c r="AD46" t="s">
        <v>164</v>
      </c>
      <c r="AE46" t="s">
        <v>164</v>
      </c>
      <c r="AF46" t="s">
        <v>164</v>
      </c>
      <c r="AG46" t="s">
        <v>164</v>
      </c>
      <c r="AH46" t="s">
        <v>164</v>
      </c>
      <c r="AI46" t="s">
        <v>164</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7CDFC-D3C5-4BCF-BF0D-D90E7B514465}">
  <dimension ref="A1:AG2344"/>
  <sheetViews>
    <sheetView workbookViewId="0">
      <pane xSplit="2" ySplit="1" topLeftCell="C11" activePane="bottomRight" state="frozen"/>
      <selection pane="topRight" activeCell="C1" sqref="C1"/>
      <selection pane="bottomLeft" activeCell="A2" sqref="A2"/>
      <selection pane="bottomRight" activeCell="C16" sqref="C16"/>
    </sheetView>
  </sheetViews>
  <sheetFormatPr defaultColWidth="9.140625" defaultRowHeight="15" customHeight="1" x14ac:dyDescent="0.2"/>
  <cols>
    <col min="1" max="1" width="22.42578125" style="207" hidden="1" customWidth="1"/>
    <col min="2" max="2" width="49" style="207" customWidth="1"/>
    <col min="3" max="31" width="9.140625" style="207"/>
    <col min="32" max="32" width="9.140625" style="276"/>
    <col min="33" max="16384" width="9.140625" style="207"/>
  </cols>
  <sheetData>
    <row r="1" spans="1:32" ht="15" customHeight="1" thickBot="1" x14ac:dyDescent="0.25">
      <c r="B1" s="223" t="s">
        <v>645</v>
      </c>
      <c r="C1" s="220">
        <v>2022</v>
      </c>
      <c r="D1" s="220">
        <v>2023</v>
      </c>
      <c r="E1" s="220">
        <v>2024</v>
      </c>
      <c r="F1" s="220">
        <v>2025</v>
      </c>
      <c r="G1" s="220">
        <v>2026</v>
      </c>
      <c r="H1" s="220">
        <v>2027</v>
      </c>
      <c r="I1" s="220">
        <v>2028</v>
      </c>
      <c r="J1" s="220">
        <v>2029</v>
      </c>
      <c r="K1" s="220">
        <v>2030</v>
      </c>
      <c r="L1" s="220">
        <v>2031</v>
      </c>
      <c r="M1" s="220">
        <v>2032</v>
      </c>
      <c r="N1" s="220">
        <v>2033</v>
      </c>
      <c r="O1" s="220">
        <v>2034</v>
      </c>
      <c r="P1" s="220">
        <v>2035</v>
      </c>
      <c r="Q1" s="220">
        <v>2036</v>
      </c>
      <c r="R1" s="220">
        <v>2037</v>
      </c>
      <c r="S1" s="220">
        <v>2038</v>
      </c>
      <c r="T1" s="220">
        <v>2039</v>
      </c>
      <c r="U1" s="220">
        <v>2040</v>
      </c>
      <c r="V1" s="220">
        <v>2041</v>
      </c>
      <c r="W1" s="220">
        <v>2042</v>
      </c>
      <c r="X1" s="220">
        <v>2043</v>
      </c>
      <c r="Y1" s="220">
        <v>2044</v>
      </c>
      <c r="Z1" s="220">
        <v>2045</v>
      </c>
      <c r="AA1" s="220">
        <v>2046</v>
      </c>
      <c r="AB1" s="220">
        <v>2047</v>
      </c>
      <c r="AC1" s="220">
        <v>2048</v>
      </c>
      <c r="AD1" s="220">
        <v>2049</v>
      </c>
      <c r="AE1" s="220">
        <v>2050</v>
      </c>
    </row>
    <row r="2" spans="1:32" ht="15" customHeight="1" thickTop="1" x14ac:dyDescent="0.2"/>
    <row r="3" spans="1:32" ht="15" customHeight="1" x14ac:dyDescent="0.2">
      <c r="C3" s="240" t="s">
        <v>117</v>
      </c>
      <c r="D3" s="240" t="s">
        <v>644</v>
      </c>
      <c r="E3" s="225"/>
      <c r="F3" s="225"/>
      <c r="G3" s="225"/>
    </row>
    <row r="4" spans="1:32" ht="15" customHeight="1" x14ac:dyDescent="0.2">
      <c r="C4" s="240" t="s">
        <v>118</v>
      </c>
      <c r="D4" s="240" t="s">
        <v>643</v>
      </c>
      <c r="E4" s="225"/>
      <c r="F4" s="225"/>
      <c r="G4" s="240" t="s">
        <v>642</v>
      </c>
    </row>
    <row r="5" spans="1:32" ht="15" customHeight="1" x14ac:dyDescent="0.2">
      <c r="C5" s="240" t="s">
        <v>119</v>
      </c>
      <c r="D5" s="240" t="s">
        <v>641</v>
      </c>
      <c r="E5" s="225"/>
      <c r="F5" s="225"/>
      <c r="G5" s="225"/>
    </row>
    <row r="6" spans="1:32" ht="15" customHeight="1" x14ac:dyDescent="0.2">
      <c r="C6" s="240" t="s">
        <v>120</v>
      </c>
      <c r="D6" s="225"/>
      <c r="E6" s="240" t="s">
        <v>640</v>
      </c>
      <c r="F6" s="225"/>
      <c r="G6" s="225"/>
    </row>
    <row r="7" spans="1:32" ht="12" customHeight="1" x14ac:dyDescent="0.2"/>
    <row r="8" spans="1:32" ht="12" customHeight="1" x14ac:dyDescent="0.2"/>
    <row r="9" spans="1:32" ht="12" customHeight="1" x14ac:dyDescent="0.2"/>
    <row r="10" spans="1:32" ht="15" customHeight="1" x14ac:dyDescent="0.25">
      <c r="A10" s="213" t="s">
        <v>784</v>
      </c>
      <c r="B10" s="224" t="s">
        <v>783</v>
      </c>
      <c r="AF10" s="259" t="s">
        <v>639</v>
      </c>
    </row>
    <row r="11" spans="1:32" ht="15" customHeight="1" x14ac:dyDescent="0.2">
      <c r="B11" s="223"/>
      <c r="AF11" s="259" t="s">
        <v>638</v>
      </c>
    </row>
    <row r="12" spans="1:32" ht="15" customHeight="1" x14ac:dyDescent="0.2">
      <c r="B12" s="223"/>
      <c r="C12" s="222"/>
      <c r="D12" s="222"/>
      <c r="E12" s="222"/>
      <c r="F12" s="222"/>
      <c r="G12" s="222"/>
      <c r="H12" s="222"/>
      <c r="I12" s="222"/>
      <c r="J12" s="222"/>
      <c r="K12" s="222"/>
      <c r="L12" s="222"/>
      <c r="M12" s="222"/>
      <c r="N12" s="222"/>
      <c r="O12" s="222"/>
      <c r="P12" s="222"/>
      <c r="Q12" s="222"/>
      <c r="R12" s="222"/>
      <c r="S12" s="222"/>
      <c r="T12" s="222"/>
      <c r="U12" s="222"/>
      <c r="V12" s="222"/>
      <c r="W12" s="222"/>
      <c r="X12" s="222"/>
      <c r="Y12" s="222"/>
      <c r="Z12" s="222"/>
      <c r="AA12" s="222"/>
      <c r="AB12" s="222"/>
      <c r="AC12" s="222"/>
      <c r="AD12" s="222"/>
      <c r="AE12" s="222"/>
      <c r="AF12" s="259" t="s">
        <v>637</v>
      </c>
    </row>
    <row r="13" spans="1:32" ht="15" customHeight="1" thickBot="1" x14ac:dyDescent="0.25">
      <c r="B13" s="220" t="s">
        <v>719</v>
      </c>
      <c r="C13" s="220">
        <v>2022</v>
      </c>
      <c r="D13" s="220">
        <v>2023</v>
      </c>
      <c r="E13" s="220">
        <v>2024</v>
      </c>
      <c r="F13" s="220">
        <v>2025</v>
      </c>
      <c r="G13" s="220">
        <v>2026</v>
      </c>
      <c r="H13" s="220">
        <v>2027</v>
      </c>
      <c r="I13" s="220">
        <v>2028</v>
      </c>
      <c r="J13" s="220">
        <v>2029</v>
      </c>
      <c r="K13" s="220">
        <v>2030</v>
      </c>
      <c r="L13" s="220">
        <v>2031</v>
      </c>
      <c r="M13" s="220">
        <v>2032</v>
      </c>
      <c r="N13" s="220">
        <v>2033</v>
      </c>
      <c r="O13" s="220">
        <v>2034</v>
      </c>
      <c r="P13" s="220">
        <v>2035</v>
      </c>
      <c r="Q13" s="220">
        <v>2036</v>
      </c>
      <c r="R13" s="220">
        <v>2037</v>
      </c>
      <c r="S13" s="220">
        <v>2038</v>
      </c>
      <c r="T13" s="220">
        <v>2039</v>
      </c>
      <c r="U13" s="220">
        <v>2040</v>
      </c>
      <c r="V13" s="220">
        <v>2041</v>
      </c>
      <c r="W13" s="220">
        <v>2042</v>
      </c>
      <c r="X13" s="220">
        <v>2043</v>
      </c>
      <c r="Y13" s="220">
        <v>2044</v>
      </c>
      <c r="Z13" s="220">
        <v>2045</v>
      </c>
      <c r="AA13" s="220">
        <v>2046</v>
      </c>
      <c r="AB13" s="220">
        <v>2047</v>
      </c>
      <c r="AC13" s="220">
        <v>2048</v>
      </c>
      <c r="AD13" s="220">
        <v>2049</v>
      </c>
      <c r="AE13" s="220">
        <v>2050</v>
      </c>
      <c r="AF13" s="257" t="s">
        <v>636</v>
      </c>
    </row>
    <row r="14" spans="1:32" ht="15" customHeight="1" thickTop="1" x14ac:dyDescent="0.2">
      <c r="AF14" s="278"/>
    </row>
    <row r="15" spans="1:32" ht="15" customHeight="1" x14ac:dyDescent="0.2">
      <c r="B15" s="216" t="s">
        <v>782</v>
      </c>
    </row>
    <row r="16" spans="1:32" ht="15" customHeight="1" x14ac:dyDescent="0.2">
      <c r="A16" s="213" t="s">
        <v>781</v>
      </c>
      <c r="B16" s="241" t="s">
        <v>715</v>
      </c>
      <c r="C16" s="242">
        <f>'AEO 2023 Table 59 Raw'!F9</f>
        <v>36.11721</v>
      </c>
      <c r="D16" s="242">
        <f>'AEO 2023 Table 59 Raw'!G9</f>
        <v>36.160473000000003</v>
      </c>
      <c r="E16" s="242">
        <f>'AEO 2023 Table 59 Raw'!H9</f>
        <v>35.236457999999999</v>
      </c>
      <c r="F16" s="242">
        <f>'AEO 2023 Table 59 Raw'!I9</f>
        <v>35.385081999999997</v>
      </c>
      <c r="G16" s="242">
        <f>'AEO 2023 Table 59 Raw'!J9</f>
        <v>35.842360999999997</v>
      </c>
      <c r="H16" s="242">
        <f>'AEO 2023 Table 59 Raw'!K9</f>
        <v>35.789593000000004</v>
      </c>
      <c r="I16" s="242">
        <f>'AEO 2023 Table 59 Raw'!L9</f>
        <v>36.084969000000001</v>
      </c>
      <c r="J16" s="242">
        <f>'AEO 2023 Table 59 Raw'!M9</f>
        <v>36.326552999999997</v>
      </c>
      <c r="K16" s="242">
        <f>'AEO 2023 Table 59 Raw'!N9</f>
        <v>36.675776999999997</v>
      </c>
      <c r="L16" s="242">
        <f>'AEO 2023 Table 59 Raw'!O9</f>
        <v>37.108832999999997</v>
      </c>
      <c r="M16" s="242">
        <f>'AEO 2023 Table 59 Raw'!P9</f>
        <v>37.608638999999997</v>
      </c>
      <c r="N16" s="242">
        <f>'AEO 2023 Table 59 Raw'!Q9</f>
        <v>38.184341000000003</v>
      </c>
      <c r="O16" s="242">
        <f>'AEO 2023 Table 59 Raw'!R9</f>
        <v>38.686110999999997</v>
      </c>
      <c r="P16" s="242">
        <f>'AEO 2023 Table 59 Raw'!S9</f>
        <v>39.140957</v>
      </c>
      <c r="Q16" s="242">
        <f>'AEO 2023 Table 59 Raw'!T9</f>
        <v>39.498707000000003</v>
      </c>
      <c r="R16" s="242">
        <f>'AEO 2023 Table 59 Raw'!U9</f>
        <v>39.853999999999999</v>
      </c>
      <c r="S16" s="242">
        <f>'AEO 2023 Table 59 Raw'!V9</f>
        <v>40.120361000000003</v>
      </c>
      <c r="T16" s="242">
        <f>'AEO 2023 Table 59 Raw'!W9</f>
        <v>40.358707000000003</v>
      </c>
      <c r="U16" s="242">
        <f>'AEO 2023 Table 59 Raw'!X9</f>
        <v>40.500950000000003</v>
      </c>
      <c r="V16" s="242">
        <f>'AEO 2023 Table 59 Raw'!Y9</f>
        <v>40.620883999999997</v>
      </c>
      <c r="W16" s="242">
        <f>'AEO 2023 Table 59 Raw'!Z9</f>
        <v>40.794955999999999</v>
      </c>
      <c r="X16" s="242">
        <f>'AEO 2023 Table 59 Raw'!AA9</f>
        <v>40.906959999999998</v>
      </c>
      <c r="Y16" s="242">
        <f>'AEO 2023 Table 59 Raw'!AB9</f>
        <v>40.974735000000003</v>
      </c>
      <c r="Z16" s="242">
        <f>'AEO 2023 Table 59 Raw'!AC9</f>
        <v>41.124125999999997</v>
      </c>
      <c r="AA16" s="242">
        <f>'AEO 2023 Table 59 Raw'!AD9</f>
        <v>40.952205999999997</v>
      </c>
      <c r="AB16" s="242">
        <f>'AEO 2023 Table 59 Raw'!AE9</f>
        <v>41.157238</v>
      </c>
      <c r="AC16" s="242">
        <f>'AEO 2023 Table 59 Raw'!AF9</f>
        <v>41.220950999999999</v>
      </c>
      <c r="AD16" s="242">
        <f>'AEO 2023 Table 59 Raw'!AG9</f>
        <v>41.302062999999997</v>
      </c>
      <c r="AE16" s="242">
        <f>'AEO 2023 Table 59 Raw'!AH9</f>
        <v>41.677504999999996</v>
      </c>
      <c r="AF16" s="258">
        <f>'AEO 2023 Table 59 Raw'!AI9</f>
        <v>5.0000000000000001E-3</v>
      </c>
    </row>
    <row r="17" spans="1:32" ht="15" customHeight="1" x14ac:dyDescent="0.2">
      <c r="C17" s="218"/>
      <c r="D17" s="218"/>
      <c r="E17" s="218"/>
      <c r="F17" s="218"/>
      <c r="G17" s="218"/>
      <c r="H17" s="218"/>
      <c r="I17" s="218"/>
      <c r="J17" s="218"/>
      <c r="K17" s="218"/>
      <c r="L17" s="218"/>
      <c r="M17" s="218"/>
      <c r="N17" s="218"/>
      <c r="O17" s="218"/>
      <c r="P17" s="218"/>
      <c r="Q17" s="218"/>
      <c r="R17" s="218"/>
      <c r="S17" s="218"/>
      <c r="T17" s="218"/>
      <c r="U17" s="218"/>
      <c r="V17" s="218"/>
      <c r="W17" s="218"/>
      <c r="X17" s="218"/>
      <c r="Y17" s="218"/>
      <c r="Z17" s="218"/>
      <c r="AA17" s="218"/>
      <c r="AB17" s="218"/>
      <c r="AC17" s="218"/>
      <c r="AD17" s="218"/>
      <c r="AE17" s="218"/>
      <c r="AF17" s="256"/>
    </row>
    <row r="18" spans="1:32" ht="15" customHeight="1" x14ac:dyDescent="0.2">
      <c r="A18" s="213" t="s">
        <v>780</v>
      </c>
      <c r="B18" s="216" t="s">
        <v>687</v>
      </c>
      <c r="C18" s="218">
        <f>'AEO 2023 Table 59 Raw'!F10</f>
        <v>35.046551000000001</v>
      </c>
      <c r="D18" s="218">
        <f>'AEO 2023 Table 59 Raw'!G10</f>
        <v>35.336418000000002</v>
      </c>
      <c r="E18" s="218">
        <f>'AEO 2023 Table 59 Raw'!H10</f>
        <v>34.441242000000003</v>
      </c>
      <c r="F18" s="218">
        <f>'AEO 2023 Table 59 Raw'!I10</f>
        <v>34.503323000000002</v>
      </c>
      <c r="G18" s="218">
        <f>'AEO 2023 Table 59 Raw'!J10</f>
        <v>34.879745</v>
      </c>
      <c r="H18" s="218">
        <f>'AEO 2023 Table 59 Raw'!K10</f>
        <v>34.711131999999999</v>
      </c>
      <c r="I18" s="218">
        <f>'AEO 2023 Table 59 Raw'!L10</f>
        <v>34.854388999999998</v>
      </c>
      <c r="J18" s="218">
        <f>'AEO 2023 Table 59 Raw'!M10</f>
        <v>35.019587999999999</v>
      </c>
      <c r="K18" s="218">
        <f>'AEO 2023 Table 59 Raw'!N10</f>
        <v>35.347614</v>
      </c>
      <c r="L18" s="218">
        <f>'AEO 2023 Table 59 Raw'!O10</f>
        <v>35.780498999999999</v>
      </c>
      <c r="M18" s="218">
        <f>'AEO 2023 Table 59 Raw'!P10</f>
        <v>36.265155999999998</v>
      </c>
      <c r="N18" s="218">
        <f>'AEO 2023 Table 59 Raw'!Q10</f>
        <v>36.855311999999998</v>
      </c>
      <c r="O18" s="218">
        <f>'AEO 2023 Table 59 Raw'!R10</f>
        <v>37.366810000000001</v>
      </c>
      <c r="P18" s="218">
        <f>'AEO 2023 Table 59 Raw'!S10</f>
        <v>37.837581999999998</v>
      </c>
      <c r="Q18" s="218">
        <f>'AEO 2023 Table 59 Raw'!T10</f>
        <v>38.213298999999999</v>
      </c>
      <c r="R18" s="218">
        <f>'AEO 2023 Table 59 Raw'!U10</f>
        <v>38.579849000000003</v>
      </c>
      <c r="S18" s="218">
        <f>'AEO 2023 Table 59 Raw'!V10</f>
        <v>38.861893000000002</v>
      </c>
      <c r="T18" s="218">
        <f>'AEO 2023 Table 59 Raw'!W10</f>
        <v>39.162666000000002</v>
      </c>
      <c r="U18" s="218">
        <f>'AEO 2023 Table 59 Raw'!X10</f>
        <v>39.335422999999999</v>
      </c>
      <c r="V18" s="218">
        <f>'AEO 2023 Table 59 Raw'!Y10</f>
        <v>39.544559</v>
      </c>
      <c r="W18" s="218">
        <f>'AEO 2023 Table 59 Raw'!Z10</f>
        <v>39.670769</v>
      </c>
      <c r="X18" s="218">
        <f>'AEO 2023 Table 59 Raw'!AA10</f>
        <v>39.661568000000003</v>
      </c>
      <c r="Y18" s="218">
        <f>'AEO 2023 Table 59 Raw'!AB10</f>
        <v>39.646687</v>
      </c>
      <c r="Z18" s="218">
        <f>'AEO 2023 Table 59 Raw'!AC10</f>
        <v>39.801341999999998</v>
      </c>
      <c r="AA18" s="218">
        <f>'AEO 2023 Table 59 Raw'!AD10</f>
        <v>39.645775</v>
      </c>
      <c r="AB18" s="218">
        <f>'AEO 2023 Table 59 Raw'!AE10</f>
        <v>39.963863000000003</v>
      </c>
      <c r="AC18" s="218">
        <f>'AEO 2023 Table 59 Raw'!AF10</f>
        <v>39.982841000000001</v>
      </c>
      <c r="AD18" s="218">
        <f>'AEO 2023 Table 59 Raw'!AG10</f>
        <v>39.924835000000002</v>
      </c>
      <c r="AE18" s="218">
        <f>'AEO 2023 Table 59 Raw'!AH10</f>
        <v>40.241112000000001</v>
      </c>
      <c r="AF18" s="256">
        <f>'AEO 2023 Table 59 Raw'!AI10</f>
        <v>5.0000000000000001E-3</v>
      </c>
    </row>
    <row r="19" spans="1:32" ht="15" customHeight="1" x14ac:dyDescent="0.25">
      <c r="A19" s="213" t="s">
        <v>779</v>
      </c>
      <c r="B19" s="212" t="s">
        <v>685</v>
      </c>
      <c r="C19" s="218">
        <f>'AEO 2023 Table 59 Raw'!F11</f>
        <v>15.131968000000001</v>
      </c>
      <c r="D19" s="218">
        <f>'AEO 2023 Table 59 Raw'!G11</f>
        <v>13.514215</v>
      </c>
      <c r="E19" s="218">
        <f>'AEO 2023 Table 59 Raw'!H11</f>
        <v>12.409003999999999</v>
      </c>
      <c r="F19" s="218">
        <f>'AEO 2023 Table 59 Raw'!I11</f>
        <v>12.356494</v>
      </c>
      <c r="G19" s="218">
        <f>'AEO 2023 Table 59 Raw'!J11</f>
        <v>12.315032</v>
      </c>
      <c r="H19" s="218">
        <f>'AEO 2023 Table 59 Raw'!K11</f>
        <v>12.338302000000001</v>
      </c>
      <c r="I19" s="218">
        <f>'AEO 2023 Table 59 Raw'!L11</f>
        <v>12.570937000000001</v>
      </c>
      <c r="J19" s="218">
        <f>'AEO 2023 Table 59 Raw'!M11</f>
        <v>12.812768999999999</v>
      </c>
      <c r="K19" s="218">
        <f>'AEO 2023 Table 59 Raw'!N11</f>
        <v>13.143781000000001</v>
      </c>
      <c r="L19" s="218">
        <f>'AEO 2023 Table 59 Raw'!O11</f>
        <v>13.462552000000001</v>
      </c>
      <c r="M19" s="218">
        <f>'AEO 2023 Table 59 Raw'!P11</f>
        <v>13.766328</v>
      </c>
      <c r="N19" s="218">
        <f>'AEO 2023 Table 59 Raw'!Q11</f>
        <v>14.026498999999999</v>
      </c>
      <c r="O19" s="218">
        <f>'AEO 2023 Table 59 Raw'!R11</f>
        <v>14.216332</v>
      </c>
      <c r="P19" s="218">
        <f>'AEO 2023 Table 59 Raw'!S11</f>
        <v>14.421331</v>
      </c>
      <c r="Q19" s="218">
        <f>'AEO 2023 Table 59 Raw'!T11</f>
        <v>14.398187999999999</v>
      </c>
      <c r="R19" s="218">
        <f>'AEO 2023 Table 59 Raw'!U11</f>
        <v>14.399077999999999</v>
      </c>
      <c r="S19" s="218">
        <f>'AEO 2023 Table 59 Raw'!V11</f>
        <v>14.592781</v>
      </c>
      <c r="T19" s="218">
        <f>'AEO 2023 Table 59 Raw'!W11</f>
        <v>14.478137</v>
      </c>
      <c r="U19" s="218">
        <f>'AEO 2023 Table 59 Raw'!X11</f>
        <v>14.673952999999999</v>
      </c>
      <c r="V19" s="218">
        <f>'AEO 2023 Table 59 Raw'!Y11</f>
        <v>14.809990000000001</v>
      </c>
      <c r="W19" s="218">
        <f>'AEO 2023 Table 59 Raw'!Z11</f>
        <v>14.946555999999999</v>
      </c>
      <c r="X19" s="218">
        <f>'AEO 2023 Table 59 Raw'!AA11</f>
        <v>14.964318</v>
      </c>
      <c r="Y19" s="218">
        <f>'AEO 2023 Table 59 Raw'!AB11</f>
        <v>15.028558</v>
      </c>
      <c r="Z19" s="218">
        <f>'AEO 2023 Table 59 Raw'!AC11</f>
        <v>15.185708999999999</v>
      </c>
      <c r="AA19" s="218">
        <f>'AEO 2023 Table 59 Raw'!AD11</f>
        <v>15.102778000000001</v>
      </c>
      <c r="AB19" s="218">
        <f>'AEO 2023 Table 59 Raw'!AE11</f>
        <v>15.243244000000001</v>
      </c>
      <c r="AC19" s="218">
        <f>'AEO 2023 Table 59 Raw'!AF11</f>
        <v>15.234793</v>
      </c>
      <c r="AD19" s="218">
        <f>'AEO 2023 Table 59 Raw'!AG11</f>
        <v>15.235981000000001</v>
      </c>
      <c r="AE19" s="218">
        <f>'AEO 2023 Table 59 Raw'!AH11</f>
        <v>15.51906</v>
      </c>
      <c r="AF19" s="256">
        <f>'AEO 2023 Table 59 Raw'!AI11</f>
        <v>1E-3</v>
      </c>
    </row>
    <row r="20" spans="1:32" ht="15" customHeight="1" x14ac:dyDescent="0.25">
      <c r="A20" s="213" t="s">
        <v>778</v>
      </c>
      <c r="B20" s="212" t="s">
        <v>683</v>
      </c>
      <c r="C20" s="218">
        <f>'AEO 2023 Table 59 Raw'!F12</f>
        <v>7.2286619999999999</v>
      </c>
      <c r="D20" s="218">
        <f>'AEO 2023 Table 59 Raw'!G12</f>
        <v>8.5563400000000005</v>
      </c>
      <c r="E20" s="218">
        <f>'AEO 2023 Table 59 Raw'!H12</f>
        <v>9.3733869999999992</v>
      </c>
      <c r="F20" s="218">
        <f>'AEO 2023 Table 59 Raw'!I12</f>
        <v>9.4303489999999996</v>
      </c>
      <c r="G20" s="218">
        <f>'AEO 2023 Table 59 Raw'!J12</f>
        <v>9.4719440000000006</v>
      </c>
      <c r="H20" s="218">
        <f>'AEO 2023 Table 59 Raw'!K12</f>
        <v>9.2772819999999996</v>
      </c>
      <c r="I20" s="218">
        <f>'AEO 2023 Table 59 Raw'!L12</f>
        <v>9.1850959999999997</v>
      </c>
      <c r="J20" s="218">
        <f>'AEO 2023 Table 59 Raw'!M12</f>
        <v>9.1667780000000008</v>
      </c>
      <c r="K20" s="218">
        <f>'AEO 2023 Table 59 Raw'!N12</f>
        <v>9.1780740000000005</v>
      </c>
      <c r="L20" s="218">
        <f>'AEO 2023 Table 59 Raw'!O12</f>
        <v>9.3368199999999995</v>
      </c>
      <c r="M20" s="218">
        <f>'AEO 2023 Table 59 Raw'!P12</f>
        <v>9.5347799999999996</v>
      </c>
      <c r="N20" s="218">
        <f>'AEO 2023 Table 59 Raw'!Q12</f>
        <v>9.8192369999999993</v>
      </c>
      <c r="O20" s="218">
        <f>'AEO 2023 Table 59 Raw'!R12</f>
        <v>10.124262999999999</v>
      </c>
      <c r="P20" s="218">
        <f>'AEO 2023 Table 59 Raw'!S12</f>
        <v>10.378657</v>
      </c>
      <c r="Q20" s="218">
        <f>'AEO 2023 Table 59 Raw'!T12</f>
        <v>10.682347999999999</v>
      </c>
      <c r="R20" s="218">
        <f>'AEO 2023 Table 59 Raw'!U12</f>
        <v>10.900270000000001</v>
      </c>
      <c r="S20" s="218">
        <f>'AEO 2023 Table 59 Raw'!V12</f>
        <v>11.017419</v>
      </c>
      <c r="T20" s="218">
        <f>'AEO 2023 Table 59 Raw'!W12</f>
        <v>11.257377999999999</v>
      </c>
      <c r="U20" s="218">
        <f>'AEO 2023 Table 59 Raw'!X12</f>
        <v>11.210609</v>
      </c>
      <c r="V20" s="218">
        <f>'AEO 2023 Table 59 Raw'!Y12</f>
        <v>11.234081</v>
      </c>
      <c r="W20" s="218">
        <f>'AEO 2023 Table 59 Raw'!Z12</f>
        <v>11.199199999999999</v>
      </c>
      <c r="X20" s="218">
        <f>'AEO 2023 Table 59 Raw'!AA12</f>
        <v>11.143196</v>
      </c>
      <c r="Y20" s="218">
        <f>'AEO 2023 Table 59 Raw'!AB12</f>
        <v>10.985035999999999</v>
      </c>
      <c r="Z20" s="218">
        <f>'AEO 2023 Table 59 Raw'!AC12</f>
        <v>10.95787</v>
      </c>
      <c r="AA20" s="218">
        <f>'AEO 2023 Table 59 Raw'!AD12</f>
        <v>10.843297</v>
      </c>
      <c r="AB20" s="218">
        <f>'AEO 2023 Table 59 Raw'!AE12</f>
        <v>10.943599000000001</v>
      </c>
      <c r="AC20" s="218">
        <f>'AEO 2023 Table 59 Raw'!AF12</f>
        <v>10.983874999999999</v>
      </c>
      <c r="AD20" s="218">
        <f>'AEO 2023 Table 59 Raw'!AG12</f>
        <v>10.947718999999999</v>
      </c>
      <c r="AE20" s="218">
        <f>'AEO 2023 Table 59 Raw'!AH12</f>
        <v>10.954504</v>
      </c>
      <c r="AF20" s="256">
        <f>'AEO 2023 Table 59 Raw'!AI12</f>
        <v>1.4999999999999999E-2</v>
      </c>
    </row>
    <row r="21" spans="1:32" ht="15" customHeight="1" x14ac:dyDescent="0.25">
      <c r="A21" s="213" t="s">
        <v>777</v>
      </c>
      <c r="B21" s="212" t="s">
        <v>681</v>
      </c>
      <c r="C21" s="218">
        <f>'AEO 2023 Table 59 Raw'!F13</f>
        <v>2.765047</v>
      </c>
      <c r="D21" s="218">
        <f>'AEO 2023 Table 59 Raw'!G13</f>
        <v>2.8520099999999999</v>
      </c>
      <c r="E21" s="218">
        <f>'AEO 2023 Table 59 Raw'!H13</f>
        <v>2.5916299999999999</v>
      </c>
      <c r="F21" s="218">
        <f>'AEO 2023 Table 59 Raw'!I13</f>
        <v>2.5846640000000001</v>
      </c>
      <c r="G21" s="218">
        <f>'AEO 2023 Table 59 Raw'!J13</f>
        <v>2.6066729999999998</v>
      </c>
      <c r="H21" s="218">
        <f>'AEO 2023 Table 59 Raw'!K13</f>
        <v>2.5580370000000001</v>
      </c>
      <c r="I21" s="218">
        <f>'AEO 2023 Table 59 Raw'!L13</f>
        <v>2.5117409999999998</v>
      </c>
      <c r="J21" s="218">
        <f>'AEO 2023 Table 59 Raw'!M13</f>
        <v>2.4558680000000002</v>
      </c>
      <c r="K21" s="218">
        <f>'AEO 2023 Table 59 Raw'!N13</f>
        <v>2.4240409999999999</v>
      </c>
      <c r="L21" s="218">
        <f>'AEO 2023 Table 59 Raw'!O13</f>
        <v>2.370743</v>
      </c>
      <c r="M21" s="218">
        <f>'AEO 2023 Table 59 Raw'!P13</f>
        <v>2.3427530000000001</v>
      </c>
      <c r="N21" s="218">
        <f>'AEO 2023 Table 59 Raw'!Q13</f>
        <v>2.3159380000000001</v>
      </c>
      <c r="O21" s="218">
        <f>'AEO 2023 Table 59 Raw'!R13</f>
        <v>2.2911609999999998</v>
      </c>
      <c r="P21" s="218">
        <f>'AEO 2023 Table 59 Raw'!S13</f>
        <v>2.262149</v>
      </c>
      <c r="Q21" s="218">
        <f>'AEO 2023 Table 59 Raw'!T13</f>
        <v>2.2564839999999999</v>
      </c>
      <c r="R21" s="218">
        <f>'AEO 2023 Table 59 Raw'!U13</f>
        <v>2.2384390000000001</v>
      </c>
      <c r="S21" s="218">
        <f>'AEO 2023 Table 59 Raw'!V13</f>
        <v>2.1964229999999998</v>
      </c>
      <c r="T21" s="218">
        <f>'AEO 2023 Table 59 Raw'!W13</f>
        <v>2.2079390000000001</v>
      </c>
      <c r="U21" s="218">
        <f>'AEO 2023 Table 59 Raw'!X13</f>
        <v>2.190404</v>
      </c>
      <c r="V21" s="218">
        <f>'AEO 2023 Table 59 Raw'!Y13</f>
        <v>2.186232</v>
      </c>
      <c r="W21" s="218">
        <f>'AEO 2023 Table 59 Raw'!Z13</f>
        <v>2.1957789999999999</v>
      </c>
      <c r="X21" s="218">
        <f>'AEO 2023 Table 59 Raw'!AA13</f>
        <v>2.1949329999999998</v>
      </c>
      <c r="Y21" s="218">
        <f>'AEO 2023 Table 59 Raw'!AB13</f>
        <v>2.184463</v>
      </c>
      <c r="Z21" s="218">
        <f>'AEO 2023 Table 59 Raw'!AC13</f>
        <v>2.1750759999999998</v>
      </c>
      <c r="AA21" s="218">
        <f>'AEO 2023 Table 59 Raw'!AD13</f>
        <v>2.1522320000000001</v>
      </c>
      <c r="AB21" s="218">
        <f>'AEO 2023 Table 59 Raw'!AE13</f>
        <v>2.1924160000000001</v>
      </c>
      <c r="AC21" s="218">
        <f>'AEO 2023 Table 59 Raw'!AF13</f>
        <v>2.1777799999999998</v>
      </c>
      <c r="AD21" s="218">
        <f>'AEO 2023 Table 59 Raw'!AG13</f>
        <v>2.151856</v>
      </c>
      <c r="AE21" s="218">
        <f>'AEO 2023 Table 59 Raw'!AH13</f>
        <v>2.1329410000000002</v>
      </c>
      <c r="AF21" s="256">
        <f>'AEO 2023 Table 59 Raw'!AI13</f>
        <v>-8.9999999999999993E-3</v>
      </c>
    </row>
    <row r="22" spans="1:32" ht="15" customHeight="1" x14ac:dyDescent="0.25">
      <c r="A22" s="213" t="s">
        <v>776</v>
      </c>
      <c r="B22" s="212" t="s">
        <v>679</v>
      </c>
      <c r="C22" s="218">
        <f>'AEO 2023 Table 59 Raw'!F14</f>
        <v>4.9147590000000001</v>
      </c>
      <c r="D22" s="218">
        <f>'AEO 2023 Table 59 Raw'!G14</f>
        <v>6.044238</v>
      </c>
      <c r="E22" s="218">
        <f>'AEO 2023 Table 59 Raw'!H14</f>
        <v>5.8083309999999999</v>
      </c>
      <c r="F22" s="218">
        <f>'AEO 2023 Table 59 Raw'!I14</f>
        <v>5.7644859999999998</v>
      </c>
      <c r="G22" s="218">
        <f>'AEO 2023 Table 59 Raw'!J14</f>
        <v>6.0372459999999997</v>
      </c>
      <c r="H22" s="218">
        <f>'AEO 2023 Table 59 Raw'!K14</f>
        <v>6.0447620000000004</v>
      </c>
      <c r="I22" s="218">
        <f>'AEO 2023 Table 59 Raw'!L14</f>
        <v>6.0454559999999997</v>
      </c>
      <c r="J22" s="218">
        <f>'AEO 2023 Table 59 Raw'!M14</f>
        <v>6.0230579999999998</v>
      </c>
      <c r="K22" s="218">
        <f>'AEO 2023 Table 59 Raw'!N14</f>
        <v>6.0371350000000001</v>
      </c>
      <c r="L22" s="218">
        <f>'AEO 2023 Table 59 Raw'!O14</f>
        <v>6.0711459999999997</v>
      </c>
      <c r="M22" s="218">
        <f>'AEO 2023 Table 59 Raw'!P14</f>
        <v>6.139278</v>
      </c>
      <c r="N22" s="218">
        <f>'AEO 2023 Table 59 Raw'!Q14</f>
        <v>6.2320440000000001</v>
      </c>
      <c r="O22" s="218">
        <f>'AEO 2023 Table 59 Raw'!R14</f>
        <v>6.3443699999999996</v>
      </c>
      <c r="P22" s="218">
        <f>'AEO 2023 Table 59 Raw'!S14</f>
        <v>6.4301389999999996</v>
      </c>
      <c r="Q22" s="218">
        <f>'AEO 2023 Table 59 Raw'!T14</f>
        <v>6.4663519999999997</v>
      </c>
      <c r="R22" s="218">
        <f>'AEO 2023 Table 59 Raw'!U14</f>
        <v>6.6165900000000004</v>
      </c>
      <c r="S22" s="218">
        <f>'AEO 2023 Table 59 Raw'!V14</f>
        <v>6.6031839999999997</v>
      </c>
      <c r="T22" s="218">
        <f>'AEO 2023 Table 59 Raw'!W14</f>
        <v>6.7659159999999998</v>
      </c>
      <c r="U22" s="218">
        <f>'AEO 2023 Table 59 Raw'!X14</f>
        <v>6.7559199999999997</v>
      </c>
      <c r="V22" s="218">
        <f>'AEO 2023 Table 59 Raw'!Y14</f>
        <v>6.815601</v>
      </c>
      <c r="W22" s="218">
        <f>'AEO 2023 Table 59 Raw'!Z14</f>
        <v>6.8641690000000004</v>
      </c>
      <c r="X22" s="218">
        <f>'AEO 2023 Table 59 Raw'!AA14</f>
        <v>6.9378120000000001</v>
      </c>
      <c r="Y22" s="218">
        <f>'AEO 2023 Table 59 Raw'!AB14</f>
        <v>7.0285299999999999</v>
      </c>
      <c r="Z22" s="218">
        <f>'AEO 2023 Table 59 Raw'!AC14</f>
        <v>7.1206069999999997</v>
      </c>
      <c r="AA22" s="218">
        <f>'AEO 2023 Table 59 Raw'!AD14</f>
        <v>7.2255140000000004</v>
      </c>
      <c r="AB22" s="218">
        <f>'AEO 2023 Table 59 Raw'!AE14</f>
        <v>7.2802439999999997</v>
      </c>
      <c r="AC22" s="218">
        <f>'AEO 2023 Table 59 Raw'!AF14</f>
        <v>7.3185330000000004</v>
      </c>
      <c r="AD22" s="218">
        <f>'AEO 2023 Table 59 Raw'!AG14</f>
        <v>7.3635650000000004</v>
      </c>
      <c r="AE22" s="218">
        <f>'AEO 2023 Table 59 Raw'!AH14</f>
        <v>7.4240089999999999</v>
      </c>
      <c r="AF22" s="256">
        <f>'AEO 2023 Table 59 Raw'!AI14</f>
        <v>1.4999999999999999E-2</v>
      </c>
    </row>
    <row r="23" spans="1:32" ht="15" customHeight="1" x14ac:dyDescent="0.25">
      <c r="A23" s="213" t="s">
        <v>775</v>
      </c>
      <c r="B23" s="212" t="s">
        <v>677</v>
      </c>
      <c r="C23" s="218">
        <f>'AEO 2023 Table 59 Raw'!F15</f>
        <v>4.0809680000000004</v>
      </c>
      <c r="D23" s="218">
        <f>'AEO 2023 Table 59 Raw'!G15</f>
        <v>3.4298959999999998</v>
      </c>
      <c r="E23" s="218">
        <f>'AEO 2023 Table 59 Raw'!H15</f>
        <v>3.3649249999999999</v>
      </c>
      <c r="F23" s="218">
        <f>'AEO 2023 Table 59 Raw'!I15</f>
        <v>3.4911530000000002</v>
      </c>
      <c r="G23" s="218">
        <f>'AEO 2023 Table 59 Raw'!J15</f>
        <v>3.5706099999999998</v>
      </c>
      <c r="H23" s="218">
        <f>'AEO 2023 Table 59 Raw'!K15</f>
        <v>3.6165069999999999</v>
      </c>
      <c r="I23" s="218">
        <f>'AEO 2023 Table 59 Raw'!L15</f>
        <v>3.6659310000000001</v>
      </c>
      <c r="J23" s="218">
        <f>'AEO 2023 Table 59 Raw'!M15</f>
        <v>3.6911269999999998</v>
      </c>
      <c r="K23" s="218">
        <f>'AEO 2023 Table 59 Raw'!N15</f>
        <v>3.6992050000000001</v>
      </c>
      <c r="L23" s="218">
        <f>'AEO 2023 Table 59 Raw'!O15</f>
        <v>3.6791390000000002</v>
      </c>
      <c r="M23" s="218">
        <f>'AEO 2023 Table 59 Raw'!P15</f>
        <v>3.6153949999999999</v>
      </c>
      <c r="N23" s="218">
        <f>'AEO 2023 Table 59 Raw'!Q15</f>
        <v>3.5917379999999999</v>
      </c>
      <c r="O23" s="218">
        <f>'AEO 2023 Table 59 Raw'!R15</f>
        <v>3.5256259999999999</v>
      </c>
      <c r="P23" s="218">
        <f>'AEO 2023 Table 59 Raw'!S15</f>
        <v>3.4782839999999999</v>
      </c>
      <c r="Q23" s="218">
        <f>'AEO 2023 Table 59 Raw'!T15</f>
        <v>3.5425270000000002</v>
      </c>
      <c r="R23" s="218">
        <f>'AEO 2023 Table 59 Raw'!U15</f>
        <v>3.5633370000000002</v>
      </c>
      <c r="S23" s="218">
        <f>'AEO 2023 Table 59 Raw'!V15</f>
        <v>3.5968460000000002</v>
      </c>
      <c r="T23" s="218">
        <f>'AEO 2023 Table 59 Raw'!W15</f>
        <v>3.5992929999999999</v>
      </c>
      <c r="U23" s="218">
        <f>'AEO 2023 Table 59 Raw'!X15</f>
        <v>3.652844</v>
      </c>
      <c r="V23" s="218">
        <f>'AEO 2023 Table 59 Raw'!Y15</f>
        <v>3.6483539999999999</v>
      </c>
      <c r="W23" s="218">
        <f>'AEO 2023 Table 59 Raw'!Z15</f>
        <v>3.6183130000000001</v>
      </c>
      <c r="X23" s="218">
        <f>'AEO 2023 Table 59 Raw'!AA15</f>
        <v>3.590814</v>
      </c>
      <c r="Y23" s="218">
        <f>'AEO 2023 Table 59 Raw'!AB15</f>
        <v>3.5982479999999999</v>
      </c>
      <c r="Z23" s="218">
        <f>'AEO 2023 Table 59 Raw'!AC15</f>
        <v>3.5431509999999999</v>
      </c>
      <c r="AA23" s="218">
        <f>'AEO 2023 Table 59 Raw'!AD15</f>
        <v>3.5027900000000001</v>
      </c>
      <c r="AB23" s="218">
        <f>'AEO 2023 Table 59 Raw'!AE15</f>
        <v>3.481233</v>
      </c>
      <c r="AC23" s="218">
        <f>'AEO 2023 Table 59 Raw'!AF15</f>
        <v>3.4508709999999998</v>
      </c>
      <c r="AD23" s="218">
        <f>'AEO 2023 Table 59 Raw'!AG15</f>
        <v>3.4092220000000002</v>
      </c>
      <c r="AE23" s="218">
        <f>'AEO 2023 Table 59 Raw'!AH15</f>
        <v>3.3890660000000001</v>
      </c>
      <c r="AF23" s="256">
        <f>'AEO 2023 Table 59 Raw'!AI15</f>
        <v>-7.0000000000000001E-3</v>
      </c>
    </row>
    <row r="24" spans="1:32" ht="15" customHeight="1" x14ac:dyDescent="0.25">
      <c r="A24" s="213" t="s">
        <v>774</v>
      </c>
      <c r="B24" s="212" t="s">
        <v>675</v>
      </c>
      <c r="C24" s="218">
        <f>'AEO 2023 Table 59 Raw'!F16</f>
        <v>0.75800800000000002</v>
      </c>
      <c r="D24" s="218">
        <f>'AEO 2023 Table 59 Raw'!G16</f>
        <v>0.81315800000000005</v>
      </c>
      <c r="E24" s="218">
        <f>'AEO 2023 Table 59 Raw'!H16</f>
        <v>0.78812199999999999</v>
      </c>
      <c r="F24" s="218">
        <f>'AEO 2023 Table 59 Raw'!I16</f>
        <v>0.77618299999999996</v>
      </c>
      <c r="G24" s="218">
        <f>'AEO 2023 Table 59 Raw'!J16</f>
        <v>0.78711500000000001</v>
      </c>
      <c r="H24" s="218">
        <f>'AEO 2023 Table 59 Raw'!K16</f>
        <v>0.79225199999999996</v>
      </c>
      <c r="I24" s="218">
        <f>'AEO 2023 Table 59 Raw'!L16</f>
        <v>0.79710899999999996</v>
      </c>
      <c r="J24" s="218">
        <f>'AEO 2023 Table 59 Raw'!M16</f>
        <v>0.79716399999999998</v>
      </c>
      <c r="K24" s="218">
        <f>'AEO 2023 Table 59 Raw'!N16</f>
        <v>0.79778800000000005</v>
      </c>
      <c r="L24" s="218">
        <f>'AEO 2023 Table 59 Raw'!O16</f>
        <v>0.79563799999999996</v>
      </c>
      <c r="M24" s="218">
        <f>'AEO 2023 Table 59 Raw'!P16</f>
        <v>0.80580600000000002</v>
      </c>
      <c r="N24" s="218">
        <f>'AEO 2023 Table 59 Raw'!Q16</f>
        <v>0.81167699999999998</v>
      </c>
      <c r="O24" s="218">
        <f>'AEO 2023 Table 59 Raw'!R16</f>
        <v>0.81084500000000004</v>
      </c>
      <c r="P24" s="218">
        <f>'AEO 2023 Table 59 Raw'!S16</f>
        <v>0.81581400000000004</v>
      </c>
      <c r="Q24" s="218">
        <f>'AEO 2023 Table 59 Raw'!T16</f>
        <v>0.81935999999999998</v>
      </c>
      <c r="R24" s="218">
        <f>'AEO 2023 Table 59 Raw'!U16</f>
        <v>0.81682399999999999</v>
      </c>
      <c r="S24" s="218">
        <f>'AEO 2023 Table 59 Raw'!V16</f>
        <v>0.81228299999999998</v>
      </c>
      <c r="T24" s="218">
        <f>'AEO 2023 Table 59 Raw'!W16</f>
        <v>0.808585</v>
      </c>
      <c r="U24" s="218">
        <f>'AEO 2023 Table 59 Raw'!X16</f>
        <v>0.805369</v>
      </c>
      <c r="V24" s="218">
        <f>'AEO 2023 Table 59 Raw'!Y16</f>
        <v>0.80545900000000004</v>
      </c>
      <c r="W24" s="218">
        <f>'AEO 2023 Table 59 Raw'!Z16</f>
        <v>0.80577399999999999</v>
      </c>
      <c r="X24" s="218">
        <f>'AEO 2023 Table 59 Raw'!AA16</f>
        <v>0.79252100000000003</v>
      </c>
      <c r="Y24" s="218">
        <f>'AEO 2023 Table 59 Raw'!AB16</f>
        <v>0.785659</v>
      </c>
      <c r="Z24" s="218">
        <f>'AEO 2023 Table 59 Raw'!AC16</f>
        <v>0.78407199999999999</v>
      </c>
      <c r="AA24" s="218">
        <f>'AEO 2023 Table 59 Raw'!AD16</f>
        <v>0.78545100000000001</v>
      </c>
      <c r="AB24" s="218">
        <f>'AEO 2023 Table 59 Raw'!AE16</f>
        <v>0.79039300000000001</v>
      </c>
      <c r="AC24" s="218">
        <f>'AEO 2023 Table 59 Raw'!AF16</f>
        <v>0.78535299999999997</v>
      </c>
      <c r="AD24" s="218">
        <f>'AEO 2023 Table 59 Raw'!AG16</f>
        <v>0.785941</v>
      </c>
      <c r="AE24" s="218">
        <f>'AEO 2023 Table 59 Raw'!AH16</f>
        <v>0.79201600000000005</v>
      </c>
      <c r="AF24" s="256">
        <f>'AEO 2023 Table 59 Raw'!AI16</f>
        <v>2E-3</v>
      </c>
    </row>
    <row r="25" spans="1:32" ht="15" customHeight="1" x14ac:dyDescent="0.25">
      <c r="A25" s="213" t="s">
        <v>773</v>
      </c>
      <c r="B25" s="212" t="s">
        <v>673</v>
      </c>
      <c r="C25" s="218">
        <f>'AEO 2023 Table 59 Raw'!F17</f>
        <v>0.16714100000000001</v>
      </c>
      <c r="D25" s="218">
        <f>'AEO 2023 Table 59 Raw'!G17</f>
        <v>0.126558</v>
      </c>
      <c r="E25" s="218">
        <f>'AEO 2023 Table 59 Raw'!H17</f>
        <v>0.105848</v>
      </c>
      <c r="F25" s="218">
        <f>'AEO 2023 Table 59 Raw'!I17</f>
        <v>9.9992999999999999E-2</v>
      </c>
      <c r="G25" s="218">
        <f>'AEO 2023 Table 59 Raw'!J17</f>
        <v>9.1124999999999998E-2</v>
      </c>
      <c r="H25" s="218">
        <f>'AEO 2023 Table 59 Raw'!K17</f>
        <v>8.3989999999999995E-2</v>
      </c>
      <c r="I25" s="218">
        <f>'AEO 2023 Table 59 Raw'!L17</f>
        <v>7.8120999999999996E-2</v>
      </c>
      <c r="J25" s="218">
        <f>'AEO 2023 Table 59 Raw'!M17</f>
        <v>7.2828000000000004E-2</v>
      </c>
      <c r="K25" s="218">
        <f>'AEO 2023 Table 59 Raw'!N17</f>
        <v>6.7596000000000003E-2</v>
      </c>
      <c r="L25" s="218">
        <f>'AEO 2023 Table 59 Raw'!O17</f>
        <v>6.4461000000000004E-2</v>
      </c>
      <c r="M25" s="218">
        <f>'AEO 2023 Table 59 Raw'!P17</f>
        <v>6.0816000000000002E-2</v>
      </c>
      <c r="N25" s="218">
        <f>'AEO 2023 Table 59 Raw'!Q17</f>
        <v>5.8180999999999997E-2</v>
      </c>
      <c r="O25" s="218">
        <f>'AEO 2023 Table 59 Raw'!R17</f>
        <v>5.4211000000000002E-2</v>
      </c>
      <c r="P25" s="218">
        <f>'AEO 2023 Table 59 Raw'!S17</f>
        <v>5.1208999999999998E-2</v>
      </c>
      <c r="Q25" s="218">
        <f>'AEO 2023 Table 59 Raw'!T17</f>
        <v>4.8042000000000001E-2</v>
      </c>
      <c r="R25" s="218">
        <f>'AEO 2023 Table 59 Raw'!U17</f>
        <v>4.5319999999999999E-2</v>
      </c>
      <c r="S25" s="218">
        <f>'AEO 2023 Table 59 Raw'!V17</f>
        <v>4.2956000000000001E-2</v>
      </c>
      <c r="T25" s="218">
        <f>'AEO 2023 Table 59 Raw'!W17</f>
        <v>4.5420000000000002E-2</v>
      </c>
      <c r="U25" s="218">
        <f>'AEO 2023 Table 59 Raw'!X17</f>
        <v>4.6322000000000002E-2</v>
      </c>
      <c r="V25" s="218">
        <f>'AEO 2023 Table 59 Raw'!Y17</f>
        <v>4.4842E-2</v>
      </c>
      <c r="W25" s="218">
        <f>'AEO 2023 Table 59 Raw'!Z17</f>
        <v>4.0979000000000002E-2</v>
      </c>
      <c r="X25" s="218">
        <f>'AEO 2023 Table 59 Raw'!AA17</f>
        <v>3.7976999999999997E-2</v>
      </c>
      <c r="Y25" s="218">
        <f>'AEO 2023 Table 59 Raw'!AB17</f>
        <v>3.6194999999999998E-2</v>
      </c>
      <c r="Z25" s="218">
        <f>'AEO 2023 Table 59 Raw'!AC17</f>
        <v>3.4856999999999999E-2</v>
      </c>
      <c r="AA25" s="218">
        <f>'AEO 2023 Table 59 Raw'!AD17</f>
        <v>3.3711999999999999E-2</v>
      </c>
      <c r="AB25" s="218">
        <f>'AEO 2023 Table 59 Raw'!AE17</f>
        <v>3.2732999999999998E-2</v>
      </c>
      <c r="AC25" s="218">
        <f>'AEO 2023 Table 59 Raw'!AF17</f>
        <v>3.1639E-2</v>
      </c>
      <c r="AD25" s="218">
        <f>'AEO 2023 Table 59 Raw'!AG17</f>
        <v>3.0550999999999998E-2</v>
      </c>
      <c r="AE25" s="218">
        <f>'AEO 2023 Table 59 Raw'!AH17</f>
        <v>2.9517999999999999E-2</v>
      </c>
      <c r="AF25" s="256">
        <f>'AEO 2023 Table 59 Raw'!AI17</f>
        <v>-0.06</v>
      </c>
    </row>
    <row r="26" spans="1:32" ht="15" customHeight="1" x14ac:dyDescent="0.2">
      <c r="C26" s="218"/>
      <c r="D26" s="218"/>
      <c r="E26" s="218"/>
      <c r="F26" s="218"/>
      <c r="G26" s="218"/>
      <c r="H26" s="218"/>
      <c r="I26" s="218"/>
      <c r="J26" s="218"/>
      <c r="K26" s="218"/>
      <c r="L26" s="218"/>
      <c r="M26" s="218"/>
      <c r="N26" s="218"/>
      <c r="O26" s="218"/>
      <c r="P26" s="218"/>
      <c r="Q26" s="218"/>
      <c r="R26" s="218"/>
      <c r="S26" s="218"/>
      <c r="T26" s="218"/>
      <c r="U26" s="218"/>
      <c r="V26" s="218"/>
      <c r="W26" s="218"/>
      <c r="X26" s="218"/>
      <c r="Y26" s="218"/>
      <c r="Z26" s="218"/>
      <c r="AA26" s="218"/>
      <c r="AB26" s="218"/>
      <c r="AC26" s="218"/>
      <c r="AD26" s="218"/>
      <c r="AE26" s="218"/>
      <c r="AF26" s="256"/>
    </row>
    <row r="27" spans="1:32" ht="15" customHeight="1" x14ac:dyDescent="0.2">
      <c r="A27" s="213" t="s">
        <v>772</v>
      </c>
      <c r="B27" s="216" t="s">
        <v>672</v>
      </c>
      <c r="C27" s="218">
        <f>'AEO 2023 Table 59 Raw'!F18</f>
        <v>1.0706560000000001</v>
      </c>
      <c r="D27" s="218">
        <f>'AEO 2023 Table 59 Raw'!G18</f>
        <v>0.82405700000000004</v>
      </c>
      <c r="E27" s="218">
        <f>'AEO 2023 Table 59 Raw'!H18</f>
        <v>0.79521600000000003</v>
      </c>
      <c r="F27" s="218">
        <f>'AEO 2023 Table 59 Raw'!I18</f>
        <v>0.88176200000000005</v>
      </c>
      <c r="G27" s="218">
        <f>'AEO 2023 Table 59 Raw'!J18</f>
        <v>0.96261099999999999</v>
      </c>
      <c r="H27" s="218">
        <f>'AEO 2023 Table 59 Raw'!K18</f>
        <v>1.0784549999999999</v>
      </c>
      <c r="I27" s="218">
        <f>'AEO 2023 Table 59 Raw'!L18</f>
        <v>1.2305779999999999</v>
      </c>
      <c r="J27" s="218">
        <f>'AEO 2023 Table 59 Raw'!M18</f>
        <v>1.306956</v>
      </c>
      <c r="K27" s="218">
        <f>'AEO 2023 Table 59 Raw'!N18</f>
        <v>1.3281579999999999</v>
      </c>
      <c r="L27" s="218">
        <f>'AEO 2023 Table 59 Raw'!O18</f>
        <v>1.328338</v>
      </c>
      <c r="M27" s="218">
        <f>'AEO 2023 Table 59 Raw'!P18</f>
        <v>1.3434820000000001</v>
      </c>
      <c r="N27" s="218">
        <f>'AEO 2023 Table 59 Raw'!Q18</f>
        <v>1.3290299999999999</v>
      </c>
      <c r="O27" s="218">
        <f>'AEO 2023 Table 59 Raw'!R18</f>
        <v>1.3193049999999999</v>
      </c>
      <c r="P27" s="218">
        <f>'AEO 2023 Table 59 Raw'!S18</f>
        <v>1.3033729999999999</v>
      </c>
      <c r="Q27" s="218">
        <f>'AEO 2023 Table 59 Raw'!T18</f>
        <v>1.2854049999999999</v>
      </c>
      <c r="R27" s="218">
        <f>'AEO 2023 Table 59 Raw'!U18</f>
        <v>1.2741439999999999</v>
      </c>
      <c r="S27" s="218">
        <f>'AEO 2023 Table 59 Raw'!V18</f>
        <v>1.2584709999999999</v>
      </c>
      <c r="T27" s="218">
        <f>'AEO 2023 Table 59 Raw'!W18</f>
        <v>1.196043</v>
      </c>
      <c r="U27" s="218">
        <f>'AEO 2023 Table 59 Raw'!X18</f>
        <v>1.1655279999999999</v>
      </c>
      <c r="V27" s="218">
        <f>'AEO 2023 Table 59 Raw'!Y18</f>
        <v>1.076319</v>
      </c>
      <c r="W27" s="218">
        <f>'AEO 2023 Table 59 Raw'!Z18</f>
        <v>1.124182</v>
      </c>
      <c r="X27" s="218">
        <f>'AEO 2023 Table 59 Raw'!AA18</f>
        <v>1.2453890000000001</v>
      </c>
      <c r="Y27" s="218">
        <f>'AEO 2023 Table 59 Raw'!AB18</f>
        <v>1.3280449999999999</v>
      </c>
      <c r="Z27" s="218">
        <f>'AEO 2023 Table 59 Raw'!AC18</f>
        <v>1.322789</v>
      </c>
      <c r="AA27" s="218">
        <f>'AEO 2023 Table 59 Raw'!AD18</f>
        <v>1.3064309999999999</v>
      </c>
      <c r="AB27" s="218">
        <f>'AEO 2023 Table 59 Raw'!AE18</f>
        <v>1.193373</v>
      </c>
      <c r="AC27" s="218">
        <f>'AEO 2023 Table 59 Raw'!AF18</f>
        <v>1.2381059999999999</v>
      </c>
      <c r="AD27" s="218">
        <f>'AEO 2023 Table 59 Raw'!AG18</f>
        <v>1.37723</v>
      </c>
      <c r="AE27" s="218">
        <f>'AEO 2023 Table 59 Raw'!AH18</f>
        <v>1.4363900000000001</v>
      </c>
      <c r="AF27" s="256">
        <f>'AEO 2023 Table 59 Raw'!AI18</f>
        <v>1.0999999999999999E-2</v>
      </c>
    </row>
    <row r="28" spans="1:32" ht="15" customHeight="1" x14ac:dyDescent="0.25">
      <c r="A28" s="213" t="s">
        <v>771</v>
      </c>
      <c r="B28" s="212" t="s">
        <v>670</v>
      </c>
      <c r="C28" s="218">
        <f>'AEO 2023 Table 59 Raw'!F19</f>
        <v>1.06135</v>
      </c>
      <c r="D28" s="218">
        <f>'AEO 2023 Table 59 Raw'!G19</f>
        <v>0.82008899999999996</v>
      </c>
      <c r="E28" s="218">
        <f>'AEO 2023 Table 59 Raw'!H19</f>
        <v>0.79153499999999999</v>
      </c>
      <c r="F28" s="218">
        <f>'AEO 2023 Table 59 Raw'!I19</f>
        <v>0.878328</v>
      </c>
      <c r="G28" s="218">
        <f>'AEO 2023 Table 59 Raw'!J19</f>
        <v>0.95938999999999997</v>
      </c>
      <c r="H28" s="218">
        <f>'AEO 2023 Table 59 Raw'!K19</f>
        <v>1.07542</v>
      </c>
      <c r="I28" s="218">
        <f>'AEO 2023 Table 59 Raw'!L19</f>
        <v>1.1036159999999999</v>
      </c>
      <c r="J28" s="218">
        <f>'AEO 2023 Table 59 Raw'!M19</f>
        <v>1.115855</v>
      </c>
      <c r="K28" s="218">
        <f>'AEO 2023 Table 59 Raw'!N19</f>
        <v>1.111558</v>
      </c>
      <c r="L28" s="218">
        <f>'AEO 2023 Table 59 Raw'!O19</f>
        <v>1.098036</v>
      </c>
      <c r="M28" s="218">
        <f>'AEO 2023 Table 59 Raw'!P19</f>
        <v>1.1078079999999999</v>
      </c>
      <c r="N28" s="218">
        <f>'AEO 2023 Table 59 Raw'!Q19</f>
        <v>1.090719</v>
      </c>
      <c r="O28" s="218">
        <f>'AEO 2023 Table 59 Raw'!R19</f>
        <v>1.0843119999999999</v>
      </c>
      <c r="P28" s="218">
        <f>'AEO 2023 Table 59 Raw'!S19</f>
        <v>1.083777</v>
      </c>
      <c r="Q28" s="218">
        <f>'AEO 2023 Table 59 Raw'!T19</f>
        <v>1.0567200000000001</v>
      </c>
      <c r="R28" s="218">
        <f>'AEO 2023 Table 59 Raw'!U19</f>
        <v>1.054063</v>
      </c>
      <c r="S28" s="218">
        <f>'AEO 2023 Table 59 Raw'!V19</f>
        <v>1.059612</v>
      </c>
      <c r="T28" s="218">
        <f>'AEO 2023 Table 59 Raw'!W19</f>
        <v>0.98557799999999995</v>
      </c>
      <c r="U28" s="218">
        <f>'AEO 2023 Table 59 Raw'!X19</f>
        <v>0.95047099999999995</v>
      </c>
      <c r="V28" s="218">
        <f>'AEO 2023 Table 59 Raw'!Y19</f>
        <v>0.84499899999999994</v>
      </c>
      <c r="W28" s="218">
        <f>'AEO 2023 Table 59 Raw'!Z19</f>
        <v>0.89997099999999997</v>
      </c>
      <c r="X28" s="218">
        <f>'AEO 2023 Table 59 Raw'!AA19</f>
        <v>1.036117</v>
      </c>
      <c r="Y28" s="218">
        <f>'AEO 2023 Table 59 Raw'!AB19</f>
        <v>1.1083609999999999</v>
      </c>
      <c r="Z28" s="218">
        <f>'AEO 2023 Table 59 Raw'!AC19</f>
        <v>1.0920719999999999</v>
      </c>
      <c r="AA28" s="218">
        <f>'AEO 2023 Table 59 Raw'!AD19</f>
        <v>1.09266</v>
      </c>
      <c r="AB28" s="218">
        <f>'AEO 2023 Table 59 Raw'!AE19</f>
        <v>0.99212900000000004</v>
      </c>
      <c r="AC28" s="218">
        <f>'AEO 2023 Table 59 Raw'!AF19</f>
        <v>0.96922399999999997</v>
      </c>
      <c r="AD28" s="218">
        <f>'AEO 2023 Table 59 Raw'!AG19</f>
        <v>1.108598</v>
      </c>
      <c r="AE28" s="218">
        <f>'AEO 2023 Table 59 Raw'!AH19</f>
        <v>1.187927</v>
      </c>
      <c r="AF28" s="256">
        <f>'AEO 2023 Table 59 Raw'!AI19</f>
        <v>4.0000000000000001E-3</v>
      </c>
    </row>
    <row r="29" spans="1:32" ht="15" customHeight="1" x14ac:dyDescent="0.25">
      <c r="A29" s="213" t="s">
        <v>770</v>
      </c>
      <c r="B29" s="212" t="s">
        <v>703</v>
      </c>
      <c r="C29" s="218">
        <f>'AEO 2023 Table 59 Raw'!F20</f>
        <v>0</v>
      </c>
      <c r="D29" s="218">
        <f>'AEO 2023 Table 59 Raw'!G20</f>
        <v>6.8781999999999996E-2</v>
      </c>
      <c r="E29" s="218">
        <f>'AEO 2023 Table 59 Raw'!H20</f>
        <v>4.1140000000000003E-2</v>
      </c>
      <c r="F29" s="218">
        <f>'AEO 2023 Table 59 Raw'!I20</f>
        <v>3.2001000000000002E-2</v>
      </c>
      <c r="G29" s="218">
        <f>'AEO 2023 Table 59 Raw'!J20</f>
        <v>2.9929999999999998E-2</v>
      </c>
      <c r="H29" s="218">
        <f>'AEO 2023 Table 59 Raw'!K20</f>
        <v>2.6897999999999998E-2</v>
      </c>
      <c r="I29" s="218">
        <f>'AEO 2023 Table 59 Raw'!L20</f>
        <v>2.5100999999999998E-2</v>
      </c>
      <c r="J29" s="218">
        <f>'AEO 2023 Table 59 Raw'!M20</f>
        <v>2.3498999999999999E-2</v>
      </c>
      <c r="K29" s="218">
        <f>'AEO 2023 Table 59 Raw'!N20</f>
        <v>2.1878000000000002E-2</v>
      </c>
      <c r="L29" s="218">
        <f>'AEO 2023 Table 59 Raw'!O20</f>
        <v>2.0369000000000002E-2</v>
      </c>
      <c r="M29" s="218">
        <f>'AEO 2023 Table 59 Raw'!P20</f>
        <v>1.9035E-2</v>
      </c>
      <c r="N29" s="218">
        <f>'AEO 2023 Table 59 Raw'!Q20</f>
        <v>1.7819999999999999E-2</v>
      </c>
      <c r="O29" s="218">
        <f>'AEO 2023 Table 59 Raw'!R20</f>
        <v>1.6830000000000001E-2</v>
      </c>
      <c r="P29" s="218">
        <f>'AEO 2023 Table 59 Raw'!S20</f>
        <v>1.5731999999999999E-2</v>
      </c>
      <c r="Q29" s="218">
        <f>'AEO 2023 Table 59 Raw'!T20</f>
        <v>1.4827999999999999E-2</v>
      </c>
      <c r="R29" s="218">
        <f>'AEO 2023 Table 59 Raw'!U20</f>
        <v>1.3899E-2</v>
      </c>
      <c r="S29" s="218">
        <f>'AEO 2023 Table 59 Raw'!V20</f>
        <v>1.3306E-2</v>
      </c>
      <c r="T29" s="218">
        <f>'AEO 2023 Table 59 Raw'!W20</f>
        <v>1.2813E-2</v>
      </c>
      <c r="U29" s="218">
        <f>'AEO 2023 Table 59 Raw'!X20</f>
        <v>1.196E-2</v>
      </c>
      <c r="V29" s="218">
        <f>'AEO 2023 Table 59 Raw'!Y20</f>
        <v>1.1762E-2</v>
      </c>
      <c r="W29" s="218">
        <f>'AEO 2023 Table 59 Raw'!Z20</f>
        <v>1.1226E-2</v>
      </c>
      <c r="X29" s="218">
        <f>'AEO 2023 Table 59 Raw'!AA20</f>
        <v>1.0688E-2</v>
      </c>
      <c r="Y29" s="218">
        <f>'AEO 2023 Table 59 Raw'!AB20</f>
        <v>1.0236E-2</v>
      </c>
      <c r="Z29" s="218">
        <f>'AEO 2023 Table 59 Raw'!AC20</f>
        <v>9.9080000000000001E-3</v>
      </c>
      <c r="AA29" s="218">
        <f>'AEO 2023 Table 59 Raw'!AD20</f>
        <v>9.6349999999999995E-3</v>
      </c>
      <c r="AB29" s="218">
        <f>'AEO 2023 Table 59 Raw'!AE20</f>
        <v>9.3279999999999995E-3</v>
      </c>
      <c r="AC29" s="218">
        <f>'AEO 2023 Table 59 Raw'!AF20</f>
        <v>9.0050000000000009E-3</v>
      </c>
      <c r="AD29" s="218">
        <f>'AEO 2023 Table 59 Raw'!AG20</f>
        <v>8.7530000000000004E-3</v>
      </c>
      <c r="AE29" s="218">
        <f>'AEO 2023 Table 59 Raw'!AH20</f>
        <v>8.4700000000000001E-3</v>
      </c>
      <c r="AF29" s="256">
        <f>'AEO 2023 Table 59 Raw'!AI20</f>
        <v>8.3029999999999996E-3</v>
      </c>
    </row>
    <row r="30" spans="1:32" ht="15" customHeight="1" x14ac:dyDescent="0.25">
      <c r="A30" s="213" t="s">
        <v>769</v>
      </c>
      <c r="B30" s="212" t="s">
        <v>701</v>
      </c>
      <c r="C30" s="218">
        <f>'AEO 2023 Table 59 Raw'!F21</f>
        <v>0</v>
      </c>
      <c r="D30" s="218">
        <f>'AEO 2023 Table 59 Raw'!G21</f>
        <v>0.11572</v>
      </c>
      <c r="E30" s="218">
        <f>'AEO 2023 Table 59 Raw'!H21</f>
        <v>9.2628000000000002E-2</v>
      </c>
      <c r="F30" s="218">
        <f>'AEO 2023 Table 59 Raw'!I21</f>
        <v>7.1988999999999997E-2</v>
      </c>
      <c r="G30" s="218">
        <f>'AEO 2023 Table 59 Raw'!J21</f>
        <v>6.8005999999999997E-2</v>
      </c>
      <c r="H30" s="218">
        <f>'AEO 2023 Table 59 Raw'!K21</f>
        <v>6.1443999999999999E-2</v>
      </c>
      <c r="I30" s="218">
        <f>'AEO 2023 Table 59 Raw'!L21</f>
        <v>5.7699E-2</v>
      </c>
      <c r="J30" s="218">
        <f>'AEO 2023 Table 59 Raw'!M21</f>
        <v>5.4343000000000002E-2</v>
      </c>
      <c r="K30" s="218">
        <f>'AEO 2023 Table 59 Raw'!N21</f>
        <v>5.0840000000000003E-2</v>
      </c>
      <c r="L30" s="218">
        <f>'AEO 2023 Table 59 Raw'!O21</f>
        <v>4.7669999999999997E-2</v>
      </c>
      <c r="M30" s="218">
        <f>'AEO 2023 Table 59 Raw'!P21</f>
        <v>4.4852999999999997E-2</v>
      </c>
      <c r="N30" s="218">
        <f>'AEO 2023 Table 59 Raw'!Q21</f>
        <v>4.2416000000000002E-2</v>
      </c>
      <c r="O30" s="218">
        <f>'AEO 2023 Table 59 Raw'!R21</f>
        <v>4.0592000000000003E-2</v>
      </c>
      <c r="P30" s="218">
        <f>'AEO 2023 Table 59 Raw'!S21</f>
        <v>3.8177000000000003E-2</v>
      </c>
      <c r="Q30" s="218">
        <f>'AEO 2023 Table 59 Raw'!T21</f>
        <v>4.6588999999999998E-2</v>
      </c>
      <c r="R30" s="218">
        <f>'AEO 2023 Table 59 Raw'!U21</f>
        <v>5.7213E-2</v>
      </c>
      <c r="S30" s="218">
        <f>'AEO 2023 Table 59 Raw'!V21</f>
        <v>5.6627999999999998E-2</v>
      </c>
      <c r="T30" s="218">
        <f>'AEO 2023 Table 59 Raw'!W21</f>
        <v>7.8799999999999995E-2</v>
      </c>
      <c r="U30" s="218">
        <f>'AEO 2023 Table 59 Raw'!X21</f>
        <v>8.5582000000000005E-2</v>
      </c>
      <c r="V30" s="218">
        <f>'AEO 2023 Table 59 Raw'!Y21</f>
        <v>8.7631000000000001E-2</v>
      </c>
      <c r="W30" s="218">
        <f>'AEO 2023 Table 59 Raw'!Z21</f>
        <v>8.6255999999999999E-2</v>
      </c>
      <c r="X30" s="218">
        <f>'AEO 2023 Table 59 Raw'!AA21</f>
        <v>8.9688000000000004E-2</v>
      </c>
      <c r="Y30" s="218">
        <f>'AEO 2023 Table 59 Raw'!AB21</f>
        <v>9.3800999999999995E-2</v>
      </c>
      <c r="Z30" s="218">
        <f>'AEO 2023 Table 59 Raw'!AC21</f>
        <v>9.3534999999999993E-2</v>
      </c>
      <c r="AA30" s="218">
        <f>'AEO 2023 Table 59 Raw'!AD21</f>
        <v>0.112123</v>
      </c>
      <c r="AB30" s="218">
        <f>'AEO 2023 Table 59 Raw'!AE21</f>
        <v>0.122999</v>
      </c>
      <c r="AC30" s="218">
        <f>'AEO 2023 Table 59 Raw'!AF21</f>
        <v>0.12216200000000001</v>
      </c>
      <c r="AD30" s="218">
        <f>'AEO 2023 Table 59 Raw'!AG21</f>
        <v>0.12929599999999999</v>
      </c>
      <c r="AE30" s="218">
        <f>'AEO 2023 Table 59 Raw'!AH21</f>
        <v>0.12904199999999999</v>
      </c>
      <c r="AF30" s="256">
        <f>'AEO 2023 Table 59 Raw'!AI21</f>
        <v>0.13311799999999999</v>
      </c>
    </row>
    <row r="31" spans="1:32" ht="15" customHeight="1" x14ac:dyDescent="0.25">
      <c r="A31" s="213" t="s">
        <v>768</v>
      </c>
      <c r="B31" s="212" t="s">
        <v>699</v>
      </c>
      <c r="C31" s="218">
        <f>'AEO 2023 Table 59 Raw'!F22</f>
        <v>0.60306099999999996</v>
      </c>
      <c r="D31" s="218">
        <f>'AEO 2023 Table 59 Raw'!G22</f>
        <v>0.68852400000000002</v>
      </c>
      <c r="E31" s="218">
        <f>'AEO 2023 Table 59 Raw'!H22</f>
        <v>0.68940999999999997</v>
      </c>
      <c r="F31" s="218">
        <f>'AEO 2023 Table 59 Raw'!I22</f>
        <v>0.78200999999999998</v>
      </c>
      <c r="G31" s="218">
        <f>'AEO 2023 Table 59 Raw'!J22</f>
        <v>0.872479</v>
      </c>
      <c r="H31" s="218">
        <f>'AEO 2023 Table 59 Raw'!K22</f>
        <v>0.99390400000000001</v>
      </c>
      <c r="I31" s="218">
        <f>'AEO 2023 Table 59 Raw'!L22</f>
        <v>1.02694</v>
      </c>
      <c r="J31" s="218">
        <f>'AEO 2023 Table 59 Raw'!M22</f>
        <v>1.0442039999999999</v>
      </c>
      <c r="K31" s="218">
        <f>'AEO 2023 Table 59 Raw'!N22</f>
        <v>1.0445040000000001</v>
      </c>
      <c r="L31" s="218">
        <f>'AEO 2023 Table 59 Raw'!O22</f>
        <v>1.0350649999999999</v>
      </c>
      <c r="M31" s="218">
        <f>'AEO 2023 Table 59 Raw'!P22</f>
        <v>1.0484279999999999</v>
      </c>
      <c r="N31" s="218">
        <f>'AEO 2023 Table 59 Raw'!Q22</f>
        <v>1.0341009999999999</v>
      </c>
      <c r="O31" s="218">
        <f>'AEO 2023 Table 59 Raw'!R22</f>
        <v>1.0311619999999999</v>
      </c>
      <c r="P31" s="218">
        <f>'AEO 2023 Table 59 Raw'!S22</f>
        <v>1.023077</v>
      </c>
      <c r="Q31" s="218">
        <f>'AEO 2023 Table 59 Raw'!T22</f>
        <v>0.98629</v>
      </c>
      <c r="R31" s="218">
        <f>'AEO 2023 Table 59 Raw'!U22</f>
        <v>0.98477899999999996</v>
      </c>
      <c r="S31" s="218">
        <f>'AEO 2023 Table 59 Raw'!V22</f>
        <v>0.96861900000000001</v>
      </c>
      <c r="T31" s="218">
        <f>'AEO 2023 Table 59 Raw'!W22</f>
        <v>0.88863000000000003</v>
      </c>
      <c r="U31" s="218">
        <f>'AEO 2023 Table 59 Raw'!X22</f>
        <v>0.85164899999999999</v>
      </c>
      <c r="V31" s="218">
        <f>'AEO 2023 Table 59 Raw'!Y22</f>
        <v>0.74806499999999998</v>
      </c>
      <c r="W31" s="218">
        <f>'AEO 2023 Table 59 Raw'!Z22</f>
        <v>0.80012399999999995</v>
      </c>
      <c r="X31" s="218">
        <f>'AEO 2023 Table 59 Raw'!AA22</f>
        <v>0.93259000000000003</v>
      </c>
      <c r="Y31" s="218">
        <f>'AEO 2023 Table 59 Raw'!AB22</f>
        <v>1.0054099999999999</v>
      </c>
      <c r="Z31" s="218">
        <f>'AEO 2023 Table 59 Raw'!AC22</f>
        <v>0.97079000000000004</v>
      </c>
      <c r="AA31" s="218">
        <f>'AEO 2023 Table 59 Raw'!AD22</f>
        <v>0.96079400000000004</v>
      </c>
      <c r="AB31" s="218">
        <f>'AEO 2023 Table 59 Raw'!AE22</f>
        <v>0.86140899999999998</v>
      </c>
      <c r="AC31" s="218">
        <f>'AEO 2023 Table 59 Raw'!AF22</f>
        <v>0.83160999999999996</v>
      </c>
      <c r="AD31" s="218">
        <f>'AEO 2023 Table 59 Raw'!AG22</f>
        <v>0.97150899999999996</v>
      </c>
      <c r="AE31" s="218">
        <f>'AEO 2023 Table 59 Raw'!AH22</f>
        <v>1.0469170000000001</v>
      </c>
      <c r="AF31" s="256">
        <f>'AEO 2023 Table 59 Raw'!AI22</f>
        <v>0.02</v>
      </c>
    </row>
    <row r="32" spans="1:32" ht="12" customHeight="1" x14ac:dyDescent="0.25">
      <c r="A32" s="213" t="s">
        <v>767</v>
      </c>
      <c r="B32" s="212" t="s">
        <v>668</v>
      </c>
      <c r="C32" s="218">
        <f>'AEO 2023 Table 59 Raw'!F23</f>
        <v>9.306E-3</v>
      </c>
      <c r="D32" s="218">
        <f>'AEO 2023 Table 59 Raw'!G23</f>
        <v>3.967E-3</v>
      </c>
      <c r="E32" s="218">
        <f>'AEO 2023 Table 59 Raw'!H23</f>
        <v>3.6800000000000001E-3</v>
      </c>
      <c r="F32" s="218">
        <f>'AEO 2023 Table 59 Raw'!I23</f>
        <v>3.434E-3</v>
      </c>
      <c r="G32" s="218">
        <f>'AEO 2023 Table 59 Raw'!J23</f>
        <v>3.2209999999999999E-3</v>
      </c>
      <c r="H32" s="218">
        <f>'AEO 2023 Table 59 Raw'!K23</f>
        <v>3.0339999999999998E-3</v>
      </c>
      <c r="I32" s="218">
        <f>'AEO 2023 Table 59 Raw'!L23</f>
        <v>0.12696199999999999</v>
      </c>
      <c r="J32" s="218">
        <f>'AEO 2023 Table 59 Raw'!M23</f>
        <v>0.19110099999999999</v>
      </c>
      <c r="K32" s="218">
        <f>'AEO 2023 Table 59 Raw'!N23</f>
        <v>0.21659999999999999</v>
      </c>
      <c r="L32" s="218">
        <f>'AEO 2023 Table 59 Raw'!O23</f>
        <v>0.23030200000000001</v>
      </c>
      <c r="M32" s="218">
        <f>'AEO 2023 Table 59 Raw'!P23</f>
        <v>0.23567399999999999</v>
      </c>
      <c r="N32" s="218">
        <f>'AEO 2023 Table 59 Raw'!Q23</f>
        <v>0.238311</v>
      </c>
      <c r="O32" s="218">
        <f>'AEO 2023 Table 59 Raw'!R23</f>
        <v>0.23499400000000001</v>
      </c>
      <c r="P32" s="218">
        <f>'AEO 2023 Table 59 Raw'!S23</f>
        <v>0.21959600000000001</v>
      </c>
      <c r="Q32" s="218">
        <f>'AEO 2023 Table 59 Raw'!T23</f>
        <v>0.228685</v>
      </c>
      <c r="R32" s="218">
        <f>'AEO 2023 Table 59 Raw'!U23</f>
        <v>0.220081</v>
      </c>
      <c r="S32" s="218">
        <f>'AEO 2023 Table 59 Raw'!V23</f>
        <v>0.19885900000000001</v>
      </c>
      <c r="T32" s="218">
        <f>'AEO 2023 Table 59 Raw'!W23</f>
        <v>0.21046500000000001</v>
      </c>
      <c r="U32" s="218">
        <f>'AEO 2023 Table 59 Raw'!X23</f>
        <v>0.215057</v>
      </c>
      <c r="V32" s="218">
        <f>'AEO 2023 Table 59 Raw'!Y23</f>
        <v>0.23132</v>
      </c>
      <c r="W32" s="218">
        <f>'AEO 2023 Table 59 Raw'!Z23</f>
        <v>0.22421099999999999</v>
      </c>
      <c r="X32" s="218">
        <f>'AEO 2023 Table 59 Raw'!AA23</f>
        <v>0.20927200000000001</v>
      </c>
      <c r="Y32" s="218">
        <f>'AEO 2023 Table 59 Raw'!AB23</f>
        <v>0.21968399999999999</v>
      </c>
      <c r="Z32" s="218">
        <f>'AEO 2023 Table 59 Raw'!AC23</f>
        <v>0.230716</v>
      </c>
      <c r="AA32" s="218">
        <f>'AEO 2023 Table 59 Raw'!AD23</f>
        <v>0.21377199999999999</v>
      </c>
      <c r="AB32" s="218">
        <f>'AEO 2023 Table 59 Raw'!AE23</f>
        <v>0.20124400000000001</v>
      </c>
      <c r="AC32" s="218">
        <f>'AEO 2023 Table 59 Raw'!AF23</f>
        <v>0.26888200000000001</v>
      </c>
      <c r="AD32" s="218">
        <f>'AEO 2023 Table 59 Raw'!AG23</f>
        <v>0.26863199999999998</v>
      </c>
      <c r="AE32" s="218">
        <f>'AEO 2023 Table 59 Raw'!AH23</f>
        <v>0.24846299999999999</v>
      </c>
      <c r="AF32" s="256">
        <f>'AEO 2023 Table 59 Raw'!AI23</f>
        <v>0.124</v>
      </c>
    </row>
    <row r="33" spans="1:32" ht="12" customHeight="1" x14ac:dyDescent="0.25">
      <c r="A33" s="213" t="s">
        <v>766</v>
      </c>
      <c r="B33" s="212" t="s">
        <v>693</v>
      </c>
      <c r="C33" s="218">
        <f>'AEO 2023 Table 59 Raw'!F24</f>
        <v>3.2290000000000001E-3</v>
      </c>
      <c r="D33" s="218">
        <f>'AEO 2023 Table 59 Raw'!G24</f>
        <v>3.0379999999999999E-3</v>
      </c>
      <c r="E33" s="218">
        <f>'AEO 2023 Table 59 Raw'!H24</f>
        <v>2.8189999999999999E-3</v>
      </c>
      <c r="F33" s="218">
        <f>'AEO 2023 Table 59 Raw'!I24</f>
        <v>2.63E-3</v>
      </c>
      <c r="G33" s="218">
        <f>'AEO 2023 Table 59 Raw'!J24</f>
        <v>2.467E-3</v>
      </c>
      <c r="H33" s="218">
        <f>'AEO 2023 Table 59 Raw'!K24</f>
        <v>2.3240000000000001E-3</v>
      </c>
      <c r="I33" s="218">
        <f>'AEO 2023 Table 59 Raw'!L24</f>
        <v>2.1979999999999999E-3</v>
      </c>
      <c r="J33" s="218">
        <f>'AEO 2023 Table 59 Raw'!M24</f>
        <v>2.0860000000000002E-3</v>
      </c>
      <c r="K33" s="218">
        <f>'AEO 2023 Table 59 Raw'!N24</f>
        <v>1.9849999999999998E-3</v>
      </c>
      <c r="L33" s="218">
        <f>'AEO 2023 Table 59 Raw'!O24</f>
        <v>1.895E-3</v>
      </c>
      <c r="M33" s="218">
        <f>'AEO 2023 Table 59 Raw'!P24</f>
        <v>1.8140000000000001E-3</v>
      </c>
      <c r="N33" s="218">
        <f>'AEO 2023 Table 59 Raw'!Q24</f>
        <v>1.7390000000000001E-3</v>
      </c>
      <c r="O33" s="218">
        <f>'AEO 2023 Table 59 Raw'!R24</f>
        <v>1.6720000000000001E-3</v>
      </c>
      <c r="P33" s="218">
        <f>'AEO 2023 Table 59 Raw'!S24</f>
        <v>1.609E-3</v>
      </c>
      <c r="Q33" s="218">
        <f>'AEO 2023 Table 59 Raw'!T24</f>
        <v>1.552E-3</v>
      </c>
      <c r="R33" s="218">
        <f>'AEO 2023 Table 59 Raw'!U24</f>
        <v>1.5E-3</v>
      </c>
      <c r="S33" s="218">
        <f>'AEO 2023 Table 59 Raw'!V24</f>
        <v>1.451E-3</v>
      </c>
      <c r="T33" s="218">
        <f>'AEO 2023 Table 59 Raw'!W24</f>
        <v>1.405E-3</v>
      </c>
      <c r="U33" s="218">
        <f>'AEO 2023 Table 59 Raw'!X24</f>
        <v>1.3630000000000001E-3</v>
      </c>
      <c r="V33" s="218">
        <f>'AEO 2023 Table 59 Raw'!Y24</f>
        <v>1.3240000000000001E-3</v>
      </c>
      <c r="W33" s="218">
        <f>'AEO 2023 Table 59 Raw'!Z24</f>
        <v>1.2869999999999999E-3</v>
      </c>
      <c r="X33" s="218">
        <f>'AEO 2023 Table 59 Raw'!AA24</f>
        <v>1.2520000000000001E-3</v>
      </c>
      <c r="Y33" s="218">
        <f>'AEO 2023 Table 59 Raw'!AB24</f>
        <v>1.2199999999999999E-3</v>
      </c>
      <c r="Z33" s="218">
        <f>'AEO 2023 Table 59 Raw'!AC24</f>
        <v>1.189E-3</v>
      </c>
      <c r="AA33" s="218">
        <f>'AEO 2023 Table 59 Raw'!AD24</f>
        <v>1.16E-3</v>
      </c>
      <c r="AB33" s="218">
        <f>'AEO 2023 Table 59 Raw'!AE24</f>
        <v>1.1329999999999999E-3</v>
      </c>
      <c r="AC33" s="218">
        <f>'AEO 2023 Table 59 Raw'!AF24</f>
        <v>1.1069999999999999E-3</v>
      </c>
      <c r="AD33" s="218">
        <f>'AEO 2023 Table 59 Raw'!AG24</f>
        <v>1.083E-3</v>
      </c>
      <c r="AE33" s="218">
        <f>'AEO 2023 Table 59 Raw'!AH24</f>
        <v>1.06E-3</v>
      </c>
      <c r="AF33" s="256">
        <f>'AEO 2023 Table 59 Raw'!AI24</f>
        <v>-3.9E-2</v>
      </c>
    </row>
    <row r="34" spans="1:32" ht="12" customHeight="1" x14ac:dyDescent="0.25">
      <c r="A34" s="213" t="s">
        <v>765</v>
      </c>
      <c r="B34" s="212" t="s">
        <v>691</v>
      </c>
      <c r="C34" s="218">
        <f>'AEO 2023 Table 59 Raw'!F25</f>
        <v>6.0769999999999999E-3</v>
      </c>
      <c r="D34" s="218">
        <f>'AEO 2023 Table 59 Raw'!G25</f>
        <v>9.2900000000000003E-4</v>
      </c>
      <c r="E34" s="218">
        <f>'AEO 2023 Table 59 Raw'!H25</f>
        <v>8.6200000000000003E-4</v>
      </c>
      <c r="F34" s="218">
        <f>'AEO 2023 Table 59 Raw'!I25</f>
        <v>8.0400000000000003E-4</v>
      </c>
      <c r="G34" s="218">
        <f>'AEO 2023 Table 59 Raw'!J25</f>
        <v>7.54E-4</v>
      </c>
      <c r="H34" s="218">
        <f>'AEO 2023 Table 59 Raw'!K25</f>
        <v>7.1100000000000004E-4</v>
      </c>
      <c r="I34" s="218">
        <f>'AEO 2023 Table 59 Raw'!L25</f>
        <v>0.124764</v>
      </c>
      <c r="J34" s="218">
        <f>'AEO 2023 Table 59 Raw'!M25</f>
        <v>0.18901499999999999</v>
      </c>
      <c r="K34" s="218">
        <f>'AEO 2023 Table 59 Raw'!N25</f>
        <v>0.214615</v>
      </c>
      <c r="L34" s="218">
        <f>'AEO 2023 Table 59 Raw'!O25</f>
        <v>0.228407</v>
      </c>
      <c r="M34" s="218">
        <f>'AEO 2023 Table 59 Raw'!P25</f>
        <v>0.23386000000000001</v>
      </c>
      <c r="N34" s="218">
        <f>'AEO 2023 Table 59 Raw'!Q25</f>
        <v>0.236571</v>
      </c>
      <c r="O34" s="218">
        <f>'AEO 2023 Table 59 Raw'!R25</f>
        <v>0.233322</v>
      </c>
      <c r="P34" s="218">
        <f>'AEO 2023 Table 59 Raw'!S25</f>
        <v>0.21798699999999999</v>
      </c>
      <c r="Q34" s="218">
        <f>'AEO 2023 Table 59 Raw'!T25</f>
        <v>0.227133</v>
      </c>
      <c r="R34" s="218">
        <f>'AEO 2023 Table 59 Raw'!U25</f>
        <v>0.218582</v>
      </c>
      <c r="S34" s="218">
        <f>'AEO 2023 Table 59 Raw'!V25</f>
        <v>0.197408</v>
      </c>
      <c r="T34" s="218">
        <f>'AEO 2023 Table 59 Raw'!W25</f>
        <v>0.20906</v>
      </c>
      <c r="U34" s="218">
        <f>'AEO 2023 Table 59 Raw'!X25</f>
        <v>0.213694</v>
      </c>
      <c r="V34" s="218">
        <f>'AEO 2023 Table 59 Raw'!Y25</f>
        <v>0.22999600000000001</v>
      </c>
      <c r="W34" s="218">
        <f>'AEO 2023 Table 59 Raw'!Z25</f>
        <v>0.22292400000000001</v>
      </c>
      <c r="X34" s="218">
        <f>'AEO 2023 Table 59 Raw'!AA25</f>
        <v>0.20801900000000001</v>
      </c>
      <c r="Y34" s="218">
        <f>'AEO 2023 Table 59 Raw'!AB25</f>
        <v>0.21846499999999999</v>
      </c>
      <c r="Z34" s="218">
        <f>'AEO 2023 Table 59 Raw'!AC25</f>
        <v>0.22952700000000001</v>
      </c>
      <c r="AA34" s="218">
        <f>'AEO 2023 Table 59 Raw'!AD25</f>
        <v>0.21261099999999999</v>
      </c>
      <c r="AB34" s="218">
        <f>'AEO 2023 Table 59 Raw'!AE25</f>
        <v>0.20011100000000001</v>
      </c>
      <c r="AC34" s="218">
        <f>'AEO 2023 Table 59 Raw'!AF25</f>
        <v>0.26777400000000001</v>
      </c>
      <c r="AD34" s="218">
        <f>'AEO 2023 Table 59 Raw'!AG25</f>
        <v>0.26754899999999998</v>
      </c>
      <c r="AE34" s="218">
        <f>'AEO 2023 Table 59 Raw'!AH25</f>
        <v>0.24740300000000001</v>
      </c>
      <c r="AF34" s="256">
        <f>'AEO 2023 Table 59 Raw'!AI25</f>
        <v>0.14199999999999999</v>
      </c>
    </row>
    <row r="35" spans="1:32" ht="12" customHeight="1" x14ac:dyDescent="0.25">
      <c r="A35" s="213" t="s">
        <v>764</v>
      </c>
      <c r="B35" s="212" t="s">
        <v>666</v>
      </c>
      <c r="C35" s="218">
        <f>'AEO 2023 Table 59 Raw'!F26</f>
        <v>0</v>
      </c>
      <c r="D35" s="218">
        <f>'AEO 2023 Table 59 Raw'!G26</f>
        <v>0</v>
      </c>
      <c r="E35" s="218">
        <f>'AEO 2023 Table 59 Raw'!H26</f>
        <v>0</v>
      </c>
      <c r="F35" s="218">
        <f>'AEO 2023 Table 59 Raw'!I26</f>
        <v>0</v>
      </c>
      <c r="G35" s="218">
        <f>'AEO 2023 Table 59 Raw'!J26</f>
        <v>0</v>
      </c>
      <c r="H35" s="218">
        <f>'AEO 2023 Table 59 Raw'!K26</f>
        <v>0</v>
      </c>
      <c r="I35" s="218">
        <f>'AEO 2023 Table 59 Raw'!L26</f>
        <v>0</v>
      </c>
      <c r="J35" s="218">
        <f>'AEO 2023 Table 59 Raw'!M26</f>
        <v>0</v>
      </c>
      <c r="K35" s="218">
        <f>'AEO 2023 Table 59 Raw'!N26</f>
        <v>0</v>
      </c>
      <c r="L35" s="218">
        <f>'AEO 2023 Table 59 Raw'!O26</f>
        <v>0</v>
      </c>
      <c r="M35" s="218">
        <f>'AEO 2023 Table 59 Raw'!P26</f>
        <v>0</v>
      </c>
      <c r="N35" s="218">
        <f>'AEO 2023 Table 59 Raw'!Q26</f>
        <v>0</v>
      </c>
      <c r="O35" s="218">
        <f>'AEO 2023 Table 59 Raw'!R26</f>
        <v>0</v>
      </c>
      <c r="P35" s="218">
        <f>'AEO 2023 Table 59 Raw'!S26</f>
        <v>0</v>
      </c>
      <c r="Q35" s="218">
        <f>'AEO 2023 Table 59 Raw'!T26</f>
        <v>0</v>
      </c>
      <c r="R35" s="218">
        <f>'AEO 2023 Table 59 Raw'!U26</f>
        <v>0</v>
      </c>
      <c r="S35" s="218">
        <f>'AEO 2023 Table 59 Raw'!V26</f>
        <v>0</v>
      </c>
      <c r="T35" s="218">
        <f>'AEO 2023 Table 59 Raw'!W26</f>
        <v>0</v>
      </c>
      <c r="U35" s="218">
        <f>'AEO 2023 Table 59 Raw'!X26</f>
        <v>0</v>
      </c>
      <c r="V35" s="218">
        <f>'AEO 2023 Table 59 Raw'!Y26</f>
        <v>0</v>
      </c>
      <c r="W35" s="218">
        <f>'AEO 2023 Table 59 Raw'!Z26</f>
        <v>0</v>
      </c>
      <c r="X35" s="218">
        <f>'AEO 2023 Table 59 Raw'!AA26</f>
        <v>0</v>
      </c>
      <c r="Y35" s="218">
        <f>'AEO 2023 Table 59 Raw'!AB26</f>
        <v>0</v>
      </c>
      <c r="Z35" s="218">
        <f>'AEO 2023 Table 59 Raw'!AC26</f>
        <v>0</v>
      </c>
      <c r="AA35" s="218">
        <f>'AEO 2023 Table 59 Raw'!AD26</f>
        <v>0</v>
      </c>
      <c r="AB35" s="218">
        <f>'AEO 2023 Table 59 Raw'!AE26</f>
        <v>0</v>
      </c>
      <c r="AC35" s="218">
        <f>'AEO 2023 Table 59 Raw'!AF26</f>
        <v>0</v>
      </c>
      <c r="AD35" s="218">
        <f>'AEO 2023 Table 59 Raw'!AG26</f>
        <v>0</v>
      </c>
      <c r="AE35" s="218">
        <f>'AEO 2023 Table 59 Raw'!AH26</f>
        <v>0</v>
      </c>
      <c r="AF35" s="256" t="str">
        <f>'AEO 2023 Table 59 Raw'!AI26</f>
        <v>- -</v>
      </c>
    </row>
    <row r="36" spans="1:32" ht="12" customHeight="1" x14ac:dyDescent="0.25">
      <c r="A36" s="213" t="s">
        <v>763</v>
      </c>
      <c r="B36" s="212" t="s">
        <v>693</v>
      </c>
      <c r="C36" s="218">
        <f>'AEO 2023 Table 59 Raw'!F27</f>
        <v>0</v>
      </c>
      <c r="D36" s="218">
        <f>'AEO 2023 Table 59 Raw'!G27</f>
        <v>0</v>
      </c>
      <c r="E36" s="218">
        <f>'AEO 2023 Table 59 Raw'!H27</f>
        <v>0</v>
      </c>
      <c r="F36" s="218">
        <f>'AEO 2023 Table 59 Raw'!I27</f>
        <v>0</v>
      </c>
      <c r="G36" s="218">
        <f>'AEO 2023 Table 59 Raw'!J27</f>
        <v>0</v>
      </c>
      <c r="H36" s="218">
        <f>'AEO 2023 Table 59 Raw'!K27</f>
        <v>0</v>
      </c>
      <c r="I36" s="218">
        <f>'AEO 2023 Table 59 Raw'!L27</f>
        <v>0</v>
      </c>
      <c r="J36" s="218">
        <f>'AEO 2023 Table 59 Raw'!M27</f>
        <v>0</v>
      </c>
      <c r="K36" s="218">
        <f>'AEO 2023 Table 59 Raw'!N27</f>
        <v>0</v>
      </c>
      <c r="L36" s="218">
        <f>'AEO 2023 Table 59 Raw'!O27</f>
        <v>0</v>
      </c>
      <c r="M36" s="218">
        <f>'AEO 2023 Table 59 Raw'!P27</f>
        <v>0</v>
      </c>
      <c r="N36" s="218">
        <f>'AEO 2023 Table 59 Raw'!Q27</f>
        <v>0</v>
      </c>
      <c r="O36" s="218">
        <f>'AEO 2023 Table 59 Raw'!R27</f>
        <v>0</v>
      </c>
      <c r="P36" s="218">
        <f>'AEO 2023 Table 59 Raw'!S27</f>
        <v>0</v>
      </c>
      <c r="Q36" s="218">
        <f>'AEO 2023 Table 59 Raw'!T27</f>
        <v>0</v>
      </c>
      <c r="R36" s="218">
        <f>'AEO 2023 Table 59 Raw'!U27</f>
        <v>0</v>
      </c>
      <c r="S36" s="218">
        <f>'AEO 2023 Table 59 Raw'!V27</f>
        <v>0</v>
      </c>
      <c r="T36" s="218">
        <f>'AEO 2023 Table 59 Raw'!W27</f>
        <v>0</v>
      </c>
      <c r="U36" s="218">
        <f>'AEO 2023 Table 59 Raw'!X27</f>
        <v>0</v>
      </c>
      <c r="V36" s="218">
        <f>'AEO 2023 Table 59 Raw'!Y27</f>
        <v>0</v>
      </c>
      <c r="W36" s="218">
        <f>'AEO 2023 Table 59 Raw'!Z27</f>
        <v>0</v>
      </c>
      <c r="X36" s="218">
        <f>'AEO 2023 Table 59 Raw'!AA27</f>
        <v>0</v>
      </c>
      <c r="Y36" s="218">
        <f>'AEO 2023 Table 59 Raw'!AB27</f>
        <v>0</v>
      </c>
      <c r="Z36" s="218">
        <f>'AEO 2023 Table 59 Raw'!AC27</f>
        <v>0</v>
      </c>
      <c r="AA36" s="218">
        <f>'AEO 2023 Table 59 Raw'!AD27</f>
        <v>0</v>
      </c>
      <c r="AB36" s="218">
        <f>'AEO 2023 Table 59 Raw'!AE27</f>
        <v>0</v>
      </c>
      <c r="AC36" s="218">
        <f>'AEO 2023 Table 59 Raw'!AF27</f>
        <v>0</v>
      </c>
      <c r="AD36" s="218">
        <f>'AEO 2023 Table 59 Raw'!AG27</f>
        <v>0</v>
      </c>
      <c r="AE36" s="218">
        <f>'AEO 2023 Table 59 Raw'!AH27</f>
        <v>0</v>
      </c>
      <c r="AF36" s="256" t="str">
        <f>'AEO 2023 Table 59 Raw'!AI27</f>
        <v>- -</v>
      </c>
    </row>
    <row r="37" spans="1:32" ht="12" customHeight="1" x14ac:dyDescent="0.25">
      <c r="A37" s="213" t="s">
        <v>762</v>
      </c>
      <c r="B37" s="212" t="s">
        <v>691</v>
      </c>
      <c r="C37" s="218">
        <f>'AEO 2023 Table 59 Raw'!F28</f>
        <v>0</v>
      </c>
      <c r="D37" s="218">
        <f>'AEO 2023 Table 59 Raw'!G28</f>
        <v>0</v>
      </c>
      <c r="E37" s="218">
        <f>'AEO 2023 Table 59 Raw'!H28</f>
        <v>0</v>
      </c>
      <c r="F37" s="218">
        <f>'AEO 2023 Table 59 Raw'!I28</f>
        <v>0</v>
      </c>
      <c r="G37" s="218">
        <f>'AEO 2023 Table 59 Raw'!J28</f>
        <v>0</v>
      </c>
      <c r="H37" s="218">
        <f>'AEO 2023 Table 59 Raw'!K28</f>
        <v>0</v>
      </c>
      <c r="I37" s="218">
        <f>'AEO 2023 Table 59 Raw'!L28</f>
        <v>0</v>
      </c>
      <c r="J37" s="218">
        <f>'AEO 2023 Table 59 Raw'!M28</f>
        <v>0</v>
      </c>
      <c r="K37" s="218">
        <f>'AEO 2023 Table 59 Raw'!N28</f>
        <v>0</v>
      </c>
      <c r="L37" s="218">
        <f>'AEO 2023 Table 59 Raw'!O28</f>
        <v>0</v>
      </c>
      <c r="M37" s="218">
        <f>'AEO 2023 Table 59 Raw'!P28</f>
        <v>0</v>
      </c>
      <c r="N37" s="218">
        <f>'AEO 2023 Table 59 Raw'!Q28</f>
        <v>0</v>
      </c>
      <c r="O37" s="218">
        <f>'AEO 2023 Table 59 Raw'!R28</f>
        <v>0</v>
      </c>
      <c r="P37" s="218">
        <f>'AEO 2023 Table 59 Raw'!S28</f>
        <v>0</v>
      </c>
      <c r="Q37" s="218">
        <f>'AEO 2023 Table 59 Raw'!T28</f>
        <v>0</v>
      </c>
      <c r="R37" s="218">
        <f>'AEO 2023 Table 59 Raw'!U28</f>
        <v>0</v>
      </c>
      <c r="S37" s="218">
        <f>'AEO 2023 Table 59 Raw'!V28</f>
        <v>0</v>
      </c>
      <c r="T37" s="218">
        <f>'AEO 2023 Table 59 Raw'!W28</f>
        <v>0</v>
      </c>
      <c r="U37" s="218">
        <f>'AEO 2023 Table 59 Raw'!X28</f>
        <v>0</v>
      </c>
      <c r="V37" s="218">
        <f>'AEO 2023 Table 59 Raw'!Y28</f>
        <v>0</v>
      </c>
      <c r="W37" s="218">
        <f>'AEO 2023 Table 59 Raw'!Z28</f>
        <v>0</v>
      </c>
      <c r="X37" s="218">
        <f>'AEO 2023 Table 59 Raw'!AA28</f>
        <v>0</v>
      </c>
      <c r="Y37" s="218">
        <f>'AEO 2023 Table 59 Raw'!AB28</f>
        <v>0</v>
      </c>
      <c r="Z37" s="218">
        <f>'AEO 2023 Table 59 Raw'!AC28</f>
        <v>0</v>
      </c>
      <c r="AA37" s="218">
        <f>'AEO 2023 Table 59 Raw'!AD28</f>
        <v>0</v>
      </c>
      <c r="AB37" s="218">
        <f>'AEO 2023 Table 59 Raw'!AE28</f>
        <v>0</v>
      </c>
      <c r="AC37" s="218">
        <f>'AEO 2023 Table 59 Raw'!AF28</f>
        <v>0</v>
      </c>
      <c r="AD37" s="218">
        <f>'AEO 2023 Table 59 Raw'!AG28</f>
        <v>0</v>
      </c>
      <c r="AE37" s="218">
        <f>'AEO 2023 Table 59 Raw'!AH28</f>
        <v>0</v>
      </c>
      <c r="AF37" s="256" t="str">
        <f>'AEO 2023 Table 59 Raw'!AI28</f>
        <v>- -</v>
      </c>
    </row>
    <row r="38" spans="1:32" ht="12" customHeight="1" x14ac:dyDescent="0.2">
      <c r="C38" s="218"/>
      <c r="D38" s="218"/>
      <c r="E38" s="218"/>
      <c r="F38" s="218"/>
      <c r="G38" s="218"/>
      <c r="H38" s="218"/>
      <c r="I38" s="218"/>
      <c r="J38" s="218"/>
      <c r="K38" s="218"/>
      <c r="L38" s="218"/>
      <c r="M38" s="218"/>
      <c r="N38" s="218"/>
      <c r="O38" s="218"/>
      <c r="P38" s="218"/>
      <c r="Q38" s="218"/>
      <c r="R38" s="218"/>
      <c r="S38" s="218"/>
      <c r="T38" s="218"/>
      <c r="U38" s="218"/>
      <c r="V38" s="218"/>
      <c r="W38" s="218"/>
      <c r="X38" s="218"/>
      <c r="Y38" s="218"/>
      <c r="Z38" s="218"/>
      <c r="AA38" s="218"/>
      <c r="AB38" s="218"/>
      <c r="AC38" s="218"/>
      <c r="AD38" s="218"/>
      <c r="AE38" s="218"/>
      <c r="AF38" s="256"/>
    </row>
    <row r="39" spans="1:32" ht="12" customHeight="1" x14ac:dyDescent="0.2">
      <c r="C39" s="218"/>
      <c r="D39" s="218"/>
      <c r="E39" s="218"/>
      <c r="F39" s="218"/>
      <c r="G39" s="218"/>
      <c r="H39" s="218"/>
      <c r="I39" s="218"/>
      <c r="J39" s="218"/>
      <c r="K39" s="218"/>
      <c r="L39" s="218"/>
      <c r="M39" s="218"/>
      <c r="N39" s="218"/>
      <c r="O39" s="218"/>
      <c r="P39" s="218"/>
      <c r="Q39" s="218"/>
      <c r="R39" s="218"/>
      <c r="S39" s="218"/>
      <c r="T39" s="218"/>
      <c r="U39" s="218"/>
      <c r="V39" s="218"/>
      <c r="W39" s="218"/>
      <c r="X39" s="218"/>
      <c r="Y39" s="218"/>
      <c r="Z39" s="218"/>
      <c r="AA39" s="218"/>
      <c r="AB39" s="218"/>
      <c r="AC39" s="218"/>
      <c r="AD39" s="218"/>
      <c r="AE39" s="218"/>
      <c r="AF39" s="256"/>
    </row>
    <row r="40" spans="1:32" ht="12" customHeight="1" x14ac:dyDescent="0.2">
      <c r="B40" s="216" t="s">
        <v>761</v>
      </c>
      <c r="C40" s="218"/>
      <c r="D40" s="218"/>
      <c r="E40" s="218"/>
      <c r="F40" s="218"/>
      <c r="G40" s="218"/>
      <c r="H40" s="218"/>
      <c r="I40" s="218"/>
      <c r="J40" s="218"/>
      <c r="K40" s="218"/>
      <c r="L40" s="218"/>
      <c r="M40" s="218"/>
      <c r="N40" s="218"/>
      <c r="O40" s="218"/>
      <c r="P40" s="218"/>
      <c r="Q40" s="218"/>
      <c r="R40" s="218"/>
      <c r="S40" s="218"/>
      <c r="T40" s="218"/>
      <c r="U40" s="218"/>
      <c r="V40" s="218"/>
      <c r="W40" s="218"/>
      <c r="X40" s="218"/>
      <c r="Y40" s="218"/>
      <c r="Z40" s="218"/>
      <c r="AA40" s="218"/>
      <c r="AB40" s="218"/>
      <c r="AC40" s="218"/>
      <c r="AD40" s="218"/>
      <c r="AE40" s="218"/>
      <c r="AF40" s="256"/>
    </row>
    <row r="41" spans="1:32" ht="12" customHeight="1" x14ac:dyDescent="0.2">
      <c r="B41" s="216" t="s">
        <v>760</v>
      </c>
      <c r="C41" s="218"/>
      <c r="D41" s="218"/>
      <c r="E41" s="218"/>
      <c r="F41" s="218"/>
      <c r="G41" s="218"/>
      <c r="H41" s="218"/>
      <c r="I41" s="218"/>
      <c r="J41" s="218"/>
      <c r="K41" s="218"/>
      <c r="L41" s="218"/>
      <c r="M41" s="218"/>
      <c r="N41" s="218"/>
      <c r="O41" s="218"/>
      <c r="P41" s="218"/>
      <c r="Q41" s="218"/>
      <c r="R41" s="218"/>
      <c r="S41" s="218"/>
      <c r="T41" s="218"/>
      <c r="U41" s="218"/>
      <c r="V41" s="218"/>
      <c r="W41" s="218"/>
      <c r="X41" s="218"/>
      <c r="Y41" s="218"/>
      <c r="Z41" s="218"/>
      <c r="AA41" s="218"/>
      <c r="AB41" s="218"/>
      <c r="AC41" s="218"/>
      <c r="AD41" s="218"/>
      <c r="AE41" s="218"/>
      <c r="AF41" s="256"/>
    </row>
    <row r="42" spans="1:32" ht="12" customHeight="1" x14ac:dyDescent="0.25">
      <c r="A42" s="213" t="s">
        <v>759</v>
      </c>
      <c r="B42" s="212" t="s">
        <v>758</v>
      </c>
      <c r="C42" s="218">
        <f>'AEO 2023 Table 59 Raw'!F31</f>
        <v>6.5239969999999996</v>
      </c>
      <c r="D42" s="218">
        <f>'AEO 2023 Table 59 Raw'!G31</f>
        <v>5.2663760000000002</v>
      </c>
      <c r="E42" s="218">
        <f>'AEO 2023 Table 59 Raw'!H31</f>
        <v>4.072381</v>
      </c>
      <c r="F42" s="218">
        <f>'AEO 2023 Table 59 Raw'!I31</f>
        <v>3.4895139999999998</v>
      </c>
      <c r="G42" s="218">
        <f>'AEO 2023 Table 59 Raw'!J31</f>
        <v>3.0655079999999999</v>
      </c>
      <c r="H42" s="218">
        <f>'AEO 2023 Table 59 Raw'!K31</f>
        <v>2.8530009999999999</v>
      </c>
      <c r="I42" s="218">
        <f>'AEO 2023 Table 59 Raw'!L31</f>
        <v>2.7999040000000002</v>
      </c>
      <c r="J42" s="218">
        <f>'AEO 2023 Table 59 Raw'!M31</f>
        <v>2.825097</v>
      </c>
      <c r="K42" s="218">
        <f>'AEO 2023 Table 59 Raw'!N31</f>
        <v>2.91248</v>
      </c>
      <c r="L42" s="218">
        <f>'AEO 2023 Table 59 Raw'!O31</f>
        <v>3.043758</v>
      </c>
      <c r="M42" s="218">
        <f>'AEO 2023 Table 59 Raw'!P31</f>
        <v>3.2080039999999999</v>
      </c>
      <c r="N42" s="218">
        <f>'AEO 2023 Table 59 Raw'!Q31</f>
        <v>3.4169179999999999</v>
      </c>
      <c r="O42" s="218">
        <f>'AEO 2023 Table 59 Raw'!R31</f>
        <v>3.5694300000000001</v>
      </c>
      <c r="P42" s="218">
        <f>'AEO 2023 Table 59 Raw'!S31</f>
        <v>3.6818240000000002</v>
      </c>
      <c r="Q42" s="218">
        <f>'AEO 2023 Table 59 Raw'!T31</f>
        <v>3.6941549999999999</v>
      </c>
      <c r="R42" s="218">
        <f>'AEO 2023 Table 59 Raw'!U31</f>
        <v>3.7375959999999999</v>
      </c>
      <c r="S42" s="218">
        <f>'AEO 2023 Table 59 Raw'!V31</f>
        <v>3.8665609999999999</v>
      </c>
      <c r="T42" s="218">
        <f>'AEO 2023 Table 59 Raw'!W31</f>
        <v>3.78878</v>
      </c>
      <c r="U42" s="218">
        <f>'AEO 2023 Table 59 Raw'!X31</f>
        <v>3.9380649999999999</v>
      </c>
      <c r="V42" s="218">
        <f>'AEO 2023 Table 59 Raw'!Y31</f>
        <v>4.0221549999999997</v>
      </c>
      <c r="W42" s="218">
        <f>'AEO 2023 Table 59 Raw'!Z31</f>
        <v>4.0147370000000002</v>
      </c>
      <c r="X42" s="218">
        <f>'AEO 2023 Table 59 Raw'!AA31</f>
        <v>3.9506160000000001</v>
      </c>
      <c r="Y42" s="218">
        <f>'AEO 2023 Table 59 Raw'!AB31</f>
        <v>3.9137680000000001</v>
      </c>
      <c r="Z42" s="218">
        <f>'AEO 2023 Table 59 Raw'!AC31</f>
        <v>3.9107059999999998</v>
      </c>
      <c r="AA42" s="218">
        <f>'AEO 2023 Table 59 Raw'!AD31</f>
        <v>3.9070830000000001</v>
      </c>
      <c r="AB42" s="218">
        <f>'AEO 2023 Table 59 Raw'!AE31</f>
        <v>3.8707060000000002</v>
      </c>
      <c r="AC42" s="218">
        <f>'AEO 2023 Table 59 Raw'!AF31</f>
        <v>3.849094</v>
      </c>
      <c r="AD42" s="218">
        <f>'AEO 2023 Table 59 Raw'!AG31</f>
        <v>3.7838949999999998</v>
      </c>
      <c r="AE42" s="218">
        <f>'AEO 2023 Table 59 Raw'!AH31</f>
        <v>3.7710149999999998</v>
      </c>
      <c r="AF42" s="256">
        <f>'AEO 2023 Table 59 Raw'!AI31</f>
        <v>-1.9E-2</v>
      </c>
    </row>
    <row r="43" spans="1:32" ht="12" customHeight="1" x14ac:dyDescent="0.25">
      <c r="A43" s="213" t="s">
        <v>757</v>
      </c>
      <c r="B43" s="212" t="s">
        <v>754</v>
      </c>
      <c r="C43" s="218">
        <f>'AEO 2023 Table 59 Raw'!F32</f>
        <v>5.108581</v>
      </c>
      <c r="D43" s="218">
        <f>'AEO 2023 Table 59 Raw'!G32</f>
        <v>4.4967220000000001</v>
      </c>
      <c r="E43" s="218">
        <f>'AEO 2023 Table 59 Raw'!H32</f>
        <v>3.4699879999999999</v>
      </c>
      <c r="F43" s="218">
        <f>'AEO 2023 Table 59 Raw'!I32</f>
        <v>2.892442</v>
      </c>
      <c r="G43" s="218">
        <f>'AEO 2023 Table 59 Raw'!J32</f>
        <v>2.4597579999999999</v>
      </c>
      <c r="H43" s="218">
        <f>'AEO 2023 Table 59 Raw'!K32</f>
        <v>2.2255189999999998</v>
      </c>
      <c r="I43" s="218">
        <f>'AEO 2023 Table 59 Raw'!L32</f>
        <v>2.1330260000000001</v>
      </c>
      <c r="J43" s="218">
        <f>'AEO 2023 Table 59 Raw'!M32</f>
        <v>2.1154679999999999</v>
      </c>
      <c r="K43" s="218">
        <f>'AEO 2023 Table 59 Raw'!N32</f>
        <v>2.1566519999999998</v>
      </c>
      <c r="L43" s="218">
        <f>'AEO 2023 Table 59 Raw'!O32</f>
        <v>2.2405629999999999</v>
      </c>
      <c r="M43" s="218">
        <f>'AEO 2023 Table 59 Raw'!P32</f>
        <v>2.33826</v>
      </c>
      <c r="N43" s="218">
        <f>'AEO 2023 Table 59 Raw'!Q32</f>
        <v>2.4639769999999999</v>
      </c>
      <c r="O43" s="218">
        <f>'AEO 2023 Table 59 Raw'!R32</f>
        <v>2.575345</v>
      </c>
      <c r="P43" s="218">
        <f>'AEO 2023 Table 59 Raw'!S32</f>
        <v>2.6765279999999998</v>
      </c>
      <c r="Q43" s="218">
        <f>'AEO 2023 Table 59 Raw'!T32</f>
        <v>2.713635</v>
      </c>
      <c r="R43" s="218">
        <f>'AEO 2023 Table 59 Raw'!U32</f>
        <v>2.761968</v>
      </c>
      <c r="S43" s="218">
        <f>'AEO 2023 Table 59 Raw'!V32</f>
        <v>2.8671609999999998</v>
      </c>
      <c r="T43" s="218">
        <f>'AEO 2023 Table 59 Raw'!W32</f>
        <v>2.848468</v>
      </c>
      <c r="U43" s="218">
        <f>'AEO 2023 Table 59 Raw'!X32</f>
        <v>2.9408919999999998</v>
      </c>
      <c r="V43" s="218">
        <f>'AEO 2023 Table 59 Raw'!Y32</f>
        <v>2.988464</v>
      </c>
      <c r="W43" s="218">
        <f>'AEO 2023 Table 59 Raw'!Z32</f>
        <v>2.962466</v>
      </c>
      <c r="X43" s="218">
        <f>'AEO 2023 Table 59 Raw'!AA32</f>
        <v>2.906876</v>
      </c>
      <c r="Y43" s="218">
        <f>'AEO 2023 Table 59 Raw'!AB32</f>
        <v>2.867534</v>
      </c>
      <c r="Z43" s="218">
        <f>'AEO 2023 Table 59 Raw'!AC32</f>
        <v>2.843702</v>
      </c>
      <c r="AA43" s="218">
        <f>'AEO 2023 Table 59 Raw'!AD32</f>
        <v>2.8171309999999998</v>
      </c>
      <c r="AB43" s="218">
        <f>'AEO 2023 Table 59 Raw'!AE32</f>
        <v>2.7773189999999999</v>
      </c>
      <c r="AC43" s="218">
        <f>'AEO 2023 Table 59 Raw'!AF32</f>
        <v>2.7427380000000001</v>
      </c>
      <c r="AD43" s="218">
        <f>'AEO 2023 Table 59 Raw'!AG32</f>
        <v>2.6932330000000002</v>
      </c>
      <c r="AE43" s="218">
        <f>'AEO 2023 Table 59 Raw'!AH32</f>
        <v>2.6760290000000002</v>
      </c>
      <c r="AF43" s="256">
        <f>'AEO 2023 Table 59 Raw'!AI32</f>
        <v>-2.3E-2</v>
      </c>
    </row>
    <row r="44" spans="1:32" ht="12" customHeight="1" x14ac:dyDescent="0.2">
      <c r="C44" s="218"/>
      <c r="D44" s="218"/>
      <c r="E44" s="218"/>
      <c r="F44" s="218"/>
      <c r="G44" s="218"/>
      <c r="H44" s="218"/>
      <c r="I44" s="218"/>
      <c r="J44" s="218"/>
      <c r="K44" s="218"/>
      <c r="L44" s="218"/>
      <c r="M44" s="218"/>
      <c r="N44" s="218"/>
      <c r="O44" s="218"/>
      <c r="P44" s="218"/>
      <c r="Q44" s="218"/>
      <c r="R44" s="218"/>
      <c r="S44" s="218"/>
      <c r="T44" s="218"/>
      <c r="U44" s="218"/>
      <c r="V44" s="218"/>
      <c r="W44" s="218"/>
      <c r="X44" s="218"/>
      <c r="Y44" s="218"/>
      <c r="Z44" s="218"/>
      <c r="AA44" s="218"/>
      <c r="AB44" s="218"/>
      <c r="AC44" s="218"/>
      <c r="AD44" s="218"/>
      <c r="AE44" s="218"/>
      <c r="AF44" s="256"/>
    </row>
    <row r="45" spans="1:32" ht="12" customHeight="1" x14ac:dyDescent="0.2">
      <c r="B45" s="216" t="s">
        <v>756</v>
      </c>
      <c r="C45" s="218"/>
      <c r="D45" s="218"/>
      <c r="E45" s="218"/>
      <c r="F45" s="218"/>
      <c r="G45" s="218"/>
      <c r="H45" s="218"/>
      <c r="I45" s="218"/>
      <c r="J45" s="218"/>
      <c r="K45" s="218"/>
      <c r="L45" s="218"/>
      <c r="M45" s="218"/>
      <c r="N45" s="218"/>
      <c r="O45" s="218"/>
      <c r="P45" s="218"/>
      <c r="Q45" s="218"/>
      <c r="R45" s="218"/>
      <c r="S45" s="218"/>
      <c r="T45" s="218"/>
      <c r="U45" s="218"/>
      <c r="V45" s="218"/>
      <c r="W45" s="218"/>
      <c r="X45" s="218"/>
      <c r="Y45" s="218"/>
      <c r="Z45" s="218"/>
      <c r="AA45" s="218"/>
      <c r="AB45" s="218"/>
      <c r="AC45" s="218"/>
      <c r="AD45" s="218"/>
      <c r="AE45" s="218"/>
      <c r="AF45" s="256"/>
    </row>
    <row r="46" spans="1:32" ht="12" customHeight="1" x14ac:dyDescent="0.25">
      <c r="A46" s="213" t="s">
        <v>755</v>
      </c>
      <c r="B46" s="212" t="s">
        <v>754</v>
      </c>
      <c r="C46" s="218">
        <f>'AEO 2023 Table 59 Raw'!F34</f>
        <v>5.2975979999999998</v>
      </c>
      <c r="D46" s="218">
        <f>'AEO 2023 Table 59 Raw'!G34</f>
        <v>4.6631</v>
      </c>
      <c r="E46" s="218">
        <f>'AEO 2023 Table 59 Raw'!H34</f>
        <v>3.5983779999999999</v>
      </c>
      <c r="F46" s="218">
        <f>'AEO 2023 Table 59 Raw'!I34</f>
        <v>2.9994619999999999</v>
      </c>
      <c r="G46" s="218">
        <f>'AEO 2023 Table 59 Raw'!J34</f>
        <v>2.5507680000000001</v>
      </c>
      <c r="H46" s="218">
        <f>'AEO 2023 Table 59 Raw'!K34</f>
        <v>2.3078630000000002</v>
      </c>
      <c r="I46" s="218">
        <f>'AEO 2023 Table 59 Raw'!L34</f>
        <v>2.211948</v>
      </c>
      <c r="J46" s="218">
        <f>'AEO 2023 Table 59 Raw'!M34</f>
        <v>2.19374</v>
      </c>
      <c r="K46" s="218">
        <f>'AEO 2023 Table 59 Raw'!N34</f>
        <v>2.2364480000000002</v>
      </c>
      <c r="L46" s="218">
        <f>'AEO 2023 Table 59 Raw'!O34</f>
        <v>2.323464</v>
      </c>
      <c r="M46" s="218">
        <f>'AEO 2023 Table 59 Raw'!P34</f>
        <v>2.424776</v>
      </c>
      <c r="N46" s="218">
        <f>'AEO 2023 Table 59 Raw'!Q34</f>
        <v>2.5551439999999999</v>
      </c>
      <c r="O46" s="218">
        <f>'AEO 2023 Table 59 Raw'!R34</f>
        <v>2.6706319999999999</v>
      </c>
      <c r="P46" s="218">
        <f>'AEO 2023 Table 59 Raw'!S34</f>
        <v>2.7755589999999999</v>
      </c>
      <c r="Q46" s="218">
        <f>'AEO 2023 Table 59 Raw'!T34</f>
        <v>2.8140399999999999</v>
      </c>
      <c r="R46" s="218">
        <f>'AEO 2023 Table 59 Raw'!U34</f>
        <v>2.8641610000000002</v>
      </c>
      <c r="S46" s="218">
        <f>'AEO 2023 Table 59 Raw'!V34</f>
        <v>2.9732460000000001</v>
      </c>
      <c r="T46" s="218">
        <f>'AEO 2023 Table 59 Raw'!W34</f>
        <v>2.9538609999999998</v>
      </c>
      <c r="U46" s="218">
        <f>'AEO 2023 Table 59 Raw'!X34</f>
        <v>3.0497040000000002</v>
      </c>
      <c r="V46" s="218">
        <f>'AEO 2023 Table 59 Raw'!Y34</f>
        <v>3.099037</v>
      </c>
      <c r="W46" s="218">
        <f>'AEO 2023 Table 59 Raw'!Z34</f>
        <v>3.0720770000000002</v>
      </c>
      <c r="X46" s="218">
        <f>'AEO 2023 Table 59 Raw'!AA34</f>
        <v>3.0144299999999999</v>
      </c>
      <c r="Y46" s="218">
        <f>'AEO 2023 Table 59 Raw'!AB34</f>
        <v>2.973633</v>
      </c>
      <c r="Z46" s="218">
        <f>'AEO 2023 Table 59 Raw'!AC34</f>
        <v>2.9489179999999999</v>
      </c>
      <c r="AA46" s="218">
        <f>'AEO 2023 Table 59 Raw'!AD34</f>
        <v>2.9213650000000002</v>
      </c>
      <c r="AB46" s="218">
        <f>'AEO 2023 Table 59 Raw'!AE34</f>
        <v>2.88008</v>
      </c>
      <c r="AC46" s="218">
        <f>'AEO 2023 Table 59 Raw'!AF34</f>
        <v>2.8442189999999998</v>
      </c>
      <c r="AD46" s="218">
        <f>'AEO 2023 Table 59 Raw'!AG34</f>
        <v>2.7928829999999998</v>
      </c>
      <c r="AE46" s="218">
        <f>'AEO 2023 Table 59 Raw'!AH34</f>
        <v>2.775042</v>
      </c>
      <c r="AF46" s="256">
        <f>'AEO 2023 Table 59 Raw'!AI34</f>
        <v>-2.3E-2</v>
      </c>
    </row>
    <row r="47" spans="1:32" ht="12" customHeight="1" x14ac:dyDescent="0.2">
      <c r="C47" s="218"/>
      <c r="D47" s="218"/>
      <c r="E47" s="218"/>
      <c r="F47" s="218"/>
      <c r="G47" s="218"/>
      <c r="H47" s="218"/>
      <c r="I47" s="218"/>
      <c r="J47" s="218"/>
      <c r="K47" s="218"/>
      <c r="L47" s="218"/>
      <c r="M47" s="218"/>
      <c r="N47" s="218"/>
      <c r="O47" s="218"/>
      <c r="P47" s="218"/>
      <c r="Q47" s="218"/>
      <c r="R47" s="218"/>
      <c r="S47" s="218"/>
      <c r="T47" s="218"/>
      <c r="U47" s="218"/>
      <c r="V47" s="218"/>
      <c r="W47" s="218"/>
      <c r="X47" s="218"/>
      <c r="Y47" s="218"/>
      <c r="Z47" s="218"/>
      <c r="AA47" s="218"/>
      <c r="AB47" s="218"/>
      <c r="AC47" s="218"/>
      <c r="AD47" s="218"/>
      <c r="AE47" s="218"/>
      <c r="AF47" s="256"/>
    </row>
    <row r="48" spans="1:32" ht="12" customHeight="1" x14ac:dyDescent="0.2">
      <c r="B48" s="216" t="s">
        <v>753</v>
      </c>
      <c r="C48" s="218"/>
      <c r="D48" s="218"/>
      <c r="E48" s="218"/>
      <c r="F48" s="218"/>
      <c r="G48" s="218"/>
      <c r="H48" s="218"/>
      <c r="I48" s="218"/>
      <c r="J48" s="218"/>
      <c r="K48" s="218"/>
      <c r="L48" s="218"/>
      <c r="M48" s="218"/>
      <c r="N48" s="218"/>
      <c r="O48" s="218"/>
      <c r="P48" s="218"/>
      <c r="Q48" s="218"/>
      <c r="R48" s="218"/>
      <c r="S48" s="218"/>
      <c r="T48" s="218"/>
      <c r="U48" s="218"/>
      <c r="V48" s="218"/>
      <c r="W48" s="218"/>
      <c r="X48" s="218"/>
      <c r="Y48" s="218"/>
      <c r="Z48" s="218"/>
      <c r="AA48" s="218"/>
      <c r="AB48" s="218"/>
      <c r="AC48" s="218"/>
      <c r="AD48" s="218"/>
      <c r="AE48" s="218"/>
      <c r="AF48" s="256"/>
    </row>
    <row r="49" spans="1:32" ht="12" customHeight="1" x14ac:dyDescent="0.25">
      <c r="A49" s="213" t="s">
        <v>752</v>
      </c>
      <c r="B49" s="212" t="s">
        <v>751</v>
      </c>
      <c r="C49" s="218">
        <f>'AEO 2023 Table 59 Raw'!F36</f>
        <v>4.4959629999999997</v>
      </c>
      <c r="D49" s="218">
        <f>'AEO 2023 Table 59 Raw'!G36</f>
        <v>4.4082569999999999</v>
      </c>
      <c r="E49" s="218">
        <f>'AEO 2023 Table 59 Raw'!H36</f>
        <v>3.4397419999999999</v>
      </c>
      <c r="F49" s="218">
        <f>'AEO 2023 Table 59 Raw'!I36</f>
        <v>2.8283160000000001</v>
      </c>
      <c r="G49" s="218">
        <f>'AEO 2023 Table 59 Raw'!J36</f>
        <v>2.3670089999999999</v>
      </c>
      <c r="H49" s="218">
        <f>'AEO 2023 Table 59 Raw'!K36</f>
        <v>2.1059209999999999</v>
      </c>
      <c r="I49" s="218">
        <f>'AEO 2023 Table 59 Raw'!L36</f>
        <v>1.9708650000000001</v>
      </c>
      <c r="J49" s="218">
        <f>'AEO 2023 Table 59 Raw'!M36</f>
        <v>1.9037379999999999</v>
      </c>
      <c r="K49" s="218">
        <f>'AEO 2023 Table 59 Raw'!N36</f>
        <v>1.88818</v>
      </c>
      <c r="L49" s="218">
        <f>'AEO 2023 Table 59 Raw'!O36</f>
        <v>1.908919</v>
      </c>
      <c r="M49" s="218">
        <f>'AEO 2023 Table 59 Raw'!P36</f>
        <v>1.9521790000000001</v>
      </c>
      <c r="N49" s="218">
        <f>'AEO 2023 Table 59 Raw'!Q36</f>
        <v>2.013541</v>
      </c>
      <c r="O49" s="218">
        <f>'AEO 2023 Table 59 Raw'!R36</f>
        <v>2.0847609999999999</v>
      </c>
      <c r="P49" s="218">
        <f>'AEO 2023 Table 59 Raw'!S36</f>
        <v>2.159367</v>
      </c>
      <c r="Q49" s="218">
        <f>'AEO 2023 Table 59 Raw'!T36</f>
        <v>2.213028</v>
      </c>
      <c r="R49" s="218">
        <f>'AEO 2023 Table 59 Raw'!U36</f>
        <v>2.2716859999999999</v>
      </c>
      <c r="S49" s="218">
        <f>'AEO 2023 Table 59 Raw'!V36</f>
        <v>2.3547530000000001</v>
      </c>
      <c r="T49" s="218">
        <f>'AEO 2023 Table 59 Raw'!W36</f>
        <v>2.391489</v>
      </c>
      <c r="U49" s="218">
        <f>'AEO 2023 Table 59 Raw'!X36</f>
        <v>2.4335049999999998</v>
      </c>
      <c r="V49" s="218">
        <f>'AEO 2023 Table 59 Raw'!Y36</f>
        <v>2.4477760000000002</v>
      </c>
      <c r="W49" s="218">
        <f>'AEO 2023 Table 59 Raw'!Z36</f>
        <v>2.4048090000000002</v>
      </c>
      <c r="X49" s="218">
        <f>'AEO 2023 Table 59 Raw'!AA36</f>
        <v>2.3516710000000001</v>
      </c>
      <c r="Y49" s="218">
        <f>'AEO 2023 Table 59 Raw'!AB36</f>
        <v>2.3198470000000002</v>
      </c>
      <c r="Z49" s="218">
        <f>'AEO 2023 Table 59 Raw'!AC36</f>
        <v>2.281933</v>
      </c>
      <c r="AA49" s="218">
        <f>'AEO 2023 Table 59 Raw'!AD36</f>
        <v>2.246254</v>
      </c>
      <c r="AB49" s="218">
        <f>'AEO 2023 Table 59 Raw'!AE36</f>
        <v>2.1983990000000002</v>
      </c>
      <c r="AC49" s="218">
        <f>'AEO 2023 Table 59 Raw'!AF36</f>
        <v>2.1485880000000002</v>
      </c>
      <c r="AD49" s="218">
        <f>'AEO 2023 Table 59 Raw'!AG36</f>
        <v>2.104743</v>
      </c>
      <c r="AE49" s="218">
        <f>'AEO 2023 Table 59 Raw'!AH36</f>
        <v>2.0810490000000001</v>
      </c>
      <c r="AF49" s="256">
        <f>'AEO 2023 Table 59 Raw'!AI36</f>
        <v>-2.7E-2</v>
      </c>
    </row>
    <row r="50" spans="1:32" ht="15" customHeight="1" x14ac:dyDescent="0.25">
      <c r="A50" s="213" t="s">
        <v>750</v>
      </c>
      <c r="B50" s="212" t="s">
        <v>749</v>
      </c>
      <c r="C50" s="218">
        <f>'AEO 2023 Table 59 Raw'!F37</f>
        <v>6.3429729999999998</v>
      </c>
      <c r="D50" s="218">
        <f>'AEO 2023 Table 59 Raw'!G37</f>
        <v>5.0638860000000001</v>
      </c>
      <c r="E50" s="218">
        <f>'AEO 2023 Table 59 Raw'!H37</f>
        <v>3.8424939999999999</v>
      </c>
      <c r="F50" s="218">
        <f>'AEO 2023 Table 59 Raw'!I37</f>
        <v>3.246102</v>
      </c>
      <c r="G50" s="218">
        <f>'AEO 2023 Table 59 Raw'!J37</f>
        <v>2.8130739999999999</v>
      </c>
      <c r="H50" s="218">
        <f>'AEO 2023 Table 59 Raw'!K37</f>
        <v>2.5968300000000002</v>
      </c>
      <c r="I50" s="218">
        <f>'AEO 2023 Table 59 Raw'!L37</f>
        <v>2.544311</v>
      </c>
      <c r="J50" s="218">
        <f>'AEO 2023 Table 59 Raw'!M37</f>
        <v>2.5725560000000001</v>
      </c>
      <c r="K50" s="218">
        <f>'AEO 2023 Table 59 Raw'!N37</f>
        <v>2.6718120000000001</v>
      </c>
      <c r="L50" s="218">
        <f>'AEO 2023 Table 59 Raw'!O37</f>
        <v>2.8189120000000001</v>
      </c>
      <c r="M50" s="218">
        <f>'AEO 2023 Table 59 Raw'!P37</f>
        <v>2.9821749999999998</v>
      </c>
      <c r="N50" s="218">
        <f>'AEO 2023 Table 59 Raw'!Q37</f>
        <v>3.184034</v>
      </c>
      <c r="O50" s="218">
        <f>'AEO 2023 Table 59 Raw'!R37</f>
        <v>3.3399139999999998</v>
      </c>
      <c r="P50" s="218">
        <f>'AEO 2023 Table 59 Raw'!S37</f>
        <v>3.467139</v>
      </c>
      <c r="Q50" s="218">
        <f>'AEO 2023 Table 59 Raw'!T37</f>
        <v>3.4780950000000002</v>
      </c>
      <c r="R50" s="218">
        <f>'AEO 2023 Table 59 Raw'!U37</f>
        <v>3.5141309999999999</v>
      </c>
      <c r="S50" s="218">
        <f>'AEO 2023 Table 59 Raw'!V37</f>
        <v>3.6485919999999998</v>
      </c>
      <c r="T50" s="218">
        <f>'AEO 2023 Table 59 Raw'!W37</f>
        <v>3.5646909999999998</v>
      </c>
      <c r="U50" s="218">
        <f>'AEO 2023 Table 59 Raw'!X37</f>
        <v>3.7171240000000001</v>
      </c>
      <c r="V50" s="218">
        <f>'AEO 2023 Table 59 Raw'!Y37</f>
        <v>3.8010280000000001</v>
      </c>
      <c r="W50" s="218">
        <f>'AEO 2023 Table 59 Raw'!Z37</f>
        <v>3.7923230000000001</v>
      </c>
      <c r="X50" s="218">
        <f>'AEO 2023 Table 59 Raw'!AA37</f>
        <v>3.7256070000000001</v>
      </c>
      <c r="Y50" s="218">
        <f>'AEO 2023 Table 59 Raw'!AB37</f>
        <v>3.6872379999999998</v>
      </c>
      <c r="Z50" s="218">
        <f>'AEO 2023 Table 59 Raw'!AC37</f>
        <v>3.6837900000000001</v>
      </c>
      <c r="AA50" s="218">
        <f>'AEO 2023 Table 59 Raw'!AD37</f>
        <v>3.6789170000000002</v>
      </c>
      <c r="AB50" s="218">
        <f>'AEO 2023 Table 59 Raw'!AE37</f>
        <v>3.6394250000000001</v>
      </c>
      <c r="AC50" s="218">
        <f>'AEO 2023 Table 59 Raw'!AF37</f>
        <v>3.6158779999999999</v>
      </c>
      <c r="AD50" s="218">
        <f>'AEO 2023 Table 59 Raw'!AG37</f>
        <v>3.5478489999999998</v>
      </c>
      <c r="AE50" s="218">
        <f>'AEO 2023 Table 59 Raw'!AH37</f>
        <v>3.5338590000000001</v>
      </c>
      <c r="AF50" s="256">
        <f>'AEO 2023 Table 59 Raw'!AI37</f>
        <v>-2.1000000000000001E-2</v>
      </c>
    </row>
    <row r="51" spans="1:32" ht="15" customHeight="1" x14ac:dyDescent="0.25">
      <c r="A51" s="213" t="s">
        <v>748</v>
      </c>
      <c r="B51" s="212" t="s">
        <v>747</v>
      </c>
      <c r="C51" s="218">
        <f>'AEO 2023 Table 59 Raw'!F38</f>
        <v>5.8915139999999999</v>
      </c>
      <c r="D51" s="218">
        <f>'AEO 2023 Table 59 Raw'!G38</f>
        <v>4.6853030000000002</v>
      </c>
      <c r="E51" s="218">
        <f>'AEO 2023 Table 59 Raw'!H38</f>
        <v>3.5877150000000002</v>
      </c>
      <c r="F51" s="218">
        <f>'AEO 2023 Table 59 Raw'!I38</f>
        <v>3.0053209999999999</v>
      </c>
      <c r="G51" s="218">
        <f>'AEO 2023 Table 59 Raw'!J38</f>
        <v>2.5560939999999999</v>
      </c>
      <c r="H51" s="218">
        <f>'AEO 2023 Table 59 Raw'!K38</f>
        <v>2.317663</v>
      </c>
      <c r="I51" s="218">
        <f>'AEO 2023 Table 59 Raw'!L38</f>
        <v>2.240961</v>
      </c>
      <c r="J51" s="218">
        <f>'AEO 2023 Table 59 Raw'!M38</f>
        <v>2.2630059999999999</v>
      </c>
      <c r="K51" s="218">
        <f>'AEO 2023 Table 59 Raw'!N38</f>
        <v>2.3608470000000001</v>
      </c>
      <c r="L51" s="218">
        <f>'AEO 2023 Table 59 Raw'!O38</f>
        <v>2.4953669999999999</v>
      </c>
      <c r="M51" s="218">
        <f>'AEO 2023 Table 59 Raw'!P38</f>
        <v>2.6261060000000001</v>
      </c>
      <c r="N51" s="218">
        <f>'AEO 2023 Table 59 Raw'!Q38</f>
        <v>2.7932009999999998</v>
      </c>
      <c r="O51" s="218">
        <f>'AEO 2023 Table 59 Raw'!R38</f>
        <v>2.928839</v>
      </c>
      <c r="P51" s="218">
        <f>'AEO 2023 Table 59 Raw'!S38</f>
        <v>3.0490930000000001</v>
      </c>
      <c r="Q51" s="218">
        <f>'AEO 2023 Table 59 Raw'!T38</f>
        <v>3.0638510000000001</v>
      </c>
      <c r="R51" s="218">
        <f>'AEO 2023 Table 59 Raw'!U38</f>
        <v>3.0951689999999998</v>
      </c>
      <c r="S51" s="218">
        <f>'AEO 2023 Table 59 Raw'!V38</f>
        <v>3.2267220000000001</v>
      </c>
      <c r="T51" s="218">
        <f>'AEO 2023 Table 59 Raw'!W38</f>
        <v>3.154944</v>
      </c>
      <c r="U51" s="218">
        <f>'AEO 2023 Table 59 Raw'!X38</f>
        <v>3.295776</v>
      </c>
      <c r="V51" s="218">
        <f>'AEO 2023 Table 59 Raw'!Y38</f>
        <v>3.3773249999999999</v>
      </c>
      <c r="W51" s="218">
        <f>'AEO 2023 Table 59 Raw'!Z38</f>
        <v>3.3681040000000002</v>
      </c>
      <c r="X51" s="218">
        <f>'AEO 2023 Table 59 Raw'!AA38</f>
        <v>3.3123320000000001</v>
      </c>
      <c r="Y51" s="218">
        <f>'AEO 2023 Table 59 Raw'!AB38</f>
        <v>3.2647430000000002</v>
      </c>
      <c r="Z51" s="218">
        <f>'AEO 2023 Table 59 Raw'!AC38</f>
        <v>3.2453669999999999</v>
      </c>
      <c r="AA51" s="218">
        <f>'AEO 2023 Table 59 Raw'!AD38</f>
        <v>3.2254160000000001</v>
      </c>
      <c r="AB51" s="218">
        <f>'AEO 2023 Table 59 Raw'!AE38</f>
        <v>3.1873019999999999</v>
      </c>
      <c r="AC51" s="218">
        <f>'AEO 2023 Table 59 Raw'!AF38</f>
        <v>3.1660509999999999</v>
      </c>
      <c r="AD51" s="218">
        <f>'AEO 2023 Table 59 Raw'!AG38</f>
        <v>3.1209479999999998</v>
      </c>
      <c r="AE51" s="218">
        <f>'AEO 2023 Table 59 Raw'!AH38</f>
        <v>3.1151680000000002</v>
      </c>
      <c r="AF51" s="256">
        <f>'AEO 2023 Table 59 Raw'!AI38</f>
        <v>-2.3E-2</v>
      </c>
    </row>
    <row r="52" spans="1:32" ht="15" customHeight="1" x14ac:dyDescent="0.25">
      <c r="A52" s="213" t="s">
        <v>746</v>
      </c>
      <c r="B52" s="212" t="s">
        <v>745</v>
      </c>
      <c r="C52" s="218">
        <f>'AEO 2023 Table 59 Raw'!F39</f>
        <v>6.0054930000000004</v>
      </c>
      <c r="D52" s="218">
        <f>'AEO 2023 Table 59 Raw'!G39</f>
        <v>4.6929999999999996</v>
      </c>
      <c r="E52" s="218">
        <f>'AEO 2023 Table 59 Raw'!H39</f>
        <v>3.5293540000000001</v>
      </c>
      <c r="F52" s="218">
        <f>'AEO 2023 Table 59 Raw'!I39</f>
        <v>2.9567860000000001</v>
      </c>
      <c r="G52" s="218">
        <f>'AEO 2023 Table 59 Raw'!J39</f>
        <v>2.5199959999999999</v>
      </c>
      <c r="H52" s="218">
        <f>'AEO 2023 Table 59 Raw'!K39</f>
        <v>2.2933050000000001</v>
      </c>
      <c r="I52" s="218">
        <f>'AEO 2023 Table 59 Raw'!L39</f>
        <v>2.226445</v>
      </c>
      <c r="J52" s="218">
        <f>'AEO 2023 Table 59 Raw'!M39</f>
        <v>2.2486039999999998</v>
      </c>
      <c r="K52" s="218">
        <f>'AEO 2023 Table 59 Raw'!N39</f>
        <v>2.354171</v>
      </c>
      <c r="L52" s="218">
        <f>'AEO 2023 Table 59 Raw'!O39</f>
        <v>2.520651</v>
      </c>
      <c r="M52" s="218">
        <f>'AEO 2023 Table 59 Raw'!P39</f>
        <v>2.6787049999999999</v>
      </c>
      <c r="N52" s="218">
        <f>'AEO 2023 Table 59 Raw'!Q39</f>
        <v>2.8540019999999999</v>
      </c>
      <c r="O52" s="218">
        <f>'AEO 2023 Table 59 Raw'!R39</f>
        <v>2.9957069999999999</v>
      </c>
      <c r="P52" s="218">
        <f>'AEO 2023 Table 59 Raw'!S39</f>
        <v>3.12826</v>
      </c>
      <c r="Q52" s="218">
        <f>'AEO 2023 Table 59 Raw'!T39</f>
        <v>3.145562</v>
      </c>
      <c r="R52" s="218">
        <f>'AEO 2023 Table 59 Raw'!U39</f>
        <v>3.1655769999999999</v>
      </c>
      <c r="S52" s="218">
        <f>'AEO 2023 Table 59 Raw'!V39</f>
        <v>3.2987120000000001</v>
      </c>
      <c r="T52" s="218">
        <f>'AEO 2023 Table 59 Raw'!W39</f>
        <v>3.2221449999999998</v>
      </c>
      <c r="U52" s="218">
        <f>'AEO 2023 Table 59 Raw'!X39</f>
        <v>3.3748459999999998</v>
      </c>
      <c r="V52" s="218">
        <f>'AEO 2023 Table 59 Raw'!Y39</f>
        <v>3.4584280000000001</v>
      </c>
      <c r="W52" s="218">
        <f>'AEO 2023 Table 59 Raw'!Z39</f>
        <v>3.4513050000000001</v>
      </c>
      <c r="X52" s="218">
        <f>'AEO 2023 Table 59 Raw'!AA39</f>
        <v>3.3975749999999998</v>
      </c>
      <c r="Y52" s="218">
        <f>'AEO 2023 Table 59 Raw'!AB39</f>
        <v>3.355302</v>
      </c>
      <c r="Z52" s="218">
        <f>'AEO 2023 Table 59 Raw'!AC39</f>
        <v>3.335531</v>
      </c>
      <c r="AA52" s="218">
        <f>'AEO 2023 Table 59 Raw'!AD39</f>
        <v>3.3156349999999999</v>
      </c>
      <c r="AB52" s="218">
        <f>'AEO 2023 Table 59 Raw'!AE39</f>
        <v>3.2825989999999998</v>
      </c>
      <c r="AC52" s="218">
        <f>'AEO 2023 Table 59 Raw'!AF39</f>
        <v>3.2647089999999999</v>
      </c>
      <c r="AD52" s="218">
        <f>'AEO 2023 Table 59 Raw'!AG39</f>
        <v>3.2152989999999999</v>
      </c>
      <c r="AE52" s="218">
        <f>'AEO 2023 Table 59 Raw'!AH39</f>
        <v>3.2084280000000001</v>
      </c>
      <c r="AF52" s="256">
        <f>'AEO 2023 Table 59 Raw'!AI39</f>
        <v>-2.1999999999999999E-2</v>
      </c>
    </row>
    <row r="53" spans="1:32" ht="15" customHeight="1" x14ac:dyDescent="0.25">
      <c r="A53" s="213" t="s">
        <v>744</v>
      </c>
      <c r="B53" s="212" t="s">
        <v>743</v>
      </c>
      <c r="C53" s="218">
        <f>'AEO 2023 Table 59 Raw'!F40</f>
        <v>5.7428319999999999</v>
      </c>
      <c r="D53" s="218">
        <f>'AEO 2023 Table 59 Raw'!G40</f>
        <v>4.6267870000000002</v>
      </c>
      <c r="E53" s="218">
        <f>'AEO 2023 Table 59 Raw'!H40</f>
        <v>3.5419700000000001</v>
      </c>
      <c r="F53" s="218">
        <f>'AEO 2023 Table 59 Raw'!I40</f>
        <v>2.9589439999999998</v>
      </c>
      <c r="G53" s="218">
        <f>'AEO 2023 Table 59 Raw'!J40</f>
        <v>2.5114649999999998</v>
      </c>
      <c r="H53" s="218">
        <f>'AEO 2023 Table 59 Raw'!K40</f>
        <v>2.2631420000000002</v>
      </c>
      <c r="I53" s="218">
        <f>'AEO 2023 Table 59 Raw'!L40</f>
        <v>2.1761529999999998</v>
      </c>
      <c r="J53" s="218">
        <f>'AEO 2023 Table 59 Raw'!M40</f>
        <v>2.1840290000000002</v>
      </c>
      <c r="K53" s="218">
        <f>'AEO 2023 Table 59 Raw'!N40</f>
        <v>2.271296</v>
      </c>
      <c r="L53" s="218">
        <f>'AEO 2023 Table 59 Raw'!O40</f>
        <v>2.41635</v>
      </c>
      <c r="M53" s="218">
        <f>'AEO 2023 Table 59 Raw'!P40</f>
        <v>2.5546199999999999</v>
      </c>
      <c r="N53" s="218">
        <f>'AEO 2023 Table 59 Raw'!Q40</f>
        <v>2.7211599999999998</v>
      </c>
      <c r="O53" s="218">
        <f>'AEO 2023 Table 59 Raw'!R40</f>
        <v>2.8684379999999998</v>
      </c>
      <c r="P53" s="218">
        <f>'AEO 2023 Table 59 Raw'!S40</f>
        <v>3.0044749999999998</v>
      </c>
      <c r="Q53" s="218">
        <f>'AEO 2023 Table 59 Raw'!T40</f>
        <v>3.0244900000000001</v>
      </c>
      <c r="R53" s="218">
        <f>'AEO 2023 Table 59 Raw'!U40</f>
        <v>3.0543170000000002</v>
      </c>
      <c r="S53" s="218">
        <f>'AEO 2023 Table 59 Raw'!V40</f>
        <v>3.1895280000000001</v>
      </c>
      <c r="T53" s="218">
        <f>'AEO 2023 Table 59 Raw'!W40</f>
        <v>3.1231789999999999</v>
      </c>
      <c r="U53" s="218">
        <f>'AEO 2023 Table 59 Raw'!X40</f>
        <v>3.2636590000000001</v>
      </c>
      <c r="V53" s="218">
        <f>'AEO 2023 Table 59 Raw'!Y40</f>
        <v>3.350009</v>
      </c>
      <c r="W53" s="218">
        <f>'AEO 2023 Table 59 Raw'!Z40</f>
        <v>3.3515619999999999</v>
      </c>
      <c r="X53" s="218">
        <f>'AEO 2023 Table 59 Raw'!AA40</f>
        <v>3.3052579999999998</v>
      </c>
      <c r="Y53" s="218">
        <f>'AEO 2023 Table 59 Raw'!AB40</f>
        <v>3.2570139999999999</v>
      </c>
      <c r="Z53" s="218">
        <f>'AEO 2023 Table 59 Raw'!AC40</f>
        <v>3.2445439999999999</v>
      </c>
      <c r="AA53" s="218">
        <f>'AEO 2023 Table 59 Raw'!AD40</f>
        <v>3.2170939999999999</v>
      </c>
      <c r="AB53" s="218">
        <f>'AEO 2023 Table 59 Raw'!AE40</f>
        <v>3.1892580000000001</v>
      </c>
      <c r="AC53" s="218">
        <f>'AEO 2023 Table 59 Raw'!AF40</f>
        <v>3.1694640000000001</v>
      </c>
      <c r="AD53" s="218">
        <f>'AEO 2023 Table 59 Raw'!AG40</f>
        <v>3.1349830000000001</v>
      </c>
      <c r="AE53" s="218">
        <f>'AEO 2023 Table 59 Raw'!AH40</f>
        <v>3.1337890000000002</v>
      </c>
      <c r="AF53" s="256">
        <f>'AEO 2023 Table 59 Raw'!AI40</f>
        <v>-2.1000000000000001E-2</v>
      </c>
    </row>
    <row r="54" spans="1:32" ht="15" customHeight="1" x14ac:dyDescent="0.25">
      <c r="A54" s="213" t="s">
        <v>742</v>
      </c>
      <c r="B54" s="212" t="s">
        <v>741</v>
      </c>
      <c r="C54" s="218">
        <f>'AEO 2023 Table 59 Raw'!F41</f>
        <v>6.9591979999999998</v>
      </c>
      <c r="D54" s="218">
        <f>'AEO 2023 Table 59 Raw'!G41</f>
        <v>5.6467239999999999</v>
      </c>
      <c r="E54" s="218">
        <f>'AEO 2023 Table 59 Raw'!H41</f>
        <v>4.4294690000000001</v>
      </c>
      <c r="F54" s="218">
        <f>'AEO 2023 Table 59 Raw'!I41</f>
        <v>3.9095849999999999</v>
      </c>
      <c r="G54" s="218">
        <f>'AEO 2023 Table 59 Raw'!J41</f>
        <v>3.500575</v>
      </c>
      <c r="H54" s="218">
        <f>'AEO 2023 Table 59 Raw'!K41</f>
        <v>3.2276199999999999</v>
      </c>
      <c r="I54" s="218">
        <f>'AEO 2023 Table 59 Raw'!L41</f>
        <v>3.1106769999999999</v>
      </c>
      <c r="J54" s="218">
        <f>'AEO 2023 Table 59 Raw'!M41</f>
        <v>3.0860889999999999</v>
      </c>
      <c r="K54" s="218">
        <f>'AEO 2023 Table 59 Raw'!N41</f>
        <v>3.0940530000000002</v>
      </c>
      <c r="L54" s="218">
        <f>'AEO 2023 Table 59 Raw'!O41</f>
        <v>3.1933029999999998</v>
      </c>
      <c r="M54" s="218">
        <f>'AEO 2023 Table 59 Raw'!P41</f>
        <v>3.2778230000000002</v>
      </c>
      <c r="N54" s="218">
        <f>'AEO 2023 Table 59 Raw'!Q41</f>
        <v>3.4708130000000001</v>
      </c>
      <c r="O54" s="218">
        <f>'AEO 2023 Table 59 Raw'!R41</f>
        <v>3.6365530000000001</v>
      </c>
      <c r="P54" s="218">
        <f>'AEO 2023 Table 59 Raw'!S41</f>
        <v>3.7934290000000002</v>
      </c>
      <c r="Q54" s="218">
        <f>'AEO 2023 Table 59 Raw'!T41</f>
        <v>3.8334000000000001</v>
      </c>
      <c r="R54" s="218">
        <f>'AEO 2023 Table 59 Raw'!U41</f>
        <v>3.8918490000000001</v>
      </c>
      <c r="S54" s="218">
        <f>'AEO 2023 Table 59 Raw'!V41</f>
        <v>4.0668040000000003</v>
      </c>
      <c r="T54" s="218">
        <f>'AEO 2023 Table 59 Raw'!W41</f>
        <v>3.995746</v>
      </c>
      <c r="U54" s="218">
        <f>'AEO 2023 Table 59 Raw'!X41</f>
        <v>4.1380369999999997</v>
      </c>
      <c r="V54" s="218">
        <f>'AEO 2023 Table 59 Raw'!Y41</f>
        <v>4.2252549999999998</v>
      </c>
      <c r="W54" s="218">
        <f>'AEO 2023 Table 59 Raw'!Z41</f>
        <v>4.2448370000000004</v>
      </c>
      <c r="X54" s="218">
        <f>'AEO 2023 Table 59 Raw'!AA41</f>
        <v>4.2194149999999997</v>
      </c>
      <c r="Y54" s="218">
        <f>'AEO 2023 Table 59 Raw'!AB41</f>
        <v>4.1595459999999997</v>
      </c>
      <c r="Z54" s="218">
        <f>'AEO 2023 Table 59 Raw'!AC41</f>
        <v>4.1602589999999999</v>
      </c>
      <c r="AA54" s="218">
        <f>'AEO 2023 Table 59 Raw'!AD41</f>
        <v>4.0740990000000004</v>
      </c>
      <c r="AB54" s="218">
        <f>'AEO 2023 Table 59 Raw'!AE41</f>
        <v>4.0680959999999997</v>
      </c>
      <c r="AC54" s="218">
        <f>'AEO 2023 Table 59 Raw'!AF41</f>
        <v>4.0162409999999999</v>
      </c>
      <c r="AD54" s="218">
        <f>'AEO 2023 Table 59 Raw'!AG41</f>
        <v>4.016356</v>
      </c>
      <c r="AE54" s="218">
        <f>'AEO 2023 Table 59 Raw'!AH41</f>
        <v>4.0476710000000002</v>
      </c>
      <c r="AF54" s="256">
        <f>'AEO 2023 Table 59 Raw'!AI41</f>
        <v>-1.9E-2</v>
      </c>
    </row>
    <row r="55" spans="1:32" ht="15" customHeight="1" x14ac:dyDescent="0.25">
      <c r="A55" s="213" t="s">
        <v>740</v>
      </c>
      <c r="B55" s="212" t="s">
        <v>739</v>
      </c>
      <c r="C55" s="218">
        <f>'AEO 2023 Table 59 Raw'!F42</f>
        <v>4.8680899999999996</v>
      </c>
      <c r="D55" s="218">
        <f>'AEO 2023 Table 59 Raw'!G42</f>
        <v>4.0415279999999996</v>
      </c>
      <c r="E55" s="218">
        <f>'AEO 2023 Table 59 Raw'!H42</f>
        <v>3.3707829999999999</v>
      </c>
      <c r="F55" s="218">
        <f>'AEO 2023 Table 59 Raw'!I42</f>
        <v>2.8559860000000001</v>
      </c>
      <c r="G55" s="218">
        <f>'AEO 2023 Table 59 Raw'!J42</f>
        <v>2.4666619999999999</v>
      </c>
      <c r="H55" s="218">
        <f>'AEO 2023 Table 59 Raw'!K42</f>
        <v>2.2481239999999998</v>
      </c>
      <c r="I55" s="218">
        <f>'AEO 2023 Table 59 Raw'!L42</f>
        <v>2.1878920000000002</v>
      </c>
      <c r="J55" s="218">
        <f>'AEO 2023 Table 59 Raw'!M42</f>
        <v>2.198744</v>
      </c>
      <c r="K55" s="218">
        <f>'AEO 2023 Table 59 Raw'!N42</f>
        <v>2.2463129999999998</v>
      </c>
      <c r="L55" s="218">
        <f>'AEO 2023 Table 59 Raw'!O42</f>
        <v>2.339305</v>
      </c>
      <c r="M55" s="218">
        <f>'AEO 2023 Table 59 Raw'!P42</f>
        <v>2.420661</v>
      </c>
      <c r="N55" s="218">
        <f>'AEO 2023 Table 59 Raw'!Q42</f>
        <v>2.5568789999999999</v>
      </c>
      <c r="O55" s="218">
        <f>'AEO 2023 Table 59 Raw'!R42</f>
        <v>2.6638519999999999</v>
      </c>
      <c r="P55" s="218">
        <f>'AEO 2023 Table 59 Raw'!S42</f>
        <v>2.7634240000000001</v>
      </c>
      <c r="Q55" s="218">
        <f>'AEO 2023 Table 59 Raw'!T42</f>
        <v>2.790686</v>
      </c>
      <c r="R55" s="218">
        <f>'AEO 2023 Table 59 Raw'!U42</f>
        <v>2.8370479999999998</v>
      </c>
      <c r="S55" s="218">
        <f>'AEO 2023 Table 59 Raw'!V42</f>
        <v>2.9367529999999999</v>
      </c>
      <c r="T55" s="218">
        <f>'AEO 2023 Table 59 Raw'!W42</f>
        <v>2.894342</v>
      </c>
      <c r="U55" s="218">
        <f>'AEO 2023 Table 59 Raw'!X42</f>
        <v>2.9898069999999999</v>
      </c>
      <c r="V55" s="218">
        <f>'AEO 2023 Table 59 Raw'!Y42</f>
        <v>3.0607899999999999</v>
      </c>
      <c r="W55" s="218">
        <f>'AEO 2023 Table 59 Raw'!Z42</f>
        <v>3.0476000000000001</v>
      </c>
      <c r="X55" s="218">
        <f>'AEO 2023 Table 59 Raw'!AA42</f>
        <v>2.9894099999999999</v>
      </c>
      <c r="Y55" s="218">
        <f>'AEO 2023 Table 59 Raw'!AB42</f>
        <v>2.9198719999999998</v>
      </c>
      <c r="Z55" s="218">
        <f>'AEO 2023 Table 59 Raw'!AC42</f>
        <v>2.8737279999999998</v>
      </c>
      <c r="AA55" s="218">
        <f>'AEO 2023 Table 59 Raw'!AD42</f>
        <v>2.8330199999999999</v>
      </c>
      <c r="AB55" s="218">
        <f>'AEO 2023 Table 59 Raw'!AE42</f>
        <v>2.7897940000000001</v>
      </c>
      <c r="AC55" s="218">
        <f>'AEO 2023 Table 59 Raw'!AF42</f>
        <v>2.7444069999999998</v>
      </c>
      <c r="AD55" s="218">
        <f>'AEO 2023 Table 59 Raw'!AG42</f>
        <v>2.7021459999999999</v>
      </c>
      <c r="AE55" s="218">
        <f>'AEO 2023 Table 59 Raw'!AH42</f>
        <v>2.6863000000000001</v>
      </c>
      <c r="AF55" s="256">
        <f>'AEO 2023 Table 59 Raw'!AI42</f>
        <v>-2.1000000000000001E-2</v>
      </c>
    </row>
    <row r="56" spans="1:32" ht="15" customHeight="1" x14ac:dyDescent="0.2">
      <c r="C56" s="218"/>
      <c r="D56" s="218"/>
      <c r="E56" s="218"/>
      <c r="F56" s="218"/>
      <c r="G56" s="218"/>
      <c r="H56" s="218"/>
      <c r="I56" s="218"/>
      <c r="J56" s="218"/>
      <c r="K56" s="218"/>
      <c r="L56" s="218"/>
      <c r="M56" s="218"/>
      <c r="N56" s="218"/>
      <c r="O56" s="218"/>
      <c r="P56" s="218"/>
      <c r="Q56" s="218"/>
      <c r="R56" s="218"/>
      <c r="S56" s="218"/>
      <c r="T56" s="218"/>
      <c r="U56" s="218"/>
      <c r="V56" s="218"/>
      <c r="W56" s="218"/>
      <c r="X56" s="218"/>
      <c r="Y56" s="218"/>
      <c r="Z56" s="218"/>
      <c r="AA56" s="218"/>
      <c r="AB56" s="218"/>
      <c r="AC56" s="218"/>
      <c r="AD56" s="218"/>
      <c r="AE56" s="218"/>
      <c r="AF56" s="256"/>
    </row>
    <row r="57" spans="1:32" ht="15" customHeight="1" x14ac:dyDescent="0.2">
      <c r="B57" s="216" t="s">
        <v>738</v>
      </c>
      <c r="C57" s="218"/>
      <c r="D57" s="218"/>
      <c r="E57" s="218"/>
      <c r="F57" s="218"/>
      <c r="G57" s="218"/>
      <c r="H57" s="218"/>
      <c r="I57" s="218"/>
      <c r="J57" s="218"/>
      <c r="K57" s="218"/>
      <c r="L57" s="218"/>
      <c r="M57" s="218"/>
      <c r="N57" s="218"/>
      <c r="O57" s="218"/>
      <c r="P57" s="218"/>
      <c r="Q57" s="218"/>
      <c r="R57" s="218"/>
      <c r="S57" s="218"/>
      <c r="T57" s="218"/>
      <c r="U57" s="218"/>
      <c r="V57" s="218"/>
      <c r="W57" s="218"/>
      <c r="X57" s="218"/>
      <c r="Y57" s="218"/>
      <c r="Z57" s="218"/>
      <c r="AA57" s="218"/>
      <c r="AB57" s="218"/>
      <c r="AC57" s="218"/>
      <c r="AD57" s="218"/>
      <c r="AE57" s="218"/>
      <c r="AF57" s="256"/>
    </row>
    <row r="58" spans="1:32" ht="15" customHeight="1" x14ac:dyDescent="0.25">
      <c r="A58" s="213" t="s">
        <v>737</v>
      </c>
      <c r="B58" s="212" t="s">
        <v>736</v>
      </c>
      <c r="C58" s="218">
        <f>'AEO 2023 Table 59 Raw'!F44</f>
        <v>6.4264919999999996</v>
      </c>
      <c r="D58" s="218">
        <f>'AEO 2023 Table 59 Raw'!G44</f>
        <v>5.1109070000000001</v>
      </c>
      <c r="E58" s="218">
        <f>'AEO 2023 Table 59 Raw'!H44</f>
        <v>3.8791600000000002</v>
      </c>
      <c r="F58" s="218">
        <f>'AEO 2023 Table 59 Raw'!I44</f>
        <v>3.2782439999999999</v>
      </c>
      <c r="G58" s="218">
        <f>'AEO 2023 Table 59 Raw'!J44</f>
        <v>2.8389440000000001</v>
      </c>
      <c r="H58" s="218">
        <f>'AEO 2023 Table 59 Raw'!K44</f>
        <v>2.6161099999999999</v>
      </c>
      <c r="I58" s="218">
        <f>'AEO 2023 Table 59 Raw'!L44</f>
        <v>2.5613450000000002</v>
      </c>
      <c r="J58" s="218">
        <f>'AEO 2023 Table 59 Raw'!M44</f>
        <v>2.5883780000000001</v>
      </c>
      <c r="K58" s="218">
        <f>'AEO 2023 Table 59 Raw'!N44</f>
        <v>2.681772</v>
      </c>
      <c r="L58" s="218">
        <f>'AEO 2023 Table 59 Raw'!O44</f>
        <v>2.8220939999999999</v>
      </c>
      <c r="M58" s="218">
        <f>'AEO 2023 Table 59 Raw'!P44</f>
        <v>2.988642</v>
      </c>
      <c r="N58" s="218">
        <f>'AEO 2023 Table 59 Raw'!Q44</f>
        <v>3.1979950000000001</v>
      </c>
      <c r="O58" s="218">
        <f>'AEO 2023 Table 59 Raw'!R44</f>
        <v>3.3554940000000002</v>
      </c>
      <c r="P58" s="218">
        <f>'AEO 2023 Table 59 Raw'!S44</f>
        <v>3.4771990000000002</v>
      </c>
      <c r="Q58" s="218">
        <f>'AEO 2023 Table 59 Raw'!T44</f>
        <v>3.489903</v>
      </c>
      <c r="R58" s="218">
        <f>'AEO 2023 Table 59 Raw'!U44</f>
        <v>3.5308799999999998</v>
      </c>
      <c r="S58" s="218">
        <f>'AEO 2023 Table 59 Raw'!V44</f>
        <v>3.6615030000000002</v>
      </c>
      <c r="T58" s="218">
        <f>'AEO 2023 Table 59 Raw'!W44</f>
        <v>3.5801370000000001</v>
      </c>
      <c r="U58" s="218">
        <f>'AEO 2023 Table 59 Raw'!X44</f>
        <v>3.7352129999999999</v>
      </c>
      <c r="V58" s="218">
        <f>'AEO 2023 Table 59 Raw'!Y44</f>
        <v>3.8213919999999999</v>
      </c>
      <c r="W58" s="218">
        <f>'AEO 2023 Table 59 Raw'!Z44</f>
        <v>3.811334</v>
      </c>
      <c r="X58" s="218">
        <f>'AEO 2023 Table 59 Raw'!AA44</f>
        <v>3.7473779999999999</v>
      </c>
      <c r="Y58" s="218">
        <f>'AEO 2023 Table 59 Raw'!AB44</f>
        <v>3.707001</v>
      </c>
      <c r="Z58" s="218">
        <f>'AEO 2023 Table 59 Raw'!AC44</f>
        <v>3.7038259999999998</v>
      </c>
      <c r="AA58" s="218">
        <f>'AEO 2023 Table 59 Raw'!AD44</f>
        <v>3.6993559999999999</v>
      </c>
      <c r="AB58" s="218">
        <f>'AEO 2023 Table 59 Raw'!AE44</f>
        <v>3.6609560000000001</v>
      </c>
      <c r="AC58" s="218">
        <f>'AEO 2023 Table 59 Raw'!AF44</f>
        <v>3.6383130000000001</v>
      </c>
      <c r="AD58" s="218">
        <f>'AEO 2023 Table 59 Raw'!AG44</f>
        <v>3.5636570000000001</v>
      </c>
      <c r="AE58" s="218">
        <f>'AEO 2023 Table 59 Raw'!AH44</f>
        <v>3.547059</v>
      </c>
      <c r="AF58" s="256">
        <f>'AEO 2023 Table 59 Raw'!AI44</f>
        <v>-2.1000000000000001E-2</v>
      </c>
    </row>
    <row r="59" spans="1:32" ht="15" customHeight="1" x14ac:dyDescent="0.25">
      <c r="A59" s="213" t="s">
        <v>735</v>
      </c>
      <c r="B59" s="212" t="s">
        <v>734</v>
      </c>
      <c r="C59" s="218">
        <f>'AEO 2023 Table 59 Raw'!F45</f>
        <v>6.0059880000000003</v>
      </c>
      <c r="D59" s="218">
        <f>'AEO 2023 Table 59 Raw'!G45</f>
        <v>6.0059880000000003</v>
      </c>
      <c r="E59" s="218">
        <f>'AEO 2023 Table 59 Raw'!H45</f>
        <v>6.0059880000000003</v>
      </c>
      <c r="F59" s="218">
        <f>'AEO 2023 Table 59 Raw'!I45</f>
        <v>6.0059880000000003</v>
      </c>
      <c r="G59" s="218">
        <f>'AEO 2023 Table 59 Raw'!J45</f>
        <v>6.0059880000000003</v>
      </c>
      <c r="H59" s="218">
        <f>'AEO 2023 Table 59 Raw'!K45</f>
        <v>6.0059880000000003</v>
      </c>
      <c r="I59" s="218">
        <f>'AEO 2023 Table 59 Raw'!L45</f>
        <v>3.1150419999999999</v>
      </c>
      <c r="J59" s="218">
        <f>'AEO 2023 Table 59 Raw'!M45</f>
        <v>3.0880589999999999</v>
      </c>
      <c r="K59" s="218">
        <f>'AEO 2023 Table 59 Raw'!N45</f>
        <v>3.0940530000000002</v>
      </c>
      <c r="L59" s="218">
        <f>'AEO 2023 Table 59 Raw'!O45</f>
        <v>3.1933029999999998</v>
      </c>
      <c r="M59" s="218">
        <f>'AEO 2023 Table 59 Raw'!P45</f>
        <v>3.2778230000000002</v>
      </c>
      <c r="N59" s="218">
        <f>'AEO 2023 Table 59 Raw'!Q45</f>
        <v>3.4708130000000001</v>
      </c>
      <c r="O59" s="218">
        <f>'AEO 2023 Table 59 Raw'!R45</f>
        <v>3.6365530000000001</v>
      </c>
      <c r="P59" s="218">
        <f>'AEO 2023 Table 59 Raw'!S45</f>
        <v>3.7934290000000002</v>
      </c>
      <c r="Q59" s="218">
        <f>'AEO 2023 Table 59 Raw'!T45</f>
        <v>3.8334000000000001</v>
      </c>
      <c r="R59" s="218">
        <f>'AEO 2023 Table 59 Raw'!U45</f>
        <v>3.8918499999999998</v>
      </c>
      <c r="S59" s="218">
        <f>'AEO 2023 Table 59 Raw'!V45</f>
        <v>4.0668040000000003</v>
      </c>
      <c r="T59" s="218">
        <f>'AEO 2023 Table 59 Raw'!W45</f>
        <v>3.995746</v>
      </c>
      <c r="U59" s="218">
        <f>'AEO 2023 Table 59 Raw'!X45</f>
        <v>4.1380369999999997</v>
      </c>
      <c r="V59" s="218">
        <f>'AEO 2023 Table 59 Raw'!Y45</f>
        <v>4.2252559999999999</v>
      </c>
      <c r="W59" s="218">
        <f>'AEO 2023 Table 59 Raw'!Z45</f>
        <v>4.2448370000000004</v>
      </c>
      <c r="X59" s="218">
        <f>'AEO 2023 Table 59 Raw'!AA45</f>
        <v>4.2194149999999997</v>
      </c>
      <c r="Y59" s="218">
        <f>'AEO 2023 Table 59 Raw'!AB45</f>
        <v>4.1595459999999997</v>
      </c>
      <c r="Z59" s="218">
        <f>'AEO 2023 Table 59 Raw'!AC45</f>
        <v>4.1602589999999999</v>
      </c>
      <c r="AA59" s="218">
        <f>'AEO 2023 Table 59 Raw'!AD45</f>
        <v>4.0740990000000004</v>
      </c>
      <c r="AB59" s="218">
        <f>'AEO 2023 Table 59 Raw'!AE45</f>
        <v>4.0680959999999997</v>
      </c>
      <c r="AC59" s="218">
        <f>'AEO 2023 Table 59 Raw'!AF45</f>
        <v>4.0162409999999999</v>
      </c>
      <c r="AD59" s="218">
        <f>'AEO 2023 Table 59 Raw'!AG45</f>
        <v>4.016356</v>
      </c>
      <c r="AE59" s="218">
        <f>'AEO 2023 Table 59 Raw'!AH45</f>
        <v>4.0476710000000002</v>
      </c>
      <c r="AF59" s="256">
        <f>'AEO 2023 Table 59 Raw'!AI45</f>
        <v>-1.4E-2</v>
      </c>
    </row>
    <row r="60" spans="1:32" ht="15" customHeight="1" x14ac:dyDescent="0.25">
      <c r="A60" s="213" t="s">
        <v>733</v>
      </c>
      <c r="B60" s="212" t="s">
        <v>732</v>
      </c>
      <c r="C60" s="218" t="str">
        <f>'AEO 2023 Table 59 Raw'!F46</f>
        <v>- -</v>
      </c>
      <c r="D60" s="218" t="str">
        <f>'AEO 2023 Table 59 Raw'!G46</f>
        <v>- -</v>
      </c>
      <c r="E60" s="218" t="str">
        <f>'AEO 2023 Table 59 Raw'!H46</f>
        <v>- -</v>
      </c>
      <c r="F60" s="218" t="str">
        <f>'AEO 2023 Table 59 Raw'!I46</f>
        <v>- -</v>
      </c>
      <c r="G60" s="218" t="str">
        <f>'AEO 2023 Table 59 Raw'!J46</f>
        <v>- -</v>
      </c>
      <c r="H60" s="218" t="str">
        <f>'AEO 2023 Table 59 Raw'!K46</f>
        <v>- -</v>
      </c>
      <c r="I60" s="218" t="str">
        <f>'AEO 2023 Table 59 Raw'!L46</f>
        <v>- -</v>
      </c>
      <c r="J60" s="218" t="str">
        <f>'AEO 2023 Table 59 Raw'!M46</f>
        <v>- -</v>
      </c>
      <c r="K60" s="218" t="str">
        <f>'AEO 2023 Table 59 Raw'!N46</f>
        <v>- -</v>
      </c>
      <c r="L60" s="218" t="str">
        <f>'AEO 2023 Table 59 Raw'!O46</f>
        <v>- -</v>
      </c>
      <c r="M60" s="218" t="str">
        <f>'AEO 2023 Table 59 Raw'!P46</f>
        <v>- -</v>
      </c>
      <c r="N60" s="218" t="str">
        <f>'AEO 2023 Table 59 Raw'!Q46</f>
        <v>- -</v>
      </c>
      <c r="O60" s="218" t="str">
        <f>'AEO 2023 Table 59 Raw'!R46</f>
        <v>- -</v>
      </c>
      <c r="P60" s="218" t="str">
        <f>'AEO 2023 Table 59 Raw'!S46</f>
        <v>- -</v>
      </c>
      <c r="Q60" s="218" t="str">
        <f>'AEO 2023 Table 59 Raw'!T46</f>
        <v>- -</v>
      </c>
      <c r="R60" s="218" t="str">
        <f>'AEO 2023 Table 59 Raw'!U46</f>
        <v>- -</v>
      </c>
      <c r="S60" s="218" t="str">
        <f>'AEO 2023 Table 59 Raw'!V46</f>
        <v>- -</v>
      </c>
      <c r="T60" s="218" t="str">
        <f>'AEO 2023 Table 59 Raw'!W46</f>
        <v>- -</v>
      </c>
      <c r="U60" s="218" t="str">
        <f>'AEO 2023 Table 59 Raw'!X46</f>
        <v>- -</v>
      </c>
      <c r="V60" s="218" t="str">
        <f>'AEO 2023 Table 59 Raw'!Y46</f>
        <v>- -</v>
      </c>
      <c r="W60" s="218" t="str">
        <f>'AEO 2023 Table 59 Raw'!Z46</f>
        <v>- -</v>
      </c>
      <c r="X60" s="218" t="str">
        <f>'AEO 2023 Table 59 Raw'!AA46</f>
        <v>- -</v>
      </c>
      <c r="Y60" s="218" t="str">
        <f>'AEO 2023 Table 59 Raw'!AB46</f>
        <v>- -</v>
      </c>
      <c r="Z60" s="218" t="str">
        <f>'AEO 2023 Table 59 Raw'!AC46</f>
        <v>- -</v>
      </c>
      <c r="AA60" s="218" t="str">
        <f>'AEO 2023 Table 59 Raw'!AD46</f>
        <v>- -</v>
      </c>
      <c r="AB60" s="218" t="str">
        <f>'AEO 2023 Table 59 Raw'!AE46</f>
        <v>- -</v>
      </c>
      <c r="AC60" s="218" t="str">
        <f>'AEO 2023 Table 59 Raw'!AF46</f>
        <v>- -</v>
      </c>
      <c r="AD60" s="218" t="str">
        <f>'AEO 2023 Table 59 Raw'!AG46</f>
        <v>- -</v>
      </c>
      <c r="AE60" s="218" t="str">
        <f>'AEO 2023 Table 59 Raw'!AH46</f>
        <v>- -</v>
      </c>
      <c r="AF60" s="256" t="str">
        <f>'AEO 2023 Table 59 Raw'!AI46</f>
        <v>- -</v>
      </c>
    </row>
    <row r="61" spans="1:32" ht="15" customHeight="1" x14ac:dyDescent="0.25">
      <c r="A61" s="213"/>
      <c r="B61" s="212"/>
      <c r="C61" s="214"/>
      <c r="D61" s="214"/>
      <c r="E61" s="214"/>
      <c r="F61" s="214"/>
      <c r="G61" s="214"/>
      <c r="H61" s="214"/>
      <c r="I61" s="214"/>
      <c r="J61" s="214"/>
      <c r="K61" s="214"/>
      <c r="L61" s="214"/>
      <c r="M61" s="214"/>
      <c r="N61" s="214"/>
      <c r="O61" s="214"/>
      <c r="P61" s="214"/>
      <c r="Q61" s="214"/>
      <c r="R61" s="214"/>
      <c r="S61" s="214"/>
      <c r="T61" s="214"/>
      <c r="U61" s="214"/>
      <c r="V61" s="214"/>
      <c r="W61" s="214"/>
      <c r="X61" s="214"/>
      <c r="Y61" s="214"/>
      <c r="Z61" s="214"/>
      <c r="AA61" s="214"/>
      <c r="AB61" s="214"/>
      <c r="AC61" s="214"/>
      <c r="AD61" s="214"/>
      <c r="AE61" s="214"/>
      <c r="AF61" s="260"/>
    </row>
    <row r="62" spans="1:32" ht="12" customHeight="1" x14ac:dyDescent="0.2">
      <c r="B62" s="216" t="s">
        <v>731</v>
      </c>
    </row>
    <row r="63" spans="1:32" ht="15" customHeight="1" x14ac:dyDescent="0.25">
      <c r="A63" s="213"/>
      <c r="B63" s="235" t="s">
        <v>730</v>
      </c>
      <c r="C63" s="255">
        <v>0.60270900000000005</v>
      </c>
      <c r="D63" s="255">
        <v>0.51574900000000001</v>
      </c>
      <c r="E63" s="255">
        <v>0.45862000000000003</v>
      </c>
      <c r="F63" s="255">
        <v>0.421902</v>
      </c>
      <c r="G63" s="255">
        <v>0.38908700000000002</v>
      </c>
      <c r="H63" s="255">
        <v>0.35536800000000002</v>
      </c>
      <c r="I63" s="255">
        <v>0.31896999999999998</v>
      </c>
      <c r="J63" s="255">
        <v>0.27977400000000002</v>
      </c>
      <c r="K63" s="255">
        <v>0.247751</v>
      </c>
      <c r="L63" s="255">
        <v>0.21925800000000001</v>
      </c>
      <c r="M63" s="255">
        <v>0.19258900000000001</v>
      </c>
      <c r="N63" s="255">
        <v>0.17216999999999999</v>
      </c>
      <c r="O63" s="255">
        <v>0.15077599999999999</v>
      </c>
      <c r="P63" s="255">
        <v>0.13439899999999999</v>
      </c>
      <c r="Q63" s="255">
        <v>0.119792</v>
      </c>
      <c r="R63" s="255">
        <v>0.10663300000000001</v>
      </c>
      <c r="S63" s="255">
        <v>9.4436000000000006E-2</v>
      </c>
      <c r="T63" s="255">
        <v>8.3186999999999997E-2</v>
      </c>
      <c r="U63" s="255">
        <v>7.4681999999999998E-2</v>
      </c>
      <c r="V63" s="255">
        <v>6.5289E-2</v>
      </c>
      <c r="W63" s="255">
        <v>5.6792000000000002E-2</v>
      </c>
      <c r="X63" s="255">
        <v>5.1069000000000003E-2</v>
      </c>
      <c r="Y63" s="255">
        <v>4.2813999999999998E-2</v>
      </c>
      <c r="Z63" s="255">
        <v>3.8530000000000002E-2</v>
      </c>
      <c r="AA63" s="255">
        <v>5.0213000000000001E-2</v>
      </c>
      <c r="AB63" s="255">
        <v>5.2222999999999999E-2</v>
      </c>
      <c r="AC63" s="255">
        <v>5.3955999999999997E-2</v>
      </c>
      <c r="AD63" s="255">
        <v>5.7515999999999998E-2</v>
      </c>
      <c r="AE63" s="255">
        <v>6.4850000000000005E-2</v>
      </c>
      <c r="AF63" s="261">
        <v>-7.4114984866315403E-2</v>
      </c>
    </row>
    <row r="64" spans="1:32" ht="15" customHeight="1" x14ac:dyDescent="0.25">
      <c r="B64" s="235" t="s">
        <v>729</v>
      </c>
      <c r="C64" s="255">
        <v>5.0825810000000002</v>
      </c>
      <c r="D64" s="255">
        <v>5.6669479999999997</v>
      </c>
      <c r="E64" s="255">
        <v>5.7719959999999997</v>
      </c>
      <c r="F64" s="255">
        <v>5.665076</v>
      </c>
      <c r="G64" s="255">
        <v>5.552168</v>
      </c>
      <c r="H64" s="255">
        <v>5.5238139999999998</v>
      </c>
      <c r="I64" s="255">
        <v>5.5950860000000002</v>
      </c>
      <c r="J64" s="255">
        <v>5.6446639999999997</v>
      </c>
      <c r="K64" s="255">
        <v>5.674849</v>
      </c>
      <c r="L64" s="255">
        <v>5.7954239999999997</v>
      </c>
      <c r="M64" s="255">
        <v>5.8508740000000001</v>
      </c>
      <c r="N64" s="255">
        <v>5.7018120000000003</v>
      </c>
      <c r="O64" s="255">
        <v>5.6214139999999997</v>
      </c>
      <c r="P64" s="255">
        <v>5.5611860000000002</v>
      </c>
      <c r="Q64" s="255">
        <v>5.4897739999999997</v>
      </c>
      <c r="R64" s="255">
        <v>5.4060959999999998</v>
      </c>
      <c r="S64" s="255">
        <v>5.3081519999999998</v>
      </c>
      <c r="T64" s="255">
        <v>5.190531</v>
      </c>
      <c r="U64" s="255">
        <v>5.0929130000000002</v>
      </c>
      <c r="V64" s="255">
        <v>5.0052979999999998</v>
      </c>
      <c r="W64" s="255">
        <v>4.8650659999999997</v>
      </c>
      <c r="X64" s="255">
        <v>4.7396060000000002</v>
      </c>
      <c r="Y64" s="255">
        <v>4.5648220000000004</v>
      </c>
      <c r="Z64" s="255">
        <v>4.4257860000000004</v>
      </c>
      <c r="AA64" s="255">
        <v>4.3069179999999996</v>
      </c>
      <c r="AB64" s="255">
        <v>4.2168109999999999</v>
      </c>
      <c r="AC64" s="255">
        <v>4.1417780000000004</v>
      </c>
      <c r="AD64" s="255">
        <v>4.0672550000000003</v>
      </c>
      <c r="AE64" s="255">
        <v>4.0027629999999998</v>
      </c>
      <c r="AF64" s="261">
        <v>3.808142917060664E-3</v>
      </c>
    </row>
    <row r="65" spans="1:33" ht="15" customHeight="1" x14ac:dyDescent="0.25">
      <c r="A65" s="213"/>
      <c r="B65" s="235" t="s">
        <v>728</v>
      </c>
      <c r="C65" s="255">
        <v>0.38925700000000002</v>
      </c>
      <c r="D65" s="255">
        <v>0.37359599999999998</v>
      </c>
      <c r="E65" s="255">
        <v>0.36211900000000002</v>
      </c>
      <c r="F65" s="255">
        <v>0.355016</v>
      </c>
      <c r="G65" s="255">
        <v>0.34650500000000001</v>
      </c>
      <c r="H65" s="255">
        <v>0.33782499999999999</v>
      </c>
      <c r="I65" s="255">
        <v>0.32825100000000001</v>
      </c>
      <c r="J65" s="255">
        <v>0.317772</v>
      </c>
      <c r="K65" s="255">
        <v>0.30793799999999999</v>
      </c>
      <c r="L65" s="255">
        <v>0.29849900000000001</v>
      </c>
      <c r="M65" s="255">
        <v>0.28899599999999998</v>
      </c>
      <c r="N65" s="255">
        <v>0.28054600000000002</v>
      </c>
      <c r="O65" s="255">
        <v>0.27101799999999998</v>
      </c>
      <c r="P65" s="255">
        <v>0.26355600000000001</v>
      </c>
      <c r="Q65" s="255">
        <v>0.25573099999999999</v>
      </c>
      <c r="R65" s="255">
        <v>0.248114</v>
      </c>
      <c r="S65" s="255">
        <v>0.24066100000000001</v>
      </c>
      <c r="T65" s="255">
        <v>0.23333000000000001</v>
      </c>
      <c r="U65" s="255">
        <v>0.22650100000000001</v>
      </c>
      <c r="V65" s="255">
        <v>0.21954399999999999</v>
      </c>
      <c r="W65" s="255">
        <v>0.21273</v>
      </c>
      <c r="X65" s="255">
        <v>0.20653199999999999</v>
      </c>
      <c r="Y65" s="255">
        <v>0.19985900000000001</v>
      </c>
      <c r="Z65" s="255">
        <v>0.194017</v>
      </c>
      <c r="AA65" s="255">
        <v>0.18826799999999999</v>
      </c>
      <c r="AB65" s="255">
        <v>0.182612</v>
      </c>
      <c r="AC65" s="255">
        <v>0.177263</v>
      </c>
      <c r="AD65" s="255">
        <v>0.17169499999999999</v>
      </c>
      <c r="AE65" s="255">
        <v>0.166632</v>
      </c>
      <c r="AF65" s="261">
        <v>-2.923862275800471E-2</v>
      </c>
    </row>
    <row r="66" spans="1:33" ht="15" customHeight="1" x14ac:dyDescent="0.25">
      <c r="B66" s="235" t="s">
        <v>662</v>
      </c>
      <c r="C66" s="255">
        <v>0.94978899999999999</v>
      </c>
      <c r="D66" s="255">
        <v>0.839754</v>
      </c>
      <c r="E66" s="255">
        <v>0.830345</v>
      </c>
      <c r="F66" s="255">
        <v>0.82006800000000002</v>
      </c>
      <c r="G66" s="255">
        <v>0.81036900000000001</v>
      </c>
      <c r="H66" s="255">
        <v>0.80509799999999998</v>
      </c>
      <c r="I66" s="255">
        <v>0.81403000000000003</v>
      </c>
      <c r="J66" s="255">
        <v>0.79723699999999997</v>
      </c>
      <c r="K66" s="255">
        <v>0.78079600000000005</v>
      </c>
      <c r="L66" s="255">
        <v>0.77337299999999998</v>
      </c>
      <c r="M66" s="255">
        <v>0.77163199999999998</v>
      </c>
      <c r="N66" s="255">
        <v>0.76767099999999999</v>
      </c>
      <c r="O66" s="255">
        <v>0.74456100000000003</v>
      </c>
      <c r="P66" s="255">
        <v>0.726607</v>
      </c>
      <c r="Q66" s="255">
        <v>0.70906000000000002</v>
      </c>
      <c r="R66" s="255">
        <v>0.736259</v>
      </c>
      <c r="S66" s="255">
        <v>0.74299899999999997</v>
      </c>
      <c r="T66" s="255">
        <v>0.737676</v>
      </c>
      <c r="U66" s="255">
        <v>0.74998500000000001</v>
      </c>
      <c r="V66" s="255">
        <v>0.78769400000000001</v>
      </c>
      <c r="W66" s="255">
        <v>0.81886300000000001</v>
      </c>
      <c r="X66" s="255">
        <v>0.83313899999999996</v>
      </c>
      <c r="Y66" s="255">
        <v>0.82725400000000004</v>
      </c>
      <c r="Z66" s="255">
        <v>0.82588200000000001</v>
      </c>
      <c r="AA66" s="255">
        <v>0.87780000000000002</v>
      </c>
      <c r="AB66" s="255">
        <v>0.90115599999999996</v>
      </c>
      <c r="AC66" s="255">
        <v>0.91486800000000001</v>
      </c>
      <c r="AD66" s="255">
        <v>0.93078499999999997</v>
      </c>
      <c r="AE66" s="255">
        <v>0.96051699999999995</v>
      </c>
      <c r="AF66" s="261">
        <v>-1.6966053141018731E-3</v>
      </c>
    </row>
    <row r="67" spans="1:33" ht="15" customHeight="1" x14ac:dyDescent="0.25">
      <c r="A67" s="213"/>
      <c r="B67" s="235" t="s">
        <v>663</v>
      </c>
      <c r="C67" s="255">
        <v>1.504324</v>
      </c>
      <c r="D67" s="255">
        <v>1.5816110000000001</v>
      </c>
      <c r="E67" s="255">
        <v>1.6173219999999999</v>
      </c>
      <c r="F67" s="255">
        <v>1.736254</v>
      </c>
      <c r="G67" s="255">
        <v>1.799061</v>
      </c>
      <c r="H67" s="255">
        <v>1.851364</v>
      </c>
      <c r="I67" s="255">
        <v>1.920302</v>
      </c>
      <c r="J67" s="255">
        <v>1.983822</v>
      </c>
      <c r="K67" s="255">
        <v>2.0494430000000001</v>
      </c>
      <c r="L67" s="255">
        <v>2.092327</v>
      </c>
      <c r="M67" s="255">
        <v>2.1137130000000002</v>
      </c>
      <c r="N67" s="255">
        <v>2.0738439999999998</v>
      </c>
      <c r="O67" s="255">
        <v>1.9986790000000001</v>
      </c>
      <c r="P67" s="255">
        <v>1.969679</v>
      </c>
      <c r="Q67" s="255">
        <v>1.947011</v>
      </c>
      <c r="R67" s="255">
        <v>1.930375</v>
      </c>
      <c r="S67" s="255">
        <v>1.9135740000000001</v>
      </c>
      <c r="T67" s="255">
        <v>1.8968449999999999</v>
      </c>
      <c r="U67" s="255">
        <v>1.8801019999999999</v>
      </c>
      <c r="V67" s="255">
        <v>1.8581909999999999</v>
      </c>
      <c r="W67" s="255">
        <v>1.8258080000000001</v>
      </c>
      <c r="X67" s="255">
        <v>1.8004789999999999</v>
      </c>
      <c r="Y67" s="255">
        <v>1.756254</v>
      </c>
      <c r="Z67" s="255">
        <v>1.748397</v>
      </c>
      <c r="AA67" s="255">
        <v>1.730729</v>
      </c>
      <c r="AB67" s="255">
        <v>1.7146159999999999</v>
      </c>
      <c r="AC67" s="255">
        <v>1.676909</v>
      </c>
      <c r="AD67" s="255">
        <v>1.6414070000000001</v>
      </c>
      <c r="AE67" s="255">
        <v>1.6173660000000001</v>
      </c>
      <c r="AF67" s="261">
        <v>3.0652680901099849E-3</v>
      </c>
    </row>
    <row r="68" spans="1:33" ht="15" customHeight="1" x14ac:dyDescent="0.25">
      <c r="B68" s="235" t="s">
        <v>727</v>
      </c>
      <c r="C68" s="255">
        <v>4.0036000000000002E-2</v>
      </c>
      <c r="D68" s="255">
        <v>3.3991E-2</v>
      </c>
      <c r="E68" s="255">
        <v>3.5609000000000002E-2</v>
      </c>
      <c r="F68" s="255">
        <v>3.7323000000000002E-2</v>
      </c>
      <c r="G68" s="255">
        <v>3.7735999999999999E-2</v>
      </c>
      <c r="H68" s="255">
        <v>3.7662000000000001E-2</v>
      </c>
      <c r="I68" s="255">
        <v>3.7335E-2</v>
      </c>
      <c r="J68" s="255">
        <v>3.6817000000000003E-2</v>
      </c>
      <c r="K68" s="255">
        <v>3.6673999999999998E-2</v>
      </c>
      <c r="L68" s="255">
        <v>3.6711000000000001E-2</v>
      </c>
      <c r="M68" s="255">
        <v>3.6653999999999999E-2</v>
      </c>
      <c r="N68" s="255">
        <v>3.6949000000000003E-2</v>
      </c>
      <c r="O68" s="255">
        <v>3.7225000000000001E-2</v>
      </c>
      <c r="P68" s="255">
        <v>3.764E-2</v>
      </c>
      <c r="Q68" s="255">
        <v>3.7946000000000001E-2</v>
      </c>
      <c r="R68" s="255">
        <v>3.8247999999999997E-2</v>
      </c>
      <c r="S68" s="255">
        <v>3.8573999999999997E-2</v>
      </c>
      <c r="T68" s="255">
        <v>3.8949999999999999E-2</v>
      </c>
      <c r="U68" s="255">
        <v>3.9373999999999999E-2</v>
      </c>
      <c r="V68" s="255">
        <v>3.9858999999999999E-2</v>
      </c>
      <c r="W68" s="255">
        <v>4.0340000000000001E-2</v>
      </c>
      <c r="X68" s="255">
        <v>4.0858999999999999E-2</v>
      </c>
      <c r="Y68" s="255">
        <v>4.1307999999999997E-2</v>
      </c>
      <c r="Z68" s="255">
        <v>4.1718999999999999E-2</v>
      </c>
      <c r="AA68" s="255">
        <v>4.2127999999999999E-2</v>
      </c>
      <c r="AB68" s="255">
        <v>4.2575000000000002E-2</v>
      </c>
      <c r="AC68" s="255">
        <v>4.2997E-2</v>
      </c>
      <c r="AD68" s="255">
        <v>4.3485000000000003E-2</v>
      </c>
      <c r="AE68" s="255">
        <v>4.3992000000000003E-2</v>
      </c>
      <c r="AF68" s="261">
        <v>-1.064421282629258E-2</v>
      </c>
    </row>
    <row r="69" spans="1:33" ht="15" customHeight="1" x14ac:dyDescent="0.25">
      <c r="A69" s="213"/>
      <c r="B69" s="235" t="s">
        <v>726</v>
      </c>
      <c r="C69" s="255">
        <v>9.8828739999999993</v>
      </c>
      <c r="D69" s="255">
        <v>9.6821839999999995</v>
      </c>
      <c r="E69" s="255">
        <v>9.4663389999999996</v>
      </c>
      <c r="F69" s="255">
        <v>9.2109950000000005</v>
      </c>
      <c r="G69" s="255">
        <v>9.1687560000000001</v>
      </c>
      <c r="H69" s="255">
        <v>9.1871600000000004</v>
      </c>
      <c r="I69" s="255">
        <v>9.3475400000000004</v>
      </c>
      <c r="J69" s="255">
        <v>9.5647649999999995</v>
      </c>
      <c r="K69" s="255">
        <v>9.6692250000000008</v>
      </c>
      <c r="L69" s="255">
        <v>9.6028300000000009</v>
      </c>
      <c r="M69" s="255">
        <v>9.6601199999999992</v>
      </c>
      <c r="N69" s="255">
        <v>9.7337129999999998</v>
      </c>
      <c r="O69" s="255">
        <v>9.8514619999999997</v>
      </c>
      <c r="P69" s="255">
        <v>9.8213799999999996</v>
      </c>
      <c r="Q69" s="255">
        <v>9.9512060000000009</v>
      </c>
      <c r="R69" s="255">
        <v>10.028527</v>
      </c>
      <c r="S69" s="255">
        <v>10.108670999999999</v>
      </c>
      <c r="T69" s="255">
        <v>10.19431</v>
      </c>
      <c r="U69" s="255">
        <v>10.310494</v>
      </c>
      <c r="V69" s="255">
        <v>10.442214999999999</v>
      </c>
      <c r="W69" s="255">
        <v>10.561579999999999</v>
      </c>
      <c r="X69" s="255">
        <v>10.54293</v>
      </c>
      <c r="Y69" s="255">
        <v>10.506332</v>
      </c>
      <c r="Z69" s="255">
        <v>10.556562</v>
      </c>
      <c r="AA69" s="255">
        <v>10.617139999999999</v>
      </c>
      <c r="AB69" s="255">
        <v>10.603475</v>
      </c>
      <c r="AC69" s="255">
        <v>10.634814</v>
      </c>
      <c r="AD69" s="255">
        <v>10.655151999999999</v>
      </c>
      <c r="AE69" s="255">
        <v>10.70049</v>
      </c>
      <c r="AF69" s="261">
        <v>7.3624954849944579E-3</v>
      </c>
    </row>
    <row r="70" spans="1:33" ht="12" customHeight="1" x14ac:dyDescent="0.25">
      <c r="B70" s="235" t="s">
        <v>664</v>
      </c>
      <c r="C70" s="255">
        <v>0.72981300000000005</v>
      </c>
      <c r="D70" s="255">
        <v>0.73944200000000004</v>
      </c>
      <c r="E70" s="255">
        <v>0.75242699999999996</v>
      </c>
      <c r="F70" s="255">
        <v>0.80098999999999998</v>
      </c>
      <c r="G70" s="255">
        <v>0.81060399999999999</v>
      </c>
      <c r="H70" s="255">
        <v>0.81085700000000005</v>
      </c>
      <c r="I70" s="255">
        <v>0.81341699999999995</v>
      </c>
      <c r="J70" s="255">
        <v>0.80825800000000003</v>
      </c>
      <c r="K70" s="255">
        <v>0.79953399999999997</v>
      </c>
      <c r="L70" s="255">
        <v>0.78304099999999999</v>
      </c>
      <c r="M70" s="255">
        <v>0.77567900000000001</v>
      </c>
      <c r="N70" s="255">
        <v>0.76971100000000003</v>
      </c>
      <c r="O70" s="255">
        <v>0.76674299999999995</v>
      </c>
      <c r="P70" s="255">
        <v>0.76315500000000003</v>
      </c>
      <c r="Q70" s="255">
        <v>0.75802899999999995</v>
      </c>
      <c r="R70" s="255">
        <v>0.75159900000000002</v>
      </c>
      <c r="S70" s="255">
        <v>0.74606700000000004</v>
      </c>
      <c r="T70" s="255">
        <v>0.74887099999999995</v>
      </c>
      <c r="U70" s="255">
        <v>0.74761299999999997</v>
      </c>
      <c r="V70" s="255">
        <v>0.74961800000000001</v>
      </c>
      <c r="W70" s="255">
        <v>0.74849500000000002</v>
      </c>
      <c r="X70" s="255">
        <v>0.73975000000000002</v>
      </c>
      <c r="Y70" s="255">
        <v>0.72936000000000001</v>
      </c>
      <c r="Z70" s="255">
        <v>0.71838900000000006</v>
      </c>
      <c r="AA70" s="255">
        <v>0.71018000000000003</v>
      </c>
      <c r="AB70" s="255">
        <v>0.69701599999999997</v>
      </c>
      <c r="AC70" s="255">
        <v>0.68491400000000002</v>
      </c>
      <c r="AD70" s="255">
        <v>0.67521600000000004</v>
      </c>
      <c r="AE70" s="255">
        <v>0.66456999999999999</v>
      </c>
      <c r="AF70" s="261">
        <v>-7.9115525779849261E-4</v>
      </c>
    </row>
    <row r="71" spans="1:33" ht="15" customHeight="1" x14ac:dyDescent="0.25">
      <c r="A71" s="213"/>
      <c r="B71" s="235" t="s">
        <v>655</v>
      </c>
      <c r="C71" s="255">
        <v>2.9709210000000001</v>
      </c>
      <c r="D71" s="255">
        <v>3.0605869999999999</v>
      </c>
      <c r="E71" s="255">
        <v>2.8739469999999998</v>
      </c>
      <c r="F71" s="255">
        <v>2.714928</v>
      </c>
      <c r="G71" s="255">
        <v>2.6135790000000001</v>
      </c>
      <c r="H71" s="255">
        <v>2.5886930000000001</v>
      </c>
      <c r="I71" s="255">
        <v>2.5805419999999999</v>
      </c>
      <c r="J71" s="255">
        <v>2.5060259999999999</v>
      </c>
      <c r="K71" s="255">
        <v>2.3793739999999999</v>
      </c>
      <c r="L71" s="255">
        <v>2.6230720000000001</v>
      </c>
      <c r="M71" s="255">
        <v>2.7437649999999998</v>
      </c>
      <c r="N71" s="255">
        <v>2.8247840000000002</v>
      </c>
      <c r="O71" s="255">
        <v>3.0518879999999999</v>
      </c>
      <c r="P71" s="255">
        <v>3.0978089999999998</v>
      </c>
      <c r="Q71" s="255">
        <v>3.143046</v>
      </c>
      <c r="R71" s="255">
        <v>3.2899690000000001</v>
      </c>
      <c r="S71" s="255">
        <v>3.3473220000000001</v>
      </c>
      <c r="T71" s="255">
        <v>3.4521389999999998</v>
      </c>
      <c r="U71" s="255">
        <v>3.5716920000000001</v>
      </c>
      <c r="V71" s="255">
        <v>3.6567690000000002</v>
      </c>
      <c r="W71" s="255">
        <v>3.684707</v>
      </c>
      <c r="X71" s="255">
        <v>3.9083510000000001</v>
      </c>
      <c r="Y71" s="255">
        <v>4.1268729999999998</v>
      </c>
      <c r="Z71" s="255">
        <v>4.185009</v>
      </c>
      <c r="AA71" s="255">
        <v>4.231706</v>
      </c>
      <c r="AB71" s="255">
        <v>4.4837680000000004</v>
      </c>
      <c r="AC71" s="255">
        <v>4.6457829999999998</v>
      </c>
      <c r="AD71" s="255">
        <v>4.6962060000000001</v>
      </c>
      <c r="AE71" s="255">
        <v>4.776205</v>
      </c>
      <c r="AF71" s="261">
        <v>1.8585316542633731E-2</v>
      </c>
    </row>
    <row r="72" spans="1:33" ht="15" customHeight="1" x14ac:dyDescent="0.25">
      <c r="B72" s="235" t="s">
        <v>654</v>
      </c>
      <c r="C72" s="255">
        <v>5.0104110000000004</v>
      </c>
      <c r="D72" s="255">
        <v>5.3265099999999999</v>
      </c>
      <c r="E72" s="255">
        <v>6.0661339999999999</v>
      </c>
      <c r="F72" s="255">
        <v>6.6059760000000001</v>
      </c>
      <c r="G72" s="255">
        <v>7.0674479999999997</v>
      </c>
      <c r="H72" s="255">
        <v>7.4316139999999997</v>
      </c>
      <c r="I72" s="255">
        <v>7.7728479999999998</v>
      </c>
      <c r="J72" s="255">
        <v>8.0088849999999994</v>
      </c>
      <c r="K72" s="255">
        <v>8.1886469999999996</v>
      </c>
      <c r="L72" s="255">
        <v>8.2841550000000002</v>
      </c>
      <c r="M72" s="255">
        <v>8.4430890000000005</v>
      </c>
      <c r="N72" s="255">
        <v>8.5656219999999994</v>
      </c>
      <c r="O72" s="255">
        <v>8.5935790000000001</v>
      </c>
      <c r="P72" s="255">
        <v>8.5968689999999999</v>
      </c>
      <c r="Q72" s="255">
        <v>8.6543969999999995</v>
      </c>
      <c r="R72" s="255">
        <v>8.7266770000000005</v>
      </c>
      <c r="S72" s="255">
        <v>8.8379499999999993</v>
      </c>
      <c r="T72" s="255">
        <v>9.0022310000000001</v>
      </c>
      <c r="U72" s="255">
        <v>9.1599660000000007</v>
      </c>
      <c r="V72" s="255">
        <v>9.2439339999999994</v>
      </c>
      <c r="W72" s="255">
        <v>9.4339490000000001</v>
      </c>
      <c r="X72" s="255">
        <v>9.6287870000000009</v>
      </c>
      <c r="Y72" s="255">
        <v>9.9043880000000009</v>
      </c>
      <c r="Z72" s="255">
        <v>10.075343</v>
      </c>
      <c r="AA72" s="255">
        <v>10.232612</v>
      </c>
      <c r="AB72" s="255">
        <v>10.339174</v>
      </c>
      <c r="AC72" s="255">
        <v>10.486917</v>
      </c>
      <c r="AD72" s="255">
        <v>10.584052</v>
      </c>
      <c r="AE72" s="255">
        <v>10.671181000000001</v>
      </c>
      <c r="AF72" s="261">
        <v>2.2209820298216831E-2</v>
      </c>
    </row>
    <row r="73" spans="1:33" ht="15" customHeight="1" x14ac:dyDescent="0.25">
      <c r="A73" s="213"/>
      <c r="B73" s="235" t="s">
        <v>653</v>
      </c>
      <c r="C73" s="255">
        <v>27.162714000000001</v>
      </c>
      <c r="D73" s="255">
        <v>27.82037</v>
      </c>
      <c r="E73" s="255">
        <v>28.234859</v>
      </c>
      <c r="F73" s="255">
        <v>28.368525999999999</v>
      </c>
      <c r="G73" s="255">
        <v>28.595313999999998</v>
      </c>
      <c r="H73" s="255">
        <v>28.929455000000001</v>
      </c>
      <c r="I73" s="255">
        <v>29.528320000000001</v>
      </c>
      <c r="J73" s="255">
        <v>29.948021000000001</v>
      </c>
      <c r="K73" s="255">
        <v>30.134232000000001</v>
      </c>
      <c r="L73" s="255">
        <v>30.508690000000001</v>
      </c>
      <c r="M73" s="255">
        <v>30.877109999999998</v>
      </c>
      <c r="N73" s="255">
        <v>30.926821</v>
      </c>
      <c r="O73" s="255">
        <v>31.087344999999999</v>
      </c>
      <c r="P73" s="255">
        <v>30.972282</v>
      </c>
      <c r="Q73" s="255">
        <v>31.065989999999999</v>
      </c>
      <c r="R73" s="255">
        <v>31.262495000000001</v>
      </c>
      <c r="S73" s="255">
        <v>31.378406999999999</v>
      </c>
      <c r="T73" s="255">
        <v>31.578071999999999</v>
      </c>
      <c r="U73" s="255">
        <v>31.853321000000001</v>
      </c>
      <c r="V73" s="255">
        <v>32.068413</v>
      </c>
      <c r="W73" s="255">
        <v>32.248333000000002</v>
      </c>
      <c r="X73" s="255">
        <v>32.491501</v>
      </c>
      <c r="Y73" s="255">
        <v>32.699264999999997</v>
      </c>
      <c r="Z73" s="255">
        <v>32.809635</v>
      </c>
      <c r="AA73" s="255">
        <v>32.987693999999998</v>
      </c>
      <c r="AB73" s="255">
        <v>33.233424999999997</v>
      </c>
      <c r="AC73" s="255">
        <v>33.460197000000001</v>
      </c>
      <c r="AD73" s="255">
        <v>33.522773999999998</v>
      </c>
      <c r="AE73" s="255">
        <v>33.668564000000003</v>
      </c>
      <c r="AF73" s="261">
        <v>1.0448500888911029E-2</v>
      </c>
    </row>
    <row r="75" spans="1:33" ht="15" customHeight="1" x14ac:dyDescent="0.25">
      <c r="A75" s="213"/>
      <c r="B75" s="212"/>
      <c r="C75" s="214"/>
      <c r="D75" s="214"/>
      <c r="E75" s="214"/>
      <c r="F75" s="214"/>
      <c r="G75" s="214"/>
      <c r="H75" s="214"/>
      <c r="I75" s="214"/>
      <c r="J75" s="214"/>
      <c r="K75" s="214"/>
      <c r="L75" s="214"/>
      <c r="M75" s="214"/>
      <c r="N75" s="214"/>
      <c r="O75" s="214"/>
      <c r="P75" s="214"/>
      <c r="Q75" s="214"/>
      <c r="R75" s="214"/>
      <c r="S75" s="214"/>
      <c r="T75" s="214"/>
      <c r="U75" s="214"/>
      <c r="V75" s="214"/>
      <c r="W75" s="214"/>
      <c r="X75" s="214"/>
      <c r="Y75" s="214"/>
      <c r="Z75" s="214"/>
      <c r="AA75" s="214"/>
      <c r="AB75" s="214"/>
      <c r="AC75" s="214"/>
      <c r="AD75" s="214"/>
      <c r="AE75" s="214"/>
      <c r="AF75" s="260"/>
    </row>
    <row r="77" spans="1:33" ht="15" customHeight="1" thickBot="1" x14ac:dyDescent="0.25"/>
    <row r="78" spans="1:33" ht="12" customHeight="1" x14ac:dyDescent="0.2">
      <c r="B78" s="312" t="s">
        <v>725</v>
      </c>
      <c r="C78" s="308"/>
      <c r="D78" s="308"/>
      <c r="E78" s="308"/>
      <c r="F78" s="308"/>
      <c r="G78" s="308"/>
      <c r="H78" s="308"/>
      <c r="I78" s="308"/>
      <c r="J78" s="308"/>
      <c r="K78" s="308"/>
      <c r="L78" s="308"/>
      <c r="M78" s="308"/>
      <c r="N78" s="308"/>
      <c r="O78" s="308"/>
      <c r="P78" s="308"/>
      <c r="Q78" s="308"/>
      <c r="R78" s="308"/>
      <c r="S78" s="308"/>
      <c r="T78" s="308"/>
      <c r="U78" s="308"/>
      <c r="V78" s="308"/>
      <c r="W78" s="308"/>
      <c r="X78" s="308"/>
      <c r="Y78" s="308"/>
      <c r="Z78" s="308"/>
      <c r="AA78" s="308"/>
      <c r="AB78" s="308"/>
      <c r="AC78" s="308"/>
      <c r="AD78" s="308"/>
      <c r="AE78" s="308"/>
      <c r="AF78" s="308"/>
      <c r="AG78" s="234"/>
    </row>
    <row r="79" spans="1:33" ht="15" customHeight="1" x14ac:dyDescent="0.2">
      <c r="B79" s="208" t="s">
        <v>601</v>
      </c>
    </row>
    <row r="80" spans="1:33" ht="15" customHeight="1" x14ac:dyDescent="0.2">
      <c r="B80" s="208" t="s">
        <v>724</v>
      </c>
    </row>
    <row r="81" spans="2:32" ht="15" customHeight="1" x14ac:dyDescent="0.2">
      <c r="B81" s="208" t="s">
        <v>723</v>
      </c>
    </row>
    <row r="82" spans="2:32" ht="15" customHeight="1" x14ac:dyDescent="0.2">
      <c r="B82" s="208" t="s">
        <v>613</v>
      </c>
    </row>
    <row r="83" spans="2:32" ht="15" customHeight="1" x14ac:dyDescent="0.2">
      <c r="B83" s="208" t="s">
        <v>722</v>
      </c>
    </row>
    <row r="84" spans="2:32" ht="12" customHeight="1" x14ac:dyDescent="0.2"/>
    <row r="88" spans="2:32" ht="15" customHeight="1" x14ac:dyDescent="0.2">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c r="AD88" s="306"/>
      <c r="AE88" s="306"/>
      <c r="AF88" s="306"/>
    </row>
    <row r="93" spans="2:32" ht="12" customHeight="1" x14ac:dyDescent="0.2"/>
    <row r="94" spans="2:32" ht="12" customHeight="1" x14ac:dyDescent="0.2"/>
    <row r="95" spans="2:32" ht="12" customHeight="1" x14ac:dyDescent="0.2"/>
    <row r="96" spans="2:32" ht="12" customHeight="1" x14ac:dyDescent="0.2"/>
    <row r="97" ht="12" customHeight="1" x14ac:dyDescent="0.2"/>
    <row r="98" ht="12" customHeight="1" x14ac:dyDescent="0.2"/>
    <row r="99" ht="12" customHeight="1" x14ac:dyDescent="0.2"/>
    <row r="100" ht="12" customHeight="1" x14ac:dyDescent="0.2"/>
    <row r="101" ht="12" customHeight="1" x14ac:dyDescent="0.2"/>
    <row r="102" ht="12" customHeight="1" x14ac:dyDescent="0.2"/>
    <row r="103" ht="12" customHeight="1" x14ac:dyDescent="0.2"/>
    <row r="104" ht="12" customHeight="1" x14ac:dyDescent="0.2"/>
    <row r="105" ht="12" customHeight="1" x14ac:dyDescent="0.2"/>
    <row r="106" ht="12" customHeight="1" x14ac:dyDescent="0.2"/>
    <row r="107" ht="12" customHeight="1" x14ac:dyDescent="0.2"/>
    <row r="108" ht="12" customHeight="1" x14ac:dyDescent="0.2"/>
    <row r="109" ht="12" customHeight="1" x14ac:dyDescent="0.2"/>
    <row r="110" ht="12" customHeight="1" x14ac:dyDescent="0.2"/>
    <row r="111" ht="12" customHeight="1" x14ac:dyDescent="0.2"/>
    <row r="112" ht="12" customHeight="1" x14ac:dyDescent="0.2"/>
    <row r="113" ht="12" customHeight="1" x14ac:dyDescent="0.2"/>
    <row r="114" ht="12" customHeight="1" x14ac:dyDescent="0.2"/>
    <row r="115" ht="12" customHeight="1" x14ac:dyDescent="0.2"/>
    <row r="116" ht="12" customHeight="1" x14ac:dyDescent="0.2"/>
    <row r="117" ht="12" customHeight="1" x14ac:dyDescent="0.2"/>
    <row r="118" ht="12" customHeight="1" x14ac:dyDescent="0.2"/>
    <row r="119" ht="12" customHeight="1" x14ac:dyDescent="0.2"/>
    <row r="120" ht="12" customHeight="1" x14ac:dyDescent="0.2"/>
    <row r="121" ht="12" customHeight="1" x14ac:dyDescent="0.2"/>
    <row r="122" ht="12" customHeight="1" x14ac:dyDescent="0.2"/>
    <row r="123" ht="12" customHeight="1" x14ac:dyDescent="0.2"/>
    <row r="124" ht="12" customHeight="1" x14ac:dyDescent="0.2"/>
    <row r="125" ht="12" customHeight="1" x14ac:dyDescent="0.2"/>
    <row r="126" ht="12" customHeight="1" x14ac:dyDescent="0.2"/>
    <row r="127" ht="12" customHeight="1" x14ac:dyDescent="0.2"/>
    <row r="128" ht="12" customHeight="1" x14ac:dyDescent="0.2"/>
    <row r="129" ht="12" customHeight="1" x14ac:dyDescent="0.2"/>
    <row r="130" ht="12" customHeight="1" x14ac:dyDescent="0.2"/>
    <row r="131" ht="12" customHeight="1" x14ac:dyDescent="0.2"/>
    <row r="132" ht="12" customHeight="1" x14ac:dyDescent="0.2"/>
    <row r="133" ht="12" customHeight="1" x14ac:dyDescent="0.2"/>
    <row r="134" ht="12" customHeight="1" x14ac:dyDescent="0.2"/>
    <row r="135" ht="12" customHeight="1" x14ac:dyDescent="0.2"/>
    <row r="136" ht="12" customHeight="1" x14ac:dyDescent="0.2"/>
    <row r="137" ht="12" customHeight="1" x14ac:dyDescent="0.2"/>
    <row r="138" ht="12" customHeight="1" x14ac:dyDescent="0.2"/>
    <row r="139" ht="12" customHeight="1" x14ac:dyDescent="0.2"/>
    <row r="140" ht="12" customHeight="1" x14ac:dyDescent="0.2"/>
    <row r="141" ht="12" customHeight="1" x14ac:dyDescent="0.2"/>
    <row r="142" ht="12" customHeight="1" x14ac:dyDescent="0.2"/>
    <row r="143" ht="12" customHeight="1" x14ac:dyDescent="0.2"/>
    <row r="144" ht="12" customHeight="1" x14ac:dyDescent="0.2"/>
    <row r="145" ht="12" customHeight="1" x14ac:dyDescent="0.2"/>
    <row r="146" ht="12" customHeight="1" x14ac:dyDescent="0.2"/>
    <row r="147" ht="12" customHeight="1" x14ac:dyDescent="0.2"/>
    <row r="148" ht="12" customHeight="1" x14ac:dyDescent="0.2"/>
    <row r="149" ht="12" customHeight="1" x14ac:dyDescent="0.2"/>
    <row r="158" ht="12" customHeight="1" x14ac:dyDescent="0.2"/>
    <row r="167" ht="12" customHeight="1" x14ac:dyDescent="0.2"/>
    <row r="179" ht="12" customHeight="1" x14ac:dyDescent="0.2"/>
    <row r="180" ht="12" customHeight="1" x14ac:dyDescent="0.2"/>
    <row r="182" ht="12" customHeight="1" x14ac:dyDescent="0.2"/>
    <row r="184" ht="12" customHeight="1" x14ac:dyDescent="0.2"/>
    <row r="193" ht="12" customHeight="1" x14ac:dyDescent="0.2"/>
    <row r="214" spans="2:32" ht="15" customHeight="1" x14ac:dyDescent="0.2">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c r="AD214" s="306"/>
      <c r="AE214" s="306"/>
      <c r="AF214" s="306"/>
    </row>
    <row r="221" spans="2:32" ht="12" customHeight="1" x14ac:dyDescent="0.2"/>
    <row r="222" spans="2:32" ht="12" customHeight="1" x14ac:dyDescent="0.2"/>
    <row r="223" spans="2:32" ht="12" customHeight="1" x14ac:dyDescent="0.2"/>
    <row r="224" spans="2:32" ht="12" customHeight="1" x14ac:dyDescent="0.2"/>
    <row r="225" ht="12" customHeight="1" x14ac:dyDescent="0.2"/>
    <row r="226" ht="12" customHeight="1" x14ac:dyDescent="0.2"/>
    <row r="227" ht="12" customHeight="1" x14ac:dyDescent="0.2"/>
    <row r="228" ht="12" customHeight="1" x14ac:dyDescent="0.2"/>
    <row r="229" ht="12" customHeight="1" x14ac:dyDescent="0.2"/>
    <row r="230" ht="12" customHeight="1" x14ac:dyDescent="0.2"/>
    <row r="231" ht="12" customHeight="1" x14ac:dyDescent="0.2"/>
    <row r="232" ht="12" customHeight="1" x14ac:dyDescent="0.2"/>
    <row r="233" ht="12" customHeight="1" x14ac:dyDescent="0.2"/>
    <row r="234" ht="12" customHeight="1" x14ac:dyDescent="0.2"/>
    <row r="235" ht="12" customHeight="1" x14ac:dyDescent="0.2"/>
    <row r="236" ht="12" customHeight="1" x14ac:dyDescent="0.2"/>
    <row r="237" ht="12" customHeight="1" x14ac:dyDescent="0.2"/>
    <row r="238" ht="12" customHeight="1" x14ac:dyDescent="0.2"/>
    <row r="239" ht="12" customHeight="1" x14ac:dyDescent="0.2"/>
    <row r="240" ht="12" customHeight="1" x14ac:dyDescent="0.2"/>
    <row r="241" ht="12" customHeight="1" x14ac:dyDescent="0.2"/>
    <row r="242" ht="12" customHeight="1" x14ac:dyDescent="0.2"/>
    <row r="243" ht="12" customHeight="1" x14ac:dyDescent="0.2"/>
    <row r="244" ht="12" customHeight="1" x14ac:dyDescent="0.2"/>
    <row r="245" ht="12" customHeight="1" x14ac:dyDescent="0.2"/>
    <row r="246" ht="12" customHeight="1" x14ac:dyDescent="0.2"/>
    <row r="247" ht="12" customHeight="1" x14ac:dyDescent="0.2"/>
    <row r="248" ht="12" customHeight="1" x14ac:dyDescent="0.2"/>
    <row r="249" ht="12" customHeight="1" x14ac:dyDescent="0.2"/>
    <row r="250" ht="12" customHeight="1" x14ac:dyDescent="0.2"/>
    <row r="251" ht="12" customHeight="1" x14ac:dyDescent="0.2"/>
    <row r="252" ht="12" customHeight="1" x14ac:dyDescent="0.2"/>
    <row r="253" ht="12" customHeight="1" x14ac:dyDescent="0.2"/>
    <row r="254" ht="12" customHeight="1" x14ac:dyDescent="0.2"/>
    <row r="255" ht="12" customHeight="1" x14ac:dyDescent="0.2"/>
    <row r="256" ht="12" customHeight="1" x14ac:dyDescent="0.2"/>
    <row r="257" ht="12" customHeight="1" x14ac:dyDescent="0.2"/>
    <row r="258" ht="12" customHeight="1" x14ac:dyDescent="0.2"/>
    <row r="259" ht="12" customHeight="1" x14ac:dyDescent="0.2"/>
    <row r="260" ht="12" customHeight="1" x14ac:dyDescent="0.2"/>
    <row r="261" ht="12" customHeight="1" x14ac:dyDescent="0.2"/>
    <row r="262" ht="12" customHeight="1" x14ac:dyDescent="0.2"/>
    <row r="263" ht="12" customHeight="1" x14ac:dyDescent="0.2"/>
    <row r="264" ht="12" customHeight="1" x14ac:dyDescent="0.2"/>
    <row r="265" ht="12" customHeight="1" x14ac:dyDescent="0.2"/>
    <row r="266" ht="12" customHeight="1" x14ac:dyDescent="0.2"/>
    <row r="267" ht="12" customHeight="1" x14ac:dyDescent="0.2"/>
    <row r="268" ht="12" customHeight="1" x14ac:dyDescent="0.2"/>
    <row r="269" ht="12" customHeight="1" x14ac:dyDescent="0.2"/>
    <row r="270" ht="12" customHeight="1" x14ac:dyDescent="0.2"/>
    <row r="271" ht="12" customHeight="1" x14ac:dyDescent="0.2"/>
    <row r="272" ht="12" customHeight="1" x14ac:dyDescent="0.2"/>
    <row r="273" ht="12" customHeight="1" x14ac:dyDescent="0.2"/>
    <row r="274" ht="12" customHeight="1" x14ac:dyDescent="0.2"/>
    <row r="275" ht="12" customHeight="1" x14ac:dyDescent="0.2"/>
    <row r="276" ht="12" customHeight="1" x14ac:dyDescent="0.2"/>
    <row r="277" ht="12" customHeight="1" x14ac:dyDescent="0.2"/>
    <row r="278" ht="12" customHeight="1" x14ac:dyDescent="0.2"/>
    <row r="279" ht="12" customHeight="1" x14ac:dyDescent="0.2"/>
    <row r="280" ht="12" customHeight="1" x14ac:dyDescent="0.2"/>
    <row r="281" ht="12" customHeight="1" x14ac:dyDescent="0.2"/>
    <row r="282" ht="12" customHeight="1" x14ac:dyDescent="0.2"/>
    <row r="283" ht="12" customHeight="1" x14ac:dyDescent="0.2"/>
    <row r="284" ht="12" customHeight="1" x14ac:dyDescent="0.2"/>
    <row r="285" ht="12" customHeight="1" x14ac:dyDescent="0.2"/>
    <row r="286" ht="12" customHeight="1" x14ac:dyDescent="0.2"/>
    <row r="287" ht="12" customHeight="1" x14ac:dyDescent="0.2"/>
    <row r="288" ht="12" customHeight="1" x14ac:dyDescent="0.2"/>
    <row r="289" ht="12" customHeight="1" x14ac:dyDescent="0.2"/>
    <row r="290" ht="12" customHeight="1" x14ac:dyDescent="0.2"/>
    <row r="291" ht="12" customHeight="1" x14ac:dyDescent="0.2"/>
    <row r="292" ht="12" customHeight="1" x14ac:dyDescent="0.2"/>
    <row r="293" ht="12" customHeight="1" x14ac:dyDescent="0.2"/>
    <row r="294" ht="12" customHeight="1" x14ac:dyDescent="0.2"/>
    <row r="295" ht="12" customHeight="1" x14ac:dyDescent="0.2"/>
    <row r="296" ht="12" customHeight="1" x14ac:dyDescent="0.2"/>
    <row r="297" ht="12" customHeight="1" x14ac:dyDescent="0.2"/>
    <row r="298" ht="12" customHeight="1" x14ac:dyDescent="0.2"/>
    <row r="299" ht="12" customHeight="1" x14ac:dyDescent="0.2"/>
    <row r="300" ht="12" customHeight="1" x14ac:dyDescent="0.2"/>
    <row r="301" ht="12" customHeight="1" x14ac:dyDescent="0.2"/>
    <row r="302" ht="12" customHeight="1" x14ac:dyDescent="0.2"/>
    <row r="303" ht="12" customHeight="1" x14ac:dyDescent="0.2"/>
    <row r="304" ht="12" customHeight="1" x14ac:dyDescent="0.2"/>
    <row r="305" ht="12" customHeight="1" x14ac:dyDescent="0.2"/>
    <row r="306" ht="12" customHeight="1" x14ac:dyDescent="0.2"/>
    <row r="307" ht="12" customHeight="1" x14ac:dyDescent="0.2"/>
    <row r="308" ht="12" customHeight="1" x14ac:dyDescent="0.2"/>
    <row r="309" ht="12" customHeight="1" x14ac:dyDescent="0.2"/>
    <row r="310" ht="12" customHeight="1" x14ac:dyDescent="0.2"/>
    <row r="311" ht="12" customHeight="1" x14ac:dyDescent="0.2"/>
    <row r="312" ht="12" customHeight="1" x14ac:dyDescent="0.2"/>
    <row r="313" ht="12" customHeight="1" x14ac:dyDescent="0.2"/>
    <row r="314" ht="12" customHeight="1" x14ac:dyDescent="0.2"/>
    <row r="322" ht="12" customHeight="1" x14ac:dyDescent="0.2"/>
    <row r="331" ht="12" customHeight="1" x14ac:dyDescent="0.2"/>
    <row r="343" ht="12" customHeight="1" x14ac:dyDescent="0.2"/>
    <row r="344" ht="12" customHeight="1" x14ac:dyDescent="0.2"/>
    <row r="349" ht="12" customHeight="1" x14ac:dyDescent="0.2"/>
    <row r="352" ht="12" customHeight="1" x14ac:dyDescent="0.2"/>
    <row r="361" ht="12" customHeight="1" x14ac:dyDescent="0.2"/>
    <row r="383" spans="2:32" ht="15" customHeight="1" x14ac:dyDescent="0.2">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c r="AD383" s="306"/>
      <c r="AE383" s="306"/>
      <c r="AF383" s="306"/>
    </row>
    <row r="389" ht="12" customHeight="1" x14ac:dyDescent="0.2"/>
    <row r="390" ht="12" customHeight="1" x14ac:dyDescent="0.2"/>
    <row r="391" ht="12" customHeight="1" x14ac:dyDescent="0.2"/>
    <row r="392" ht="12" customHeight="1" x14ac:dyDescent="0.2"/>
    <row r="393" ht="12" customHeight="1" x14ac:dyDescent="0.2"/>
    <row r="394" ht="12" customHeight="1" x14ac:dyDescent="0.2"/>
    <row r="395" ht="12" customHeight="1" x14ac:dyDescent="0.2"/>
    <row r="396" ht="12" customHeight="1" x14ac:dyDescent="0.2"/>
    <row r="397" ht="12" customHeight="1" x14ac:dyDescent="0.2"/>
    <row r="398" ht="12" customHeight="1" x14ac:dyDescent="0.2"/>
    <row r="399" ht="12" customHeight="1" x14ac:dyDescent="0.2"/>
    <row r="400" ht="12" customHeight="1" x14ac:dyDescent="0.2"/>
    <row r="401" ht="12" customHeight="1" x14ac:dyDescent="0.2"/>
    <row r="402" ht="12" customHeight="1" x14ac:dyDescent="0.2"/>
    <row r="403" ht="12" customHeight="1" x14ac:dyDescent="0.2"/>
    <row r="404" ht="12" customHeight="1" x14ac:dyDescent="0.2"/>
    <row r="405" ht="12" customHeight="1" x14ac:dyDescent="0.2"/>
    <row r="406" ht="12" customHeight="1" x14ac:dyDescent="0.2"/>
    <row r="407" ht="12" customHeight="1" x14ac:dyDescent="0.2"/>
    <row r="408" ht="12" customHeight="1" x14ac:dyDescent="0.2"/>
    <row r="409" ht="12" customHeight="1" x14ac:dyDescent="0.2"/>
    <row r="410" ht="12" customHeight="1" x14ac:dyDescent="0.2"/>
    <row r="411" ht="12" customHeight="1" x14ac:dyDescent="0.2"/>
    <row r="412" ht="12" customHeight="1" x14ac:dyDescent="0.2"/>
    <row r="413" ht="12" customHeight="1" x14ac:dyDescent="0.2"/>
    <row r="414" ht="12" customHeight="1" x14ac:dyDescent="0.2"/>
    <row r="415" ht="12" customHeight="1" x14ac:dyDescent="0.2"/>
    <row r="416" ht="12" customHeight="1" x14ac:dyDescent="0.2"/>
    <row r="417" ht="12" customHeight="1" x14ac:dyDescent="0.2"/>
    <row r="418" ht="12" customHeight="1" x14ac:dyDescent="0.2"/>
    <row r="419" ht="12" customHeight="1" x14ac:dyDescent="0.2"/>
    <row r="420" ht="12" customHeight="1" x14ac:dyDescent="0.2"/>
    <row r="421" ht="12" customHeight="1" x14ac:dyDescent="0.2"/>
    <row r="422" ht="12" customHeight="1" x14ac:dyDescent="0.2"/>
    <row r="423" ht="12" customHeight="1" x14ac:dyDescent="0.2"/>
    <row r="424" ht="12" customHeight="1" x14ac:dyDescent="0.2"/>
    <row r="425" ht="12" customHeight="1" x14ac:dyDescent="0.2"/>
    <row r="426" ht="12" customHeight="1" x14ac:dyDescent="0.2"/>
    <row r="427" ht="12" customHeight="1" x14ac:dyDescent="0.2"/>
    <row r="428" ht="12" customHeight="1" x14ac:dyDescent="0.2"/>
    <row r="429" ht="12" customHeight="1" x14ac:dyDescent="0.2"/>
    <row r="430" ht="12" customHeight="1" x14ac:dyDescent="0.2"/>
    <row r="431" ht="12" customHeight="1" x14ac:dyDescent="0.2"/>
    <row r="432" ht="12" customHeight="1" x14ac:dyDescent="0.2"/>
    <row r="433" ht="12" customHeight="1" x14ac:dyDescent="0.2"/>
    <row r="434" ht="12" customHeight="1" x14ac:dyDescent="0.2"/>
    <row r="435" ht="12" customHeight="1" x14ac:dyDescent="0.2"/>
    <row r="436" ht="12" customHeight="1" x14ac:dyDescent="0.2"/>
    <row r="437" ht="12" customHeight="1" x14ac:dyDescent="0.2"/>
    <row r="438" ht="12" customHeight="1" x14ac:dyDescent="0.2"/>
    <row r="439" ht="12" customHeight="1" x14ac:dyDescent="0.2"/>
    <row r="440" ht="12" customHeight="1" x14ac:dyDescent="0.2"/>
    <row r="441" ht="12" customHeight="1" x14ac:dyDescent="0.2"/>
    <row r="442" ht="12" customHeight="1" x14ac:dyDescent="0.2"/>
    <row r="443" ht="12" customHeight="1" x14ac:dyDescent="0.2"/>
    <row r="444" ht="12" customHeight="1" x14ac:dyDescent="0.2"/>
    <row r="445" ht="12" customHeight="1" x14ac:dyDescent="0.2"/>
    <row r="446" ht="12" customHeight="1" x14ac:dyDescent="0.2"/>
    <row r="447" ht="12" customHeight="1" x14ac:dyDescent="0.2"/>
    <row r="448" ht="12" customHeight="1" x14ac:dyDescent="0.2"/>
    <row r="449" ht="12" customHeight="1" x14ac:dyDescent="0.2"/>
    <row r="450" ht="12" customHeight="1" x14ac:dyDescent="0.2"/>
    <row r="451" ht="12" customHeight="1" x14ac:dyDescent="0.2"/>
    <row r="452" ht="12" customHeight="1" x14ac:dyDescent="0.2"/>
    <row r="453" ht="12" customHeight="1" x14ac:dyDescent="0.2"/>
    <row r="454" ht="12" customHeight="1" x14ac:dyDescent="0.2"/>
    <row r="455" ht="12" customHeight="1" x14ac:dyDescent="0.2"/>
    <row r="456" ht="12" customHeight="1" x14ac:dyDescent="0.2"/>
    <row r="457" ht="12" customHeight="1" x14ac:dyDescent="0.2"/>
    <row r="458" ht="12" customHeight="1" x14ac:dyDescent="0.2"/>
    <row r="459" ht="12" customHeight="1" x14ac:dyDescent="0.2"/>
    <row r="460" ht="12" customHeight="1" x14ac:dyDescent="0.2"/>
    <row r="461" ht="12" customHeight="1" x14ac:dyDescent="0.2"/>
    <row r="462" ht="12" customHeight="1" x14ac:dyDescent="0.2"/>
    <row r="463" ht="12" customHeight="1" x14ac:dyDescent="0.2"/>
    <row r="464" ht="12" customHeight="1" x14ac:dyDescent="0.2"/>
    <row r="465" ht="12" customHeight="1" x14ac:dyDescent="0.2"/>
    <row r="466" ht="12" customHeight="1" x14ac:dyDescent="0.2"/>
    <row r="467" ht="12" customHeight="1" x14ac:dyDescent="0.2"/>
    <row r="468" ht="12" customHeight="1" x14ac:dyDescent="0.2"/>
    <row r="469" ht="12" customHeight="1" x14ac:dyDescent="0.2"/>
    <row r="470" ht="12" customHeight="1" x14ac:dyDescent="0.2"/>
    <row r="471" ht="12" customHeight="1" x14ac:dyDescent="0.2"/>
    <row r="472" ht="12" customHeight="1" x14ac:dyDescent="0.2"/>
    <row r="473" ht="12" customHeight="1" x14ac:dyDescent="0.2"/>
    <row r="474" ht="12" customHeight="1" x14ac:dyDescent="0.2"/>
    <row r="475" ht="12" customHeight="1" x14ac:dyDescent="0.2"/>
    <row r="476" ht="12" customHeight="1" x14ac:dyDescent="0.2"/>
    <row r="477" ht="12" customHeight="1" x14ac:dyDescent="0.2"/>
    <row r="478" ht="12" customHeight="1" x14ac:dyDescent="0.2"/>
    <row r="479" ht="12" customHeight="1" x14ac:dyDescent="0.2"/>
    <row r="480" ht="12" customHeight="1" x14ac:dyDescent="0.2"/>
    <row r="500" spans="2:32" ht="15" customHeight="1" x14ac:dyDescent="0.2">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c r="AD500" s="306"/>
      <c r="AE500" s="306"/>
      <c r="AF500" s="306"/>
    </row>
    <row r="504" spans="2:32" ht="12" customHeight="1" x14ac:dyDescent="0.2"/>
    <row r="505" spans="2:32" ht="12" customHeight="1" x14ac:dyDescent="0.2"/>
    <row r="506" spans="2:32" ht="12" customHeight="1" x14ac:dyDescent="0.2"/>
    <row r="507" spans="2:32" ht="12" customHeight="1" x14ac:dyDescent="0.2"/>
    <row r="508" spans="2:32" ht="12" customHeight="1" x14ac:dyDescent="0.2"/>
    <row r="509" spans="2:32" ht="12" customHeight="1" x14ac:dyDescent="0.2"/>
    <row r="510" spans="2:32" ht="12" customHeight="1" x14ac:dyDescent="0.2"/>
    <row r="511" spans="2:32" ht="12" customHeight="1" x14ac:dyDescent="0.2"/>
    <row r="512" spans="2:32" ht="12" customHeight="1" x14ac:dyDescent="0.2"/>
    <row r="513" ht="12" customHeight="1" x14ac:dyDescent="0.2"/>
    <row r="514" ht="12" customHeight="1" x14ac:dyDescent="0.2"/>
    <row r="515" ht="12" customHeight="1" x14ac:dyDescent="0.2"/>
    <row r="516" ht="12" customHeight="1" x14ac:dyDescent="0.2"/>
    <row r="517" ht="12" customHeight="1" x14ac:dyDescent="0.2"/>
    <row r="518" ht="12" customHeight="1" x14ac:dyDescent="0.2"/>
    <row r="519" ht="12" customHeight="1" x14ac:dyDescent="0.2"/>
    <row r="520" ht="12" customHeight="1" x14ac:dyDescent="0.2"/>
    <row r="521" ht="12" customHeight="1" x14ac:dyDescent="0.2"/>
    <row r="522" ht="12" customHeight="1" x14ac:dyDescent="0.2"/>
    <row r="523" ht="12" customHeight="1" x14ac:dyDescent="0.2"/>
    <row r="524" ht="12" customHeight="1" x14ac:dyDescent="0.2"/>
    <row r="525" ht="12" customHeight="1" x14ac:dyDescent="0.2"/>
    <row r="526" ht="12" customHeight="1" x14ac:dyDescent="0.2"/>
    <row r="527" ht="12" customHeight="1" x14ac:dyDescent="0.2"/>
    <row r="528" ht="12" customHeight="1" x14ac:dyDescent="0.2"/>
    <row r="529" ht="12" customHeight="1" x14ac:dyDescent="0.2"/>
    <row r="530" ht="12" customHeight="1" x14ac:dyDescent="0.2"/>
    <row r="531" ht="12" customHeight="1" x14ac:dyDescent="0.2"/>
    <row r="532" ht="12" customHeight="1" x14ac:dyDescent="0.2"/>
    <row r="533" ht="12" customHeight="1" x14ac:dyDescent="0.2"/>
    <row r="534" ht="12" customHeight="1" x14ac:dyDescent="0.2"/>
    <row r="535" ht="12" customHeight="1" x14ac:dyDescent="0.2"/>
    <row r="536" ht="12" customHeight="1" x14ac:dyDescent="0.2"/>
    <row r="537" ht="12" customHeight="1" x14ac:dyDescent="0.2"/>
    <row r="538" ht="12" customHeight="1" x14ac:dyDescent="0.2"/>
    <row r="539" ht="12" customHeight="1" x14ac:dyDescent="0.2"/>
    <row r="540" ht="12" customHeight="1" x14ac:dyDescent="0.2"/>
    <row r="541" ht="12" customHeight="1" x14ac:dyDescent="0.2"/>
    <row r="542" ht="12" customHeight="1" x14ac:dyDescent="0.2"/>
    <row r="543" ht="12" customHeight="1" x14ac:dyDescent="0.2"/>
    <row r="544" ht="12" customHeight="1" x14ac:dyDescent="0.2"/>
    <row r="545" ht="12" customHeight="1" x14ac:dyDescent="0.2"/>
    <row r="546" ht="12" customHeight="1" x14ac:dyDescent="0.2"/>
    <row r="547" ht="12" customHeight="1" x14ac:dyDescent="0.2"/>
    <row r="548" ht="12" customHeight="1" x14ac:dyDescent="0.2"/>
    <row r="549" ht="12" customHeight="1" x14ac:dyDescent="0.2"/>
    <row r="550" ht="12" customHeight="1" x14ac:dyDescent="0.2"/>
    <row r="551" ht="12" customHeight="1" x14ac:dyDescent="0.2"/>
    <row r="552" ht="12" customHeight="1" x14ac:dyDescent="0.2"/>
    <row r="553" ht="12" customHeight="1" x14ac:dyDescent="0.2"/>
    <row r="554" ht="12" customHeight="1" x14ac:dyDescent="0.2"/>
    <row r="555" ht="12" customHeight="1" x14ac:dyDescent="0.2"/>
    <row r="556" ht="12" customHeight="1" x14ac:dyDescent="0.2"/>
    <row r="557" ht="12" customHeight="1" x14ac:dyDescent="0.2"/>
    <row r="558" ht="12" customHeight="1" x14ac:dyDescent="0.2"/>
    <row r="559" ht="12" customHeight="1" x14ac:dyDescent="0.2"/>
    <row r="560" ht="12" customHeight="1" x14ac:dyDescent="0.2"/>
    <row r="561" ht="12" customHeight="1" x14ac:dyDescent="0.2"/>
    <row r="562" ht="12" customHeight="1" x14ac:dyDescent="0.2"/>
    <row r="563" ht="12" customHeight="1" x14ac:dyDescent="0.2"/>
    <row r="564" ht="12" customHeight="1" x14ac:dyDescent="0.2"/>
    <row r="565" ht="12" customHeight="1" x14ac:dyDescent="0.2"/>
    <row r="566" ht="12" customHeight="1" x14ac:dyDescent="0.2"/>
    <row r="567" ht="12" customHeight="1" x14ac:dyDescent="0.2"/>
    <row r="568" ht="12" customHeight="1" x14ac:dyDescent="0.2"/>
    <row r="569" ht="12" customHeight="1" x14ac:dyDescent="0.2"/>
    <row r="570" ht="12" customHeight="1" x14ac:dyDescent="0.2"/>
    <row r="571" ht="12" customHeight="1" x14ac:dyDescent="0.2"/>
    <row r="572" ht="12" customHeight="1" x14ac:dyDescent="0.2"/>
    <row r="573" ht="12" customHeight="1" x14ac:dyDescent="0.2"/>
    <row r="574" ht="12" customHeight="1" x14ac:dyDescent="0.2"/>
    <row r="575" ht="12" customHeight="1" x14ac:dyDescent="0.2"/>
    <row r="576" ht="12" customHeight="1" x14ac:dyDescent="0.2"/>
    <row r="577" ht="12" customHeight="1" x14ac:dyDescent="0.2"/>
    <row r="578" ht="12" customHeight="1" x14ac:dyDescent="0.2"/>
    <row r="579" ht="12" customHeight="1" x14ac:dyDescent="0.2"/>
    <row r="580" ht="12" customHeight="1" x14ac:dyDescent="0.2"/>
    <row r="596" ht="12" customHeight="1" x14ac:dyDescent="0.2"/>
    <row r="607" ht="12" customHeight="1" x14ac:dyDescent="0.2"/>
    <row r="618" ht="12" customHeight="1" x14ac:dyDescent="0.2"/>
    <row r="629" ht="12" customHeight="1" x14ac:dyDescent="0.2"/>
    <row r="640" ht="12" customHeight="1" x14ac:dyDescent="0.2"/>
    <row r="652" spans="2:32" ht="15" customHeight="1" x14ac:dyDescent="0.2">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c r="AD652" s="306"/>
      <c r="AE652" s="306"/>
      <c r="AF652" s="306"/>
    </row>
    <row r="663" ht="12" customHeight="1" x14ac:dyDescent="0.2"/>
    <row r="664" ht="12" customHeight="1" x14ac:dyDescent="0.2"/>
    <row r="665" ht="12" customHeight="1" x14ac:dyDescent="0.2"/>
    <row r="666" ht="12" customHeight="1" x14ac:dyDescent="0.2"/>
    <row r="667" ht="12" customHeight="1" x14ac:dyDescent="0.2"/>
    <row r="668" ht="12" customHeight="1" x14ac:dyDescent="0.2"/>
    <row r="669" ht="12" customHeight="1" x14ac:dyDescent="0.2"/>
    <row r="670" ht="12" customHeight="1" x14ac:dyDescent="0.2"/>
    <row r="671" ht="12" customHeight="1" x14ac:dyDescent="0.2"/>
    <row r="672" ht="12" customHeight="1" x14ac:dyDescent="0.2"/>
    <row r="673" ht="12" customHeight="1" x14ac:dyDescent="0.2"/>
    <row r="674" ht="12" customHeight="1" x14ac:dyDescent="0.2"/>
    <row r="675" ht="12" customHeight="1" x14ac:dyDescent="0.2"/>
    <row r="676" ht="12" customHeight="1" x14ac:dyDescent="0.2"/>
    <row r="677" ht="12" customHeight="1" x14ac:dyDescent="0.2"/>
    <row r="678" ht="12" customHeight="1" x14ac:dyDescent="0.2"/>
    <row r="679" ht="12" customHeight="1" x14ac:dyDescent="0.2"/>
    <row r="680" ht="12" customHeight="1" x14ac:dyDescent="0.2"/>
    <row r="696" ht="12" customHeight="1" x14ac:dyDescent="0.2"/>
    <row r="707" ht="12" customHeight="1" x14ac:dyDescent="0.2"/>
    <row r="718" ht="12" customHeight="1" x14ac:dyDescent="0.2"/>
    <row r="729" ht="12" customHeight="1" x14ac:dyDescent="0.2"/>
    <row r="740" spans="2:32" ht="12" customHeight="1" x14ac:dyDescent="0.2"/>
    <row r="752" spans="2:32" ht="15" customHeight="1" x14ac:dyDescent="0.2">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c r="AD752" s="306"/>
      <c r="AE752" s="306"/>
      <c r="AF752" s="306"/>
    </row>
    <row r="762" ht="12" customHeight="1" x14ac:dyDescent="0.2"/>
    <row r="763" ht="12" customHeight="1" x14ac:dyDescent="0.2"/>
    <row r="764" ht="12" customHeight="1" x14ac:dyDescent="0.2"/>
    <row r="765" ht="12" customHeight="1" x14ac:dyDescent="0.2"/>
    <row r="766" ht="12" customHeight="1" x14ac:dyDescent="0.2"/>
    <row r="767" ht="12" customHeight="1" x14ac:dyDescent="0.2"/>
    <row r="768" ht="12" customHeight="1" x14ac:dyDescent="0.2"/>
    <row r="769" ht="12" customHeight="1" x14ac:dyDescent="0.2"/>
    <row r="770" ht="12" customHeight="1" x14ac:dyDescent="0.2"/>
    <row r="771" ht="12" customHeight="1" x14ac:dyDescent="0.2"/>
    <row r="772" ht="12" customHeight="1" x14ac:dyDescent="0.2"/>
    <row r="773" ht="12" customHeight="1" x14ac:dyDescent="0.2"/>
    <row r="774" ht="12" customHeight="1" x14ac:dyDescent="0.2"/>
    <row r="775" ht="12" customHeight="1" x14ac:dyDescent="0.2"/>
    <row r="776" ht="12" customHeight="1" x14ac:dyDescent="0.2"/>
    <row r="777" ht="12" customHeight="1" x14ac:dyDescent="0.2"/>
    <row r="778" ht="12" customHeight="1" x14ac:dyDescent="0.2"/>
    <row r="779" ht="12" customHeight="1" x14ac:dyDescent="0.2"/>
    <row r="780" ht="12" customHeight="1" x14ac:dyDescent="0.2"/>
    <row r="789" ht="12" customHeight="1" x14ac:dyDescent="0.2"/>
    <row r="794" ht="12" customHeight="1" x14ac:dyDescent="0.2"/>
    <row r="801" ht="12" customHeight="1" x14ac:dyDescent="0.2"/>
    <row r="806" ht="12" customHeight="1" x14ac:dyDescent="0.2"/>
    <row r="810" ht="12" customHeight="1" x14ac:dyDescent="0.2"/>
    <row r="816" ht="12" customHeight="1" x14ac:dyDescent="0.2"/>
    <row r="823" ht="12" customHeight="1" x14ac:dyDescent="0.2"/>
    <row r="828" ht="12" customHeight="1" x14ac:dyDescent="0.2"/>
    <row r="832" ht="12" customHeight="1" x14ac:dyDescent="0.2"/>
    <row r="837" spans="2:32" ht="12" customHeight="1" x14ac:dyDescent="0.2"/>
    <row r="843" spans="2:32" ht="15" customHeight="1" x14ac:dyDescent="0.2">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c r="AD843" s="306"/>
      <c r="AE843" s="306"/>
      <c r="AF843" s="306"/>
    </row>
    <row r="852" ht="12" customHeight="1" x14ac:dyDescent="0.2"/>
    <row r="853" ht="12" customHeight="1" x14ac:dyDescent="0.2"/>
    <row r="854" ht="12" customHeight="1" x14ac:dyDescent="0.2"/>
    <row r="855" ht="12" customHeight="1" x14ac:dyDescent="0.2"/>
    <row r="856" ht="12" customHeight="1" x14ac:dyDescent="0.2"/>
    <row r="857" ht="12" customHeight="1" x14ac:dyDescent="0.2"/>
    <row r="858" ht="12" customHeight="1" x14ac:dyDescent="0.2"/>
    <row r="859" ht="12" customHeight="1" x14ac:dyDescent="0.2"/>
    <row r="860" ht="12" customHeight="1" x14ac:dyDescent="0.2"/>
    <row r="861" ht="12" customHeight="1" x14ac:dyDescent="0.2"/>
    <row r="862" ht="12" customHeight="1" x14ac:dyDescent="0.2"/>
    <row r="863" ht="12" customHeight="1" x14ac:dyDescent="0.2"/>
    <row r="864" ht="12" customHeight="1" x14ac:dyDescent="0.2"/>
    <row r="865" ht="12" customHeight="1" x14ac:dyDescent="0.2"/>
    <row r="866" ht="12" customHeight="1" x14ac:dyDescent="0.2"/>
    <row r="867" ht="12" customHeight="1" x14ac:dyDescent="0.2"/>
    <row r="868" ht="12" customHeight="1" x14ac:dyDescent="0.2"/>
    <row r="869" ht="12" customHeight="1" x14ac:dyDescent="0.2"/>
    <row r="870" ht="12" customHeight="1" x14ac:dyDescent="0.2"/>
    <row r="871" ht="12" customHeight="1" x14ac:dyDescent="0.2"/>
    <row r="872" ht="12" customHeight="1" x14ac:dyDescent="0.2"/>
    <row r="873" ht="12" customHeight="1" x14ac:dyDescent="0.2"/>
    <row r="874" ht="12" customHeight="1" x14ac:dyDescent="0.2"/>
    <row r="875" ht="12" customHeight="1" x14ac:dyDescent="0.2"/>
    <row r="876" ht="12" customHeight="1" x14ac:dyDescent="0.2"/>
    <row r="877" ht="12" customHeight="1" x14ac:dyDescent="0.2"/>
    <row r="878" ht="12" customHeight="1" x14ac:dyDescent="0.2"/>
    <row r="879" ht="12" customHeight="1" x14ac:dyDescent="0.2"/>
    <row r="880" ht="12" customHeight="1" x14ac:dyDescent="0.2"/>
    <row r="887" ht="12" customHeight="1" x14ac:dyDescent="0.2"/>
    <row r="893" ht="12" customHeight="1" x14ac:dyDescent="0.2"/>
    <row r="896" ht="12" customHeight="1" x14ac:dyDescent="0.2"/>
    <row r="898" ht="12" customHeight="1" x14ac:dyDescent="0.2"/>
    <row r="899" ht="12" customHeight="1" x14ac:dyDescent="0.2"/>
    <row r="902" ht="12" customHeight="1" x14ac:dyDescent="0.2"/>
    <row r="908" ht="12" customHeight="1" x14ac:dyDescent="0.2"/>
    <row r="911" ht="12" customHeight="1" x14ac:dyDescent="0.2"/>
    <row r="914" spans="2:32" ht="15" customHeight="1" x14ac:dyDescent="0.2">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c r="AD914" s="306"/>
      <c r="AE914" s="306"/>
      <c r="AF914" s="306"/>
    </row>
    <row r="923" spans="2:32" ht="12" customHeight="1" x14ac:dyDescent="0.2"/>
    <row r="924" spans="2:32" ht="12" customHeight="1" x14ac:dyDescent="0.2"/>
    <row r="925" spans="2:32" ht="12" customHeight="1" x14ac:dyDescent="0.2"/>
    <row r="926" spans="2:32" ht="12" customHeight="1" x14ac:dyDescent="0.2"/>
    <row r="927" spans="2:32" ht="12" customHeight="1" x14ac:dyDescent="0.2"/>
    <row r="928" spans="2:32" ht="12" customHeight="1" x14ac:dyDescent="0.2"/>
    <row r="929" ht="12" customHeight="1" x14ac:dyDescent="0.2"/>
    <row r="930" ht="12" customHeight="1" x14ac:dyDescent="0.2"/>
    <row r="940" ht="12" customHeight="1" x14ac:dyDescent="0.2"/>
    <row r="945" ht="12" customHeight="1" x14ac:dyDescent="0.2"/>
    <row r="950" ht="12" customHeight="1" x14ac:dyDescent="0.2"/>
    <row r="955" ht="12" customHeight="1" x14ac:dyDescent="0.2"/>
    <row r="957" ht="12" customHeight="1" x14ac:dyDescent="0.2"/>
    <row r="961" ht="12" customHeight="1" x14ac:dyDescent="0.2"/>
    <row r="963" ht="12" customHeight="1" x14ac:dyDescent="0.2"/>
    <row r="968" ht="12" customHeight="1" x14ac:dyDescent="0.2"/>
    <row r="972" ht="12" customHeight="1" x14ac:dyDescent="0.2"/>
    <row r="976" ht="12" customHeight="1" x14ac:dyDescent="0.2"/>
    <row r="977" ht="12" customHeight="1" x14ac:dyDescent="0.2"/>
    <row r="982" ht="12" customHeight="1" x14ac:dyDescent="0.2"/>
    <row r="987" ht="12" customHeight="1" x14ac:dyDescent="0.2"/>
    <row r="990" ht="12" customHeight="1" x14ac:dyDescent="0.2"/>
    <row r="992" ht="12" customHeight="1" x14ac:dyDescent="0.2"/>
    <row r="997" ht="12" customHeight="1" x14ac:dyDescent="0.2"/>
    <row r="1001" ht="12" customHeight="1" x14ac:dyDescent="0.2"/>
    <row r="1004" ht="12" customHeight="1" x14ac:dyDescent="0.2"/>
    <row r="1006" ht="12" customHeight="1" x14ac:dyDescent="0.2"/>
    <row r="1009" spans="2:32" ht="15" customHeight="1" x14ac:dyDescent="0.2">
      <c r="B1009" s="306"/>
      <c r="C1009" s="306"/>
      <c r="D1009" s="306"/>
      <c r="E1009" s="306"/>
      <c r="F1009" s="306"/>
      <c r="G1009" s="306"/>
      <c r="H1009" s="306"/>
      <c r="I1009" s="306"/>
      <c r="J1009" s="306"/>
      <c r="K1009" s="306"/>
      <c r="L1009" s="306"/>
      <c r="M1009" s="306"/>
      <c r="N1009" s="306"/>
      <c r="O1009" s="306"/>
      <c r="P1009" s="306"/>
      <c r="Q1009" s="306"/>
      <c r="R1009" s="306"/>
      <c r="S1009" s="306"/>
      <c r="T1009" s="306"/>
      <c r="U1009" s="306"/>
      <c r="V1009" s="306"/>
      <c r="W1009" s="306"/>
      <c r="X1009" s="306"/>
      <c r="Y1009" s="306"/>
      <c r="Z1009" s="306"/>
      <c r="AA1009" s="306"/>
      <c r="AB1009" s="306"/>
      <c r="AC1009" s="306"/>
      <c r="AD1009" s="306"/>
      <c r="AE1009" s="306"/>
      <c r="AF1009" s="306"/>
    </row>
    <row r="1032" ht="12" customHeight="1" x14ac:dyDescent="0.2"/>
    <row r="1033" ht="12" customHeight="1" x14ac:dyDescent="0.2"/>
    <row r="1034" ht="12" customHeight="1" x14ac:dyDescent="0.2"/>
    <row r="1035" ht="12" customHeight="1" x14ac:dyDescent="0.2"/>
    <row r="1036" ht="12" customHeight="1" x14ac:dyDescent="0.2"/>
    <row r="1037" ht="12" customHeight="1" x14ac:dyDescent="0.2"/>
    <row r="1038" ht="12" customHeight="1" x14ac:dyDescent="0.2"/>
    <row r="1039" ht="12" customHeight="1" x14ac:dyDescent="0.2"/>
    <row r="1040" ht="12" customHeight="1" x14ac:dyDescent="0.2"/>
    <row r="1041" ht="12" customHeight="1" x14ac:dyDescent="0.2"/>
    <row r="1042" ht="12" customHeight="1" x14ac:dyDescent="0.2"/>
    <row r="1043" ht="12" customHeight="1" x14ac:dyDescent="0.2"/>
    <row r="1044" ht="12" customHeight="1" x14ac:dyDescent="0.2"/>
    <row r="1045" ht="12" customHeight="1" x14ac:dyDescent="0.2"/>
    <row r="1046" ht="12" customHeight="1" x14ac:dyDescent="0.2"/>
    <row r="1047" ht="12" customHeight="1" x14ac:dyDescent="0.2"/>
    <row r="1048" ht="12" customHeight="1" x14ac:dyDescent="0.2"/>
    <row r="1049" ht="12" customHeight="1" x14ac:dyDescent="0.2"/>
    <row r="1050" ht="12" customHeight="1" x14ac:dyDescent="0.2"/>
    <row r="1051" ht="12" customHeight="1" x14ac:dyDescent="0.2"/>
    <row r="1052" ht="12" customHeight="1" x14ac:dyDescent="0.2"/>
    <row r="1053" ht="12" customHeight="1" x14ac:dyDescent="0.2"/>
    <row r="1054" ht="12" customHeight="1" x14ac:dyDescent="0.2"/>
    <row r="1055" ht="12" customHeight="1" x14ac:dyDescent="0.2"/>
    <row r="1056" ht="12" customHeight="1" x14ac:dyDescent="0.2"/>
    <row r="1057" ht="12" customHeight="1" x14ac:dyDescent="0.2"/>
    <row r="1058" ht="12" customHeight="1" x14ac:dyDescent="0.2"/>
    <row r="1059" ht="12" customHeight="1" x14ac:dyDescent="0.2"/>
    <row r="1060" ht="12" customHeight="1" x14ac:dyDescent="0.2"/>
    <row r="1061" ht="12" customHeight="1" x14ac:dyDescent="0.2"/>
    <row r="1062" ht="12" customHeight="1" x14ac:dyDescent="0.2"/>
    <row r="1063" ht="12" customHeight="1" x14ac:dyDescent="0.2"/>
    <row r="1064" ht="12" customHeight="1" x14ac:dyDescent="0.2"/>
    <row r="1065" ht="12" customHeight="1" x14ac:dyDescent="0.2"/>
    <row r="1066" ht="12" customHeight="1" x14ac:dyDescent="0.2"/>
    <row r="1067" ht="12" customHeight="1" x14ac:dyDescent="0.2"/>
    <row r="1068" ht="12" customHeight="1" x14ac:dyDescent="0.2"/>
    <row r="1069" ht="12" customHeight="1" x14ac:dyDescent="0.2"/>
    <row r="1070" ht="12" customHeight="1" x14ac:dyDescent="0.2"/>
    <row r="1071" ht="12" customHeight="1" x14ac:dyDescent="0.2"/>
    <row r="1072" ht="12" customHeight="1" x14ac:dyDescent="0.2"/>
    <row r="1073" ht="12" customHeight="1" x14ac:dyDescent="0.2"/>
    <row r="1074" ht="12" customHeight="1" x14ac:dyDescent="0.2"/>
    <row r="1075" ht="12" customHeight="1" x14ac:dyDescent="0.2"/>
    <row r="1076" ht="12" customHeight="1" x14ac:dyDescent="0.2"/>
    <row r="1077" ht="12" customHeight="1" x14ac:dyDescent="0.2"/>
    <row r="1078" ht="12" customHeight="1" x14ac:dyDescent="0.2"/>
    <row r="1079" ht="12" customHeight="1" x14ac:dyDescent="0.2"/>
    <row r="1080" ht="12" customHeight="1" x14ac:dyDescent="0.2"/>
    <row r="1090" ht="12" customHeight="1" x14ac:dyDescent="0.2"/>
    <row r="1095" ht="12" customHeight="1" x14ac:dyDescent="0.2"/>
    <row r="1100" ht="12" customHeight="1" x14ac:dyDescent="0.2"/>
    <row r="1105" ht="12" customHeight="1" x14ac:dyDescent="0.2"/>
    <row r="1107" ht="12" customHeight="1" x14ac:dyDescent="0.2"/>
    <row r="1111" ht="12" customHeight="1" x14ac:dyDescent="0.2"/>
    <row r="1113" ht="12" customHeight="1" x14ac:dyDescent="0.2"/>
    <row r="1118" ht="12" customHeight="1" x14ac:dyDescent="0.2"/>
    <row r="1122" ht="12" customHeight="1" x14ac:dyDescent="0.2"/>
    <row r="1126" ht="12" customHeight="1" x14ac:dyDescent="0.2"/>
    <row r="1127" ht="12" customHeight="1" x14ac:dyDescent="0.2"/>
    <row r="1132" ht="12" customHeight="1" x14ac:dyDescent="0.2"/>
    <row r="1137" ht="12" customHeight="1" x14ac:dyDescent="0.2"/>
    <row r="1140" ht="12" customHeight="1" x14ac:dyDescent="0.2"/>
    <row r="1142" ht="12" customHeight="1" x14ac:dyDescent="0.2"/>
    <row r="1147" ht="12" customHeight="1" x14ac:dyDescent="0.2"/>
    <row r="1151" ht="12" customHeight="1" x14ac:dyDescent="0.2"/>
    <row r="1154" spans="2:32" ht="12" customHeight="1" x14ac:dyDescent="0.2"/>
    <row r="1156" spans="2:32" ht="12" customHeight="1" x14ac:dyDescent="0.2"/>
    <row r="1159" spans="2:32" ht="15" customHeight="1" x14ac:dyDescent="0.2">
      <c r="B1159" s="306"/>
      <c r="C1159" s="306"/>
      <c r="D1159" s="306"/>
      <c r="E1159" s="306"/>
      <c r="F1159" s="306"/>
      <c r="G1159" s="306"/>
      <c r="H1159" s="306"/>
      <c r="I1159" s="306"/>
      <c r="J1159" s="306"/>
      <c r="K1159" s="306"/>
      <c r="L1159" s="306"/>
      <c r="M1159" s="306"/>
      <c r="N1159" s="306"/>
      <c r="O1159" s="306"/>
      <c r="P1159" s="306"/>
      <c r="Q1159" s="306"/>
      <c r="R1159" s="306"/>
      <c r="S1159" s="306"/>
      <c r="T1159" s="306"/>
      <c r="U1159" s="306"/>
      <c r="V1159" s="306"/>
      <c r="W1159" s="306"/>
      <c r="X1159" s="306"/>
      <c r="Y1159" s="306"/>
      <c r="Z1159" s="306"/>
      <c r="AA1159" s="306"/>
      <c r="AB1159" s="306"/>
      <c r="AC1159" s="306"/>
      <c r="AD1159" s="306"/>
      <c r="AE1159" s="306"/>
      <c r="AF1159" s="306"/>
    </row>
    <row r="1180" ht="12" customHeight="1" x14ac:dyDescent="0.2"/>
    <row r="1181" ht="12" customHeight="1" x14ac:dyDescent="0.2"/>
    <row r="1182" ht="12" customHeight="1" x14ac:dyDescent="0.2"/>
    <row r="1183" ht="12" customHeight="1" x14ac:dyDescent="0.2"/>
    <row r="1184" ht="12" customHeight="1" x14ac:dyDescent="0.2"/>
    <row r="1185" ht="12" customHeight="1" x14ac:dyDescent="0.2"/>
    <row r="1186" ht="12" customHeight="1" x14ac:dyDescent="0.2"/>
    <row r="1187" ht="12" customHeight="1" x14ac:dyDescent="0.2"/>
    <row r="1188" ht="12" customHeight="1" x14ac:dyDescent="0.2"/>
    <row r="1189" ht="12" customHeight="1" x14ac:dyDescent="0.2"/>
    <row r="1190" ht="12" customHeight="1" x14ac:dyDescent="0.2"/>
    <row r="1191" ht="12" customHeight="1" x14ac:dyDescent="0.2"/>
    <row r="1192" ht="12" customHeight="1" x14ac:dyDescent="0.2"/>
    <row r="1193" ht="12" customHeight="1" x14ac:dyDescent="0.2"/>
    <row r="1194" ht="12" customHeight="1" x14ac:dyDescent="0.2"/>
    <row r="1195" ht="12" customHeight="1" x14ac:dyDescent="0.2"/>
    <row r="1196" ht="12" customHeight="1" x14ac:dyDescent="0.2"/>
    <row r="1197" ht="12" customHeight="1" x14ac:dyDescent="0.2"/>
    <row r="1198" ht="12" customHeight="1" x14ac:dyDescent="0.2"/>
    <row r="1199" ht="12" customHeight="1" x14ac:dyDescent="0.2"/>
    <row r="1200" ht="12" customHeight="1" x14ac:dyDescent="0.2"/>
    <row r="1201" ht="12" customHeight="1" x14ac:dyDescent="0.2"/>
    <row r="1202" ht="12" customHeight="1" x14ac:dyDescent="0.2"/>
    <row r="1203" ht="12" customHeight="1" x14ac:dyDescent="0.2"/>
    <row r="1204" ht="12" customHeight="1" x14ac:dyDescent="0.2"/>
    <row r="1205" ht="12" customHeight="1" x14ac:dyDescent="0.2"/>
    <row r="1269" ht="12" customHeight="1" x14ac:dyDescent="0.2"/>
    <row r="1304" ht="12" customHeight="1" x14ac:dyDescent="0.2"/>
    <row r="1317" ht="12" customHeight="1" x14ac:dyDescent="0.2"/>
    <row r="1331" spans="2:32" ht="15" customHeight="1" x14ac:dyDescent="0.2">
      <c r="B1331" s="306"/>
      <c r="C1331" s="306"/>
      <c r="D1331" s="306"/>
      <c r="E1331" s="306"/>
      <c r="F1331" s="306"/>
      <c r="G1331" s="306"/>
      <c r="H1331" s="306"/>
      <c r="I1331" s="306"/>
      <c r="J1331" s="306"/>
      <c r="K1331" s="306"/>
      <c r="L1331" s="306"/>
      <c r="M1331" s="306"/>
      <c r="N1331" s="306"/>
      <c r="O1331" s="306"/>
      <c r="P1331" s="306"/>
      <c r="Q1331" s="306"/>
      <c r="R1331" s="306"/>
      <c r="S1331" s="306"/>
      <c r="T1331" s="306"/>
      <c r="U1331" s="306"/>
      <c r="V1331" s="306"/>
      <c r="W1331" s="306"/>
      <c r="X1331" s="306"/>
      <c r="Y1331" s="306"/>
      <c r="Z1331" s="306"/>
      <c r="AA1331" s="306"/>
      <c r="AB1331" s="306"/>
      <c r="AC1331" s="306"/>
      <c r="AD1331" s="306"/>
      <c r="AE1331" s="306"/>
      <c r="AF1331" s="306"/>
    </row>
    <row r="1335" spans="2:32" ht="12" customHeight="1" x14ac:dyDescent="0.2"/>
    <row r="1336" spans="2:32" ht="12" customHeight="1" x14ac:dyDescent="0.2"/>
    <row r="1337" spans="2:32" ht="12" customHeight="1" x14ac:dyDescent="0.2"/>
    <row r="1338" spans="2:32" ht="12" customHeight="1" x14ac:dyDescent="0.2"/>
    <row r="1339" spans="2:32" ht="12" customHeight="1" x14ac:dyDescent="0.2"/>
    <row r="1340" spans="2:32" ht="12" customHeight="1" x14ac:dyDescent="0.2"/>
    <row r="1341" spans="2:32" ht="12" customHeight="1" x14ac:dyDescent="0.2"/>
    <row r="1342" spans="2:32" ht="12" customHeight="1" x14ac:dyDescent="0.2"/>
    <row r="1343" spans="2:32" ht="12" customHeight="1" x14ac:dyDescent="0.2"/>
    <row r="1344" spans="2:32" ht="12" customHeight="1" x14ac:dyDescent="0.2"/>
    <row r="1345" ht="12" customHeight="1" x14ac:dyDescent="0.2"/>
    <row r="1346" ht="12" customHeight="1" x14ac:dyDescent="0.2"/>
    <row r="1347" ht="12" customHeight="1" x14ac:dyDescent="0.2"/>
    <row r="1348" ht="12" customHeight="1" x14ac:dyDescent="0.2"/>
    <row r="1349" ht="12" customHeight="1" x14ac:dyDescent="0.2"/>
    <row r="1350" ht="12" customHeight="1" x14ac:dyDescent="0.2"/>
    <row r="1351" ht="12" customHeight="1" x14ac:dyDescent="0.2"/>
    <row r="1352" ht="12" customHeight="1" x14ac:dyDescent="0.2"/>
    <row r="1353" ht="12" customHeight="1" x14ac:dyDescent="0.2"/>
    <row r="1354" ht="12" customHeight="1" x14ac:dyDescent="0.2"/>
    <row r="1355" ht="12" customHeight="1" x14ac:dyDescent="0.2"/>
    <row r="1398" ht="12" customHeight="1" x14ac:dyDescent="0.2"/>
    <row r="1407" ht="12" customHeight="1" x14ac:dyDescent="0.2"/>
    <row r="1421" ht="12" customHeight="1" x14ac:dyDescent="0.2"/>
    <row r="1426" spans="2:32" ht="15" customHeight="1" x14ac:dyDescent="0.2">
      <c r="B1426" s="306"/>
      <c r="C1426" s="306"/>
      <c r="D1426" s="306"/>
      <c r="E1426" s="306"/>
      <c r="F1426" s="306"/>
      <c r="G1426" s="306"/>
      <c r="H1426" s="306"/>
      <c r="I1426" s="306"/>
      <c r="J1426" s="306"/>
      <c r="K1426" s="306"/>
      <c r="L1426" s="306"/>
      <c r="M1426" s="306"/>
      <c r="N1426" s="306"/>
      <c r="O1426" s="306"/>
      <c r="P1426" s="306"/>
      <c r="Q1426" s="306"/>
      <c r="R1426" s="306"/>
      <c r="S1426" s="306"/>
      <c r="T1426" s="306"/>
      <c r="U1426" s="306"/>
      <c r="V1426" s="306"/>
      <c r="W1426" s="306"/>
      <c r="X1426" s="306"/>
      <c r="Y1426" s="306"/>
      <c r="Z1426" s="306"/>
      <c r="AA1426" s="306"/>
      <c r="AB1426" s="306"/>
      <c r="AC1426" s="306"/>
      <c r="AD1426" s="306"/>
      <c r="AE1426" s="306"/>
      <c r="AF1426" s="306"/>
    </row>
    <row r="1432" spans="2:32" ht="12" customHeight="1" x14ac:dyDescent="0.2"/>
    <row r="1433" spans="2:32" ht="12" customHeight="1" x14ac:dyDescent="0.2"/>
    <row r="1434" spans="2:32" ht="12" customHeight="1" x14ac:dyDescent="0.2"/>
    <row r="1435" spans="2:32" ht="12" customHeight="1" x14ac:dyDescent="0.2"/>
    <row r="1436" spans="2:32" ht="12" customHeight="1" x14ac:dyDescent="0.2"/>
    <row r="1437" spans="2:32" ht="12" customHeight="1" x14ac:dyDescent="0.2"/>
    <row r="1438" spans="2:32" ht="12" customHeight="1" x14ac:dyDescent="0.2"/>
    <row r="1439" spans="2:32" ht="12" customHeight="1" x14ac:dyDescent="0.2"/>
    <row r="1440" spans="2:32" ht="12" customHeight="1" x14ac:dyDescent="0.2"/>
    <row r="1441" ht="12" customHeight="1" x14ac:dyDescent="0.2"/>
    <row r="1442" ht="12" customHeight="1" x14ac:dyDescent="0.2"/>
    <row r="1443" ht="12" customHeight="1" x14ac:dyDescent="0.2"/>
    <row r="1444" ht="12" customHeight="1" x14ac:dyDescent="0.2"/>
    <row r="1445" ht="12" customHeight="1" x14ac:dyDescent="0.2"/>
    <row r="1446" ht="12" customHeight="1" x14ac:dyDescent="0.2"/>
    <row r="1447" ht="12" customHeight="1" x14ac:dyDescent="0.2"/>
    <row r="1448" ht="12" customHeight="1" x14ac:dyDescent="0.2"/>
    <row r="1449" ht="12" customHeight="1" x14ac:dyDescent="0.2"/>
    <row r="1450" ht="12" customHeight="1" x14ac:dyDescent="0.2"/>
    <row r="1451" ht="12" customHeight="1" x14ac:dyDescent="0.2"/>
    <row r="1452" ht="12" customHeight="1" x14ac:dyDescent="0.2"/>
    <row r="1453" ht="12" customHeight="1" x14ac:dyDescent="0.2"/>
    <row r="1454" ht="12" customHeight="1" x14ac:dyDescent="0.2"/>
    <row r="1455" ht="12" customHeight="1" x14ac:dyDescent="0.2"/>
    <row r="1456" ht="12" customHeight="1" x14ac:dyDescent="0.2"/>
    <row r="1457" ht="12" customHeight="1" x14ac:dyDescent="0.2"/>
    <row r="1458" ht="12" customHeight="1" x14ac:dyDescent="0.2"/>
    <row r="1459" ht="12" customHeight="1" x14ac:dyDescent="0.2"/>
    <row r="1460" ht="12" customHeight="1" x14ac:dyDescent="0.2"/>
    <row r="1461" ht="12" customHeight="1" x14ac:dyDescent="0.2"/>
    <row r="1462" ht="12" customHeight="1" x14ac:dyDescent="0.2"/>
    <row r="1463" ht="12" customHeight="1" x14ac:dyDescent="0.2"/>
    <row r="1464" ht="12" customHeight="1" x14ac:dyDescent="0.2"/>
    <row r="1465" ht="12" customHeight="1" x14ac:dyDescent="0.2"/>
    <row r="1466" ht="12" customHeight="1" x14ac:dyDescent="0.2"/>
    <row r="1467" ht="12" customHeight="1" x14ac:dyDescent="0.2"/>
    <row r="1468" ht="12" customHeight="1" x14ac:dyDescent="0.2"/>
    <row r="1469" ht="12" customHeight="1" x14ac:dyDescent="0.2"/>
    <row r="1470" ht="12" customHeight="1" x14ac:dyDescent="0.2"/>
    <row r="1471" ht="12" customHeight="1" x14ac:dyDescent="0.2"/>
    <row r="1472" ht="12" customHeight="1" x14ac:dyDescent="0.2"/>
    <row r="1473" ht="12" customHeight="1" x14ac:dyDescent="0.2"/>
    <row r="1474" ht="12" customHeight="1" x14ac:dyDescent="0.2"/>
    <row r="1475" ht="12" customHeight="1" x14ac:dyDescent="0.2"/>
    <row r="1476" ht="12" customHeight="1" x14ac:dyDescent="0.2"/>
    <row r="1477" ht="12" customHeight="1" x14ac:dyDescent="0.2"/>
    <row r="1478" ht="12" customHeight="1" x14ac:dyDescent="0.2"/>
    <row r="1479" ht="12" customHeight="1" x14ac:dyDescent="0.2"/>
    <row r="1480" ht="12" customHeight="1" x14ac:dyDescent="0.2"/>
    <row r="1481" ht="12" customHeight="1" x14ac:dyDescent="0.2"/>
    <row r="1482" ht="12" customHeight="1" x14ac:dyDescent="0.2"/>
    <row r="1483" ht="12" customHeight="1" x14ac:dyDescent="0.2"/>
    <row r="1484" ht="12" customHeight="1" x14ac:dyDescent="0.2"/>
    <row r="1485" ht="12" customHeight="1" x14ac:dyDescent="0.2"/>
    <row r="1486" ht="12" customHeight="1" x14ac:dyDescent="0.2"/>
    <row r="1487" ht="12" customHeight="1" x14ac:dyDescent="0.2"/>
    <row r="1488" ht="12" customHeight="1" x14ac:dyDescent="0.2"/>
    <row r="1489" ht="12" customHeight="1" x14ac:dyDescent="0.2"/>
    <row r="1490" ht="12" customHeight="1" x14ac:dyDescent="0.2"/>
    <row r="1491" ht="12" customHeight="1" x14ac:dyDescent="0.2"/>
    <row r="1492" ht="12" customHeight="1" x14ac:dyDescent="0.2"/>
    <row r="1493" ht="12" customHeight="1" x14ac:dyDescent="0.2"/>
    <row r="1494" ht="12" customHeight="1" x14ac:dyDescent="0.2"/>
    <row r="1495" ht="12" customHeight="1" x14ac:dyDescent="0.2"/>
    <row r="1496" ht="12" customHeight="1" x14ac:dyDescent="0.2"/>
    <row r="1497" ht="12" customHeight="1" x14ac:dyDescent="0.2"/>
    <row r="1498" ht="12" customHeight="1" x14ac:dyDescent="0.2"/>
    <row r="1499" ht="12" customHeight="1" x14ac:dyDescent="0.2"/>
    <row r="1500" ht="12" customHeight="1" x14ac:dyDescent="0.2"/>
    <row r="1501" ht="12" customHeight="1" x14ac:dyDescent="0.2"/>
    <row r="1502" ht="12" customHeight="1" x14ac:dyDescent="0.2"/>
    <row r="1503" ht="12" customHeight="1" x14ac:dyDescent="0.2"/>
    <row r="1504" ht="12" customHeight="1" x14ac:dyDescent="0.2"/>
    <row r="1505" ht="12" customHeight="1" x14ac:dyDescent="0.2"/>
    <row r="1518" ht="12" customHeight="1" x14ac:dyDescent="0.2"/>
    <row r="1526" ht="12" customHeight="1" x14ac:dyDescent="0.2"/>
    <row r="1534" ht="12" customHeight="1" x14ac:dyDescent="0.2"/>
    <row r="1540" spans="2:32" ht="12" customHeight="1" x14ac:dyDescent="0.2"/>
    <row r="1544" spans="2:32" ht="15" customHeight="1" x14ac:dyDescent="0.2">
      <c r="B1544" s="306"/>
      <c r="C1544" s="306"/>
      <c r="D1544" s="306"/>
      <c r="E1544" s="306"/>
      <c r="F1544" s="306"/>
      <c r="G1544" s="306"/>
      <c r="H1544" s="306"/>
      <c r="I1544" s="306"/>
      <c r="J1544" s="306"/>
      <c r="K1544" s="306"/>
      <c r="L1544" s="306"/>
      <c r="M1544" s="306"/>
      <c r="N1544" s="306"/>
      <c r="O1544" s="306"/>
      <c r="P1544" s="306"/>
      <c r="Q1544" s="306"/>
      <c r="R1544" s="306"/>
      <c r="S1544" s="306"/>
      <c r="T1544" s="306"/>
      <c r="U1544" s="306"/>
      <c r="V1544" s="306"/>
      <c r="W1544" s="306"/>
      <c r="X1544" s="306"/>
      <c r="Y1544" s="306"/>
      <c r="Z1544" s="306"/>
      <c r="AA1544" s="306"/>
      <c r="AB1544" s="306"/>
      <c r="AC1544" s="306"/>
      <c r="AD1544" s="306"/>
      <c r="AE1544" s="306"/>
      <c r="AF1544" s="306"/>
    </row>
    <row r="1549" spans="2:32" ht="12" customHeight="1" x14ac:dyDescent="0.2"/>
    <row r="1550" spans="2:32" ht="12" customHeight="1" x14ac:dyDescent="0.2"/>
    <row r="1551" spans="2:32" ht="12" customHeight="1" x14ac:dyDescent="0.2"/>
    <row r="1552" spans="2:32" ht="12" customHeight="1" x14ac:dyDescent="0.2"/>
    <row r="1553" ht="12" customHeight="1" x14ac:dyDescent="0.2"/>
    <row r="1554" ht="12" customHeight="1" x14ac:dyDescent="0.2"/>
    <row r="1555" ht="12" customHeight="1" x14ac:dyDescent="0.2"/>
    <row r="1556" ht="12" customHeight="1" x14ac:dyDescent="0.2"/>
    <row r="1557" ht="12" customHeight="1" x14ac:dyDescent="0.2"/>
    <row r="1558" ht="12" customHeight="1" x14ac:dyDescent="0.2"/>
    <row r="1559" ht="12" customHeight="1" x14ac:dyDescent="0.2"/>
    <row r="1560" ht="12" customHeight="1" x14ac:dyDescent="0.2"/>
    <row r="1561" ht="12" customHeight="1" x14ac:dyDescent="0.2"/>
    <row r="1562" ht="12" customHeight="1" x14ac:dyDescent="0.2"/>
    <row r="1563" ht="12" customHeight="1" x14ac:dyDescent="0.2"/>
    <row r="1564" ht="12" customHeight="1" x14ac:dyDescent="0.2"/>
    <row r="1565" ht="12" customHeight="1" x14ac:dyDescent="0.2"/>
    <row r="1566" ht="12" customHeight="1" x14ac:dyDescent="0.2"/>
    <row r="1567" ht="12" customHeight="1" x14ac:dyDescent="0.2"/>
    <row r="1568" ht="12" customHeight="1" x14ac:dyDescent="0.2"/>
    <row r="1569" ht="12" customHeight="1" x14ac:dyDescent="0.2"/>
    <row r="1570" ht="12" customHeight="1" x14ac:dyDescent="0.2"/>
    <row r="1571" ht="12" customHeight="1" x14ac:dyDescent="0.2"/>
    <row r="1572" ht="12" customHeight="1" x14ac:dyDescent="0.2"/>
    <row r="1573" ht="12" customHeight="1" x14ac:dyDescent="0.2"/>
    <row r="1574" ht="12" customHeight="1" x14ac:dyDescent="0.2"/>
    <row r="1575" ht="12" customHeight="1" x14ac:dyDescent="0.2"/>
    <row r="1576" ht="12" customHeight="1" x14ac:dyDescent="0.2"/>
    <row r="1577" ht="12" customHeight="1" x14ac:dyDescent="0.2"/>
    <row r="1578" ht="12" customHeight="1" x14ac:dyDescent="0.2"/>
    <row r="1579" ht="12" customHeight="1" x14ac:dyDescent="0.2"/>
    <row r="1580" ht="12" customHeight="1" x14ac:dyDescent="0.2"/>
    <row r="1581" ht="12" customHeight="1" x14ac:dyDescent="0.2"/>
    <row r="1582" ht="12" customHeight="1" x14ac:dyDescent="0.2"/>
    <row r="1583" ht="12" customHeight="1" x14ac:dyDescent="0.2"/>
    <row r="1584" ht="12" customHeight="1" x14ac:dyDescent="0.2"/>
    <row r="1585" ht="12" customHeight="1" x14ac:dyDescent="0.2"/>
    <row r="1586" ht="12" customHeight="1" x14ac:dyDescent="0.2"/>
    <row r="1587" ht="12" customHeight="1" x14ac:dyDescent="0.2"/>
    <row r="1588" ht="12" customHeight="1" x14ac:dyDescent="0.2"/>
    <row r="1589" ht="12" customHeight="1" x14ac:dyDescent="0.2"/>
    <row r="1590" ht="12" customHeight="1" x14ac:dyDescent="0.2"/>
    <row r="1591" ht="12" customHeight="1" x14ac:dyDescent="0.2"/>
    <row r="1592" ht="12" customHeight="1" x14ac:dyDescent="0.2"/>
    <row r="1593" ht="12" customHeight="1" x14ac:dyDescent="0.2"/>
    <row r="1594" ht="12" customHeight="1" x14ac:dyDescent="0.2"/>
    <row r="1595" ht="12" customHeight="1" x14ac:dyDescent="0.2"/>
    <row r="1596" ht="12" customHeight="1" x14ac:dyDescent="0.2"/>
    <row r="1597" ht="12" customHeight="1" x14ac:dyDescent="0.2"/>
    <row r="1598" ht="12" customHeight="1" x14ac:dyDescent="0.2"/>
    <row r="1599" ht="12" customHeight="1" x14ac:dyDescent="0.2"/>
    <row r="1600" ht="12" customHeight="1" x14ac:dyDescent="0.2"/>
    <row r="1601" ht="12" customHeight="1" x14ac:dyDescent="0.2"/>
    <row r="1602" ht="12" customHeight="1" x14ac:dyDescent="0.2"/>
    <row r="1603" ht="12" customHeight="1" x14ac:dyDescent="0.2"/>
    <row r="1604" ht="12" customHeight="1" x14ac:dyDescent="0.2"/>
    <row r="1605" ht="12" customHeight="1" x14ac:dyDescent="0.2"/>
    <row r="1618" ht="12" customHeight="1" x14ac:dyDescent="0.2"/>
    <row r="1626" ht="12" customHeight="1" x14ac:dyDescent="0.2"/>
    <row r="1634" spans="2:32" ht="12" customHeight="1" x14ac:dyDescent="0.2"/>
    <row r="1640" spans="2:32" ht="12" customHeight="1" x14ac:dyDescent="0.2"/>
    <row r="1644" spans="2:32" ht="15" customHeight="1" x14ac:dyDescent="0.2">
      <c r="B1644" s="306"/>
      <c r="C1644" s="306"/>
      <c r="D1644" s="306"/>
      <c r="E1644" s="306"/>
      <c r="F1644" s="306"/>
      <c r="G1644" s="306"/>
      <c r="H1644" s="306"/>
      <c r="I1644" s="306"/>
      <c r="J1644" s="306"/>
      <c r="K1644" s="306"/>
      <c r="L1644" s="306"/>
      <c r="M1644" s="306"/>
      <c r="N1644" s="306"/>
      <c r="O1644" s="306"/>
      <c r="P1644" s="306"/>
      <c r="Q1644" s="306"/>
      <c r="R1644" s="306"/>
      <c r="S1644" s="306"/>
      <c r="T1644" s="306"/>
      <c r="U1644" s="306"/>
      <c r="V1644" s="306"/>
      <c r="W1644" s="306"/>
      <c r="X1644" s="306"/>
      <c r="Y1644" s="306"/>
      <c r="Z1644" s="306"/>
      <c r="AA1644" s="306"/>
      <c r="AB1644" s="306"/>
      <c r="AC1644" s="306"/>
      <c r="AD1644" s="306"/>
      <c r="AE1644" s="306"/>
      <c r="AF1644" s="306"/>
    </row>
    <row r="1649" ht="12" customHeight="1" x14ac:dyDescent="0.2"/>
    <row r="1650" ht="12" customHeight="1" x14ac:dyDescent="0.2"/>
    <row r="1651" ht="12" customHeight="1" x14ac:dyDescent="0.2"/>
    <row r="1652" ht="12" customHeight="1" x14ac:dyDescent="0.2"/>
    <row r="1653" ht="12" customHeight="1" x14ac:dyDescent="0.2"/>
    <row r="1654" ht="12" customHeight="1" x14ac:dyDescent="0.2"/>
    <row r="1655" ht="12" customHeight="1" x14ac:dyDescent="0.2"/>
    <row r="1656" ht="12" customHeight="1" x14ac:dyDescent="0.2"/>
    <row r="1657" ht="12" customHeight="1" x14ac:dyDescent="0.2"/>
    <row r="1658" ht="12" customHeight="1" x14ac:dyDescent="0.2"/>
    <row r="1659" ht="12" customHeight="1" x14ac:dyDescent="0.2"/>
    <row r="1660" ht="12" customHeight="1" x14ac:dyDescent="0.2"/>
    <row r="1661" ht="12" customHeight="1" x14ac:dyDescent="0.2"/>
    <row r="1662" ht="12" customHeight="1" x14ac:dyDescent="0.2"/>
    <row r="1663" ht="12" customHeight="1" x14ac:dyDescent="0.2"/>
    <row r="1664" ht="12" customHeight="1" x14ac:dyDescent="0.2"/>
    <row r="1665" ht="12" customHeight="1" x14ac:dyDescent="0.2"/>
    <row r="1666" ht="12" customHeight="1" x14ac:dyDescent="0.2"/>
    <row r="1667" ht="12" customHeight="1" x14ac:dyDescent="0.2"/>
    <row r="1668" ht="12" customHeight="1" x14ac:dyDescent="0.2"/>
    <row r="1669" ht="12" customHeight="1" x14ac:dyDescent="0.2"/>
    <row r="1670" ht="12" customHeight="1" x14ac:dyDescent="0.2"/>
    <row r="1671" ht="12" customHeight="1" x14ac:dyDescent="0.2"/>
    <row r="1672" ht="12" customHeight="1" x14ac:dyDescent="0.2"/>
    <row r="1673" ht="12" customHeight="1" x14ac:dyDescent="0.2"/>
    <row r="1674" ht="12" customHeight="1" x14ac:dyDescent="0.2"/>
    <row r="1675" ht="12" customHeight="1" x14ac:dyDescent="0.2"/>
    <row r="1676" ht="12" customHeight="1" x14ac:dyDescent="0.2"/>
    <row r="1677" ht="12" customHeight="1" x14ac:dyDescent="0.2"/>
    <row r="1678" ht="12" customHeight="1" x14ac:dyDescent="0.2"/>
    <row r="1679" ht="12" customHeight="1" x14ac:dyDescent="0.2"/>
    <row r="1680" ht="12" customHeight="1" x14ac:dyDescent="0.2"/>
    <row r="1681" ht="12" customHeight="1" x14ac:dyDescent="0.2"/>
    <row r="1682" ht="12" customHeight="1" x14ac:dyDescent="0.2"/>
    <row r="1683" ht="12" customHeight="1" x14ac:dyDescent="0.2"/>
    <row r="1684" ht="12" customHeight="1" x14ac:dyDescent="0.2"/>
    <row r="1685" ht="12" customHeight="1" x14ac:dyDescent="0.2"/>
    <row r="1686" ht="12" customHeight="1" x14ac:dyDescent="0.2"/>
    <row r="1687" ht="12" customHeight="1" x14ac:dyDescent="0.2"/>
    <row r="1688" ht="12" customHeight="1" x14ac:dyDescent="0.2"/>
    <row r="1689" ht="12" customHeight="1" x14ac:dyDescent="0.2"/>
    <row r="1690" ht="12" customHeight="1" x14ac:dyDescent="0.2"/>
    <row r="1691" ht="12" customHeight="1" x14ac:dyDescent="0.2"/>
    <row r="1692" ht="12" customHeight="1" x14ac:dyDescent="0.2"/>
    <row r="1693" ht="12" customHeight="1" x14ac:dyDescent="0.2"/>
    <row r="1694" ht="12" customHeight="1" x14ac:dyDescent="0.2"/>
    <row r="1695" ht="12" customHeight="1" x14ac:dyDescent="0.2"/>
    <row r="1696" ht="12" customHeight="1" x14ac:dyDescent="0.2"/>
    <row r="1697" ht="12" customHeight="1" x14ac:dyDescent="0.2"/>
    <row r="1698" ht="12" customHeight="1" x14ac:dyDescent="0.2"/>
    <row r="1699" ht="12" customHeight="1" x14ac:dyDescent="0.2"/>
    <row r="1700" ht="12" customHeight="1" x14ac:dyDescent="0.2"/>
    <row r="1701" ht="12" customHeight="1" x14ac:dyDescent="0.2"/>
    <row r="1702" ht="12" customHeight="1" x14ac:dyDescent="0.2"/>
    <row r="1703" ht="12" customHeight="1" x14ac:dyDescent="0.2"/>
    <row r="1704" ht="12" customHeight="1" x14ac:dyDescent="0.2"/>
    <row r="1705" ht="12" customHeight="1" x14ac:dyDescent="0.2"/>
    <row r="1718" ht="12" customHeight="1" x14ac:dyDescent="0.2"/>
    <row r="1726" ht="12" customHeight="1" x14ac:dyDescent="0.2"/>
    <row r="1734" spans="2:32" ht="12" customHeight="1" x14ac:dyDescent="0.2"/>
    <row r="1740" spans="2:32" ht="12" customHeight="1" x14ac:dyDescent="0.2"/>
    <row r="1744" spans="2:32" ht="15" customHeight="1" x14ac:dyDescent="0.2">
      <c r="B1744" s="306"/>
      <c r="C1744" s="306"/>
      <c r="D1744" s="306"/>
      <c r="E1744" s="306"/>
      <c r="F1744" s="306"/>
      <c r="G1744" s="306"/>
      <c r="H1744" s="306"/>
      <c r="I1744" s="306"/>
      <c r="J1744" s="306"/>
      <c r="K1744" s="306"/>
      <c r="L1744" s="306"/>
      <c r="M1744" s="306"/>
      <c r="N1744" s="306"/>
      <c r="O1744" s="306"/>
      <c r="P1744" s="306"/>
      <c r="Q1744" s="306"/>
      <c r="R1744" s="306"/>
      <c r="S1744" s="306"/>
      <c r="T1744" s="306"/>
      <c r="U1744" s="306"/>
      <c r="V1744" s="306"/>
      <c r="W1744" s="306"/>
      <c r="X1744" s="306"/>
      <c r="Y1744" s="306"/>
      <c r="Z1744" s="306"/>
      <c r="AA1744" s="306"/>
      <c r="AB1744" s="306"/>
      <c r="AC1744" s="306"/>
      <c r="AD1744" s="306"/>
      <c r="AE1744" s="306"/>
      <c r="AF1744" s="306"/>
    </row>
    <row r="1749" ht="12" customHeight="1" x14ac:dyDescent="0.2"/>
    <row r="1750" ht="12" customHeight="1" x14ac:dyDescent="0.2"/>
    <row r="1751" ht="12" customHeight="1" x14ac:dyDescent="0.2"/>
    <row r="1752" ht="12" customHeight="1" x14ac:dyDescent="0.2"/>
    <row r="1753" ht="12" customHeight="1" x14ac:dyDescent="0.2"/>
    <row r="1754" ht="12" customHeight="1" x14ac:dyDescent="0.2"/>
    <row r="1755" ht="12" customHeight="1" x14ac:dyDescent="0.2"/>
    <row r="1756" ht="12" customHeight="1" x14ac:dyDescent="0.2"/>
    <row r="1757" ht="12" customHeight="1" x14ac:dyDescent="0.2"/>
    <row r="1758" ht="12" customHeight="1" x14ac:dyDescent="0.2"/>
    <row r="1759" ht="12" customHeight="1" x14ac:dyDescent="0.2"/>
    <row r="1760" ht="12" customHeight="1" x14ac:dyDescent="0.2"/>
    <row r="1761" ht="12" customHeight="1" x14ac:dyDescent="0.2"/>
    <row r="1762" ht="12" customHeight="1" x14ac:dyDescent="0.2"/>
    <row r="1763" ht="12" customHeight="1" x14ac:dyDescent="0.2"/>
    <row r="1764" ht="12" customHeight="1" x14ac:dyDescent="0.2"/>
    <row r="1765" ht="12" customHeight="1" x14ac:dyDescent="0.2"/>
    <row r="1766" ht="12" customHeight="1" x14ac:dyDescent="0.2"/>
    <row r="1767" ht="12" customHeight="1" x14ac:dyDescent="0.2"/>
    <row r="1768" ht="12" customHeight="1" x14ac:dyDescent="0.2"/>
    <row r="1769" ht="12" customHeight="1" x14ac:dyDescent="0.2"/>
    <row r="1770" ht="12" customHeight="1" x14ac:dyDescent="0.2"/>
    <row r="1771" ht="12" customHeight="1" x14ac:dyDescent="0.2"/>
    <row r="1772" ht="12" customHeight="1" x14ac:dyDescent="0.2"/>
    <row r="1773" ht="12" customHeight="1" x14ac:dyDescent="0.2"/>
    <row r="1774" ht="12" customHeight="1" x14ac:dyDescent="0.2"/>
    <row r="1775" ht="12" customHeight="1" x14ac:dyDescent="0.2"/>
    <row r="1776" ht="12" customHeight="1" x14ac:dyDescent="0.2"/>
    <row r="1777" ht="12" customHeight="1" x14ac:dyDescent="0.2"/>
    <row r="1778" ht="12" customHeight="1" x14ac:dyDescent="0.2"/>
    <row r="1779" ht="12" customHeight="1" x14ac:dyDescent="0.2"/>
    <row r="1780" ht="12" customHeight="1" x14ac:dyDescent="0.2"/>
    <row r="1781" ht="12" customHeight="1" x14ac:dyDescent="0.2"/>
    <row r="1782" ht="12" customHeight="1" x14ac:dyDescent="0.2"/>
    <row r="1783" ht="12" customHeight="1" x14ac:dyDescent="0.2"/>
    <row r="1784" ht="12" customHeight="1" x14ac:dyDescent="0.2"/>
    <row r="1785" ht="12" customHeight="1" x14ac:dyDescent="0.2"/>
    <row r="1786" ht="12" customHeight="1" x14ac:dyDescent="0.2"/>
    <row r="1787" ht="12" customHeight="1" x14ac:dyDescent="0.2"/>
    <row r="1788" ht="12" customHeight="1" x14ac:dyDescent="0.2"/>
    <row r="1789" ht="12" customHeight="1" x14ac:dyDescent="0.2"/>
    <row r="1790" ht="12" customHeight="1" x14ac:dyDescent="0.2"/>
    <row r="1791" ht="12" customHeight="1" x14ac:dyDescent="0.2"/>
    <row r="1792" ht="12" customHeight="1" x14ac:dyDescent="0.2"/>
    <row r="1793" ht="12" customHeight="1" x14ac:dyDescent="0.2"/>
    <row r="1794" ht="12" customHeight="1" x14ac:dyDescent="0.2"/>
    <row r="1795" ht="12" customHeight="1" x14ac:dyDescent="0.2"/>
    <row r="1796" ht="12" customHeight="1" x14ac:dyDescent="0.2"/>
    <row r="1797" ht="12" customHeight="1" x14ac:dyDescent="0.2"/>
    <row r="1798" ht="12" customHeight="1" x14ac:dyDescent="0.2"/>
    <row r="1799" ht="12" customHeight="1" x14ac:dyDescent="0.2"/>
    <row r="1800" ht="12" customHeight="1" x14ac:dyDescent="0.2"/>
    <row r="1801" ht="12" customHeight="1" x14ac:dyDescent="0.2"/>
    <row r="1802" ht="12" customHeight="1" x14ac:dyDescent="0.2"/>
    <row r="1803" ht="12" customHeight="1" x14ac:dyDescent="0.2"/>
    <row r="1804" ht="12" customHeight="1" x14ac:dyDescent="0.2"/>
    <row r="1805" ht="12" customHeight="1" x14ac:dyDescent="0.2"/>
    <row r="1818" ht="12" customHeight="1" x14ac:dyDescent="0.2"/>
    <row r="1826" ht="12" customHeight="1" x14ac:dyDescent="0.2"/>
    <row r="1834" ht="12" customHeight="1" x14ac:dyDescent="0.2"/>
    <row r="1840" ht="12" customHeight="1" x14ac:dyDescent="0.2"/>
    <row r="1844" spans="2:32" ht="15" customHeight="1" x14ac:dyDescent="0.2">
      <c r="B1844" s="306"/>
      <c r="C1844" s="306"/>
      <c r="D1844" s="306"/>
      <c r="E1844" s="306"/>
      <c r="F1844" s="306"/>
      <c r="G1844" s="306"/>
      <c r="H1844" s="306"/>
      <c r="I1844" s="306"/>
      <c r="J1844" s="306"/>
      <c r="K1844" s="306"/>
      <c r="L1844" s="306"/>
      <c r="M1844" s="306"/>
      <c r="N1844" s="306"/>
      <c r="O1844" s="306"/>
      <c r="P1844" s="306"/>
      <c r="Q1844" s="306"/>
      <c r="R1844" s="306"/>
      <c r="S1844" s="306"/>
      <c r="T1844" s="306"/>
      <c r="U1844" s="306"/>
      <c r="V1844" s="306"/>
      <c r="W1844" s="306"/>
      <c r="X1844" s="306"/>
      <c r="Y1844" s="306"/>
      <c r="Z1844" s="306"/>
      <c r="AA1844" s="306"/>
      <c r="AB1844" s="306"/>
      <c r="AC1844" s="306"/>
      <c r="AD1844" s="306"/>
      <c r="AE1844" s="306"/>
      <c r="AF1844" s="306"/>
    </row>
    <row r="1849" spans="2:32" ht="12" customHeight="1" x14ac:dyDescent="0.2"/>
    <row r="1850" spans="2:32" ht="12" customHeight="1" x14ac:dyDescent="0.2"/>
    <row r="1851" spans="2:32" ht="12" customHeight="1" x14ac:dyDescent="0.2"/>
    <row r="1852" spans="2:32" ht="12" customHeight="1" x14ac:dyDescent="0.2"/>
    <row r="1853" spans="2:32" ht="12" customHeight="1" x14ac:dyDescent="0.2"/>
    <row r="1854" spans="2:32" ht="12" customHeight="1" x14ac:dyDescent="0.2"/>
    <row r="1855" spans="2:32" ht="12" customHeight="1" x14ac:dyDescent="0.2"/>
    <row r="1856" spans="2:32" ht="12" customHeight="1" x14ac:dyDescent="0.2"/>
    <row r="1857" ht="12" customHeight="1" x14ac:dyDescent="0.2"/>
    <row r="1858" ht="12" customHeight="1" x14ac:dyDescent="0.2"/>
    <row r="1859" ht="12" customHeight="1" x14ac:dyDescent="0.2"/>
    <row r="1860" ht="12" customHeight="1" x14ac:dyDescent="0.2"/>
    <row r="1861" ht="12" customHeight="1" x14ac:dyDescent="0.2"/>
    <row r="1862" ht="12" customHeight="1" x14ac:dyDescent="0.2"/>
    <row r="1863" ht="12" customHeight="1" x14ac:dyDescent="0.2"/>
    <row r="1864" ht="12" customHeight="1" x14ac:dyDescent="0.2"/>
    <row r="1865" ht="12" customHeight="1" x14ac:dyDescent="0.2"/>
    <row r="1866" ht="12" customHeight="1" x14ac:dyDescent="0.2"/>
    <row r="1867" ht="12" customHeight="1" x14ac:dyDescent="0.2"/>
    <row r="1868" ht="12" customHeight="1" x14ac:dyDescent="0.2"/>
    <row r="1869" ht="12" customHeight="1" x14ac:dyDescent="0.2"/>
    <row r="1870" ht="12" customHeight="1" x14ac:dyDescent="0.2"/>
    <row r="1871" ht="12" customHeight="1" x14ac:dyDescent="0.2"/>
    <row r="1872" ht="12" customHeight="1" x14ac:dyDescent="0.2"/>
    <row r="1873" ht="12" customHeight="1" x14ac:dyDescent="0.2"/>
    <row r="1874" ht="12" customHeight="1" x14ac:dyDescent="0.2"/>
    <row r="1875" ht="12" customHeight="1" x14ac:dyDescent="0.2"/>
    <row r="1876" ht="12" customHeight="1" x14ac:dyDescent="0.2"/>
    <row r="1877" ht="12" customHeight="1" x14ac:dyDescent="0.2"/>
    <row r="1878" ht="12" customHeight="1" x14ac:dyDescent="0.2"/>
    <row r="1879" ht="12" customHeight="1" x14ac:dyDescent="0.2"/>
    <row r="1880" ht="12" customHeight="1" x14ac:dyDescent="0.2"/>
    <row r="1881" ht="12" customHeight="1" x14ac:dyDescent="0.2"/>
    <row r="1882" ht="12" customHeight="1" x14ac:dyDescent="0.2"/>
    <row r="1883" ht="12" customHeight="1" x14ac:dyDescent="0.2"/>
    <row r="1884" ht="12" customHeight="1" x14ac:dyDescent="0.2"/>
    <row r="1885" ht="12" customHeight="1" x14ac:dyDescent="0.2"/>
    <row r="1886" ht="12" customHeight="1" x14ac:dyDescent="0.2"/>
    <row r="1887" ht="12" customHeight="1" x14ac:dyDescent="0.2"/>
    <row r="1888" ht="12" customHeight="1" x14ac:dyDescent="0.2"/>
    <row r="1889" ht="12" customHeight="1" x14ac:dyDescent="0.2"/>
    <row r="1890" ht="12" customHeight="1" x14ac:dyDescent="0.2"/>
    <row r="1891" ht="12" customHeight="1" x14ac:dyDescent="0.2"/>
    <row r="1892" ht="12" customHeight="1" x14ac:dyDescent="0.2"/>
    <row r="1893" ht="12" customHeight="1" x14ac:dyDescent="0.2"/>
    <row r="1894" ht="12" customHeight="1" x14ac:dyDescent="0.2"/>
    <row r="1895" ht="12" customHeight="1" x14ac:dyDescent="0.2"/>
    <row r="1896" ht="12" customHeight="1" x14ac:dyDescent="0.2"/>
    <row r="1897" ht="12" customHeight="1" x14ac:dyDescent="0.2"/>
    <row r="1898" ht="12" customHeight="1" x14ac:dyDescent="0.2"/>
    <row r="1899" ht="12" customHeight="1" x14ac:dyDescent="0.2"/>
    <row r="1900" ht="12" customHeight="1" x14ac:dyDescent="0.2"/>
    <row r="1901" ht="12" customHeight="1" x14ac:dyDescent="0.2"/>
    <row r="1902" ht="12" customHeight="1" x14ac:dyDescent="0.2"/>
    <row r="1903" ht="12" customHeight="1" x14ac:dyDescent="0.2"/>
    <row r="1904" ht="12" customHeight="1" x14ac:dyDescent="0.2"/>
    <row r="1905" ht="12" customHeight="1" x14ac:dyDescent="0.2"/>
    <row r="1918" ht="12" customHeight="1" x14ac:dyDescent="0.2"/>
    <row r="1926" ht="12" customHeight="1" x14ac:dyDescent="0.2"/>
    <row r="1934" ht="12" customHeight="1" x14ac:dyDescent="0.2"/>
    <row r="1940" spans="2:32" ht="12" customHeight="1" x14ac:dyDescent="0.2"/>
    <row r="1944" spans="2:32" ht="15" customHeight="1" x14ac:dyDescent="0.2">
      <c r="B1944" s="306"/>
      <c r="C1944" s="306"/>
      <c r="D1944" s="306"/>
      <c r="E1944" s="306"/>
      <c r="F1944" s="306"/>
      <c r="G1944" s="306"/>
      <c r="H1944" s="306"/>
      <c r="I1944" s="306"/>
      <c r="J1944" s="306"/>
      <c r="K1944" s="306"/>
      <c r="L1944" s="306"/>
      <c r="M1944" s="306"/>
      <c r="N1944" s="306"/>
      <c r="O1944" s="306"/>
      <c r="P1944" s="306"/>
      <c r="Q1944" s="306"/>
      <c r="R1944" s="306"/>
      <c r="S1944" s="306"/>
      <c r="T1944" s="306"/>
      <c r="U1944" s="306"/>
      <c r="V1944" s="306"/>
      <c r="W1944" s="306"/>
      <c r="X1944" s="306"/>
      <c r="Y1944" s="306"/>
      <c r="Z1944" s="306"/>
      <c r="AA1944" s="306"/>
      <c r="AB1944" s="306"/>
      <c r="AC1944" s="306"/>
      <c r="AD1944" s="306"/>
      <c r="AE1944" s="306"/>
      <c r="AF1944" s="306"/>
    </row>
    <row r="1949" spans="2:32" ht="12" customHeight="1" x14ac:dyDescent="0.2"/>
    <row r="1950" spans="2:32" ht="12" customHeight="1" x14ac:dyDescent="0.2"/>
    <row r="1951" spans="2:32" ht="12" customHeight="1" x14ac:dyDescent="0.2"/>
    <row r="1952" spans="2:32" ht="12" customHeight="1" x14ac:dyDescent="0.2"/>
    <row r="1953" ht="12" customHeight="1" x14ac:dyDescent="0.2"/>
    <row r="1954" ht="12" customHeight="1" x14ac:dyDescent="0.2"/>
    <row r="1955" ht="12" customHeight="1" x14ac:dyDescent="0.2"/>
    <row r="1956" ht="12" customHeight="1" x14ac:dyDescent="0.2"/>
    <row r="1957" ht="12" customHeight="1" x14ac:dyDescent="0.2"/>
    <row r="1958" ht="12" customHeight="1" x14ac:dyDescent="0.2"/>
    <row r="1959" ht="12" customHeight="1" x14ac:dyDescent="0.2"/>
    <row r="1960" ht="12" customHeight="1" x14ac:dyDescent="0.2"/>
    <row r="1961" ht="12" customHeight="1" x14ac:dyDescent="0.2"/>
    <row r="1962" ht="12" customHeight="1" x14ac:dyDescent="0.2"/>
    <row r="1963" ht="12" customHeight="1" x14ac:dyDescent="0.2"/>
    <row r="1964" ht="12" customHeight="1" x14ac:dyDescent="0.2"/>
    <row r="1965" ht="12" customHeight="1" x14ac:dyDescent="0.2"/>
    <row r="1966" ht="12" customHeight="1" x14ac:dyDescent="0.2"/>
    <row r="1967" ht="12" customHeight="1" x14ac:dyDescent="0.2"/>
    <row r="1968" ht="12" customHeight="1" x14ac:dyDescent="0.2"/>
    <row r="1969" ht="12" customHeight="1" x14ac:dyDescent="0.2"/>
    <row r="1970" ht="12" customHeight="1" x14ac:dyDescent="0.2"/>
    <row r="1971" ht="12" customHeight="1" x14ac:dyDescent="0.2"/>
    <row r="1972" ht="12" customHeight="1" x14ac:dyDescent="0.2"/>
    <row r="1973" ht="12" customHeight="1" x14ac:dyDescent="0.2"/>
    <row r="1974" ht="12" customHeight="1" x14ac:dyDescent="0.2"/>
    <row r="1975" ht="12" customHeight="1" x14ac:dyDescent="0.2"/>
    <row r="1976" ht="12" customHeight="1" x14ac:dyDescent="0.2"/>
    <row r="1977" ht="12" customHeight="1" x14ac:dyDescent="0.2"/>
    <row r="1978" ht="12" customHeight="1" x14ac:dyDescent="0.2"/>
    <row r="1979" ht="12" customHeight="1" x14ac:dyDescent="0.2"/>
    <row r="1980" ht="12" customHeight="1" x14ac:dyDescent="0.2"/>
    <row r="1981" ht="12" customHeight="1" x14ac:dyDescent="0.2"/>
    <row r="1982" ht="12" customHeight="1" x14ac:dyDescent="0.2"/>
    <row r="1983" ht="12" customHeight="1" x14ac:dyDescent="0.2"/>
    <row r="1984" ht="12" customHeight="1" x14ac:dyDescent="0.2"/>
    <row r="1985" ht="12" customHeight="1" x14ac:dyDescent="0.2"/>
    <row r="1986" ht="12" customHeight="1" x14ac:dyDescent="0.2"/>
    <row r="1987" ht="12" customHeight="1" x14ac:dyDescent="0.2"/>
    <row r="1988" ht="12" customHeight="1" x14ac:dyDescent="0.2"/>
    <row r="1989" ht="12" customHeight="1" x14ac:dyDescent="0.2"/>
    <row r="1990" ht="12" customHeight="1" x14ac:dyDescent="0.2"/>
    <row r="1991" ht="12" customHeight="1" x14ac:dyDescent="0.2"/>
    <row r="1992" ht="12" customHeight="1" x14ac:dyDescent="0.2"/>
    <row r="1993" ht="12" customHeight="1" x14ac:dyDescent="0.2"/>
    <row r="1994" ht="12" customHeight="1" x14ac:dyDescent="0.2"/>
    <row r="1995" ht="12" customHeight="1" x14ac:dyDescent="0.2"/>
    <row r="1996" ht="12" customHeight="1" x14ac:dyDescent="0.2"/>
    <row r="1997" ht="12" customHeight="1" x14ac:dyDescent="0.2"/>
    <row r="1998" ht="12" customHeight="1" x14ac:dyDescent="0.2"/>
    <row r="1999" ht="12" customHeight="1" x14ac:dyDescent="0.2"/>
    <row r="2000" ht="12" customHeight="1" x14ac:dyDescent="0.2"/>
    <row r="2001" ht="12" customHeight="1" x14ac:dyDescent="0.2"/>
    <row r="2002" ht="12" customHeight="1" x14ac:dyDescent="0.2"/>
    <row r="2003" ht="12" customHeight="1" x14ac:dyDescent="0.2"/>
    <row r="2004" ht="12" customHeight="1" x14ac:dyDescent="0.2"/>
    <row r="2005" ht="12" customHeight="1" x14ac:dyDescent="0.2"/>
    <row r="2018" ht="12" customHeight="1" x14ac:dyDescent="0.2"/>
    <row r="2026" ht="12" customHeight="1" x14ac:dyDescent="0.2"/>
    <row r="2034" spans="2:32" ht="12" customHeight="1" x14ac:dyDescent="0.2"/>
    <row r="2040" spans="2:32" ht="12" customHeight="1" x14ac:dyDescent="0.2"/>
    <row r="2044" spans="2:32" ht="15" customHeight="1" x14ac:dyDescent="0.2">
      <c r="B2044" s="306"/>
      <c r="C2044" s="306"/>
      <c r="D2044" s="306"/>
      <c r="E2044" s="306"/>
      <c r="F2044" s="306"/>
      <c r="G2044" s="306"/>
      <c r="H2044" s="306"/>
      <c r="I2044" s="306"/>
      <c r="J2044" s="306"/>
      <c r="K2044" s="306"/>
      <c r="L2044" s="306"/>
      <c r="M2044" s="306"/>
      <c r="N2044" s="306"/>
      <c r="O2044" s="306"/>
      <c r="P2044" s="306"/>
      <c r="Q2044" s="306"/>
      <c r="R2044" s="306"/>
      <c r="S2044" s="306"/>
      <c r="T2044" s="306"/>
      <c r="U2044" s="306"/>
      <c r="V2044" s="306"/>
      <c r="W2044" s="306"/>
      <c r="X2044" s="306"/>
      <c r="Y2044" s="306"/>
      <c r="Z2044" s="306"/>
      <c r="AA2044" s="306"/>
      <c r="AB2044" s="306"/>
      <c r="AC2044" s="306"/>
      <c r="AD2044" s="306"/>
      <c r="AE2044" s="306"/>
      <c r="AF2044" s="306"/>
    </row>
    <row r="2049" ht="12" customHeight="1" x14ac:dyDescent="0.2"/>
    <row r="2050" ht="12" customHeight="1" x14ac:dyDescent="0.2"/>
    <row r="2051" ht="12" customHeight="1" x14ac:dyDescent="0.2"/>
    <row r="2052" ht="12" customHeight="1" x14ac:dyDescent="0.2"/>
    <row r="2053" ht="12" customHeight="1" x14ac:dyDescent="0.2"/>
    <row r="2054" ht="12" customHeight="1" x14ac:dyDescent="0.2"/>
    <row r="2055" ht="12" customHeight="1" x14ac:dyDescent="0.2"/>
    <row r="2056" ht="12" customHeight="1" x14ac:dyDescent="0.2"/>
    <row r="2057" ht="12" customHeight="1" x14ac:dyDescent="0.2"/>
    <row r="2058" ht="12" customHeight="1" x14ac:dyDescent="0.2"/>
    <row r="2059" ht="12" customHeight="1" x14ac:dyDescent="0.2"/>
    <row r="2060" ht="12" customHeight="1" x14ac:dyDescent="0.2"/>
    <row r="2061" ht="12" customHeight="1" x14ac:dyDescent="0.2"/>
    <row r="2062" ht="12" customHeight="1" x14ac:dyDescent="0.2"/>
    <row r="2063" ht="12" customHeight="1" x14ac:dyDescent="0.2"/>
    <row r="2064" ht="12" customHeight="1" x14ac:dyDescent="0.2"/>
    <row r="2065" ht="12" customHeight="1" x14ac:dyDescent="0.2"/>
    <row r="2066" ht="12" customHeight="1" x14ac:dyDescent="0.2"/>
    <row r="2067" ht="12" customHeight="1" x14ac:dyDescent="0.2"/>
    <row r="2068" ht="12" customHeight="1" x14ac:dyDescent="0.2"/>
    <row r="2069" ht="12" customHeight="1" x14ac:dyDescent="0.2"/>
    <row r="2070" ht="12" customHeight="1" x14ac:dyDescent="0.2"/>
    <row r="2071" ht="12" customHeight="1" x14ac:dyDescent="0.2"/>
    <row r="2072" ht="12" customHeight="1" x14ac:dyDescent="0.2"/>
    <row r="2073" ht="12" customHeight="1" x14ac:dyDescent="0.2"/>
    <row r="2074" ht="12" customHeight="1" x14ac:dyDescent="0.2"/>
    <row r="2075" ht="12" customHeight="1" x14ac:dyDescent="0.2"/>
    <row r="2076" ht="12" customHeight="1" x14ac:dyDescent="0.2"/>
    <row r="2077" ht="12" customHeight="1" x14ac:dyDescent="0.2"/>
    <row r="2078" ht="12" customHeight="1" x14ac:dyDescent="0.2"/>
    <row r="2079" ht="12" customHeight="1" x14ac:dyDescent="0.2"/>
    <row r="2080" ht="12" customHeight="1" x14ac:dyDescent="0.2"/>
    <row r="2081" ht="12" customHeight="1" x14ac:dyDescent="0.2"/>
    <row r="2082" ht="12" customHeight="1" x14ac:dyDescent="0.2"/>
    <row r="2083" ht="12" customHeight="1" x14ac:dyDescent="0.2"/>
    <row r="2084" ht="12" customHeight="1" x14ac:dyDescent="0.2"/>
    <row r="2085" ht="12" customHeight="1" x14ac:dyDescent="0.2"/>
    <row r="2086" ht="12" customHeight="1" x14ac:dyDescent="0.2"/>
    <row r="2087" ht="12" customHeight="1" x14ac:dyDescent="0.2"/>
    <row r="2088" ht="12" customHeight="1" x14ac:dyDescent="0.2"/>
    <row r="2089" ht="12" customHeight="1" x14ac:dyDescent="0.2"/>
    <row r="2090" ht="12" customHeight="1" x14ac:dyDescent="0.2"/>
    <row r="2091" ht="12" customHeight="1" x14ac:dyDescent="0.2"/>
    <row r="2092" ht="12" customHeight="1" x14ac:dyDescent="0.2"/>
    <row r="2093" ht="12" customHeight="1" x14ac:dyDescent="0.2"/>
    <row r="2094" ht="12" customHeight="1" x14ac:dyDescent="0.2"/>
    <row r="2095" ht="12" customHeight="1" x14ac:dyDescent="0.2"/>
    <row r="2096" ht="12" customHeight="1" x14ac:dyDescent="0.2"/>
    <row r="2097" ht="12" customHeight="1" x14ac:dyDescent="0.2"/>
    <row r="2098" ht="12" customHeight="1" x14ac:dyDescent="0.2"/>
    <row r="2099" ht="12" customHeight="1" x14ac:dyDescent="0.2"/>
    <row r="2100" ht="12" customHeight="1" x14ac:dyDescent="0.2"/>
    <row r="2101" ht="12" customHeight="1" x14ac:dyDescent="0.2"/>
    <row r="2102" ht="12" customHeight="1" x14ac:dyDescent="0.2"/>
    <row r="2103" ht="12" customHeight="1" x14ac:dyDescent="0.2"/>
    <row r="2104" ht="12" customHeight="1" x14ac:dyDescent="0.2"/>
    <row r="2105" ht="12" customHeight="1" x14ac:dyDescent="0.2"/>
    <row r="2118" ht="12" customHeight="1" x14ac:dyDescent="0.2"/>
    <row r="2126" ht="12" customHeight="1" x14ac:dyDescent="0.2"/>
    <row r="2134" spans="2:32" ht="12" customHeight="1" x14ac:dyDescent="0.2"/>
    <row r="2140" spans="2:32" ht="12" customHeight="1" x14ac:dyDescent="0.2"/>
    <row r="2144" spans="2:32" ht="15" customHeight="1" x14ac:dyDescent="0.2">
      <c r="B2144" s="306"/>
      <c r="C2144" s="306"/>
      <c r="D2144" s="306"/>
      <c r="E2144" s="306"/>
      <c r="F2144" s="306"/>
      <c r="G2144" s="306"/>
      <c r="H2144" s="306"/>
      <c r="I2144" s="306"/>
      <c r="J2144" s="306"/>
      <c r="K2144" s="306"/>
      <c r="L2144" s="306"/>
      <c r="M2144" s="306"/>
      <c r="N2144" s="306"/>
      <c r="O2144" s="306"/>
      <c r="P2144" s="306"/>
      <c r="Q2144" s="306"/>
      <c r="R2144" s="306"/>
      <c r="S2144" s="306"/>
      <c r="T2144" s="306"/>
      <c r="U2144" s="306"/>
      <c r="V2144" s="306"/>
      <c r="W2144" s="306"/>
      <c r="X2144" s="306"/>
      <c r="Y2144" s="306"/>
      <c r="Z2144" s="306"/>
      <c r="AA2144" s="306"/>
      <c r="AB2144" s="306"/>
      <c r="AC2144" s="306"/>
      <c r="AD2144" s="306"/>
      <c r="AE2144" s="306"/>
      <c r="AF2144" s="306"/>
    </row>
    <row r="2149" ht="12" customHeight="1" x14ac:dyDescent="0.2"/>
    <row r="2150" ht="12" customHeight="1" x14ac:dyDescent="0.2"/>
    <row r="2151" ht="12" customHeight="1" x14ac:dyDescent="0.2"/>
    <row r="2152" ht="12" customHeight="1" x14ac:dyDescent="0.2"/>
    <row r="2153" ht="12" customHeight="1" x14ac:dyDescent="0.2"/>
    <row r="2154" ht="12" customHeight="1" x14ac:dyDescent="0.2"/>
    <row r="2155" ht="12" customHeight="1" x14ac:dyDescent="0.2"/>
    <row r="2156" ht="12" customHeight="1" x14ac:dyDescent="0.2"/>
    <row r="2157" ht="12" customHeight="1" x14ac:dyDescent="0.2"/>
    <row r="2158" ht="12" customHeight="1" x14ac:dyDescent="0.2"/>
    <row r="2159" ht="12" customHeight="1" x14ac:dyDescent="0.2"/>
    <row r="2160" ht="12" customHeight="1" x14ac:dyDescent="0.2"/>
    <row r="2161" ht="12" customHeight="1" x14ac:dyDescent="0.2"/>
    <row r="2162" ht="12" customHeight="1" x14ac:dyDescent="0.2"/>
    <row r="2163" ht="12" customHeight="1" x14ac:dyDescent="0.2"/>
    <row r="2164" ht="12" customHeight="1" x14ac:dyDescent="0.2"/>
    <row r="2165" ht="12" customHeight="1" x14ac:dyDescent="0.2"/>
    <row r="2166" ht="12" customHeight="1" x14ac:dyDescent="0.2"/>
    <row r="2167" ht="12" customHeight="1" x14ac:dyDescent="0.2"/>
    <row r="2168" ht="12" customHeight="1" x14ac:dyDescent="0.2"/>
    <row r="2169" ht="12" customHeight="1" x14ac:dyDescent="0.2"/>
    <row r="2170" ht="12" customHeight="1" x14ac:dyDescent="0.2"/>
    <row r="2171" ht="12" customHeight="1" x14ac:dyDescent="0.2"/>
    <row r="2172" ht="12" customHeight="1" x14ac:dyDescent="0.2"/>
    <row r="2173" ht="12" customHeight="1" x14ac:dyDescent="0.2"/>
    <row r="2174" ht="12" customHeight="1" x14ac:dyDescent="0.2"/>
    <row r="2175" ht="12" customHeight="1" x14ac:dyDescent="0.2"/>
    <row r="2176" ht="12" customHeight="1" x14ac:dyDescent="0.2"/>
    <row r="2177" ht="12" customHeight="1" x14ac:dyDescent="0.2"/>
    <row r="2178" ht="12" customHeight="1" x14ac:dyDescent="0.2"/>
    <row r="2179" ht="12" customHeight="1" x14ac:dyDescent="0.2"/>
    <row r="2180" ht="12" customHeight="1" x14ac:dyDescent="0.2"/>
    <row r="2181" ht="12" customHeight="1" x14ac:dyDescent="0.2"/>
    <row r="2182" ht="12" customHeight="1" x14ac:dyDescent="0.2"/>
    <row r="2183" ht="12" customHeight="1" x14ac:dyDescent="0.2"/>
    <row r="2184" ht="12" customHeight="1" x14ac:dyDescent="0.2"/>
    <row r="2185" ht="12" customHeight="1" x14ac:dyDescent="0.2"/>
    <row r="2186" ht="12" customHeight="1" x14ac:dyDescent="0.2"/>
    <row r="2187" ht="12" customHeight="1" x14ac:dyDescent="0.2"/>
    <row r="2188" ht="12" customHeight="1" x14ac:dyDescent="0.2"/>
    <row r="2189" ht="12" customHeight="1" x14ac:dyDescent="0.2"/>
    <row r="2190" ht="12" customHeight="1" x14ac:dyDescent="0.2"/>
    <row r="2191" ht="12" customHeight="1" x14ac:dyDescent="0.2"/>
    <row r="2192" ht="12" customHeight="1" x14ac:dyDescent="0.2"/>
    <row r="2193" ht="12" customHeight="1" x14ac:dyDescent="0.2"/>
    <row r="2194" ht="12" customHeight="1" x14ac:dyDescent="0.2"/>
    <row r="2195" ht="12" customHeight="1" x14ac:dyDescent="0.2"/>
    <row r="2196" ht="12" customHeight="1" x14ac:dyDescent="0.2"/>
    <row r="2197" ht="12" customHeight="1" x14ac:dyDescent="0.2"/>
    <row r="2198" ht="12" customHeight="1" x14ac:dyDescent="0.2"/>
    <row r="2199" ht="12" customHeight="1" x14ac:dyDescent="0.2"/>
    <row r="2200" ht="12" customHeight="1" x14ac:dyDescent="0.2"/>
    <row r="2201" ht="12" customHeight="1" x14ac:dyDescent="0.2"/>
    <row r="2202" ht="12" customHeight="1" x14ac:dyDescent="0.2"/>
    <row r="2203" ht="12" customHeight="1" x14ac:dyDescent="0.2"/>
    <row r="2204" ht="12" customHeight="1" x14ac:dyDescent="0.2"/>
    <row r="2205" ht="12" customHeight="1" x14ac:dyDescent="0.2"/>
    <row r="2218" ht="12" customHeight="1" x14ac:dyDescent="0.2"/>
    <row r="2226" ht="12" customHeight="1" x14ac:dyDescent="0.2"/>
    <row r="2234" ht="12" customHeight="1" x14ac:dyDescent="0.2"/>
    <row r="2240" ht="12" customHeight="1" x14ac:dyDescent="0.2"/>
    <row r="2244" spans="2:32" ht="15" customHeight="1" x14ac:dyDescent="0.2">
      <c r="B2244" s="306"/>
      <c r="C2244" s="306"/>
      <c r="D2244" s="306"/>
      <c r="E2244" s="306"/>
      <c r="F2244" s="306"/>
      <c r="G2244" s="306"/>
      <c r="H2244" s="306"/>
      <c r="I2244" s="306"/>
      <c r="J2244" s="306"/>
      <c r="K2244" s="306"/>
      <c r="L2244" s="306"/>
      <c r="M2244" s="306"/>
      <c r="N2244" s="306"/>
      <c r="O2244" s="306"/>
      <c r="P2244" s="306"/>
      <c r="Q2244" s="306"/>
      <c r="R2244" s="306"/>
      <c r="S2244" s="306"/>
      <c r="T2244" s="306"/>
      <c r="U2244" s="306"/>
      <c r="V2244" s="306"/>
      <c r="W2244" s="306"/>
      <c r="X2244" s="306"/>
      <c r="Y2244" s="306"/>
      <c r="Z2244" s="306"/>
      <c r="AA2244" s="306"/>
      <c r="AB2244" s="306"/>
      <c r="AC2244" s="306"/>
      <c r="AD2244" s="306"/>
      <c r="AE2244" s="306"/>
      <c r="AF2244" s="306"/>
    </row>
    <row r="2249" spans="2:32" ht="12" customHeight="1" x14ac:dyDescent="0.2"/>
    <row r="2250" spans="2:32" ht="12" customHeight="1" x14ac:dyDescent="0.2"/>
    <row r="2251" spans="2:32" ht="12" customHeight="1" x14ac:dyDescent="0.2"/>
    <row r="2252" spans="2:32" ht="12" customHeight="1" x14ac:dyDescent="0.2"/>
    <row r="2253" spans="2:32" ht="12" customHeight="1" x14ac:dyDescent="0.2"/>
    <row r="2254" spans="2:32" ht="12" customHeight="1" x14ac:dyDescent="0.2"/>
    <row r="2255" spans="2:32" ht="12" customHeight="1" x14ac:dyDescent="0.2"/>
    <row r="2256" spans="2:32" ht="12" customHeight="1" x14ac:dyDescent="0.2"/>
    <row r="2257" ht="12" customHeight="1" x14ac:dyDescent="0.2"/>
    <row r="2258" ht="12" customHeight="1" x14ac:dyDescent="0.2"/>
    <row r="2259" ht="12" customHeight="1" x14ac:dyDescent="0.2"/>
    <row r="2260" ht="12" customHeight="1" x14ac:dyDescent="0.2"/>
    <row r="2261" ht="12" customHeight="1" x14ac:dyDescent="0.2"/>
    <row r="2262" ht="12" customHeight="1" x14ac:dyDescent="0.2"/>
    <row r="2263" ht="12" customHeight="1" x14ac:dyDescent="0.2"/>
    <row r="2264" ht="12" customHeight="1" x14ac:dyDescent="0.2"/>
    <row r="2265" ht="12" customHeight="1" x14ac:dyDescent="0.2"/>
    <row r="2266" ht="12" customHeight="1" x14ac:dyDescent="0.2"/>
    <row r="2267" ht="12" customHeight="1" x14ac:dyDescent="0.2"/>
    <row r="2268" ht="12" customHeight="1" x14ac:dyDescent="0.2"/>
    <row r="2269" ht="12" customHeight="1" x14ac:dyDescent="0.2"/>
    <row r="2270" ht="12" customHeight="1" x14ac:dyDescent="0.2"/>
    <row r="2271" ht="12" customHeight="1" x14ac:dyDescent="0.2"/>
    <row r="2272" ht="12" customHeight="1" x14ac:dyDescent="0.2"/>
    <row r="2273" ht="12" customHeight="1" x14ac:dyDescent="0.2"/>
    <row r="2274" ht="12" customHeight="1" x14ac:dyDescent="0.2"/>
    <row r="2275" ht="12" customHeight="1" x14ac:dyDescent="0.2"/>
    <row r="2276" ht="12" customHeight="1" x14ac:dyDescent="0.2"/>
    <row r="2277" ht="12" customHeight="1" x14ac:dyDescent="0.2"/>
    <row r="2278" ht="12" customHeight="1" x14ac:dyDescent="0.2"/>
    <row r="2279" ht="12" customHeight="1" x14ac:dyDescent="0.2"/>
    <row r="2280" ht="12" customHeight="1" x14ac:dyDescent="0.2"/>
    <row r="2281" ht="12" customHeight="1" x14ac:dyDescent="0.2"/>
    <row r="2282" ht="12" customHeight="1" x14ac:dyDescent="0.2"/>
    <row r="2283" ht="12" customHeight="1" x14ac:dyDescent="0.2"/>
    <row r="2284" ht="12" customHeight="1" x14ac:dyDescent="0.2"/>
    <row r="2285" ht="12" customHeight="1" x14ac:dyDescent="0.2"/>
    <row r="2286" ht="12" customHeight="1" x14ac:dyDescent="0.2"/>
    <row r="2287" ht="12" customHeight="1" x14ac:dyDescent="0.2"/>
    <row r="2288" ht="12" customHeight="1" x14ac:dyDescent="0.2"/>
    <row r="2289" ht="12" customHeight="1" x14ac:dyDescent="0.2"/>
    <row r="2290" ht="12" customHeight="1" x14ac:dyDescent="0.2"/>
    <row r="2291" ht="12" customHeight="1" x14ac:dyDescent="0.2"/>
    <row r="2292" ht="12" customHeight="1" x14ac:dyDescent="0.2"/>
    <row r="2293" ht="12" customHeight="1" x14ac:dyDescent="0.2"/>
    <row r="2294" ht="12" customHeight="1" x14ac:dyDescent="0.2"/>
    <row r="2295" ht="12" customHeight="1" x14ac:dyDescent="0.2"/>
    <row r="2296" ht="12" customHeight="1" x14ac:dyDescent="0.2"/>
    <row r="2297" ht="12" customHeight="1" x14ac:dyDescent="0.2"/>
    <row r="2298" ht="12" customHeight="1" x14ac:dyDescent="0.2"/>
    <row r="2299" ht="12" customHeight="1" x14ac:dyDescent="0.2"/>
    <row r="2300" ht="12" customHeight="1" x14ac:dyDescent="0.2"/>
    <row r="2301" ht="12" customHeight="1" x14ac:dyDescent="0.2"/>
    <row r="2302" ht="12" customHeight="1" x14ac:dyDescent="0.2"/>
    <row r="2303" ht="12" customHeight="1" x14ac:dyDescent="0.2"/>
    <row r="2304" ht="12" customHeight="1" x14ac:dyDescent="0.2"/>
    <row r="2305" ht="12" customHeight="1" x14ac:dyDescent="0.2"/>
    <row r="2318" ht="12" customHeight="1" x14ac:dyDescent="0.2"/>
    <row r="2326" ht="12" customHeight="1" x14ac:dyDescent="0.2"/>
    <row r="2334" ht="12" customHeight="1" x14ac:dyDescent="0.2"/>
    <row r="2340" spans="2:32" ht="12" customHeight="1" x14ac:dyDescent="0.2"/>
    <row r="2344" spans="2:32" ht="15" customHeight="1" x14ac:dyDescent="0.2">
      <c r="B2344" s="306"/>
      <c r="C2344" s="306"/>
      <c r="D2344" s="306"/>
      <c r="E2344" s="306"/>
      <c r="F2344" s="306"/>
      <c r="G2344" s="306"/>
      <c r="H2344" s="306"/>
      <c r="I2344" s="306"/>
      <c r="J2344" s="306"/>
      <c r="K2344" s="306"/>
      <c r="L2344" s="306"/>
      <c r="M2344" s="306"/>
      <c r="N2344" s="306"/>
      <c r="O2344" s="306"/>
      <c r="P2344" s="306"/>
      <c r="Q2344" s="306"/>
      <c r="R2344" s="306"/>
      <c r="S2344" s="306"/>
      <c r="T2344" s="306"/>
      <c r="U2344" s="306"/>
      <c r="V2344" s="306"/>
      <c r="W2344" s="306"/>
      <c r="X2344" s="306"/>
      <c r="Y2344" s="306"/>
      <c r="Z2344" s="306"/>
      <c r="AA2344" s="306"/>
      <c r="AB2344" s="306"/>
      <c r="AC2344" s="306"/>
      <c r="AD2344" s="306"/>
      <c r="AE2344" s="306"/>
      <c r="AF2344" s="306"/>
    </row>
  </sheetData>
  <mergeCells count="22">
    <mergeCell ref="B2244:AF2244"/>
    <mergeCell ref="B2344:AF2344"/>
    <mergeCell ref="B1544:AF1544"/>
    <mergeCell ref="B1644:AF1644"/>
    <mergeCell ref="B1744:AF1744"/>
    <mergeCell ref="B1844:AF1844"/>
    <mergeCell ref="B1944:AF1944"/>
    <mergeCell ref="B2044:AF2044"/>
    <mergeCell ref="B2144:AF2144"/>
    <mergeCell ref="B78:AF78"/>
    <mergeCell ref="B1426:AF1426"/>
    <mergeCell ref="B88:AF88"/>
    <mergeCell ref="B214:AF214"/>
    <mergeCell ref="B383:AF383"/>
    <mergeCell ref="B500:AF500"/>
    <mergeCell ref="B652:AF652"/>
    <mergeCell ref="B752:AF752"/>
    <mergeCell ref="B843:AF843"/>
    <mergeCell ref="B914:AF914"/>
    <mergeCell ref="B1009:AF1009"/>
    <mergeCell ref="B1159:AF1159"/>
    <mergeCell ref="B1331:AF1331"/>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163"/>
  <sheetViews>
    <sheetView topLeftCell="A96" zoomScale="80" zoomScaleNormal="80" workbookViewId="0">
      <selection activeCell="A126" sqref="A126"/>
    </sheetView>
  </sheetViews>
  <sheetFormatPr defaultColWidth="9.140625" defaultRowHeight="15" x14ac:dyDescent="0.25"/>
  <cols>
    <col min="1" max="1" width="33.140625" customWidth="1"/>
    <col min="2" max="2" width="13.42578125" bestFit="1" customWidth="1"/>
    <col min="3" max="3" width="11.5703125" customWidth="1"/>
    <col min="4" max="4" width="12.85546875" bestFit="1" customWidth="1"/>
    <col min="5" max="5" width="10.42578125" bestFit="1" customWidth="1"/>
    <col min="6" max="6" width="15.28515625" customWidth="1"/>
    <col min="7" max="7" width="13.42578125" customWidth="1"/>
    <col min="8" max="8" width="12.7109375" bestFit="1" customWidth="1"/>
    <col min="9" max="9" width="9.7109375" bestFit="1" customWidth="1"/>
    <col min="11" max="11" width="10.42578125" customWidth="1"/>
    <col min="12" max="12" width="12.42578125" bestFit="1" customWidth="1"/>
    <col min="15" max="15" width="12.85546875" bestFit="1" customWidth="1"/>
    <col min="19" max="19" width="10.42578125" customWidth="1"/>
    <col min="23" max="23" width="10.7109375" customWidth="1"/>
  </cols>
  <sheetData>
    <row r="1" spans="1:23" ht="15.75" x14ac:dyDescent="0.25">
      <c r="A1" s="36" t="s">
        <v>366</v>
      </c>
    </row>
    <row r="2" spans="1:23" x14ac:dyDescent="0.25">
      <c r="A2" s="37" t="s">
        <v>367</v>
      </c>
    </row>
    <row r="3" spans="1:23" ht="12.75" customHeight="1" x14ac:dyDescent="0.25">
      <c r="A3" s="38" t="s">
        <v>213</v>
      </c>
      <c r="B3" s="39" t="s">
        <v>368</v>
      </c>
      <c r="C3" s="40"/>
      <c r="D3" s="40"/>
      <c r="E3" s="41" t="s">
        <v>369</v>
      </c>
      <c r="F3" s="41" t="s">
        <v>370</v>
      </c>
      <c r="G3" s="41" t="s">
        <v>371</v>
      </c>
      <c r="H3" s="41" t="s">
        <v>371</v>
      </c>
      <c r="I3" s="42"/>
    </row>
    <row r="4" spans="1:23" ht="26.25" x14ac:dyDescent="0.25">
      <c r="A4" s="43"/>
      <c r="B4" s="44" t="s">
        <v>372</v>
      </c>
      <c r="C4" s="45" t="s">
        <v>373</v>
      </c>
      <c r="D4" s="45" t="s">
        <v>374</v>
      </c>
      <c r="E4" s="45"/>
      <c r="F4" s="45" t="s">
        <v>375</v>
      </c>
      <c r="G4" s="45" t="s">
        <v>376</v>
      </c>
      <c r="H4" s="46" t="s">
        <v>377</v>
      </c>
      <c r="I4" s="47" t="s">
        <v>378</v>
      </c>
    </row>
    <row r="5" spans="1:23" x14ac:dyDescent="0.25">
      <c r="A5" s="48" t="s">
        <v>379</v>
      </c>
      <c r="B5" s="49">
        <v>1</v>
      </c>
      <c r="C5" s="50" t="s">
        <v>380</v>
      </c>
      <c r="D5" s="50"/>
      <c r="E5" s="51"/>
      <c r="F5" s="51"/>
      <c r="G5" s="51"/>
      <c r="H5" s="51"/>
      <c r="I5" s="52"/>
    </row>
    <row r="6" spans="1:23" x14ac:dyDescent="0.25">
      <c r="A6" s="53" t="s">
        <v>381</v>
      </c>
      <c r="B6" s="54" t="s">
        <v>382</v>
      </c>
      <c r="C6" s="55" t="s">
        <v>382</v>
      </c>
      <c r="D6" s="55" t="s">
        <v>382</v>
      </c>
      <c r="E6" s="55" t="s">
        <v>383</v>
      </c>
      <c r="F6" s="56"/>
      <c r="G6" s="56"/>
      <c r="H6" s="56"/>
      <c r="I6" s="57"/>
    </row>
    <row r="7" spans="1:23" x14ac:dyDescent="0.25">
      <c r="A7" s="58" t="s">
        <v>384</v>
      </c>
      <c r="B7" s="59">
        <v>129670</v>
      </c>
      <c r="C7" s="60">
        <v>129670</v>
      </c>
      <c r="D7" s="60">
        <v>138350</v>
      </c>
      <c r="E7" s="60">
        <v>3205</v>
      </c>
      <c r="F7" s="61">
        <v>0.85299999999999998</v>
      </c>
      <c r="G7" s="62">
        <v>16000</v>
      </c>
      <c r="H7" s="63">
        <v>1.6E-2</v>
      </c>
      <c r="I7" s="64">
        <v>0.93726057101554028</v>
      </c>
    </row>
    <row r="8" spans="1:23" x14ac:dyDescent="0.25">
      <c r="A8" s="58" t="s">
        <v>385</v>
      </c>
      <c r="B8" s="59">
        <v>135084.91292306196</v>
      </c>
      <c r="C8" s="65">
        <v>135084.91292306196</v>
      </c>
      <c r="D8" s="65">
        <v>144475.84269846199</v>
      </c>
      <c r="E8" s="65">
        <v>3266</v>
      </c>
      <c r="F8" s="66">
        <v>0.85562068501529054</v>
      </c>
      <c r="G8" s="62">
        <v>1800</v>
      </c>
      <c r="H8" s="63">
        <v>1.8E-3</v>
      </c>
      <c r="I8" s="64">
        <v>0.93500000000000005</v>
      </c>
    </row>
    <row r="9" spans="1:23" x14ac:dyDescent="0.25">
      <c r="A9" s="58" t="s">
        <v>386</v>
      </c>
      <c r="B9" s="59">
        <v>152370.90134048002</v>
      </c>
      <c r="C9" s="65">
        <v>152370.90134048002</v>
      </c>
      <c r="D9" s="65">
        <v>162963.53084543315</v>
      </c>
      <c r="E9" s="65">
        <v>3839.6821254480283</v>
      </c>
      <c r="F9" s="66">
        <v>0.83</v>
      </c>
      <c r="G9" s="62">
        <v>48000</v>
      </c>
      <c r="H9" s="63">
        <v>4.8000000000000001E-2</v>
      </c>
      <c r="I9" s="64">
        <v>0.93500000000000016</v>
      </c>
    </row>
    <row r="10" spans="1:23" x14ac:dyDescent="0.25">
      <c r="A10" s="58" t="s">
        <v>387</v>
      </c>
      <c r="B10" s="59">
        <v>152370.90134048002</v>
      </c>
      <c r="C10" s="67">
        <v>152370.90134048002</v>
      </c>
      <c r="D10" s="67">
        <v>162963.53084543315</v>
      </c>
      <c r="E10" s="67">
        <v>3839.6821254480283</v>
      </c>
      <c r="F10" s="68">
        <v>0.83</v>
      </c>
      <c r="G10" s="67">
        <v>48000</v>
      </c>
      <c r="H10" s="63">
        <v>4.8000000000000001E-2</v>
      </c>
      <c r="I10" s="64">
        <v>0.93500000000000016</v>
      </c>
    </row>
    <row r="11" spans="1:23" x14ac:dyDescent="0.25">
      <c r="A11" s="58" t="s">
        <v>388</v>
      </c>
      <c r="B11" s="59">
        <v>145194.18901496602</v>
      </c>
      <c r="C11" s="67">
        <v>145194.18901496602</v>
      </c>
      <c r="D11" s="67">
        <v>155287.90268980322</v>
      </c>
      <c r="E11" s="67">
        <v>3500.47748781362</v>
      </c>
      <c r="F11" s="68">
        <v>0.83245885654014951</v>
      </c>
      <c r="G11" s="67">
        <v>37227.389654331695</v>
      </c>
      <c r="H11" s="63">
        <v>3.7227389654331693E-2</v>
      </c>
      <c r="I11" s="64">
        <v>0.93500000000000005</v>
      </c>
      <c r="L11" s="67"/>
      <c r="M11" s="67"/>
      <c r="N11" s="67"/>
      <c r="O11" s="67"/>
      <c r="P11" s="68"/>
      <c r="Q11" s="67"/>
      <c r="R11" s="63"/>
      <c r="S11" s="69"/>
    </row>
    <row r="12" spans="1:23" x14ac:dyDescent="0.25">
      <c r="A12" s="58" t="s">
        <v>389</v>
      </c>
      <c r="B12" s="59">
        <v>128448.52692210001</v>
      </c>
      <c r="C12" s="65">
        <v>128448.52692210001</v>
      </c>
      <c r="D12" s="65">
        <v>137378.10365999999</v>
      </c>
      <c r="E12" s="65">
        <v>2709</v>
      </c>
      <c r="F12" s="66">
        <v>0.84059083544303792</v>
      </c>
      <c r="G12" s="62">
        <v>1600</v>
      </c>
      <c r="H12" s="63">
        <v>1.6000000000000001E-3</v>
      </c>
      <c r="I12" s="64">
        <v>0.93500000000000005</v>
      </c>
    </row>
    <row r="13" spans="1:23" x14ac:dyDescent="0.25">
      <c r="A13" t="s">
        <v>390</v>
      </c>
      <c r="B13" s="59">
        <v>125600.90733399388</v>
      </c>
      <c r="C13" s="70">
        <v>125600.90733399388</v>
      </c>
      <c r="D13" s="70">
        <v>134008.52571649614</v>
      </c>
      <c r="E13" s="71">
        <v>3087.2372132564833</v>
      </c>
      <c r="F13" s="72">
        <v>0.85299999999999998</v>
      </c>
      <c r="G13" s="72">
        <v>16000</v>
      </c>
      <c r="H13" s="63">
        <v>1.6E-2</v>
      </c>
      <c r="I13" s="64">
        <v>0.93726057101554028</v>
      </c>
    </row>
    <row r="14" spans="1:23" x14ac:dyDescent="0.25">
      <c r="A14" t="s">
        <v>391</v>
      </c>
      <c r="B14" s="59">
        <v>122492.60888766299</v>
      </c>
      <c r="C14" s="70">
        <v>122492.60888766299</v>
      </c>
      <c r="D14" s="70">
        <v>130692.16040416578</v>
      </c>
      <c r="E14" s="71">
        <v>2984.0426545960995</v>
      </c>
      <c r="F14" s="72">
        <v>0.85299999999999998</v>
      </c>
      <c r="G14" s="72">
        <v>16000</v>
      </c>
      <c r="H14" s="63">
        <v>1.6E-2</v>
      </c>
      <c r="I14" s="64">
        <v>0.93726057101554017</v>
      </c>
    </row>
    <row r="15" spans="1:23" x14ac:dyDescent="0.25">
      <c r="A15" s="58" t="s">
        <v>392</v>
      </c>
      <c r="B15" s="59">
        <v>116090</v>
      </c>
      <c r="C15" s="60">
        <v>116090</v>
      </c>
      <c r="D15" s="60">
        <v>124340</v>
      </c>
      <c r="E15" s="60">
        <v>2819</v>
      </c>
      <c r="F15" s="61">
        <v>0.86299999999999999</v>
      </c>
      <c r="G15" s="67">
        <v>10</v>
      </c>
      <c r="H15" s="63">
        <v>1.0000000000000001E-5</v>
      </c>
      <c r="I15" s="64">
        <v>0.93364967025896739</v>
      </c>
      <c r="P15" s="73"/>
      <c r="Q15" s="73"/>
      <c r="R15" s="73"/>
      <c r="S15" s="73"/>
      <c r="T15" s="73"/>
      <c r="U15" s="73"/>
      <c r="V15" s="28"/>
      <c r="W15" s="70"/>
    </row>
    <row r="16" spans="1:23" x14ac:dyDescent="0.25">
      <c r="A16" s="58" t="s">
        <v>393</v>
      </c>
      <c r="B16" s="59">
        <v>112193.52</v>
      </c>
      <c r="C16" s="67">
        <v>112193.52</v>
      </c>
      <c r="D16" s="67">
        <v>120438.62000000001</v>
      </c>
      <c r="E16" s="67">
        <v>2835.5620000000004</v>
      </c>
      <c r="F16" s="68">
        <v>0.82778546968819577</v>
      </c>
      <c r="G16" s="74">
        <v>9.0261788360871336</v>
      </c>
      <c r="H16" s="63">
        <v>9.0261788360871334E-6</v>
      </c>
      <c r="I16" s="64">
        <v>0.931541062160958</v>
      </c>
      <c r="S16" s="73"/>
      <c r="T16" s="73"/>
      <c r="U16" s="73"/>
      <c r="V16" s="28"/>
      <c r="W16" s="70"/>
    </row>
    <row r="17" spans="1:23" x14ac:dyDescent="0.25">
      <c r="A17" s="58" t="s">
        <v>394</v>
      </c>
      <c r="B17" s="59">
        <v>112193.52</v>
      </c>
      <c r="C17" s="67">
        <v>112193.52</v>
      </c>
      <c r="D17" s="67">
        <v>120438.62000000001</v>
      </c>
      <c r="E17" s="67">
        <v>2835.5620000000004</v>
      </c>
      <c r="F17" s="68">
        <v>0.82778546968819577</v>
      </c>
      <c r="G17" s="74">
        <v>9.0261788360871336</v>
      </c>
      <c r="H17" s="63">
        <v>9.0261788360871334E-6</v>
      </c>
      <c r="I17" s="64">
        <v>0.931541062160958</v>
      </c>
      <c r="P17" s="73"/>
      <c r="Q17" s="73"/>
      <c r="R17" s="73"/>
      <c r="S17" s="73"/>
      <c r="T17" s="73"/>
      <c r="U17" s="73"/>
      <c r="V17" s="28"/>
      <c r="W17" s="70"/>
    </row>
    <row r="18" spans="1:23" x14ac:dyDescent="0.25">
      <c r="A18" s="58" t="s">
        <v>395</v>
      </c>
      <c r="B18" s="59">
        <v>106150</v>
      </c>
      <c r="C18" s="67">
        <v>106150</v>
      </c>
      <c r="D18" s="67">
        <v>114387.5</v>
      </c>
      <c r="E18" s="67">
        <v>2861.25</v>
      </c>
      <c r="F18" s="68">
        <v>0.77774999999999994</v>
      </c>
      <c r="G18" s="74">
        <v>7.642500028014183</v>
      </c>
      <c r="H18" s="63">
        <v>7.6425000280141833E-6</v>
      </c>
      <c r="I18" s="64">
        <v>0.92798601245765489</v>
      </c>
      <c r="S18" s="73"/>
      <c r="T18" s="73"/>
      <c r="U18" s="73"/>
      <c r="V18" s="28"/>
      <c r="W18" s="70"/>
    </row>
    <row r="19" spans="1:23" x14ac:dyDescent="0.25">
      <c r="A19" s="58" t="s">
        <v>396</v>
      </c>
      <c r="B19" s="59">
        <v>100186</v>
      </c>
      <c r="C19" s="67">
        <v>100186</v>
      </c>
      <c r="D19" s="67">
        <v>108416</v>
      </c>
      <c r="E19" s="67">
        <v>2886.6</v>
      </c>
      <c r="F19" s="68">
        <v>0.72659999999999991</v>
      </c>
      <c r="G19" s="74">
        <v>6.2280000448226929</v>
      </c>
      <c r="H19" s="63">
        <v>6.2280000448226927E-6</v>
      </c>
      <c r="I19" s="64">
        <v>0.92408869539551353</v>
      </c>
      <c r="J19" s="73"/>
      <c r="K19" s="73"/>
      <c r="L19" s="73"/>
      <c r="M19" s="28"/>
      <c r="N19" s="70"/>
    </row>
    <row r="20" spans="1:23" x14ac:dyDescent="0.25">
      <c r="A20" s="58" t="s">
        <v>397</v>
      </c>
      <c r="B20" s="59">
        <v>128450</v>
      </c>
      <c r="C20" s="60">
        <v>128450</v>
      </c>
      <c r="D20" s="60">
        <v>137380</v>
      </c>
      <c r="E20" s="60">
        <v>3167</v>
      </c>
      <c r="F20" s="61">
        <v>0.86499999999999999</v>
      </c>
      <c r="G20" s="67">
        <v>200</v>
      </c>
      <c r="H20" s="63">
        <v>2.0000000000000001E-4</v>
      </c>
      <c r="I20" s="64">
        <v>0.93499781627602274</v>
      </c>
      <c r="W20" s="70"/>
    </row>
    <row r="21" spans="1:23" x14ac:dyDescent="0.25">
      <c r="A21" s="75" t="s">
        <v>584</v>
      </c>
      <c r="B21" s="59">
        <v>129487.84757606639</v>
      </c>
      <c r="C21" s="67">
        <v>129487.84757606639</v>
      </c>
      <c r="D21" s="67">
        <v>138490</v>
      </c>
      <c r="E21" s="67">
        <v>3206</v>
      </c>
      <c r="F21" s="76">
        <v>0.871</v>
      </c>
      <c r="G21" s="67">
        <v>11</v>
      </c>
      <c r="H21" s="63">
        <v>1.1E-5</v>
      </c>
      <c r="I21" s="64"/>
    </row>
    <row r="22" spans="1:23" x14ac:dyDescent="0.25">
      <c r="A22" s="58" t="s">
        <v>398</v>
      </c>
      <c r="B22" s="59">
        <v>128450</v>
      </c>
      <c r="C22" s="67">
        <v>128450</v>
      </c>
      <c r="D22" s="67">
        <v>137380</v>
      </c>
      <c r="E22" s="67">
        <v>3167</v>
      </c>
      <c r="F22" s="68">
        <v>0.86499999999999999</v>
      </c>
      <c r="G22" s="67">
        <v>11</v>
      </c>
      <c r="H22" s="63">
        <v>1.1E-5</v>
      </c>
      <c r="I22" s="64">
        <v>0.93499781627602274</v>
      </c>
    </row>
    <row r="23" spans="1:23" x14ac:dyDescent="0.25">
      <c r="A23" s="58" t="s">
        <v>399</v>
      </c>
      <c r="B23" s="59">
        <v>129487.84757606639</v>
      </c>
      <c r="C23" s="67">
        <v>129487.84757606639</v>
      </c>
      <c r="D23" s="60">
        <v>138490</v>
      </c>
      <c r="E23" s="60">
        <v>3206</v>
      </c>
      <c r="F23" s="61">
        <v>0.871</v>
      </c>
      <c r="G23" s="62">
        <v>11</v>
      </c>
      <c r="H23" s="63">
        <v>1.1E-5</v>
      </c>
      <c r="I23" s="64">
        <v>0.93499781627602274</v>
      </c>
    </row>
    <row r="24" spans="1:23" x14ac:dyDescent="0.25">
      <c r="A24" s="58" t="s">
        <v>400</v>
      </c>
      <c r="B24" s="59">
        <v>116920</v>
      </c>
      <c r="C24" s="60">
        <v>116920</v>
      </c>
      <c r="D24" s="60">
        <v>125080</v>
      </c>
      <c r="E24" s="60">
        <v>2745</v>
      </c>
      <c r="F24" s="61">
        <v>0.85</v>
      </c>
      <c r="G24" s="62">
        <v>1</v>
      </c>
      <c r="H24" s="63">
        <v>9.9999999999999995E-7</v>
      </c>
      <c r="I24" s="64">
        <v>0.93476175247841387</v>
      </c>
    </row>
    <row r="25" spans="1:23" x14ac:dyDescent="0.25">
      <c r="A25" s="58" t="s">
        <v>585</v>
      </c>
      <c r="B25" s="59">
        <v>118237.434842673</v>
      </c>
      <c r="C25" s="67">
        <v>118237.434842673</v>
      </c>
      <c r="D25" s="67">
        <v>126586.157141156</v>
      </c>
      <c r="E25" s="67">
        <v>2833.8569764657</v>
      </c>
      <c r="F25" s="68">
        <v>0.85315638757897505</v>
      </c>
      <c r="G25" s="67">
        <v>10</v>
      </c>
      <c r="H25" s="63">
        <v>1.0000000000000001E-5</v>
      </c>
      <c r="I25" s="64">
        <v>0.93404711473172097</v>
      </c>
    </row>
    <row r="26" spans="1:23" x14ac:dyDescent="0.25">
      <c r="A26" s="58" t="s">
        <v>401</v>
      </c>
      <c r="B26" s="59">
        <v>124307.03423937227</v>
      </c>
      <c r="C26" s="67">
        <v>124307.03423937227</v>
      </c>
      <c r="D26" s="67">
        <v>132948.69438683367</v>
      </c>
      <c r="E26" s="67">
        <v>3035.8996219999995</v>
      </c>
      <c r="F26" s="68">
        <v>0.86199999999999999</v>
      </c>
      <c r="G26" s="67">
        <v>700</v>
      </c>
      <c r="H26" s="63">
        <v>6.9999999999999999E-4</v>
      </c>
      <c r="I26" s="64">
        <v>0.93500003751584637</v>
      </c>
    </row>
    <row r="27" spans="1:23" x14ac:dyDescent="0.25">
      <c r="A27" s="58" t="s">
        <v>402</v>
      </c>
      <c r="B27" s="59">
        <v>123041.23110601204</v>
      </c>
      <c r="C27" s="60">
        <v>123041.23110601204</v>
      </c>
      <c r="D27" s="60">
        <v>131594.89429852215</v>
      </c>
      <c r="E27" s="77">
        <v>2998.0455119999997</v>
      </c>
      <c r="F27" s="61">
        <v>0.86</v>
      </c>
      <c r="G27" s="62">
        <v>11</v>
      </c>
      <c r="H27" s="63">
        <v>1.1E-5</v>
      </c>
      <c r="I27" s="64">
        <v>0.93500003751584626</v>
      </c>
    </row>
    <row r="28" spans="1:23" x14ac:dyDescent="0.25">
      <c r="A28" s="58" t="s">
        <v>403</v>
      </c>
      <c r="B28" s="59">
        <v>111520</v>
      </c>
      <c r="C28" s="67">
        <v>111520</v>
      </c>
      <c r="D28" s="60">
        <v>119740</v>
      </c>
      <c r="E28" s="60">
        <v>2651</v>
      </c>
      <c r="F28" s="61">
        <v>0.84199999999999997</v>
      </c>
      <c r="G28" s="62">
        <v>0</v>
      </c>
      <c r="H28" s="63">
        <v>0</v>
      </c>
      <c r="I28" s="64">
        <v>0.93135126106564226</v>
      </c>
    </row>
    <row r="29" spans="1:23" x14ac:dyDescent="0.25">
      <c r="A29" s="58" t="s">
        <v>404</v>
      </c>
      <c r="B29" s="59">
        <v>140352.52220119376</v>
      </c>
      <c r="C29" s="67">
        <v>140352.52220119376</v>
      </c>
      <c r="D29" s="67">
        <v>150110</v>
      </c>
      <c r="E29" s="67">
        <v>3752</v>
      </c>
      <c r="F29" s="68">
        <v>0.86799999999999999</v>
      </c>
      <c r="G29" s="62">
        <v>5000</v>
      </c>
      <c r="H29" s="63">
        <v>5.0000000000000001E-3</v>
      </c>
      <c r="I29" s="64">
        <v>0.93499781627602263</v>
      </c>
    </row>
    <row r="30" spans="1:23" x14ac:dyDescent="0.25">
      <c r="A30" s="58" t="s">
        <v>405</v>
      </c>
      <c r="B30" s="59">
        <v>140352.52220119376</v>
      </c>
      <c r="C30" s="60">
        <v>140352.52220119376</v>
      </c>
      <c r="D30" s="60">
        <v>150110</v>
      </c>
      <c r="E30" s="60">
        <v>3752</v>
      </c>
      <c r="F30" s="78">
        <v>0.86799999999999999</v>
      </c>
      <c r="G30" s="62">
        <v>27000</v>
      </c>
      <c r="H30" s="63">
        <v>2.7E-2</v>
      </c>
      <c r="I30" s="64">
        <v>0.93499781627602263</v>
      </c>
    </row>
    <row r="31" spans="1:23" x14ac:dyDescent="0.25">
      <c r="A31" s="58" t="s">
        <v>406</v>
      </c>
      <c r="B31" s="59">
        <v>57250</v>
      </c>
      <c r="C31" s="60">
        <v>57250</v>
      </c>
      <c r="D31" s="60">
        <v>65200</v>
      </c>
      <c r="E31" s="60">
        <v>3006</v>
      </c>
      <c r="F31" s="78">
        <v>0.375</v>
      </c>
      <c r="G31" s="67">
        <v>0</v>
      </c>
      <c r="H31" s="63">
        <v>0</v>
      </c>
      <c r="I31" s="64">
        <v>0.87806748466257667</v>
      </c>
    </row>
    <row r="32" spans="1:23" x14ac:dyDescent="0.25">
      <c r="A32" s="58" t="s">
        <v>407</v>
      </c>
      <c r="B32" s="59">
        <v>76330</v>
      </c>
      <c r="C32" s="79">
        <v>76330</v>
      </c>
      <c r="D32" s="77">
        <v>84530</v>
      </c>
      <c r="E32" s="79">
        <v>2988</v>
      </c>
      <c r="F32" s="80">
        <v>0.52200000000000002</v>
      </c>
      <c r="G32" s="70">
        <v>0.57000011205673218</v>
      </c>
      <c r="H32" s="63">
        <v>5.7000011205673218E-7</v>
      </c>
      <c r="I32" s="64">
        <v>0.90299302022950434</v>
      </c>
    </row>
    <row r="33" spans="1:9" x14ac:dyDescent="0.25">
      <c r="A33" s="58" t="s">
        <v>408</v>
      </c>
      <c r="B33" s="59">
        <v>99837</v>
      </c>
      <c r="C33" s="79">
        <v>99837</v>
      </c>
      <c r="D33" s="77">
        <v>108458</v>
      </c>
      <c r="E33" s="79">
        <v>3065</v>
      </c>
      <c r="F33" s="80">
        <v>0.64859999999999995</v>
      </c>
      <c r="G33" s="70">
        <v>0</v>
      </c>
      <c r="H33" s="63">
        <v>0</v>
      </c>
      <c r="I33" s="64">
        <v>0.92051300964428628</v>
      </c>
    </row>
    <row r="34" spans="1:9" x14ac:dyDescent="0.25">
      <c r="A34" s="58" t="s">
        <v>409</v>
      </c>
      <c r="B34" s="59">
        <v>83127</v>
      </c>
      <c r="C34" s="67">
        <v>83127</v>
      </c>
      <c r="D34" s="67">
        <v>89511</v>
      </c>
      <c r="E34" s="67">
        <v>2964</v>
      </c>
      <c r="F34" s="68">
        <v>0.61980000000000002</v>
      </c>
      <c r="G34" s="67">
        <v>0</v>
      </c>
      <c r="H34" s="63">
        <v>0</v>
      </c>
      <c r="I34" s="64">
        <v>0.92867915675168411</v>
      </c>
    </row>
    <row r="35" spans="1:9" x14ac:dyDescent="0.25">
      <c r="A35" s="58" t="s">
        <v>410</v>
      </c>
      <c r="B35" s="59">
        <v>116090</v>
      </c>
      <c r="C35" s="60">
        <v>116090</v>
      </c>
      <c r="D35" s="60">
        <v>124340</v>
      </c>
      <c r="E35" s="62">
        <v>2819</v>
      </c>
      <c r="F35" s="78">
        <v>0.86299999999999999</v>
      </c>
      <c r="G35" s="62">
        <v>10</v>
      </c>
      <c r="H35" s="63">
        <v>1.0000000000000001E-5</v>
      </c>
      <c r="I35" s="64">
        <v>0.93364967025896739</v>
      </c>
    </row>
    <row r="36" spans="1:9" x14ac:dyDescent="0.25">
      <c r="A36" s="58" t="s">
        <v>411</v>
      </c>
      <c r="B36" s="59">
        <v>84950</v>
      </c>
      <c r="C36" s="60">
        <v>84950</v>
      </c>
      <c r="D36" s="60">
        <v>91410</v>
      </c>
      <c r="E36" s="60">
        <v>1923</v>
      </c>
      <c r="F36" s="61">
        <v>0.82</v>
      </c>
      <c r="G36" s="62">
        <v>0</v>
      </c>
      <c r="H36" s="63">
        <v>0</v>
      </c>
      <c r="I36" s="64">
        <v>0.9293293950333662</v>
      </c>
    </row>
    <row r="37" spans="1:9" x14ac:dyDescent="0.25">
      <c r="A37" s="58" t="s">
        <v>412</v>
      </c>
      <c r="B37" s="59">
        <v>74720</v>
      </c>
      <c r="C37" s="60">
        <v>74720</v>
      </c>
      <c r="D37" s="60">
        <v>84820</v>
      </c>
      <c r="E37" s="60">
        <v>1621</v>
      </c>
      <c r="F37" s="81">
        <v>0.75</v>
      </c>
      <c r="G37" s="62">
        <v>0</v>
      </c>
      <c r="H37" s="63">
        <v>0</v>
      </c>
      <c r="I37" s="64">
        <v>0.88092431030417351</v>
      </c>
    </row>
    <row r="38" spans="1:9" x14ac:dyDescent="0.25">
      <c r="A38" s="58" t="s">
        <v>413</v>
      </c>
      <c r="B38" s="59">
        <v>68930</v>
      </c>
      <c r="C38" s="62">
        <v>68930</v>
      </c>
      <c r="D38" s="67">
        <v>75610</v>
      </c>
      <c r="E38" s="62">
        <v>2518</v>
      </c>
      <c r="F38" s="78">
        <v>0.52200000000000002</v>
      </c>
      <c r="G38" s="62">
        <v>0</v>
      </c>
      <c r="H38" s="63">
        <v>0</v>
      </c>
      <c r="I38" s="64">
        <v>0.91165189789710355</v>
      </c>
    </row>
    <row r="39" spans="1:9" x14ac:dyDescent="0.25">
      <c r="A39" s="58" t="s">
        <v>414</v>
      </c>
      <c r="B39" s="59">
        <v>72200</v>
      </c>
      <c r="C39" s="60">
        <v>72200</v>
      </c>
      <c r="D39" s="60">
        <v>79196.89540113158</v>
      </c>
      <c r="E39" s="60">
        <v>3255</v>
      </c>
      <c r="F39" s="61">
        <v>0.47399999999999998</v>
      </c>
      <c r="G39" s="62">
        <v>0</v>
      </c>
      <c r="H39" s="63">
        <v>0</v>
      </c>
      <c r="I39" s="64">
        <v>0.91165189789710355</v>
      </c>
    </row>
    <row r="40" spans="1:9" x14ac:dyDescent="0.25">
      <c r="A40" s="58" t="s">
        <v>415</v>
      </c>
      <c r="B40" s="59">
        <v>119550</v>
      </c>
      <c r="C40" s="60">
        <v>119550</v>
      </c>
      <c r="D40" s="60">
        <v>127960</v>
      </c>
      <c r="E40" s="60">
        <v>3361</v>
      </c>
      <c r="F40" s="61">
        <v>0.77600000000000002</v>
      </c>
      <c r="G40" s="62">
        <v>0</v>
      </c>
      <c r="H40" s="63">
        <v>0</v>
      </c>
      <c r="I40" s="64">
        <v>0.93427633635511098</v>
      </c>
    </row>
    <row r="41" spans="1:9" x14ac:dyDescent="0.25">
      <c r="A41" s="58" t="s">
        <v>416</v>
      </c>
      <c r="B41" s="59">
        <v>123670</v>
      </c>
      <c r="C41" s="62">
        <v>123670</v>
      </c>
      <c r="D41" s="62">
        <v>130030</v>
      </c>
      <c r="E41" s="62">
        <v>3017</v>
      </c>
      <c r="F41" s="78">
        <v>0.85299999999999998</v>
      </c>
      <c r="G41" s="67">
        <v>0</v>
      </c>
      <c r="H41" s="63">
        <v>0</v>
      </c>
      <c r="I41" s="64">
        <v>0.95108821041298164</v>
      </c>
    </row>
    <row r="42" spans="1:9" x14ac:dyDescent="0.25">
      <c r="A42" s="58" t="s">
        <v>417</v>
      </c>
      <c r="B42" s="59">
        <v>117059</v>
      </c>
      <c r="C42" s="77">
        <v>117059</v>
      </c>
      <c r="D42" s="77">
        <v>125293.76528649101</v>
      </c>
      <c r="E42" s="77">
        <v>2835</v>
      </c>
      <c r="F42" s="78">
        <v>0.871</v>
      </c>
      <c r="G42" s="67">
        <v>0</v>
      </c>
      <c r="H42" s="63">
        <v>0</v>
      </c>
      <c r="I42" s="64">
        <v>0.93427633635511098</v>
      </c>
    </row>
    <row r="43" spans="1:9" x14ac:dyDescent="0.25">
      <c r="A43" s="58" t="s">
        <v>418</v>
      </c>
      <c r="B43" s="59">
        <v>122887</v>
      </c>
      <c r="C43" s="77">
        <v>122887</v>
      </c>
      <c r="D43" s="77">
        <v>130817</v>
      </c>
      <c r="E43" s="77">
        <v>2948</v>
      </c>
      <c r="F43" s="78">
        <v>0.871</v>
      </c>
      <c r="G43" s="67">
        <v>0</v>
      </c>
      <c r="H43" s="63">
        <v>0</v>
      </c>
      <c r="I43" s="64">
        <v>0.93938096730547249</v>
      </c>
    </row>
    <row r="44" spans="1:9" x14ac:dyDescent="0.25">
      <c r="A44" s="58" t="s">
        <v>419</v>
      </c>
      <c r="B44" s="59">
        <v>123542.426446789</v>
      </c>
      <c r="C44" s="77">
        <v>123542.426446789</v>
      </c>
      <c r="D44" s="77">
        <v>133070.13702382601</v>
      </c>
      <c r="E44" s="77">
        <v>3003.2639480974099</v>
      </c>
      <c r="F44" s="78">
        <v>0.871</v>
      </c>
      <c r="G44" s="67">
        <v>0</v>
      </c>
      <c r="H44" s="63">
        <v>0</v>
      </c>
      <c r="I44" s="64">
        <v>0.92840083590406852</v>
      </c>
    </row>
    <row r="45" spans="1:9" x14ac:dyDescent="0.25">
      <c r="A45" t="s">
        <v>420</v>
      </c>
      <c r="B45" s="59">
        <v>115983</v>
      </c>
      <c r="C45" s="65">
        <v>115983</v>
      </c>
      <c r="D45" s="67">
        <v>124230</v>
      </c>
      <c r="E45" s="65">
        <v>2830</v>
      </c>
      <c r="F45" s="66">
        <v>0.84</v>
      </c>
      <c r="G45" s="62">
        <v>0</v>
      </c>
      <c r="H45" s="63">
        <v>0</v>
      </c>
      <c r="I45" s="64">
        <v>0.93361506882395562</v>
      </c>
    </row>
    <row r="46" spans="1:9" x14ac:dyDescent="0.25">
      <c r="A46" s="58" t="s">
        <v>421</v>
      </c>
      <c r="B46" s="59">
        <v>113309</v>
      </c>
      <c r="C46" s="67">
        <v>113309</v>
      </c>
      <c r="D46" s="67">
        <v>121365.86456635887</v>
      </c>
      <c r="E46" s="67">
        <v>2713</v>
      </c>
      <c r="F46" s="68">
        <v>0.83109999999999995</v>
      </c>
      <c r="G46" s="82">
        <v>10</v>
      </c>
      <c r="H46" s="63">
        <v>1.0000000000000001E-5</v>
      </c>
      <c r="I46" s="64">
        <v>0.93361506882395551</v>
      </c>
    </row>
    <row r="47" spans="1:9" x14ac:dyDescent="0.25">
      <c r="A47" s="58" t="s">
        <v>586</v>
      </c>
      <c r="B47" s="59">
        <v>112060.7</v>
      </c>
      <c r="C47" s="60">
        <v>112060.7</v>
      </c>
      <c r="D47" s="60">
        <v>120028.80388505213</v>
      </c>
      <c r="E47" s="60">
        <v>2819</v>
      </c>
      <c r="F47" s="78">
        <v>0.86430000000000007</v>
      </c>
      <c r="G47" s="62">
        <v>10</v>
      </c>
      <c r="H47" s="63">
        <v>1.0000000000000001E-5</v>
      </c>
      <c r="I47" s="64">
        <v>0.93361506882395551</v>
      </c>
    </row>
    <row r="48" spans="1:9" x14ac:dyDescent="0.25">
      <c r="A48" s="58" t="s">
        <v>422</v>
      </c>
      <c r="B48" s="59">
        <v>119776.6214942081</v>
      </c>
      <c r="C48" s="60">
        <v>119776.6214942081</v>
      </c>
      <c r="D48" s="60">
        <v>128103.33335647394</v>
      </c>
      <c r="E48" s="60">
        <v>2865.5561269999994</v>
      </c>
      <c r="F48" s="78">
        <v>0.84699999999999998</v>
      </c>
      <c r="G48" s="62">
        <v>0</v>
      </c>
      <c r="H48" s="63">
        <v>0</v>
      </c>
      <c r="I48" s="64">
        <v>0.93500003751584626</v>
      </c>
    </row>
    <row r="49" spans="1:9" x14ac:dyDescent="0.25">
      <c r="A49" s="58" t="s">
        <v>423</v>
      </c>
      <c r="B49" s="59">
        <v>30500</v>
      </c>
      <c r="C49" s="60">
        <v>30500</v>
      </c>
      <c r="D49" s="60">
        <v>36020</v>
      </c>
      <c r="E49" s="60">
        <v>268</v>
      </c>
      <c r="F49" s="78">
        <v>0</v>
      </c>
      <c r="G49" s="62">
        <v>0</v>
      </c>
      <c r="H49" s="63">
        <v>0</v>
      </c>
      <c r="I49" s="64">
        <v>0.84675180455302612</v>
      </c>
    </row>
    <row r="50" spans="1:9" x14ac:dyDescent="0.25">
      <c r="A50" s="58" t="s">
        <v>424</v>
      </c>
      <c r="B50" s="59">
        <v>93540</v>
      </c>
      <c r="C50" s="60">
        <v>93540</v>
      </c>
      <c r="D50" s="60">
        <v>101130</v>
      </c>
      <c r="E50" s="60">
        <v>2811</v>
      </c>
      <c r="F50" s="78">
        <v>0.68100000000000005</v>
      </c>
      <c r="G50" s="62">
        <v>0</v>
      </c>
      <c r="H50" s="63">
        <v>0</v>
      </c>
      <c r="I50" s="64">
        <v>0.92494808662118067</v>
      </c>
    </row>
    <row r="51" spans="1:9" x14ac:dyDescent="0.25">
      <c r="A51" s="58" t="s">
        <v>425</v>
      </c>
      <c r="B51" s="59">
        <v>96720</v>
      </c>
      <c r="C51" s="60">
        <v>96720</v>
      </c>
      <c r="D51" s="60">
        <v>104530</v>
      </c>
      <c r="E51" s="60">
        <v>2810</v>
      </c>
      <c r="F51" s="78">
        <v>0.70599999999999996</v>
      </c>
      <c r="G51" s="62">
        <v>0</v>
      </c>
      <c r="H51" s="63">
        <v>0</v>
      </c>
      <c r="I51" s="64">
        <v>0.92528460728977324</v>
      </c>
    </row>
    <row r="52" spans="1:9" x14ac:dyDescent="0.25">
      <c r="A52" s="58" t="s">
        <v>426</v>
      </c>
      <c r="B52" s="59">
        <v>100480</v>
      </c>
      <c r="C52" s="60">
        <v>100480</v>
      </c>
      <c r="D52" s="60">
        <v>108570</v>
      </c>
      <c r="E52" s="60">
        <v>2913</v>
      </c>
      <c r="F52" s="78">
        <v>0.70599999999999996</v>
      </c>
      <c r="G52" s="62">
        <v>0</v>
      </c>
      <c r="H52" s="63">
        <v>0</v>
      </c>
      <c r="I52" s="64">
        <v>0.92548586165607438</v>
      </c>
    </row>
    <row r="53" spans="1:9" x14ac:dyDescent="0.25">
      <c r="A53" s="58" t="s">
        <v>427</v>
      </c>
      <c r="B53" s="59">
        <v>94970</v>
      </c>
      <c r="C53" s="60">
        <v>94970</v>
      </c>
      <c r="D53" s="60">
        <v>103220</v>
      </c>
      <c r="E53" s="60">
        <v>2213</v>
      </c>
      <c r="F53" s="78">
        <v>0.82799999999999996</v>
      </c>
      <c r="G53" s="62">
        <v>0</v>
      </c>
      <c r="H53" s="63">
        <v>0</v>
      </c>
      <c r="I53" s="64">
        <v>0.92007362914163926</v>
      </c>
    </row>
    <row r="54" spans="1:9" x14ac:dyDescent="0.25">
      <c r="A54" s="58" t="s">
        <v>54</v>
      </c>
      <c r="B54" s="59">
        <v>90060</v>
      </c>
      <c r="C54" s="60">
        <v>90060</v>
      </c>
      <c r="D54" s="60">
        <v>98560</v>
      </c>
      <c r="E54" s="60">
        <v>2118</v>
      </c>
      <c r="F54" s="78">
        <v>0.82799999999999996</v>
      </c>
      <c r="G54" s="62">
        <v>0</v>
      </c>
      <c r="H54" s="63">
        <v>0</v>
      </c>
      <c r="I54" s="64">
        <v>0.91375811688311692</v>
      </c>
    </row>
    <row r="55" spans="1:9" x14ac:dyDescent="0.25">
      <c r="A55" s="58" t="s">
        <v>60</v>
      </c>
      <c r="B55" s="59">
        <v>95720</v>
      </c>
      <c r="C55" s="67">
        <v>95720</v>
      </c>
      <c r="D55" s="60">
        <v>103010</v>
      </c>
      <c r="E55" s="67">
        <v>2253</v>
      </c>
      <c r="F55" s="68">
        <v>0.85699999999999998</v>
      </c>
      <c r="G55" s="62">
        <v>0</v>
      </c>
      <c r="H55" s="63">
        <v>0</v>
      </c>
      <c r="I55" s="64">
        <v>0.92923017182797785</v>
      </c>
    </row>
    <row r="56" spans="1:9" x14ac:dyDescent="0.25">
      <c r="A56" s="58" t="s">
        <v>52</v>
      </c>
      <c r="B56" s="59">
        <v>84250</v>
      </c>
      <c r="C56" s="83">
        <v>84250</v>
      </c>
      <c r="D56" s="67">
        <v>91420</v>
      </c>
      <c r="E56" s="83">
        <v>1920</v>
      </c>
      <c r="F56" s="84">
        <v>0.81799999999999995</v>
      </c>
      <c r="G56" s="62">
        <v>0</v>
      </c>
      <c r="H56" s="63">
        <v>0</v>
      </c>
      <c r="I56" s="64">
        <v>0.92157077225989936</v>
      </c>
    </row>
    <row r="57" spans="1:9" x14ac:dyDescent="0.25">
      <c r="A57" s="58" t="s">
        <v>428</v>
      </c>
      <c r="B57" s="59">
        <v>83686.11202275462</v>
      </c>
      <c r="C57" s="62">
        <v>83686.11202275462</v>
      </c>
      <c r="D57" s="62">
        <v>90050</v>
      </c>
      <c r="E57" s="83">
        <v>2532</v>
      </c>
      <c r="F57" s="84"/>
      <c r="G57" s="62">
        <v>0</v>
      </c>
      <c r="H57" s="63">
        <v>0</v>
      </c>
      <c r="I57" s="64">
        <v>0.92932939503336609</v>
      </c>
    </row>
    <row r="58" spans="1:9" x14ac:dyDescent="0.25">
      <c r="A58" s="53" t="s">
        <v>429</v>
      </c>
      <c r="B58" s="85">
        <v>105124.8</v>
      </c>
      <c r="C58" s="86">
        <v>105124.8</v>
      </c>
      <c r="D58" s="86">
        <v>112166.3</v>
      </c>
      <c r="E58" s="86">
        <v>2478.6999999999998</v>
      </c>
      <c r="F58" s="87">
        <v>0.83625099999999997</v>
      </c>
      <c r="G58" s="88">
        <v>0</v>
      </c>
      <c r="H58" s="89">
        <v>0</v>
      </c>
      <c r="I58" s="90">
        <v>0.93722267739953979</v>
      </c>
    </row>
    <row r="59" spans="1:9" x14ac:dyDescent="0.25">
      <c r="A59" s="58" t="s">
        <v>431</v>
      </c>
      <c r="B59" s="59" t="s">
        <v>432</v>
      </c>
      <c r="C59" s="60" t="s">
        <v>432</v>
      </c>
      <c r="D59" s="60" t="s">
        <v>432</v>
      </c>
      <c r="E59" s="91" t="s">
        <v>433</v>
      </c>
      <c r="F59" s="61"/>
      <c r="G59" s="62"/>
      <c r="H59" s="63"/>
      <c r="I59" s="64" t="s">
        <v>378</v>
      </c>
    </row>
    <row r="60" spans="1:9" x14ac:dyDescent="0.25">
      <c r="A60" s="58" t="s">
        <v>434</v>
      </c>
      <c r="B60" s="59">
        <v>983</v>
      </c>
      <c r="C60" s="92">
        <v>983</v>
      </c>
      <c r="D60" s="92">
        <v>1089</v>
      </c>
      <c r="E60" s="93">
        <v>22</v>
      </c>
      <c r="F60" s="78">
        <v>0.72399999999999998</v>
      </c>
      <c r="G60" s="62">
        <v>6</v>
      </c>
      <c r="H60" s="63">
        <v>6.0000000000000002E-6</v>
      </c>
      <c r="I60" s="64">
        <v>0.90266299357208446</v>
      </c>
    </row>
    <row r="61" spans="1:9" x14ac:dyDescent="0.25">
      <c r="A61" s="58" t="s">
        <v>435</v>
      </c>
      <c r="B61" s="59">
        <v>962.18504920853229</v>
      </c>
      <c r="C61" s="92">
        <v>962.18504920853229</v>
      </c>
      <c r="D61" s="92">
        <v>1068.0254046214709</v>
      </c>
      <c r="E61" s="93">
        <v>20.303179298999996</v>
      </c>
      <c r="F61" s="78">
        <v>0.75</v>
      </c>
      <c r="G61" s="62">
        <v>0</v>
      </c>
      <c r="H61" s="63">
        <v>0</v>
      </c>
      <c r="I61" s="64">
        <v>0.9009009009009008</v>
      </c>
    </row>
    <row r="62" spans="1:9" x14ac:dyDescent="0.25">
      <c r="A62" s="58" t="s">
        <v>436</v>
      </c>
      <c r="B62" s="59">
        <v>290</v>
      </c>
      <c r="C62" s="67">
        <v>290</v>
      </c>
      <c r="D62" s="67">
        <v>343</v>
      </c>
      <c r="E62" s="94">
        <v>2.5499999999999998</v>
      </c>
      <c r="F62" s="81">
        <v>0</v>
      </c>
      <c r="G62" s="62">
        <v>0</v>
      </c>
      <c r="H62" s="63">
        <v>0</v>
      </c>
      <c r="I62" s="64">
        <v>0.84548104956268222</v>
      </c>
    </row>
    <row r="63" spans="1:9" x14ac:dyDescent="0.25">
      <c r="A63" s="58" t="s">
        <v>437</v>
      </c>
      <c r="B63" s="59"/>
      <c r="C63" s="65"/>
      <c r="D63" s="65"/>
      <c r="E63" s="95">
        <v>55.977829999999997</v>
      </c>
      <c r="F63" s="81">
        <v>0.27272727272727271</v>
      </c>
      <c r="G63" s="77">
        <v>0</v>
      </c>
      <c r="H63" s="63">
        <v>0</v>
      </c>
      <c r="I63" s="64"/>
    </row>
    <row r="64" spans="1:9" x14ac:dyDescent="0.25">
      <c r="A64" s="53" t="s">
        <v>430</v>
      </c>
      <c r="B64" s="85">
        <v>1159.2737122826286</v>
      </c>
      <c r="C64" s="96">
        <v>1159.2737122826286</v>
      </c>
      <c r="D64" s="86">
        <v>1279.7381453012381</v>
      </c>
      <c r="E64" s="88">
        <v>25.019852271678111</v>
      </c>
      <c r="F64" s="87">
        <v>0.76981385823883608</v>
      </c>
      <c r="G64" s="88">
        <v>6</v>
      </c>
      <c r="H64" s="89">
        <v>6.0000000000000002E-6</v>
      </c>
      <c r="I64" s="90">
        <v>0.90586790472651468</v>
      </c>
    </row>
    <row r="65" spans="1:12" x14ac:dyDescent="0.25">
      <c r="A65" s="58" t="s">
        <v>438</v>
      </c>
      <c r="B65" s="59" t="s">
        <v>439</v>
      </c>
      <c r="C65" s="67" t="s">
        <v>439</v>
      </c>
      <c r="D65" s="67" t="s">
        <v>439</v>
      </c>
      <c r="E65" s="67"/>
      <c r="F65" s="68"/>
      <c r="G65" s="67"/>
      <c r="H65" s="63"/>
      <c r="I65" s="64" t="s">
        <v>378</v>
      </c>
    </row>
    <row r="66" spans="1:12" x14ac:dyDescent="0.25">
      <c r="A66" s="75" t="s">
        <v>440</v>
      </c>
      <c r="B66" s="59">
        <v>19474169.219601419</v>
      </c>
      <c r="C66" s="67">
        <v>19474169.219601419</v>
      </c>
      <c r="D66" s="60">
        <v>20673610.116392747</v>
      </c>
      <c r="E66" s="83"/>
      <c r="F66" s="61">
        <v>0.58571109877499994</v>
      </c>
      <c r="G66" s="77">
        <v>10455.988337376644</v>
      </c>
      <c r="H66" s="63">
        <v>1.0455988337376645E-2</v>
      </c>
      <c r="I66" s="97"/>
      <c r="K66" s="98"/>
    </row>
    <row r="67" spans="1:12" x14ac:dyDescent="0.25">
      <c r="A67" s="75" t="s">
        <v>441</v>
      </c>
      <c r="B67" s="59">
        <v>22639319.979813498</v>
      </c>
      <c r="C67" s="67">
        <v>22639319.979813498</v>
      </c>
      <c r="D67" s="60">
        <v>23633492.9618803</v>
      </c>
      <c r="E67" s="83"/>
      <c r="F67" s="81">
        <v>0.61199999999999999</v>
      </c>
      <c r="G67" s="77">
        <v>15352.092718927001</v>
      </c>
      <c r="H67" s="63">
        <v>1.5352092718927001E-2</v>
      </c>
      <c r="I67" s="97">
        <v>0.95793372635732021</v>
      </c>
      <c r="K67" s="98"/>
    </row>
    <row r="68" spans="1:12" x14ac:dyDescent="0.25">
      <c r="A68" s="75" t="s">
        <v>442</v>
      </c>
      <c r="B68" s="59">
        <v>16085444.010446707</v>
      </c>
      <c r="C68" s="67">
        <v>16085444.010446707</v>
      </c>
      <c r="D68" s="77">
        <v>17449319.671483699</v>
      </c>
      <c r="E68" s="83"/>
      <c r="F68" s="81">
        <v>0.53700000000000003</v>
      </c>
      <c r="G68" s="77">
        <v>3568.253687975</v>
      </c>
      <c r="H68" s="63">
        <v>3.5682536879749998E-3</v>
      </c>
      <c r="I68" s="97">
        <v>0.92183788899999997</v>
      </c>
      <c r="K68" s="98"/>
    </row>
    <row r="69" spans="1:12" x14ac:dyDescent="0.25">
      <c r="A69" s="75" t="s">
        <v>443</v>
      </c>
      <c r="B69" s="59">
        <v>10805182.822031699</v>
      </c>
      <c r="C69" s="67">
        <v>10805182.822031699</v>
      </c>
      <c r="D69" s="77">
        <v>12992301.9717196</v>
      </c>
      <c r="E69" s="83"/>
      <c r="F69" s="66">
        <v>0.49099999999999999</v>
      </c>
      <c r="G69" s="77">
        <v>9064.2347162629994</v>
      </c>
      <c r="H69" s="63">
        <v>9.0642347162629994E-3</v>
      </c>
      <c r="I69" s="64">
        <v>0.83166038209020898</v>
      </c>
      <c r="K69" s="98"/>
    </row>
    <row r="70" spans="1:12" x14ac:dyDescent="0.25">
      <c r="A70" s="75" t="s">
        <v>444</v>
      </c>
      <c r="B70" s="59">
        <v>22639319.979813498</v>
      </c>
      <c r="C70" s="67">
        <v>22639319.979813498</v>
      </c>
      <c r="D70" s="65">
        <v>23633492.9618803</v>
      </c>
      <c r="E70" s="83"/>
      <c r="F70" s="66">
        <v>0.80642049800000004</v>
      </c>
      <c r="G70" s="77">
        <v>16142.739251388</v>
      </c>
      <c r="H70" s="63">
        <v>1.6142739251388E-2</v>
      </c>
      <c r="I70" s="64">
        <v>0.95793372635732021</v>
      </c>
      <c r="K70" s="98"/>
    </row>
    <row r="71" spans="1:12" x14ac:dyDescent="0.25">
      <c r="A71" s="58" t="s">
        <v>445</v>
      </c>
      <c r="B71" s="59">
        <v>9945646.340310514</v>
      </c>
      <c r="C71" s="67">
        <v>9945646.340310514</v>
      </c>
      <c r="D71" s="77">
        <v>11958783.362163</v>
      </c>
      <c r="E71" s="67"/>
      <c r="F71" s="81">
        <v>0.32642858499999999</v>
      </c>
      <c r="G71" s="99">
        <v>9064.2347162629994</v>
      </c>
      <c r="H71" s="63">
        <v>9.0642347162629994E-3</v>
      </c>
      <c r="I71" s="97">
        <v>0.83166038209020898</v>
      </c>
      <c r="K71" s="98"/>
      <c r="L71" s="98"/>
    </row>
    <row r="72" spans="1:12" x14ac:dyDescent="0.25">
      <c r="A72" s="58" t="s">
        <v>446</v>
      </c>
      <c r="B72" s="59">
        <v>26949428.734871496</v>
      </c>
      <c r="C72" s="67">
        <v>26949428.734871496</v>
      </c>
      <c r="D72" s="77">
        <v>28595925.1717753</v>
      </c>
      <c r="E72" s="67"/>
      <c r="F72" s="81">
        <v>0.86670000000000003</v>
      </c>
      <c r="G72" s="67">
        <v>45137.714412408997</v>
      </c>
      <c r="H72" s="63">
        <v>4.5137714412408998E-2</v>
      </c>
      <c r="I72" s="64">
        <v>0.94242199100000001</v>
      </c>
      <c r="K72" s="98"/>
    </row>
    <row r="73" spans="1:12" x14ac:dyDescent="0.25">
      <c r="A73" s="58" t="s">
        <v>447</v>
      </c>
      <c r="B73" s="59">
        <v>26664354.295994278</v>
      </c>
      <c r="C73" s="67">
        <v>26664354.295994278</v>
      </c>
      <c r="D73" s="60">
        <v>28293433.886979699</v>
      </c>
      <c r="E73" s="83"/>
      <c r="F73" s="81">
        <v>0.48798697000000002</v>
      </c>
      <c r="G73" s="62">
        <v>45137.714412408997</v>
      </c>
      <c r="H73" s="63">
        <v>4.5137714412408998E-2</v>
      </c>
      <c r="I73" s="64">
        <v>0.94242199100000001</v>
      </c>
    </row>
    <row r="74" spans="1:12" ht="12.6" customHeight="1" x14ac:dyDescent="0.25">
      <c r="A74" s="58" t="s">
        <v>448</v>
      </c>
      <c r="B74" s="59">
        <v>24599421.97472629</v>
      </c>
      <c r="C74" s="77">
        <v>24599421.97472629</v>
      </c>
      <c r="D74" s="77">
        <v>25679670</v>
      </c>
      <c r="E74" s="83"/>
      <c r="F74" s="81">
        <v>0.747</v>
      </c>
      <c r="G74" s="62">
        <v>11800</v>
      </c>
      <c r="H74" s="63">
        <v>1.18E-2</v>
      </c>
      <c r="I74" s="64">
        <v>0.95793372635732044</v>
      </c>
      <c r="K74" s="100"/>
    </row>
    <row r="75" spans="1:12" x14ac:dyDescent="0.25">
      <c r="A75" s="58" t="s">
        <v>587</v>
      </c>
      <c r="B75" s="59">
        <v>28385750.368920002</v>
      </c>
      <c r="C75" s="77">
        <v>28385750.368920002</v>
      </c>
      <c r="D75" s="77">
        <v>30120000</v>
      </c>
      <c r="E75" s="67"/>
      <c r="F75" s="81">
        <v>0.8641323406231759</v>
      </c>
      <c r="G75" s="77">
        <v>45137.714412408997</v>
      </c>
      <c r="H75" s="63">
        <v>4.5137714412408998E-2</v>
      </c>
      <c r="I75" s="64">
        <v>0.94242199100000001</v>
      </c>
      <c r="K75" s="100"/>
    </row>
    <row r="76" spans="1:12" x14ac:dyDescent="0.25">
      <c r="A76" s="58" t="s">
        <v>449</v>
      </c>
      <c r="B76" s="59">
        <v>15396000</v>
      </c>
      <c r="C76" s="77">
        <v>15396000</v>
      </c>
      <c r="D76" s="60">
        <v>16524000</v>
      </c>
      <c r="E76" s="83"/>
      <c r="F76" s="61">
        <v>0.48699999999999999</v>
      </c>
      <c r="G76" s="62">
        <v>500</v>
      </c>
      <c r="H76" s="63">
        <v>5.0000000000000001E-4</v>
      </c>
      <c r="I76" s="64">
        <v>0.93173565722585328</v>
      </c>
    </row>
    <row r="77" spans="1:12" x14ac:dyDescent="0.25">
      <c r="A77" s="58" t="s">
        <v>450</v>
      </c>
      <c r="B77" s="59">
        <v>15929000</v>
      </c>
      <c r="C77" s="99">
        <v>15929000</v>
      </c>
      <c r="D77" s="60">
        <v>17062000</v>
      </c>
      <c r="E77" s="83"/>
      <c r="F77" s="61">
        <v>0.501</v>
      </c>
      <c r="G77" s="62">
        <v>200</v>
      </c>
      <c r="H77" s="63">
        <v>2.0000000000000001E-4</v>
      </c>
      <c r="I77" s="64">
        <v>0.93359512366662756</v>
      </c>
      <c r="K77" s="101"/>
    </row>
    <row r="78" spans="1:12" x14ac:dyDescent="0.25">
      <c r="A78" s="58" t="s">
        <v>451</v>
      </c>
      <c r="B78" s="59">
        <v>14447000</v>
      </c>
      <c r="C78" s="62">
        <v>14447000</v>
      </c>
      <c r="D78" s="62">
        <v>15583000</v>
      </c>
      <c r="E78" s="67"/>
      <c r="F78" s="78">
        <v>0.46600000000000003</v>
      </c>
      <c r="G78" s="62">
        <v>1100</v>
      </c>
      <c r="H78" s="63">
        <v>1.1000000000000001E-3</v>
      </c>
      <c r="I78" s="64">
        <v>0.92710004492074694</v>
      </c>
      <c r="K78" s="100"/>
    </row>
    <row r="79" spans="1:12" x14ac:dyDescent="0.25">
      <c r="A79" s="58" t="s">
        <v>452</v>
      </c>
      <c r="B79" s="59">
        <v>15342000</v>
      </c>
      <c r="C79" s="62">
        <v>15342000</v>
      </c>
      <c r="D79" s="62">
        <v>16377000</v>
      </c>
      <c r="E79" s="67"/>
      <c r="F79" s="78">
        <v>0.47599999999999998</v>
      </c>
      <c r="G79" s="62">
        <v>800</v>
      </c>
      <c r="H79" s="63">
        <v>8.0000000000000004E-4</v>
      </c>
      <c r="I79" s="64">
        <v>0.93680161201685286</v>
      </c>
    </row>
    <row r="80" spans="1:12" x14ac:dyDescent="0.25">
      <c r="A80" s="58" t="s">
        <v>453</v>
      </c>
      <c r="B80" s="59">
        <v>14716000</v>
      </c>
      <c r="C80" s="62">
        <v>14716000</v>
      </c>
      <c r="D80" s="67">
        <v>15774000</v>
      </c>
      <c r="E80" s="67"/>
      <c r="F80" s="78">
        <v>0.46700000000000003</v>
      </c>
      <c r="G80" s="62">
        <v>1000</v>
      </c>
      <c r="H80" s="63">
        <v>1E-3</v>
      </c>
      <c r="I80" s="64">
        <v>0.93292760238366934</v>
      </c>
    </row>
    <row r="81" spans="1:14" x14ac:dyDescent="0.25">
      <c r="A81" s="58" t="s">
        <v>454</v>
      </c>
      <c r="B81" s="59">
        <v>17289000</v>
      </c>
      <c r="C81" s="77">
        <v>17289000</v>
      </c>
      <c r="D81" s="67">
        <v>17906000</v>
      </c>
      <c r="E81" s="67"/>
      <c r="F81" s="78">
        <v>0.503</v>
      </c>
      <c r="G81" s="67">
        <v>400</v>
      </c>
      <c r="H81" s="63">
        <v>4.0000000000000002E-4</v>
      </c>
      <c r="I81" s="64">
        <v>0.96554227633195577</v>
      </c>
    </row>
    <row r="82" spans="1:14" x14ac:dyDescent="0.25">
      <c r="A82" s="58" t="s">
        <v>588</v>
      </c>
      <c r="B82" s="59">
        <v>15929000</v>
      </c>
      <c r="C82" s="62">
        <v>15929000</v>
      </c>
      <c r="D82" s="77">
        <v>17062000</v>
      </c>
      <c r="E82" s="67"/>
      <c r="F82" s="78">
        <v>0.501</v>
      </c>
      <c r="G82" s="67">
        <v>200</v>
      </c>
      <c r="H82" s="63">
        <v>2.0000000000000001E-4</v>
      </c>
      <c r="I82" s="64">
        <v>0.93359512366662756</v>
      </c>
    </row>
    <row r="83" spans="1:14" x14ac:dyDescent="0.25">
      <c r="A83" s="75" t="s">
        <v>455</v>
      </c>
      <c r="B83" s="59">
        <v>14999999.999999998</v>
      </c>
      <c r="C83" s="62">
        <v>14999999.999999998</v>
      </c>
      <c r="D83" s="62"/>
      <c r="E83" s="67"/>
      <c r="F83" s="102">
        <v>0.47799999999999998</v>
      </c>
      <c r="G83" s="62">
        <v>400</v>
      </c>
      <c r="H83" s="103">
        <v>4.0000000000000002E-4</v>
      </c>
      <c r="I83" s="104"/>
    </row>
    <row r="84" spans="1:14" x14ac:dyDescent="0.25">
      <c r="A84" s="105" t="s">
        <v>456</v>
      </c>
      <c r="B84" s="67">
        <v>13454048.892850777</v>
      </c>
      <c r="C84" s="77">
        <v>13454048.892850777</v>
      </c>
      <c r="D84" s="77">
        <v>15774000</v>
      </c>
      <c r="E84" s="67"/>
      <c r="F84" s="106">
        <v>0.5</v>
      </c>
      <c r="G84" s="62"/>
      <c r="H84" s="103"/>
      <c r="I84" s="104">
        <v>0.85292563033160751</v>
      </c>
    </row>
    <row r="85" spans="1:14" x14ac:dyDescent="0.25">
      <c r="A85" s="105" t="s">
        <v>457</v>
      </c>
      <c r="B85" s="67">
        <v>12381771.311916806</v>
      </c>
      <c r="C85" s="77">
        <v>12381771.311916806</v>
      </c>
      <c r="D85" s="77">
        <v>14062678</v>
      </c>
      <c r="E85" s="67"/>
      <c r="F85" s="106">
        <v>0.46300000000000002</v>
      </c>
      <c r="G85" s="62"/>
      <c r="H85" s="103"/>
      <c r="I85" s="104">
        <v>0.88047037071579148</v>
      </c>
    </row>
    <row r="86" spans="1:14" x14ac:dyDescent="0.25">
      <c r="A86" s="105" t="s">
        <v>458</v>
      </c>
      <c r="B86" s="67">
        <v>18916910.5715716</v>
      </c>
      <c r="C86" s="67">
        <v>18916910.5715716</v>
      </c>
      <c r="D86" s="67">
        <v>18916910.5715716</v>
      </c>
      <c r="E86" s="67"/>
      <c r="F86" s="107">
        <v>0.51200000000000001</v>
      </c>
      <c r="G86" s="77">
        <v>0</v>
      </c>
      <c r="H86" s="103">
        <v>0</v>
      </c>
      <c r="I86" s="104">
        <v>1</v>
      </c>
    </row>
    <row r="87" spans="1:14" x14ac:dyDescent="0.25">
      <c r="A87" s="108" t="s">
        <v>459</v>
      </c>
      <c r="B87" s="67">
        <v>12781599.343864119</v>
      </c>
      <c r="C87" s="77">
        <v>12781599.343864119</v>
      </c>
      <c r="D87" s="77">
        <v>14131556.354955051</v>
      </c>
      <c r="E87" s="67"/>
      <c r="F87" s="106">
        <v>0.39339999999999997</v>
      </c>
      <c r="G87" s="62">
        <v>0</v>
      </c>
      <c r="H87" s="103">
        <v>0</v>
      </c>
      <c r="I87" s="104">
        <v>0.90447216306662592</v>
      </c>
    </row>
    <row r="88" spans="1:14" x14ac:dyDescent="0.25">
      <c r="A88" s="109" t="s">
        <v>460</v>
      </c>
      <c r="B88" s="110">
        <v>14409931.248165678</v>
      </c>
      <c r="C88" s="111">
        <v>14409931.248165678</v>
      </c>
      <c r="D88" s="111">
        <v>15305245.093897162</v>
      </c>
      <c r="E88" s="110"/>
      <c r="F88" s="112">
        <v>0.41985</v>
      </c>
      <c r="G88" s="111">
        <v>0</v>
      </c>
      <c r="H88" s="113">
        <v>0</v>
      </c>
      <c r="I88" s="114">
        <v>0.94150280898876404</v>
      </c>
    </row>
    <row r="89" spans="1:14" x14ac:dyDescent="0.25">
      <c r="A89" t="s">
        <v>461</v>
      </c>
      <c r="B89" s="67">
        <v>14409931.248165678</v>
      </c>
      <c r="C89" s="115">
        <v>14409931.248165678</v>
      </c>
      <c r="D89" s="115">
        <v>15305245.093897162</v>
      </c>
      <c r="E89" s="116"/>
      <c r="F89" s="117">
        <v>0.41985</v>
      </c>
      <c r="G89" s="70">
        <v>0</v>
      </c>
      <c r="H89" s="103">
        <v>0</v>
      </c>
      <c r="I89" s="118">
        <v>0.94150280898876404</v>
      </c>
    </row>
    <row r="90" spans="1:14" x14ac:dyDescent="0.25">
      <c r="A90" s="37" t="s">
        <v>462</v>
      </c>
      <c r="B90" s="119">
        <v>11209638.734587256</v>
      </c>
      <c r="C90" s="119">
        <v>11209638.734587256</v>
      </c>
      <c r="D90" s="119">
        <v>13583444.58426456</v>
      </c>
      <c r="E90" s="119"/>
      <c r="F90" s="119">
        <v>0.49161518093556933</v>
      </c>
      <c r="G90">
        <v>1765.2250661959399</v>
      </c>
      <c r="H90">
        <v>1.7652250661959398E-3</v>
      </c>
      <c r="I90">
        <v>0.8252427184466018</v>
      </c>
    </row>
    <row r="91" spans="1:14" x14ac:dyDescent="0.25">
      <c r="A91" t="s">
        <v>463</v>
      </c>
      <c r="B91" s="119">
        <v>14155275.214870876</v>
      </c>
      <c r="C91" s="119">
        <v>14155275.214870876</v>
      </c>
      <c r="D91" s="119">
        <v>16144032.889687445</v>
      </c>
      <c r="E91" s="119"/>
      <c r="F91" s="119">
        <v>0.50491510277033058</v>
      </c>
      <c r="G91">
        <v>1787.3100983020554</v>
      </c>
      <c r="H91">
        <v>1.7873100983020554E-3</v>
      </c>
      <c r="I91">
        <v>0.87681159420289856</v>
      </c>
    </row>
    <row r="92" spans="1:14" x14ac:dyDescent="0.25">
      <c r="A92" s="120" t="s">
        <v>589</v>
      </c>
      <c r="B92" s="121">
        <v>152370.90134048002</v>
      </c>
      <c r="C92" s="122">
        <v>152370.90134048002</v>
      </c>
      <c r="D92" s="122">
        <v>162963.53084543315</v>
      </c>
      <c r="E92" s="122">
        <v>3839.6821254480283</v>
      </c>
      <c r="F92" s="122">
        <v>0.83</v>
      </c>
      <c r="G92" s="123">
        <v>48000</v>
      </c>
      <c r="H92" s="123">
        <v>4.8000000000000001E-2</v>
      </c>
      <c r="I92" s="123">
        <v>0.93500000000000016</v>
      </c>
      <c r="J92" s="123"/>
      <c r="K92" s="123"/>
      <c r="L92" s="123"/>
      <c r="M92" s="123"/>
      <c r="N92" s="124"/>
    </row>
    <row r="93" spans="1:14" x14ac:dyDescent="0.25">
      <c r="A93" s="125" t="s">
        <v>92</v>
      </c>
      <c r="B93" s="126">
        <v>144230</v>
      </c>
      <c r="C93" s="127"/>
      <c r="D93" s="127"/>
      <c r="E93" s="127">
        <v>3785.4109999999991</v>
      </c>
      <c r="F93" s="127">
        <v>0.80800504236780391</v>
      </c>
      <c r="G93" s="127">
        <v>3510</v>
      </c>
      <c r="H93" s="127"/>
      <c r="I93" s="127"/>
      <c r="J93" s="127"/>
      <c r="K93" s="127"/>
      <c r="L93" s="127"/>
      <c r="M93" s="127"/>
      <c r="N93" s="128"/>
    </row>
    <row r="94" spans="1:14" x14ac:dyDescent="0.25">
      <c r="A94" s="129"/>
      <c r="B94" s="130"/>
      <c r="N94" s="131"/>
    </row>
    <row r="95" spans="1:14" x14ac:dyDescent="0.25">
      <c r="A95" s="129" t="s">
        <v>464</v>
      </c>
      <c r="B95" s="130"/>
      <c r="N95" s="131"/>
    </row>
    <row r="96" spans="1:14" x14ac:dyDescent="0.25">
      <c r="A96" s="125" t="s">
        <v>465</v>
      </c>
      <c r="B96" s="132"/>
      <c r="C96" s="133"/>
      <c r="D96" s="133"/>
      <c r="E96" s="133"/>
      <c r="F96" s="133"/>
      <c r="G96" s="133"/>
      <c r="H96" s="133"/>
      <c r="I96" s="133"/>
      <c r="J96" s="133"/>
      <c r="K96" s="133"/>
      <c r="L96" s="133"/>
      <c r="M96" s="133"/>
      <c r="N96" s="134"/>
    </row>
    <row r="97" spans="1:14" x14ac:dyDescent="0.25">
      <c r="A97" s="18" t="s">
        <v>466</v>
      </c>
      <c r="B97" s="70" t="s">
        <v>467</v>
      </c>
      <c r="C97" t="s">
        <v>467</v>
      </c>
      <c r="D97" t="s">
        <v>467</v>
      </c>
      <c r="E97" t="s">
        <v>468</v>
      </c>
      <c r="F97" t="s">
        <v>468</v>
      </c>
      <c r="G97" t="s">
        <v>469</v>
      </c>
      <c r="H97" t="s">
        <v>469</v>
      </c>
      <c r="I97" t="s">
        <v>470</v>
      </c>
      <c r="J97" t="s">
        <v>470</v>
      </c>
      <c r="K97" t="s">
        <v>471</v>
      </c>
      <c r="L97" t="s">
        <v>471</v>
      </c>
      <c r="M97" t="s">
        <v>472</v>
      </c>
      <c r="N97" t="s">
        <v>472</v>
      </c>
    </row>
    <row r="98" spans="1:14" x14ac:dyDescent="0.25">
      <c r="A98" s="3" t="s">
        <v>473</v>
      </c>
      <c r="B98" s="70">
        <v>100</v>
      </c>
      <c r="C98">
        <v>100</v>
      </c>
      <c r="D98">
        <v>20</v>
      </c>
      <c r="E98">
        <v>100</v>
      </c>
      <c r="F98">
        <v>20</v>
      </c>
      <c r="G98">
        <v>100</v>
      </c>
      <c r="H98">
        <v>20</v>
      </c>
      <c r="I98">
        <v>100</v>
      </c>
      <c r="J98">
        <v>20</v>
      </c>
      <c r="K98">
        <v>100</v>
      </c>
      <c r="L98">
        <v>20</v>
      </c>
      <c r="M98">
        <v>100</v>
      </c>
      <c r="N98">
        <v>20</v>
      </c>
    </row>
    <row r="99" spans="1:14" x14ac:dyDescent="0.25">
      <c r="A99" s="135" t="s">
        <v>474</v>
      </c>
      <c r="B99" s="136">
        <v>1</v>
      </c>
      <c r="C99" s="137">
        <v>1</v>
      </c>
      <c r="D99" s="137">
        <v>1</v>
      </c>
      <c r="E99" s="137">
        <v>1</v>
      </c>
      <c r="F99" s="137">
        <v>1</v>
      </c>
      <c r="G99" s="138">
        <v>1</v>
      </c>
      <c r="H99">
        <v>1</v>
      </c>
      <c r="I99">
        <v>1</v>
      </c>
      <c r="J99">
        <v>1</v>
      </c>
      <c r="K99">
        <v>1</v>
      </c>
      <c r="L99">
        <v>1</v>
      </c>
      <c r="M99">
        <v>1</v>
      </c>
      <c r="N99">
        <v>1</v>
      </c>
    </row>
    <row r="100" spans="1:14" x14ac:dyDescent="0.25">
      <c r="A100" s="125" t="s">
        <v>475</v>
      </c>
      <c r="B100" s="126">
        <v>30</v>
      </c>
      <c r="C100" s="139">
        <v>30</v>
      </c>
      <c r="D100" s="139">
        <v>85</v>
      </c>
      <c r="E100" s="139">
        <v>6</v>
      </c>
      <c r="F100" s="139">
        <v>68</v>
      </c>
      <c r="G100" s="140">
        <v>25</v>
      </c>
      <c r="H100">
        <v>72</v>
      </c>
      <c r="I100">
        <v>23</v>
      </c>
      <c r="J100">
        <v>62</v>
      </c>
      <c r="K100">
        <v>21</v>
      </c>
      <c r="L100">
        <v>56</v>
      </c>
      <c r="M100">
        <v>21</v>
      </c>
      <c r="N100">
        <v>63</v>
      </c>
    </row>
    <row r="101" spans="1:14" x14ac:dyDescent="0.25">
      <c r="A101" s="129" t="s">
        <v>476</v>
      </c>
      <c r="B101" s="130">
        <v>265</v>
      </c>
      <c r="C101">
        <v>265</v>
      </c>
      <c r="D101">
        <v>264</v>
      </c>
      <c r="E101" s="70">
        <v>234</v>
      </c>
      <c r="F101">
        <v>277</v>
      </c>
      <c r="G101" s="131">
        <v>298</v>
      </c>
      <c r="H101">
        <v>289</v>
      </c>
      <c r="I101">
        <v>296</v>
      </c>
      <c r="J101">
        <v>275</v>
      </c>
      <c r="K101">
        <v>310</v>
      </c>
      <c r="L101">
        <v>280</v>
      </c>
      <c r="M101">
        <v>290</v>
      </c>
      <c r="N101">
        <v>270</v>
      </c>
    </row>
    <row r="102" spans="1:14" x14ac:dyDescent="0.25">
      <c r="A102" s="129"/>
      <c r="B102" s="130"/>
      <c r="G102" s="131"/>
    </row>
    <row r="103" spans="1:14" x14ac:dyDescent="0.25">
      <c r="A103" s="129" t="s">
        <v>477</v>
      </c>
      <c r="B103" s="130"/>
      <c r="G103" s="131"/>
    </row>
    <row r="104" spans="1:14" x14ac:dyDescent="0.25">
      <c r="A104" s="129" t="s">
        <v>478</v>
      </c>
      <c r="B104" s="130" t="s">
        <v>479</v>
      </c>
      <c r="C104" t="s">
        <v>479</v>
      </c>
      <c r="D104" s="141" t="s">
        <v>480</v>
      </c>
      <c r="E104" s="141" t="s">
        <v>480</v>
      </c>
      <c r="F104" s="141" t="s">
        <v>481</v>
      </c>
      <c r="G104" s="142" t="s">
        <v>481</v>
      </c>
    </row>
    <row r="105" spans="1:14" x14ac:dyDescent="0.25">
      <c r="A105" s="125" t="s">
        <v>473</v>
      </c>
      <c r="B105" s="132">
        <v>100</v>
      </c>
      <c r="C105" s="133"/>
      <c r="D105" s="133">
        <v>100</v>
      </c>
      <c r="E105" s="133">
        <v>20</v>
      </c>
      <c r="F105" s="133">
        <v>100</v>
      </c>
      <c r="G105" s="134">
        <v>20</v>
      </c>
    </row>
    <row r="106" spans="1:14" x14ac:dyDescent="0.25">
      <c r="A106" t="s">
        <v>482</v>
      </c>
      <c r="B106">
        <v>0</v>
      </c>
      <c r="C106">
        <v>0</v>
      </c>
      <c r="D106">
        <v>4.5</v>
      </c>
      <c r="E106">
        <v>14</v>
      </c>
      <c r="F106">
        <v>0.66</v>
      </c>
      <c r="G106">
        <v>7.5</v>
      </c>
    </row>
    <row r="107" spans="1:14" x14ac:dyDescent="0.25">
      <c r="A107" s="37" t="s">
        <v>483</v>
      </c>
      <c r="B107">
        <v>0</v>
      </c>
      <c r="C107">
        <v>0</v>
      </c>
      <c r="D107">
        <v>2.65</v>
      </c>
      <c r="E107">
        <v>7.65</v>
      </c>
      <c r="F107">
        <v>0.42</v>
      </c>
      <c r="G107">
        <v>4.9000000000000004</v>
      </c>
    </row>
    <row r="108" spans="1:14" x14ac:dyDescent="0.25">
      <c r="A108" s="120" t="s">
        <v>484</v>
      </c>
      <c r="B108" s="143">
        <v>0</v>
      </c>
      <c r="C108">
        <v>0</v>
      </c>
      <c r="D108">
        <v>-11</v>
      </c>
      <c r="E108">
        <v>19</v>
      </c>
      <c r="F108">
        <v>-2.9</v>
      </c>
      <c r="G108">
        <v>-87</v>
      </c>
    </row>
    <row r="109" spans="1:14" x14ac:dyDescent="0.25">
      <c r="A109" s="129" t="s">
        <v>485</v>
      </c>
      <c r="B109" s="144">
        <v>0</v>
      </c>
      <c r="C109">
        <v>0</v>
      </c>
      <c r="D109">
        <v>900</v>
      </c>
      <c r="E109">
        <v>3200</v>
      </c>
      <c r="F109">
        <v>130</v>
      </c>
      <c r="G109">
        <v>920</v>
      </c>
    </row>
    <row r="110" spans="1:14" x14ac:dyDescent="0.25">
      <c r="A110" s="129" t="s">
        <v>486</v>
      </c>
      <c r="B110" s="144">
        <v>0</v>
      </c>
      <c r="C110">
        <v>0</v>
      </c>
      <c r="D110">
        <v>-69</v>
      </c>
      <c r="E110">
        <v>-240</v>
      </c>
      <c r="F110">
        <v>-10</v>
      </c>
      <c r="G110">
        <v>-71</v>
      </c>
    </row>
    <row r="111" spans="1:14" x14ac:dyDescent="0.25">
      <c r="A111" s="129"/>
      <c r="B111" s="144"/>
    </row>
    <row r="112" spans="1:14" x14ac:dyDescent="0.25">
      <c r="A112" s="125" t="s">
        <v>487</v>
      </c>
      <c r="B112" s="145"/>
    </row>
    <row r="113" spans="1:24" x14ac:dyDescent="0.25">
      <c r="A113" t="s">
        <v>488</v>
      </c>
      <c r="B113">
        <v>0.85</v>
      </c>
    </row>
    <row r="114" spans="1:24" x14ac:dyDescent="0.25">
      <c r="A114" s="37" t="s">
        <v>489</v>
      </c>
      <c r="B114">
        <v>0.42857142857142855</v>
      </c>
    </row>
    <row r="115" spans="1:24" x14ac:dyDescent="0.25">
      <c r="A115" t="s">
        <v>490</v>
      </c>
      <c r="B115">
        <v>0.75</v>
      </c>
    </row>
    <row r="116" spans="1:24" x14ac:dyDescent="0.25">
      <c r="A116" t="s">
        <v>491</v>
      </c>
      <c r="B116" s="146">
        <v>0.27272727272727271</v>
      </c>
      <c r="F116" s="147"/>
      <c r="J116" s="147"/>
      <c r="N116" s="147"/>
      <c r="R116" s="148"/>
      <c r="V116" s="148"/>
    </row>
    <row r="117" spans="1:24" x14ac:dyDescent="0.25">
      <c r="A117" t="s">
        <v>492</v>
      </c>
      <c r="B117" s="149">
        <v>0.5</v>
      </c>
      <c r="F117" s="150"/>
      <c r="J117" s="150"/>
      <c r="N117" s="150"/>
      <c r="R117" s="151"/>
      <c r="V117" s="151"/>
    </row>
    <row r="118" spans="1:24" x14ac:dyDescent="0.25">
      <c r="B118" s="152"/>
      <c r="C118" s="153"/>
      <c r="D118" s="154"/>
      <c r="F118" s="152"/>
      <c r="G118" s="153"/>
      <c r="H118" s="154"/>
      <c r="J118" s="152"/>
      <c r="K118" s="155"/>
      <c r="L118" s="154"/>
      <c r="N118" s="152"/>
      <c r="O118" s="155"/>
      <c r="P118" s="154"/>
      <c r="R118" s="152"/>
      <c r="S118" s="155"/>
      <c r="T118" s="154"/>
      <c r="V118" s="152"/>
      <c r="W118" s="155"/>
      <c r="X118" s="154"/>
    </row>
    <row r="119" spans="1:24" x14ac:dyDescent="0.25">
      <c r="A119" t="s">
        <v>493</v>
      </c>
      <c r="B119" s="156"/>
      <c r="C119" s="157"/>
      <c r="D119" s="158"/>
      <c r="F119" s="156"/>
      <c r="G119" s="157"/>
      <c r="H119" s="158"/>
      <c r="J119" s="156"/>
      <c r="K119" s="157"/>
      <c r="L119" s="158"/>
      <c r="N119" s="156"/>
      <c r="O119" s="157"/>
      <c r="P119" s="158"/>
      <c r="R119" s="156"/>
      <c r="S119" s="157"/>
      <c r="T119" s="158"/>
      <c r="V119" s="156"/>
      <c r="W119" s="157"/>
      <c r="X119" s="158"/>
    </row>
    <row r="120" spans="1:24" x14ac:dyDescent="0.25">
      <c r="B120" s="159"/>
      <c r="C120" s="151"/>
      <c r="D120" s="160"/>
      <c r="F120" s="159"/>
      <c r="G120" s="151"/>
      <c r="H120" s="160"/>
      <c r="J120" s="159"/>
      <c r="K120" s="151"/>
      <c r="L120" s="160"/>
      <c r="N120" s="159"/>
      <c r="O120" s="151"/>
      <c r="P120" s="160"/>
      <c r="R120" s="159"/>
      <c r="S120" s="151"/>
      <c r="T120" s="160"/>
      <c r="V120" s="159"/>
      <c r="W120" s="151"/>
      <c r="X120" s="160"/>
    </row>
    <row r="121" spans="1:24" x14ac:dyDescent="0.25">
      <c r="B121" s="159">
        <v>10</v>
      </c>
      <c r="C121" s="151"/>
      <c r="D121" s="160"/>
      <c r="F121" s="159">
        <v>200</v>
      </c>
      <c r="G121" s="151"/>
      <c r="H121" s="160"/>
      <c r="J121" s="159">
        <v>11</v>
      </c>
      <c r="K121" s="151"/>
      <c r="L121" s="160"/>
      <c r="N121" s="159">
        <v>11</v>
      </c>
      <c r="O121" s="151"/>
      <c r="P121" s="160"/>
      <c r="R121" s="159">
        <v>27000</v>
      </c>
      <c r="S121" s="151"/>
      <c r="T121" s="160"/>
      <c r="V121" s="159">
        <v>1000</v>
      </c>
      <c r="W121" s="151"/>
      <c r="X121" s="160"/>
    </row>
    <row r="122" spans="1:24" x14ac:dyDescent="0.25">
      <c r="B122" s="159">
        <v>10</v>
      </c>
      <c r="C122" s="151"/>
      <c r="D122" s="160"/>
      <c r="F122" s="159">
        <v>200</v>
      </c>
      <c r="G122" s="151"/>
      <c r="H122" s="160"/>
      <c r="J122" s="159">
        <v>11</v>
      </c>
      <c r="K122" s="151"/>
      <c r="L122" s="160"/>
      <c r="N122" s="159">
        <v>11</v>
      </c>
      <c r="O122" s="151"/>
      <c r="P122" s="160"/>
      <c r="R122" s="159">
        <v>27000</v>
      </c>
      <c r="S122" s="151"/>
      <c r="T122" s="160"/>
      <c r="V122" s="159">
        <v>1000</v>
      </c>
      <c r="W122" s="151"/>
      <c r="X122" s="160"/>
    </row>
    <row r="123" spans="1:24" x14ac:dyDescent="0.25">
      <c r="B123" s="159" t="s">
        <v>494</v>
      </c>
      <c r="C123" s="151" t="s">
        <v>495</v>
      </c>
      <c r="D123" s="160" t="s">
        <v>496</v>
      </c>
      <c r="F123" s="161" t="s">
        <v>494</v>
      </c>
      <c r="G123" s="162" t="s">
        <v>497</v>
      </c>
      <c r="H123" s="163" t="s">
        <v>496</v>
      </c>
      <c r="J123" s="161" t="s">
        <v>494</v>
      </c>
      <c r="K123" s="162" t="s">
        <v>498</v>
      </c>
      <c r="L123" s="163" t="s">
        <v>496</v>
      </c>
      <c r="N123" s="161" t="s">
        <v>494</v>
      </c>
      <c r="O123" s="162" t="s">
        <v>499</v>
      </c>
      <c r="P123" s="163" t="s">
        <v>496</v>
      </c>
      <c r="R123" s="161" t="s">
        <v>494</v>
      </c>
      <c r="S123" s="162" t="s">
        <v>500</v>
      </c>
      <c r="T123" s="163" t="s">
        <v>496</v>
      </c>
      <c r="V123" s="161" t="s">
        <v>494</v>
      </c>
      <c r="W123" s="162" t="s">
        <v>501</v>
      </c>
      <c r="X123" s="163" t="s">
        <v>496</v>
      </c>
    </row>
    <row r="124" spans="1:24" x14ac:dyDescent="0.25">
      <c r="B124" s="159">
        <v>1990</v>
      </c>
      <c r="C124" s="151">
        <v>500</v>
      </c>
      <c r="D124" s="160">
        <v>19.607843137254903</v>
      </c>
      <c r="F124" s="159">
        <v>1990</v>
      </c>
      <c r="G124" s="151">
        <v>600</v>
      </c>
      <c r="H124" s="160">
        <v>3</v>
      </c>
      <c r="J124" s="159">
        <v>1990</v>
      </c>
      <c r="K124" s="151">
        <v>350</v>
      </c>
      <c r="L124" s="160">
        <v>31.818181818181817</v>
      </c>
      <c r="N124" s="159">
        <v>1990</v>
      </c>
      <c r="O124" s="151">
        <v>2283</v>
      </c>
      <c r="P124" s="160">
        <v>14.006134969325153</v>
      </c>
      <c r="R124" s="159">
        <v>1990</v>
      </c>
      <c r="S124" s="151">
        <v>27000</v>
      </c>
      <c r="T124" s="160">
        <v>1</v>
      </c>
      <c r="V124" s="159">
        <v>1990</v>
      </c>
      <c r="W124" s="151">
        <v>2000</v>
      </c>
      <c r="X124" s="160">
        <v>1</v>
      </c>
    </row>
    <row r="125" spans="1:24" x14ac:dyDescent="0.25">
      <c r="B125" s="159">
        <v>1995</v>
      </c>
      <c r="C125" s="151">
        <v>340</v>
      </c>
      <c r="D125" s="160">
        <v>13.333333333333334</v>
      </c>
      <c r="F125" s="164">
        <v>1995</v>
      </c>
      <c r="G125" s="165">
        <v>350</v>
      </c>
      <c r="H125" s="166">
        <v>1.75</v>
      </c>
      <c r="J125" s="164">
        <v>1995</v>
      </c>
      <c r="K125" s="165">
        <v>200</v>
      </c>
      <c r="L125" s="166">
        <v>18.181818181818183</v>
      </c>
      <c r="N125" s="164">
        <v>1995</v>
      </c>
      <c r="O125" s="165">
        <v>2283</v>
      </c>
      <c r="P125" s="166">
        <v>14.006134969325153</v>
      </c>
      <c r="R125" s="164">
        <v>1995</v>
      </c>
      <c r="S125" s="165">
        <v>27000</v>
      </c>
      <c r="T125" s="166">
        <v>1</v>
      </c>
      <c r="V125" s="164">
        <v>1995</v>
      </c>
      <c r="W125" s="165">
        <v>2000</v>
      </c>
      <c r="X125" s="166">
        <v>1</v>
      </c>
    </row>
    <row r="126" spans="1:24" x14ac:dyDescent="0.25">
      <c r="B126" s="164">
        <v>2000</v>
      </c>
      <c r="C126" s="165">
        <v>200</v>
      </c>
      <c r="D126" s="166">
        <v>7.8431372549019605</v>
      </c>
      <c r="F126">
        <v>2000</v>
      </c>
      <c r="G126">
        <v>200</v>
      </c>
      <c r="H126">
        <v>1</v>
      </c>
      <c r="J126">
        <v>2000</v>
      </c>
      <c r="K126">
        <v>120</v>
      </c>
      <c r="L126">
        <v>10.909090909090908</v>
      </c>
      <c r="N126">
        <v>2000</v>
      </c>
      <c r="O126">
        <v>2283</v>
      </c>
      <c r="P126">
        <v>14.006134969325153</v>
      </c>
      <c r="R126">
        <v>2000</v>
      </c>
      <c r="S126">
        <v>27000</v>
      </c>
      <c r="T126">
        <v>1</v>
      </c>
      <c r="V126">
        <v>2000</v>
      </c>
      <c r="W126">
        <v>2000</v>
      </c>
      <c r="X126">
        <v>1</v>
      </c>
    </row>
    <row r="127" spans="1:24" x14ac:dyDescent="0.25">
      <c r="B127">
        <v>2005</v>
      </c>
      <c r="C127">
        <v>25.5</v>
      </c>
      <c r="D127">
        <v>1</v>
      </c>
      <c r="F127">
        <v>2005</v>
      </c>
      <c r="G127">
        <v>200</v>
      </c>
      <c r="H127">
        <v>1</v>
      </c>
      <c r="J127">
        <v>2005</v>
      </c>
      <c r="K127">
        <v>120</v>
      </c>
      <c r="L127">
        <v>10.909090909090908</v>
      </c>
      <c r="N127">
        <v>2005</v>
      </c>
      <c r="O127">
        <v>2283</v>
      </c>
      <c r="P127">
        <v>14.006134969325153</v>
      </c>
      <c r="R127">
        <v>2005</v>
      </c>
      <c r="S127">
        <v>27000</v>
      </c>
      <c r="T127">
        <v>1</v>
      </c>
      <c r="V127">
        <v>2005</v>
      </c>
      <c r="W127">
        <v>2000</v>
      </c>
      <c r="X127">
        <v>1</v>
      </c>
    </row>
    <row r="128" spans="1:24" x14ac:dyDescent="0.25">
      <c r="A128" s="37"/>
      <c r="B128">
        <v>2010</v>
      </c>
      <c r="C128">
        <v>25.5</v>
      </c>
      <c r="D128">
        <v>1</v>
      </c>
      <c r="F128">
        <v>2010</v>
      </c>
      <c r="G128">
        <v>200</v>
      </c>
      <c r="H128">
        <v>1</v>
      </c>
      <c r="J128">
        <v>2010</v>
      </c>
      <c r="K128">
        <v>11</v>
      </c>
      <c r="L128">
        <v>1</v>
      </c>
      <c r="N128">
        <v>2010</v>
      </c>
      <c r="O128">
        <v>163</v>
      </c>
      <c r="P128">
        <v>1</v>
      </c>
      <c r="R128">
        <v>2010</v>
      </c>
      <c r="S128">
        <v>27000</v>
      </c>
      <c r="T128">
        <v>1</v>
      </c>
      <c r="V128">
        <v>2010</v>
      </c>
      <c r="W128">
        <v>2000</v>
      </c>
      <c r="X128">
        <v>1</v>
      </c>
    </row>
    <row r="129" spans="1:24" x14ac:dyDescent="0.25">
      <c r="A129" s="167"/>
      <c r="B129" s="168">
        <v>2015</v>
      </c>
      <c r="C129" s="168">
        <v>25.5</v>
      </c>
      <c r="D129" s="168">
        <v>1</v>
      </c>
      <c r="E129" s="168"/>
      <c r="F129" s="169">
        <v>2015</v>
      </c>
      <c r="G129">
        <v>200</v>
      </c>
      <c r="H129">
        <v>1</v>
      </c>
      <c r="J129">
        <v>2015</v>
      </c>
      <c r="K129">
        <v>11</v>
      </c>
      <c r="L129">
        <v>1</v>
      </c>
      <c r="N129">
        <v>2015</v>
      </c>
      <c r="O129">
        <v>11</v>
      </c>
      <c r="P129">
        <v>6.7484662576687116E-2</v>
      </c>
      <c r="R129">
        <v>2015</v>
      </c>
      <c r="S129">
        <v>27000</v>
      </c>
      <c r="T129">
        <v>1</v>
      </c>
      <c r="V129">
        <v>2015</v>
      </c>
      <c r="W129">
        <v>1000</v>
      </c>
      <c r="X129">
        <v>0.5</v>
      </c>
    </row>
    <row r="130" spans="1:24" x14ac:dyDescent="0.25">
      <c r="A130" s="170"/>
      <c r="B130" s="171">
        <v>2017</v>
      </c>
      <c r="C130" s="171">
        <v>10</v>
      </c>
      <c r="D130" s="171">
        <v>0.39215686274509803</v>
      </c>
      <c r="E130" s="172"/>
      <c r="F130" s="173">
        <v>2020</v>
      </c>
      <c r="G130">
        <v>200</v>
      </c>
      <c r="H130">
        <v>1</v>
      </c>
      <c r="J130">
        <v>2020</v>
      </c>
      <c r="K130">
        <v>11</v>
      </c>
      <c r="L130">
        <v>1</v>
      </c>
      <c r="N130">
        <v>2020</v>
      </c>
      <c r="O130">
        <v>11</v>
      </c>
      <c r="P130">
        <v>6.7484662576687116E-2</v>
      </c>
      <c r="R130">
        <v>2020</v>
      </c>
      <c r="S130">
        <v>5000</v>
      </c>
      <c r="T130">
        <v>0.185</v>
      </c>
      <c r="V130">
        <v>2020</v>
      </c>
      <c r="W130">
        <v>1000</v>
      </c>
      <c r="X130">
        <v>0.5</v>
      </c>
    </row>
    <row r="131" spans="1:24" x14ac:dyDescent="0.25">
      <c r="A131" s="170"/>
      <c r="B131" s="174">
        <v>2020</v>
      </c>
      <c r="C131" s="171">
        <v>10</v>
      </c>
      <c r="D131" s="171">
        <v>0.39215686274509803</v>
      </c>
      <c r="E131" s="172"/>
      <c r="F131" s="175"/>
    </row>
    <row r="132" spans="1:24" x14ac:dyDescent="0.25">
      <c r="A132" s="170"/>
      <c r="B132" s="174"/>
      <c r="C132" s="174"/>
      <c r="D132" s="171"/>
      <c r="E132" s="174"/>
      <c r="F132" s="175"/>
    </row>
    <row r="133" spans="1:24" x14ac:dyDescent="0.25">
      <c r="A133" s="170" t="s">
        <v>502</v>
      </c>
      <c r="B133" s="174"/>
      <c r="C133" s="172"/>
      <c r="D133" s="171"/>
      <c r="E133" s="171"/>
      <c r="F133" s="173"/>
    </row>
    <row r="134" spans="1:24" x14ac:dyDescent="0.25">
      <c r="A134" s="176" t="s">
        <v>503</v>
      </c>
      <c r="B134" s="177" t="s">
        <v>504</v>
      </c>
      <c r="C134" s="177" t="s">
        <v>505</v>
      </c>
      <c r="D134" s="178" t="s">
        <v>506</v>
      </c>
      <c r="E134" s="177" t="s">
        <v>507</v>
      </c>
      <c r="F134" s="179" t="s">
        <v>508</v>
      </c>
    </row>
    <row r="135" spans="1:24" x14ac:dyDescent="0.25">
      <c r="A135" t="s">
        <v>509</v>
      </c>
      <c r="B135">
        <v>1</v>
      </c>
      <c r="C135">
        <v>1000</v>
      </c>
      <c r="D135">
        <v>1000000</v>
      </c>
      <c r="E135">
        <v>453.59237000000002</v>
      </c>
      <c r="F135">
        <v>907184.74</v>
      </c>
    </row>
    <row r="136" spans="1:24" x14ac:dyDescent="0.25">
      <c r="A136" s="167" t="s">
        <v>114</v>
      </c>
      <c r="B136" s="168">
        <v>1E-3</v>
      </c>
      <c r="C136" s="168">
        <v>1</v>
      </c>
      <c r="D136" s="168">
        <v>1000</v>
      </c>
      <c r="E136" s="168">
        <v>0.45359237000000002</v>
      </c>
      <c r="F136" s="169">
        <v>907.18474000000003</v>
      </c>
    </row>
    <row r="137" spans="1:24" x14ac:dyDescent="0.25">
      <c r="A137" s="170" t="s">
        <v>510</v>
      </c>
      <c r="B137" s="149">
        <v>9.9999999999999995E-7</v>
      </c>
      <c r="C137" s="180">
        <v>1E-3</v>
      </c>
      <c r="D137" s="181">
        <v>1</v>
      </c>
      <c r="E137" s="182">
        <v>4.5359237000000004E-4</v>
      </c>
      <c r="F137" s="183">
        <v>0.90718474000000004</v>
      </c>
    </row>
    <row r="138" spans="1:24" x14ac:dyDescent="0.25">
      <c r="A138" s="170" t="s">
        <v>511</v>
      </c>
      <c r="B138" s="171">
        <v>2.2046226218487759E-3</v>
      </c>
      <c r="C138" s="171">
        <v>2.2046226218487757</v>
      </c>
      <c r="D138" s="171">
        <v>2204.6226218487759</v>
      </c>
      <c r="E138" s="171">
        <v>1</v>
      </c>
      <c r="F138" s="173">
        <v>2000</v>
      </c>
    </row>
    <row r="139" spans="1:24" x14ac:dyDescent="0.25">
      <c r="A139" s="170" t="s">
        <v>512</v>
      </c>
      <c r="B139" s="171">
        <v>1.102311310924388E-6</v>
      </c>
      <c r="C139" s="172">
        <v>1.1023113109243879E-3</v>
      </c>
      <c r="D139" s="171">
        <v>1.1023113109243878</v>
      </c>
      <c r="E139" s="172">
        <v>5.0000000000000001E-4</v>
      </c>
      <c r="F139" s="175">
        <v>1</v>
      </c>
    </row>
    <row r="140" spans="1:24" x14ac:dyDescent="0.25">
      <c r="A140" s="170"/>
      <c r="B140" s="151"/>
      <c r="C140" s="174"/>
      <c r="D140" s="172"/>
      <c r="E140" s="171"/>
      <c r="F140" s="175"/>
    </row>
    <row r="141" spans="1:24" x14ac:dyDescent="0.25">
      <c r="A141" s="176" t="s">
        <v>513</v>
      </c>
      <c r="B141" s="165" t="s">
        <v>514</v>
      </c>
      <c r="C141" s="177" t="s">
        <v>515</v>
      </c>
      <c r="D141" s="178" t="s">
        <v>516</v>
      </c>
      <c r="E141" s="178" t="s">
        <v>517</v>
      </c>
      <c r="F141" s="179" t="s">
        <v>518</v>
      </c>
    </row>
    <row r="142" spans="1:24" x14ac:dyDescent="0.25">
      <c r="A142" t="s">
        <v>519</v>
      </c>
      <c r="B142">
        <v>1</v>
      </c>
      <c r="C142">
        <v>9.9999999999999995E-7</v>
      </c>
      <c r="D142">
        <v>1E-3</v>
      </c>
      <c r="E142">
        <v>3.7854109999999998E-3</v>
      </c>
      <c r="F142">
        <v>2.8316846999999999E-2</v>
      </c>
    </row>
    <row r="143" spans="1:24" x14ac:dyDescent="0.25">
      <c r="A143" s="167" t="s">
        <v>520</v>
      </c>
      <c r="B143" s="168">
        <v>1000000</v>
      </c>
      <c r="C143" s="168">
        <v>1</v>
      </c>
      <c r="D143" s="168">
        <v>1000.0000000000001</v>
      </c>
      <c r="E143" s="168">
        <v>3785.4110000000001</v>
      </c>
      <c r="F143" s="168">
        <v>28316.847000000002</v>
      </c>
      <c r="G143" s="168"/>
      <c r="H143" s="168"/>
      <c r="I143" s="169"/>
    </row>
    <row r="144" spans="1:24" x14ac:dyDescent="0.25">
      <c r="A144" s="170" t="s">
        <v>521</v>
      </c>
      <c r="B144" s="171">
        <v>1000</v>
      </c>
      <c r="C144" s="171">
        <v>1E-3</v>
      </c>
      <c r="D144" s="171">
        <v>1</v>
      </c>
      <c r="E144" s="171">
        <v>3.7854109999999999</v>
      </c>
      <c r="F144" s="171">
        <v>28.316846999999999</v>
      </c>
      <c r="G144" s="171"/>
      <c r="H144" s="171"/>
      <c r="I144" s="131"/>
    </row>
    <row r="145" spans="1:9" x14ac:dyDescent="0.25">
      <c r="A145" s="170" t="s">
        <v>522</v>
      </c>
      <c r="B145" s="172">
        <v>264.17210707106841</v>
      </c>
      <c r="C145" s="171">
        <v>2.6417210707106839E-4</v>
      </c>
      <c r="D145" s="171">
        <v>0.26417210707106842</v>
      </c>
      <c r="E145" s="151">
        <v>1</v>
      </c>
      <c r="F145" s="171">
        <v>7.4805211375990615</v>
      </c>
      <c r="G145" s="172"/>
      <c r="H145" s="171"/>
      <c r="I145" s="131"/>
    </row>
    <row r="146" spans="1:9" x14ac:dyDescent="0.25">
      <c r="A146" s="170" t="s">
        <v>523</v>
      </c>
      <c r="B146" s="174">
        <v>35.314666212661322</v>
      </c>
      <c r="C146" s="172">
        <v>3.5314666212661319E-5</v>
      </c>
      <c r="D146" s="171">
        <v>3.5314666212661321E-2</v>
      </c>
      <c r="E146" s="184">
        <v>0.13368052594273649</v>
      </c>
      <c r="F146" s="151">
        <v>1</v>
      </c>
      <c r="G146" s="174"/>
      <c r="H146" s="171"/>
      <c r="I146" s="131"/>
    </row>
    <row r="147" spans="1:9" x14ac:dyDescent="0.25">
      <c r="A147" s="170"/>
      <c r="B147" s="174"/>
      <c r="C147" s="172"/>
      <c r="D147" s="171"/>
      <c r="E147" s="171"/>
      <c r="F147" s="171"/>
      <c r="G147" s="172"/>
      <c r="H147" s="171"/>
      <c r="I147" s="131"/>
    </row>
    <row r="148" spans="1:9" x14ac:dyDescent="0.25">
      <c r="A148" s="170" t="s">
        <v>524</v>
      </c>
      <c r="B148" s="185" t="s">
        <v>525</v>
      </c>
      <c r="C148" s="174" t="s">
        <v>526</v>
      </c>
      <c r="D148" s="172" t="s">
        <v>527</v>
      </c>
      <c r="E148" s="172" t="s">
        <v>528</v>
      </c>
      <c r="F148" s="171" t="s">
        <v>529</v>
      </c>
      <c r="G148" s="174" t="s">
        <v>530</v>
      </c>
      <c r="H148" s="171" t="s">
        <v>531</v>
      </c>
      <c r="I148" s="131" t="s">
        <v>532</v>
      </c>
    </row>
    <row r="149" spans="1:9" x14ac:dyDescent="0.25">
      <c r="A149" s="170" t="s">
        <v>533</v>
      </c>
      <c r="B149" s="174">
        <v>1</v>
      </c>
      <c r="C149" s="172">
        <v>1000</v>
      </c>
      <c r="D149" s="171">
        <v>1000000</v>
      </c>
      <c r="E149" s="172">
        <v>3600</v>
      </c>
      <c r="F149" s="171">
        <v>3600000</v>
      </c>
      <c r="G149" s="171">
        <v>1055.05585</v>
      </c>
      <c r="H149" s="171">
        <v>1055055850</v>
      </c>
      <c r="I149" s="131">
        <v>2684519.5376862194</v>
      </c>
    </row>
    <row r="150" spans="1:9" x14ac:dyDescent="0.25">
      <c r="A150" s="170" t="s">
        <v>534</v>
      </c>
      <c r="B150" s="186">
        <v>1E-3</v>
      </c>
      <c r="C150" s="174">
        <v>1</v>
      </c>
      <c r="D150" s="174">
        <v>1000</v>
      </c>
      <c r="E150" s="187">
        <v>3.6</v>
      </c>
      <c r="F150" s="174">
        <v>3600</v>
      </c>
      <c r="G150" s="174">
        <v>1.05505585</v>
      </c>
      <c r="H150" s="171">
        <v>1055055.8500000001</v>
      </c>
      <c r="I150" s="131">
        <v>2684.5195376862198</v>
      </c>
    </row>
    <row r="151" spans="1:9" x14ac:dyDescent="0.25">
      <c r="A151" s="176" t="s">
        <v>535</v>
      </c>
      <c r="B151" s="133">
        <v>9.9999999999999995E-7</v>
      </c>
      <c r="C151" s="133">
        <v>1E-3</v>
      </c>
      <c r="D151" s="133">
        <v>1</v>
      </c>
      <c r="E151" s="133">
        <v>3.5999999999999999E-3</v>
      </c>
      <c r="F151" s="133">
        <v>3.6</v>
      </c>
      <c r="G151" s="133">
        <v>1.0550558499999999E-3</v>
      </c>
      <c r="H151" s="133">
        <v>1055.05585</v>
      </c>
      <c r="I151" s="134">
        <v>2.6845195376862194</v>
      </c>
    </row>
    <row r="152" spans="1:9" x14ac:dyDescent="0.25">
      <c r="A152" t="s">
        <v>536</v>
      </c>
      <c r="B152">
        <v>2.7777777777777778E-4</v>
      </c>
      <c r="C152">
        <v>0.27777777777777779</v>
      </c>
      <c r="D152">
        <v>277.77777777777777</v>
      </c>
      <c r="E152">
        <v>1</v>
      </c>
      <c r="F152">
        <v>1000</v>
      </c>
      <c r="G152">
        <v>0.29307106944444444</v>
      </c>
      <c r="H152">
        <v>293071.06944444444</v>
      </c>
      <c r="I152">
        <v>745.69987157950538</v>
      </c>
    </row>
    <row r="153" spans="1:9" x14ac:dyDescent="0.25">
      <c r="A153" t="s">
        <v>537</v>
      </c>
      <c r="B153">
        <v>2.7777777777777776E-7</v>
      </c>
      <c r="C153">
        <v>2.7777777777777778E-4</v>
      </c>
      <c r="D153">
        <v>0.27777777777777779</v>
      </c>
      <c r="E153">
        <v>1E-3</v>
      </c>
      <c r="F153">
        <v>1</v>
      </c>
      <c r="G153">
        <v>2.9307106944444444E-4</v>
      </c>
      <c r="H153">
        <v>293.07106944444445</v>
      </c>
      <c r="I153">
        <v>0.74569987157950535</v>
      </c>
    </row>
    <row r="154" spans="1:9" x14ac:dyDescent="0.25">
      <c r="A154" t="s">
        <v>538</v>
      </c>
      <c r="B154">
        <v>9.4781712266701337E-4</v>
      </c>
      <c r="C154">
        <v>0.94781712266701335</v>
      </c>
      <c r="D154">
        <v>947.81712266701334</v>
      </c>
      <c r="E154">
        <v>3.4121416416012482</v>
      </c>
      <c r="F154">
        <v>3412.141641601248</v>
      </c>
      <c r="G154">
        <v>1</v>
      </c>
      <c r="H154">
        <v>1000000</v>
      </c>
      <c r="I154">
        <v>2544.4335839531336</v>
      </c>
    </row>
    <row r="155" spans="1:9" x14ac:dyDescent="0.25">
      <c r="A155" t="s">
        <v>539</v>
      </c>
      <c r="B155">
        <v>9.4781712266701324E-10</v>
      </c>
      <c r="C155">
        <v>9.4781712266701326E-7</v>
      </c>
      <c r="D155">
        <v>9.4781712266701326E-4</v>
      </c>
      <c r="E155">
        <v>3.4121416416012478E-6</v>
      </c>
      <c r="F155">
        <v>3.4121416416012479E-3</v>
      </c>
      <c r="G155">
        <v>9.9999999999999995E-7</v>
      </c>
      <c r="H155">
        <v>1</v>
      </c>
      <c r="I155">
        <v>2.5444335839531337E-3</v>
      </c>
    </row>
    <row r="156" spans="1:9" x14ac:dyDescent="0.25">
      <c r="A156" t="s">
        <v>540</v>
      </c>
      <c r="B156">
        <v>3.72506136E-7</v>
      </c>
      <c r="C156">
        <v>3.7250613599999999E-4</v>
      </c>
      <c r="D156">
        <v>0.37250613599999999</v>
      </c>
      <c r="E156">
        <v>1.3410220896E-3</v>
      </c>
      <c r="F156">
        <v>1.3410220896</v>
      </c>
      <c r="G156">
        <v>3.9301477794769559E-4</v>
      </c>
      <c r="H156">
        <v>393.01477794769556</v>
      </c>
      <c r="I156">
        <v>1</v>
      </c>
    </row>
    <row r="158" spans="1:9" x14ac:dyDescent="0.25">
      <c r="A158" t="s">
        <v>590</v>
      </c>
      <c r="B158" t="s">
        <v>591</v>
      </c>
      <c r="C158" t="s">
        <v>592</v>
      </c>
      <c r="D158" t="s">
        <v>593</v>
      </c>
      <c r="E158" t="s">
        <v>594</v>
      </c>
      <c r="F158" t="s">
        <v>595</v>
      </c>
    </row>
    <row r="159" spans="1:9" x14ac:dyDescent="0.25">
      <c r="A159" t="s">
        <v>591</v>
      </c>
      <c r="B159">
        <v>1</v>
      </c>
      <c r="C159">
        <v>1000</v>
      </c>
      <c r="D159">
        <v>1000000</v>
      </c>
      <c r="E159">
        <v>304.8</v>
      </c>
      <c r="F159">
        <v>1609340</v>
      </c>
    </row>
    <row r="160" spans="1:9" x14ac:dyDescent="0.25">
      <c r="A160" t="s">
        <v>592</v>
      </c>
      <c r="B160">
        <v>1E-3</v>
      </c>
      <c r="C160">
        <v>1</v>
      </c>
      <c r="D160">
        <v>1000</v>
      </c>
      <c r="E160">
        <v>0.30480000000000002</v>
      </c>
      <c r="F160">
        <v>1609.34</v>
      </c>
    </row>
    <row r="161" spans="1:6" x14ac:dyDescent="0.25">
      <c r="A161" t="s">
        <v>593</v>
      </c>
      <c r="B161">
        <v>9.9999999999999995E-7</v>
      </c>
      <c r="C161">
        <v>1E-3</v>
      </c>
      <c r="D161">
        <v>1</v>
      </c>
      <c r="E161">
        <v>3.0480000000000004E-4</v>
      </c>
      <c r="F161">
        <v>1.60934</v>
      </c>
    </row>
    <row r="162" spans="1:6" x14ac:dyDescent="0.25">
      <c r="A162" t="s">
        <v>594</v>
      </c>
      <c r="B162">
        <v>3.2808398950131233E-3</v>
      </c>
      <c r="C162">
        <v>3.2808398950131235</v>
      </c>
      <c r="D162">
        <v>3280.8398950131236</v>
      </c>
      <c r="E162">
        <v>1</v>
      </c>
      <c r="F162">
        <v>5280</v>
      </c>
    </row>
    <row r="163" spans="1:6" x14ac:dyDescent="0.25">
      <c r="A163" t="s">
        <v>595</v>
      </c>
      <c r="B163">
        <v>6.2137273664980671E-7</v>
      </c>
      <c r="C163">
        <v>6.2137273664980672E-4</v>
      </c>
      <c r="D163">
        <v>0.62137273664980675</v>
      </c>
      <c r="E163">
        <v>1.8939393939393939E-4</v>
      </c>
      <c r="F163">
        <v>1</v>
      </c>
    </row>
  </sheetData>
  <dataValidations count="5">
    <dataValidation type="list" allowBlank="1" showInputMessage="1" showErrorMessage="1" sqref="B5" xr:uid="{00000000-0002-0000-0600-000000000000}">
      <formula1>"1,2"</formula1>
    </dataValidation>
    <dataValidation type="list" allowBlank="1" showInputMessage="1" showErrorMessage="1" sqref="B92" xr:uid="{00000000-0002-0000-0600-000001000000}">
      <formula1>"AR5/GWP,AR5/GTP,AR4/GWP,AR3/GWP,AR2/GWP,AR1/GWP"</formula1>
    </dataValidation>
    <dataValidation type="list" allowBlank="1" showInputMessage="1" showErrorMessage="1" sqref="B93" xr:uid="{00000000-0002-0000-0600-000002000000}">
      <formula1>$C$93:$D$93</formula1>
    </dataValidation>
    <dataValidation type="list" allowBlank="1" showInputMessage="1" showErrorMessage="1" sqref="B99" xr:uid="{00000000-0002-0000-0600-000003000000}">
      <formula1>"None, GWP, GTP"</formula1>
    </dataValidation>
    <dataValidation type="list" allowBlank="1" showInputMessage="1" showErrorMessage="1" sqref="B100" xr:uid="{00000000-0002-0000-0600-000004000000}">
      <formula1>$D$100:$E$100</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59C31-A262-4004-877C-80601FDD4139}">
  <sheetPr>
    <tabColor rgb="FF92D050"/>
  </sheetPr>
  <dimension ref="A1:J51"/>
  <sheetViews>
    <sheetView topLeftCell="A10" workbookViewId="0">
      <selection activeCell="D18" sqref="D18"/>
    </sheetView>
  </sheetViews>
  <sheetFormatPr defaultRowHeight="15" x14ac:dyDescent="0.25"/>
  <cols>
    <col min="1" max="1" width="44.5703125" customWidth="1"/>
    <col min="2" max="4" width="13.5703125" style="18" customWidth="1"/>
    <col min="5" max="5" width="16.28515625" style="18" customWidth="1"/>
    <col min="6" max="6" width="22.42578125" style="3" customWidth="1"/>
    <col min="8" max="8" width="14.140625" customWidth="1"/>
    <col min="9" max="9" width="8.85546875" customWidth="1"/>
    <col min="10" max="10" width="20.28515625" customWidth="1"/>
    <col min="11" max="11" width="14.42578125" customWidth="1"/>
  </cols>
  <sheetData>
    <row r="1" spans="1:7" x14ac:dyDescent="0.25">
      <c r="A1" s="32" t="s">
        <v>213</v>
      </c>
      <c r="B1" s="33" t="s">
        <v>126</v>
      </c>
      <c r="C1" s="33"/>
      <c r="D1" s="33" t="s">
        <v>43</v>
      </c>
      <c r="E1" s="34"/>
      <c r="F1" s="35" t="s">
        <v>113</v>
      </c>
      <c r="G1" s="20" t="s">
        <v>215</v>
      </c>
    </row>
    <row r="2" spans="1:7" x14ac:dyDescent="0.25">
      <c r="A2" s="31" t="s">
        <v>225</v>
      </c>
      <c r="B2" s="29"/>
      <c r="C2" s="29"/>
      <c r="D2" s="29"/>
      <c r="E2" s="29"/>
      <c r="F2" s="30"/>
    </row>
    <row r="3" spans="1:7" x14ac:dyDescent="0.25">
      <c r="A3" t="s">
        <v>226</v>
      </c>
      <c r="B3" s="21">
        <f>'Uranium, Coal, MSW, Hydrogen'!B13</f>
        <v>705.25</v>
      </c>
      <c r="C3" s="21"/>
      <c r="D3" s="21">
        <f>'Uranium, Coal, MSW, Hydrogen'!D13</f>
        <v>97</v>
      </c>
      <c r="E3" s="23"/>
      <c r="F3" t="s">
        <v>212</v>
      </c>
    </row>
    <row r="4" spans="1:7" x14ac:dyDescent="0.25">
      <c r="A4" t="s">
        <v>216</v>
      </c>
      <c r="B4" s="233">
        <f>'AEO 2021 Table 1'!C18</f>
        <v>35.144691000000002</v>
      </c>
      <c r="C4" s="22"/>
      <c r="D4" s="22">
        <f>'AEO 2021 Table 1'!C36</f>
        <v>5.3078810000000001</v>
      </c>
      <c r="E4" s="23"/>
      <c r="F4" s="3" t="s">
        <v>217</v>
      </c>
    </row>
    <row r="5" spans="1:7" x14ac:dyDescent="0.25">
      <c r="A5" t="s">
        <v>218</v>
      </c>
      <c r="B5" s="22">
        <f>'Uranium, Coal, MSW, Hydrogen'!B3</f>
        <v>3</v>
      </c>
      <c r="D5" s="18">
        <f>'Uranium, Coal, MSW, Hydrogen'!D3</f>
        <v>0</v>
      </c>
      <c r="F5" s="3" t="s">
        <v>211</v>
      </c>
    </row>
    <row r="6" spans="1:7" x14ac:dyDescent="0.25">
      <c r="A6" s="7" t="s">
        <v>228</v>
      </c>
      <c r="B6" s="29"/>
      <c r="C6" s="29"/>
      <c r="D6" s="29"/>
      <c r="E6" s="29"/>
      <c r="F6" s="30"/>
    </row>
    <row r="7" spans="1:7" x14ac:dyDescent="0.25">
      <c r="A7" s="7" t="s">
        <v>229</v>
      </c>
      <c r="B7" s="29"/>
      <c r="C7" s="29"/>
      <c r="D7" s="29"/>
      <c r="E7" s="29"/>
      <c r="F7" s="30"/>
    </row>
    <row r="8" spans="1:7" x14ac:dyDescent="0.25">
      <c r="A8" s="7" t="s">
        <v>230</v>
      </c>
      <c r="B8" s="29"/>
      <c r="C8" s="29"/>
      <c r="D8" s="29"/>
      <c r="E8" s="29"/>
      <c r="F8" s="30"/>
    </row>
    <row r="9" spans="1:7" x14ac:dyDescent="0.25">
      <c r="A9" t="s">
        <v>219</v>
      </c>
      <c r="B9" s="18">
        <f>'Biomass Data'!A33</f>
        <v>9273039</v>
      </c>
      <c r="C9" s="23"/>
      <c r="D9" s="18">
        <f>'Biomass Data'!A36</f>
        <v>6949904</v>
      </c>
      <c r="E9" s="23"/>
      <c r="F9" s="3" t="s">
        <v>553</v>
      </c>
    </row>
    <row r="10" spans="1:7" x14ac:dyDescent="0.25">
      <c r="A10" t="s">
        <v>220</v>
      </c>
      <c r="B10" s="18">
        <f>SUM('Petroleum and Biofuel Data'!D32:E32)</f>
        <v>3634459</v>
      </c>
      <c r="D10" s="18">
        <f>'Petroleum and Biofuel Data'!K32</f>
        <v>273483</v>
      </c>
      <c r="F10" s="3" t="s">
        <v>221</v>
      </c>
    </row>
    <row r="11" spans="1:7" x14ac:dyDescent="0.25">
      <c r="A11" t="s">
        <v>231</v>
      </c>
      <c r="B11" s="18">
        <f>'Petroleum and Biofuel Data'!E38</f>
        <v>1833879</v>
      </c>
      <c r="D11" s="18">
        <f>'Petroleum and Biofuel Data'!K38</f>
        <v>504155</v>
      </c>
      <c r="F11" s="3" t="s">
        <v>221</v>
      </c>
    </row>
    <row r="12" spans="1:7" x14ac:dyDescent="0.25">
      <c r="A12" t="s">
        <v>232</v>
      </c>
      <c r="B12" s="18">
        <f>'Petroleum and Biofuel Data'!D23</f>
        <v>379435</v>
      </c>
      <c r="D12" s="18">
        <f>'Petroleum and Biofuel Data'!K23</f>
        <v>33092</v>
      </c>
      <c r="F12" s="3" t="s">
        <v>221</v>
      </c>
    </row>
    <row r="13" spans="1:7" x14ac:dyDescent="0.25">
      <c r="A13" t="s">
        <v>233</v>
      </c>
      <c r="B13" s="18">
        <f>'Petroleum and Biofuel Data'!D24</f>
        <v>37993</v>
      </c>
      <c r="D13" s="18">
        <f>'Petroleum and Biofuel Data'!K24</f>
        <v>2228</v>
      </c>
      <c r="F13" s="3" t="s">
        <v>221</v>
      </c>
    </row>
    <row r="14" spans="1:7" x14ac:dyDescent="0.25">
      <c r="A14" t="s">
        <v>222</v>
      </c>
      <c r="B14" s="18">
        <f>SUM('Petroleum and Biofuel Data'!E36:E37)</f>
        <v>623914</v>
      </c>
      <c r="D14" s="18">
        <f>SUM('Petroleum and Biofuel Data'!K36:K37)</f>
        <v>69428</v>
      </c>
      <c r="F14" s="3" t="s">
        <v>221</v>
      </c>
    </row>
    <row r="15" spans="1:7" x14ac:dyDescent="0.25">
      <c r="A15" s="7" t="s">
        <v>274</v>
      </c>
      <c r="B15" s="29"/>
      <c r="C15" s="29"/>
      <c r="D15" s="29"/>
      <c r="E15" s="29"/>
      <c r="F15" s="30"/>
    </row>
    <row r="16" spans="1:7" x14ac:dyDescent="0.25">
      <c r="A16" s="7" t="s">
        <v>235</v>
      </c>
      <c r="B16" s="29"/>
      <c r="C16" s="29"/>
      <c r="D16" s="29"/>
      <c r="E16" s="29"/>
      <c r="F16" s="30"/>
    </row>
    <row r="17" spans="1:10" x14ac:dyDescent="0.25">
      <c r="A17" t="s">
        <v>236</v>
      </c>
      <c r="B17" s="23">
        <f>'Uranium, Coal, MSW, Hydrogen'!B14</f>
        <v>69.75</v>
      </c>
      <c r="D17" s="18">
        <f>'Uranium, Coal, MSW, Hydrogen'!D14</f>
        <v>0</v>
      </c>
      <c r="E17" s="23"/>
      <c r="F17" t="s">
        <v>212</v>
      </c>
    </row>
    <row r="18" spans="1:10" x14ac:dyDescent="0.25">
      <c r="A18" t="s">
        <v>223</v>
      </c>
      <c r="B18" s="189">
        <f>'Petroleum and Biofuel Data'!C5</f>
        <v>4083494</v>
      </c>
      <c r="D18" s="18">
        <f>'Petroleum and Biofuel Data'!K5</f>
        <v>1087638</v>
      </c>
      <c r="F18" s="3" t="s">
        <v>221</v>
      </c>
    </row>
    <row r="19" spans="1:10" x14ac:dyDescent="0.25">
      <c r="A19" t="s">
        <v>237</v>
      </c>
      <c r="B19" s="18">
        <f>'Petroleum and Biofuel Data'!E42</f>
        <v>155851</v>
      </c>
      <c r="D19" s="18">
        <f>'Petroleum and Biofuel Data'!K42</f>
        <v>112240</v>
      </c>
      <c r="F19" s="3" t="s">
        <v>221</v>
      </c>
    </row>
    <row r="20" spans="1:10" x14ac:dyDescent="0.25">
      <c r="A20" t="s">
        <v>224</v>
      </c>
      <c r="B20" s="18">
        <f>SUM('Petroleum and Biofuel Data'!C9:E11)</f>
        <v>1086564</v>
      </c>
      <c r="D20" s="18">
        <f>SUM('Petroleum and Biofuel Data'!K9:K11)</f>
        <v>628490</v>
      </c>
      <c r="F20" s="3" t="s">
        <v>221</v>
      </c>
    </row>
    <row r="21" spans="1:10" x14ac:dyDescent="0.25">
      <c r="A21" t="s">
        <v>238</v>
      </c>
      <c r="B21" s="18">
        <f>'Uranium, Coal, MSW, Hydrogen'!A18</f>
        <v>262.39999999999998</v>
      </c>
      <c r="D21" s="18">
        <v>0</v>
      </c>
      <c r="F21" s="3" t="s">
        <v>212</v>
      </c>
      <c r="I21" s="194"/>
    </row>
    <row r="22" spans="1:10" x14ac:dyDescent="0.25">
      <c r="A22" t="s">
        <v>239</v>
      </c>
      <c r="B22" s="18">
        <f>'Uranium, Coal, MSW, Hydrogen'!A35</f>
        <v>10</v>
      </c>
      <c r="D22" s="18">
        <v>0</v>
      </c>
      <c r="F22" s="3" t="s">
        <v>265</v>
      </c>
    </row>
    <row r="24" spans="1:10" x14ac:dyDescent="0.25">
      <c r="A24" s="188" t="s">
        <v>541</v>
      </c>
      <c r="B24" s="189"/>
      <c r="C24" s="189"/>
      <c r="D24" s="189"/>
      <c r="E24" s="189"/>
      <c r="F24" s="190"/>
    </row>
    <row r="25" spans="1:10" x14ac:dyDescent="0.25">
      <c r="A25" s="32" t="s">
        <v>213</v>
      </c>
      <c r="B25" s="33" t="s">
        <v>126</v>
      </c>
      <c r="C25" s="33"/>
      <c r="D25" s="33" t="s">
        <v>43</v>
      </c>
      <c r="E25" s="34"/>
      <c r="F25" s="35" t="s">
        <v>113</v>
      </c>
      <c r="H25" s="195" t="s">
        <v>555</v>
      </c>
      <c r="I25" s="6"/>
      <c r="J25" s="6"/>
    </row>
    <row r="26" spans="1:10" x14ac:dyDescent="0.25">
      <c r="A26" s="31" t="s">
        <v>225</v>
      </c>
      <c r="B26" s="29"/>
      <c r="C26" s="29"/>
      <c r="D26" s="29"/>
      <c r="E26" s="29"/>
      <c r="F26" s="30"/>
    </row>
    <row r="27" spans="1:10" x14ac:dyDescent="0.25">
      <c r="A27" t="s">
        <v>226</v>
      </c>
      <c r="B27" s="191">
        <f>B3*$H27</f>
        <v>1.3864106347E+16</v>
      </c>
      <c r="C27" s="191"/>
      <c r="D27" s="191">
        <f>D3*$H27</f>
        <v>1906867516000000</v>
      </c>
      <c r="E27" s="191"/>
      <c r="F27" t="s">
        <v>538</v>
      </c>
      <c r="H27">
        <f>'AEO 2023 Table 71'!$C66*10^12</f>
        <v>19658428000000</v>
      </c>
      <c r="I27" t="s">
        <v>554</v>
      </c>
      <c r="J27" t="s">
        <v>212</v>
      </c>
    </row>
    <row r="28" spans="1:10" x14ac:dyDescent="0.25">
      <c r="A28" t="s">
        <v>216</v>
      </c>
      <c r="B28" s="191">
        <f>B4*$H28</f>
        <v>3.5144691E+16</v>
      </c>
      <c r="C28" s="191"/>
      <c r="D28" s="191">
        <f>D4*$H28</f>
        <v>5307881000000000</v>
      </c>
      <c r="E28" s="191"/>
      <c r="F28" t="s">
        <v>538</v>
      </c>
      <c r="H28">
        <f>10^15</f>
        <v>1000000000000000</v>
      </c>
      <c r="I28" t="s">
        <v>554</v>
      </c>
      <c r="J28" s="3" t="s">
        <v>556</v>
      </c>
    </row>
    <row r="29" spans="1:10" x14ac:dyDescent="0.25">
      <c r="A29" t="s">
        <v>218</v>
      </c>
      <c r="B29" s="191">
        <f>B5*$H29</f>
        <v>540000000000000</v>
      </c>
      <c r="C29" s="191"/>
      <c r="D29" s="191">
        <f>D5*$H29</f>
        <v>0</v>
      </c>
      <c r="E29" s="191"/>
      <c r="F29" t="s">
        <v>538</v>
      </c>
      <c r="H29">
        <f>10^6*1.8*10^8</f>
        <v>180000000000000</v>
      </c>
      <c r="I29" t="s">
        <v>554</v>
      </c>
      <c r="J29" s="3" t="s">
        <v>211</v>
      </c>
    </row>
    <row r="30" spans="1:10" x14ac:dyDescent="0.25">
      <c r="A30" s="7" t="s">
        <v>228</v>
      </c>
      <c r="B30" s="192"/>
      <c r="C30" s="192"/>
      <c r="D30" s="192"/>
      <c r="E30" s="192"/>
      <c r="F30" s="30"/>
    </row>
    <row r="31" spans="1:10" x14ac:dyDescent="0.25">
      <c r="A31" s="7" t="s">
        <v>229</v>
      </c>
      <c r="B31" s="192"/>
      <c r="C31" s="192"/>
      <c r="D31" s="192"/>
      <c r="E31" s="192"/>
      <c r="F31" s="30"/>
    </row>
    <row r="32" spans="1:10" x14ac:dyDescent="0.25">
      <c r="A32" s="7" t="s">
        <v>230</v>
      </c>
      <c r="B32" s="192"/>
      <c r="C32" s="192"/>
      <c r="D32" s="192"/>
      <c r="E32" s="192"/>
      <c r="F32" s="30"/>
    </row>
    <row r="33" spans="1:10" x14ac:dyDescent="0.25">
      <c r="A33" t="s">
        <v>219</v>
      </c>
      <c r="B33" s="191">
        <f>B9*$H33</f>
        <v>166043036334000</v>
      </c>
      <c r="C33" s="191"/>
      <c r="D33" s="191">
        <f>D9*$H33</f>
        <v>124444981024000</v>
      </c>
      <c r="E33" s="191"/>
      <c r="F33" t="s">
        <v>538</v>
      </c>
      <c r="H33" s="70">
        <f>'GREET1 Fuel_Specs'!$D$81</f>
        <v>17906000</v>
      </c>
      <c r="I33" t="s">
        <v>554</v>
      </c>
      <c r="J33" s="3" t="s">
        <v>512</v>
      </c>
    </row>
    <row r="34" spans="1:10" x14ac:dyDescent="0.25">
      <c r="A34" t="s">
        <v>220</v>
      </c>
      <c r="B34" s="191">
        <f>B10*$H34</f>
        <v>1.8360236509349E+16</v>
      </c>
      <c r="C34" s="191"/>
      <c r="D34" s="191">
        <f>D10*$H34</f>
        <v>1381557079413000</v>
      </c>
      <c r="E34" s="191"/>
      <c r="F34" t="s">
        <v>538</v>
      </c>
      <c r="H34">
        <f>'AEO 2023 Table 71'!$C32*10^9</f>
        <v>5051711000</v>
      </c>
      <c r="I34" t="s">
        <v>554</v>
      </c>
      <c r="J34" s="3" t="s">
        <v>221</v>
      </c>
    </row>
    <row r="35" spans="1:10" x14ac:dyDescent="0.25">
      <c r="A35" t="s">
        <v>231</v>
      </c>
      <c r="B35" s="191">
        <f>B11*$H35</f>
        <v>1.0682345175E+16</v>
      </c>
      <c r="C35" s="191"/>
      <c r="D35" s="191">
        <f>D11*$H35</f>
        <v>2936702875000000</v>
      </c>
      <c r="E35" s="191"/>
      <c r="F35" t="s">
        <v>538</v>
      </c>
      <c r="H35">
        <f>'AEO 2023 Table 71'!$C19*10^9</f>
        <v>5825000000</v>
      </c>
      <c r="I35" t="s">
        <v>554</v>
      </c>
      <c r="J35" s="3" t="s">
        <v>221</v>
      </c>
    </row>
    <row r="36" spans="1:10" x14ac:dyDescent="0.25">
      <c r="A36" t="s">
        <v>232</v>
      </c>
      <c r="B36" s="191">
        <f>B12*$H36</f>
        <v>1515620096655000</v>
      </c>
      <c r="C36" s="191"/>
      <c r="D36" s="191">
        <f>D12*$H36</f>
        <v>132183114996000</v>
      </c>
      <c r="E36" s="191"/>
      <c r="F36" t="s">
        <v>538</v>
      </c>
      <c r="H36">
        <f>'AEO 2023 Table 71'!$C29*10^9</f>
        <v>3994413000</v>
      </c>
      <c r="I36" t="s">
        <v>554</v>
      </c>
      <c r="J36" s="3" t="s">
        <v>221</v>
      </c>
    </row>
    <row r="37" spans="1:10" x14ac:dyDescent="0.25">
      <c r="A37" t="s">
        <v>233</v>
      </c>
      <c r="B37" s="191">
        <f>B13*$H37</f>
        <v>203604487000000</v>
      </c>
      <c r="C37" s="191"/>
      <c r="D37" s="191">
        <f>D13*$H37</f>
        <v>11939852000000</v>
      </c>
      <c r="E37" s="191"/>
      <c r="F37" t="s">
        <v>538</v>
      </c>
      <c r="H37">
        <f>'AEO 2023 Table 71'!$C18*10^9</f>
        <v>5359000000</v>
      </c>
      <c r="I37" t="s">
        <v>554</v>
      </c>
      <c r="J37" s="3" t="s">
        <v>221</v>
      </c>
    </row>
    <row r="38" spans="1:10" x14ac:dyDescent="0.25">
      <c r="A38" t="s">
        <v>222</v>
      </c>
      <c r="B38" s="191">
        <f>B14*$H38</f>
        <v>3537592380000000</v>
      </c>
      <c r="C38" s="191"/>
      <c r="D38" s="191">
        <f>D14*$H38</f>
        <v>393656760000000</v>
      </c>
      <c r="E38" s="191"/>
      <c r="F38" t="s">
        <v>538</v>
      </c>
      <c r="H38">
        <f>'AEO 2023 Table 71'!$C30*10^9</f>
        <v>5670000000</v>
      </c>
      <c r="I38" t="s">
        <v>554</v>
      </c>
      <c r="J38" s="3" t="s">
        <v>221</v>
      </c>
    </row>
    <row r="39" spans="1:10" x14ac:dyDescent="0.25">
      <c r="A39" s="7" t="s">
        <v>274</v>
      </c>
      <c r="B39" s="192"/>
      <c r="C39" s="192"/>
      <c r="D39" s="192"/>
      <c r="E39" s="192"/>
      <c r="F39" s="30"/>
    </row>
    <row r="40" spans="1:10" x14ac:dyDescent="0.25">
      <c r="A40" s="7" t="s">
        <v>235</v>
      </c>
      <c r="B40" s="192"/>
      <c r="C40" s="192"/>
      <c r="D40" s="192"/>
      <c r="E40" s="192"/>
      <c r="F40" s="30"/>
    </row>
    <row r="41" spans="1:10" x14ac:dyDescent="0.25">
      <c r="A41" t="s">
        <v>236</v>
      </c>
      <c r="B41" s="191">
        <f>B17*$H41</f>
        <v>906213062527442.13</v>
      </c>
      <c r="C41" s="191"/>
      <c r="D41" s="191">
        <f>D17*$H41</f>
        <v>0</v>
      </c>
      <c r="E41" s="191"/>
      <c r="F41" t="s">
        <v>538</v>
      </c>
      <c r="H41">
        <f>'GREET1 Fuel_Specs'!$D$69*10^6</f>
        <v>12992301971719.6</v>
      </c>
      <c r="I41" t="s">
        <v>554</v>
      </c>
      <c r="J41" t="s">
        <v>212</v>
      </c>
    </row>
    <row r="42" spans="1:10" x14ac:dyDescent="0.25">
      <c r="A42" t="s">
        <v>223</v>
      </c>
      <c r="B42" s="230">
        <f>B18*$H42</f>
        <v>2.3255085897106E+16</v>
      </c>
      <c r="C42" s="191"/>
      <c r="D42" s="191">
        <f>D18*$H42</f>
        <v>6193988558562000</v>
      </c>
      <c r="E42" s="191"/>
      <c r="F42" t="s">
        <v>538</v>
      </c>
      <c r="H42" s="229">
        <f>'AEO 2023 Table 71'!C48*10^9</f>
        <v>5694899000</v>
      </c>
      <c r="I42" t="s">
        <v>554</v>
      </c>
      <c r="J42" s="3" t="s">
        <v>221</v>
      </c>
    </row>
    <row r="43" spans="1:10" x14ac:dyDescent="0.25">
      <c r="A43" t="s">
        <v>237</v>
      </c>
      <c r="B43" s="191">
        <f>B19*$H43</f>
        <v>979835237000000</v>
      </c>
      <c r="C43" s="191"/>
      <c r="D43" s="191">
        <f>D19*$H43</f>
        <v>705652880000000</v>
      </c>
      <c r="E43" s="191"/>
      <c r="F43" t="s">
        <v>538</v>
      </c>
      <c r="H43">
        <f>'AEO 2023 Table 71'!$C41*10^9</f>
        <v>6287000000</v>
      </c>
      <c r="I43" t="s">
        <v>554</v>
      </c>
      <c r="J43" s="3" t="s">
        <v>221</v>
      </c>
    </row>
    <row r="44" spans="1:10" x14ac:dyDescent="0.25">
      <c r="A44" t="s">
        <v>224</v>
      </c>
      <c r="B44" s="191">
        <f>B20*$H44</f>
        <v>4171558240080000</v>
      </c>
      <c r="C44" s="191"/>
      <c r="D44" s="191">
        <f>D20*$H44</f>
        <v>2412911377800000</v>
      </c>
      <c r="E44" s="191"/>
      <c r="F44" t="s">
        <v>538</v>
      </c>
      <c r="H44">
        <f>'GREET1 Fuel_Specs'!$D$36*10^3*42</f>
        <v>3839220000</v>
      </c>
      <c r="I44" t="s">
        <v>554</v>
      </c>
      <c r="J44" s="3" t="s">
        <v>221</v>
      </c>
    </row>
    <row r="45" spans="1:10" x14ac:dyDescent="0.25">
      <c r="A45" t="s">
        <v>238</v>
      </c>
      <c r="B45" s="191">
        <f>B21*$H45</f>
        <v>3564295858911020.5</v>
      </c>
      <c r="C45" s="191"/>
      <c r="D45" s="191">
        <f>D21*$H45</f>
        <v>0</v>
      </c>
      <c r="E45" s="191"/>
      <c r="F45" t="s">
        <v>538</v>
      </c>
      <c r="H45">
        <f>'GREET1 Fuel_Specs'!$D$90*10^6</f>
        <v>13583444584264.561</v>
      </c>
      <c r="I45" t="s">
        <v>554</v>
      </c>
      <c r="J45" t="s">
        <v>212</v>
      </c>
    </row>
    <row r="46" spans="1:10" x14ac:dyDescent="0.25">
      <c r="A46" t="s">
        <v>239</v>
      </c>
      <c r="B46" s="191">
        <f>B22*$H46</f>
        <v>1345098039215686.5</v>
      </c>
      <c r="C46" s="191"/>
      <c r="D46" s="191">
        <f>D22*$H46</f>
        <v>0</v>
      </c>
      <c r="E46" s="191"/>
      <c r="F46" t="s">
        <v>538</v>
      </c>
      <c r="H46">
        <f>'GREET1 Fuel_Specs'!$D$62/'GREET1 Fuel_Specs'!$E$62*10^12</f>
        <v>134509803921568.64</v>
      </c>
      <c r="I46" t="s">
        <v>554</v>
      </c>
      <c r="J46" s="3" t="s">
        <v>265</v>
      </c>
    </row>
    <row r="48" spans="1:10" x14ac:dyDescent="0.25">
      <c r="H48">
        <f>'AEO 2023 Table 71'!C48</f>
        <v>5.6948990000000004</v>
      </c>
    </row>
    <row r="49" spans="8:8" x14ac:dyDescent="0.25">
      <c r="H49" s="228">
        <f>10^9</f>
        <v>1000000000</v>
      </c>
    </row>
    <row r="50" spans="8:8" x14ac:dyDescent="0.25">
      <c r="H50" s="246">
        <f>H48*H49</f>
        <v>5694899000</v>
      </c>
    </row>
    <row r="51" spans="8:8" x14ac:dyDescent="0.25">
      <c r="H51">
        <f>H50/H42</f>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J51"/>
  <sheetViews>
    <sheetView workbookViewId="0">
      <selection activeCell="C1" sqref="C1:C1048576"/>
    </sheetView>
  </sheetViews>
  <sheetFormatPr defaultRowHeight="15" x14ac:dyDescent="0.25"/>
  <cols>
    <col min="1" max="1" width="44.5703125" customWidth="1"/>
    <col min="2" max="4" width="13.5703125" style="18" customWidth="1"/>
    <col min="5" max="5" width="16.28515625" style="18" customWidth="1"/>
    <col min="6" max="6" width="22.42578125" style="3" customWidth="1"/>
    <col min="8" max="8" width="14.140625" customWidth="1"/>
    <col min="9" max="9" width="8.85546875" customWidth="1"/>
    <col min="10" max="10" width="20.28515625" customWidth="1"/>
    <col min="11" max="11" width="14.42578125" customWidth="1"/>
  </cols>
  <sheetData>
    <row r="1" spans="1:7" x14ac:dyDescent="0.25">
      <c r="A1" s="32" t="s">
        <v>213</v>
      </c>
      <c r="B1" s="33" t="s">
        <v>126</v>
      </c>
      <c r="C1" s="33" t="s">
        <v>38</v>
      </c>
      <c r="D1" s="33" t="s">
        <v>43</v>
      </c>
      <c r="E1" s="34" t="s">
        <v>214</v>
      </c>
      <c r="F1" s="35" t="s">
        <v>113</v>
      </c>
      <c r="G1" s="20" t="s">
        <v>215</v>
      </c>
    </row>
    <row r="2" spans="1:7" x14ac:dyDescent="0.25">
      <c r="A2" s="31" t="s">
        <v>225</v>
      </c>
      <c r="B2" s="29"/>
      <c r="C2" s="29"/>
      <c r="D2" s="29"/>
      <c r="E2" s="29"/>
      <c r="F2" s="30"/>
    </row>
    <row r="3" spans="1:7" x14ac:dyDescent="0.25">
      <c r="A3" t="s">
        <v>226</v>
      </c>
      <c r="B3" s="21">
        <f>'Uranium, Coal, MSW, Hydrogen'!B13</f>
        <v>705.25</v>
      </c>
      <c r="C3" s="21">
        <f>'Uranium, Coal, MSW, Hydrogen'!C13</f>
        <v>6</v>
      </c>
      <c r="D3" s="21">
        <f>'Uranium, Coal, MSW, Hydrogen'!D13</f>
        <v>97</v>
      </c>
      <c r="E3" s="23">
        <f>B3+C3-D3</f>
        <v>614.25</v>
      </c>
      <c r="F3" t="s">
        <v>212</v>
      </c>
    </row>
    <row r="4" spans="1:7" x14ac:dyDescent="0.25">
      <c r="A4" t="s">
        <v>216</v>
      </c>
      <c r="B4" s="233">
        <f>'AEO 2022 Table 1'!C18</f>
        <v>35.682777000000002</v>
      </c>
      <c r="C4" s="22">
        <f>'AEO 2022 Table 1'!C30</f>
        <v>2.798295</v>
      </c>
      <c r="D4" s="22">
        <f>'AEO 2022 Table 1'!C36</f>
        <v>6.8096719999999999</v>
      </c>
      <c r="E4" s="23">
        <f t="shared" ref="E4:E5" si="0">B4+C4-D4</f>
        <v>31.671400000000006</v>
      </c>
      <c r="F4" s="3" t="s">
        <v>217</v>
      </c>
    </row>
    <row r="5" spans="1:7" x14ac:dyDescent="0.25">
      <c r="A5" t="s">
        <v>218</v>
      </c>
      <c r="B5" s="22">
        <f>'Uranium, Coal, MSW, Hydrogen'!B3</f>
        <v>3</v>
      </c>
      <c r="C5" s="18">
        <f>'Uranium, Coal, MSW, Hydrogen'!C3</f>
        <v>40</v>
      </c>
      <c r="D5" s="18">
        <f>'Uranium, Coal, MSW, Hydrogen'!D3</f>
        <v>0</v>
      </c>
      <c r="E5" s="18">
        <f t="shared" si="0"/>
        <v>43</v>
      </c>
      <c r="F5" s="3" t="s">
        <v>211</v>
      </c>
    </row>
    <row r="6" spans="1:7" x14ac:dyDescent="0.25">
      <c r="A6" s="7" t="s">
        <v>228</v>
      </c>
      <c r="B6" s="29"/>
      <c r="C6" s="29"/>
      <c r="D6" s="29"/>
      <c r="E6" s="29"/>
      <c r="F6" s="30"/>
    </row>
    <row r="7" spans="1:7" x14ac:dyDescent="0.25">
      <c r="A7" s="7" t="s">
        <v>229</v>
      </c>
      <c r="B7" s="29"/>
      <c r="C7" s="29"/>
      <c r="D7" s="29"/>
      <c r="E7" s="29"/>
      <c r="F7" s="30"/>
    </row>
    <row r="8" spans="1:7" x14ac:dyDescent="0.25">
      <c r="A8" s="7" t="s">
        <v>230</v>
      </c>
      <c r="B8" s="29"/>
      <c r="C8" s="29"/>
      <c r="D8" s="29"/>
      <c r="E8" s="29"/>
      <c r="F8" s="30"/>
    </row>
    <row r="9" spans="1:7" x14ac:dyDescent="0.25">
      <c r="A9" t="s">
        <v>219</v>
      </c>
      <c r="B9" s="18">
        <f>'Biomass Data'!A33</f>
        <v>9273039</v>
      </c>
      <c r="C9" s="23">
        <f>'Biomass Data'!A50</f>
        <v>308394.01948677417</v>
      </c>
      <c r="D9" s="18">
        <f>'Biomass Data'!A36</f>
        <v>6949904</v>
      </c>
      <c r="E9" s="23">
        <f t="shared" ref="E9:E14" si="1">B9+C9-D9</f>
        <v>2631529.0194867738</v>
      </c>
      <c r="F9" s="3" t="s">
        <v>553</v>
      </c>
    </row>
    <row r="10" spans="1:7" x14ac:dyDescent="0.25">
      <c r="A10" t="s">
        <v>220</v>
      </c>
      <c r="B10" s="18">
        <f>SUM('Petroleum and Biofuel Data'!D32:E32)</f>
        <v>3634459</v>
      </c>
      <c r="C10" s="18">
        <f>'Petroleum and Biofuel Data'!F32</f>
        <v>11784</v>
      </c>
      <c r="D10" s="18">
        <f>'Petroleum and Biofuel Data'!K32</f>
        <v>273483</v>
      </c>
      <c r="E10" s="18">
        <f t="shared" si="1"/>
        <v>3372760</v>
      </c>
      <c r="F10" s="3" t="s">
        <v>221</v>
      </c>
    </row>
    <row r="11" spans="1:7" x14ac:dyDescent="0.25">
      <c r="A11" t="s">
        <v>231</v>
      </c>
      <c r="B11" s="18">
        <f>'Petroleum and Biofuel Data'!E38</f>
        <v>1833879</v>
      </c>
      <c r="C11" s="18">
        <f>'Petroleum and Biofuel Data'!F38</f>
        <v>54975</v>
      </c>
      <c r="D11" s="18">
        <f>'Petroleum and Biofuel Data'!K38</f>
        <v>504155</v>
      </c>
      <c r="E11" s="18">
        <f t="shared" si="1"/>
        <v>1384699</v>
      </c>
      <c r="F11" s="3" t="s">
        <v>221</v>
      </c>
    </row>
    <row r="12" spans="1:7" x14ac:dyDescent="0.25">
      <c r="A12" t="s">
        <v>232</v>
      </c>
      <c r="B12" s="18">
        <f>'Petroleum and Biofuel Data'!D23</f>
        <v>379435</v>
      </c>
      <c r="C12" s="18">
        <f>'Petroleum and Biofuel Data'!F23</f>
        <v>1824</v>
      </c>
      <c r="D12" s="18">
        <f>'Petroleum and Biofuel Data'!K23</f>
        <v>33092</v>
      </c>
      <c r="E12" s="18">
        <f t="shared" si="1"/>
        <v>348167</v>
      </c>
      <c r="F12" s="3" t="s">
        <v>221</v>
      </c>
    </row>
    <row r="13" spans="1:7" x14ac:dyDescent="0.25">
      <c r="A13" t="s">
        <v>233</v>
      </c>
      <c r="B13" s="18">
        <f>'Petroleum and Biofuel Data'!D24</f>
        <v>37993</v>
      </c>
      <c r="C13" s="18">
        <f>'Petroleum and Biofuel Data'!F24</f>
        <v>13883</v>
      </c>
      <c r="D13" s="18">
        <f>'Petroleum and Biofuel Data'!K24</f>
        <v>2228</v>
      </c>
      <c r="E13" s="18">
        <f t="shared" si="1"/>
        <v>49648</v>
      </c>
      <c r="F13" s="3" t="s">
        <v>221</v>
      </c>
    </row>
    <row r="14" spans="1:7" x14ac:dyDescent="0.25">
      <c r="A14" t="s">
        <v>222</v>
      </c>
      <c r="B14" s="18">
        <f>SUM('Petroleum and Biofuel Data'!E36:E37)</f>
        <v>623914</v>
      </c>
      <c r="C14" s="18">
        <f>SUM('Petroleum and Biofuel Data'!F36:F37)</f>
        <v>59702</v>
      </c>
      <c r="D14" s="18">
        <f>SUM('Petroleum and Biofuel Data'!K36:K37)</f>
        <v>69428</v>
      </c>
      <c r="E14" s="18">
        <f t="shared" si="1"/>
        <v>614188</v>
      </c>
      <c r="F14" s="3" t="s">
        <v>221</v>
      </c>
    </row>
    <row r="15" spans="1:7" x14ac:dyDescent="0.25">
      <c r="A15" s="7" t="s">
        <v>274</v>
      </c>
      <c r="B15" s="29"/>
      <c r="C15" s="29"/>
      <c r="D15" s="29"/>
      <c r="E15" s="29"/>
      <c r="F15" s="30"/>
    </row>
    <row r="16" spans="1:7" x14ac:dyDescent="0.25">
      <c r="A16" s="7" t="s">
        <v>235</v>
      </c>
      <c r="B16" s="29"/>
      <c r="C16" s="29"/>
      <c r="D16" s="29"/>
      <c r="E16" s="29"/>
      <c r="F16" s="30"/>
    </row>
    <row r="17" spans="1:10" x14ac:dyDescent="0.25">
      <c r="A17" t="s">
        <v>236</v>
      </c>
      <c r="B17" s="23">
        <f>'Uranium, Coal, MSW, Hydrogen'!B14</f>
        <v>69.75</v>
      </c>
      <c r="C17" s="18">
        <f>'Uranium, Coal, MSW, Hydrogen'!C14</f>
        <v>0</v>
      </c>
      <c r="D17" s="18">
        <f>'Uranium, Coal, MSW, Hydrogen'!D14</f>
        <v>0</v>
      </c>
      <c r="E17" s="23">
        <f t="shared" ref="E17:E22" si="2">B17+C17-D17</f>
        <v>69.75</v>
      </c>
      <c r="F17" t="s">
        <v>212</v>
      </c>
    </row>
    <row r="18" spans="1:10" x14ac:dyDescent="0.25">
      <c r="A18" t="s">
        <v>223</v>
      </c>
      <c r="B18" s="189">
        <f>'Petroleum and Biofuel Data'!C5</f>
        <v>4083494</v>
      </c>
      <c r="C18" s="18">
        <f>'Petroleum and Biofuel Data'!F5</f>
        <v>2230000</v>
      </c>
      <c r="D18" s="18">
        <f>'Petroleum and Biofuel Data'!K5</f>
        <v>1087638</v>
      </c>
      <c r="E18" s="18">
        <f t="shared" si="2"/>
        <v>5225856</v>
      </c>
      <c r="F18" s="3" t="s">
        <v>221</v>
      </c>
    </row>
    <row r="19" spans="1:10" x14ac:dyDescent="0.25">
      <c r="A19" t="s">
        <v>237</v>
      </c>
      <c r="B19" s="18">
        <f>'Petroleum and Biofuel Data'!E42</f>
        <v>155851</v>
      </c>
      <c r="C19" s="18">
        <f>'Petroleum and Biofuel Data'!F42</f>
        <v>69015</v>
      </c>
      <c r="D19" s="18">
        <f>'Petroleum and Biofuel Data'!K42</f>
        <v>112240</v>
      </c>
      <c r="E19" s="18">
        <f t="shared" si="2"/>
        <v>112626</v>
      </c>
      <c r="F19" s="3" t="s">
        <v>221</v>
      </c>
    </row>
    <row r="20" spans="1:10" x14ac:dyDescent="0.25">
      <c r="A20" t="s">
        <v>224</v>
      </c>
      <c r="B20" s="18">
        <f>SUM('Petroleum and Biofuel Data'!C9:E11)</f>
        <v>1086564</v>
      </c>
      <c r="C20" s="18">
        <f>SUM('Petroleum and Biofuel Data'!F9:F11)</f>
        <v>57060</v>
      </c>
      <c r="D20" s="18">
        <f>SUM('Petroleum and Biofuel Data'!K9:K11)</f>
        <v>628490</v>
      </c>
      <c r="E20" s="18">
        <f t="shared" si="2"/>
        <v>515134</v>
      </c>
      <c r="F20" s="3" t="s">
        <v>221</v>
      </c>
    </row>
    <row r="21" spans="1:10" x14ac:dyDescent="0.25">
      <c r="A21" t="s">
        <v>238</v>
      </c>
      <c r="B21" s="18">
        <f>'Uranium, Coal, MSW, Hydrogen'!A18</f>
        <v>262.39999999999998</v>
      </c>
      <c r="C21" s="18">
        <v>0</v>
      </c>
      <c r="D21" s="18">
        <v>0</v>
      </c>
      <c r="E21" s="18">
        <f t="shared" si="2"/>
        <v>262.39999999999998</v>
      </c>
      <c r="F21" s="3" t="s">
        <v>212</v>
      </c>
      <c r="I21" s="194"/>
    </row>
    <row r="22" spans="1:10" x14ac:dyDescent="0.25">
      <c r="A22" t="s">
        <v>239</v>
      </c>
      <c r="B22" s="18">
        <f>'Uranium, Coal, MSW, Hydrogen'!A35</f>
        <v>10</v>
      </c>
      <c r="C22" s="18">
        <v>0</v>
      </c>
      <c r="D22" s="18">
        <v>0</v>
      </c>
      <c r="E22" s="18">
        <f t="shared" si="2"/>
        <v>10</v>
      </c>
      <c r="F22" s="3" t="s">
        <v>265</v>
      </c>
    </row>
    <row r="24" spans="1:10" x14ac:dyDescent="0.25">
      <c r="A24" s="188" t="s">
        <v>541</v>
      </c>
      <c r="B24" s="189"/>
      <c r="C24" s="189"/>
      <c r="D24" s="189"/>
      <c r="E24" s="189"/>
      <c r="F24" s="190"/>
    </row>
    <row r="25" spans="1:10" x14ac:dyDescent="0.25">
      <c r="A25" s="32" t="s">
        <v>213</v>
      </c>
      <c r="B25" s="33" t="s">
        <v>126</v>
      </c>
      <c r="C25" s="33" t="s">
        <v>38</v>
      </c>
      <c r="D25" s="33" t="s">
        <v>43</v>
      </c>
      <c r="E25" s="34" t="s">
        <v>214</v>
      </c>
      <c r="F25" s="35" t="s">
        <v>113</v>
      </c>
      <c r="H25" s="195" t="s">
        <v>555</v>
      </c>
      <c r="I25" s="6"/>
      <c r="J25" s="6"/>
    </row>
    <row r="26" spans="1:10" x14ac:dyDescent="0.25">
      <c r="A26" s="31" t="s">
        <v>225</v>
      </c>
      <c r="B26" s="29"/>
      <c r="C26" s="29"/>
      <c r="D26" s="29"/>
      <c r="E26" s="29"/>
      <c r="F26" s="30"/>
    </row>
    <row r="27" spans="1:10" x14ac:dyDescent="0.25">
      <c r="A27" t="s">
        <v>226</v>
      </c>
      <c r="B27" s="191">
        <f>B3*$H27</f>
        <v>1.3864106347E+16</v>
      </c>
      <c r="C27" s="191">
        <f>C3*$H27</f>
        <v>117950568000000</v>
      </c>
      <c r="D27" s="191">
        <f t="shared" ref="D27:E27" si="3">D3*$H27</f>
        <v>1906867516000000</v>
      </c>
      <c r="E27" s="191">
        <f t="shared" si="3"/>
        <v>1.2075189399E+16</v>
      </c>
      <c r="F27" t="s">
        <v>538</v>
      </c>
      <c r="H27">
        <f>'AEO 2023 Table 71'!$C66*10^12</f>
        <v>19658428000000</v>
      </c>
      <c r="I27" t="s">
        <v>554</v>
      </c>
      <c r="J27" t="s">
        <v>212</v>
      </c>
    </row>
    <row r="28" spans="1:10" x14ac:dyDescent="0.25">
      <c r="A28" t="s">
        <v>216</v>
      </c>
      <c r="B28" s="191">
        <f>B4*$H28</f>
        <v>3.5682777E+16</v>
      </c>
      <c r="C28" s="191">
        <f t="shared" ref="B28:E29" si="4">C4*$H28</f>
        <v>2798295000000000</v>
      </c>
      <c r="D28" s="191">
        <f t="shared" si="4"/>
        <v>6809672000000000</v>
      </c>
      <c r="E28" s="191">
        <f t="shared" si="4"/>
        <v>3.1671400000000004E+16</v>
      </c>
      <c r="F28" t="s">
        <v>538</v>
      </c>
      <c r="H28">
        <f>10^15</f>
        <v>1000000000000000</v>
      </c>
      <c r="I28" t="s">
        <v>554</v>
      </c>
      <c r="J28" s="3" t="s">
        <v>556</v>
      </c>
    </row>
    <row r="29" spans="1:10" x14ac:dyDescent="0.25">
      <c r="A29" t="s">
        <v>218</v>
      </c>
      <c r="B29" s="191">
        <f t="shared" si="4"/>
        <v>540000000000000</v>
      </c>
      <c r="C29" s="191">
        <f t="shared" si="4"/>
        <v>7200000000000000</v>
      </c>
      <c r="D29" s="191">
        <f t="shared" si="4"/>
        <v>0</v>
      </c>
      <c r="E29" s="191">
        <f t="shared" si="4"/>
        <v>7740000000000000</v>
      </c>
      <c r="F29" t="s">
        <v>538</v>
      </c>
      <c r="H29">
        <f>10^6*1.8*10^8</f>
        <v>180000000000000</v>
      </c>
      <c r="I29" t="s">
        <v>554</v>
      </c>
      <c r="J29" s="3" t="s">
        <v>211</v>
      </c>
    </row>
    <row r="30" spans="1:10" x14ac:dyDescent="0.25">
      <c r="A30" s="7" t="s">
        <v>228</v>
      </c>
      <c r="B30" s="192"/>
      <c r="C30" s="192"/>
      <c r="D30" s="192"/>
      <c r="E30" s="192"/>
      <c r="F30" s="30"/>
    </row>
    <row r="31" spans="1:10" x14ac:dyDescent="0.25">
      <c r="A31" s="7" t="s">
        <v>229</v>
      </c>
      <c r="B31" s="192"/>
      <c r="C31" s="192"/>
      <c r="D31" s="192"/>
      <c r="E31" s="192"/>
      <c r="F31" s="30"/>
    </row>
    <row r="32" spans="1:10" x14ac:dyDescent="0.25">
      <c r="A32" s="7" t="s">
        <v>230</v>
      </c>
      <c r="B32" s="192"/>
      <c r="C32" s="192"/>
      <c r="D32" s="192"/>
      <c r="E32" s="192"/>
      <c r="F32" s="30"/>
    </row>
    <row r="33" spans="1:10" x14ac:dyDescent="0.25">
      <c r="A33" t="s">
        <v>219</v>
      </c>
      <c r="B33" s="191">
        <f>B9*$H33</f>
        <v>166043036334000</v>
      </c>
      <c r="C33" s="191">
        <f t="shared" ref="C33:E33" si="5">C9*$H33</f>
        <v>5522103312930.1787</v>
      </c>
      <c r="D33" s="191">
        <f t="shared" si="5"/>
        <v>124444981024000</v>
      </c>
      <c r="E33" s="191">
        <f t="shared" si="5"/>
        <v>47120158622930.172</v>
      </c>
      <c r="F33" t="s">
        <v>538</v>
      </c>
      <c r="H33" s="70">
        <f>'GREET1 Fuel_Specs'!$D$81</f>
        <v>17906000</v>
      </c>
      <c r="I33" t="s">
        <v>554</v>
      </c>
      <c r="J33" s="3" t="s">
        <v>512</v>
      </c>
    </row>
    <row r="34" spans="1:10" x14ac:dyDescent="0.25">
      <c r="A34" t="s">
        <v>220</v>
      </c>
      <c r="B34" s="191">
        <f t="shared" ref="B34:E38" si="6">B10*$H34</f>
        <v>1.8360236509349E+16</v>
      </c>
      <c r="C34" s="191">
        <f t="shared" si="6"/>
        <v>59529362424000</v>
      </c>
      <c r="D34" s="191">
        <f t="shared" si="6"/>
        <v>1381557079413000</v>
      </c>
      <c r="E34" s="191">
        <f t="shared" si="6"/>
        <v>1.703820879236E+16</v>
      </c>
      <c r="F34" t="s">
        <v>538</v>
      </c>
      <c r="H34">
        <f>'AEO 2023 Table 71'!$C32*10^9</f>
        <v>5051711000</v>
      </c>
      <c r="I34" t="s">
        <v>554</v>
      </c>
      <c r="J34" s="3" t="s">
        <v>221</v>
      </c>
    </row>
    <row r="35" spans="1:10" x14ac:dyDescent="0.25">
      <c r="A35" t="s">
        <v>231</v>
      </c>
      <c r="B35" s="191">
        <f t="shared" si="6"/>
        <v>1.0682345175E+16</v>
      </c>
      <c r="C35" s="191">
        <f t="shared" si="6"/>
        <v>320229375000000</v>
      </c>
      <c r="D35" s="191">
        <f t="shared" si="6"/>
        <v>2936702875000000</v>
      </c>
      <c r="E35" s="191">
        <f t="shared" si="6"/>
        <v>8065871675000000</v>
      </c>
      <c r="F35" t="s">
        <v>538</v>
      </c>
      <c r="H35">
        <f>'AEO 2023 Table 71'!$C19*10^9</f>
        <v>5825000000</v>
      </c>
      <c r="I35" t="s">
        <v>554</v>
      </c>
      <c r="J35" s="3" t="s">
        <v>221</v>
      </c>
    </row>
    <row r="36" spans="1:10" x14ac:dyDescent="0.25">
      <c r="A36" t="s">
        <v>232</v>
      </c>
      <c r="B36" s="191">
        <f t="shared" si="6"/>
        <v>1515620096655000</v>
      </c>
      <c r="C36" s="191">
        <f t="shared" si="6"/>
        <v>7285809312000</v>
      </c>
      <c r="D36" s="191">
        <f t="shared" si="6"/>
        <v>132183114996000</v>
      </c>
      <c r="E36" s="191">
        <f t="shared" si="6"/>
        <v>1390722790971000</v>
      </c>
      <c r="F36" t="s">
        <v>538</v>
      </c>
      <c r="H36">
        <f>'AEO 2023 Table 71'!$C29*10^9</f>
        <v>3994413000</v>
      </c>
      <c r="I36" t="s">
        <v>554</v>
      </c>
      <c r="J36" s="3" t="s">
        <v>221</v>
      </c>
    </row>
    <row r="37" spans="1:10" x14ac:dyDescent="0.25">
      <c r="A37" t="s">
        <v>233</v>
      </c>
      <c r="B37" s="191">
        <f t="shared" si="6"/>
        <v>203604487000000</v>
      </c>
      <c r="C37" s="191">
        <f t="shared" si="6"/>
        <v>74398997000000</v>
      </c>
      <c r="D37" s="191">
        <f t="shared" si="6"/>
        <v>11939852000000</v>
      </c>
      <c r="E37" s="191">
        <f t="shared" si="6"/>
        <v>266063632000000</v>
      </c>
      <c r="F37" t="s">
        <v>538</v>
      </c>
      <c r="H37">
        <f>'AEO 2023 Table 71'!$C18*10^9</f>
        <v>5359000000</v>
      </c>
      <c r="I37" t="s">
        <v>554</v>
      </c>
      <c r="J37" s="3" t="s">
        <v>221</v>
      </c>
    </row>
    <row r="38" spans="1:10" x14ac:dyDescent="0.25">
      <c r="A38" t="s">
        <v>222</v>
      </c>
      <c r="B38" s="191">
        <f t="shared" si="6"/>
        <v>3537592380000000</v>
      </c>
      <c r="C38" s="191">
        <f t="shared" si="6"/>
        <v>338510340000000</v>
      </c>
      <c r="D38" s="191">
        <f t="shared" si="6"/>
        <v>393656760000000</v>
      </c>
      <c r="E38" s="191">
        <f t="shared" si="6"/>
        <v>3482445960000000</v>
      </c>
      <c r="F38" t="s">
        <v>538</v>
      </c>
      <c r="H38">
        <f>'AEO 2023 Table 71'!$C30*10^9</f>
        <v>5670000000</v>
      </c>
      <c r="I38" t="s">
        <v>554</v>
      </c>
      <c r="J38" s="3" t="s">
        <v>221</v>
      </c>
    </row>
    <row r="39" spans="1:10" x14ac:dyDescent="0.25">
      <c r="A39" s="7" t="s">
        <v>274</v>
      </c>
      <c r="B39" s="192"/>
      <c r="C39" s="192"/>
      <c r="D39" s="192"/>
      <c r="E39" s="192"/>
      <c r="F39" s="30"/>
    </row>
    <row r="40" spans="1:10" x14ac:dyDescent="0.25">
      <c r="A40" s="7" t="s">
        <v>235</v>
      </c>
      <c r="B40" s="192"/>
      <c r="C40" s="192"/>
      <c r="D40" s="192"/>
      <c r="E40" s="192"/>
      <c r="F40" s="30"/>
    </row>
    <row r="41" spans="1:10" x14ac:dyDescent="0.25">
      <c r="A41" t="s">
        <v>236</v>
      </c>
      <c r="B41" s="191">
        <f t="shared" ref="B41:E42" si="7">B17*$H41</f>
        <v>906213062527442.13</v>
      </c>
      <c r="C41" s="191">
        <f t="shared" si="7"/>
        <v>0</v>
      </c>
      <c r="D41" s="191">
        <f t="shared" si="7"/>
        <v>0</v>
      </c>
      <c r="E41" s="191">
        <f t="shared" si="7"/>
        <v>906213062527442.13</v>
      </c>
      <c r="F41" t="s">
        <v>538</v>
      </c>
      <c r="H41">
        <f>'GREET1 Fuel_Specs'!$D$69*10^6</f>
        <v>12992301971719.6</v>
      </c>
      <c r="I41" t="s">
        <v>554</v>
      </c>
      <c r="J41" t="s">
        <v>212</v>
      </c>
    </row>
    <row r="42" spans="1:10" x14ac:dyDescent="0.25">
      <c r="A42" t="s">
        <v>223</v>
      </c>
      <c r="B42" s="230">
        <f>B18*$H42</f>
        <v>2.3255085897106E+16</v>
      </c>
      <c r="C42" s="191">
        <f t="shared" si="7"/>
        <v>1.269962477E+16</v>
      </c>
      <c r="D42" s="191">
        <f t="shared" si="7"/>
        <v>6193988558562000</v>
      </c>
      <c r="E42" s="191">
        <f t="shared" si="7"/>
        <v>2.9760722108544E+16</v>
      </c>
      <c r="F42" t="s">
        <v>538</v>
      </c>
      <c r="H42" s="229">
        <f>'AEO 2023 Table 71'!C48*10^9</f>
        <v>5694899000</v>
      </c>
      <c r="I42" t="s">
        <v>554</v>
      </c>
      <c r="J42" s="3" t="s">
        <v>221</v>
      </c>
    </row>
    <row r="43" spans="1:10" x14ac:dyDescent="0.25">
      <c r="A43" t="s">
        <v>237</v>
      </c>
      <c r="B43" s="191">
        <f t="shared" ref="B43:E43" si="8">B19*$H43</f>
        <v>979835237000000</v>
      </c>
      <c r="C43" s="191">
        <f t="shared" si="8"/>
        <v>433897305000000</v>
      </c>
      <c r="D43" s="191">
        <f t="shared" si="8"/>
        <v>705652880000000</v>
      </c>
      <c r="E43" s="191">
        <f t="shared" si="8"/>
        <v>708079662000000</v>
      </c>
      <c r="F43" t="s">
        <v>538</v>
      </c>
      <c r="H43">
        <f>'AEO 2023 Table 71'!$C41*10^9</f>
        <v>6287000000</v>
      </c>
      <c r="I43" t="s">
        <v>554</v>
      </c>
      <c r="J43" s="3" t="s">
        <v>221</v>
      </c>
    </row>
    <row r="44" spans="1:10" x14ac:dyDescent="0.25">
      <c r="A44" t="s">
        <v>224</v>
      </c>
      <c r="B44" s="191">
        <f t="shared" ref="B44:E44" si="9">B20*$H44</f>
        <v>4171558240080000</v>
      </c>
      <c r="C44" s="191">
        <f t="shared" si="9"/>
        <v>219065893200000</v>
      </c>
      <c r="D44" s="191">
        <f t="shared" si="9"/>
        <v>2412911377800000</v>
      </c>
      <c r="E44" s="191">
        <f t="shared" si="9"/>
        <v>1977712755480000</v>
      </c>
      <c r="F44" t="s">
        <v>538</v>
      </c>
      <c r="H44">
        <f>'GREET1 Fuel_Specs'!$D$36*10^3*42</f>
        <v>3839220000</v>
      </c>
      <c r="I44" t="s">
        <v>554</v>
      </c>
      <c r="J44" s="3" t="s">
        <v>221</v>
      </c>
    </row>
    <row r="45" spans="1:10" x14ac:dyDescent="0.25">
      <c r="A45" t="s">
        <v>238</v>
      </c>
      <c r="B45" s="191">
        <f t="shared" ref="B45:E45" si="10">B21*$H45</f>
        <v>3564295858911020.5</v>
      </c>
      <c r="C45" s="191">
        <f t="shared" si="10"/>
        <v>0</v>
      </c>
      <c r="D45" s="191">
        <f t="shared" si="10"/>
        <v>0</v>
      </c>
      <c r="E45" s="191">
        <f t="shared" si="10"/>
        <v>3564295858911020.5</v>
      </c>
      <c r="F45" t="s">
        <v>538</v>
      </c>
      <c r="H45">
        <f>'GREET1 Fuel_Specs'!$D$90*10^6</f>
        <v>13583444584264.561</v>
      </c>
      <c r="I45" t="s">
        <v>554</v>
      </c>
      <c r="J45" t="s">
        <v>212</v>
      </c>
    </row>
    <row r="46" spans="1:10" x14ac:dyDescent="0.25">
      <c r="A46" t="s">
        <v>239</v>
      </c>
      <c r="B46" s="191">
        <f t="shared" ref="B46:E46" si="11">B22*$H46</f>
        <v>1345098039215686.5</v>
      </c>
      <c r="C46" s="191">
        <f t="shared" si="11"/>
        <v>0</v>
      </c>
      <c r="D46" s="191">
        <f t="shared" si="11"/>
        <v>0</v>
      </c>
      <c r="E46" s="191">
        <f t="shared" si="11"/>
        <v>1345098039215686.5</v>
      </c>
      <c r="F46" t="s">
        <v>538</v>
      </c>
      <c r="H46">
        <f>'GREET1 Fuel_Specs'!$D$62/'GREET1 Fuel_Specs'!$E$62*10^12</f>
        <v>134509803921568.64</v>
      </c>
      <c r="I46" t="s">
        <v>554</v>
      </c>
      <c r="J46" s="3" t="s">
        <v>265</v>
      </c>
    </row>
    <row r="48" spans="1:10" x14ac:dyDescent="0.25">
      <c r="H48">
        <f>'AEO 2023 Table 71'!C48</f>
        <v>5.6948990000000004</v>
      </c>
    </row>
    <row r="49" spans="8:8" x14ac:dyDescent="0.25">
      <c r="H49" s="228">
        <f>10^9</f>
        <v>1000000000</v>
      </c>
    </row>
    <row r="50" spans="8:8" x14ac:dyDescent="0.25">
      <c r="H50" s="246">
        <f>H48*H49</f>
        <v>5694899000</v>
      </c>
    </row>
    <row r="51" spans="8:8" x14ac:dyDescent="0.25">
      <c r="H51">
        <f>H50/H42</f>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AG73"/>
  <sheetViews>
    <sheetView workbookViewId="0">
      <selection activeCell="D4" sqref="D4"/>
    </sheetView>
  </sheetViews>
  <sheetFormatPr defaultRowHeight="15" x14ac:dyDescent="0.25"/>
  <cols>
    <col min="1" max="1" width="38.85546875" customWidth="1"/>
  </cols>
  <sheetData>
    <row r="1" spans="1:33" x14ac:dyDescent="0.25">
      <c r="A1" s="196" t="s">
        <v>572</v>
      </c>
      <c r="B1" s="197"/>
      <c r="C1" s="197"/>
      <c r="D1" s="197"/>
      <c r="E1" s="197"/>
      <c r="F1" s="197"/>
      <c r="G1" s="197"/>
      <c r="H1" s="197"/>
      <c r="I1" s="197"/>
      <c r="J1" s="197"/>
      <c r="K1" s="197"/>
      <c r="L1" s="197"/>
      <c r="M1" s="197"/>
      <c r="N1" s="197"/>
      <c r="O1" s="197"/>
      <c r="P1" s="197"/>
      <c r="Q1" s="197"/>
      <c r="R1" s="197"/>
      <c r="S1" s="197"/>
      <c r="T1" s="197"/>
      <c r="U1" s="197"/>
      <c r="V1" s="197"/>
      <c r="W1" s="197"/>
      <c r="X1" s="197"/>
      <c r="Y1" s="197"/>
      <c r="Z1" s="197"/>
      <c r="AA1" s="197"/>
      <c r="AB1" s="197"/>
      <c r="AC1" s="197"/>
      <c r="AD1" s="197"/>
      <c r="AE1" s="197"/>
      <c r="AF1" s="197"/>
      <c r="AG1" s="197"/>
    </row>
    <row r="2" spans="1:33" s="1" customFormat="1" x14ac:dyDescent="0.25">
      <c r="B2" s="1">
        <v>2021</v>
      </c>
      <c r="C2" s="1">
        <v>2022</v>
      </c>
      <c r="D2" s="1">
        <v>2023</v>
      </c>
      <c r="E2" s="1">
        <v>2024</v>
      </c>
      <c r="F2" s="1">
        <v>2025</v>
      </c>
      <c r="G2" s="1">
        <v>2026</v>
      </c>
      <c r="H2" s="1">
        <v>2027</v>
      </c>
      <c r="I2" s="1">
        <v>2028</v>
      </c>
      <c r="J2" s="1">
        <v>2029</v>
      </c>
      <c r="K2" s="1">
        <v>2030</v>
      </c>
      <c r="L2" s="1">
        <v>2031</v>
      </c>
      <c r="M2" s="1">
        <v>2032</v>
      </c>
      <c r="N2" s="1">
        <v>2033</v>
      </c>
      <c r="O2" s="1">
        <v>2034</v>
      </c>
      <c r="P2" s="1">
        <v>2035</v>
      </c>
      <c r="Q2" s="1">
        <v>2036</v>
      </c>
      <c r="R2" s="1">
        <v>2037</v>
      </c>
      <c r="S2" s="1">
        <v>2038</v>
      </c>
      <c r="T2" s="1">
        <v>2039</v>
      </c>
      <c r="U2" s="1">
        <v>2040</v>
      </c>
      <c r="V2" s="1">
        <v>2041</v>
      </c>
      <c r="W2" s="1">
        <v>2042</v>
      </c>
      <c r="X2" s="1">
        <v>2043</v>
      </c>
      <c r="Y2" s="1">
        <v>2044</v>
      </c>
      <c r="Z2" s="1">
        <v>2045</v>
      </c>
      <c r="AA2" s="1">
        <v>2046</v>
      </c>
      <c r="AB2" s="1">
        <v>2047</v>
      </c>
      <c r="AC2" s="1">
        <v>2048</v>
      </c>
      <c r="AD2" s="1">
        <v>2049</v>
      </c>
      <c r="AE2" s="1">
        <v>2050</v>
      </c>
    </row>
    <row r="3" spans="1:33" x14ac:dyDescent="0.25">
      <c r="A3" s="31" t="s">
        <v>225</v>
      </c>
      <c r="B3" s="7">
        <v>0</v>
      </c>
      <c r="C3" s="7">
        <v>0</v>
      </c>
      <c r="D3" s="7">
        <v>0</v>
      </c>
      <c r="E3" s="7">
        <v>0</v>
      </c>
      <c r="F3" s="7">
        <v>0</v>
      </c>
      <c r="G3" s="7">
        <v>0</v>
      </c>
      <c r="H3" s="7">
        <v>0</v>
      </c>
      <c r="I3" s="7">
        <v>0</v>
      </c>
      <c r="J3" s="7">
        <v>0</v>
      </c>
      <c r="K3" s="7">
        <v>0</v>
      </c>
      <c r="L3" s="7">
        <v>0</v>
      </c>
      <c r="M3" s="7">
        <v>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c r="AG3" s="7"/>
    </row>
    <row r="4" spans="1:33" x14ac:dyDescent="0.25">
      <c r="A4" t="s">
        <v>226</v>
      </c>
      <c r="B4">
        <f>'AEO 2022 Table 1'!C$19/'AEO 2022 Table 1'!$C$19</f>
        <v>1</v>
      </c>
      <c r="C4">
        <f>'AEO 2023 Table 1'!C$19/'AEO 2022 Table 1'!$C$19</f>
        <v>0.90065567719059569</v>
      </c>
      <c r="D4">
        <f>'AEO 2023 Table 1'!D$19/'AEO 2022 Table 1'!$C$19</f>
        <v>0.84583450025660856</v>
      </c>
      <c r="E4">
        <f>'AEO 2023 Table 1'!E$19/'AEO 2022 Table 1'!$C$19</f>
        <v>0.92185464330039357</v>
      </c>
      <c r="F4">
        <f>'AEO 2023 Table 1'!F$19/'AEO 2022 Table 1'!$C$19</f>
        <v>0.8657017605377183</v>
      </c>
      <c r="G4">
        <f>'AEO 2023 Table 1'!G$19/'AEO 2022 Table 1'!$C$19</f>
        <v>0.79226504429571998</v>
      </c>
      <c r="H4">
        <f>'AEO 2023 Table 1'!H$19/'AEO 2022 Table 1'!$C$19</f>
        <v>0.71073641223843154</v>
      </c>
      <c r="I4">
        <f>'AEO 2023 Table 1'!I$19/'AEO 2022 Table 1'!$C$19</f>
        <v>0.63830672595477234</v>
      </c>
      <c r="J4">
        <f>'AEO 2023 Table 1'!J$19/'AEO 2022 Table 1'!$C$19</f>
        <v>0.57020607674054147</v>
      </c>
      <c r="K4">
        <f>'AEO 2023 Table 1'!K$19/'AEO 2022 Table 1'!$C$19</f>
        <v>0.54200732804898522</v>
      </c>
      <c r="L4">
        <f>'AEO 2023 Table 1'!L$19/'AEO 2022 Table 1'!$C$19</f>
        <v>0.53960098328660289</v>
      </c>
      <c r="M4">
        <f>'AEO 2023 Table 1'!M$19/'AEO 2022 Table 1'!$C$19</f>
        <v>0.54342421354718851</v>
      </c>
      <c r="N4">
        <f>'AEO 2023 Table 1'!N$19/'AEO 2022 Table 1'!$C$19</f>
        <v>0.54104506516359308</v>
      </c>
      <c r="O4">
        <f>'AEO 2023 Table 1'!O$19/'AEO 2022 Table 1'!$C$19</f>
        <v>0.53605666869722768</v>
      </c>
      <c r="P4">
        <f>'AEO 2023 Table 1'!P$19/'AEO 2022 Table 1'!$C$19</f>
        <v>0.54001504051420102</v>
      </c>
      <c r="Q4">
        <f>'AEO 2023 Table 1'!Q$19/'AEO 2022 Table 1'!$C$19</f>
        <v>0.53368561811181048</v>
      </c>
      <c r="R4">
        <f>'AEO 2023 Table 1'!R$19/'AEO 2022 Table 1'!$C$19</f>
        <v>0.51963173658504236</v>
      </c>
      <c r="S4">
        <f>'AEO 2023 Table 1'!S$19/'AEO 2022 Table 1'!$C$19</f>
        <v>0.51123172246737159</v>
      </c>
      <c r="T4">
        <f>'AEO 2023 Table 1'!T$19/'AEO 2022 Table 1'!$C$19</f>
        <v>0.4990927410267611</v>
      </c>
      <c r="U4">
        <f>'AEO 2023 Table 1'!U$19/'AEO 2022 Table 1'!$C$19</f>
        <v>0.49180823680528718</v>
      </c>
      <c r="V4">
        <f>'AEO 2023 Table 1'!V$19/'AEO 2022 Table 1'!$C$19</f>
        <v>0.49218104109877037</v>
      </c>
      <c r="W4">
        <f>'AEO 2023 Table 1'!W$19/'AEO 2022 Table 1'!$C$19</f>
        <v>0.49305827710329231</v>
      </c>
      <c r="X4">
        <f>'AEO 2023 Table 1'!X$19/'AEO 2022 Table 1'!$C$19</f>
        <v>0.48617117614712568</v>
      </c>
      <c r="Y4">
        <f>'AEO 2023 Table 1'!Y$19/'AEO 2022 Table 1'!$C$19</f>
        <v>0.47842188886795683</v>
      </c>
      <c r="Z4">
        <f>'AEO 2023 Table 1'!Z$19/'AEO 2022 Table 1'!$C$19</f>
        <v>0.47278574494166448</v>
      </c>
      <c r="AA4">
        <f>'AEO 2023 Table 1'!AA$19/'AEO 2022 Table 1'!$C$19</f>
        <v>0.46752339843504698</v>
      </c>
      <c r="AB4">
        <f>'AEO 2023 Table 1'!AB$19/'AEO 2022 Table 1'!$C$19</f>
        <v>0.46505907038193645</v>
      </c>
      <c r="AC4">
        <f>'AEO 2023 Table 1'!AC$19/'AEO 2022 Table 1'!$C$19</f>
        <v>0.46370459904516265</v>
      </c>
      <c r="AD4">
        <f>'AEO 2023 Table 1'!AD$19/'AEO 2022 Table 1'!$C$19</f>
        <v>0.46081399067286438</v>
      </c>
      <c r="AE4">
        <f>'AEO 2023 Table 1'!AE$19/'AEO 2022 Table 1'!$C$19</f>
        <v>0.45420977789267486</v>
      </c>
    </row>
    <row r="5" spans="1:33" x14ac:dyDescent="0.25">
      <c r="A5" t="s">
        <v>216</v>
      </c>
      <c r="B5" s="227">
        <f>'AEO 2022 Table 1'!C$18/'AEO 2022 Table 1'!$C$18</f>
        <v>1</v>
      </c>
      <c r="C5" s="227">
        <f>'AEO 2023 Table 1'!C$18/'AEO 2022 Table 1'!$C$18</f>
        <v>1.0597346165070054</v>
      </c>
      <c r="D5" s="227">
        <f>'AEO 2023 Table 1'!D$18/'AEO 2022 Table 1'!$C$18</f>
        <v>1.0603385212983842</v>
      </c>
      <c r="E5" s="227">
        <f>'AEO 2023 Table 1'!E$18/'AEO 2022 Table 1'!$C$18</f>
        <v>1.0336358069889011</v>
      </c>
      <c r="F5" s="227">
        <f>'AEO 2023 Table 1'!F$18/'AEO 2022 Table 1'!$C$18</f>
        <v>1.0382408857920447</v>
      </c>
      <c r="G5" s="227">
        <f>'AEO 2023 Table 1'!G$18/'AEO 2022 Table 1'!$C$18</f>
        <v>1.0515507523419489</v>
      </c>
      <c r="H5" s="227">
        <f>'AEO 2023 Table 1'!H$18/'AEO 2022 Table 1'!$C$18</f>
        <v>1.0501757192272339</v>
      </c>
      <c r="I5" s="227">
        <f>'AEO 2023 Table 1'!I$18/'AEO 2022 Table 1'!$C$18</f>
        <v>1.0589427498874315</v>
      </c>
      <c r="J5" s="227">
        <f>'AEO 2023 Table 1'!J$18/'AEO 2022 Table 1'!$C$18</f>
        <v>1.0659718272487593</v>
      </c>
      <c r="K5" s="227">
        <f>'AEO 2023 Table 1'!K$18/'AEO 2022 Table 1'!$C$18</f>
        <v>1.076319116082249</v>
      </c>
      <c r="L5" s="227">
        <f>'AEO 2023 Table 1'!L$18/'AEO 2022 Table 1'!$C$18</f>
        <v>1.0888493347925245</v>
      </c>
      <c r="M5" s="227">
        <f>'AEO 2023 Table 1'!M$18/'AEO 2022 Table 1'!$C$18</f>
        <v>1.1035605496735861</v>
      </c>
      <c r="N5" s="227">
        <f>'AEO 2023 Table 1'!N$18/'AEO 2022 Table 1'!$C$18</f>
        <v>1.1203562155490308</v>
      </c>
      <c r="O5" s="227">
        <f>'AEO 2023 Table 1'!O$18/'AEO 2022 Table 1'!$C$18</f>
        <v>1.1347381399155116</v>
      </c>
      <c r="P5" s="227">
        <f>'AEO 2023 Table 1'!P$18/'AEO 2022 Table 1'!$C$18</f>
        <v>1.1478589236482351</v>
      </c>
      <c r="Q5" s="227">
        <f>'AEO 2023 Table 1'!Q$18/'AEO 2022 Table 1'!$C$18</f>
        <v>1.1583201890368566</v>
      </c>
      <c r="R5" s="227">
        <f>'AEO 2023 Table 1'!R$18/'AEO 2022 Table 1'!$C$18</f>
        <v>1.1688392974571455</v>
      </c>
      <c r="S5" s="227">
        <f>'AEO 2023 Table 1'!S$18/'AEO 2022 Table 1'!$C$18</f>
        <v>1.1767362164665602</v>
      </c>
      <c r="T5" s="227">
        <f>'AEO 2023 Table 1'!T$18/'AEO 2022 Table 1'!$C$18</f>
        <v>1.1837812118714863</v>
      </c>
      <c r="U5" s="227">
        <f>'AEO 2023 Table 1'!U$18/'AEO 2022 Table 1'!$C$18</f>
        <v>1.1877749873559449</v>
      </c>
      <c r="V5" s="227">
        <f>'AEO 2023 Table 1'!V$18/'AEO 2022 Table 1'!$C$18</f>
        <v>1.1912315849184048</v>
      </c>
      <c r="W5" s="227">
        <f>'AEO 2023 Table 1'!W$18/'AEO 2022 Table 1'!$C$18</f>
        <v>1.1963182686145757</v>
      </c>
      <c r="X5" s="227">
        <f>'AEO 2023 Table 1'!X$18/'AEO 2022 Table 1'!$C$18</f>
        <v>1.1995829528626654</v>
      </c>
      <c r="Y5" s="227">
        <f>'AEO 2023 Table 1'!Y$18/'AEO 2022 Table 1'!$C$18</f>
        <v>1.2018293587407727</v>
      </c>
      <c r="Z5" s="227">
        <f>'AEO 2023 Table 1'!Z$18/'AEO 2022 Table 1'!$C$18</f>
        <v>1.206225961617281</v>
      </c>
      <c r="AA5" s="227">
        <f>'AEO 2023 Table 1'!AA$18/'AEO 2022 Table 1'!$C$18</f>
        <v>1.2014269797443176</v>
      </c>
      <c r="AB5" s="227">
        <f>'AEO 2023 Table 1'!AB$18/'AEO 2022 Table 1'!$C$18</f>
        <v>1.2073655870449769</v>
      </c>
      <c r="AC5" s="227">
        <f>'AEO 2023 Table 1'!AC$18/'AEO 2022 Table 1'!$C$18</f>
        <v>1.2093491210059126</v>
      </c>
      <c r="AD5" s="227">
        <f>'AEO 2023 Table 1'!AD$18/'AEO 2022 Table 1'!$C$18</f>
        <v>1.21166544857201</v>
      </c>
      <c r="AE5" s="227">
        <f>'AEO 2023 Table 1'!AE$18/'AEO 2022 Table 1'!$C$18</f>
        <v>1.2224888214277718</v>
      </c>
    </row>
    <row r="6" spans="1:33" x14ac:dyDescent="0.25">
      <c r="A6" t="s">
        <v>218</v>
      </c>
      <c r="B6">
        <f>'AEO 2022 Table 1'!C$20/'AEO 2022 Table 1'!$C$20</f>
        <v>1</v>
      </c>
      <c r="C6">
        <f>'AEO 2023 Table 1'!C$20/'AEO 2022 Table 1'!$C$20</f>
        <v>0.99304334977189201</v>
      </c>
      <c r="D6">
        <f>'AEO 2023 Table 1'!D$20/'AEO 2022 Table 1'!$C$20</f>
        <v>1.0081344390880602</v>
      </c>
      <c r="E6">
        <f>'AEO 2023 Table 1'!E$20/'AEO 2022 Table 1'!$C$20</f>
        <v>1.0154508905758421</v>
      </c>
      <c r="F6">
        <f>'AEO 2023 Table 1'!F$20/'AEO 2022 Table 1'!$C$20</f>
        <v>1.0062572418930815</v>
      </c>
      <c r="G6">
        <f>'AEO 2023 Table 1'!G$20/'AEO 2022 Table 1'!$C$20</f>
        <v>0.99651613379878468</v>
      </c>
      <c r="H6">
        <f>'AEO 2023 Table 1'!H$20/'AEO 2022 Table 1'!$C$20</f>
        <v>0.99649914113149007</v>
      </c>
      <c r="I6">
        <f>'AEO 2023 Table 1'!I$20/'AEO 2022 Table 1'!$C$20</f>
        <v>0.98477050664006938</v>
      </c>
      <c r="J6">
        <f>'AEO 2023 Table 1'!J$20/'AEO 2022 Table 1'!$C$20</f>
        <v>0.98475462219020704</v>
      </c>
      <c r="K6">
        <f>'AEO 2023 Table 1'!K$20/'AEO 2022 Table 1'!$C$20</f>
        <v>0.97507668248954893</v>
      </c>
      <c r="L6">
        <f>'AEO 2023 Table 1'!L$20/'AEO 2022 Table 1'!$C$20</f>
        <v>0.9750832086588721</v>
      </c>
      <c r="M6">
        <f>'AEO 2023 Table 1'!M$20/'AEO 2022 Table 1'!$C$20</f>
        <v>0.97509404456265436</v>
      </c>
      <c r="N6">
        <f>'AEO 2023 Table 1'!N$20/'AEO 2022 Table 1'!$C$20</f>
        <v>0.9201664788853795</v>
      </c>
      <c r="O6">
        <f>'AEO 2023 Table 1'!O$20/'AEO 2022 Table 1'!$C$20</f>
        <v>0.91159724915806262</v>
      </c>
      <c r="P6">
        <f>'AEO 2023 Table 1'!P$20/'AEO 2022 Table 1'!$C$20</f>
        <v>0.90060311655368996</v>
      </c>
      <c r="Q6">
        <f>'AEO 2023 Table 1'!Q$20/'AEO 2022 Table 1'!$C$20</f>
        <v>0.8799021074601503</v>
      </c>
      <c r="R6">
        <f>'AEO 2023 Table 1'!R$20/'AEO 2022 Table 1'!$C$20</f>
        <v>0.86584239916760553</v>
      </c>
      <c r="S6">
        <f>'AEO 2023 Table 1'!S$20/'AEO 2022 Table 1'!$C$20</f>
        <v>0.84190022349051552</v>
      </c>
      <c r="T6">
        <f>'AEO 2023 Table 1'!T$20/'AEO 2022 Table 1'!$C$20</f>
        <v>0.82922344741816123</v>
      </c>
      <c r="U6">
        <f>'AEO 2023 Table 1'!U$20/'AEO 2022 Table 1'!$C$20</f>
        <v>0.80452165025889188</v>
      </c>
      <c r="V6">
        <f>'AEO 2023 Table 1'!V$20/'AEO 2022 Table 1'!$C$20</f>
        <v>0.80473923028142569</v>
      </c>
      <c r="W6">
        <f>'AEO 2023 Table 1'!W$20/'AEO 2022 Table 1'!$C$20</f>
        <v>0.80512353545987936</v>
      </c>
      <c r="X6">
        <f>'AEO 2023 Table 1'!X$20/'AEO 2022 Table 1'!$C$20</f>
        <v>0.80545267603726078</v>
      </c>
      <c r="Y6">
        <f>'AEO 2023 Table 1'!Y$20/'AEO 2022 Table 1'!$C$20</f>
        <v>0.80581764897828501</v>
      </c>
      <c r="Z6">
        <f>'AEO 2023 Table 1'!Z$20/'AEO 2022 Table 1'!$C$20</f>
        <v>0.8058208504953116</v>
      </c>
      <c r="AA6">
        <f>'AEO 2023 Table 1'!AA$20/'AEO 2022 Table 1'!$C$20</f>
        <v>0.80550944139684644</v>
      </c>
      <c r="AB6">
        <f>'AEO 2023 Table 1'!AB$20/'AEO 2022 Table 1'!$C$20</f>
        <v>0.8052589842571557</v>
      </c>
      <c r="AC6">
        <f>'AEO 2023 Table 1'!AC$20/'AEO 2022 Table 1'!$C$20</f>
        <v>0.80415162877178725</v>
      </c>
      <c r="AD6">
        <f>'AEO 2023 Table 1'!AD$20/'AEO 2022 Table 1'!$C$20</f>
        <v>0.80430370083054736</v>
      </c>
      <c r="AE6">
        <f>'AEO 2023 Table 1'!AE$20/'AEO 2022 Table 1'!$C$20</f>
        <v>0.80379096556522167</v>
      </c>
    </row>
    <row r="7" spans="1:33" x14ac:dyDescent="0.25">
      <c r="A7" s="7" t="s">
        <v>228</v>
      </c>
      <c r="B7" s="7">
        <v>0</v>
      </c>
      <c r="C7" s="7">
        <v>0</v>
      </c>
      <c r="D7" s="7">
        <v>0</v>
      </c>
      <c r="E7" s="7">
        <v>0</v>
      </c>
      <c r="F7" s="7">
        <v>0</v>
      </c>
      <c r="G7" s="7">
        <v>0</v>
      </c>
      <c r="H7" s="7">
        <v>0</v>
      </c>
      <c r="I7" s="7">
        <v>0</v>
      </c>
      <c r="J7" s="7">
        <v>0</v>
      </c>
      <c r="K7" s="7">
        <v>0</v>
      </c>
      <c r="L7" s="7">
        <v>0</v>
      </c>
      <c r="M7" s="7">
        <v>0</v>
      </c>
      <c r="N7" s="7">
        <v>0</v>
      </c>
      <c r="O7" s="7">
        <v>0</v>
      </c>
      <c r="P7" s="7">
        <v>0</v>
      </c>
      <c r="Q7" s="7">
        <v>0</v>
      </c>
      <c r="R7" s="7">
        <v>0</v>
      </c>
      <c r="S7" s="7">
        <v>0</v>
      </c>
      <c r="T7" s="7">
        <v>0</v>
      </c>
      <c r="U7" s="7">
        <v>0</v>
      </c>
      <c r="V7" s="7">
        <v>0</v>
      </c>
      <c r="W7" s="7">
        <v>0</v>
      </c>
      <c r="X7" s="7">
        <v>0</v>
      </c>
      <c r="Y7" s="7">
        <v>0</v>
      </c>
      <c r="Z7" s="7">
        <v>0</v>
      </c>
      <c r="AA7" s="7">
        <v>0</v>
      </c>
      <c r="AB7" s="7">
        <v>0</v>
      </c>
      <c r="AC7" s="7">
        <v>0</v>
      </c>
      <c r="AD7" s="7">
        <v>0</v>
      </c>
      <c r="AE7" s="7">
        <v>0</v>
      </c>
      <c r="AF7" s="7"/>
      <c r="AG7" s="7"/>
    </row>
    <row r="8" spans="1:33" x14ac:dyDescent="0.25">
      <c r="A8" s="7" t="s">
        <v>229</v>
      </c>
      <c r="B8" s="7">
        <v>0</v>
      </c>
      <c r="C8" s="7">
        <v>0</v>
      </c>
      <c r="D8" s="7">
        <v>0</v>
      </c>
      <c r="E8" s="7">
        <v>0</v>
      </c>
      <c r="F8" s="7">
        <v>0</v>
      </c>
      <c r="G8" s="7">
        <v>0</v>
      </c>
      <c r="H8" s="7">
        <v>0</v>
      </c>
      <c r="I8" s="7">
        <v>0</v>
      </c>
      <c r="J8" s="7">
        <v>0</v>
      </c>
      <c r="K8" s="7">
        <v>0</v>
      </c>
      <c r="L8" s="7">
        <v>0</v>
      </c>
      <c r="M8" s="7">
        <v>0</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c r="AG8" s="7"/>
    </row>
    <row r="9" spans="1:33" x14ac:dyDescent="0.25">
      <c r="A9" s="7" t="s">
        <v>230</v>
      </c>
      <c r="B9" s="7">
        <v>0</v>
      </c>
      <c r="C9" s="7">
        <v>0</v>
      </c>
      <c r="D9" s="7">
        <v>0</v>
      </c>
      <c r="E9" s="7">
        <v>0</v>
      </c>
      <c r="F9" s="7">
        <v>0</v>
      </c>
      <c r="G9" s="7">
        <v>0</v>
      </c>
      <c r="H9" s="7">
        <v>0</v>
      </c>
      <c r="I9" s="7">
        <v>0</v>
      </c>
      <c r="J9" s="7">
        <v>0</v>
      </c>
      <c r="K9" s="7">
        <v>0</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c r="AG9" s="7"/>
    </row>
    <row r="10" spans="1:33" x14ac:dyDescent="0.25">
      <c r="A10" t="s">
        <v>219</v>
      </c>
      <c r="B10">
        <f>'AEO 2022 Table 1'!C$22/'AEO 2022 Table 1'!$C$22</f>
        <v>1</v>
      </c>
      <c r="C10">
        <f>'AEO 2023 Table 1'!C$22/'AEO 2022 Table 1'!$C$22</f>
        <v>1.0292723757176374</v>
      </c>
      <c r="D10">
        <f>'AEO 2023 Table 1'!D$22/'AEO 2022 Table 1'!$C$22</f>
        <v>1.0705249096505352</v>
      </c>
      <c r="E10">
        <f>'AEO 2023 Table 1'!E$22/'AEO 2022 Table 1'!$C$22</f>
        <v>1.0559486002480223</v>
      </c>
      <c r="F10">
        <f>'AEO 2023 Table 1'!F$22/'AEO 2022 Table 1'!$C$22</f>
        <v>1.0448720430359122</v>
      </c>
      <c r="G10">
        <f>'AEO 2023 Table 1'!G$22/'AEO 2022 Table 1'!$C$22</f>
        <v>1.0393223843324775</v>
      </c>
      <c r="H10">
        <f>'AEO 2023 Table 1'!H$22/'AEO 2022 Table 1'!$C$22</f>
        <v>1.0371248556216617</v>
      </c>
      <c r="I10">
        <f>'AEO 2023 Table 1'!I$22/'AEO 2022 Table 1'!$C$22</f>
        <v>1.0145807763566246</v>
      </c>
      <c r="J10">
        <f>'AEO 2023 Table 1'!J$22/'AEO 2022 Table 1'!$C$22</f>
        <v>1.0139987960495107</v>
      </c>
      <c r="K10">
        <f>'AEO 2023 Table 1'!K$22/'AEO 2022 Table 1'!$C$22</f>
        <v>1.0135806040598232</v>
      </c>
      <c r="L10">
        <f>'AEO 2023 Table 1'!L$22/'AEO 2022 Table 1'!$C$22</f>
        <v>1.0141932149094166</v>
      </c>
      <c r="M10">
        <f>'AEO 2023 Table 1'!M$22/'AEO 2022 Table 1'!$C$22</f>
        <v>1.0152778339101376</v>
      </c>
      <c r="N10">
        <f>'AEO 2023 Table 1'!N$22/'AEO 2022 Table 1'!$C$22</f>
        <v>1.0173909159170338</v>
      </c>
      <c r="O10">
        <f>'AEO 2023 Table 1'!O$22/'AEO 2022 Table 1'!$C$22</f>
        <v>1.0195363301632139</v>
      </c>
      <c r="P10">
        <f>'AEO 2023 Table 1'!P$22/'AEO 2022 Table 1'!$C$22</f>
        <v>1.0247345884765346</v>
      </c>
      <c r="Q10">
        <f>'AEO 2023 Table 1'!Q$22/'AEO 2022 Table 1'!$C$22</f>
        <v>1.0249658065298359</v>
      </c>
      <c r="R10">
        <f>'AEO 2023 Table 1'!R$22/'AEO 2022 Table 1'!$C$22</f>
        <v>1.0266794152118932</v>
      </c>
      <c r="S10">
        <f>'AEO 2023 Table 1'!S$22/'AEO 2022 Table 1'!$C$22</f>
        <v>1.0283392077325102</v>
      </c>
      <c r="T10">
        <f>'AEO 2023 Table 1'!T$22/'AEO 2022 Table 1'!$C$22</f>
        <v>1.0303942193359552</v>
      </c>
      <c r="U10">
        <f>'AEO 2023 Table 1'!U$22/'AEO 2022 Table 1'!$C$22</f>
        <v>1.0333500666852433</v>
      </c>
      <c r="V10">
        <f>'AEO 2023 Table 1'!V$22/'AEO 2022 Table 1'!$C$22</f>
        <v>1.0407530859207987</v>
      </c>
      <c r="W10">
        <f>'AEO 2023 Table 1'!W$22/'AEO 2022 Table 1'!$C$22</f>
        <v>1.0442417770819727</v>
      </c>
      <c r="X10">
        <f>'AEO 2023 Table 1'!X$22/'AEO 2022 Table 1'!$C$22</f>
        <v>1.0478049174783406</v>
      </c>
      <c r="Y10">
        <f>'AEO 2023 Table 1'!Y$22/'AEO 2022 Table 1'!$C$22</f>
        <v>1.047399913638887</v>
      </c>
      <c r="Z10">
        <f>'AEO 2023 Table 1'!Z$22/'AEO 2022 Table 1'!$C$22</f>
        <v>1.0491003341707097</v>
      </c>
      <c r="AA10">
        <f>'AEO 2023 Table 1'!AA$22/'AEO 2022 Table 1'!$C$22</f>
        <v>1.0573525001116737</v>
      </c>
      <c r="AB10">
        <f>'AEO 2023 Table 1'!AB$22/'AEO 2022 Table 1'!$C$22</f>
        <v>1.0676584013834793</v>
      </c>
      <c r="AC10">
        <f>'AEO 2023 Table 1'!AC$22/'AEO 2022 Table 1'!$C$22</f>
        <v>1.0860058836167013</v>
      </c>
      <c r="AD10">
        <f>'AEO 2023 Table 1'!AD$22/'AEO 2022 Table 1'!$C$22</f>
        <v>1.0964149502572751</v>
      </c>
      <c r="AE10">
        <f>'AEO 2023 Table 1'!AE$22/'AEO 2022 Table 1'!$C$22</f>
        <v>1.1037452219544412</v>
      </c>
    </row>
    <row r="11" spans="1:33" x14ac:dyDescent="0.25">
      <c r="A11" t="s">
        <v>220</v>
      </c>
      <c r="B11">
        <f>'AEO 2022 Table 1'!C$16/'AEO 2022 Table 1'!$C$16</f>
        <v>1</v>
      </c>
      <c r="C11">
        <f>'AEO 2023 Table 1'!C$16/'AEO 2022 Table 1'!$C$16</f>
        <v>1.0609966467282199</v>
      </c>
      <c r="D11">
        <f>'AEO 2023 Table 1'!D$16/'AEO 2022 Table 1'!$C$16</f>
        <v>1.1034662586601662</v>
      </c>
      <c r="E11">
        <f>'AEO 2023 Table 1'!E$16/'AEO 2022 Table 1'!$C$16</f>
        <v>1.1342721101921345</v>
      </c>
      <c r="F11">
        <f>'AEO 2023 Table 1'!F$16/'AEO 2022 Table 1'!$C$16</f>
        <v>1.1517108754500347</v>
      </c>
      <c r="G11">
        <f>'AEO 2023 Table 1'!G$16/'AEO 2022 Table 1'!$C$16</f>
        <v>1.1677833810682008</v>
      </c>
      <c r="H11">
        <f>'AEO 2023 Table 1'!H$16/'AEO 2022 Table 1'!$C$16</f>
        <v>1.1770716249997248</v>
      </c>
      <c r="I11">
        <f>'AEO 2023 Table 1'!I$16/'AEO 2022 Table 1'!$C$16</f>
        <v>1.1929582285134732</v>
      </c>
      <c r="J11">
        <f>'AEO 2023 Table 1'!J$16/'AEO 2022 Table 1'!$C$16</f>
        <v>1.1913447898453953</v>
      </c>
      <c r="K11">
        <f>'AEO 2023 Table 1'!K$16/'AEO 2022 Table 1'!$C$16</f>
        <v>1.193503463678125</v>
      </c>
      <c r="L11">
        <f>'AEO 2023 Table 1'!L$16/'AEO 2022 Table 1'!$C$16</f>
        <v>1.1869049314848472</v>
      </c>
      <c r="M11">
        <f>'AEO 2023 Table 1'!M$16/'AEO 2022 Table 1'!$C$16</f>
        <v>1.1895570571662348</v>
      </c>
      <c r="N11">
        <f>'AEO 2023 Table 1'!N$16/'AEO 2022 Table 1'!$C$16</f>
        <v>1.192160506530588</v>
      </c>
      <c r="O11">
        <f>'AEO 2023 Table 1'!O$16/'AEO 2022 Table 1'!$C$16</f>
        <v>1.1877916344657149</v>
      </c>
      <c r="P11">
        <f>'AEO 2023 Table 1'!P$16/'AEO 2022 Table 1'!$C$16</f>
        <v>1.1847366345858954</v>
      </c>
      <c r="Q11">
        <f>'AEO 2023 Table 1'!Q$16/'AEO 2022 Table 1'!$C$16</f>
        <v>1.1791408863068384</v>
      </c>
      <c r="R11">
        <f>'AEO 2023 Table 1'!R$16/'AEO 2022 Table 1'!$C$16</f>
        <v>1.1774785987106731</v>
      </c>
      <c r="S11">
        <f>'AEO 2023 Table 1'!S$16/'AEO 2022 Table 1'!$C$16</f>
        <v>1.1728978897306217</v>
      </c>
      <c r="T11">
        <f>'AEO 2023 Table 1'!T$16/'AEO 2022 Table 1'!$C$16</f>
        <v>1.1681258845507367</v>
      </c>
      <c r="U11">
        <f>'AEO 2023 Table 1'!U$16/'AEO 2022 Table 1'!$C$16</f>
        <v>1.158962438410758</v>
      </c>
      <c r="V11">
        <f>'AEO 2023 Table 1'!V$16/'AEO 2022 Table 1'!$C$16</f>
        <v>1.1463744321258169</v>
      </c>
      <c r="W11">
        <f>'AEO 2023 Table 1'!W$16/'AEO 2022 Table 1'!$C$16</f>
        <v>1.1486616580405011</v>
      </c>
      <c r="X11">
        <f>'AEO 2023 Table 1'!X$16/'AEO 2022 Table 1'!$C$16</f>
        <v>1.1548637457970825</v>
      </c>
      <c r="Y11">
        <f>'AEO 2023 Table 1'!Y$16/'AEO 2022 Table 1'!$C$16</f>
        <v>1.1669458290847641</v>
      </c>
      <c r="Z11">
        <f>'AEO 2023 Table 1'!Z$16/'AEO 2022 Table 1'!$C$16</f>
        <v>1.1698269233283707</v>
      </c>
      <c r="AA11">
        <f>'AEO 2023 Table 1'!AA$16/'AEO 2022 Table 1'!$C$16</f>
        <v>1.1723620618683757</v>
      </c>
      <c r="AB11">
        <f>'AEO 2023 Table 1'!AB$16/'AEO 2022 Table 1'!$C$16</f>
        <v>1.1628999123006389</v>
      </c>
      <c r="AC11">
        <f>'AEO 2023 Table 1'!AC$16/'AEO 2022 Table 1'!$C$16</f>
        <v>1.166466315578661</v>
      </c>
      <c r="AD11">
        <f>'AEO 2023 Table 1'!AD$16/'AEO 2022 Table 1'!$C$16</f>
        <v>1.1789348750147097</v>
      </c>
      <c r="AE11">
        <f>'AEO 2023 Table 1'!AE$16/'AEO 2022 Table 1'!$C$16</f>
        <v>1.181989702283476</v>
      </c>
    </row>
    <row r="12" spans="1:33" x14ac:dyDescent="0.25">
      <c r="A12" t="s">
        <v>231</v>
      </c>
      <c r="B12">
        <f>'AEO 2022 Table 1'!C$16/'AEO 2022 Table 1'!$C$16</f>
        <v>1</v>
      </c>
      <c r="C12">
        <f>'AEO 2023 Table 1'!C$16/'AEO 2022 Table 1'!$C$16</f>
        <v>1.0609966467282199</v>
      </c>
      <c r="D12">
        <f>'AEO 2023 Table 1'!D$16/'AEO 2022 Table 1'!$C$16</f>
        <v>1.1034662586601662</v>
      </c>
      <c r="E12">
        <f>'AEO 2023 Table 1'!E$16/'AEO 2022 Table 1'!$C$16</f>
        <v>1.1342721101921345</v>
      </c>
      <c r="F12">
        <f>'AEO 2023 Table 1'!F$16/'AEO 2022 Table 1'!$C$16</f>
        <v>1.1517108754500347</v>
      </c>
      <c r="G12">
        <f>'AEO 2023 Table 1'!G$16/'AEO 2022 Table 1'!$C$16</f>
        <v>1.1677833810682008</v>
      </c>
      <c r="H12">
        <f>'AEO 2023 Table 1'!H$16/'AEO 2022 Table 1'!$C$16</f>
        <v>1.1770716249997248</v>
      </c>
      <c r="I12">
        <f>'AEO 2023 Table 1'!I$16/'AEO 2022 Table 1'!$C$16</f>
        <v>1.1929582285134732</v>
      </c>
      <c r="J12">
        <f>'AEO 2023 Table 1'!J$16/'AEO 2022 Table 1'!$C$16</f>
        <v>1.1913447898453953</v>
      </c>
      <c r="K12">
        <f>'AEO 2023 Table 1'!K$16/'AEO 2022 Table 1'!$C$16</f>
        <v>1.193503463678125</v>
      </c>
      <c r="L12">
        <f>'AEO 2023 Table 1'!L$16/'AEO 2022 Table 1'!$C$16</f>
        <v>1.1869049314848472</v>
      </c>
      <c r="M12">
        <f>'AEO 2023 Table 1'!M$16/'AEO 2022 Table 1'!$C$16</f>
        <v>1.1895570571662348</v>
      </c>
      <c r="N12">
        <f>'AEO 2023 Table 1'!N$16/'AEO 2022 Table 1'!$C$16</f>
        <v>1.192160506530588</v>
      </c>
      <c r="O12">
        <f>'AEO 2023 Table 1'!O$16/'AEO 2022 Table 1'!$C$16</f>
        <v>1.1877916344657149</v>
      </c>
      <c r="P12">
        <f>'AEO 2023 Table 1'!P$16/'AEO 2022 Table 1'!$C$16</f>
        <v>1.1847366345858954</v>
      </c>
      <c r="Q12">
        <f>'AEO 2023 Table 1'!Q$16/'AEO 2022 Table 1'!$C$16</f>
        <v>1.1791408863068384</v>
      </c>
      <c r="R12">
        <f>'AEO 2023 Table 1'!R$16/'AEO 2022 Table 1'!$C$16</f>
        <v>1.1774785987106731</v>
      </c>
      <c r="S12">
        <f>'AEO 2023 Table 1'!S$16/'AEO 2022 Table 1'!$C$16</f>
        <v>1.1728978897306217</v>
      </c>
      <c r="T12">
        <f>'AEO 2023 Table 1'!T$16/'AEO 2022 Table 1'!$C$16</f>
        <v>1.1681258845507367</v>
      </c>
      <c r="U12">
        <f>'AEO 2023 Table 1'!U$16/'AEO 2022 Table 1'!$C$16</f>
        <v>1.158962438410758</v>
      </c>
      <c r="V12">
        <f>'AEO 2023 Table 1'!V$16/'AEO 2022 Table 1'!$C$16</f>
        <v>1.1463744321258169</v>
      </c>
      <c r="W12">
        <f>'AEO 2023 Table 1'!W$16/'AEO 2022 Table 1'!$C$16</f>
        <v>1.1486616580405011</v>
      </c>
      <c r="X12">
        <f>'AEO 2023 Table 1'!X$16/'AEO 2022 Table 1'!$C$16</f>
        <v>1.1548637457970825</v>
      </c>
      <c r="Y12">
        <f>'AEO 2023 Table 1'!Y$16/'AEO 2022 Table 1'!$C$16</f>
        <v>1.1669458290847641</v>
      </c>
      <c r="Z12">
        <f>'AEO 2023 Table 1'!Z$16/'AEO 2022 Table 1'!$C$16</f>
        <v>1.1698269233283707</v>
      </c>
      <c r="AA12">
        <f>'AEO 2023 Table 1'!AA$16/'AEO 2022 Table 1'!$C$16</f>
        <v>1.1723620618683757</v>
      </c>
      <c r="AB12">
        <f>'AEO 2023 Table 1'!AB$16/'AEO 2022 Table 1'!$C$16</f>
        <v>1.1628999123006389</v>
      </c>
      <c r="AC12">
        <f>'AEO 2023 Table 1'!AC$16/'AEO 2022 Table 1'!$C$16</f>
        <v>1.166466315578661</v>
      </c>
      <c r="AD12">
        <f>'AEO 2023 Table 1'!AD$16/'AEO 2022 Table 1'!$C$16</f>
        <v>1.1789348750147097</v>
      </c>
      <c r="AE12">
        <f>'AEO 2023 Table 1'!AE$16/'AEO 2022 Table 1'!$C$16</f>
        <v>1.181989702283476</v>
      </c>
    </row>
    <row r="13" spans="1:33" x14ac:dyDescent="0.25">
      <c r="A13" t="s">
        <v>232</v>
      </c>
      <c r="B13">
        <f>'AEO 2022 Table 1'!C$22/'AEO 2022 Table 1'!$C$22</f>
        <v>1</v>
      </c>
      <c r="C13">
        <f>'AEO 2023 Table 1'!C$22/'AEO 2022 Table 1'!$C$22</f>
        <v>1.0292723757176374</v>
      </c>
      <c r="D13">
        <f>'AEO 2023 Table 1'!D$22/'AEO 2022 Table 1'!$C$22</f>
        <v>1.0705249096505352</v>
      </c>
      <c r="E13">
        <f>'AEO 2023 Table 1'!E$22/'AEO 2022 Table 1'!$C$22</f>
        <v>1.0559486002480223</v>
      </c>
      <c r="F13">
        <f>'AEO 2023 Table 1'!F$22/'AEO 2022 Table 1'!$C$22</f>
        <v>1.0448720430359122</v>
      </c>
      <c r="G13">
        <f>'AEO 2023 Table 1'!G$22/'AEO 2022 Table 1'!$C$22</f>
        <v>1.0393223843324775</v>
      </c>
      <c r="H13">
        <f>'AEO 2023 Table 1'!H$22/'AEO 2022 Table 1'!$C$22</f>
        <v>1.0371248556216617</v>
      </c>
      <c r="I13">
        <f>'AEO 2023 Table 1'!I$22/'AEO 2022 Table 1'!$C$22</f>
        <v>1.0145807763566246</v>
      </c>
      <c r="J13">
        <f>'AEO 2023 Table 1'!J$22/'AEO 2022 Table 1'!$C$22</f>
        <v>1.0139987960495107</v>
      </c>
      <c r="K13">
        <f>'AEO 2023 Table 1'!K$22/'AEO 2022 Table 1'!$C$22</f>
        <v>1.0135806040598232</v>
      </c>
      <c r="L13">
        <f>'AEO 2023 Table 1'!L$22/'AEO 2022 Table 1'!$C$22</f>
        <v>1.0141932149094166</v>
      </c>
      <c r="M13">
        <f>'AEO 2023 Table 1'!M$22/'AEO 2022 Table 1'!$C$22</f>
        <v>1.0152778339101376</v>
      </c>
      <c r="N13">
        <f>'AEO 2023 Table 1'!N$22/'AEO 2022 Table 1'!$C$22</f>
        <v>1.0173909159170338</v>
      </c>
      <c r="O13">
        <f>'AEO 2023 Table 1'!O$22/'AEO 2022 Table 1'!$C$22</f>
        <v>1.0195363301632139</v>
      </c>
      <c r="P13">
        <f>'AEO 2023 Table 1'!P$22/'AEO 2022 Table 1'!$C$22</f>
        <v>1.0247345884765346</v>
      </c>
      <c r="Q13">
        <f>'AEO 2023 Table 1'!Q$22/'AEO 2022 Table 1'!$C$22</f>
        <v>1.0249658065298359</v>
      </c>
      <c r="R13">
        <f>'AEO 2023 Table 1'!R$22/'AEO 2022 Table 1'!$C$22</f>
        <v>1.0266794152118932</v>
      </c>
      <c r="S13">
        <f>'AEO 2023 Table 1'!S$22/'AEO 2022 Table 1'!$C$22</f>
        <v>1.0283392077325102</v>
      </c>
      <c r="T13">
        <f>'AEO 2023 Table 1'!T$22/'AEO 2022 Table 1'!$C$22</f>
        <v>1.0303942193359552</v>
      </c>
      <c r="U13">
        <f>'AEO 2023 Table 1'!U$22/'AEO 2022 Table 1'!$C$22</f>
        <v>1.0333500666852433</v>
      </c>
      <c r="V13">
        <f>'AEO 2023 Table 1'!V$22/'AEO 2022 Table 1'!$C$22</f>
        <v>1.0407530859207987</v>
      </c>
      <c r="W13">
        <f>'AEO 2023 Table 1'!W$22/'AEO 2022 Table 1'!$C$22</f>
        <v>1.0442417770819727</v>
      </c>
      <c r="X13">
        <f>'AEO 2023 Table 1'!X$22/'AEO 2022 Table 1'!$C$22</f>
        <v>1.0478049174783406</v>
      </c>
      <c r="Y13">
        <f>'AEO 2023 Table 1'!Y$22/'AEO 2022 Table 1'!$C$22</f>
        <v>1.047399913638887</v>
      </c>
      <c r="Z13">
        <f>'AEO 2023 Table 1'!Z$22/'AEO 2022 Table 1'!$C$22</f>
        <v>1.0491003341707097</v>
      </c>
      <c r="AA13">
        <f>'AEO 2023 Table 1'!AA$22/'AEO 2022 Table 1'!$C$22</f>
        <v>1.0573525001116737</v>
      </c>
      <c r="AB13">
        <f>'AEO 2023 Table 1'!AB$22/'AEO 2022 Table 1'!$C$22</f>
        <v>1.0676584013834793</v>
      </c>
      <c r="AC13">
        <f>'AEO 2023 Table 1'!AC$22/'AEO 2022 Table 1'!$C$22</f>
        <v>1.0860058836167013</v>
      </c>
      <c r="AD13">
        <f>'AEO 2023 Table 1'!AD$22/'AEO 2022 Table 1'!$C$22</f>
        <v>1.0964149502572751</v>
      </c>
      <c r="AE13">
        <f>'AEO 2023 Table 1'!AE$22/'AEO 2022 Table 1'!$C$22</f>
        <v>1.1037452219544412</v>
      </c>
    </row>
    <row r="14" spans="1:33" x14ac:dyDescent="0.25">
      <c r="A14" t="s">
        <v>233</v>
      </c>
      <c r="B14">
        <f>'AEO 2022 Table 1'!C$22/'AEO 2022 Table 1'!$C$22</f>
        <v>1</v>
      </c>
      <c r="C14">
        <f>'AEO 2023 Table 1'!C$22/'AEO 2022 Table 1'!$C$22</f>
        <v>1.0292723757176374</v>
      </c>
      <c r="D14">
        <f>'AEO 2023 Table 1'!D$22/'AEO 2022 Table 1'!$C$22</f>
        <v>1.0705249096505352</v>
      </c>
      <c r="E14">
        <f>'AEO 2023 Table 1'!E$22/'AEO 2022 Table 1'!$C$22</f>
        <v>1.0559486002480223</v>
      </c>
      <c r="F14">
        <f>'AEO 2023 Table 1'!F$22/'AEO 2022 Table 1'!$C$22</f>
        <v>1.0448720430359122</v>
      </c>
      <c r="G14">
        <f>'AEO 2023 Table 1'!G$22/'AEO 2022 Table 1'!$C$22</f>
        <v>1.0393223843324775</v>
      </c>
      <c r="H14">
        <f>'AEO 2023 Table 1'!H$22/'AEO 2022 Table 1'!$C$22</f>
        <v>1.0371248556216617</v>
      </c>
      <c r="I14">
        <f>'AEO 2023 Table 1'!I$22/'AEO 2022 Table 1'!$C$22</f>
        <v>1.0145807763566246</v>
      </c>
      <c r="J14">
        <f>'AEO 2023 Table 1'!J$22/'AEO 2022 Table 1'!$C$22</f>
        <v>1.0139987960495107</v>
      </c>
      <c r="K14">
        <f>'AEO 2023 Table 1'!K$22/'AEO 2022 Table 1'!$C$22</f>
        <v>1.0135806040598232</v>
      </c>
      <c r="L14">
        <f>'AEO 2023 Table 1'!L$22/'AEO 2022 Table 1'!$C$22</f>
        <v>1.0141932149094166</v>
      </c>
      <c r="M14">
        <f>'AEO 2023 Table 1'!M$22/'AEO 2022 Table 1'!$C$22</f>
        <v>1.0152778339101376</v>
      </c>
      <c r="N14">
        <f>'AEO 2023 Table 1'!N$22/'AEO 2022 Table 1'!$C$22</f>
        <v>1.0173909159170338</v>
      </c>
      <c r="O14">
        <f>'AEO 2023 Table 1'!O$22/'AEO 2022 Table 1'!$C$22</f>
        <v>1.0195363301632139</v>
      </c>
      <c r="P14">
        <f>'AEO 2023 Table 1'!P$22/'AEO 2022 Table 1'!$C$22</f>
        <v>1.0247345884765346</v>
      </c>
      <c r="Q14">
        <f>'AEO 2023 Table 1'!Q$22/'AEO 2022 Table 1'!$C$22</f>
        <v>1.0249658065298359</v>
      </c>
      <c r="R14">
        <f>'AEO 2023 Table 1'!R$22/'AEO 2022 Table 1'!$C$22</f>
        <v>1.0266794152118932</v>
      </c>
      <c r="S14">
        <f>'AEO 2023 Table 1'!S$22/'AEO 2022 Table 1'!$C$22</f>
        <v>1.0283392077325102</v>
      </c>
      <c r="T14">
        <f>'AEO 2023 Table 1'!T$22/'AEO 2022 Table 1'!$C$22</f>
        <v>1.0303942193359552</v>
      </c>
      <c r="U14">
        <f>'AEO 2023 Table 1'!U$22/'AEO 2022 Table 1'!$C$22</f>
        <v>1.0333500666852433</v>
      </c>
      <c r="V14">
        <f>'AEO 2023 Table 1'!V$22/'AEO 2022 Table 1'!$C$22</f>
        <v>1.0407530859207987</v>
      </c>
      <c r="W14">
        <f>'AEO 2023 Table 1'!W$22/'AEO 2022 Table 1'!$C$22</f>
        <v>1.0442417770819727</v>
      </c>
      <c r="X14">
        <f>'AEO 2023 Table 1'!X$22/'AEO 2022 Table 1'!$C$22</f>
        <v>1.0478049174783406</v>
      </c>
      <c r="Y14">
        <f>'AEO 2023 Table 1'!Y$22/'AEO 2022 Table 1'!$C$22</f>
        <v>1.047399913638887</v>
      </c>
      <c r="Z14">
        <f>'AEO 2023 Table 1'!Z$22/'AEO 2022 Table 1'!$C$22</f>
        <v>1.0491003341707097</v>
      </c>
      <c r="AA14">
        <f>'AEO 2023 Table 1'!AA$22/'AEO 2022 Table 1'!$C$22</f>
        <v>1.0573525001116737</v>
      </c>
      <c r="AB14">
        <f>'AEO 2023 Table 1'!AB$22/'AEO 2022 Table 1'!$C$22</f>
        <v>1.0676584013834793</v>
      </c>
      <c r="AC14">
        <f>'AEO 2023 Table 1'!AC$22/'AEO 2022 Table 1'!$C$22</f>
        <v>1.0860058836167013</v>
      </c>
      <c r="AD14">
        <f>'AEO 2023 Table 1'!AD$22/'AEO 2022 Table 1'!$C$22</f>
        <v>1.0964149502572751</v>
      </c>
      <c r="AE14">
        <f>'AEO 2023 Table 1'!AE$22/'AEO 2022 Table 1'!$C$22</f>
        <v>1.1037452219544412</v>
      </c>
    </row>
    <row r="15" spans="1:33" x14ac:dyDescent="0.25">
      <c r="A15" t="s">
        <v>222</v>
      </c>
      <c r="B15">
        <f>'AEO 2022 Table 1'!C$16/'AEO 2022 Table 1'!$C$16</f>
        <v>1</v>
      </c>
      <c r="C15">
        <f>'AEO 2023 Table 1'!C$16/'AEO 2022 Table 1'!$C$16</f>
        <v>1.0609966467282199</v>
      </c>
      <c r="D15">
        <f>'AEO 2023 Table 1'!D$16/'AEO 2022 Table 1'!$C$16</f>
        <v>1.1034662586601662</v>
      </c>
      <c r="E15">
        <f>'AEO 2023 Table 1'!E$16/'AEO 2022 Table 1'!$C$16</f>
        <v>1.1342721101921345</v>
      </c>
      <c r="F15">
        <f>'AEO 2023 Table 1'!F$16/'AEO 2022 Table 1'!$C$16</f>
        <v>1.1517108754500347</v>
      </c>
      <c r="G15">
        <f>'AEO 2023 Table 1'!G$16/'AEO 2022 Table 1'!$C$16</f>
        <v>1.1677833810682008</v>
      </c>
      <c r="H15">
        <f>'AEO 2023 Table 1'!H$16/'AEO 2022 Table 1'!$C$16</f>
        <v>1.1770716249997248</v>
      </c>
      <c r="I15">
        <f>'AEO 2023 Table 1'!I$16/'AEO 2022 Table 1'!$C$16</f>
        <v>1.1929582285134732</v>
      </c>
      <c r="J15">
        <f>'AEO 2023 Table 1'!J$16/'AEO 2022 Table 1'!$C$16</f>
        <v>1.1913447898453953</v>
      </c>
      <c r="K15">
        <f>'AEO 2023 Table 1'!K$16/'AEO 2022 Table 1'!$C$16</f>
        <v>1.193503463678125</v>
      </c>
      <c r="L15">
        <f>'AEO 2023 Table 1'!L$16/'AEO 2022 Table 1'!$C$16</f>
        <v>1.1869049314848472</v>
      </c>
      <c r="M15">
        <f>'AEO 2023 Table 1'!M$16/'AEO 2022 Table 1'!$C$16</f>
        <v>1.1895570571662348</v>
      </c>
      <c r="N15">
        <f>'AEO 2023 Table 1'!N$16/'AEO 2022 Table 1'!$C$16</f>
        <v>1.192160506530588</v>
      </c>
      <c r="O15">
        <f>'AEO 2023 Table 1'!O$16/'AEO 2022 Table 1'!$C$16</f>
        <v>1.1877916344657149</v>
      </c>
      <c r="P15">
        <f>'AEO 2023 Table 1'!P$16/'AEO 2022 Table 1'!$C$16</f>
        <v>1.1847366345858954</v>
      </c>
      <c r="Q15">
        <f>'AEO 2023 Table 1'!Q$16/'AEO 2022 Table 1'!$C$16</f>
        <v>1.1791408863068384</v>
      </c>
      <c r="R15">
        <f>'AEO 2023 Table 1'!R$16/'AEO 2022 Table 1'!$C$16</f>
        <v>1.1774785987106731</v>
      </c>
      <c r="S15">
        <f>'AEO 2023 Table 1'!S$16/'AEO 2022 Table 1'!$C$16</f>
        <v>1.1728978897306217</v>
      </c>
      <c r="T15">
        <f>'AEO 2023 Table 1'!T$16/'AEO 2022 Table 1'!$C$16</f>
        <v>1.1681258845507367</v>
      </c>
      <c r="U15">
        <f>'AEO 2023 Table 1'!U$16/'AEO 2022 Table 1'!$C$16</f>
        <v>1.158962438410758</v>
      </c>
      <c r="V15">
        <f>'AEO 2023 Table 1'!V$16/'AEO 2022 Table 1'!$C$16</f>
        <v>1.1463744321258169</v>
      </c>
      <c r="W15">
        <f>'AEO 2023 Table 1'!W$16/'AEO 2022 Table 1'!$C$16</f>
        <v>1.1486616580405011</v>
      </c>
      <c r="X15">
        <f>'AEO 2023 Table 1'!X$16/'AEO 2022 Table 1'!$C$16</f>
        <v>1.1548637457970825</v>
      </c>
      <c r="Y15">
        <f>'AEO 2023 Table 1'!Y$16/'AEO 2022 Table 1'!$C$16</f>
        <v>1.1669458290847641</v>
      </c>
      <c r="Z15">
        <f>'AEO 2023 Table 1'!Z$16/'AEO 2022 Table 1'!$C$16</f>
        <v>1.1698269233283707</v>
      </c>
      <c r="AA15">
        <f>'AEO 2023 Table 1'!AA$16/'AEO 2022 Table 1'!$C$16</f>
        <v>1.1723620618683757</v>
      </c>
      <c r="AB15">
        <f>'AEO 2023 Table 1'!AB$16/'AEO 2022 Table 1'!$C$16</f>
        <v>1.1628999123006389</v>
      </c>
      <c r="AC15">
        <f>'AEO 2023 Table 1'!AC$16/'AEO 2022 Table 1'!$C$16</f>
        <v>1.166466315578661</v>
      </c>
      <c r="AD15">
        <f>'AEO 2023 Table 1'!AD$16/'AEO 2022 Table 1'!$C$16</f>
        <v>1.1789348750147097</v>
      </c>
      <c r="AE15">
        <f>'AEO 2023 Table 1'!AE$16/'AEO 2022 Table 1'!$C$16</f>
        <v>1.181989702283476</v>
      </c>
    </row>
    <row r="16" spans="1:33" x14ac:dyDescent="0.25">
      <c r="A16" s="7" t="s">
        <v>274</v>
      </c>
      <c r="B16" s="7">
        <v>0</v>
      </c>
      <c r="C16" s="7">
        <v>0</v>
      </c>
      <c r="D16" s="7">
        <v>0</v>
      </c>
      <c r="E16" s="7">
        <v>0</v>
      </c>
      <c r="F16" s="7">
        <v>0</v>
      </c>
      <c r="G16" s="7">
        <v>0</v>
      </c>
      <c r="H16" s="7">
        <v>0</v>
      </c>
      <c r="I16" s="7">
        <v>0</v>
      </c>
      <c r="J16" s="7">
        <v>0</v>
      </c>
      <c r="K16" s="7">
        <v>0</v>
      </c>
      <c r="L16" s="7">
        <v>0</v>
      </c>
      <c r="M16" s="7">
        <v>0</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c r="AG16" s="7"/>
    </row>
    <row r="17" spans="1:33" x14ac:dyDescent="0.25">
      <c r="A17" s="7" t="s">
        <v>235</v>
      </c>
      <c r="B17" s="7">
        <v>0</v>
      </c>
      <c r="C17" s="7">
        <v>0</v>
      </c>
      <c r="D17" s="7">
        <v>0</v>
      </c>
      <c r="E17" s="7">
        <v>0</v>
      </c>
      <c r="F17" s="7">
        <v>0</v>
      </c>
      <c r="G17" s="7">
        <v>0</v>
      </c>
      <c r="H17" s="7">
        <v>0</v>
      </c>
      <c r="I17" s="7">
        <v>0</v>
      </c>
      <c r="J17" s="7">
        <v>0</v>
      </c>
      <c r="K17" s="7">
        <v>0</v>
      </c>
      <c r="L17" s="7">
        <v>0</v>
      </c>
      <c r="M17" s="7">
        <v>0</v>
      </c>
      <c r="N17" s="7">
        <v>0</v>
      </c>
      <c r="O17" s="7">
        <v>0</v>
      </c>
      <c r="P17" s="7">
        <v>0</v>
      </c>
      <c r="Q17" s="7">
        <v>0</v>
      </c>
      <c r="R17" s="7">
        <v>0</v>
      </c>
      <c r="S17" s="7">
        <v>0</v>
      </c>
      <c r="T17" s="7">
        <v>0</v>
      </c>
      <c r="U17" s="7">
        <v>0</v>
      </c>
      <c r="V17" s="7">
        <v>0</v>
      </c>
      <c r="W17" s="7">
        <v>0</v>
      </c>
      <c r="X17" s="7">
        <v>0</v>
      </c>
      <c r="Y17" s="7">
        <v>0</v>
      </c>
      <c r="Z17" s="7">
        <v>0</v>
      </c>
      <c r="AA17" s="7">
        <v>0</v>
      </c>
      <c r="AB17" s="7">
        <v>0</v>
      </c>
      <c r="AC17" s="7">
        <v>0</v>
      </c>
      <c r="AD17" s="7">
        <v>0</v>
      </c>
      <c r="AE17" s="7">
        <v>0</v>
      </c>
      <c r="AF17" s="7"/>
      <c r="AG17" s="7"/>
    </row>
    <row r="18" spans="1:33" x14ac:dyDescent="0.25">
      <c r="A18" t="s">
        <v>236</v>
      </c>
      <c r="B18">
        <f>'AEO 2022 Table 1'!C$19/'AEO 2022 Table 1'!$C$19</f>
        <v>1</v>
      </c>
      <c r="C18">
        <f>'AEO 2023 Table 1'!C$19/'AEO 2022 Table 1'!$C$19</f>
        <v>0.90065567719059569</v>
      </c>
      <c r="D18">
        <f>'AEO 2023 Table 1'!D$19/'AEO 2022 Table 1'!$C$19</f>
        <v>0.84583450025660856</v>
      </c>
      <c r="E18">
        <f>'AEO 2023 Table 1'!E$19/'AEO 2022 Table 1'!$C$19</f>
        <v>0.92185464330039357</v>
      </c>
      <c r="F18">
        <f>'AEO 2023 Table 1'!F$19/'AEO 2022 Table 1'!$C$19</f>
        <v>0.8657017605377183</v>
      </c>
      <c r="G18">
        <f>'AEO 2023 Table 1'!G$19/'AEO 2022 Table 1'!$C$19</f>
        <v>0.79226504429571998</v>
      </c>
      <c r="H18">
        <f>'AEO 2023 Table 1'!H$19/'AEO 2022 Table 1'!$C$19</f>
        <v>0.71073641223843154</v>
      </c>
      <c r="I18">
        <f>'AEO 2023 Table 1'!I$19/'AEO 2022 Table 1'!$C$19</f>
        <v>0.63830672595477234</v>
      </c>
      <c r="J18">
        <f>'AEO 2023 Table 1'!J$19/'AEO 2022 Table 1'!$C$19</f>
        <v>0.57020607674054147</v>
      </c>
      <c r="K18">
        <f>'AEO 2023 Table 1'!K$19/'AEO 2022 Table 1'!$C$19</f>
        <v>0.54200732804898522</v>
      </c>
      <c r="L18">
        <f>'AEO 2023 Table 1'!L$19/'AEO 2022 Table 1'!$C$19</f>
        <v>0.53960098328660289</v>
      </c>
      <c r="M18">
        <f>'AEO 2023 Table 1'!M$19/'AEO 2022 Table 1'!$C$19</f>
        <v>0.54342421354718851</v>
      </c>
      <c r="N18">
        <f>'AEO 2023 Table 1'!N$19/'AEO 2022 Table 1'!$C$19</f>
        <v>0.54104506516359308</v>
      </c>
      <c r="O18">
        <f>'AEO 2023 Table 1'!O$19/'AEO 2022 Table 1'!$C$19</f>
        <v>0.53605666869722768</v>
      </c>
      <c r="P18">
        <f>'AEO 2023 Table 1'!P$19/'AEO 2022 Table 1'!$C$19</f>
        <v>0.54001504051420102</v>
      </c>
      <c r="Q18">
        <f>'AEO 2023 Table 1'!Q$19/'AEO 2022 Table 1'!$C$19</f>
        <v>0.53368561811181048</v>
      </c>
      <c r="R18">
        <f>'AEO 2023 Table 1'!R$19/'AEO 2022 Table 1'!$C$19</f>
        <v>0.51963173658504236</v>
      </c>
      <c r="S18">
        <f>'AEO 2023 Table 1'!S$19/'AEO 2022 Table 1'!$C$19</f>
        <v>0.51123172246737159</v>
      </c>
      <c r="T18">
        <f>'AEO 2023 Table 1'!T$19/'AEO 2022 Table 1'!$C$19</f>
        <v>0.4990927410267611</v>
      </c>
      <c r="U18">
        <f>'AEO 2023 Table 1'!U$19/'AEO 2022 Table 1'!$C$19</f>
        <v>0.49180823680528718</v>
      </c>
      <c r="V18">
        <f>'AEO 2023 Table 1'!V$19/'AEO 2022 Table 1'!$C$19</f>
        <v>0.49218104109877037</v>
      </c>
      <c r="W18">
        <f>'AEO 2023 Table 1'!W$19/'AEO 2022 Table 1'!$C$19</f>
        <v>0.49305827710329231</v>
      </c>
      <c r="X18">
        <f>'AEO 2023 Table 1'!X$19/'AEO 2022 Table 1'!$C$19</f>
        <v>0.48617117614712568</v>
      </c>
      <c r="Y18">
        <f>'AEO 2023 Table 1'!Y$19/'AEO 2022 Table 1'!$C$19</f>
        <v>0.47842188886795683</v>
      </c>
      <c r="Z18">
        <f>'AEO 2023 Table 1'!Z$19/'AEO 2022 Table 1'!$C$19</f>
        <v>0.47278574494166448</v>
      </c>
      <c r="AA18">
        <f>'AEO 2023 Table 1'!AA$19/'AEO 2022 Table 1'!$C$19</f>
        <v>0.46752339843504698</v>
      </c>
      <c r="AB18">
        <f>'AEO 2023 Table 1'!AB$19/'AEO 2022 Table 1'!$C$19</f>
        <v>0.46505907038193645</v>
      </c>
      <c r="AC18">
        <f>'AEO 2023 Table 1'!AC$19/'AEO 2022 Table 1'!$C$19</f>
        <v>0.46370459904516265</v>
      </c>
      <c r="AD18">
        <f>'AEO 2023 Table 1'!AD$19/'AEO 2022 Table 1'!$C$19</f>
        <v>0.46081399067286438</v>
      </c>
      <c r="AE18">
        <f>'AEO 2023 Table 1'!AE$19/'AEO 2022 Table 1'!$C$19</f>
        <v>0.45420977789267486</v>
      </c>
    </row>
    <row r="19" spans="1:33" x14ac:dyDescent="0.25">
      <c r="A19" t="s">
        <v>223</v>
      </c>
      <c r="B19" s="227">
        <f>'AEO 2022 Table 1'!C$16/'AEO 2022 Table 1'!$C$16</f>
        <v>1</v>
      </c>
      <c r="C19" s="227">
        <f>'AEO 2023 Table 1'!C$16/'AEO 2022 Table 1'!$C$16</f>
        <v>1.0609966467282199</v>
      </c>
      <c r="D19" s="227">
        <f>'AEO 2023 Table 1'!D$16/'AEO 2022 Table 1'!$C$16</f>
        <v>1.1034662586601662</v>
      </c>
      <c r="E19" s="227">
        <f>'AEO 2023 Table 1'!E$16/'AEO 2022 Table 1'!$C$16</f>
        <v>1.1342721101921345</v>
      </c>
      <c r="F19" s="227">
        <f>'AEO 2023 Table 1'!F$16/'AEO 2022 Table 1'!$C$16</f>
        <v>1.1517108754500347</v>
      </c>
      <c r="G19" s="227">
        <f>'AEO 2023 Table 1'!G$16/'AEO 2022 Table 1'!$C$16</f>
        <v>1.1677833810682008</v>
      </c>
      <c r="H19" s="227">
        <f>'AEO 2023 Table 1'!H$16/'AEO 2022 Table 1'!$C$16</f>
        <v>1.1770716249997248</v>
      </c>
      <c r="I19" s="227">
        <f>'AEO 2023 Table 1'!I$16/'AEO 2022 Table 1'!$C$16</f>
        <v>1.1929582285134732</v>
      </c>
      <c r="J19" s="227">
        <f>'AEO 2023 Table 1'!J$16/'AEO 2022 Table 1'!$C$16</f>
        <v>1.1913447898453953</v>
      </c>
      <c r="K19" s="227">
        <f>'AEO 2023 Table 1'!K$16/'AEO 2022 Table 1'!$C$16</f>
        <v>1.193503463678125</v>
      </c>
      <c r="L19" s="227">
        <f>'AEO 2023 Table 1'!L$16/'AEO 2022 Table 1'!$C$16</f>
        <v>1.1869049314848472</v>
      </c>
      <c r="M19" s="227">
        <f>'AEO 2023 Table 1'!M$16/'AEO 2022 Table 1'!$C$16</f>
        <v>1.1895570571662348</v>
      </c>
      <c r="N19" s="227">
        <f>'AEO 2023 Table 1'!N$16/'AEO 2022 Table 1'!$C$16</f>
        <v>1.192160506530588</v>
      </c>
      <c r="O19" s="227">
        <f>'AEO 2023 Table 1'!O$16/'AEO 2022 Table 1'!$C$16</f>
        <v>1.1877916344657149</v>
      </c>
      <c r="P19" s="227">
        <f>'AEO 2023 Table 1'!P$16/'AEO 2022 Table 1'!$C$16</f>
        <v>1.1847366345858954</v>
      </c>
      <c r="Q19" s="227">
        <f>'AEO 2023 Table 1'!Q$16/'AEO 2022 Table 1'!$C$16</f>
        <v>1.1791408863068384</v>
      </c>
      <c r="R19" s="227">
        <f>'AEO 2023 Table 1'!R$16/'AEO 2022 Table 1'!$C$16</f>
        <v>1.1774785987106731</v>
      </c>
      <c r="S19" s="227">
        <f>'AEO 2023 Table 1'!S$16/'AEO 2022 Table 1'!$C$16</f>
        <v>1.1728978897306217</v>
      </c>
      <c r="T19" s="227">
        <f>'AEO 2023 Table 1'!T$16/'AEO 2022 Table 1'!$C$16</f>
        <v>1.1681258845507367</v>
      </c>
      <c r="U19" s="227">
        <f>'AEO 2023 Table 1'!U$16/'AEO 2022 Table 1'!$C$16</f>
        <v>1.158962438410758</v>
      </c>
      <c r="V19" s="227">
        <f>'AEO 2023 Table 1'!V$16/'AEO 2022 Table 1'!$C$16</f>
        <v>1.1463744321258169</v>
      </c>
      <c r="W19" s="227">
        <f>'AEO 2023 Table 1'!W$16/'AEO 2022 Table 1'!$C$16</f>
        <v>1.1486616580405011</v>
      </c>
      <c r="X19" s="227">
        <f>'AEO 2023 Table 1'!X$16/'AEO 2022 Table 1'!$C$16</f>
        <v>1.1548637457970825</v>
      </c>
      <c r="Y19" s="227">
        <f>'AEO 2023 Table 1'!Y$16/'AEO 2022 Table 1'!$C$16</f>
        <v>1.1669458290847641</v>
      </c>
      <c r="Z19" s="227">
        <f>'AEO 2023 Table 1'!Z$16/'AEO 2022 Table 1'!$C$16</f>
        <v>1.1698269233283707</v>
      </c>
      <c r="AA19" s="227">
        <f>'AEO 2023 Table 1'!AA$16/'AEO 2022 Table 1'!$C$16</f>
        <v>1.1723620618683757</v>
      </c>
      <c r="AB19" s="227">
        <f>'AEO 2023 Table 1'!AB$16/'AEO 2022 Table 1'!$C$16</f>
        <v>1.1628999123006389</v>
      </c>
      <c r="AC19" s="227">
        <f>'AEO 2023 Table 1'!AC$16/'AEO 2022 Table 1'!$C$16</f>
        <v>1.166466315578661</v>
      </c>
      <c r="AD19" s="227">
        <f>'AEO 2023 Table 1'!AD$16/'AEO 2022 Table 1'!$C$16</f>
        <v>1.1789348750147097</v>
      </c>
      <c r="AE19" s="227">
        <f>'AEO 2023 Table 1'!AE$16/'AEO 2022 Table 1'!$C$16</f>
        <v>1.181989702283476</v>
      </c>
    </row>
    <row r="20" spans="1:33" x14ac:dyDescent="0.25">
      <c r="A20" t="s">
        <v>237</v>
      </c>
      <c r="B20">
        <f>'AEO 2022 Table 1'!C$16/'AEO 2022 Table 1'!$C$16</f>
        <v>1</v>
      </c>
      <c r="C20">
        <f>'AEO 2023 Table 1'!C$16/'AEO 2022 Table 1'!$C$16</f>
        <v>1.0609966467282199</v>
      </c>
      <c r="D20">
        <f>'AEO 2023 Table 1'!D$16/'AEO 2022 Table 1'!$C$16</f>
        <v>1.1034662586601662</v>
      </c>
      <c r="E20">
        <f>'AEO 2023 Table 1'!E$16/'AEO 2022 Table 1'!$C$16</f>
        <v>1.1342721101921345</v>
      </c>
      <c r="F20">
        <f>'AEO 2023 Table 1'!F$16/'AEO 2022 Table 1'!$C$16</f>
        <v>1.1517108754500347</v>
      </c>
      <c r="G20">
        <f>'AEO 2023 Table 1'!G$16/'AEO 2022 Table 1'!$C$16</f>
        <v>1.1677833810682008</v>
      </c>
      <c r="H20">
        <f>'AEO 2023 Table 1'!H$16/'AEO 2022 Table 1'!$C$16</f>
        <v>1.1770716249997248</v>
      </c>
      <c r="I20">
        <f>'AEO 2023 Table 1'!I$16/'AEO 2022 Table 1'!$C$16</f>
        <v>1.1929582285134732</v>
      </c>
      <c r="J20">
        <f>'AEO 2023 Table 1'!J$16/'AEO 2022 Table 1'!$C$16</f>
        <v>1.1913447898453953</v>
      </c>
      <c r="K20">
        <f>'AEO 2023 Table 1'!K$16/'AEO 2022 Table 1'!$C$16</f>
        <v>1.193503463678125</v>
      </c>
      <c r="L20">
        <f>'AEO 2023 Table 1'!L$16/'AEO 2022 Table 1'!$C$16</f>
        <v>1.1869049314848472</v>
      </c>
      <c r="M20">
        <f>'AEO 2023 Table 1'!M$16/'AEO 2022 Table 1'!$C$16</f>
        <v>1.1895570571662348</v>
      </c>
      <c r="N20">
        <f>'AEO 2023 Table 1'!N$16/'AEO 2022 Table 1'!$C$16</f>
        <v>1.192160506530588</v>
      </c>
      <c r="O20">
        <f>'AEO 2023 Table 1'!O$16/'AEO 2022 Table 1'!$C$16</f>
        <v>1.1877916344657149</v>
      </c>
      <c r="P20">
        <f>'AEO 2023 Table 1'!P$16/'AEO 2022 Table 1'!$C$16</f>
        <v>1.1847366345858954</v>
      </c>
      <c r="Q20">
        <f>'AEO 2023 Table 1'!Q$16/'AEO 2022 Table 1'!$C$16</f>
        <v>1.1791408863068384</v>
      </c>
      <c r="R20">
        <f>'AEO 2023 Table 1'!R$16/'AEO 2022 Table 1'!$C$16</f>
        <v>1.1774785987106731</v>
      </c>
      <c r="S20">
        <f>'AEO 2023 Table 1'!S$16/'AEO 2022 Table 1'!$C$16</f>
        <v>1.1728978897306217</v>
      </c>
      <c r="T20">
        <f>'AEO 2023 Table 1'!T$16/'AEO 2022 Table 1'!$C$16</f>
        <v>1.1681258845507367</v>
      </c>
      <c r="U20">
        <f>'AEO 2023 Table 1'!U$16/'AEO 2022 Table 1'!$C$16</f>
        <v>1.158962438410758</v>
      </c>
      <c r="V20">
        <f>'AEO 2023 Table 1'!V$16/'AEO 2022 Table 1'!$C$16</f>
        <v>1.1463744321258169</v>
      </c>
      <c r="W20">
        <f>'AEO 2023 Table 1'!W$16/'AEO 2022 Table 1'!$C$16</f>
        <v>1.1486616580405011</v>
      </c>
      <c r="X20">
        <f>'AEO 2023 Table 1'!X$16/'AEO 2022 Table 1'!$C$16</f>
        <v>1.1548637457970825</v>
      </c>
      <c r="Y20">
        <f>'AEO 2023 Table 1'!Y$16/'AEO 2022 Table 1'!$C$16</f>
        <v>1.1669458290847641</v>
      </c>
      <c r="Z20">
        <f>'AEO 2023 Table 1'!Z$16/'AEO 2022 Table 1'!$C$16</f>
        <v>1.1698269233283707</v>
      </c>
      <c r="AA20">
        <f>'AEO 2023 Table 1'!AA$16/'AEO 2022 Table 1'!$C$16</f>
        <v>1.1723620618683757</v>
      </c>
      <c r="AB20">
        <f>'AEO 2023 Table 1'!AB$16/'AEO 2022 Table 1'!$C$16</f>
        <v>1.1628999123006389</v>
      </c>
      <c r="AC20">
        <f>'AEO 2023 Table 1'!AC$16/'AEO 2022 Table 1'!$C$16</f>
        <v>1.166466315578661</v>
      </c>
      <c r="AD20">
        <f>'AEO 2023 Table 1'!AD$16/'AEO 2022 Table 1'!$C$16</f>
        <v>1.1789348750147097</v>
      </c>
      <c r="AE20">
        <f>'AEO 2023 Table 1'!AE$16/'AEO 2022 Table 1'!$C$16</f>
        <v>1.181989702283476</v>
      </c>
    </row>
    <row r="21" spans="1:33" x14ac:dyDescent="0.25">
      <c r="A21" t="s">
        <v>224</v>
      </c>
      <c r="B21">
        <f>'AEO 2022 Table 1'!C$17/'AEO 2022 Table 1'!$C$17</f>
        <v>1</v>
      </c>
      <c r="C21">
        <f>'AEO 2023 Table 1'!C$17/'AEO 2022 Table 1'!$C$17</f>
        <v>1.108800258056597</v>
      </c>
      <c r="D21">
        <f>'AEO 2023 Table 1'!D$17/'AEO 2022 Table 1'!$C$17</f>
        <v>1.1660584209876517</v>
      </c>
      <c r="E21">
        <f>'AEO 2023 Table 1'!E$17/'AEO 2022 Table 1'!$C$17</f>
        <v>1.1892469757208421</v>
      </c>
      <c r="F21">
        <f>'AEO 2023 Table 1'!F$17/'AEO 2022 Table 1'!$C$17</f>
        <v>1.1862540615724753</v>
      </c>
      <c r="G21">
        <f>'AEO 2023 Table 1'!G$17/'AEO 2022 Table 1'!$C$17</f>
        <v>1.2092670578907441</v>
      </c>
      <c r="H21">
        <f>'AEO 2023 Table 1'!H$17/'AEO 2022 Table 1'!$C$17</f>
        <v>1.1903597020645242</v>
      </c>
      <c r="I21">
        <f>'AEO 2023 Table 1'!I$17/'AEO 2022 Table 1'!$C$17</f>
        <v>1.1744756619658403</v>
      </c>
      <c r="J21">
        <f>'AEO 2023 Table 1'!J$17/'AEO 2022 Table 1'!$C$17</f>
        <v>1.1598425112560777</v>
      </c>
      <c r="K21">
        <f>'AEO 2023 Table 1'!K$17/'AEO 2022 Table 1'!$C$17</f>
        <v>1.1502687256956858</v>
      </c>
      <c r="L21">
        <f>'AEO 2023 Table 1'!L$17/'AEO 2022 Table 1'!$C$17</f>
        <v>1.1476469106357712</v>
      </c>
      <c r="M21">
        <f>'AEO 2023 Table 1'!M$17/'AEO 2022 Table 1'!$C$17</f>
        <v>1.1579957223693536</v>
      </c>
      <c r="N21">
        <f>'AEO 2023 Table 1'!N$17/'AEO 2022 Table 1'!$C$17</f>
        <v>1.165806929990016</v>
      </c>
      <c r="O21">
        <f>'AEO 2023 Table 1'!O$17/'AEO 2022 Table 1'!$C$17</f>
        <v>1.1819087767075374</v>
      </c>
      <c r="P21">
        <f>'AEO 2023 Table 1'!P$17/'AEO 2022 Table 1'!$C$17</f>
        <v>1.1903340105891698</v>
      </c>
      <c r="Q21">
        <f>'AEO 2023 Table 1'!Q$17/'AEO 2022 Table 1'!$C$17</f>
        <v>1.2080362934908504</v>
      </c>
      <c r="R21">
        <f>'AEO 2023 Table 1'!R$17/'AEO 2022 Table 1'!$C$17</f>
        <v>1.2156596678805889</v>
      </c>
      <c r="S21">
        <f>'AEO 2023 Table 1'!S$17/'AEO 2022 Table 1'!$C$17</f>
        <v>1.215785270648988</v>
      </c>
      <c r="T21">
        <f>'AEO 2023 Table 1'!T$17/'AEO 2022 Table 1'!$C$17</f>
        <v>1.2339988139102211</v>
      </c>
      <c r="U21">
        <f>'AEO 2023 Table 1'!U$17/'AEO 2022 Table 1'!$C$17</f>
        <v>1.2321350401036792</v>
      </c>
      <c r="V21">
        <f>'AEO 2023 Table 1'!V$17/'AEO 2022 Table 1'!$C$17</f>
        <v>1.2404909070018548</v>
      </c>
      <c r="W21">
        <f>'AEO 2023 Table 1'!W$17/'AEO 2022 Table 1'!$C$17</f>
        <v>1.2621787941135119</v>
      </c>
      <c r="X21">
        <f>'AEO 2023 Table 1'!X$17/'AEO 2022 Table 1'!$C$17</f>
        <v>1.2798648057474684</v>
      </c>
      <c r="Y21">
        <f>'AEO 2023 Table 1'!Y$17/'AEO 2022 Table 1'!$C$17</f>
        <v>1.2891576978439856</v>
      </c>
      <c r="Z21">
        <f>'AEO 2023 Table 1'!Z$17/'AEO 2022 Table 1'!$C$17</f>
        <v>1.2959882047582039</v>
      </c>
      <c r="AA21">
        <f>'AEO 2023 Table 1'!AA$17/'AEO 2022 Table 1'!$C$17</f>
        <v>1.3050996864926354</v>
      </c>
      <c r="AB21">
        <f>'AEO 2023 Table 1'!AB$17/'AEO 2022 Table 1'!$C$17</f>
        <v>1.3124361727409164</v>
      </c>
      <c r="AC21">
        <f>'AEO 2023 Table 1'!AC$17/'AEO 2022 Table 1'!$C$17</f>
        <v>1.3182641411946392</v>
      </c>
      <c r="AD21">
        <f>'AEO 2023 Table 1'!AD$17/'AEO 2022 Table 1'!$C$17</f>
        <v>1.3249287953624032</v>
      </c>
      <c r="AE21">
        <f>'AEO 2023 Table 1'!AE$17/'AEO 2022 Table 1'!$C$17</f>
        <v>1.3288838552627917</v>
      </c>
    </row>
    <row r="22" spans="1:33" x14ac:dyDescent="0.25">
      <c r="A22" t="s">
        <v>238</v>
      </c>
      <c r="B22">
        <f>'AEO 2022 Table 1'!C$24/'AEO 2022 Table 1'!$C$24</f>
        <v>1</v>
      </c>
      <c r="C22">
        <f>'AEO 2023 Table 1'!C$24/'AEO 2022 Table 1'!$C$24</f>
        <v>0.85543238206653982</v>
      </c>
      <c r="D22">
        <f>'AEO 2023 Table 1'!D$24/'AEO 2022 Table 1'!$C$24</f>
        <v>0.57838905199533552</v>
      </c>
      <c r="E22">
        <f>'AEO 2023 Table 1'!E$24/'AEO 2022 Table 1'!$C$24</f>
        <v>0.43526408246062004</v>
      </c>
      <c r="F22">
        <f>'AEO 2023 Table 1'!F$24/'AEO 2022 Table 1'!$C$24</f>
        <v>0.37676511171854199</v>
      </c>
      <c r="G22">
        <f>'AEO 2023 Table 1'!G$24/'AEO 2022 Table 1'!$C$24</f>
        <v>0.42646617697236938</v>
      </c>
      <c r="H22">
        <f>'AEO 2023 Table 1'!H$24/'AEO 2022 Table 1'!$C$24</f>
        <v>0.42293782832202836</v>
      </c>
      <c r="I22">
        <f>'AEO 2023 Table 1'!I$24/'AEO 2022 Table 1'!$C$24</f>
        <v>0.39417531880748558</v>
      </c>
      <c r="J22">
        <f>'AEO 2023 Table 1'!J$24/'AEO 2022 Table 1'!$C$24</f>
        <v>0.38826880317363899</v>
      </c>
      <c r="K22">
        <f>'AEO 2023 Table 1'!K$24/'AEO 2022 Table 1'!$C$24</f>
        <v>0.3921280516841209</v>
      </c>
      <c r="L22">
        <f>'AEO 2023 Table 1'!L$24/'AEO 2022 Table 1'!$C$24</f>
        <v>0.39254566043112593</v>
      </c>
      <c r="M22">
        <f>'AEO 2023 Table 1'!M$24/'AEO 2022 Table 1'!$C$24</f>
        <v>0.33412918030574024</v>
      </c>
      <c r="N22">
        <f>'AEO 2023 Table 1'!N$24/'AEO 2022 Table 1'!$C$24</f>
        <v>0.33208941232934752</v>
      </c>
      <c r="O22">
        <f>'AEO 2023 Table 1'!O$24/'AEO 2022 Table 1'!$C$24</f>
        <v>0.33516031301439458</v>
      </c>
      <c r="P22">
        <f>'AEO 2023 Table 1'!P$24/'AEO 2022 Table 1'!$C$24</f>
        <v>0.33261247783064674</v>
      </c>
      <c r="Q22">
        <f>'AEO 2023 Table 1'!Q$24/'AEO 2022 Table 1'!$C$24</f>
        <v>0.33101094125543218</v>
      </c>
      <c r="R22">
        <f>'AEO 2023 Table 1'!R$24/'AEO 2022 Table 1'!$C$24</f>
        <v>0.32993996932848885</v>
      </c>
      <c r="S22">
        <f>'AEO 2023 Table 1'!S$24/'AEO 2022 Table 1'!$C$24</f>
        <v>0.33035523459206512</v>
      </c>
      <c r="T22">
        <f>'AEO 2023 Table 1'!T$24/'AEO 2022 Table 1'!$C$24</f>
        <v>0.32997933985009203</v>
      </c>
      <c r="U22">
        <f>'AEO 2023 Table 1'!U$24/'AEO 2022 Table 1'!$C$24</f>
        <v>0.32838155284836346</v>
      </c>
      <c r="V22">
        <f>'AEO 2023 Table 1'!V$24/'AEO 2022 Table 1'!$C$24</f>
        <v>0.32936581588844266</v>
      </c>
      <c r="W22">
        <f>'AEO 2023 Table 1'!W$24/'AEO 2022 Table 1'!$C$24</f>
        <v>0.3282962500515566</v>
      </c>
      <c r="X22">
        <f>'AEO 2023 Table 1'!X$24/'AEO 2022 Table 1'!$C$24</f>
        <v>0.32805299647165137</v>
      </c>
      <c r="Y22">
        <f>'AEO 2023 Table 1'!Y$24/'AEO 2022 Table 1'!$C$24</f>
        <v>0.3284537321379693</v>
      </c>
      <c r="Z22">
        <f>'AEO 2023 Table 1'!Z$24/'AEO 2022 Table 1'!$C$24</f>
        <v>0.328389989388707</v>
      </c>
      <c r="AA22">
        <f>'AEO 2023 Table 1'!AA$24/'AEO 2022 Table 1'!$C$24</f>
        <v>0.31757668815172274</v>
      </c>
      <c r="AB22">
        <f>'AEO 2023 Table 1'!AB$24/'AEO 2022 Table 1'!$C$24</f>
        <v>0.31619262683869709</v>
      </c>
      <c r="AC22">
        <f>'AEO 2023 Table 1'!AC$24/'AEO 2022 Table 1'!$C$24</f>
        <v>0.31763199436064143</v>
      </c>
      <c r="AD22">
        <f>'AEO 2023 Table 1'!AD$24/'AEO 2022 Table 1'!$C$24</f>
        <v>0.31790383843837761</v>
      </c>
      <c r="AE22">
        <f>'AEO 2023 Table 1'!AE$24/'AEO 2022 Table 1'!$C$24</f>
        <v>0.31673256542068334</v>
      </c>
    </row>
    <row r="23" spans="1:33" x14ac:dyDescent="0.25">
      <c r="A23" t="s">
        <v>239</v>
      </c>
      <c r="B23">
        <v>1</v>
      </c>
      <c r="C23">
        <v>1</v>
      </c>
      <c r="D23">
        <v>2</v>
      </c>
      <c r="E23">
        <v>3</v>
      </c>
      <c r="F23">
        <v>4</v>
      </c>
      <c r="G23">
        <v>5</v>
      </c>
      <c r="H23">
        <v>6</v>
      </c>
      <c r="I23">
        <v>7</v>
      </c>
      <c r="J23">
        <v>8</v>
      </c>
      <c r="K23">
        <v>9</v>
      </c>
      <c r="L23">
        <v>10</v>
      </c>
      <c r="M23">
        <v>11</v>
      </c>
      <c r="N23">
        <v>12</v>
      </c>
      <c r="O23">
        <v>13</v>
      </c>
      <c r="P23">
        <v>14</v>
      </c>
      <c r="Q23">
        <v>15</v>
      </c>
      <c r="R23">
        <v>16</v>
      </c>
      <c r="S23">
        <v>17</v>
      </c>
      <c r="T23">
        <v>18</v>
      </c>
      <c r="U23">
        <v>19</v>
      </c>
      <c r="V23">
        <v>20</v>
      </c>
      <c r="W23">
        <v>21</v>
      </c>
      <c r="X23">
        <v>22</v>
      </c>
      <c r="Y23">
        <v>23</v>
      </c>
      <c r="Z23">
        <v>24</v>
      </c>
      <c r="AA23">
        <v>25</v>
      </c>
      <c r="AB23">
        <v>26</v>
      </c>
      <c r="AC23">
        <v>27</v>
      </c>
      <c r="AD23">
        <v>28</v>
      </c>
      <c r="AE23">
        <v>29</v>
      </c>
    </row>
    <row r="26" spans="1:33" x14ac:dyDescent="0.25">
      <c r="A26" s="196" t="s">
        <v>581</v>
      </c>
      <c r="B26" s="197"/>
      <c r="C26" s="197"/>
      <c r="D26" s="197"/>
      <c r="E26" s="197"/>
      <c r="F26" s="197"/>
      <c r="G26" s="197"/>
      <c r="H26" s="197"/>
      <c r="I26" s="197"/>
      <c r="J26" s="197"/>
      <c r="K26" s="197"/>
      <c r="L26" s="197"/>
      <c r="M26" s="197"/>
      <c r="N26" s="197"/>
      <c r="O26" s="197"/>
      <c r="P26" s="197"/>
      <c r="Q26" s="197"/>
      <c r="R26" s="197"/>
      <c r="S26" s="197"/>
      <c r="T26" s="197"/>
      <c r="U26" s="197"/>
      <c r="V26" s="197"/>
      <c r="W26" s="197"/>
      <c r="X26" s="197"/>
      <c r="Y26" s="197"/>
      <c r="Z26" s="197"/>
      <c r="AA26" s="197"/>
      <c r="AB26" s="197"/>
      <c r="AC26" s="197"/>
      <c r="AD26" s="197"/>
      <c r="AE26" s="197"/>
      <c r="AF26" s="197"/>
      <c r="AG26" s="197"/>
    </row>
    <row r="27" spans="1:33" s="1" customFormat="1" x14ac:dyDescent="0.25">
      <c r="B27" s="1">
        <f t="shared" ref="B27:AE27" si="0">B2</f>
        <v>2021</v>
      </c>
      <c r="C27" s="1">
        <f t="shared" si="0"/>
        <v>2022</v>
      </c>
      <c r="D27" s="1">
        <f t="shared" si="0"/>
        <v>2023</v>
      </c>
      <c r="E27" s="1">
        <f t="shared" si="0"/>
        <v>2024</v>
      </c>
      <c r="F27" s="1">
        <f t="shared" si="0"/>
        <v>2025</v>
      </c>
      <c r="G27" s="1">
        <f t="shared" si="0"/>
        <v>2026</v>
      </c>
      <c r="H27" s="1">
        <f t="shared" si="0"/>
        <v>2027</v>
      </c>
      <c r="I27" s="1">
        <f t="shared" si="0"/>
        <v>2028</v>
      </c>
      <c r="J27" s="1">
        <f t="shared" si="0"/>
        <v>2029</v>
      </c>
      <c r="K27" s="1">
        <f t="shared" si="0"/>
        <v>2030</v>
      </c>
      <c r="L27" s="1">
        <f t="shared" si="0"/>
        <v>2031</v>
      </c>
      <c r="M27" s="1">
        <f t="shared" si="0"/>
        <v>2032</v>
      </c>
      <c r="N27" s="1">
        <f t="shared" si="0"/>
        <v>2033</v>
      </c>
      <c r="O27" s="1">
        <f t="shared" si="0"/>
        <v>2034</v>
      </c>
      <c r="P27" s="1">
        <f t="shared" si="0"/>
        <v>2035</v>
      </c>
      <c r="Q27" s="1">
        <f t="shared" si="0"/>
        <v>2036</v>
      </c>
      <c r="R27" s="1">
        <f t="shared" si="0"/>
        <v>2037</v>
      </c>
      <c r="S27" s="1">
        <f t="shared" si="0"/>
        <v>2038</v>
      </c>
      <c r="T27" s="1">
        <f t="shared" si="0"/>
        <v>2039</v>
      </c>
      <c r="U27" s="1">
        <f t="shared" si="0"/>
        <v>2040</v>
      </c>
      <c r="V27" s="1">
        <f t="shared" si="0"/>
        <v>2041</v>
      </c>
      <c r="W27" s="1">
        <f t="shared" si="0"/>
        <v>2042</v>
      </c>
      <c r="X27" s="1">
        <f t="shared" si="0"/>
        <v>2043</v>
      </c>
      <c r="Y27" s="1">
        <f t="shared" si="0"/>
        <v>2044</v>
      </c>
      <c r="Z27" s="1">
        <f t="shared" si="0"/>
        <v>2045</v>
      </c>
      <c r="AA27" s="1">
        <f t="shared" si="0"/>
        <v>2046</v>
      </c>
      <c r="AB27" s="1">
        <f t="shared" si="0"/>
        <v>2047</v>
      </c>
      <c r="AC27" s="1">
        <f t="shared" si="0"/>
        <v>2048</v>
      </c>
      <c r="AD27" s="1">
        <f t="shared" si="0"/>
        <v>2049</v>
      </c>
      <c r="AE27" s="1">
        <f t="shared" si="0"/>
        <v>2050</v>
      </c>
    </row>
    <row r="28" spans="1:33" x14ac:dyDescent="0.25">
      <c r="A28" s="31" t="s">
        <v>225</v>
      </c>
      <c r="B28" s="7">
        <v>0</v>
      </c>
      <c r="C28" s="7">
        <v>0</v>
      </c>
      <c r="D28" s="7">
        <v>0</v>
      </c>
      <c r="E28" s="7">
        <v>0</v>
      </c>
      <c r="F28" s="7">
        <v>0</v>
      </c>
      <c r="G28" s="7">
        <v>0</v>
      </c>
      <c r="H28" s="7">
        <v>0</v>
      </c>
      <c r="I28" s="7">
        <v>0</v>
      </c>
      <c r="J28" s="7">
        <v>0</v>
      </c>
      <c r="K28" s="7">
        <v>0</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c r="AG28" s="7"/>
    </row>
    <row r="29" spans="1:33" x14ac:dyDescent="0.25">
      <c r="A29" t="s">
        <v>226</v>
      </c>
      <c r="B29">
        <f>'AEO 2022 Table 1'!C$31/'AEO 2022 Table 1'!$C$31</f>
        <v>1</v>
      </c>
      <c r="C29">
        <f>'AEO 2023 Table 1'!C$31/'AEO 2022 Table 1'!$C$31</f>
        <v>0.87355538107635311</v>
      </c>
      <c r="D29">
        <f>'AEO 2023 Table 1'!D$31/'AEO 2022 Table 1'!$C$31</f>
        <v>1.1609329586622037</v>
      </c>
      <c r="E29">
        <f>'AEO 2023 Table 1'!E$31/'AEO 2022 Table 1'!$C$31</f>
        <v>0.50101932586746012</v>
      </c>
      <c r="F29">
        <f>'AEO 2023 Table 1'!F$31/'AEO 2022 Table 1'!$C$31</f>
        <v>0.45057302643359926</v>
      </c>
      <c r="G29">
        <f>'AEO 2023 Table 1'!G$31/'AEO 2022 Table 1'!$C$31</f>
        <v>0.48665578467429788</v>
      </c>
      <c r="H29">
        <f>'AEO 2023 Table 1'!H$31/'AEO 2022 Table 1'!$C$31</f>
        <v>0.53471562185765253</v>
      </c>
      <c r="I29">
        <f>'AEO 2023 Table 1'!I$31/'AEO 2022 Table 1'!$C$31</f>
        <v>0.61057275094012153</v>
      </c>
      <c r="J29">
        <f>'AEO 2023 Table 1'!J$31/'AEO 2022 Table 1'!$C$31</f>
        <v>0.58248963455790181</v>
      </c>
      <c r="K29">
        <f>'AEO 2023 Table 1'!K$31/'AEO 2022 Table 1'!$C$31</f>
        <v>0.60706365276802077</v>
      </c>
      <c r="L29">
        <f>'AEO 2023 Table 1'!L$31/'AEO 2022 Table 1'!$C$31</f>
        <v>0.57485846522583584</v>
      </c>
      <c r="M29">
        <f>'AEO 2023 Table 1'!M$31/'AEO 2022 Table 1'!$C$31</f>
        <v>0.58650495199526154</v>
      </c>
      <c r="N29">
        <f>'AEO 2023 Table 1'!N$31/'AEO 2022 Table 1'!$C$31</f>
        <v>0.58313704423047785</v>
      </c>
      <c r="O29">
        <f>'AEO 2023 Table 1'!O$31/'AEO 2022 Table 1'!$C$31</f>
        <v>0.58679422014683802</v>
      </c>
      <c r="P29">
        <f>'AEO 2023 Table 1'!P$31/'AEO 2022 Table 1'!$C$31</f>
        <v>0.57144923343939835</v>
      </c>
      <c r="Q29">
        <f>'AEO 2023 Table 1'!Q$31/'AEO 2022 Table 1'!$C$31</f>
        <v>0.5647788476107829</v>
      </c>
      <c r="R29">
        <f>'AEO 2023 Table 1'!R$31/'AEO 2022 Table 1'!$C$31</f>
        <v>0.5642760720139951</v>
      </c>
      <c r="S29">
        <f>'AEO 2023 Table 1'!S$31/'AEO 2022 Table 1'!$C$31</f>
        <v>0.57515117704588348</v>
      </c>
      <c r="T29">
        <f>'AEO 2023 Table 1'!T$31/'AEO 2022 Table 1'!$C$31</f>
        <v>0.58225546510186377</v>
      </c>
      <c r="U29">
        <f>'AEO 2023 Table 1'!U$31/'AEO 2022 Table 1'!$C$31</f>
        <v>0.58753805253660618</v>
      </c>
      <c r="V29">
        <f>'AEO 2023 Table 1'!V$31/'AEO 2022 Table 1'!$C$31</f>
        <v>0.57180048762345559</v>
      </c>
      <c r="W29">
        <f>'AEO 2023 Table 1'!W$31/'AEO 2022 Table 1'!$C$31</f>
        <v>0.57068818270727451</v>
      </c>
      <c r="X29">
        <f>'AEO 2023 Table 1'!X$31/'AEO 2022 Table 1'!$C$31</f>
        <v>0.5621857652520077</v>
      </c>
      <c r="Y29">
        <f>'AEO 2023 Table 1'!Y$31/'AEO 2022 Table 1'!$C$31</f>
        <v>0.55603192969406456</v>
      </c>
      <c r="Z29">
        <f>'AEO 2023 Table 1'!Z$31/'AEO 2022 Table 1'!$C$31</f>
        <v>0.54587999504111739</v>
      </c>
      <c r="AA29">
        <f>'AEO 2023 Table 1'!AA$31/'AEO 2022 Table 1'!$C$31</f>
        <v>0.53396490213094205</v>
      </c>
      <c r="AB29">
        <f>'AEO 2023 Table 1'!AB$31/'AEO 2022 Table 1'!$C$31</f>
        <v>0.53271829414438621</v>
      </c>
      <c r="AC29">
        <f>'AEO 2023 Table 1'!AC$31/'AEO 2022 Table 1'!$C$31</f>
        <v>0.54289089080816022</v>
      </c>
      <c r="AD29">
        <f>'AEO 2023 Table 1'!AD$31/'AEO 2022 Table 1'!$C$31</f>
        <v>0.54816314723748916</v>
      </c>
      <c r="AE29">
        <f>'AEO 2023 Table 1'!AE$31/'AEO 2022 Table 1'!$C$31</f>
        <v>0.54155474744135446</v>
      </c>
    </row>
    <row r="30" spans="1:33" x14ac:dyDescent="0.25">
      <c r="A30" t="s">
        <v>216</v>
      </c>
      <c r="B30">
        <f>'AEO 2022 Table 1'!C$30/'AEO 2022 Table 1'!$C$30</f>
        <v>1</v>
      </c>
      <c r="C30">
        <f>'AEO 2023 Table 1'!C$30/'AEO 2022 Table 1'!$C$30</f>
        <v>1.0655234705418835</v>
      </c>
      <c r="D30">
        <f>'AEO 2023 Table 1'!D$30/'AEO 2022 Table 1'!$C$30</f>
        <v>1.0036404310481919</v>
      </c>
      <c r="E30">
        <f>'AEO 2023 Table 1'!E$30/'AEO 2022 Table 1'!$C$30</f>
        <v>0.87948876012000177</v>
      </c>
      <c r="F30">
        <f>'AEO 2023 Table 1'!F$30/'AEO 2022 Table 1'!$C$30</f>
        <v>0.84010799433226302</v>
      </c>
      <c r="G30">
        <f>'AEO 2023 Table 1'!G$30/'AEO 2022 Table 1'!$C$30</f>
        <v>0.80481507489381932</v>
      </c>
      <c r="H30">
        <f>'AEO 2023 Table 1'!H$30/'AEO 2022 Table 1'!$C$30</f>
        <v>0.78049240698353828</v>
      </c>
      <c r="I30">
        <f>'AEO 2023 Table 1'!I$30/'AEO 2022 Table 1'!$C$30</f>
        <v>0.74107233154474428</v>
      </c>
      <c r="J30">
        <f>'AEO 2023 Table 1'!J$30/'AEO 2022 Table 1'!$C$30</f>
        <v>0.72921296718180184</v>
      </c>
      <c r="K30">
        <f>'AEO 2023 Table 1'!K$30/'AEO 2022 Table 1'!$C$30</f>
        <v>0.74075999849908614</v>
      </c>
      <c r="L30">
        <f>'AEO 2023 Table 1'!L$30/'AEO 2022 Table 1'!$C$30</f>
        <v>0.73899999821319773</v>
      </c>
      <c r="M30">
        <f>'AEO 2023 Table 1'!M$30/'AEO 2022 Table 1'!$C$30</f>
        <v>0.75713246816364965</v>
      </c>
      <c r="N30">
        <f>'AEO 2023 Table 1'!N$30/'AEO 2022 Table 1'!$C$30</f>
        <v>0.76400165100534434</v>
      </c>
      <c r="O30">
        <f>'AEO 2023 Table 1'!O$30/'AEO 2022 Table 1'!$C$30</f>
        <v>0.76535962076907549</v>
      </c>
      <c r="P30">
        <f>'AEO 2023 Table 1'!P$30/'AEO 2022 Table 1'!$C$30</f>
        <v>0.7596397091800543</v>
      </c>
      <c r="Q30">
        <f>'AEO 2023 Table 1'!Q$30/'AEO 2022 Table 1'!$C$30</f>
        <v>0.74344699182895302</v>
      </c>
      <c r="R30">
        <f>'AEO 2023 Table 1'!R$30/'AEO 2022 Table 1'!$C$30</f>
        <v>0.7430778384694966</v>
      </c>
      <c r="S30">
        <f>'AEO 2023 Table 1'!S$30/'AEO 2022 Table 1'!$C$30</f>
        <v>0.76366823369230197</v>
      </c>
      <c r="T30">
        <f>'AEO 2023 Table 1'!T$30/'AEO 2022 Table 1'!$C$30</f>
        <v>0.7540520209627648</v>
      </c>
      <c r="U30">
        <f>'AEO 2023 Table 1'!U$30/'AEO 2022 Table 1'!$C$30</f>
        <v>0.79741342496055634</v>
      </c>
      <c r="V30">
        <f>'AEO 2023 Table 1'!V$30/'AEO 2022 Table 1'!$C$30</f>
        <v>0.80648430562181617</v>
      </c>
      <c r="W30">
        <f>'AEO 2023 Table 1'!W$30/'AEO 2022 Table 1'!$C$30</f>
        <v>0.81110426170221517</v>
      </c>
      <c r="X30">
        <f>'AEO 2023 Table 1'!X$30/'AEO 2022 Table 1'!$C$30</f>
        <v>0.82836227059691703</v>
      </c>
      <c r="Y30">
        <f>'AEO 2023 Table 1'!Y$30/'AEO 2022 Table 1'!$C$30</f>
        <v>0.85836554044516389</v>
      </c>
      <c r="Z30">
        <f>'AEO 2023 Table 1'!Z$30/'AEO 2022 Table 1'!$C$30</f>
        <v>0.88532517122033239</v>
      </c>
      <c r="AA30">
        <f>'AEO 2023 Table 1'!AA$30/'AEO 2022 Table 1'!$C$30</f>
        <v>0.89628112832992946</v>
      </c>
      <c r="AB30">
        <f>'AEO 2023 Table 1'!AB$30/'AEO 2022 Table 1'!$C$30</f>
        <v>0.90606958880318189</v>
      </c>
      <c r="AC30">
        <f>'AEO 2023 Table 1'!AC$30/'AEO 2022 Table 1'!$C$30</f>
        <v>0.92291270219901755</v>
      </c>
      <c r="AD30">
        <f>'AEO 2023 Table 1'!AD$30/'AEO 2022 Table 1'!$C$30</f>
        <v>0.928875976264118</v>
      </c>
      <c r="AE30">
        <f>'AEO 2023 Table 1'!AE$30/'AEO 2022 Table 1'!$C$30</f>
        <v>0.93885884082986248</v>
      </c>
    </row>
    <row r="31" spans="1:33" x14ac:dyDescent="0.25">
      <c r="A31" t="s">
        <v>218</v>
      </c>
      <c r="B31">
        <v>1</v>
      </c>
      <c r="C31">
        <v>1</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row>
    <row r="32" spans="1:33" x14ac:dyDescent="0.25">
      <c r="A32" s="7" t="s">
        <v>228</v>
      </c>
      <c r="B32" s="7">
        <v>0</v>
      </c>
      <c r="C32" s="7">
        <v>0</v>
      </c>
      <c r="D32" s="7">
        <v>0</v>
      </c>
      <c r="E32" s="7">
        <v>0</v>
      </c>
      <c r="F32" s="7">
        <v>0</v>
      </c>
      <c r="G32" s="7">
        <v>0</v>
      </c>
      <c r="H32" s="7">
        <v>0</v>
      </c>
      <c r="I32" s="7">
        <v>0</v>
      </c>
      <c r="J32" s="7">
        <v>0</v>
      </c>
      <c r="K32" s="7">
        <v>0</v>
      </c>
      <c r="L32" s="7">
        <v>0</v>
      </c>
      <c r="M32" s="7">
        <v>0</v>
      </c>
      <c r="N32" s="7">
        <v>0</v>
      </c>
      <c r="O32" s="7">
        <v>0</v>
      </c>
      <c r="P32" s="7">
        <v>0</v>
      </c>
      <c r="Q32" s="7">
        <v>0</v>
      </c>
      <c r="R32" s="7">
        <v>0</v>
      </c>
      <c r="S32" s="7">
        <v>0</v>
      </c>
      <c r="T32" s="7">
        <v>0</v>
      </c>
      <c r="U32" s="7">
        <v>0</v>
      </c>
      <c r="V32" s="7">
        <v>0</v>
      </c>
      <c r="W32" s="7">
        <v>0</v>
      </c>
      <c r="X32" s="7">
        <v>0</v>
      </c>
      <c r="Y32" s="7">
        <v>0</v>
      </c>
      <c r="Z32" s="7">
        <v>0</v>
      </c>
      <c r="AA32" s="7">
        <v>0</v>
      </c>
      <c r="AB32" s="7">
        <v>0</v>
      </c>
      <c r="AC32" s="7">
        <v>0</v>
      </c>
      <c r="AD32" s="7">
        <v>0</v>
      </c>
      <c r="AE32" s="7">
        <v>0</v>
      </c>
      <c r="AF32" s="7"/>
      <c r="AG32" s="7"/>
    </row>
    <row r="33" spans="1:33" x14ac:dyDescent="0.25">
      <c r="A33" s="7" t="s">
        <v>229</v>
      </c>
      <c r="B33" s="7">
        <v>0</v>
      </c>
      <c r="C33" s="7">
        <v>0</v>
      </c>
      <c r="D33" s="7">
        <v>0</v>
      </c>
      <c r="E33" s="7">
        <v>0</v>
      </c>
      <c r="F33" s="7">
        <v>0</v>
      </c>
      <c r="G33" s="7">
        <v>0</v>
      </c>
      <c r="H33" s="7">
        <v>0</v>
      </c>
      <c r="I33" s="7">
        <v>0</v>
      </c>
      <c r="J33" s="7">
        <v>0</v>
      </c>
      <c r="K33" s="7">
        <v>0</v>
      </c>
      <c r="L33" s="7">
        <v>0</v>
      </c>
      <c r="M33" s="7">
        <v>0</v>
      </c>
      <c r="N33" s="7">
        <v>0</v>
      </c>
      <c r="O33" s="7">
        <v>0</v>
      </c>
      <c r="P33" s="7">
        <v>0</v>
      </c>
      <c r="Q33" s="7">
        <v>0</v>
      </c>
      <c r="R33" s="7">
        <v>0</v>
      </c>
      <c r="S33" s="7">
        <v>0</v>
      </c>
      <c r="T33" s="7">
        <v>0</v>
      </c>
      <c r="U33" s="7">
        <v>0</v>
      </c>
      <c r="V33" s="7">
        <v>0</v>
      </c>
      <c r="W33" s="7">
        <v>0</v>
      </c>
      <c r="X33" s="7">
        <v>0</v>
      </c>
      <c r="Y33" s="7">
        <v>0</v>
      </c>
      <c r="Z33" s="7">
        <v>0</v>
      </c>
      <c r="AA33" s="7">
        <v>0</v>
      </c>
      <c r="AB33" s="7">
        <v>0</v>
      </c>
      <c r="AC33" s="7">
        <v>0</v>
      </c>
      <c r="AD33" s="7">
        <v>0</v>
      </c>
      <c r="AE33" s="7">
        <v>0</v>
      </c>
      <c r="AF33" s="7"/>
      <c r="AG33" s="7"/>
    </row>
    <row r="34" spans="1:33" x14ac:dyDescent="0.25">
      <c r="A34" s="7" t="s">
        <v>230</v>
      </c>
      <c r="B34" s="7">
        <v>0</v>
      </c>
      <c r="C34" s="7">
        <v>0</v>
      </c>
      <c r="D34" s="7">
        <v>0</v>
      </c>
      <c r="E34" s="7">
        <v>0</v>
      </c>
      <c r="F34" s="7">
        <v>0</v>
      </c>
      <c r="G34" s="7">
        <v>0</v>
      </c>
      <c r="H34" s="7">
        <v>0</v>
      </c>
      <c r="I34" s="7">
        <v>0</v>
      </c>
      <c r="J34" s="7">
        <v>0</v>
      </c>
      <c r="K34" s="7">
        <v>0</v>
      </c>
      <c r="L34" s="7">
        <v>0</v>
      </c>
      <c r="M34" s="7">
        <v>0</v>
      </c>
      <c r="N34" s="7">
        <v>0</v>
      </c>
      <c r="O34" s="7">
        <v>0</v>
      </c>
      <c r="P34" s="7">
        <v>0</v>
      </c>
      <c r="Q34" s="7">
        <v>0</v>
      </c>
      <c r="R34" s="7">
        <v>0</v>
      </c>
      <c r="S34" s="7">
        <v>0</v>
      </c>
      <c r="T34" s="7">
        <v>0</v>
      </c>
      <c r="U34" s="7">
        <v>0</v>
      </c>
      <c r="V34" s="7">
        <v>0</v>
      </c>
      <c r="W34" s="7">
        <v>0</v>
      </c>
      <c r="X34" s="7">
        <v>0</v>
      </c>
      <c r="Y34" s="7">
        <v>0</v>
      </c>
      <c r="Z34" s="7">
        <v>0</v>
      </c>
      <c r="AA34" s="7">
        <v>0</v>
      </c>
      <c r="AB34" s="7">
        <v>0</v>
      </c>
      <c r="AC34" s="7">
        <v>0</v>
      </c>
      <c r="AD34" s="7">
        <v>0</v>
      </c>
      <c r="AE34" s="7">
        <v>0</v>
      </c>
      <c r="AF34" s="7"/>
      <c r="AG34" s="7"/>
    </row>
    <row r="35" spans="1:33" x14ac:dyDescent="0.25">
      <c r="A35" t="s">
        <v>219</v>
      </c>
      <c r="B35">
        <v>1</v>
      </c>
      <c r="C35">
        <v>1</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row>
    <row r="36" spans="1:33" x14ac:dyDescent="0.25">
      <c r="A36" t="s">
        <v>220</v>
      </c>
      <c r="B36">
        <f>'AEO 2022 Table 1'!C$29/'AEO 2022 Table 1'!$C$29</f>
        <v>1</v>
      </c>
      <c r="C36">
        <f>'AEO 2023 Table 1'!C$29/'AEO 2022 Table 1'!$C$29</f>
        <v>1.0090954892785442</v>
      </c>
      <c r="D36">
        <f>'AEO 2023 Table 1'!D$29/'AEO 2022 Table 1'!$C$29</f>
        <v>1.0261617773163665</v>
      </c>
      <c r="E36">
        <f>'AEO 2023 Table 1'!E$29/'AEO 2022 Table 1'!$C$29</f>
        <v>0.8545631391588232</v>
      </c>
      <c r="F36">
        <f>'AEO 2023 Table 1'!F$29/'AEO 2022 Table 1'!$C$29</f>
        <v>0.85541259432854022</v>
      </c>
      <c r="G36">
        <f>'AEO 2023 Table 1'!G$29/'AEO 2022 Table 1'!$C$29</f>
        <v>0.85578982367125789</v>
      </c>
      <c r="H36">
        <f>'AEO 2023 Table 1'!H$29/'AEO 2022 Table 1'!$C$29</f>
        <v>0.84666804072295732</v>
      </c>
      <c r="I36">
        <f>'AEO 2023 Table 1'!I$29/'AEO 2022 Table 1'!$C$29</f>
        <v>0.82991791285938576</v>
      </c>
      <c r="J36">
        <f>'AEO 2023 Table 1'!J$29/'AEO 2022 Table 1'!$C$29</f>
        <v>0.8137818694120651</v>
      </c>
      <c r="K36">
        <f>'AEO 2023 Table 1'!K$29/'AEO 2022 Table 1'!$C$29</f>
        <v>0.80671162884195047</v>
      </c>
      <c r="L36">
        <f>'AEO 2023 Table 1'!L$29/'AEO 2022 Table 1'!$C$29</f>
        <v>0.80710879048270945</v>
      </c>
      <c r="M36">
        <f>'AEO 2023 Table 1'!M$29/'AEO 2022 Table 1'!$C$29</f>
        <v>0.79324863378940136</v>
      </c>
      <c r="N36">
        <f>'AEO 2023 Table 1'!N$29/'AEO 2022 Table 1'!$C$29</f>
        <v>0.78841059855418749</v>
      </c>
      <c r="O36">
        <f>'AEO 2023 Table 1'!O$29/'AEO 2022 Table 1'!$C$29</f>
        <v>0.78133972184690137</v>
      </c>
      <c r="P36">
        <f>'AEO 2023 Table 1'!P$29/'AEO 2022 Table 1'!$C$29</f>
        <v>0.78072500129347899</v>
      </c>
      <c r="Q36">
        <f>'AEO 2023 Table 1'!Q$29/'AEO 2022 Table 1'!$C$29</f>
        <v>0.7783216750594365</v>
      </c>
      <c r="R36">
        <f>'AEO 2023 Table 1'!R$29/'AEO 2022 Table 1'!$C$29</f>
        <v>0.78060477136805972</v>
      </c>
      <c r="S36">
        <f>'AEO 2023 Table 1'!S$29/'AEO 2022 Table 1'!$C$29</f>
        <v>0.78140375965550213</v>
      </c>
      <c r="T36">
        <f>'AEO 2023 Table 1'!T$29/'AEO 2022 Table 1'!$C$29</f>
        <v>0.78305771630148158</v>
      </c>
      <c r="U36">
        <f>'AEO 2023 Table 1'!U$29/'AEO 2022 Table 1'!$C$29</f>
        <v>0.78507999636977721</v>
      </c>
      <c r="V36">
        <f>'AEO 2023 Table 1'!V$29/'AEO 2022 Table 1'!$C$29</f>
        <v>0.78952426269581366</v>
      </c>
      <c r="W36">
        <f>'AEO 2023 Table 1'!W$29/'AEO 2022 Table 1'!$C$29</f>
        <v>0.78852913211381603</v>
      </c>
      <c r="X36">
        <f>'AEO 2023 Table 1'!X$29/'AEO 2022 Table 1'!$C$29</f>
        <v>0.78994708186915774</v>
      </c>
      <c r="Y36">
        <f>'AEO 2023 Table 1'!Y$29/'AEO 2022 Table 1'!$C$29</f>
        <v>0.78820067328758237</v>
      </c>
      <c r="Z36">
        <f>'AEO 2023 Table 1'!Z$29/'AEO 2022 Table 1'!$C$29</f>
        <v>0.79465046806973083</v>
      </c>
      <c r="AA36">
        <f>'AEO 2023 Table 1'!AA$29/'AEO 2022 Table 1'!$C$29</f>
        <v>0.78932706017263921</v>
      </c>
      <c r="AB36">
        <f>'AEO 2023 Table 1'!AB$29/'AEO 2022 Table 1'!$C$29</f>
        <v>0.79392569578563366</v>
      </c>
      <c r="AC36">
        <f>'AEO 2023 Table 1'!AC$29/'AEO 2022 Table 1'!$C$29</f>
        <v>0.80932933330279888</v>
      </c>
      <c r="AD36">
        <f>'AEO 2023 Table 1'!AD$29/'AEO 2022 Table 1'!$C$29</f>
        <v>0.81354904320728494</v>
      </c>
      <c r="AE36">
        <f>'AEO 2023 Table 1'!AE$29/'AEO 2022 Table 1'!$C$29</f>
        <v>0.79891279916470959</v>
      </c>
    </row>
    <row r="37" spans="1:33" x14ac:dyDescent="0.25">
      <c r="A37" t="s">
        <v>231</v>
      </c>
      <c r="B37">
        <f>'AEO 2022 Table 1'!C$29/'AEO 2022 Table 1'!$C$29</f>
        <v>1</v>
      </c>
      <c r="C37">
        <f>'AEO 2023 Table 1'!C$29/'AEO 2022 Table 1'!$C$29</f>
        <v>1.0090954892785442</v>
      </c>
      <c r="D37">
        <f>'AEO 2023 Table 1'!D$29/'AEO 2022 Table 1'!$C$29</f>
        <v>1.0261617773163665</v>
      </c>
      <c r="E37">
        <f>'AEO 2023 Table 1'!E$29/'AEO 2022 Table 1'!$C$29</f>
        <v>0.8545631391588232</v>
      </c>
      <c r="F37">
        <f>'AEO 2023 Table 1'!F$29/'AEO 2022 Table 1'!$C$29</f>
        <v>0.85541259432854022</v>
      </c>
      <c r="G37">
        <f>'AEO 2023 Table 1'!G$29/'AEO 2022 Table 1'!$C$29</f>
        <v>0.85578982367125789</v>
      </c>
      <c r="H37">
        <f>'AEO 2023 Table 1'!H$29/'AEO 2022 Table 1'!$C$29</f>
        <v>0.84666804072295732</v>
      </c>
      <c r="I37">
        <f>'AEO 2023 Table 1'!I$29/'AEO 2022 Table 1'!$C$29</f>
        <v>0.82991791285938576</v>
      </c>
      <c r="J37">
        <f>'AEO 2023 Table 1'!J$29/'AEO 2022 Table 1'!$C$29</f>
        <v>0.8137818694120651</v>
      </c>
      <c r="K37">
        <f>'AEO 2023 Table 1'!K$29/'AEO 2022 Table 1'!$C$29</f>
        <v>0.80671162884195047</v>
      </c>
      <c r="L37">
        <f>'AEO 2023 Table 1'!L$29/'AEO 2022 Table 1'!$C$29</f>
        <v>0.80710879048270945</v>
      </c>
      <c r="M37">
        <f>'AEO 2023 Table 1'!M$29/'AEO 2022 Table 1'!$C$29</f>
        <v>0.79324863378940136</v>
      </c>
      <c r="N37">
        <f>'AEO 2023 Table 1'!N$29/'AEO 2022 Table 1'!$C$29</f>
        <v>0.78841059855418749</v>
      </c>
      <c r="O37">
        <f>'AEO 2023 Table 1'!O$29/'AEO 2022 Table 1'!$C$29</f>
        <v>0.78133972184690137</v>
      </c>
      <c r="P37">
        <f>'AEO 2023 Table 1'!P$29/'AEO 2022 Table 1'!$C$29</f>
        <v>0.78072500129347899</v>
      </c>
      <c r="Q37">
        <f>'AEO 2023 Table 1'!Q$29/'AEO 2022 Table 1'!$C$29</f>
        <v>0.7783216750594365</v>
      </c>
      <c r="R37">
        <f>'AEO 2023 Table 1'!R$29/'AEO 2022 Table 1'!$C$29</f>
        <v>0.78060477136805972</v>
      </c>
      <c r="S37">
        <f>'AEO 2023 Table 1'!S$29/'AEO 2022 Table 1'!$C$29</f>
        <v>0.78140375965550213</v>
      </c>
      <c r="T37">
        <f>'AEO 2023 Table 1'!T$29/'AEO 2022 Table 1'!$C$29</f>
        <v>0.78305771630148158</v>
      </c>
      <c r="U37">
        <f>'AEO 2023 Table 1'!U$29/'AEO 2022 Table 1'!$C$29</f>
        <v>0.78507999636977721</v>
      </c>
      <c r="V37">
        <f>'AEO 2023 Table 1'!V$29/'AEO 2022 Table 1'!$C$29</f>
        <v>0.78952426269581366</v>
      </c>
      <c r="W37">
        <f>'AEO 2023 Table 1'!W$29/'AEO 2022 Table 1'!$C$29</f>
        <v>0.78852913211381603</v>
      </c>
      <c r="X37">
        <f>'AEO 2023 Table 1'!X$29/'AEO 2022 Table 1'!$C$29</f>
        <v>0.78994708186915774</v>
      </c>
      <c r="Y37">
        <f>'AEO 2023 Table 1'!Y$29/'AEO 2022 Table 1'!$C$29</f>
        <v>0.78820067328758237</v>
      </c>
      <c r="Z37">
        <f>'AEO 2023 Table 1'!Z$29/'AEO 2022 Table 1'!$C$29</f>
        <v>0.79465046806973083</v>
      </c>
      <c r="AA37">
        <f>'AEO 2023 Table 1'!AA$29/'AEO 2022 Table 1'!$C$29</f>
        <v>0.78932706017263921</v>
      </c>
      <c r="AB37">
        <f>'AEO 2023 Table 1'!AB$29/'AEO 2022 Table 1'!$C$29</f>
        <v>0.79392569578563366</v>
      </c>
      <c r="AC37">
        <f>'AEO 2023 Table 1'!AC$29/'AEO 2022 Table 1'!$C$29</f>
        <v>0.80932933330279888</v>
      </c>
      <c r="AD37">
        <f>'AEO 2023 Table 1'!AD$29/'AEO 2022 Table 1'!$C$29</f>
        <v>0.81354904320728494</v>
      </c>
      <c r="AE37">
        <f>'AEO 2023 Table 1'!AE$29/'AEO 2022 Table 1'!$C$29</f>
        <v>0.79891279916470959</v>
      </c>
    </row>
    <row r="38" spans="1:33" x14ac:dyDescent="0.25">
      <c r="A38" t="s">
        <v>232</v>
      </c>
      <c r="B38">
        <f>'AEO 2022 Table 1'!C$29/'AEO 2022 Table 1'!$C$29</f>
        <v>1</v>
      </c>
      <c r="C38">
        <f>'AEO 2023 Table 1'!C$29/'AEO 2022 Table 1'!$C$29</f>
        <v>1.0090954892785442</v>
      </c>
      <c r="D38">
        <f>'AEO 2023 Table 1'!D$29/'AEO 2022 Table 1'!$C$29</f>
        <v>1.0261617773163665</v>
      </c>
      <c r="E38">
        <f>'AEO 2023 Table 1'!E$29/'AEO 2022 Table 1'!$C$29</f>
        <v>0.8545631391588232</v>
      </c>
      <c r="F38">
        <f>'AEO 2023 Table 1'!F$29/'AEO 2022 Table 1'!$C$29</f>
        <v>0.85541259432854022</v>
      </c>
      <c r="G38">
        <f>'AEO 2023 Table 1'!G$29/'AEO 2022 Table 1'!$C$29</f>
        <v>0.85578982367125789</v>
      </c>
      <c r="H38">
        <f>'AEO 2023 Table 1'!H$29/'AEO 2022 Table 1'!$C$29</f>
        <v>0.84666804072295732</v>
      </c>
      <c r="I38">
        <f>'AEO 2023 Table 1'!I$29/'AEO 2022 Table 1'!$C$29</f>
        <v>0.82991791285938576</v>
      </c>
      <c r="J38">
        <f>'AEO 2023 Table 1'!J$29/'AEO 2022 Table 1'!$C$29</f>
        <v>0.8137818694120651</v>
      </c>
      <c r="K38">
        <f>'AEO 2023 Table 1'!K$29/'AEO 2022 Table 1'!$C$29</f>
        <v>0.80671162884195047</v>
      </c>
      <c r="L38">
        <f>'AEO 2023 Table 1'!L$29/'AEO 2022 Table 1'!$C$29</f>
        <v>0.80710879048270945</v>
      </c>
      <c r="M38">
        <f>'AEO 2023 Table 1'!M$29/'AEO 2022 Table 1'!$C$29</f>
        <v>0.79324863378940136</v>
      </c>
      <c r="N38">
        <f>'AEO 2023 Table 1'!N$29/'AEO 2022 Table 1'!$C$29</f>
        <v>0.78841059855418749</v>
      </c>
      <c r="O38">
        <f>'AEO 2023 Table 1'!O$29/'AEO 2022 Table 1'!$C$29</f>
        <v>0.78133972184690137</v>
      </c>
      <c r="P38">
        <f>'AEO 2023 Table 1'!P$29/'AEO 2022 Table 1'!$C$29</f>
        <v>0.78072500129347899</v>
      </c>
      <c r="Q38">
        <f>'AEO 2023 Table 1'!Q$29/'AEO 2022 Table 1'!$C$29</f>
        <v>0.7783216750594365</v>
      </c>
      <c r="R38">
        <f>'AEO 2023 Table 1'!R$29/'AEO 2022 Table 1'!$C$29</f>
        <v>0.78060477136805972</v>
      </c>
      <c r="S38">
        <f>'AEO 2023 Table 1'!S$29/'AEO 2022 Table 1'!$C$29</f>
        <v>0.78140375965550213</v>
      </c>
      <c r="T38">
        <f>'AEO 2023 Table 1'!T$29/'AEO 2022 Table 1'!$C$29</f>
        <v>0.78305771630148158</v>
      </c>
      <c r="U38">
        <f>'AEO 2023 Table 1'!U$29/'AEO 2022 Table 1'!$C$29</f>
        <v>0.78507999636977721</v>
      </c>
      <c r="V38">
        <f>'AEO 2023 Table 1'!V$29/'AEO 2022 Table 1'!$C$29</f>
        <v>0.78952426269581366</v>
      </c>
      <c r="W38">
        <f>'AEO 2023 Table 1'!W$29/'AEO 2022 Table 1'!$C$29</f>
        <v>0.78852913211381603</v>
      </c>
      <c r="X38">
        <f>'AEO 2023 Table 1'!X$29/'AEO 2022 Table 1'!$C$29</f>
        <v>0.78994708186915774</v>
      </c>
      <c r="Y38">
        <f>'AEO 2023 Table 1'!Y$29/'AEO 2022 Table 1'!$C$29</f>
        <v>0.78820067328758237</v>
      </c>
      <c r="Z38">
        <f>'AEO 2023 Table 1'!Z$29/'AEO 2022 Table 1'!$C$29</f>
        <v>0.79465046806973083</v>
      </c>
      <c r="AA38">
        <f>'AEO 2023 Table 1'!AA$29/'AEO 2022 Table 1'!$C$29</f>
        <v>0.78932706017263921</v>
      </c>
      <c r="AB38">
        <f>'AEO 2023 Table 1'!AB$29/'AEO 2022 Table 1'!$C$29</f>
        <v>0.79392569578563366</v>
      </c>
      <c r="AC38">
        <f>'AEO 2023 Table 1'!AC$29/'AEO 2022 Table 1'!$C$29</f>
        <v>0.80932933330279888</v>
      </c>
      <c r="AD38">
        <f>'AEO 2023 Table 1'!AD$29/'AEO 2022 Table 1'!$C$29</f>
        <v>0.81354904320728494</v>
      </c>
      <c r="AE38">
        <f>'AEO 2023 Table 1'!AE$29/'AEO 2022 Table 1'!$C$29</f>
        <v>0.79891279916470959</v>
      </c>
    </row>
    <row r="39" spans="1:33" x14ac:dyDescent="0.25">
      <c r="A39" t="s">
        <v>233</v>
      </c>
      <c r="B39">
        <f>'AEO 2022 Table 1'!C$29/'AEO 2022 Table 1'!$C$29</f>
        <v>1</v>
      </c>
      <c r="C39">
        <f>'AEO 2023 Table 1'!C$29/'AEO 2022 Table 1'!$C$29</f>
        <v>1.0090954892785442</v>
      </c>
      <c r="D39">
        <f>'AEO 2023 Table 1'!D$29/'AEO 2022 Table 1'!$C$29</f>
        <v>1.0261617773163665</v>
      </c>
      <c r="E39">
        <f>'AEO 2023 Table 1'!E$29/'AEO 2022 Table 1'!$C$29</f>
        <v>0.8545631391588232</v>
      </c>
      <c r="F39">
        <f>'AEO 2023 Table 1'!F$29/'AEO 2022 Table 1'!$C$29</f>
        <v>0.85541259432854022</v>
      </c>
      <c r="G39">
        <f>'AEO 2023 Table 1'!G$29/'AEO 2022 Table 1'!$C$29</f>
        <v>0.85578982367125789</v>
      </c>
      <c r="H39">
        <f>'AEO 2023 Table 1'!H$29/'AEO 2022 Table 1'!$C$29</f>
        <v>0.84666804072295732</v>
      </c>
      <c r="I39">
        <f>'AEO 2023 Table 1'!I$29/'AEO 2022 Table 1'!$C$29</f>
        <v>0.82991791285938576</v>
      </c>
      <c r="J39">
        <f>'AEO 2023 Table 1'!J$29/'AEO 2022 Table 1'!$C$29</f>
        <v>0.8137818694120651</v>
      </c>
      <c r="K39">
        <f>'AEO 2023 Table 1'!K$29/'AEO 2022 Table 1'!$C$29</f>
        <v>0.80671162884195047</v>
      </c>
      <c r="L39">
        <f>'AEO 2023 Table 1'!L$29/'AEO 2022 Table 1'!$C$29</f>
        <v>0.80710879048270945</v>
      </c>
      <c r="M39">
        <f>'AEO 2023 Table 1'!M$29/'AEO 2022 Table 1'!$C$29</f>
        <v>0.79324863378940136</v>
      </c>
      <c r="N39">
        <f>'AEO 2023 Table 1'!N$29/'AEO 2022 Table 1'!$C$29</f>
        <v>0.78841059855418749</v>
      </c>
      <c r="O39">
        <f>'AEO 2023 Table 1'!O$29/'AEO 2022 Table 1'!$C$29</f>
        <v>0.78133972184690137</v>
      </c>
      <c r="P39">
        <f>'AEO 2023 Table 1'!P$29/'AEO 2022 Table 1'!$C$29</f>
        <v>0.78072500129347899</v>
      </c>
      <c r="Q39">
        <f>'AEO 2023 Table 1'!Q$29/'AEO 2022 Table 1'!$C$29</f>
        <v>0.7783216750594365</v>
      </c>
      <c r="R39">
        <f>'AEO 2023 Table 1'!R$29/'AEO 2022 Table 1'!$C$29</f>
        <v>0.78060477136805972</v>
      </c>
      <c r="S39">
        <f>'AEO 2023 Table 1'!S$29/'AEO 2022 Table 1'!$C$29</f>
        <v>0.78140375965550213</v>
      </c>
      <c r="T39">
        <f>'AEO 2023 Table 1'!T$29/'AEO 2022 Table 1'!$C$29</f>
        <v>0.78305771630148158</v>
      </c>
      <c r="U39">
        <f>'AEO 2023 Table 1'!U$29/'AEO 2022 Table 1'!$C$29</f>
        <v>0.78507999636977721</v>
      </c>
      <c r="V39">
        <f>'AEO 2023 Table 1'!V$29/'AEO 2022 Table 1'!$C$29</f>
        <v>0.78952426269581366</v>
      </c>
      <c r="W39">
        <f>'AEO 2023 Table 1'!W$29/'AEO 2022 Table 1'!$C$29</f>
        <v>0.78852913211381603</v>
      </c>
      <c r="X39">
        <f>'AEO 2023 Table 1'!X$29/'AEO 2022 Table 1'!$C$29</f>
        <v>0.78994708186915774</v>
      </c>
      <c r="Y39">
        <f>'AEO 2023 Table 1'!Y$29/'AEO 2022 Table 1'!$C$29</f>
        <v>0.78820067328758237</v>
      </c>
      <c r="Z39">
        <f>'AEO 2023 Table 1'!Z$29/'AEO 2022 Table 1'!$C$29</f>
        <v>0.79465046806973083</v>
      </c>
      <c r="AA39">
        <f>'AEO 2023 Table 1'!AA$29/'AEO 2022 Table 1'!$C$29</f>
        <v>0.78932706017263921</v>
      </c>
      <c r="AB39">
        <f>'AEO 2023 Table 1'!AB$29/'AEO 2022 Table 1'!$C$29</f>
        <v>0.79392569578563366</v>
      </c>
      <c r="AC39">
        <f>'AEO 2023 Table 1'!AC$29/'AEO 2022 Table 1'!$C$29</f>
        <v>0.80932933330279888</v>
      </c>
      <c r="AD39">
        <f>'AEO 2023 Table 1'!AD$29/'AEO 2022 Table 1'!$C$29</f>
        <v>0.81354904320728494</v>
      </c>
      <c r="AE39">
        <f>'AEO 2023 Table 1'!AE$29/'AEO 2022 Table 1'!$C$29</f>
        <v>0.79891279916470959</v>
      </c>
    </row>
    <row r="40" spans="1:33" x14ac:dyDescent="0.25">
      <c r="A40" t="s">
        <v>222</v>
      </c>
      <c r="B40">
        <f>'AEO 2022 Table 1'!C$29/'AEO 2022 Table 1'!$C$29</f>
        <v>1</v>
      </c>
      <c r="C40">
        <f>'AEO 2023 Table 1'!C$29/'AEO 2022 Table 1'!$C$29</f>
        <v>1.0090954892785442</v>
      </c>
      <c r="D40">
        <f>'AEO 2023 Table 1'!D$29/'AEO 2022 Table 1'!$C$29</f>
        <v>1.0261617773163665</v>
      </c>
      <c r="E40">
        <f>'AEO 2023 Table 1'!E$29/'AEO 2022 Table 1'!$C$29</f>
        <v>0.8545631391588232</v>
      </c>
      <c r="F40">
        <f>'AEO 2023 Table 1'!F$29/'AEO 2022 Table 1'!$C$29</f>
        <v>0.85541259432854022</v>
      </c>
      <c r="G40">
        <f>'AEO 2023 Table 1'!G$29/'AEO 2022 Table 1'!$C$29</f>
        <v>0.85578982367125789</v>
      </c>
      <c r="H40">
        <f>'AEO 2023 Table 1'!H$29/'AEO 2022 Table 1'!$C$29</f>
        <v>0.84666804072295732</v>
      </c>
      <c r="I40">
        <f>'AEO 2023 Table 1'!I$29/'AEO 2022 Table 1'!$C$29</f>
        <v>0.82991791285938576</v>
      </c>
      <c r="J40">
        <f>'AEO 2023 Table 1'!J$29/'AEO 2022 Table 1'!$C$29</f>
        <v>0.8137818694120651</v>
      </c>
      <c r="K40">
        <f>'AEO 2023 Table 1'!K$29/'AEO 2022 Table 1'!$C$29</f>
        <v>0.80671162884195047</v>
      </c>
      <c r="L40">
        <f>'AEO 2023 Table 1'!L$29/'AEO 2022 Table 1'!$C$29</f>
        <v>0.80710879048270945</v>
      </c>
      <c r="M40">
        <f>'AEO 2023 Table 1'!M$29/'AEO 2022 Table 1'!$C$29</f>
        <v>0.79324863378940136</v>
      </c>
      <c r="N40">
        <f>'AEO 2023 Table 1'!N$29/'AEO 2022 Table 1'!$C$29</f>
        <v>0.78841059855418749</v>
      </c>
      <c r="O40">
        <f>'AEO 2023 Table 1'!O$29/'AEO 2022 Table 1'!$C$29</f>
        <v>0.78133972184690137</v>
      </c>
      <c r="P40">
        <f>'AEO 2023 Table 1'!P$29/'AEO 2022 Table 1'!$C$29</f>
        <v>0.78072500129347899</v>
      </c>
      <c r="Q40">
        <f>'AEO 2023 Table 1'!Q$29/'AEO 2022 Table 1'!$C$29</f>
        <v>0.7783216750594365</v>
      </c>
      <c r="R40">
        <f>'AEO 2023 Table 1'!R$29/'AEO 2022 Table 1'!$C$29</f>
        <v>0.78060477136805972</v>
      </c>
      <c r="S40">
        <f>'AEO 2023 Table 1'!S$29/'AEO 2022 Table 1'!$C$29</f>
        <v>0.78140375965550213</v>
      </c>
      <c r="T40">
        <f>'AEO 2023 Table 1'!T$29/'AEO 2022 Table 1'!$C$29</f>
        <v>0.78305771630148158</v>
      </c>
      <c r="U40">
        <f>'AEO 2023 Table 1'!U$29/'AEO 2022 Table 1'!$C$29</f>
        <v>0.78507999636977721</v>
      </c>
      <c r="V40">
        <f>'AEO 2023 Table 1'!V$29/'AEO 2022 Table 1'!$C$29</f>
        <v>0.78952426269581366</v>
      </c>
      <c r="W40">
        <f>'AEO 2023 Table 1'!W$29/'AEO 2022 Table 1'!$C$29</f>
        <v>0.78852913211381603</v>
      </c>
      <c r="X40">
        <f>'AEO 2023 Table 1'!X$29/'AEO 2022 Table 1'!$C$29</f>
        <v>0.78994708186915774</v>
      </c>
      <c r="Y40">
        <f>'AEO 2023 Table 1'!Y$29/'AEO 2022 Table 1'!$C$29</f>
        <v>0.78820067328758237</v>
      </c>
      <c r="Z40">
        <f>'AEO 2023 Table 1'!Z$29/'AEO 2022 Table 1'!$C$29</f>
        <v>0.79465046806973083</v>
      </c>
      <c r="AA40">
        <f>'AEO 2023 Table 1'!AA$29/'AEO 2022 Table 1'!$C$29</f>
        <v>0.78932706017263921</v>
      </c>
      <c r="AB40">
        <f>'AEO 2023 Table 1'!AB$29/'AEO 2022 Table 1'!$C$29</f>
        <v>0.79392569578563366</v>
      </c>
      <c r="AC40">
        <f>'AEO 2023 Table 1'!AC$29/'AEO 2022 Table 1'!$C$29</f>
        <v>0.80932933330279888</v>
      </c>
      <c r="AD40">
        <f>'AEO 2023 Table 1'!AD$29/'AEO 2022 Table 1'!$C$29</f>
        <v>0.81354904320728494</v>
      </c>
      <c r="AE40">
        <f>'AEO 2023 Table 1'!AE$29/'AEO 2022 Table 1'!$C$29</f>
        <v>0.79891279916470959</v>
      </c>
    </row>
    <row r="41" spans="1:33" x14ac:dyDescent="0.25">
      <c r="A41" s="7" t="s">
        <v>274</v>
      </c>
      <c r="B41" s="7">
        <v>0</v>
      </c>
      <c r="C41" s="7">
        <v>0</v>
      </c>
      <c r="D41" s="7">
        <v>0</v>
      </c>
      <c r="E41" s="7">
        <v>0</v>
      </c>
      <c r="F41" s="7">
        <v>0</v>
      </c>
      <c r="G41" s="7">
        <v>0</v>
      </c>
      <c r="H41" s="7">
        <v>0</v>
      </c>
      <c r="I41" s="7">
        <v>0</v>
      </c>
      <c r="J41" s="7">
        <v>0</v>
      </c>
      <c r="K41" s="7">
        <v>0</v>
      </c>
      <c r="L41" s="7">
        <v>0</v>
      </c>
      <c r="M41" s="7">
        <v>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c r="AG41" s="7"/>
    </row>
    <row r="42" spans="1:33" x14ac:dyDescent="0.25">
      <c r="A42" s="7" t="s">
        <v>235</v>
      </c>
      <c r="B42" s="7">
        <v>0</v>
      </c>
      <c r="C42" s="7">
        <v>0</v>
      </c>
      <c r="D42" s="7">
        <v>0</v>
      </c>
      <c r="E42" s="7">
        <v>0</v>
      </c>
      <c r="F42" s="7">
        <v>0</v>
      </c>
      <c r="G42" s="7">
        <v>0</v>
      </c>
      <c r="H42" s="7">
        <v>0</v>
      </c>
      <c r="I42" s="7">
        <v>0</v>
      </c>
      <c r="J42" s="7">
        <v>0</v>
      </c>
      <c r="K42" s="7">
        <v>0</v>
      </c>
      <c r="L42" s="7">
        <v>0</v>
      </c>
      <c r="M42" s="7">
        <v>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c r="AG42" s="7"/>
    </row>
    <row r="43" spans="1:33" x14ac:dyDescent="0.25">
      <c r="A43" t="s">
        <v>236</v>
      </c>
      <c r="B43">
        <f>'AEO 2022 Table 1'!C$31/'AEO 2022 Table 1'!$C$31</f>
        <v>1</v>
      </c>
      <c r="C43">
        <f>'AEO 2023 Table 1'!C$31/'AEO 2022 Table 1'!$C$31</f>
        <v>0.87355538107635311</v>
      </c>
      <c r="D43">
        <f>'AEO 2023 Table 1'!D$31/'AEO 2022 Table 1'!$C$31</f>
        <v>1.1609329586622037</v>
      </c>
      <c r="E43">
        <f>'AEO 2023 Table 1'!E$31/'AEO 2022 Table 1'!$C$31</f>
        <v>0.50101932586746012</v>
      </c>
      <c r="F43">
        <f>'AEO 2023 Table 1'!F$31/'AEO 2022 Table 1'!$C$31</f>
        <v>0.45057302643359926</v>
      </c>
      <c r="G43">
        <f>'AEO 2023 Table 1'!G$31/'AEO 2022 Table 1'!$C$31</f>
        <v>0.48665578467429788</v>
      </c>
      <c r="H43">
        <f>'AEO 2023 Table 1'!H$31/'AEO 2022 Table 1'!$C$31</f>
        <v>0.53471562185765253</v>
      </c>
      <c r="I43">
        <f>'AEO 2023 Table 1'!I$31/'AEO 2022 Table 1'!$C$31</f>
        <v>0.61057275094012153</v>
      </c>
      <c r="J43">
        <f>'AEO 2023 Table 1'!J$31/'AEO 2022 Table 1'!$C$31</f>
        <v>0.58248963455790181</v>
      </c>
      <c r="K43">
        <f>'AEO 2023 Table 1'!K$31/'AEO 2022 Table 1'!$C$31</f>
        <v>0.60706365276802077</v>
      </c>
      <c r="L43">
        <f>'AEO 2023 Table 1'!L$31/'AEO 2022 Table 1'!$C$31</f>
        <v>0.57485846522583584</v>
      </c>
      <c r="M43">
        <f>'AEO 2023 Table 1'!M$31/'AEO 2022 Table 1'!$C$31</f>
        <v>0.58650495199526154</v>
      </c>
      <c r="N43">
        <f>'AEO 2023 Table 1'!N$31/'AEO 2022 Table 1'!$C$31</f>
        <v>0.58313704423047785</v>
      </c>
      <c r="O43">
        <f>'AEO 2023 Table 1'!O$31/'AEO 2022 Table 1'!$C$31</f>
        <v>0.58679422014683802</v>
      </c>
      <c r="P43">
        <f>'AEO 2023 Table 1'!P$31/'AEO 2022 Table 1'!$C$31</f>
        <v>0.57144923343939835</v>
      </c>
      <c r="Q43">
        <f>'AEO 2023 Table 1'!Q$31/'AEO 2022 Table 1'!$C$31</f>
        <v>0.5647788476107829</v>
      </c>
      <c r="R43">
        <f>'AEO 2023 Table 1'!R$31/'AEO 2022 Table 1'!$C$31</f>
        <v>0.5642760720139951</v>
      </c>
      <c r="S43">
        <f>'AEO 2023 Table 1'!S$31/'AEO 2022 Table 1'!$C$31</f>
        <v>0.57515117704588348</v>
      </c>
      <c r="T43">
        <f>'AEO 2023 Table 1'!T$31/'AEO 2022 Table 1'!$C$31</f>
        <v>0.58225546510186377</v>
      </c>
      <c r="U43">
        <f>'AEO 2023 Table 1'!U$31/'AEO 2022 Table 1'!$C$31</f>
        <v>0.58753805253660618</v>
      </c>
      <c r="V43">
        <f>'AEO 2023 Table 1'!V$31/'AEO 2022 Table 1'!$C$31</f>
        <v>0.57180048762345559</v>
      </c>
      <c r="W43">
        <f>'AEO 2023 Table 1'!W$31/'AEO 2022 Table 1'!$C$31</f>
        <v>0.57068818270727451</v>
      </c>
      <c r="X43">
        <f>'AEO 2023 Table 1'!X$31/'AEO 2022 Table 1'!$C$31</f>
        <v>0.5621857652520077</v>
      </c>
      <c r="Y43">
        <f>'AEO 2023 Table 1'!Y$31/'AEO 2022 Table 1'!$C$31</f>
        <v>0.55603192969406456</v>
      </c>
      <c r="Z43">
        <f>'AEO 2023 Table 1'!Z$31/'AEO 2022 Table 1'!$C$31</f>
        <v>0.54587999504111739</v>
      </c>
      <c r="AA43">
        <f>'AEO 2023 Table 1'!AA$31/'AEO 2022 Table 1'!$C$31</f>
        <v>0.53396490213094205</v>
      </c>
      <c r="AB43">
        <f>'AEO 2023 Table 1'!AB$31/'AEO 2022 Table 1'!$C$31</f>
        <v>0.53271829414438621</v>
      </c>
      <c r="AC43">
        <f>'AEO 2023 Table 1'!AC$31/'AEO 2022 Table 1'!$C$31</f>
        <v>0.54289089080816022</v>
      </c>
      <c r="AD43">
        <f>'AEO 2023 Table 1'!AD$31/'AEO 2022 Table 1'!$C$31</f>
        <v>0.54816314723748916</v>
      </c>
      <c r="AE43">
        <f>'AEO 2023 Table 1'!AE$31/'AEO 2022 Table 1'!$C$31</f>
        <v>0.54155474744135446</v>
      </c>
    </row>
    <row r="44" spans="1:33" x14ac:dyDescent="0.25">
      <c r="A44" t="s">
        <v>223</v>
      </c>
      <c r="B44">
        <f>'AEO 2022 Table 1'!C$28/'AEO 2022 Table 1'!$C$28</f>
        <v>1</v>
      </c>
      <c r="C44">
        <f>'AEO 2023 Table 1'!C$28/'AEO 2022 Table 1'!$C$28</f>
        <v>0.99819386059896253</v>
      </c>
      <c r="D44">
        <f>'AEO 2023 Table 1'!D$28/'AEO 2022 Table 1'!$C$28</f>
        <v>1.0669634034929862</v>
      </c>
      <c r="E44">
        <f>'AEO 2023 Table 1'!E$28/'AEO 2022 Table 1'!$C$28</f>
        <v>1.1152382641913712</v>
      </c>
      <c r="F44">
        <f>'AEO 2023 Table 1'!F$28/'AEO 2022 Table 1'!$C$28</f>
        <v>1.1050685044162147</v>
      </c>
      <c r="G44">
        <f>'AEO 2023 Table 1'!G$28/'AEO 2022 Table 1'!$C$28</f>
        <v>1.0833587304764201</v>
      </c>
      <c r="H44">
        <f>'AEO 2023 Table 1'!H$28/'AEO 2022 Table 1'!$C$28</f>
        <v>1.1018862622430656</v>
      </c>
      <c r="I44">
        <f>'AEO 2023 Table 1'!I$28/'AEO 2022 Table 1'!$C$28</f>
        <v>1.0996716024849995</v>
      </c>
      <c r="J44">
        <f>'AEO 2023 Table 1'!J$28/'AEO 2022 Table 1'!$C$28</f>
        <v>1.1185342249156551</v>
      </c>
      <c r="K44">
        <f>'AEO 2023 Table 1'!K$28/'AEO 2022 Table 1'!$C$28</f>
        <v>1.1255654970840037</v>
      </c>
      <c r="L44">
        <f>'AEO 2023 Table 1'!L$28/'AEO 2022 Table 1'!$C$28</f>
        <v>1.1325938811621645</v>
      </c>
      <c r="M44">
        <f>'AEO 2023 Table 1'!M$28/'AEO 2022 Table 1'!$C$28</f>
        <v>1.1350250754820421</v>
      </c>
      <c r="N44">
        <f>'AEO 2023 Table 1'!N$28/'AEO 2022 Table 1'!$C$28</f>
        <v>1.121948958348902</v>
      </c>
      <c r="O44">
        <f>'AEO 2023 Table 1'!O$28/'AEO 2022 Table 1'!$C$28</f>
        <v>1.1342588651552858</v>
      </c>
      <c r="P44">
        <f>'AEO 2023 Table 1'!P$28/'AEO 2022 Table 1'!$C$28</f>
        <v>1.1445109355007872</v>
      </c>
      <c r="Q44">
        <f>'AEO 2023 Table 1'!Q$28/'AEO 2022 Table 1'!$C$28</f>
        <v>1.14395136802695</v>
      </c>
      <c r="R44">
        <f>'AEO 2023 Table 1'!R$28/'AEO 2022 Table 1'!$C$28</f>
        <v>1.1413120868090596</v>
      </c>
      <c r="S44">
        <f>'AEO 2023 Table 1'!S$28/'AEO 2022 Table 1'!$C$28</f>
        <v>1.1461498544799658</v>
      </c>
      <c r="T44">
        <f>'AEO 2023 Table 1'!T$28/'AEO 2022 Table 1'!$C$28</f>
        <v>1.1541269761847361</v>
      </c>
      <c r="U44">
        <f>'AEO 2023 Table 1'!U$28/'AEO 2022 Table 1'!$C$28</f>
        <v>1.158522505045674</v>
      </c>
      <c r="V44">
        <f>'AEO 2023 Table 1'!V$28/'AEO 2022 Table 1'!$C$28</f>
        <v>1.1834317052952341</v>
      </c>
      <c r="W44">
        <f>'AEO 2023 Table 1'!W$28/'AEO 2022 Table 1'!$C$28</f>
        <v>1.178909822488591</v>
      </c>
      <c r="X44">
        <f>'AEO 2023 Table 1'!X$28/'AEO 2022 Table 1'!$C$28</f>
        <v>1.1664534895096983</v>
      </c>
      <c r="Y44">
        <f>'AEO 2023 Table 1'!Y$28/'AEO 2022 Table 1'!$C$28</f>
        <v>1.1473475454807418</v>
      </c>
      <c r="Z44">
        <f>'AEO 2023 Table 1'!Z$28/'AEO 2022 Table 1'!$C$28</f>
        <v>1.1383677510651096</v>
      </c>
      <c r="AA44">
        <f>'AEO 2023 Table 1'!AA$28/'AEO 2022 Table 1'!$C$28</f>
        <v>1.1184624558744947</v>
      </c>
      <c r="AB44">
        <f>'AEO 2023 Table 1'!AB$28/'AEO 2022 Table 1'!$C$28</f>
        <v>1.1208156717593083</v>
      </c>
      <c r="AC44">
        <f>'AEO 2023 Table 1'!AC$28/'AEO 2022 Table 1'!$C$28</f>
        <v>1.1113932775224344</v>
      </c>
      <c r="AD44">
        <f>'AEO 2023 Table 1'!AD$28/'AEO 2022 Table 1'!$C$28</f>
        <v>1.0873380133390778</v>
      </c>
      <c r="AE44">
        <f>'AEO 2023 Table 1'!AE$28/'AEO 2022 Table 1'!$C$28</f>
        <v>1.0690971245235463</v>
      </c>
    </row>
    <row r="45" spans="1:33" x14ac:dyDescent="0.25">
      <c r="A45" t="s">
        <v>237</v>
      </c>
      <c r="B45">
        <f>'AEO 2022 Table 1'!C$29/'AEO 2022 Table 1'!$C$29</f>
        <v>1</v>
      </c>
      <c r="C45">
        <f>'AEO 2023 Table 1'!C$29/'AEO 2022 Table 1'!$C$29</f>
        <v>1.0090954892785442</v>
      </c>
      <c r="D45">
        <f>'AEO 2023 Table 1'!D$29/'AEO 2022 Table 1'!$C$29</f>
        <v>1.0261617773163665</v>
      </c>
      <c r="E45">
        <f>'AEO 2023 Table 1'!E$29/'AEO 2022 Table 1'!$C$29</f>
        <v>0.8545631391588232</v>
      </c>
      <c r="F45">
        <f>'AEO 2023 Table 1'!F$29/'AEO 2022 Table 1'!$C$29</f>
        <v>0.85541259432854022</v>
      </c>
      <c r="G45">
        <f>'AEO 2023 Table 1'!G$29/'AEO 2022 Table 1'!$C$29</f>
        <v>0.85578982367125789</v>
      </c>
      <c r="H45">
        <f>'AEO 2023 Table 1'!H$29/'AEO 2022 Table 1'!$C$29</f>
        <v>0.84666804072295732</v>
      </c>
      <c r="I45">
        <f>'AEO 2023 Table 1'!I$29/'AEO 2022 Table 1'!$C$29</f>
        <v>0.82991791285938576</v>
      </c>
      <c r="J45">
        <f>'AEO 2023 Table 1'!J$29/'AEO 2022 Table 1'!$C$29</f>
        <v>0.8137818694120651</v>
      </c>
      <c r="K45">
        <f>'AEO 2023 Table 1'!K$29/'AEO 2022 Table 1'!$C$29</f>
        <v>0.80671162884195047</v>
      </c>
      <c r="L45">
        <f>'AEO 2023 Table 1'!L$29/'AEO 2022 Table 1'!$C$29</f>
        <v>0.80710879048270945</v>
      </c>
      <c r="M45">
        <f>'AEO 2023 Table 1'!M$29/'AEO 2022 Table 1'!$C$29</f>
        <v>0.79324863378940136</v>
      </c>
      <c r="N45">
        <f>'AEO 2023 Table 1'!N$29/'AEO 2022 Table 1'!$C$29</f>
        <v>0.78841059855418749</v>
      </c>
      <c r="O45">
        <f>'AEO 2023 Table 1'!O$29/'AEO 2022 Table 1'!$C$29</f>
        <v>0.78133972184690137</v>
      </c>
      <c r="P45">
        <f>'AEO 2023 Table 1'!P$29/'AEO 2022 Table 1'!$C$29</f>
        <v>0.78072500129347899</v>
      </c>
      <c r="Q45">
        <f>'AEO 2023 Table 1'!Q$29/'AEO 2022 Table 1'!$C$29</f>
        <v>0.7783216750594365</v>
      </c>
      <c r="R45">
        <f>'AEO 2023 Table 1'!R$29/'AEO 2022 Table 1'!$C$29</f>
        <v>0.78060477136805972</v>
      </c>
      <c r="S45">
        <f>'AEO 2023 Table 1'!S$29/'AEO 2022 Table 1'!$C$29</f>
        <v>0.78140375965550213</v>
      </c>
      <c r="T45">
        <f>'AEO 2023 Table 1'!T$29/'AEO 2022 Table 1'!$C$29</f>
        <v>0.78305771630148158</v>
      </c>
      <c r="U45">
        <f>'AEO 2023 Table 1'!U$29/'AEO 2022 Table 1'!$C$29</f>
        <v>0.78507999636977721</v>
      </c>
      <c r="V45">
        <f>'AEO 2023 Table 1'!V$29/'AEO 2022 Table 1'!$C$29</f>
        <v>0.78952426269581366</v>
      </c>
      <c r="W45">
        <f>'AEO 2023 Table 1'!W$29/'AEO 2022 Table 1'!$C$29</f>
        <v>0.78852913211381603</v>
      </c>
      <c r="X45">
        <f>'AEO 2023 Table 1'!X$29/'AEO 2022 Table 1'!$C$29</f>
        <v>0.78994708186915774</v>
      </c>
      <c r="Y45">
        <f>'AEO 2023 Table 1'!Y$29/'AEO 2022 Table 1'!$C$29</f>
        <v>0.78820067328758237</v>
      </c>
      <c r="Z45">
        <f>'AEO 2023 Table 1'!Z$29/'AEO 2022 Table 1'!$C$29</f>
        <v>0.79465046806973083</v>
      </c>
      <c r="AA45">
        <f>'AEO 2023 Table 1'!AA$29/'AEO 2022 Table 1'!$C$29</f>
        <v>0.78932706017263921</v>
      </c>
      <c r="AB45">
        <f>'AEO 2023 Table 1'!AB$29/'AEO 2022 Table 1'!$C$29</f>
        <v>0.79392569578563366</v>
      </c>
      <c r="AC45">
        <f>'AEO 2023 Table 1'!AC$29/'AEO 2022 Table 1'!$C$29</f>
        <v>0.80932933330279888</v>
      </c>
      <c r="AD45">
        <f>'AEO 2023 Table 1'!AD$29/'AEO 2022 Table 1'!$C$29</f>
        <v>0.81354904320728494</v>
      </c>
      <c r="AE45">
        <f>'AEO 2023 Table 1'!AE$29/'AEO 2022 Table 1'!$C$29</f>
        <v>0.79891279916470959</v>
      </c>
    </row>
    <row r="46" spans="1:33" x14ac:dyDescent="0.25">
      <c r="A46" t="s">
        <v>224</v>
      </c>
      <c r="B46">
        <f>'AEO 2022 Table 1'!C$29/'AEO 2022 Table 1'!$C$29</f>
        <v>1</v>
      </c>
      <c r="C46">
        <f>'AEO 2023 Table 1'!C$29/'AEO 2022 Table 1'!$C$29</f>
        <v>1.0090954892785442</v>
      </c>
      <c r="D46">
        <f>'AEO 2023 Table 1'!D$29/'AEO 2022 Table 1'!$C$29</f>
        <v>1.0261617773163665</v>
      </c>
      <c r="E46">
        <f>'AEO 2023 Table 1'!E$29/'AEO 2022 Table 1'!$C$29</f>
        <v>0.8545631391588232</v>
      </c>
      <c r="F46">
        <f>'AEO 2023 Table 1'!F$29/'AEO 2022 Table 1'!$C$29</f>
        <v>0.85541259432854022</v>
      </c>
      <c r="G46">
        <f>'AEO 2023 Table 1'!G$29/'AEO 2022 Table 1'!$C$29</f>
        <v>0.85578982367125789</v>
      </c>
      <c r="H46">
        <f>'AEO 2023 Table 1'!H$29/'AEO 2022 Table 1'!$C$29</f>
        <v>0.84666804072295732</v>
      </c>
      <c r="I46">
        <f>'AEO 2023 Table 1'!I$29/'AEO 2022 Table 1'!$C$29</f>
        <v>0.82991791285938576</v>
      </c>
      <c r="J46">
        <f>'AEO 2023 Table 1'!J$29/'AEO 2022 Table 1'!$C$29</f>
        <v>0.8137818694120651</v>
      </c>
      <c r="K46">
        <f>'AEO 2023 Table 1'!K$29/'AEO 2022 Table 1'!$C$29</f>
        <v>0.80671162884195047</v>
      </c>
      <c r="L46">
        <f>'AEO 2023 Table 1'!L$29/'AEO 2022 Table 1'!$C$29</f>
        <v>0.80710879048270945</v>
      </c>
      <c r="M46">
        <f>'AEO 2023 Table 1'!M$29/'AEO 2022 Table 1'!$C$29</f>
        <v>0.79324863378940136</v>
      </c>
      <c r="N46">
        <f>'AEO 2023 Table 1'!N$29/'AEO 2022 Table 1'!$C$29</f>
        <v>0.78841059855418749</v>
      </c>
      <c r="O46">
        <f>'AEO 2023 Table 1'!O$29/'AEO 2022 Table 1'!$C$29</f>
        <v>0.78133972184690137</v>
      </c>
      <c r="P46">
        <f>'AEO 2023 Table 1'!P$29/'AEO 2022 Table 1'!$C$29</f>
        <v>0.78072500129347899</v>
      </c>
      <c r="Q46">
        <f>'AEO 2023 Table 1'!Q$29/'AEO 2022 Table 1'!$C$29</f>
        <v>0.7783216750594365</v>
      </c>
      <c r="R46">
        <f>'AEO 2023 Table 1'!R$29/'AEO 2022 Table 1'!$C$29</f>
        <v>0.78060477136805972</v>
      </c>
      <c r="S46">
        <f>'AEO 2023 Table 1'!S$29/'AEO 2022 Table 1'!$C$29</f>
        <v>0.78140375965550213</v>
      </c>
      <c r="T46">
        <f>'AEO 2023 Table 1'!T$29/'AEO 2022 Table 1'!$C$29</f>
        <v>0.78305771630148158</v>
      </c>
      <c r="U46">
        <f>'AEO 2023 Table 1'!U$29/'AEO 2022 Table 1'!$C$29</f>
        <v>0.78507999636977721</v>
      </c>
      <c r="V46">
        <f>'AEO 2023 Table 1'!V$29/'AEO 2022 Table 1'!$C$29</f>
        <v>0.78952426269581366</v>
      </c>
      <c r="W46">
        <f>'AEO 2023 Table 1'!W$29/'AEO 2022 Table 1'!$C$29</f>
        <v>0.78852913211381603</v>
      </c>
      <c r="X46">
        <f>'AEO 2023 Table 1'!X$29/'AEO 2022 Table 1'!$C$29</f>
        <v>0.78994708186915774</v>
      </c>
      <c r="Y46">
        <f>'AEO 2023 Table 1'!Y$29/'AEO 2022 Table 1'!$C$29</f>
        <v>0.78820067328758237</v>
      </c>
      <c r="Z46">
        <f>'AEO 2023 Table 1'!Z$29/'AEO 2022 Table 1'!$C$29</f>
        <v>0.79465046806973083</v>
      </c>
      <c r="AA46">
        <f>'AEO 2023 Table 1'!AA$29/'AEO 2022 Table 1'!$C$29</f>
        <v>0.78932706017263921</v>
      </c>
      <c r="AB46">
        <f>'AEO 2023 Table 1'!AB$29/'AEO 2022 Table 1'!$C$29</f>
        <v>0.79392569578563366</v>
      </c>
      <c r="AC46">
        <f>'AEO 2023 Table 1'!AC$29/'AEO 2022 Table 1'!$C$29</f>
        <v>0.80932933330279888</v>
      </c>
      <c r="AD46">
        <f>'AEO 2023 Table 1'!AD$29/'AEO 2022 Table 1'!$C$29</f>
        <v>0.81354904320728494</v>
      </c>
      <c r="AE46">
        <f>'AEO 2023 Table 1'!AE$29/'AEO 2022 Table 1'!$C$29</f>
        <v>0.79891279916470959</v>
      </c>
    </row>
    <row r="47" spans="1:33" x14ac:dyDescent="0.25">
      <c r="A47" t="s">
        <v>238</v>
      </c>
      <c r="B47">
        <v>1</v>
      </c>
      <c r="C47">
        <v>1</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row>
    <row r="48" spans="1:33" x14ac:dyDescent="0.25">
      <c r="A48" t="s">
        <v>239</v>
      </c>
      <c r="B48">
        <v>1</v>
      </c>
      <c r="C48">
        <v>1</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row>
    <row r="51" spans="1:33" x14ac:dyDescent="0.25">
      <c r="A51" s="196" t="s">
        <v>573</v>
      </c>
      <c r="B51" s="197"/>
      <c r="C51" s="197"/>
      <c r="D51" s="197"/>
      <c r="E51" s="197"/>
      <c r="F51" s="197"/>
      <c r="G51" s="197"/>
      <c r="H51" s="197"/>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row>
    <row r="52" spans="1:33" s="1" customFormat="1" x14ac:dyDescent="0.25">
      <c r="B52" s="1">
        <f t="shared" ref="B52:AE52" si="1">B2</f>
        <v>2021</v>
      </c>
      <c r="C52" s="1">
        <f t="shared" si="1"/>
        <v>2022</v>
      </c>
      <c r="D52" s="1">
        <f t="shared" si="1"/>
        <v>2023</v>
      </c>
      <c r="E52" s="1">
        <f t="shared" si="1"/>
        <v>2024</v>
      </c>
      <c r="F52" s="1">
        <f t="shared" si="1"/>
        <v>2025</v>
      </c>
      <c r="G52" s="1">
        <f t="shared" si="1"/>
        <v>2026</v>
      </c>
      <c r="H52" s="1">
        <f t="shared" si="1"/>
        <v>2027</v>
      </c>
      <c r="I52" s="1">
        <f t="shared" si="1"/>
        <v>2028</v>
      </c>
      <c r="J52" s="1">
        <f t="shared" si="1"/>
        <v>2029</v>
      </c>
      <c r="K52" s="1">
        <f t="shared" si="1"/>
        <v>2030</v>
      </c>
      <c r="L52" s="1">
        <f t="shared" si="1"/>
        <v>2031</v>
      </c>
      <c r="M52" s="1">
        <f t="shared" si="1"/>
        <v>2032</v>
      </c>
      <c r="N52" s="1">
        <f t="shared" si="1"/>
        <v>2033</v>
      </c>
      <c r="O52" s="1">
        <f t="shared" si="1"/>
        <v>2034</v>
      </c>
      <c r="P52" s="1">
        <f t="shared" si="1"/>
        <v>2035</v>
      </c>
      <c r="Q52" s="1">
        <f t="shared" si="1"/>
        <v>2036</v>
      </c>
      <c r="R52" s="1">
        <f t="shared" si="1"/>
        <v>2037</v>
      </c>
      <c r="S52" s="1">
        <f t="shared" si="1"/>
        <v>2038</v>
      </c>
      <c r="T52" s="1">
        <f t="shared" si="1"/>
        <v>2039</v>
      </c>
      <c r="U52" s="1">
        <f t="shared" si="1"/>
        <v>2040</v>
      </c>
      <c r="V52" s="1">
        <f t="shared" si="1"/>
        <v>2041</v>
      </c>
      <c r="W52" s="1">
        <f t="shared" si="1"/>
        <v>2042</v>
      </c>
      <c r="X52" s="1">
        <f t="shared" si="1"/>
        <v>2043</v>
      </c>
      <c r="Y52" s="1">
        <f t="shared" si="1"/>
        <v>2044</v>
      </c>
      <c r="Z52" s="1">
        <f t="shared" si="1"/>
        <v>2045</v>
      </c>
      <c r="AA52" s="1">
        <f t="shared" si="1"/>
        <v>2046</v>
      </c>
      <c r="AB52" s="1">
        <f t="shared" si="1"/>
        <v>2047</v>
      </c>
      <c r="AC52" s="1">
        <f t="shared" si="1"/>
        <v>2048</v>
      </c>
      <c r="AD52" s="1">
        <f t="shared" si="1"/>
        <v>2049</v>
      </c>
      <c r="AE52" s="1">
        <f t="shared" si="1"/>
        <v>2050</v>
      </c>
    </row>
    <row r="53" spans="1:33" x14ac:dyDescent="0.25">
      <c r="A53" s="31" t="s">
        <v>225</v>
      </c>
      <c r="B53" s="7">
        <v>0</v>
      </c>
      <c r="C53" s="7">
        <v>0</v>
      </c>
      <c r="D53" s="7">
        <v>0</v>
      </c>
      <c r="E53" s="7">
        <v>0</v>
      </c>
      <c r="F53" s="7">
        <v>0</v>
      </c>
      <c r="G53" s="7">
        <v>0</v>
      </c>
      <c r="H53" s="7">
        <v>0</v>
      </c>
      <c r="I53" s="7">
        <v>0</v>
      </c>
      <c r="J53" s="7">
        <v>0</v>
      </c>
      <c r="K53" s="7">
        <v>0</v>
      </c>
      <c r="L53" s="7">
        <v>0</v>
      </c>
      <c r="M53" s="7">
        <v>0</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c r="AG53" s="7"/>
    </row>
    <row r="54" spans="1:33" x14ac:dyDescent="0.25">
      <c r="A54" t="s">
        <v>226</v>
      </c>
      <c r="B54">
        <f>'AEO 2022 Table 1'!C$37/'AEO 2022 Table 1'!$C$37</f>
        <v>1</v>
      </c>
      <c r="C54">
        <f>'AEO 2023 Table 1'!C$37/'AEO 2022 Table 1'!$C$37</f>
        <v>0.95614358575645064</v>
      </c>
      <c r="D54">
        <f>'AEO 2023 Table 1'!D$37/'AEO 2022 Table 1'!$C$37</f>
        <v>0.95125452705002522</v>
      </c>
      <c r="E54">
        <f>'AEO 2023 Table 1'!E$37/'AEO 2022 Table 1'!$C$37</f>
        <v>1.2336767700704581</v>
      </c>
      <c r="F54">
        <f>'AEO 2023 Table 1'!F$37/'AEO 2022 Table 1'!$C$37</f>
        <v>1.2052796686250415</v>
      </c>
      <c r="G54">
        <f>'AEO 2023 Table 1'!G$37/'AEO 2022 Table 1'!$C$37</f>
        <v>1.2639284032699047</v>
      </c>
      <c r="H54">
        <f>'AEO 2023 Table 1'!H$37/'AEO 2022 Table 1'!$C$37</f>
        <v>1.2473188281347423</v>
      </c>
      <c r="I54">
        <f>'AEO 2023 Table 1'!I$37/'AEO 2022 Table 1'!$C$37</f>
        <v>1.2526569861795447</v>
      </c>
      <c r="J54">
        <f>'AEO 2023 Table 1'!J$37/'AEO 2022 Table 1'!$C$37</f>
        <v>1.2464667819591648</v>
      </c>
      <c r="K54">
        <f>'AEO 2023 Table 1'!K$37/'AEO 2022 Table 1'!$C$37</f>
        <v>1.2470525637048744</v>
      </c>
      <c r="L54">
        <f>'AEO 2023 Table 1'!L$37/'AEO 2022 Table 1'!$C$37</f>
        <v>1.2596206885686911</v>
      </c>
      <c r="M54">
        <f>'AEO 2023 Table 1'!M$37/'AEO 2022 Table 1'!$C$37</f>
        <v>1.2830794723881569</v>
      </c>
      <c r="N54">
        <f>'AEO 2023 Table 1'!N$37/'AEO 2022 Table 1'!$C$37</f>
        <v>1.2510030402960151</v>
      </c>
      <c r="O54">
        <f>'AEO 2023 Table 1'!O$37/'AEO 2022 Table 1'!$C$37</f>
        <v>1.2401532085529461</v>
      </c>
      <c r="P54">
        <f>'AEO 2023 Table 1'!P$37/'AEO 2022 Table 1'!$C$37</f>
        <v>1.252060110082591</v>
      </c>
      <c r="Q54">
        <f>'AEO 2023 Table 1'!Q$37/'AEO 2022 Table 1'!$C$37</f>
        <v>1.235727449954491</v>
      </c>
      <c r="R54">
        <f>'AEO 2023 Table 1'!R$37/'AEO 2022 Table 1'!$C$37</f>
        <v>1.2101709462017158</v>
      </c>
      <c r="S54">
        <f>'AEO 2023 Table 1'!S$37/'AEO 2022 Table 1'!$C$37</f>
        <v>1.2295989303270303</v>
      </c>
      <c r="T54">
        <f>'AEO 2023 Table 1'!T$37/'AEO 2022 Table 1'!$C$37</f>
        <v>1.2037881440437312</v>
      </c>
      <c r="U54">
        <f>'AEO 2023 Table 1'!U$37/'AEO 2022 Table 1'!$C$37</f>
        <v>1.2083918560361482</v>
      </c>
      <c r="V54">
        <f>'AEO 2023 Table 1'!V$37/'AEO 2022 Table 1'!$C$37</f>
        <v>1.2018359819987496</v>
      </c>
      <c r="W54">
        <f>'AEO 2023 Table 1'!W$37/'AEO 2022 Table 1'!$C$37</f>
        <v>1.2085662592377115</v>
      </c>
      <c r="X54">
        <f>'AEO 2023 Table 1'!X$37/'AEO 2022 Table 1'!$C$37</f>
        <v>1.1940291089150215</v>
      </c>
      <c r="Y54">
        <f>'AEO 2023 Table 1'!Y$37/'AEO 2022 Table 1'!$C$37</f>
        <v>1.1958960663424454</v>
      </c>
      <c r="Z54">
        <f>'AEO 2023 Table 1'!Z$37/'AEO 2022 Table 1'!$C$37</f>
        <v>1.1999024584638585</v>
      </c>
      <c r="AA54">
        <f>'AEO 2023 Table 1'!AA$37/'AEO 2022 Table 1'!$C$37</f>
        <v>1.1931641932920003</v>
      </c>
      <c r="AB54">
        <f>'AEO 2023 Table 1'!AB$37/'AEO 2022 Table 1'!$C$37</f>
        <v>1.1903812862258305</v>
      </c>
      <c r="AC54">
        <f>'AEO 2023 Table 1'!AC$37/'AEO 2022 Table 1'!$C$37</f>
        <v>1.2006972577870141</v>
      </c>
      <c r="AD54">
        <f>'AEO 2023 Table 1'!AD$37/'AEO 2022 Table 1'!$C$37</f>
        <v>1.2016802173072767</v>
      </c>
      <c r="AE54">
        <f>'AEO 2023 Table 1'!AE$37/'AEO 2022 Table 1'!$C$37</f>
        <v>1.2088382927302266</v>
      </c>
    </row>
    <row r="55" spans="1:33" x14ac:dyDescent="0.25">
      <c r="A55" t="s">
        <v>216</v>
      </c>
      <c r="B55">
        <f>'AEO 2022 Table 1'!C$36/'AEO 2022 Table 1'!$C$36</f>
        <v>1</v>
      </c>
      <c r="C55">
        <f>'AEO 2023 Table 1'!C$36/'AEO 2022 Table 1'!$C$36</f>
        <v>1.0510071557044158</v>
      </c>
      <c r="D55">
        <f>'AEO 2023 Table 1'!D$36/'AEO 2022 Table 1'!$C$36</f>
        <v>1.166852236054835</v>
      </c>
      <c r="E55">
        <f>'AEO 2023 Table 1'!E$36/'AEO 2022 Table 1'!$C$36</f>
        <v>1.1665488440559251</v>
      </c>
      <c r="F55">
        <f>'AEO 2023 Table 1'!F$36/'AEO 2022 Table 1'!$C$36</f>
        <v>1.2242924475657566</v>
      </c>
      <c r="G55">
        <f>'AEO 2023 Table 1'!G$36/'AEO 2022 Table 1'!$C$36</f>
        <v>1.2985563768710153</v>
      </c>
      <c r="H55">
        <f>'AEO 2023 Table 1'!H$36/'AEO 2022 Table 1'!$C$36</f>
        <v>1.3603953318162754</v>
      </c>
      <c r="I55">
        <f>'AEO 2023 Table 1'!I$36/'AEO 2022 Table 1'!$C$36</f>
        <v>1.4192692393994895</v>
      </c>
      <c r="J55">
        <f>'AEO 2023 Table 1'!J$36/'AEO 2022 Table 1'!$C$36</f>
        <v>1.4718001101962033</v>
      </c>
      <c r="K55">
        <f>'AEO 2023 Table 1'!K$36/'AEO 2022 Table 1'!$C$36</f>
        <v>1.5670478695596499</v>
      </c>
      <c r="L55">
        <f>'AEO 2023 Table 1'!L$36/'AEO 2022 Table 1'!$C$36</f>
        <v>1.6700309500956874</v>
      </c>
      <c r="M55">
        <f>'AEO 2023 Table 1'!M$36/'AEO 2022 Table 1'!$C$36</f>
        <v>1.7724354418245107</v>
      </c>
      <c r="N55">
        <f>'AEO 2023 Table 1'!N$36/'AEO 2022 Table 1'!$C$36</f>
        <v>1.8720309876892749</v>
      </c>
      <c r="O55">
        <f>'AEO 2023 Table 1'!O$36/'AEO 2022 Table 1'!$C$36</f>
        <v>1.9568177439383276</v>
      </c>
      <c r="P55">
        <f>'AEO 2023 Table 1'!P$36/'AEO 2022 Table 1'!$C$36</f>
        <v>2.0148199502119923</v>
      </c>
      <c r="Q55">
        <f>'AEO 2023 Table 1'!Q$36/'AEO 2022 Table 1'!$C$36</f>
        <v>2.0520528742059825</v>
      </c>
      <c r="R55">
        <f>'AEO 2023 Table 1'!R$36/'AEO 2022 Table 1'!$C$36</f>
        <v>2.0832903552476538</v>
      </c>
      <c r="S55">
        <f>'AEO 2023 Table 1'!S$36/'AEO 2022 Table 1'!$C$36</f>
        <v>2.1001803023699233</v>
      </c>
      <c r="T55">
        <f>'AEO 2023 Table 1'!T$36/'AEO 2022 Table 1'!$C$36</f>
        <v>2.1051871514516414</v>
      </c>
      <c r="U55">
        <f>'AEO 2023 Table 1'!U$36/'AEO 2022 Table 1'!$C$36</f>
        <v>2.1088156668926197</v>
      </c>
      <c r="V55">
        <f>'AEO 2023 Table 1'!V$36/'AEO 2022 Table 1'!$C$36</f>
        <v>2.1072570015119672</v>
      </c>
      <c r="W55">
        <f>'AEO 2023 Table 1'!W$36/'AEO 2022 Table 1'!$C$36</f>
        <v>2.1085661688257527</v>
      </c>
      <c r="X55">
        <f>'AEO 2023 Table 1'!X$36/'AEO 2022 Table 1'!$C$36</f>
        <v>2.1096168802256559</v>
      </c>
      <c r="Y55">
        <f>'AEO 2023 Table 1'!Y$36/'AEO 2022 Table 1'!$C$36</f>
        <v>2.1158590310957708</v>
      </c>
      <c r="Z55">
        <f>'AEO 2023 Table 1'!Z$36/'AEO 2022 Table 1'!$C$36</f>
        <v>2.1135694935086451</v>
      </c>
      <c r="AA55">
        <f>'AEO 2023 Table 1'!AA$36/'AEO 2022 Table 1'!$C$36</f>
        <v>2.1110118079108657</v>
      </c>
      <c r="AB55">
        <f>'AEO 2023 Table 1'!AB$36/'AEO 2022 Table 1'!$C$36</f>
        <v>2.1080336909031741</v>
      </c>
      <c r="AC55">
        <f>'AEO 2023 Table 1'!AC$36/'AEO 2022 Table 1'!$C$36</f>
        <v>2.1085774762719849</v>
      </c>
      <c r="AD55">
        <f>'AEO 2023 Table 1'!AD$36/'AEO 2022 Table 1'!$C$36</f>
        <v>2.1033911765500601</v>
      </c>
      <c r="AE55">
        <f>'AEO 2023 Table 1'!AE$36/'AEO 2022 Table 1'!$C$36</f>
        <v>2.1006264325212727</v>
      </c>
    </row>
    <row r="56" spans="1:33" x14ac:dyDescent="0.25">
      <c r="A56" t="s">
        <v>218</v>
      </c>
      <c r="B56">
        <v>1</v>
      </c>
      <c r="C56">
        <v>1</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row>
    <row r="57" spans="1:33" x14ac:dyDescent="0.25">
      <c r="A57" s="7" t="s">
        <v>228</v>
      </c>
      <c r="B57" s="7">
        <v>0</v>
      </c>
      <c r="C57" s="7">
        <v>0</v>
      </c>
      <c r="D57" s="7">
        <v>0</v>
      </c>
      <c r="E57" s="7">
        <v>0</v>
      </c>
      <c r="F57" s="7">
        <v>0</v>
      </c>
      <c r="G57" s="7">
        <v>0</v>
      </c>
      <c r="H57" s="7">
        <v>0</v>
      </c>
      <c r="I57" s="7">
        <v>0</v>
      </c>
      <c r="J57" s="7">
        <v>0</v>
      </c>
      <c r="K57" s="7">
        <v>0</v>
      </c>
      <c r="L57" s="7">
        <v>0</v>
      </c>
      <c r="M57" s="7">
        <v>0</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c r="AG57" s="7"/>
    </row>
    <row r="58" spans="1:33" x14ac:dyDescent="0.25">
      <c r="A58" s="7" t="s">
        <v>229</v>
      </c>
      <c r="B58" s="7">
        <v>0</v>
      </c>
      <c r="C58" s="7">
        <v>0</v>
      </c>
      <c r="D58" s="7">
        <v>0</v>
      </c>
      <c r="E58" s="7">
        <v>0</v>
      </c>
      <c r="F58" s="7">
        <v>0</v>
      </c>
      <c r="G58" s="7">
        <v>0</v>
      </c>
      <c r="H58" s="7">
        <v>0</v>
      </c>
      <c r="I58" s="7">
        <v>0</v>
      </c>
      <c r="J58" s="7">
        <v>0</v>
      </c>
      <c r="K58" s="7">
        <v>0</v>
      </c>
      <c r="L58" s="7">
        <v>0</v>
      </c>
      <c r="M58" s="7">
        <v>0</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c r="AG58" s="7"/>
    </row>
    <row r="59" spans="1:33" x14ac:dyDescent="0.25">
      <c r="A59" s="7" t="s">
        <v>230</v>
      </c>
      <c r="B59" s="7">
        <v>0</v>
      </c>
      <c r="C59" s="7">
        <v>0</v>
      </c>
      <c r="D59" s="7">
        <v>0</v>
      </c>
      <c r="E59" s="7">
        <v>0</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c r="AG59" s="7"/>
    </row>
    <row r="60" spans="1:33" x14ac:dyDescent="0.25">
      <c r="A60" t="s">
        <v>219</v>
      </c>
      <c r="B60">
        <v>1</v>
      </c>
      <c r="C60">
        <v>1</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row>
    <row r="61" spans="1:33" x14ac:dyDescent="0.25">
      <c r="A61" t="s">
        <v>220</v>
      </c>
      <c r="B61">
        <f>'AEO 2022 Table 1'!C$35/'AEO 2022 Table 1'!$C$35</f>
        <v>1</v>
      </c>
      <c r="C61">
        <f>'AEO 2023 Table 1'!C$35/'AEO 2022 Table 1'!$C$35</f>
        <v>1.1077044433887</v>
      </c>
      <c r="D61">
        <f>'AEO 2023 Table 1'!D$35/'AEO 2022 Table 1'!$C$35</f>
        <v>1.1378415606689434</v>
      </c>
      <c r="E61">
        <f>'AEO 2023 Table 1'!E$35/'AEO 2022 Table 1'!$C$35</f>
        <v>1.2147860175632028</v>
      </c>
      <c r="F61">
        <f>'AEO 2023 Table 1'!F$35/'AEO 2022 Table 1'!$C$35</f>
        <v>1.2298353337695749</v>
      </c>
      <c r="G61">
        <f>'AEO 2023 Table 1'!G$35/'AEO 2022 Table 1'!$C$35</f>
        <v>1.2592310197593499</v>
      </c>
      <c r="H61">
        <f>'AEO 2023 Table 1'!H$35/'AEO 2022 Table 1'!$C$35</f>
        <v>1.2842058462338315</v>
      </c>
      <c r="I61">
        <f>'AEO 2023 Table 1'!I$35/'AEO 2022 Table 1'!$C$35</f>
        <v>1.2929817107240713</v>
      </c>
      <c r="J61">
        <f>'AEO 2023 Table 1'!J$35/'AEO 2022 Table 1'!$C$35</f>
        <v>1.3075575554938046</v>
      </c>
      <c r="K61">
        <f>'AEO 2023 Table 1'!K$35/'AEO 2022 Table 1'!$C$35</f>
        <v>1.3268244307197687</v>
      </c>
      <c r="L61">
        <f>'AEO 2023 Table 1'!L$35/'AEO 2022 Table 1'!$C$35</f>
        <v>1.3342790212652798</v>
      </c>
      <c r="M61">
        <f>'AEO 2023 Table 1'!M$35/'AEO 2022 Table 1'!$C$35</f>
        <v>1.3424690671901565</v>
      </c>
      <c r="N61">
        <f>'AEO 2023 Table 1'!N$35/'AEO 2022 Table 1'!$C$35</f>
        <v>1.3454974199003815</v>
      </c>
      <c r="O61">
        <f>'AEO 2023 Table 1'!O$35/'AEO 2022 Table 1'!$C$35</f>
        <v>1.3598797049095097</v>
      </c>
      <c r="P61">
        <f>'AEO 2023 Table 1'!P$35/'AEO 2022 Table 1'!$C$35</f>
        <v>1.3731912859264306</v>
      </c>
      <c r="Q61">
        <f>'AEO 2023 Table 1'!Q$35/'AEO 2022 Table 1'!$C$35</f>
        <v>1.3790374002396339</v>
      </c>
      <c r="R61">
        <f>'AEO 2023 Table 1'!R$35/'AEO 2022 Table 1'!$C$35</f>
        <v>1.3811566375938591</v>
      </c>
      <c r="S61">
        <f>'AEO 2023 Table 1'!S$35/'AEO 2022 Table 1'!$C$35</f>
        <v>1.3817305640961286</v>
      </c>
      <c r="T61">
        <f>'AEO 2023 Table 1'!T$35/'AEO 2022 Table 1'!$C$35</f>
        <v>1.3904628641944323</v>
      </c>
      <c r="U61">
        <f>'AEO 2023 Table 1'!U$35/'AEO 2022 Table 1'!$C$35</f>
        <v>1.3776772231136289</v>
      </c>
      <c r="V61">
        <f>'AEO 2023 Table 1'!V$35/'AEO 2022 Table 1'!$C$35</f>
        <v>1.3827777827577035</v>
      </c>
      <c r="W61">
        <f>'AEO 2023 Table 1'!W$35/'AEO 2022 Table 1'!$C$35</f>
        <v>1.3870183490350396</v>
      </c>
      <c r="X61">
        <f>'AEO 2023 Table 1'!X$35/'AEO 2022 Table 1'!$C$35</f>
        <v>1.3886189968238032</v>
      </c>
      <c r="Y61">
        <f>'AEO 2023 Table 1'!Y$35/'AEO 2022 Table 1'!$C$35</f>
        <v>1.3875101067596518</v>
      </c>
      <c r="Z61">
        <f>'AEO 2023 Table 1'!Z$35/'AEO 2022 Table 1'!$C$35</f>
        <v>1.3826019116939616</v>
      </c>
      <c r="AA61">
        <f>'AEO 2023 Table 1'!AA$35/'AEO 2022 Table 1'!$C$35</f>
        <v>1.3624602826008361</v>
      </c>
      <c r="AB61">
        <f>'AEO 2023 Table 1'!AB$35/'AEO 2022 Table 1'!$C$35</f>
        <v>1.3464271521496844</v>
      </c>
      <c r="AC61">
        <f>'AEO 2023 Table 1'!AC$35/'AEO 2022 Table 1'!$C$35</f>
        <v>1.3454135181085045</v>
      </c>
      <c r="AD61">
        <f>'AEO 2023 Table 1'!AD$35/'AEO 2022 Table 1'!$C$35</f>
        <v>1.3387617912195939</v>
      </c>
      <c r="AE61">
        <f>'AEO 2023 Table 1'!AE$35/'AEO 2022 Table 1'!$C$35</f>
        <v>1.3105941549613507</v>
      </c>
    </row>
    <row r="62" spans="1:33" x14ac:dyDescent="0.25">
      <c r="A62" t="s">
        <v>231</v>
      </c>
      <c r="B62">
        <f>'AEO 2022 Table 1'!C$35/'AEO 2022 Table 1'!$C$35</f>
        <v>1</v>
      </c>
      <c r="C62">
        <f>'AEO 2023 Table 1'!C$35/'AEO 2022 Table 1'!$C$35</f>
        <v>1.1077044433887</v>
      </c>
      <c r="D62">
        <f>'AEO 2023 Table 1'!D$35/'AEO 2022 Table 1'!$C$35</f>
        <v>1.1378415606689434</v>
      </c>
      <c r="E62">
        <f>'AEO 2023 Table 1'!E$35/'AEO 2022 Table 1'!$C$35</f>
        <v>1.2147860175632028</v>
      </c>
      <c r="F62">
        <f>'AEO 2023 Table 1'!F$35/'AEO 2022 Table 1'!$C$35</f>
        <v>1.2298353337695749</v>
      </c>
      <c r="G62">
        <f>'AEO 2023 Table 1'!G$35/'AEO 2022 Table 1'!$C$35</f>
        <v>1.2592310197593499</v>
      </c>
      <c r="H62">
        <f>'AEO 2023 Table 1'!H$35/'AEO 2022 Table 1'!$C$35</f>
        <v>1.2842058462338315</v>
      </c>
      <c r="I62">
        <f>'AEO 2023 Table 1'!I$35/'AEO 2022 Table 1'!$C$35</f>
        <v>1.2929817107240713</v>
      </c>
      <c r="J62">
        <f>'AEO 2023 Table 1'!J$35/'AEO 2022 Table 1'!$C$35</f>
        <v>1.3075575554938046</v>
      </c>
      <c r="K62">
        <f>'AEO 2023 Table 1'!K$35/'AEO 2022 Table 1'!$C$35</f>
        <v>1.3268244307197687</v>
      </c>
      <c r="L62">
        <f>'AEO 2023 Table 1'!L$35/'AEO 2022 Table 1'!$C$35</f>
        <v>1.3342790212652798</v>
      </c>
      <c r="M62">
        <f>'AEO 2023 Table 1'!M$35/'AEO 2022 Table 1'!$C$35</f>
        <v>1.3424690671901565</v>
      </c>
      <c r="N62">
        <f>'AEO 2023 Table 1'!N$35/'AEO 2022 Table 1'!$C$35</f>
        <v>1.3454974199003815</v>
      </c>
      <c r="O62">
        <f>'AEO 2023 Table 1'!O$35/'AEO 2022 Table 1'!$C$35</f>
        <v>1.3598797049095097</v>
      </c>
      <c r="P62">
        <f>'AEO 2023 Table 1'!P$35/'AEO 2022 Table 1'!$C$35</f>
        <v>1.3731912859264306</v>
      </c>
      <c r="Q62">
        <f>'AEO 2023 Table 1'!Q$35/'AEO 2022 Table 1'!$C$35</f>
        <v>1.3790374002396339</v>
      </c>
      <c r="R62">
        <f>'AEO 2023 Table 1'!R$35/'AEO 2022 Table 1'!$C$35</f>
        <v>1.3811566375938591</v>
      </c>
      <c r="S62">
        <f>'AEO 2023 Table 1'!S$35/'AEO 2022 Table 1'!$C$35</f>
        <v>1.3817305640961286</v>
      </c>
      <c r="T62">
        <f>'AEO 2023 Table 1'!T$35/'AEO 2022 Table 1'!$C$35</f>
        <v>1.3904628641944323</v>
      </c>
      <c r="U62">
        <f>'AEO 2023 Table 1'!U$35/'AEO 2022 Table 1'!$C$35</f>
        <v>1.3776772231136289</v>
      </c>
      <c r="V62">
        <f>'AEO 2023 Table 1'!V$35/'AEO 2022 Table 1'!$C$35</f>
        <v>1.3827777827577035</v>
      </c>
      <c r="W62">
        <f>'AEO 2023 Table 1'!W$35/'AEO 2022 Table 1'!$C$35</f>
        <v>1.3870183490350396</v>
      </c>
      <c r="X62">
        <f>'AEO 2023 Table 1'!X$35/'AEO 2022 Table 1'!$C$35</f>
        <v>1.3886189968238032</v>
      </c>
      <c r="Y62">
        <f>'AEO 2023 Table 1'!Y$35/'AEO 2022 Table 1'!$C$35</f>
        <v>1.3875101067596518</v>
      </c>
      <c r="Z62">
        <f>'AEO 2023 Table 1'!Z$35/'AEO 2022 Table 1'!$C$35</f>
        <v>1.3826019116939616</v>
      </c>
      <c r="AA62">
        <f>'AEO 2023 Table 1'!AA$35/'AEO 2022 Table 1'!$C$35</f>
        <v>1.3624602826008361</v>
      </c>
      <c r="AB62">
        <f>'AEO 2023 Table 1'!AB$35/'AEO 2022 Table 1'!$C$35</f>
        <v>1.3464271521496844</v>
      </c>
      <c r="AC62">
        <f>'AEO 2023 Table 1'!AC$35/'AEO 2022 Table 1'!$C$35</f>
        <v>1.3454135181085045</v>
      </c>
      <c r="AD62">
        <f>'AEO 2023 Table 1'!AD$35/'AEO 2022 Table 1'!$C$35</f>
        <v>1.3387617912195939</v>
      </c>
      <c r="AE62">
        <f>'AEO 2023 Table 1'!AE$35/'AEO 2022 Table 1'!$C$35</f>
        <v>1.3105941549613507</v>
      </c>
    </row>
    <row r="63" spans="1:33" x14ac:dyDescent="0.25">
      <c r="A63" t="s">
        <v>232</v>
      </c>
      <c r="B63">
        <f>'AEO 2022 Table 1'!C$35/'AEO 2022 Table 1'!$C$35</f>
        <v>1</v>
      </c>
      <c r="C63">
        <f>'AEO 2023 Table 1'!C$35/'AEO 2022 Table 1'!$C$35</f>
        <v>1.1077044433887</v>
      </c>
      <c r="D63">
        <f>'AEO 2023 Table 1'!D$35/'AEO 2022 Table 1'!$C$35</f>
        <v>1.1378415606689434</v>
      </c>
      <c r="E63">
        <f>'AEO 2023 Table 1'!E$35/'AEO 2022 Table 1'!$C$35</f>
        <v>1.2147860175632028</v>
      </c>
      <c r="F63">
        <f>'AEO 2023 Table 1'!F$35/'AEO 2022 Table 1'!$C$35</f>
        <v>1.2298353337695749</v>
      </c>
      <c r="G63">
        <f>'AEO 2023 Table 1'!G$35/'AEO 2022 Table 1'!$C$35</f>
        <v>1.2592310197593499</v>
      </c>
      <c r="H63">
        <f>'AEO 2023 Table 1'!H$35/'AEO 2022 Table 1'!$C$35</f>
        <v>1.2842058462338315</v>
      </c>
      <c r="I63">
        <f>'AEO 2023 Table 1'!I$35/'AEO 2022 Table 1'!$C$35</f>
        <v>1.2929817107240713</v>
      </c>
      <c r="J63">
        <f>'AEO 2023 Table 1'!J$35/'AEO 2022 Table 1'!$C$35</f>
        <v>1.3075575554938046</v>
      </c>
      <c r="K63">
        <f>'AEO 2023 Table 1'!K$35/'AEO 2022 Table 1'!$C$35</f>
        <v>1.3268244307197687</v>
      </c>
      <c r="L63">
        <f>'AEO 2023 Table 1'!L$35/'AEO 2022 Table 1'!$C$35</f>
        <v>1.3342790212652798</v>
      </c>
      <c r="M63">
        <f>'AEO 2023 Table 1'!M$35/'AEO 2022 Table 1'!$C$35</f>
        <v>1.3424690671901565</v>
      </c>
      <c r="N63">
        <f>'AEO 2023 Table 1'!N$35/'AEO 2022 Table 1'!$C$35</f>
        <v>1.3454974199003815</v>
      </c>
      <c r="O63">
        <f>'AEO 2023 Table 1'!O$35/'AEO 2022 Table 1'!$C$35</f>
        <v>1.3598797049095097</v>
      </c>
      <c r="P63">
        <f>'AEO 2023 Table 1'!P$35/'AEO 2022 Table 1'!$C$35</f>
        <v>1.3731912859264306</v>
      </c>
      <c r="Q63">
        <f>'AEO 2023 Table 1'!Q$35/'AEO 2022 Table 1'!$C$35</f>
        <v>1.3790374002396339</v>
      </c>
      <c r="R63">
        <f>'AEO 2023 Table 1'!R$35/'AEO 2022 Table 1'!$C$35</f>
        <v>1.3811566375938591</v>
      </c>
      <c r="S63">
        <f>'AEO 2023 Table 1'!S$35/'AEO 2022 Table 1'!$C$35</f>
        <v>1.3817305640961286</v>
      </c>
      <c r="T63">
        <f>'AEO 2023 Table 1'!T$35/'AEO 2022 Table 1'!$C$35</f>
        <v>1.3904628641944323</v>
      </c>
      <c r="U63">
        <f>'AEO 2023 Table 1'!U$35/'AEO 2022 Table 1'!$C$35</f>
        <v>1.3776772231136289</v>
      </c>
      <c r="V63">
        <f>'AEO 2023 Table 1'!V$35/'AEO 2022 Table 1'!$C$35</f>
        <v>1.3827777827577035</v>
      </c>
      <c r="W63">
        <f>'AEO 2023 Table 1'!W$35/'AEO 2022 Table 1'!$C$35</f>
        <v>1.3870183490350396</v>
      </c>
      <c r="X63">
        <f>'AEO 2023 Table 1'!X$35/'AEO 2022 Table 1'!$C$35</f>
        <v>1.3886189968238032</v>
      </c>
      <c r="Y63">
        <f>'AEO 2023 Table 1'!Y$35/'AEO 2022 Table 1'!$C$35</f>
        <v>1.3875101067596518</v>
      </c>
      <c r="Z63">
        <f>'AEO 2023 Table 1'!Z$35/'AEO 2022 Table 1'!$C$35</f>
        <v>1.3826019116939616</v>
      </c>
      <c r="AA63">
        <f>'AEO 2023 Table 1'!AA$35/'AEO 2022 Table 1'!$C$35</f>
        <v>1.3624602826008361</v>
      </c>
      <c r="AB63">
        <f>'AEO 2023 Table 1'!AB$35/'AEO 2022 Table 1'!$C$35</f>
        <v>1.3464271521496844</v>
      </c>
      <c r="AC63">
        <f>'AEO 2023 Table 1'!AC$35/'AEO 2022 Table 1'!$C$35</f>
        <v>1.3454135181085045</v>
      </c>
      <c r="AD63">
        <f>'AEO 2023 Table 1'!AD$35/'AEO 2022 Table 1'!$C$35</f>
        <v>1.3387617912195939</v>
      </c>
      <c r="AE63">
        <f>'AEO 2023 Table 1'!AE$35/'AEO 2022 Table 1'!$C$35</f>
        <v>1.3105941549613507</v>
      </c>
    </row>
    <row r="64" spans="1:33" x14ac:dyDescent="0.25">
      <c r="A64" t="s">
        <v>233</v>
      </c>
      <c r="B64">
        <f>'AEO 2022 Table 1'!C$35/'AEO 2022 Table 1'!$C$35</f>
        <v>1</v>
      </c>
      <c r="C64">
        <f>'AEO 2023 Table 1'!C$35/'AEO 2022 Table 1'!$C$35</f>
        <v>1.1077044433887</v>
      </c>
      <c r="D64">
        <f>'AEO 2023 Table 1'!D$35/'AEO 2022 Table 1'!$C$35</f>
        <v>1.1378415606689434</v>
      </c>
      <c r="E64">
        <f>'AEO 2023 Table 1'!E$35/'AEO 2022 Table 1'!$C$35</f>
        <v>1.2147860175632028</v>
      </c>
      <c r="F64">
        <f>'AEO 2023 Table 1'!F$35/'AEO 2022 Table 1'!$C$35</f>
        <v>1.2298353337695749</v>
      </c>
      <c r="G64">
        <f>'AEO 2023 Table 1'!G$35/'AEO 2022 Table 1'!$C$35</f>
        <v>1.2592310197593499</v>
      </c>
      <c r="H64">
        <f>'AEO 2023 Table 1'!H$35/'AEO 2022 Table 1'!$C$35</f>
        <v>1.2842058462338315</v>
      </c>
      <c r="I64">
        <f>'AEO 2023 Table 1'!I$35/'AEO 2022 Table 1'!$C$35</f>
        <v>1.2929817107240713</v>
      </c>
      <c r="J64">
        <f>'AEO 2023 Table 1'!J$35/'AEO 2022 Table 1'!$C$35</f>
        <v>1.3075575554938046</v>
      </c>
      <c r="K64">
        <f>'AEO 2023 Table 1'!K$35/'AEO 2022 Table 1'!$C$35</f>
        <v>1.3268244307197687</v>
      </c>
      <c r="L64">
        <f>'AEO 2023 Table 1'!L$35/'AEO 2022 Table 1'!$C$35</f>
        <v>1.3342790212652798</v>
      </c>
      <c r="M64">
        <f>'AEO 2023 Table 1'!M$35/'AEO 2022 Table 1'!$C$35</f>
        <v>1.3424690671901565</v>
      </c>
      <c r="N64">
        <f>'AEO 2023 Table 1'!N$35/'AEO 2022 Table 1'!$C$35</f>
        <v>1.3454974199003815</v>
      </c>
      <c r="O64">
        <f>'AEO 2023 Table 1'!O$35/'AEO 2022 Table 1'!$C$35</f>
        <v>1.3598797049095097</v>
      </c>
      <c r="P64">
        <f>'AEO 2023 Table 1'!P$35/'AEO 2022 Table 1'!$C$35</f>
        <v>1.3731912859264306</v>
      </c>
      <c r="Q64">
        <f>'AEO 2023 Table 1'!Q$35/'AEO 2022 Table 1'!$C$35</f>
        <v>1.3790374002396339</v>
      </c>
      <c r="R64">
        <f>'AEO 2023 Table 1'!R$35/'AEO 2022 Table 1'!$C$35</f>
        <v>1.3811566375938591</v>
      </c>
      <c r="S64">
        <f>'AEO 2023 Table 1'!S$35/'AEO 2022 Table 1'!$C$35</f>
        <v>1.3817305640961286</v>
      </c>
      <c r="T64">
        <f>'AEO 2023 Table 1'!T$35/'AEO 2022 Table 1'!$C$35</f>
        <v>1.3904628641944323</v>
      </c>
      <c r="U64">
        <f>'AEO 2023 Table 1'!U$35/'AEO 2022 Table 1'!$C$35</f>
        <v>1.3776772231136289</v>
      </c>
      <c r="V64">
        <f>'AEO 2023 Table 1'!V$35/'AEO 2022 Table 1'!$C$35</f>
        <v>1.3827777827577035</v>
      </c>
      <c r="W64">
        <f>'AEO 2023 Table 1'!W$35/'AEO 2022 Table 1'!$C$35</f>
        <v>1.3870183490350396</v>
      </c>
      <c r="X64">
        <f>'AEO 2023 Table 1'!X$35/'AEO 2022 Table 1'!$C$35</f>
        <v>1.3886189968238032</v>
      </c>
      <c r="Y64">
        <f>'AEO 2023 Table 1'!Y$35/'AEO 2022 Table 1'!$C$35</f>
        <v>1.3875101067596518</v>
      </c>
      <c r="Z64">
        <f>'AEO 2023 Table 1'!Z$35/'AEO 2022 Table 1'!$C$35</f>
        <v>1.3826019116939616</v>
      </c>
      <c r="AA64">
        <f>'AEO 2023 Table 1'!AA$35/'AEO 2022 Table 1'!$C$35</f>
        <v>1.3624602826008361</v>
      </c>
      <c r="AB64">
        <f>'AEO 2023 Table 1'!AB$35/'AEO 2022 Table 1'!$C$35</f>
        <v>1.3464271521496844</v>
      </c>
      <c r="AC64">
        <f>'AEO 2023 Table 1'!AC$35/'AEO 2022 Table 1'!$C$35</f>
        <v>1.3454135181085045</v>
      </c>
      <c r="AD64">
        <f>'AEO 2023 Table 1'!AD$35/'AEO 2022 Table 1'!$C$35</f>
        <v>1.3387617912195939</v>
      </c>
      <c r="AE64">
        <f>'AEO 2023 Table 1'!AE$35/'AEO 2022 Table 1'!$C$35</f>
        <v>1.3105941549613507</v>
      </c>
    </row>
    <row r="65" spans="1:33" x14ac:dyDescent="0.25">
      <c r="A65" t="s">
        <v>222</v>
      </c>
      <c r="B65">
        <f>'AEO 2022 Table 1'!C$35/'AEO 2022 Table 1'!$C$35</f>
        <v>1</v>
      </c>
      <c r="C65">
        <f>'AEO 2023 Table 1'!C$35/'AEO 2022 Table 1'!$C$35</f>
        <v>1.1077044433887</v>
      </c>
      <c r="D65">
        <f>'AEO 2023 Table 1'!D$35/'AEO 2022 Table 1'!$C$35</f>
        <v>1.1378415606689434</v>
      </c>
      <c r="E65">
        <f>'AEO 2023 Table 1'!E$35/'AEO 2022 Table 1'!$C$35</f>
        <v>1.2147860175632028</v>
      </c>
      <c r="F65">
        <f>'AEO 2023 Table 1'!F$35/'AEO 2022 Table 1'!$C$35</f>
        <v>1.2298353337695749</v>
      </c>
      <c r="G65">
        <f>'AEO 2023 Table 1'!G$35/'AEO 2022 Table 1'!$C$35</f>
        <v>1.2592310197593499</v>
      </c>
      <c r="H65">
        <f>'AEO 2023 Table 1'!H$35/'AEO 2022 Table 1'!$C$35</f>
        <v>1.2842058462338315</v>
      </c>
      <c r="I65">
        <f>'AEO 2023 Table 1'!I$35/'AEO 2022 Table 1'!$C$35</f>
        <v>1.2929817107240713</v>
      </c>
      <c r="J65">
        <f>'AEO 2023 Table 1'!J$35/'AEO 2022 Table 1'!$C$35</f>
        <v>1.3075575554938046</v>
      </c>
      <c r="K65">
        <f>'AEO 2023 Table 1'!K$35/'AEO 2022 Table 1'!$C$35</f>
        <v>1.3268244307197687</v>
      </c>
      <c r="L65">
        <f>'AEO 2023 Table 1'!L$35/'AEO 2022 Table 1'!$C$35</f>
        <v>1.3342790212652798</v>
      </c>
      <c r="M65">
        <f>'AEO 2023 Table 1'!M$35/'AEO 2022 Table 1'!$C$35</f>
        <v>1.3424690671901565</v>
      </c>
      <c r="N65">
        <f>'AEO 2023 Table 1'!N$35/'AEO 2022 Table 1'!$C$35</f>
        <v>1.3454974199003815</v>
      </c>
      <c r="O65">
        <f>'AEO 2023 Table 1'!O$35/'AEO 2022 Table 1'!$C$35</f>
        <v>1.3598797049095097</v>
      </c>
      <c r="P65">
        <f>'AEO 2023 Table 1'!P$35/'AEO 2022 Table 1'!$C$35</f>
        <v>1.3731912859264306</v>
      </c>
      <c r="Q65">
        <f>'AEO 2023 Table 1'!Q$35/'AEO 2022 Table 1'!$C$35</f>
        <v>1.3790374002396339</v>
      </c>
      <c r="R65">
        <f>'AEO 2023 Table 1'!R$35/'AEO 2022 Table 1'!$C$35</f>
        <v>1.3811566375938591</v>
      </c>
      <c r="S65">
        <f>'AEO 2023 Table 1'!S$35/'AEO 2022 Table 1'!$C$35</f>
        <v>1.3817305640961286</v>
      </c>
      <c r="T65">
        <f>'AEO 2023 Table 1'!T$35/'AEO 2022 Table 1'!$C$35</f>
        <v>1.3904628641944323</v>
      </c>
      <c r="U65">
        <f>'AEO 2023 Table 1'!U$35/'AEO 2022 Table 1'!$C$35</f>
        <v>1.3776772231136289</v>
      </c>
      <c r="V65">
        <f>'AEO 2023 Table 1'!V$35/'AEO 2022 Table 1'!$C$35</f>
        <v>1.3827777827577035</v>
      </c>
      <c r="W65">
        <f>'AEO 2023 Table 1'!W$35/'AEO 2022 Table 1'!$C$35</f>
        <v>1.3870183490350396</v>
      </c>
      <c r="X65">
        <f>'AEO 2023 Table 1'!X$35/'AEO 2022 Table 1'!$C$35</f>
        <v>1.3886189968238032</v>
      </c>
      <c r="Y65">
        <f>'AEO 2023 Table 1'!Y$35/'AEO 2022 Table 1'!$C$35</f>
        <v>1.3875101067596518</v>
      </c>
      <c r="Z65">
        <f>'AEO 2023 Table 1'!Z$35/'AEO 2022 Table 1'!$C$35</f>
        <v>1.3826019116939616</v>
      </c>
      <c r="AA65">
        <f>'AEO 2023 Table 1'!AA$35/'AEO 2022 Table 1'!$C$35</f>
        <v>1.3624602826008361</v>
      </c>
      <c r="AB65">
        <f>'AEO 2023 Table 1'!AB$35/'AEO 2022 Table 1'!$C$35</f>
        <v>1.3464271521496844</v>
      </c>
      <c r="AC65">
        <f>'AEO 2023 Table 1'!AC$35/'AEO 2022 Table 1'!$C$35</f>
        <v>1.3454135181085045</v>
      </c>
      <c r="AD65">
        <f>'AEO 2023 Table 1'!AD$35/'AEO 2022 Table 1'!$C$35</f>
        <v>1.3387617912195939</v>
      </c>
      <c r="AE65">
        <f>'AEO 2023 Table 1'!AE$35/'AEO 2022 Table 1'!$C$35</f>
        <v>1.3105941549613507</v>
      </c>
    </row>
    <row r="66" spans="1:33" x14ac:dyDescent="0.25">
      <c r="A66" s="7" t="s">
        <v>274</v>
      </c>
      <c r="B66" s="7">
        <v>0</v>
      </c>
      <c r="C66" s="7">
        <v>0</v>
      </c>
      <c r="D66" s="7">
        <v>0</v>
      </c>
      <c r="E66" s="7">
        <v>0</v>
      </c>
      <c r="F66" s="7">
        <v>0</v>
      </c>
      <c r="G66" s="7">
        <v>0</v>
      </c>
      <c r="H66" s="7">
        <v>0</v>
      </c>
      <c r="I66" s="7">
        <v>0</v>
      </c>
      <c r="J66" s="7">
        <v>0</v>
      </c>
      <c r="K66" s="7">
        <v>0</v>
      </c>
      <c r="L66" s="7">
        <v>0</v>
      </c>
      <c r="M66" s="7">
        <v>0</v>
      </c>
      <c r="N66" s="7">
        <v>0</v>
      </c>
      <c r="O66" s="7">
        <v>0</v>
      </c>
      <c r="P66" s="7">
        <v>0</v>
      </c>
      <c r="Q66" s="7">
        <v>0</v>
      </c>
      <c r="R66" s="7">
        <v>0</v>
      </c>
      <c r="S66" s="7">
        <v>0</v>
      </c>
      <c r="T66" s="7">
        <v>0</v>
      </c>
      <c r="U66" s="7">
        <v>0</v>
      </c>
      <c r="V66" s="7">
        <v>0</v>
      </c>
      <c r="W66" s="7">
        <v>0</v>
      </c>
      <c r="X66" s="7">
        <v>0</v>
      </c>
      <c r="Y66" s="7">
        <v>0</v>
      </c>
      <c r="Z66" s="7">
        <v>0</v>
      </c>
      <c r="AA66" s="7">
        <v>0</v>
      </c>
      <c r="AB66" s="7">
        <v>0</v>
      </c>
      <c r="AC66" s="7">
        <v>0</v>
      </c>
      <c r="AD66" s="7">
        <v>0</v>
      </c>
      <c r="AE66" s="7">
        <v>0</v>
      </c>
      <c r="AF66" s="7"/>
      <c r="AG66" s="7"/>
    </row>
    <row r="67" spans="1:33" x14ac:dyDescent="0.25">
      <c r="A67" s="7" t="s">
        <v>235</v>
      </c>
      <c r="B67" s="7">
        <v>0</v>
      </c>
      <c r="C67" s="7">
        <v>0</v>
      </c>
      <c r="D67" s="7">
        <v>0</v>
      </c>
      <c r="E67" s="7">
        <v>0</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c r="AG67" s="7"/>
    </row>
    <row r="68" spans="1:33" x14ac:dyDescent="0.25">
      <c r="A68" t="s">
        <v>236</v>
      </c>
      <c r="B68">
        <f>'AEO 2022 Table 1'!C$37/'AEO 2022 Table 1'!$C$37</f>
        <v>1</v>
      </c>
      <c r="C68">
        <f>'AEO 2023 Table 1'!C$37/'AEO 2022 Table 1'!$C$37</f>
        <v>0.95614358575645064</v>
      </c>
      <c r="D68">
        <f>'AEO 2023 Table 1'!D$37/'AEO 2022 Table 1'!$C$37</f>
        <v>0.95125452705002522</v>
      </c>
      <c r="E68">
        <f>'AEO 2023 Table 1'!E$37/'AEO 2022 Table 1'!$C$37</f>
        <v>1.2336767700704581</v>
      </c>
      <c r="F68">
        <f>'AEO 2023 Table 1'!F$37/'AEO 2022 Table 1'!$C$37</f>
        <v>1.2052796686250415</v>
      </c>
      <c r="G68">
        <f>'AEO 2023 Table 1'!G$37/'AEO 2022 Table 1'!$C$37</f>
        <v>1.2639284032699047</v>
      </c>
      <c r="H68">
        <f>'AEO 2023 Table 1'!H$37/'AEO 2022 Table 1'!$C$37</f>
        <v>1.2473188281347423</v>
      </c>
      <c r="I68">
        <f>'AEO 2023 Table 1'!I$37/'AEO 2022 Table 1'!$C$37</f>
        <v>1.2526569861795447</v>
      </c>
      <c r="J68">
        <f>'AEO 2023 Table 1'!J$37/'AEO 2022 Table 1'!$C$37</f>
        <v>1.2464667819591648</v>
      </c>
      <c r="K68">
        <f>'AEO 2023 Table 1'!K$37/'AEO 2022 Table 1'!$C$37</f>
        <v>1.2470525637048744</v>
      </c>
      <c r="L68">
        <f>'AEO 2023 Table 1'!L$37/'AEO 2022 Table 1'!$C$37</f>
        <v>1.2596206885686911</v>
      </c>
      <c r="M68">
        <f>'AEO 2023 Table 1'!M$37/'AEO 2022 Table 1'!$C$37</f>
        <v>1.2830794723881569</v>
      </c>
      <c r="N68">
        <f>'AEO 2023 Table 1'!N$37/'AEO 2022 Table 1'!$C$37</f>
        <v>1.2510030402960151</v>
      </c>
      <c r="O68">
        <f>'AEO 2023 Table 1'!O$37/'AEO 2022 Table 1'!$C$37</f>
        <v>1.2401532085529461</v>
      </c>
      <c r="P68">
        <f>'AEO 2023 Table 1'!P$37/'AEO 2022 Table 1'!$C$37</f>
        <v>1.252060110082591</v>
      </c>
      <c r="Q68">
        <f>'AEO 2023 Table 1'!Q$37/'AEO 2022 Table 1'!$C$37</f>
        <v>1.235727449954491</v>
      </c>
      <c r="R68">
        <f>'AEO 2023 Table 1'!R$37/'AEO 2022 Table 1'!$C$37</f>
        <v>1.2101709462017158</v>
      </c>
      <c r="S68">
        <f>'AEO 2023 Table 1'!S$37/'AEO 2022 Table 1'!$C$37</f>
        <v>1.2295989303270303</v>
      </c>
      <c r="T68">
        <f>'AEO 2023 Table 1'!T$37/'AEO 2022 Table 1'!$C$37</f>
        <v>1.2037881440437312</v>
      </c>
      <c r="U68">
        <f>'AEO 2023 Table 1'!U$37/'AEO 2022 Table 1'!$C$37</f>
        <v>1.2083918560361482</v>
      </c>
      <c r="V68">
        <f>'AEO 2023 Table 1'!V$37/'AEO 2022 Table 1'!$C$37</f>
        <v>1.2018359819987496</v>
      </c>
      <c r="W68">
        <f>'AEO 2023 Table 1'!W$37/'AEO 2022 Table 1'!$C$37</f>
        <v>1.2085662592377115</v>
      </c>
      <c r="X68">
        <f>'AEO 2023 Table 1'!X$37/'AEO 2022 Table 1'!$C$37</f>
        <v>1.1940291089150215</v>
      </c>
      <c r="Y68">
        <f>'AEO 2023 Table 1'!Y$37/'AEO 2022 Table 1'!$C$37</f>
        <v>1.1958960663424454</v>
      </c>
      <c r="Z68">
        <f>'AEO 2023 Table 1'!Z$37/'AEO 2022 Table 1'!$C$37</f>
        <v>1.1999024584638585</v>
      </c>
      <c r="AA68">
        <f>'AEO 2023 Table 1'!AA$37/'AEO 2022 Table 1'!$C$37</f>
        <v>1.1931641932920003</v>
      </c>
      <c r="AB68">
        <f>'AEO 2023 Table 1'!AB$37/'AEO 2022 Table 1'!$C$37</f>
        <v>1.1903812862258305</v>
      </c>
      <c r="AC68">
        <f>'AEO 2023 Table 1'!AC$37/'AEO 2022 Table 1'!$C$37</f>
        <v>1.2006972577870141</v>
      </c>
      <c r="AD68">
        <f>'AEO 2023 Table 1'!AD$37/'AEO 2022 Table 1'!$C$37</f>
        <v>1.2016802173072767</v>
      </c>
      <c r="AE68">
        <f>'AEO 2023 Table 1'!AE$37/'AEO 2022 Table 1'!$C$37</f>
        <v>1.2088382927302266</v>
      </c>
    </row>
    <row r="69" spans="1:33" x14ac:dyDescent="0.25">
      <c r="A69" t="s">
        <v>223</v>
      </c>
      <c r="B69">
        <f>'AEO 2022 Table 1'!C$35/'AEO 2022 Table 1'!$C$35</f>
        <v>1</v>
      </c>
      <c r="C69">
        <f>'AEO 2023 Table 1'!C$35/'AEO 2022 Table 1'!$C$35</f>
        <v>1.1077044433887</v>
      </c>
      <c r="D69">
        <f>'AEO 2023 Table 1'!D$35/'AEO 2022 Table 1'!$C$35</f>
        <v>1.1378415606689434</v>
      </c>
      <c r="E69">
        <f>'AEO 2023 Table 1'!E$35/'AEO 2022 Table 1'!$C$35</f>
        <v>1.2147860175632028</v>
      </c>
      <c r="F69">
        <f>'AEO 2023 Table 1'!F$35/'AEO 2022 Table 1'!$C$35</f>
        <v>1.2298353337695749</v>
      </c>
      <c r="G69">
        <f>'AEO 2023 Table 1'!G$35/'AEO 2022 Table 1'!$C$35</f>
        <v>1.2592310197593499</v>
      </c>
      <c r="H69">
        <f>'AEO 2023 Table 1'!H$35/'AEO 2022 Table 1'!$C$35</f>
        <v>1.2842058462338315</v>
      </c>
      <c r="I69">
        <f>'AEO 2023 Table 1'!I$35/'AEO 2022 Table 1'!$C$35</f>
        <v>1.2929817107240713</v>
      </c>
      <c r="J69">
        <f>'AEO 2023 Table 1'!J$35/'AEO 2022 Table 1'!$C$35</f>
        <v>1.3075575554938046</v>
      </c>
      <c r="K69">
        <f>'AEO 2023 Table 1'!K$35/'AEO 2022 Table 1'!$C$35</f>
        <v>1.3268244307197687</v>
      </c>
      <c r="L69">
        <f>'AEO 2023 Table 1'!L$35/'AEO 2022 Table 1'!$C$35</f>
        <v>1.3342790212652798</v>
      </c>
      <c r="M69">
        <f>'AEO 2023 Table 1'!M$35/'AEO 2022 Table 1'!$C$35</f>
        <v>1.3424690671901565</v>
      </c>
      <c r="N69">
        <f>'AEO 2023 Table 1'!N$35/'AEO 2022 Table 1'!$C$35</f>
        <v>1.3454974199003815</v>
      </c>
      <c r="O69">
        <f>'AEO 2023 Table 1'!O$35/'AEO 2022 Table 1'!$C$35</f>
        <v>1.3598797049095097</v>
      </c>
      <c r="P69">
        <f>'AEO 2023 Table 1'!P$35/'AEO 2022 Table 1'!$C$35</f>
        <v>1.3731912859264306</v>
      </c>
      <c r="Q69">
        <f>'AEO 2023 Table 1'!Q$35/'AEO 2022 Table 1'!$C$35</f>
        <v>1.3790374002396339</v>
      </c>
      <c r="R69">
        <f>'AEO 2023 Table 1'!R$35/'AEO 2022 Table 1'!$C$35</f>
        <v>1.3811566375938591</v>
      </c>
      <c r="S69">
        <f>'AEO 2023 Table 1'!S$35/'AEO 2022 Table 1'!$C$35</f>
        <v>1.3817305640961286</v>
      </c>
      <c r="T69">
        <f>'AEO 2023 Table 1'!T$35/'AEO 2022 Table 1'!$C$35</f>
        <v>1.3904628641944323</v>
      </c>
      <c r="U69">
        <f>'AEO 2023 Table 1'!U$35/'AEO 2022 Table 1'!$C$35</f>
        <v>1.3776772231136289</v>
      </c>
      <c r="V69">
        <f>'AEO 2023 Table 1'!V$35/'AEO 2022 Table 1'!$C$35</f>
        <v>1.3827777827577035</v>
      </c>
      <c r="W69">
        <f>'AEO 2023 Table 1'!W$35/'AEO 2022 Table 1'!$C$35</f>
        <v>1.3870183490350396</v>
      </c>
      <c r="X69">
        <f>'AEO 2023 Table 1'!X$35/'AEO 2022 Table 1'!$C$35</f>
        <v>1.3886189968238032</v>
      </c>
      <c r="Y69">
        <f>'AEO 2023 Table 1'!Y$35/'AEO 2022 Table 1'!$C$35</f>
        <v>1.3875101067596518</v>
      </c>
      <c r="Z69">
        <f>'AEO 2023 Table 1'!Z$35/'AEO 2022 Table 1'!$C$35</f>
        <v>1.3826019116939616</v>
      </c>
      <c r="AA69">
        <f>'AEO 2023 Table 1'!AA$35/'AEO 2022 Table 1'!$C$35</f>
        <v>1.3624602826008361</v>
      </c>
      <c r="AB69">
        <f>'AEO 2023 Table 1'!AB$35/'AEO 2022 Table 1'!$C$35</f>
        <v>1.3464271521496844</v>
      </c>
      <c r="AC69">
        <f>'AEO 2023 Table 1'!AC$35/'AEO 2022 Table 1'!$C$35</f>
        <v>1.3454135181085045</v>
      </c>
      <c r="AD69">
        <f>'AEO 2023 Table 1'!AD$35/'AEO 2022 Table 1'!$C$35</f>
        <v>1.3387617912195939</v>
      </c>
      <c r="AE69">
        <f>'AEO 2023 Table 1'!AE$35/'AEO 2022 Table 1'!$C$35</f>
        <v>1.3105941549613507</v>
      </c>
    </row>
    <row r="70" spans="1:33" x14ac:dyDescent="0.25">
      <c r="A70" t="s">
        <v>237</v>
      </c>
      <c r="B70">
        <f>'AEO 2022 Table 1'!C$35/'AEO 2022 Table 1'!$C$35</f>
        <v>1</v>
      </c>
      <c r="C70">
        <f>'AEO 2023 Table 1'!C$35/'AEO 2022 Table 1'!$C$35</f>
        <v>1.1077044433887</v>
      </c>
      <c r="D70">
        <f>'AEO 2023 Table 1'!D$35/'AEO 2022 Table 1'!$C$35</f>
        <v>1.1378415606689434</v>
      </c>
      <c r="E70">
        <f>'AEO 2023 Table 1'!E$35/'AEO 2022 Table 1'!$C$35</f>
        <v>1.2147860175632028</v>
      </c>
      <c r="F70">
        <f>'AEO 2023 Table 1'!F$35/'AEO 2022 Table 1'!$C$35</f>
        <v>1.2298353337695749</v>
      </c>
      <c r="G70">
        <f>'AEO 2023 Table 1'!G$35/'AEO 2022 Table 1'!$C$35</f>
        <v>1.2592310197593499</v>
      </c>
      <c r="H70">
        <f>'AEO 2023 Table 1'!H$35/'AEO 2022 Table 1'!$C$35</f>
        <v>1.2842058462338315</v>
      </c>
      <c r="I70">
        <f>'AEO 2023 Table 1'!I$35/'AEO 2022 Table 1'!$C$35</f>
        <v>1.2929817107240713</v>
      </c>
      <c r="J70">
        <f>'AEO 2023 Table 1'!J$35/'AEO 2022 Table 1'!$C$35</f>
        <v>1.3075575554938046</v>
      </c>
      <c r="K70">
        <f>'AEO 2023 Table 1'!K$35/'AEO 2022 Table 1'!$C$35</f>
        <v>1.3268244307197687</v>
      </c>
      <c r="L70">
        <f>'AEO 2023 Table 1'!L$35/'AEO 2022 Table 1'!$C$35</f>
        <v>1.3342790212652798</v>
      </c>
      <c r="M70">
        <f>'AEO 2023 Table 1'!M$35/'AEO 2022 Table 1'!$C$35</f>
        <v>1.3424690671901565</v>
      </c>
      <c r="N70">
        <f>'AEO 2023 Table 1'!N$35/'AEO 2022 Table 1'!$C$35</f>
        <v>1.3454974199003815</v>
      </c>
      <c r="O70">
        <f>'AEO 2023 Table 1'!O$35/'AEO 2022 Table 1'!$C$35</f>
        <v>1.3598797049095097</v>
      </c>
      <c r="P70">
        <f>'AEO 2023 Table 1'!P$35/'AEO 2022 Table 1'!$C$35</f>
        <v>1.3731912859264306</v>
      </c>
      <c r="Q70">
        <f>'AEO 2023 Table 1'!Q$35/'AEO 2022 Table 1'!$C$35</f>
        <v>1.3790374002396339</v>
      </c>
      <c r="R70">
        <f>'AEO 2023 Table 1'!R$35/'AEO 2022 Table 1'!$C$35</f>
        <v>1.3811566375938591</v>
      </c>
      <c r="S70">
        <f>'AEO 2023 Table 1'!S$35/'AEO 2022 Table 1'!$C$35</f>
        <v>1.3817305640961286</v>
      </c>
      <c r="T70">
        <f>'AEO 2023 Table 1'!T$35/'AEO 2022 Table 1'!$C$35</f>
        <v>1.3904628641944323</v>
      </c>
      <c r="U70">
        <f>'AEO 2023 Table 1'!U$35/'AEO 2022 Table 1'!$C$35</f>
        <v>1.3776772231136289</v>
      </c>
      <c r="V70">
        <f>'AEO 2023 Table 1'!V$35/'AEO 2022 Table 1'!$C$35</f>
        <v>1.3827777827577035</v>
      </c>
      <c r="W70">
        <f>'AEO 2023 Table 1'!W$35/'AEO 2022 Table 1'!$C$35</f>
        <v>1.3870183490350396</v>
      </c>
      <c r="X70">
        <f>'AEO 2023 Table 1'!X$35/'AEO 2022 Table 1'!$C$35</f>
        <v>1.3886189968238032</v>
      </c>
      <c r="Y70">
        <f>'AEO 2023 Table 1'!Y$35/'AEO 2022 Table 1'!$C$35</f>
        <v>1.3875101067596518</v>
      </c>
      <c r="Z70">
        <f>'AEO 2023 Table 1'!Z$35/'AEO 2022 Table 1'!$C$35</f>
        <v>1.3826019116939616</v>
      </c>
      <c r="AA70">
        <f>'AEO 2023 Table 1'!AA$35/'AEO 2022 Table 1'!$C$35</f>
        <v>1.3624602826008361</v>
      </c>
      <c r="AB70">
        <f>'AEO 2023 Table 1'!AB$35/'AEO 2022 Table 1'!$C$35</f>
        <v>1.3464271521496844</v>
      </c>
      <c r="AC70">
        <f>'AEO 2023 Table 1'!AC$35/'AEO 2022 Table 1'!$C$35</f>
        <v>1.3454135181085045</v>
      </c>
      <c r="AD70">
        <f>'AEO 2023 Table 1'!AD$35/'AEO 2022 Table 1'!$C$35</f>
        <v>1.3387617912195939</v>
      </c>
      <c r="AE70">
        <f>'AEO 2023 Table 1'!AE$35/'AEO 2022 Table 1'!$C$35</f>
        <v>1.3105941549613507</v>
      </c>
    </row>
    <row r="71" spans="1:33" x14ac:dyDescent="0.25">
      <c r="A71" t="s">
        <v>224</v>
      </c>
      <c r="B71">
        <f>'AEO 2022 Table 1'!C$35/'AEO 2022 Table 1'!$C$35</f>
        <v>1</v>
      </c>
      <c r="C71">
        <f>'AEO 2023 Table 1'!C$35/'AEO 2022 Table 1'!$C$35</f>
        <v>1.1077044433887</v>
      </c>
      <c r="D71">
        <f>'AEO 2023 Table 1'!D$35/'AEO 2022 Table 1'!$C$35</f>
        <v>1.1378415606689434</v>
      </c>
      <c r="E71">
        <f>'AEO 2023 Table 1'!E$35/'AEO 2022 Table 1'!$C$35</f>
        <v>1.2147860175632028</v>
      </c>
      <c r="F71">
        <f>'AEO 2023 Table 1'!F$35/'AEO 2022 Table 1'!$C$35</f>
        <v>1.2298353337695749</v>
      </c>
      <c r="G71">
        <f>'AEO 2023 Table 1'!G$35/'AEO 2022 Table 1'!$C$35</f>
        <v>1.2592310197593499</v>
      </c>
      <c r="H71">
        <f>'AEO 2023 Table 1'!H$35/'AEO 2022 Table 1'!$C$35</f>
        <v>1.2842058462338315</v>
      </c>
      <c r="I71">
        <f>'AEO 2023 Table 1'!I$35/'AEO 2022 Table 1'!$C$35</f>
        <v>1.2929817107240713</v>
      </c>
      <c r="J71">
        <f>'AEO 2023 Table 1'!J$35/'AEO 2022 Table 1'!$C$35</f>
        <v>1.3075575554938046</v>
      </c>
      <c r="K71">
        <f>'AEO 2023 Table 1'!K$35/'AEO 2022 Table 1'!$C$35</f>
        <v>1.3268244307197687</v>
      </c>
      <c r="L71">
        <f>'AEO 2023 Table 1'!L$35/'AEO 2022 Table 1'!$C$35</f>
        <v>1.3342790212652798</v>
      </c>
      <c r="M71">
        <f>'AEO 2023 Table 1'!M$35/'AEO 2022 Table 1'!$C$35</f>
        <v>1.3424690671901565</v>
      </c>
      <c r="N71">
        <f>'AEO 2023 Table 1'!N$35/'AEO 2022 Table 1'!$C$35</f>
        <v>1.3454974199003815</v>
      </c>
      <c r="O71">
        <f>'AEO 2023 Table 1'!O$35/'AEO 2022 Table 1'!$C$35</f>
        <v>1.3598797049095097</v>
      </c>
      <c r="P71">
        <f>'AEO 2023 Table 1'!P$35/'AEO 2022 Table 1'!$C$35</f>
        <v>1.3731912859264306</v>
      </c>
      <c r="Q71">
        <f>'AEO 2023 Table 1'!Q$35/'AEO 2022 Table 1'!$C$35</f>
        <v>1.3790374002396339</v>
      </c>
      <c r="R71">
        <f>'AEO 2023 Table 1'!R$35/'AEO 2022 Table 1'!$C$35</f>
        <v>1.3811566375938591</v>
      </c>
      <c r="S71">
        <f>'AEO 2023 Table 1'!S$35/'AEO 2022 Table 1'!$C$35</f>
        <v>1.3817305640961286</v>
      </c>
      <c r="T71">
        <f>'AEO 2023 Table 1'!T$35/'AEO 2022 Table 1'!$C$35</f>
        <v>1.3904628641944323</v>
      </c>
      <c r="U71">
        <f>'AEO 2023 Table 1'!U$35/'AEO 2022 Table 1'!$C$35</f>
        <v>1.3776772231136289</v>
      </c>
      <c r="V71">
        <f>'AEO 2023 Table 1'!V$35/'AEO 2022 Table 1'!$C$35</f>
        <v>1.3827777827577035</v>
      </c>
      <c r="W71">
        <f>'AEO 2023 Table 1'!W$35/'AEO 2022 Table 1'!$C$35</f>
        <v>1.3870183490350396</v>
      </c>
      <c r="X71">
        <f>'AEO 2023 Table 1'!X$35/'AEO 2022 Table 1'!$C$35</f>
        <v>1.3886189968238032</v>
      </c>
      <c r="Y71">
        <f>'AEO 2023 Table 1'!Y$35/'AEO 2022 Table 1'!$C$35</f>
        <v>1.3875101067596518</v>
      </c>
      <c r="Z71">
        <f>'AEO 2023 Table 1'!Z$35/'AEO 2022 Table 1'!$C$35</f>
        <v>1.3826019116939616</v>
      </c>
      <c r="AA71">
        <f>'AEO 2023 Table 1'!AA$35/'AEO 2022 Table 1'!$C$35</f>
        <v>1.3624602826008361</v>
      </c>
      <c r="AB71">
        <f>'AEO 2023 Table 1'!AB$35/'AEO 2022 Table 1'!$C$35</f>
        <v>1.3464271521496844</v>
      </c>
      <c r="AC71">
        <f>'AEO 2023 Table 1'!AC$35/'AEO 2022 Table 1'!$C$35</f>
        <v>1.3454135181085045</v>
      </c>
      <c r="AD71">
        <f>'AEO 2023 Table 1'!AD$35/'AEO 2022 Table 1'!$C$35</f>
        <v>1.3387617912195939</v>
      </c>
      <c r="AE71">
        <f>'AEO 2023 Table 1'!AE$35/'AEO 2022 Table 1'!$C$35</f>
        <v>1.3105941549613507</v>
      </c>
    </row>
    <row r="72" spans="1:33" x14ac:dyDescent="0.25">
      <c r="A72" t="s">
        <v>238</v>
      </c>
      <c r="B72">
        <v>1</v>
      </c>
      <c r="C72">
        <v>1</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row>
    <row r="73" spans="1:33" x14ac:dyDescent="0.25">
      <c r="A73" t="s">
        <v>239</v>
      </c>
      <c r="B73">
        <v>1</v>
      </c>
      <c r="C73">
        <v>1</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094C6-63B5-463A-9907-BEF2A37240C4}">
  <dimension ref="A1:AI80"/>
  <sheetViews>
    <sheetView topLeftCell="A41" zoomScale="80" zoomScaleNormal="80" workbookViewId="0">
      <selection activeCell="F76" sqref="F76"/>
    </sheetView>
  </sheetViews>
  <sheetFormatPr defaultRowHeight="15" x14ac:dyDescent="0.25"/>
  <cols>
    <col min="3" max="3" width="12" bestFit="1" customWidth="1"/>
    <col min="5" max="5" width="23.85546875" bestFit="1" customWidth="1"/>
  </cols>
  <sheetData>
    <row r="1" spans="1:35" x14ac:dyDescent="0.25">
      <c r="A1" s="1" t="s">
        <v>787</v>
      </c>
    </row>
    <row r="2" spans="1:35" ht="15.75" x14ac:dyDescent="0.25">
      <c r="B2" s="202" t="s">
        <v>785</v>
      </c>
    </row>
    <row r="3" spans="1:35" x14ac:dyDescent="0.25">
      <c r="B3" s="199" t="s">
        <v>124</v>
      </c>
    </row>
    <row r="4" spans="1:35" x14ac:dyDescent="0.25">
      <c r="B4" s="199" t="s">
        <v>124</v>
      </c>
      <c r="C4" s="3" t="s">
        <v>124</v>
      </c>
      <c r="D4" s="3" t="s">
        <v>124</v>
      </c>
      <c r="E4" s="3" t="s">
        <v>124</v>
      </c>
      <c r="F4" s="3" t="s">
        <v>124</v>
      </c>
      <c r="G4" s="3" t="s">
        <v>124</v>
      </c>
      <c r="H4" s="3" t="s">
        <v>124</v>
      </c>
      <c r="I4" s="3" t="s">
        <v>124</v>
      </c>
      <c r="J4" s="3" t="s">
        <v>124</v>
      </c>
      <c r="K4" s="3" t="s">
        <v>124</v>
      </c>
      <c r="L4" s="3" t="s">
        <v>124</v>
      </c>
      <c r="M4" s="3" t="s">
        <v>124</v>
      </c>
      <c r="N4" s="3" t="s">
        <v>124</v>
      </c>
      <c r="O4" s="3" t="s">
        <v>124</v>
      </c>
      <c r="P4" s="3" t="s">
        <v>124</v>
      </c>
      <c r="Q4" s="3" t="s">
        <v>124</v>
      </c>
      <c r="R4" s="3" t="s">
        <v>124</v>
      </c>
      <c r="S4" s="3" t="s">
        <v>124</v>
      </c>
      <c r="T4" s="3" t="s">
        <v>124</v>
      </c>
      <c r="U4" s="3" t="s">
        <v>124</v>
      </c>
      <c r="V4" s="3" t="s">
        <v>124</v>
      </c>
      <c r="W4" s="3" t="s">
        <v>124</v>
      </c>
      <c r="X4" s="3" t="s">
        <v>124</v>
      </c>
      <c r="Y4" s="3" t="s">
        <v>124</v>
      </c>
      <c r="Z4" s="3" t="s">
        <v>124</v>
      </c>
      <c r="AA4" s="3" t="s">
        <v>124</v>
      </c>
      <c r="AB4" s="3" t="s">
        <v>124</v>
      </c>
      <c r="AC4" s="3" t="s">
        <v>124</v>
      </c>
      <c r="AD4" s="3" t="s">
        <v>124</v>
      </c>
      <c r="AE4" s="3" t="s">
        <v>124</v>
      </c>
      <c r="AF4" s="3" t="s">
        <v>124</v>
      </c>
      <c r="AG4" s="3" t="s">
        <v>124</v>
      </c>
      <c r="AH4" s="3" t="s">
        <v>124</v>
      </c>
      <c r="AI4" s="3" t="s">
        <v>607</v>
      </c>
    </row>
    <row r="5" spans="1:35" ht="15.75" thickBot="1" x14ac:dyDescent="0.3">
      <c r="B5" s="200" t="s">
        <v>719</v>
      </c>
      <c r="C5" s="200">
        <v>2019</v>
      </c>
      <c r="D5" s="200">
        <v>2020</v>
      </c>
      <c r="E5" s="200">
        <v>2021</v>
      </c>
      <c r="F5" s="200">
        <v>2022</v>
      </c>
      <c r="G5" s="200">
        <v>2023</v>
      </c>
      <c r="H5" s="200">
        <v>2024</v>
      </c>
      <c r="I5" s="200">
        <v>2025</v>
      </c>
      <c r="J5" s="200">
        <v>2026</v>
      </c>
      <c r="K5" s="200">
        <v>2027</v>
      </c>
      <c r="L5" s="200">
        <v>2028</v>
      </c>
      <c r="M5" s="200">
        <v>2029</v>
      </c>
      <c r="N5" s="200">
        <v>2030</v>
      </c>
      <c r="O5" s="200">
        <v>2031</v>
      </c>
      <c r="P5" s="200">
        <v>2032</v>
      </c>
      <c r="Q5" s="200">
        <v>2033</v>
      </c>
      <c r="R5" s="200">
        <v>2034</v>
      </c>
      <c r="S5" s="200">
        <v>2035</v>
      </c>
      <c r="T5" s="200">
        <v>2036</v>
      </c>
      <c r="U5" s="200">
        <v>2037</v>
      </c>
      <c r="V5" s="200">
        <v>2038</v>
      </c>
      <c r="W5" s="200">
        <v>2039</v>
      </c>
      <c r="X5" s="200">
        <v>2040</v>
      </c>
      <c r="Y5" s="200">
        <v>2041</v>
      </c>
      <c r="Z5" s="200">
        <v>2042</v>
      </c>
      <c r="AA5" s="200">
        <v>2043</v>
      </c>
      <c r="AB5" s="200">
        <v>2044</v>
      </c>
      <c r="AC5" s="200">
        <v>2045</v>
      </c>
      <c r="AD5" s="200">
        <v>2046</v>
      </c>
      <c r="AE5" s="200">
        <v>2047</v>
      </c>
      <c r="AF5" s="200">
        <v>2048</v>
      </c>
      <c r="AG5" s="200">
        <v>2049</v>
      </c>
      <c r="AH5" s="200">
        <v>2050</v>
      </c>
      <c r="AI5" s="200">
        <v>2050</v>
      </c>
    </row>
    <row r="6" spans="1:35" ht="15.75" thickTop="1" x14ac:dyDescent="0.25"/>
    <row r="7" spans="1:35" ht="60.75" x14ac:dyDescent="0.25">
      <c r="B7" s="204" t="s">
        <v>782</v>
      </c>
    </row>
    <row r="8" spans="1:35" ht="24.75" x14ac:dyDescent="0.25">
      <c r="B8" s="204" t="s">
        <v>715</v>
      </c>
      <c r="C8" s="205">
        <v>33.481929999999998</v>
      </c>
      <c r="D8" s="205">
        <v>34.456200000000003</v>
      </c>
      <c r="E8" s="205">
        <v>35.702247999999997</v>
      </c>
      <c r="F8" s="205">
        <v>35.953856999999999</v>
      </c>
      <c r="G8" s="205">
        <v>36.198410000000003</v>
      </c>
      <c r="H8" s="205">
        <v>36.664684000000001</v>
      </c>
      <c r="I8" s="205">
        <v>37.589039</v>
      </c>
      <c r="J8" s="205">
        <v>38.234501000000002</v>
      </c>
      <c r="K8" s="205">
        <v>38.406120000000001</v>
      </c>
      <c r="L8" s="205">
        <v>38.933230999999999</v>
      </c>
      <c r="M8" s="205">
        <v>39.218322999999998</v>
      </c>
      <c r="N8" s="205">
        <v>39.172600000000003</v>
      </c>
      <c r="O8" s="205">
        <v>39.334068000000002</v>
      </c>
      <c r="P8" s="205">
        <v>39.626244</v>
      </c>
      <c r="Q8" s="205">
        <v>39.977119000000002</v>
      </c>
      <c r="R8" s="205">
        <v>40.476387000000003</v>
      </c>
      <c r="S8" s="205">
        <v>40.702357999999997</v>
      </c>
      <c r="T8" s="205">
        <v>40.948742000000003</v>
      </c>
      <c r="U8" s="205">
        <v>41.216800999999997</v>
      </c>
      <c r="V8" s="205">
        <v>41.467945</v>
      </c>
      <c r="W8" s="205">
        <v>41.696528999999998</v>
      </c>
      <c r="X8" s="205">
        <v>42.022109999999998</v>
      </c>
      <c r="Y8" s="205">
        <v>42.227421</v>
      </c>
      <c r="Z8" s="205">
        <v>42.447173999999997</v>
      </c>
      <c r="AA8" s="205">
        <v>42.678153999999999</v>
      </c>
      <c r="AB8" s="205">
        <v>42.884372999999997</v>
      </c>
      <c r="AC8" s="205">
        <v>43.042659999999998</v>
      </c>
      <c r="AD8" s="205">
        <v>43.254784000000001</v>
      </c>
      <c r="AE8" s="205">
        <v>43.615932000000001</v>
      </c>
      <c r="AF8" s="205">
        <v>44.061774999999997</v>
      </c>
      <c r="AG8" s="205">
        <v>44.417220999999998</v>
      </c>
      <c r="AH8" s="205">
        <v>44.650413999999998</v>
      </c>
      <c r="AI8" s="206">
        <v>9.3290000000000005E-3</v>
      </c>
    </row>
    <row r="10" spans="1:35" ht="15.75" x14ac:dyDescent="0.25">
      <c r="B10" s="202" t="s">
        <v>786</v>
      </c>
    </row>
    <row r="11" spans="1:35" x14ac:dyDescent="0.25">
      <c r="B11" s="199" t="s">
        <v>124</v>
      </c>
    </row>
    <row r="12" spans="1:35" x14ac:dyDescent="0.25">
      <c r="B12" s="199" t="s">
        <v>124</v>
      </c>
      <c r="C12" s="3" t="s">
        <v>124</v>
      </c>
      <c r="D12" s="3" t="s">
        <v>124</v>
      </c>
      <c r="E12" s="3" t="s">
        <v>124</v>
      </c>
      <c r="F12" s="3" t="s">
        <v>124</v>
      </c>
      <c r="G12" s="3" t="s">
        <v>124</v>
      </c>
      <c r="H12" s="3" t="s">
        <v>124</v>
      </c>
      <c r="I12" s="3" t="s">
        <v>124</v>
      </c>
      <c r="J12" s="3" t="s">
        <v>124</v>
      </c>
      <c r="K12" s="3" t="s">
        <v>124</v>
      </c>
      <c r="L12" s="3" t="s">
        <v>124</v>
      </c>
      <c r="M12" s="3" t="s">
        <v>124</v>
      </c>
      <c r="N12" s="3" t="s">
        <v>124</v>
      </c>
      <c r="O12" s="3" t="s">
        <v>124</v>
      </c>
      <c r="P12" s="3" t="s">
        <v>124</v>
      </c>
      <c r="Q12" s="3" t="s">
        <v>124</v>
      </c>
      <c r="R12" s="3" t="s">
        <v>124</v>
      </c>
      <c r="S12" s="3" t="s">
        <v>124</v>
      </c>
      <c r="T12" s="3" t="s">
        <v>124</v>
      </c>
      <c r="U12" s="3" t="s">
        <v>124</v>
      </c>
      <c r="V12" s="3" t="s">
        <v>124</v>
      </c>
      <c r="W12" s="3" t="s">
        <v>124</v>
      </c>
      <c r="X12" s="3" t="s">
        <v>124</v>
      </c>
      <c r="Y12" s="3" t="s">
        <v>124</v>
      </c>
      <c r="Z12" s="3" t="s">
        <v>124</v>
      </c>
      <c r="AA12" s="3" t="s">
        <v>124</v>
      </c>
      <c r="AB12" s="3" t="s">
        <v>124</v>
      </c>
      <c r="AC12" s="3" t="s">
        <v>124</v>
      </c>
      <c r="AD12" s="3" t="s">
        <v>124</v>
      </c>
      <c r="AE12" s="3" t="s">
        <v>124</v>
      </c>
      <c r="AF12" s="3" t="s">
        <v>124</v>
      </c>
      <c r="AG12" s="3" t="s">
        <v>124</v>
      </c>
      <c r="AH12" s="3" t="s">
        <v>124</v>
      </c>
      <c r="AI12" s="3" t="s">
        <v>607</v>
      </c>
    </row>
    <row r="13" spans="1:35" ht="15.75" thickBot="1" x14ac:dyDescent="0.3">
      <c r="B13" s="200" t="s">
        <v>719</v>
      </c>
      <c r="C13" s="200">
        <v>2019</v>
      </c>
      <c r="D13" s="200">
        <v>2020</v>
      </c>
      <c r="E13" s="200">
        <v>2021</v>
      </c>
      <c r="F13" s="200">
        <v>2022</v>
      </c>
      <c r="G13" s="200">
        <v>2023</v>
      </c>
      <c r="H13" s="200">
        <v>2024</v>
      </c>
      <c r="I13" s="200">
        <v>2025</v>
      </c>
      <c r="J13" s="200">
        <v>2026</v>
      </c>
      <c r="K13" s="200">
        <v>2027</v>
      </c>
      <c r="L13" s="200">
        <v>2028</v>
      </c>
      <c r="M13" s="200">
        <v>2029</v>
      </c>
      <c r="N13" s="200">
        <v>2030</v>
      </c>
      <c r="O13" s="200">
        <v>2031</v>
      </c>
      <c r="P13" s="200">
        <v>2032</v>
      </c>
      <c r="Q13" s="200">
        <v>2033</v>
      </c>
      <c r="R13" s="200">
        <v>2034</v>
      </c>
      <c r="S13" s="200">
        <v>2035</v>
      </c>
      <c r="T13" s="200">
        <v>2036</v>
      </c>
      <c r="U13" s="200">
        <v>2037</v>
      </c>
      <c r="V13" s="200">
        <v>2038</v>
      </c>
      <c r="W13" s="200">
        <v>2039</v>
      </c>
      <c r="X13" s="200">
        <v>2040</v>
      </c>
      <c r="Y13" s="200">
        <v>2041</v>
      </c>
      <c r="Z13" s="200">
        <v>2042</v>
      </c>
      <c r="AA13" s="200">
        <v>2043</v>
      </c>
      <c r="AB13" s="200">
        <v>2044</v>
      </c>
      <c r="AC13" s="200">
        <v>2045</v>
      </c>
      <c r="AD13" s="200">
        <v>2046</v>
      </c>
      <c r="AE13" s="200">
        <v>2047</v>
      </c>
      <c r="AF13" s="200">
        <v>2048</v>
      </c>
      <c r="AG13" s="200">
        <v>2049</v>
      </c>
      <c r="AH13" s="200">
        <v>2050</v>
      </c>
      <c r="AI13" s="200">
        <v>2050</v>
      </c>
    </row>
    <row r="14" spans="1:35" ht="15.75" thickTop="1" x14ac:dyDescent="0.25"/>
    <row r="15" spans="1:35" ht="24.75" x14ac:dyDescent="0.25">
      <c r="B15" s="204" t="s">
        <v>718</v>
      </c>
    </row>
    <row r="16" spans="1:35" ht="36.75" x14ac:dyDescent="0.25">
      <c r="B16" s="204" t="s">
        <v>717</v>
      </c>
    </row>
    <row r="17" spans="1:35" ht="24.75" x14ac:dyDescent="0.25">
      <c r="B17" s="204" t="s">
        <v>715</v>
      </c>
      <c r="C17" s="205">
        <v>11.781784</v>
      </c>
      <c r="D17" s="205">
        <v>12.683258</v>
      </c>
      <c r="E17" s="205">
        <v>13.176125000000001</v>
      </c>
      <c r="F17" s="205">
        <v>13.561418</v>
      </c>
      <c r="G17" s="205">
        <v>13.616714</v>
      </c>
      <c r="H17" s="205">
        <v>13.699555999999999</v>
      </c>
      <c r="I17" s="205">
        <v>13.691725</v>
      </c>
      <c r="J17" s="205">
        <v>13.733547</v>
      </c>
      <c r="K17" s="205">
        <v>13.688494</v>
      </c>
      <c r="L17" s="205">
        <v>13.582602</v>
      </c>
      <c r="M17" s="205">
        <v>13.614253</v>
      </c>
      <c r="N17" s="205">
        <v>13.744717</v>
      </c>
      <c r="O17" s="205">
        <v>13.801194000000001</v>
      </c>
      <c r="P17" s="205">
        <v>13.843477999999999</v>
      </c>
      <c r="Q17" s="205">
        <v>13.791525999999999</v>
      </c>
      <c r="R17" s="205">
        <v>13.673989000000001</v>
      </c>
      <c r="S17" s="205">
        <v>13.611382000000001</v>
      </c>
      <c r="T17" s="205">
        <v>13.519729999999999</v>
      </c>
      <c r="U17" s="205">
        <v>13.369337</v>
      </c>
      <c r="V17" s="205">
        <v>13.192415</v>
      </c>
      <c r="W17" s="205">
        <v>13.089347</v>
      </c>
      <c r="X17" s="205">
        <v>13.066312999999999</v>
      </c>
      <c r="Y17" s="205">
        <v>13.085129999999999</v>
      </c>
      <c r="Z17" s="205">
        <v>13.143737</v>
      </c>
      <c r="AA17" s="205">
        <v>13.138465999999999</v>
      </c>
      <c r="AB17" s="205">
        <v>13.017924000000001</v>
      </c>
      <c r="AC17" s="205">
        <v>12.827419000000001</v>
      </c>
      <c r="AD17" s="205">
        <v>12.595860999999999</v>
      </c>
      <c r="AE17" s="205">
        <v>12.357331</v>
      </c>
      <c r="AF17" s="205">
        <v>12.179990999999999</v>
      </c>
      <c r="AG17" s="205">
        <v>11.955242</v>
      </c>
      <c r="AH17" s="205">
        <v>11.484654000000001</v>
      </c>
      <c r="AI17" s="206">
        <v>-8.2399999999999997E-4</v>
      </c>
    </row>
    <row r="19" spans="1:35" x14ac:dyDescent="0.25">
      <c r="A19" s="1" t="s">
        <v>793</v>
      </c>
    </row>
    <row r="20" spans="1:35" ht="15.75" x14ac:dyDescent="0.25">
      <c r="B20" s="224" t="s">
        <v>783</v>
      </c>
      <c r="AH20" s="203" t="s">
        <v>597</v>
      </c>
    </row>
    <row r="21" spans="1:35" x14ac:dyDescent="0.25">
      <c r="B21" s="223"/>
      <c r="AH21" s="203" t="s">
        <v>598</v>
      </c>
    </row>
    <row r="22" spans="1:35" x14ac:dyDescent="0.25">
      <c r="B22" s="22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203" t="s">
        <v>599</v>
      </c>
    </row>
    <row r="23" spans="1:35" ht="15.75" thickBot="1" x14ac:dyDescent="0.3">
      <c r="B23" s="220" t="s">
        <v>719</v>
      </c>
      <c r="C23" s="220">
        <v>2020</v>
      </c>
      <c r="D23" s="220">
        <v>2021</v>
      </c>
      <c r="E23" s="220">
        <v>2022</v>
      </c>
      <c r="F23" s="220">
        <v>2023</v>
      </c>
      <c r="G23" s="220">
        <v>2024</v>
      </c>
      <c r="H23" s="220">
        <v>2025</v>
      </c>
      <c r="I23" s="220">
        <v>2026</v>
      </c>
      <c r="J23" s="220">
        <v>2027</v>
      </c>
      <c r="K23" s="220">
        <v>2028</v>
      </c>
      <c r="L23" s="220">
        <v>2029</v>
      </c>
      <c r="M23" s="220">
        <v>2030</v>
      </c>
      <c r="N23" s="220">
        <v>2031</v>
      </c>
      <c r="O23" s="220">
        <v>2032</v>
      </c>
      <c r="P23" s="220">
        <v>2033</v>
      </c>
      <c r="Q23" s="220">
        <v>2034</v>
      </c>
      <c r="R23" s="220">
        <v>2035</v>
      </c>
      <c r="S23" s="220">
        <v>2036</v>
      </c>
      <c r="T23" s="220">
        <v>2037</v>
      </c>
      <c r="U23" s="220">
        <v>2038</v>
      </c>
      <c r="V23" s="220">
        <v>2039</v>
      </c>
      <c r="W23" s="220">
        <v>2040</v>
      </c>
      <c r="X23" s="220">
        <v>2041</v>
      </c>
      <c r="Y23" s="220">
        <v>2042</v>
      </c>
      <c r="Z23" s="220">
        <v>2043</v>
      </c>
      <c r="AA23" s="220">
        <v>2044</v>
      </c>
      <c r="AB23" s="220">
        <v>2045</v>
      </c>
      <c r="AC23" s="220">
        <v>2046</v>
      </c>
      <c r="AD23" s="220">
        <v>2047</v>
      </c>
      <c r="AE23" s="220">
        <v>2048</v>
      </c>
      <c r="AF23" s="220">
        <v>2049</v>
      </c>
      <c r="AG23" s="220">
        <v>2050</v>
      </c>
      <c r="AH23" s="243" t="s">
        <v>600</v>
      </c>
    </row>
    <row r="24" spans="1:35" ht="15.75" thickTop="1" x14ac:dyDescent="0.25"/>
    <row r="25" spans="1:35" ht="60.75" x14ac:dyDescent="0.25">
      <c r="B25" s="216" t="s">
        <v>782</v>
      </c>
    </row>
    <row r="26" spans="1:35" ht="24.75" x14ac:dyDescent="0.25">
      <c r="B26" s="216" t="s">
        <v>715</v>
      </c>
      <c r="C26" s="218">
        <v>33.560645999999998</v>
      </c>
      <c r="D26" s="218">
        <v>31.985188999999998</v>
      </c>
      <c r="E26" s="218">
        <v>32.454051999999997</v>
      </c>
      <c r="F26" s="218">
        <v>33.681125999999999</v>
      </c>
      <c r="G26" s="218">
        <v>34.625038000000004</v>
      </c>
      <c r="H26" s="218">
        <v>35.919364999999999</v>
      </c>
      <c r="I26" s="218">
        <v>36.538918000000002</v>
      </c>
      <c r="J26" s="218">
        <v>36.669884000000003</v>
      </c>
      <c r="K26" s="218">
        <v>36.849013999999997</v>
      </c>
      <c r="L26" s="218">
        <v>37.198405999999999</v>
      </c>
      <c r="M26" s="218">
        <v>37.538455999999996</v>
      </c>
      <c r="N26" s="218">
        <v>37.787768999999997</v>
      </c>
      <c r="O26" s="218">
        <v>37.944546000000003</v>
      </c>
      <c r="P26" s="218">
        <v>38.110557999999997</v>
      </c>
      <c r="Q26" s="218">
        <v>38.251246999999999</v>
      </c>
      <c r="R26" s="218">
        <v>38.255732999999999</v>
      </c>
      <c r="S26" s="218">
        <v>38.418925999999999</v>
      </c>
      <c r="T26" s="218">
        <v>38.630833000000003</v>
      </c>
      <c r="U26" s="218">
        <v>38.939323000000002</v>
      </c>
      <c r="V26" s="218">
        <v>39.238064000000001</v>
      </c>
      <c r="W26" s="218">
        <v>39.566822000000002</v>
      </c>
      <c r="X26" s="218">
        <v>39.754662000000003</v>
      </c>
      <c r="Y26" s="218">
        <v>40.130580999999999</v>
      </c>
      <c r="Z26" s="218">
        <v>40.541694999999997</v>
      </c>
      <c r="AA26" s="218">
        <v>40.907401999999998</v>
      </c>
      <c r="AB26" s="218">
        <v>41.163550999999998</v>
      </c>
      <c r="AC26" s="218">
        <v>41.430427999999999</v>
      </c>
      <c r="AD26" s="218">
        <v>41.693947000000001</v>
      </c>
      <c r="AE26" s="218">
        <v>42.022243000000003</v>
      </c>
      <c r="AF26" s="218">
        <v>42.290173000000003</v>
      </c>
      <c r="AG26" s="218">
        <v>42.628677000000003</v>
      </c>
      <c r="AH26" s="217">
        <v>8.0040000000000007E-3</v>
      </c>
    </row>
    <row r="28" spans="1:35" ht="15.75" x14ac:dyDescent="0.25">
      <c r="B28" s="224" t="s">
        <v>720</v>
      </c>
      <c r="AH28" s="203" t="s">
        <v>597</v>
      </c>
    </row>
    <row r="29" spans="1:35" x14ac:dyDescent="0.25">
      <c r="B29" s="223"/>
      <c r="AH29" s="203" t="s">
        <v>598</v>
      </c>
    </row>
    <row r="30" spans="1:35" x14ac:dyDescent="0.25">
      <c r="B30" s="22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203" t="s">
        <v>599</v>
      </c>
    </row>
    <row r="31" spans="1:35" ht="15.75" thickBot="1" x14ac:dyDescent="0.3">
      <c r="B31" s="220" t="s">
        <v>719</v>
      </c>
      <c r="C31" s="220">
        <v>2020</v>
      </c>
      <c r="D31" s="220">
        <v>2021</v>
      </c>
      <c r="E31" s="220">
        <v>2022</v>
      </c>
      <c r="F31" s="220">
        <v>2023</v>
      </c>
      <c r="G31" s="220">
        <v>2024</v>
      </c>
      <c r="H31" s="220">
        <v>2025</v>
      </c>
      <c r="I31" s="220">
        <v>2026</v>
      </c>
      <c r="J31" s="220">
        <v>2027</v>
      </c>
      <c r="K31" s="220">
        <v>2028</v>
      </c>
      <c r="L31" s="220">
        <v>2029</v>
      </c>
      <c r="M31" s="220">
        <v>2030</v>
      </c>
      <c r="N31" s="220">
        <v>2031</v>
      </c>
      <c r="O31" s="220">
        <v>2032</v>
      </c>
      <c r="P31" s="220">
        <v>2033</v>
      </c>
      <c r="Q31" s="220">
        <v>2034</v>
      </c>
      <c r="R31" s="220">
        <v>2035</v>
      </c>
      <c r="S31" s="220">
        <v>2036</v>
      </c>
      <c r="T31" s="220">
        <v>2037</v>
      </c>
      <c r="U31" s="220">
        <v>2038</v>
      </c>
      <c r="V31" s="220">
        <v>2039</v>
      </c>
      <c r="W31" s="220">
        <v>2040</v>
      </c>
      <c r="X31" s="220">
        <v>2041</v>
      </c>
      <c r="Y31" s="220">
        <v>2042</v>
      </c>
      <c r="Z31" s="220">
        <v>2043</v>
      </c>
      <c r="AA31" s="220">
        <v>2044</v>
      </c>
      <c r="AB31" s="220">
        <v>2045</v>
      </c>
      <c r="AC31" s="220">
        <v>2046</v>
      </c>
      <c r="AD31" s="220">
        <v>2047</v>
      </c>
      <c r="AE31" s="220">
        <v>2048</v>
      </c>
      <c r="AF31" s="220">
        <v>2049</v>
      </c>
      <c r="AG31" s="220">
        <v>2050</v>
      </c>
      <c r="AH31" s="243" t="s">
        <v>600</v>
      </c>
    </row>
    <row r="32" spans="1:35" ht="15.75" thickTop="1" x14ac:dyDescent="0.25"/>
    <row r="33" spans="1:34" ht="24.75" x14ac:dyDescent="0.25">
      <c r="B33" s="216" t="s">
        <v>718</v>
      </c>
    </row>
    <row r="34" spans="1:34" ht="36.75" x14ac:dyDescent="0.25">
      <c r="B34" s="216" t="s">
        <v>717</v>
      </c>
    </row>
    <row r="35" spans="1:34" ht="24.75" x14ac:dyDescent="0.25">
      <c r="B35" s="216" t="s">
        <v>715</v>
      </c>
      <c r="C35" s="218">
        <v>11.01248</v>
      </c>
      <c r="D35" s="218">
        <v>10.680626999999999</v>
      </c>
      <c r="E35" s="218">
        <v>11.154636999999999</v>
      </c>
      <c r="F35" s="218">
        <v>11.775717</v>
      </c>
      <c r="G35" s="218">
        <v>12.173921</v>
      </c>
      <c r="H35" s="218">
        <v>12.657028</v>
      </c>
      <c r="I35" s="218">
        <v>12.897634999999999</v>
      </c>
      <c r="J35" s="218">
        <v>12.955515999999999</v>
      </c>
      <c r="K35" s="218">
        <v>13.089359999999999</v>
      </c>
      <c r="L35" s="218">
        <v>13.121302999999999</v>
      </c>
      <c r="M35" s="218">
        <v>13.200219000000001</v>
      </c>
      <c r="N35" s="218">
        <v>13.215973999999999</v>
      </c>
      <c r="O35" s="218">
        <v>13.138102999999999</v>
      </c>
      <c r="P35" s="218">
        <v>13.190071</v>
      </c>
      <c r="Q35" s="218">
        <v>13.192655999999999</v>
      </c>
      <c r="R35" s="218">
        <v>13.092833000000001</v>
      </c>
      <c r="S35" s="218">
        <v>12.925025</v>
      </c>
      <c r="T35" s="218">
        <v>12.841607</v>
      </c>
      <c r="U35" s="218">
        <v>12.767832</v>
      </c>
      <c r="V35" s="218">
        <v>12.728712</v>
      </c>
      <c r="W35" s="218">
        <v>12.618632</v>
      </c>
      <c r="X35" s="218">
        <v>12.521488</v>
      </c>
      <c r="Y35" s="218">
        <v>12.537490999999999</v>
      </c>
      <c r="Z35" s="218">
        <v>12.570111000000001</v>
      </c>
      <c r="AA35" s="218">
        <v>12.559974</v>
      </c>
      <c r="AB35" s="218">
        <v>12.464836</v>
      </c>
      <c r="AC35" s="218">
        <v>12.518502</v>
      </c>
      <c r="AD35" s="218">
        <v>12.589702000000001</v>
      </c>
      <c r="AE35" s="218">
        <v>12.547648000000001</v>
      </c>
      <c r="AF35" s="218">
        <v>12.500969</v>
      </c>
      <c r="AG35" s="218">
        <v>12.255751</v>
      </c>
      <c r="AH35" s="217">
        <v>3.5720000000000001E-3</v>
      </c>
    </row>
    <row r="36" spans="1:34" x14ac:dyDescent="0.25">
      <c r="B36" s="216"/>
      <c r="C36" s="218"/>
      <c r="D36" s="218"/>
      <c r="E36" s="218"/>
      <c r="F36" s="218"/>
      <c r="G36" s="218"/>
      <c r="H36" s="218"/>
      <c r="I36" s="218"/>
      <c r="J36" s="218"/>
      <c r="K36" s="218"/>
      <c r="L36" s="218"/>
      <c r="M36" s="218"/>
      <c r="N36" s="218"/>
      <c r="O36" s="218"/>
      <c r="P36" s="218"/>
      <c r="Q36" s="218"/>
      <c r="R36" s="218"/>
      <c r="S36" s="218"/>
      <c r="T36" s="218"/>
      <c r="U36" s="218"/>
      <c r="V36" s="218"/>
      <c r="W36" s="218"/>
      <c r="X36" s="218"/>
      <c r="Y36" s="218"/>
      <c r="Z36" s="218"/>
      <c r="AA36" s="218"/>
      <c r="AB36" s="218"/>
      <c r="AC36" s="218"/>
      <c r="AD36" s="218"/>
      <c r="AE36" s="218"/>
      <c r="AF36" s="218"/>
      <c r="AG36" s="218"/>
      <c r="AH36" s="217"/>
    </row>
    <row r="37" spans="1:34" x14ac:dyDescent="0.25">
      <c r="A37" s="1" t="s">
        <v>875</v>
      </c>
    </row>
    <row r="38" spans="1:34" ht="15.75" x14ac:dyDescent="0.25">
      <c r="B38" s="224" t="s">
        <v>783</v>
      </c>
      <c r="AH38" s="203" t="s">
        <v>597</v>
      </c>
    </row>
    <row r="39" spans="1:34" x14ac:dyDescent="0.25">
      <c r="B39" s="223"/>
      <c r="AH39" s="203" t="s">
        <v>598</v>
      </c>
    </row>
    <row r="40" spans="1:34" x14ac:dyDescent="0.25">
      <c r="B40" s="22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203" t="s">
        <v>599</v>
      </c>
    </row>
    <row r="41" spans="1:34" ht="15.75" thickBot="1" x14ac:dyDescent="0.3">
      <c r="B41" s="220" t="s">
        <v>719</v>
      </c>
      <c r="C41" s="220">
        <v>2021</v>
      </c>
      <c r="D41" s="220">
        <v>2022</v>
      </c>
      <c r="E41" s="220">
        <v>2023</v>
      </c>
      <c r="F41" s="220">
        <v>2024</v>
      </c>
      <c r="G41" s="220">
        <v>2025</v>
      </c>
      <c r="H41" s="220">
        <v>2026</v>
      </c>
      <c r="I41" s="220">
        <v>2027</v>
      </c>
      <c r="J41" s="220">
        <v>2028</v>
      </c>
      <c r="K41" s="220">
        <v>2029</v>
      </c>
      <c r="L41" s="220">
        <v>2030</v>
      </c>
      <c r="M41" s="220">
        <v>2031</v>
      </c>
      <c r="N41" s="220">
        <v>2032</v>
      </c>
      <c r="O41" s="220">
        <v>2033</v>
      </c>
      <c r="P41" s="220">
        <v>2034</v>
      </c>
      <c r="Q41" s="220">
        <v>2035</v>
      </c>
      <c r="R41" s="220">
        <v>2036</v>
      </c>
      <c r="S41" s="220">
        <v>2037</v>
      </c>
      <c r="T41" s="220">
        <v>2038</v>
      </c>
      <c r="U41" s="220">
        <v>2039</v>
      </c>
      <c r="V41" s="220">
        <v>2040</v>
      </c>
      <c r="W41" s="220">
        <v>2041</v>
      </c>
      <c r="X41" s="220">
        <v>2042</v>
      </c>
      <c r="Y41" s="220">
        <v>2043</v>
      </c>
      <c r="Z41" s="220">
        <v>2044</v>
      </c>
      <c r="AA41" s="220">
        <v>2045</v>
      </c>
      <c r="AB41" s="220">
        <v>2046</v>
      </c>
      <c r="AC41" s="220">
        <v>2047</v>
      </c>
      <c r="AD41" s="220">
        <v>2048</v>
      </c>
      <c r="AE41" s="220">
        <v>2049</v>
      </c>
      <c r="AF41" s="220">
        <v>2050</v>
      </c>
      <c r="AG41" s="243" t="s">
        <v>600</v>
      </c>
    </row>
    <row r="42" spans="1:34" ht="15.75" thickTop="1" x14ac:dyDescent="0.25"/>
    <row r="43" spans="1:34" ht="60.75" x14ac:dyDescent="0.25">
      <c r="B43" s="216" t="s">
        <v>782</v>
      </c>
    </row>
    <row r="44" spans="1:34" ht="24.75" x14ac:dyDescent="0.25">
      <c r="B44" s="216" t="s">
        <v>715</v>
      </c>
      <c r="C44" s="218">
        <v>34.068829000000001</v>
      </c>
      <c r="D44" s="218">
        <v>35.364215999999999</v>
      </c>
      <c r="E44" s="218">
        <v>35.726497999999999</v>
      </c>
      <c r="F44" s="218">
        <v>36.081386999999999</v>
      </c>
      <c r="G44" s="218">
        <v>36.148895000000003</v>
      </c>
      <c r="H44" s="218">
        <v>36.233414000000003</v>
      </c>
      <c r="I44" s="218">
        <v>36.378056000000001</v>
      </c>
      <c r="J44" s="218">
        <v>36.912776999999998</v>
      </c>
      <c r="K44" s="218">
        <v>37.165882000000003</v>
      </c>
      <c r="L44" s="218">
        <v>37.267997999999999</v>
      </c>
      <c r="M44" s="218">
        <v>37.580272999999998</v>
      </c>
      <c r="N44" s="218">
        <v>37.988171000000001</v>
      </c>
      <c r="O44" s="218">
        <v>38.143799000000001</v>
      </c>
      <c r="P44" s="218">
        <v>38.245750000000001</v>
      </c>
      <c r="Q44" s="218">
        <v>38.245846</v>
      </c>
      <c r="R44" s="218">
        <v>38.359172999999998</v>
      </c>
      <c r="S44" s="218">
        <v>38.550719999999998</v>
      </c>
      <c r="T44" s="218">
        <v>38.805916000000003</v>
      </c>
      <c r="U44" s="218">
        <v>39.012611</v>
      </c>
      <c r="V44" s="218">
        <v>39.299736000000003</v>
      </c>
      <c r="W44" s="218">
        <v>39.618110999999999</v>
      </c>
      <c r="X44" s="218">
        <v>39.912632000000002</v>
      </c>
      <c r="Y44" s="218">
        <v>40.157822000000003</v>
      </c>
      <c r="Z44" s="218">
        <v>40.671782999999998</v>
      </c>
      <c r="AA44" s="218">
        <v>40.964801999999999</v>
      </c>
      <c r="AB44" s="218">
        <v>41.200966000000001</v>
      </c>
      <c r="AC44" s="218">
        <v>41.447510000000001</v>
      </c>
      <c r="AD44" s="218">
        <v>41.676231000000001</v>
      </c>
      <c r="AE44" s="218">
        <v>41.874366999999999</v>
      </c>
      <c r="AF44" s="218">
        <v>42.192718999999997</v>
      </c>
      <c r="AG44" s="217">
        <v>7.0000000000000001E-3</v>
      </c>
    </row>
    <row r="46" spans="1:34" ht="15.75" x14ac:dyDescent="0.25">
      <c r="B46" s="224" t="s">
        <v>720</v>
      </c>
      <c r="AG46" s="203" t="s">
        <v>597</v>
      </c>
    </row>
    <row r="47" spans="1:34" x14ac:dyDescent="0.25">
      <c r="B47" s="223"/>
      <c r="AG47" s="203" t="s">
        <v>598</v>
      </c>
    </row>
    <row r="48" spans="1:34" x14ac:dyDescent="0.25">
      <c r="B48" s="22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203" t="s">
        <v>599</v>
      </c>
    </row>
    <row r="49" spans="1:34" ht="15.75" thickBot="1" x14ac:dyDescent="0.3">
      <c r="B49" s="220" t="s">
        <v>719</v>
      </c>
      <c r="C49" s="220">
        <v>2021</v>
      </c>
      <c r="D49" s="220">
        <v>2022</v>
      </c>
      <c r="E49" s="220">
        <v>2023</v>
      </c>
      <c r="F49" s="220">
        <v>2024</v>
      </c>
      <c r="G49" s="220">
        <v>2025</v>
      </c>
      <c r="H49" s="220">
        <v>2026</v>
      </c>
      <c r="I49" s="220">
        <v>2027</v>
      </c>
      <c r="J49" s="220">
        <v>2028</v>
      </c>
      <c r="K49" s="220">
        <v>2029</v>
      </c>
      <c r="L49" s="220">
        <v>2030</v>
      </c>
      <c r="M49" s="220">
        <v>2031</v>
      </c>
      <c r="N49" s="220">
        <v>2032</v>
      </c>
      <c r="O49" s="220">
        <v>2033</v>
      </c>
      <c r="P49" s="220">
        <v>2034</v>
      </c>
      <c r="Q49" s="220">
        <v>2035</v>
      </c>
      <c r="R49" s="220">
        <v>2036</v>
      </c>
      <c r="S49" s="220">
        <v>2037</v>
      </c>
      <c r="T49" s="220">
        <v>2038</v>
      </c>
      <c r="U49" s="220">
        <v>2039</v>
      </c>
      <c r="V49" s="220">
        <v>2040</v>
      </c>
      <c r="W49" s="220">
        <v>2041</v>
      </c>
      <c r="X49" s="220">
        <v>2042</v>
      </c>
      <c r="Y49" s="220">
        <v>2043</v>
      </c>
      <c r="Z49" s="220">
        <v>2044</v>
      </c>
      <c r="AA49" s="220">
        <v>2045</v>
      </c>
      <c r="AB49" s="220">
        <v>2046</v>
      </c>
      <c r="AC49" s="220">
        <v>2047</v>
      </c>
      <c r="AD49" s="220">
        <v>2048</v>
      </c>
      <c r="AE49" s="220">
        <v>2049</v>
      </c>
      <c r="AF49" s="220">
        <v>2050</v>
      </c>
      <c r="AG49" s="243" t="s">
        <v>600</v>
      </c>
    </row>
    <row r="50" spans="1:34" ht="15.75" thickTop="1" x14ac:dyDescent="0.25"/>
    <row r="51" spans="1:34" ht="24.75" x14ac:dyDescent="0.25">
      <c r="B51" s="216" t="s">
        <v>718</v>
      </c>
    </row>
    <row r="52" spans="1:34" ht="36.75" x14ac:dyDescent="0.25">
      <c r="B52" s="216" t="s">
        <v>717</v>
      </c>
    </row>
    <row r="53" spans="1:34" ht="24.75" x14ac:dyDescent="0.25">
      <c r="B53" s="216" t="s">
        <v>715</v>
      </c>
      <c r="C53" s="218">
        <v>10.691084999999999</v>
      </c>
      <c r="D53" s="218">
        <v>11.476932</v>
      </c>
      <c r="E53" s="218">
        <v>11.883072</v>
      </c>
      <c r="F53" s="218">
        <v>12.199154999999999</v>
      </c>
      <c r="G53" s="218">
        <v>12.596322000000001</v>
      </c>
      <c r="H53" s="218">
        <v>12.763109999999999</v>
      </c>
      <c r="I53" s="218">
        <v>12.690884</v>
      </c>
      <c r="J53" s="218">
        <v>12.838817000000001</v>
      </c>
      <c r="K53" s="218">
        <v>12.789038</v>
      </c>
      <c r="L53" s="218">
        <v>12.685532</v>
      </c>
      <c r="M53" s="218">
        <v>12.569252000000001</v>
      </c>
      <c r="N53" s="218">
        <v>12.411530000000001</v>
      </c>
      <c r="O53" s="218">
        <v>12.446615</v>
      </c>
      <c r="P53" s="218">
        <v>12.333498000000001</v>
      </c>
      <c r="Q53" s="218">
        <v>12.255712000000001</v>
      </c>
      <c r="R53" s="218">
        <v>12.187633999999999</v>
      </c>
      <c r="S53" s="218">
        <v>12.089727</v>
      </c>
      <c r="T53" s="218">
        <v>12.063274</v>
      </c>
      <c r="U53" s="218">
        <v>12.101564</v>
      </c>
      <c r="V53" s="218">
        <v>12.203722000000001</v>
      </c>
      <c r="W53" s="218">
        <v>12.176411</v>
      </c>
      <c r="X53" s="218">
        <v>12.154647000000001</v>
      </c>
      <c r="Y53" s="218">
        <v>12.040544000000001</v>
      </c>
      <c r="Z53" s="218">
        <v>12.072183000000001</v>
      </c>
      <c r="AA53" s="218">
        <v>12.142882999999999</v>
      </c>
      <c r="AB53" s="218">
        <v>12.149234</v>
      </c>
      <c r="AC53" s="218">
        <v>12.029591999999999</v>
      </c>
      <c r="AD53" s="218">
        <v>11.920388000000001</v>
      </c>
      <c r="AE53" s="218">
        <v>12.049524</v>
      </c>
      <c r="AF53" s="218">
        <v>12.168195000000001</v>
      </c>
      <c r="AG53" s="217">
        <v>4.0000000000000001E-3</v>
      </c>
    </row>
    <row r="55" spans="1:34" x14ac:dyDescent="0.25">
      <c r="A55" s="1" t="s">
        <v>788</v>
      </c>
    </row>
    <row r="56" spans="1:34" x14ac:dyDescent="0.25">
      <c r="B56" t="s">
        <v>789</v>
      </c>
      <c r="C56">
        <f>'AEO 2023 Table 59'!C13</f>
        <v>2022</v>
      </c>
      <c r="D56">
        <f>'AEO 2023 Table 59'!D13</f>
        <v>2023</v>
      </c>
      <c r="E56">
        <f>'AEO 2023 Table 59'!E13</f>
        <v>2024</v>
      </c>
      <c r="F56">
        <f>'AEO 2023 Table 59'!F13</f>
        <v>2025</v>
      </c>
      <c r="G56">
        <f>'AEO 2023 Table 59'!G13</f>
        <v>2026</v>
      </c>
      <c r="H56">
        <f>'AEO 2023 Table 59'!H13</f>
        <v>2027</v>
      </c>
      <c r="I56">
        <f>'AEO 2023 Table 59'!I13</f>
        <v>2028</v>
      </c>
      <c r="J56">
        <f>'AEO 2023 Table 59'!J13</f>
        <v>2029</v>
      </c>
      <c r="K56">
        <f>'AEO 2023 Table 59'!K13</f>
        <v>2030</v>
      </c>
      <c r="L56">
        <f>'AEO 2023 Table 59'!L13</f>
        <v>2031</v>
      </c>
      <c r="M56">
        <f>'AEO 2023 Table 59'!M13</f>
        <v>2032</v>
      </c>
      <c r="N56">
        <f>'AEO 2023 Table 59'!N13</f>
        <v>2033</v>
      </c>
      <c r="O56">
        <f>'AEO 2023 Table 59'!O13</f>
        <v>2034</v>
      </c>
      <c r="P56">
        <f>'AEO 2023 Table 59'!P13</f>
        <v>2035</v>
      </c>
      <c r="Q56">
        <f>'AEO 2023 Table 59'!Q13</f>
        <v>2036</v>
      </c>
      <c r="R56">
        <f>'AEO 2023 Table 59'!R13</f>
        <v>2037</v>
      </c>
      <c r="S56">
        <f>'AEO 2023 Table 59'!S13</f>
        <v>2038</v>
      </c>
      <c r="T56">
        <f>'AEO 2023 Table 59'!T13</f>
        <v>2039</v>
      </c>
      <c r="U56">
        <f>'AEO 2023 Table 59'!U13</f>
        <v>2040</v>
      </c>
      <c r="V56">
        <f>'AEO 2023 Table 59'!V13</f>
        <v>2041</v>
      </c>
      <c r="W56">
        <f>'AEO 2023 Table 59'!W13</f>
        <v>2042</v>
      </c>
      <c r="X56">
        <f>'AEO 2023 Table 59'!X13</f>
        <v>2043</v>
      </c>
      <c r="Y56">
        <f>'AEO 2023 Table 59'!Y13</f>
        <v>2044</v>
      </c>
      <c r="Z56">
        <f>'AEO 2023 Table 59'!Z13</f>
        <v>2045</v>
      </c>
      <c r="AA56">
        <f>'AEO 2023 Table 59'!AA13</f>
        <v>2046</v>
      </c>
      <c r="AB56">
        <f>'AEO 2023 Table 59'!AB13</f>
        <v>2047</v>
      </c>
      <c r="AC56">
        <f>'AEO 2023 Table 59'!AC13</f>
        <v>2048</v>
      </c>
      <c r="AD56">
        <f>'AEO 2023 Table 59'!AD13</f>
        <v>2049</v>
      </c>
      <c r="AE56">
        <f>'AEO 2023 Table 59'!AE13</f>
        <v>2050</v>
      </c>
      <c r="AF56" t="str">
        <f>'AEO 2023 Table 59'!AF13</f>
        <v>2021–2050</v>
      </c>
    </row>
    <row r="57" spans="1:34" x14ac:dyDescent="0.25">
      <c r="C57" s="231">
        <f>'AEO 2023 Table 59'!C16</f>
        <v>36.11721</v>
      </c>
      <c r="D57" s="231">
        <f>'AEO 2023 Table 59'!D16</f>
        <v>36.160473000000003</v>
      </c>
      <c r="E57" s="231">
        <f>'AEO 2023 Table 59'!E16</f>
        <v>35.236457999999999</v>
      </c>
      <c r="F57" s="231">
        <f>'AEO 2023 Table 59'!F16</f>
        <v>35.385081999999997</v>
      </c>
      <c r="G57" s="231">
        <f>'AEO 2023 Table 59'!G16</f>
        <v>35.842360999999997</v>
      </c>
      <c r="H57" s="231">
        <f>'AEO 2023 Table 59'!H16</f>
        <v>35.789593000000004</v>
      </c>
      <c r="I57" s="231">
        <f>'AEO 2023 Table 59'!I16</f>
        <v>36.084969000000001</v>
      </c>
      <c r="J57" s="231">
        <f>'AEO 2023 Table 59'!J16</f>
        <v>36.326552999999997</v>
      </c>
      <c r="K57" s="231">
        <f>'AEO 2023 Table 59'!K16</f>
        <v>36.675776999999997</v>
      </c>
      <c r="L57" s="231">
        <f>'AEO 2023 Table 59'!L16</f>
        <v>37.108832999999997</v>
      </c>
      <c r="M57" s="231">
        <f>'AEO 2023 Table 59'!M16</f>
        <v>37.608638999999997</v>
      </c>
      <c r="N57" s="231">
        <f>'AEO 2023 Table 59'!N16</f>
        <v>38.184341000000003</v>
      </c>
      <c r="O57" s="231">
        <f>'AEO 2023 Table 59'!O16</f>
        <v>38.686110999999997</v>
      </c>
      <c r="P57" s="231">
        <f>'AEO 2023 Table 59'!P16</f>
        <v>39.140957</v>
      </c>
      <c r="Q57" s="231">
        <f>'AEO 2023 Table 59'!Q16</f>
        <v>39.498707000000003</v>
      </c>
      <c r="R57" s="231">
        <f>'AEO 2023 Table 59'!R16</f>
        <v>39.853999999999999</v>
      </c>
      <c r="S57" s="231">
        <f>'AEO 2023 Table 59'!S16</f>
        <v>40.120361000000003</v>
      </c>
      <c r="T57" s="231">
        <f>'AEO 2023 Table 59'!T16</f>
        <v>40.358707000000003</v>
      </c>
      <c r="U57" s="231">
        <f>'AEO 2023 Table 59'!U16</f>
        <v>40.500950000000003</v>
      </c>
      <c r="V57" s="231">
        <f>'AEO 2023 Table 59'!V16</f>
        <v>40.620883999999997</v>
      </c>
      <c r="W57" s="231">
        <f>'AEO 2023 Table 59'!W16</f>
        <v>40.794955999999999</v>
      </c>
      <c r="X57" s="231">
        <f>'AEO 2023 Table 59'!X16</f>
        <v>40.906959999999998</v>
      </c>
      <c r="Y57" s="231">
        <f>'AEO 2023 Table 59'!Y16</f>
        <v>40.974735000000003</v>
      </c>
      <c r="Z57" s="231">
        <f>'AEO 2023 Table 59'!Z16</f>
        <v>41.124125999999997</v>
      </c>
      <c r="AA57" s="231">
        <f>'AEO 2023 Table 59'!AA16</f>
        <v>40.952205999999997</v>
      </c>
      <c r="AB57" s="231">
        <f>'AEO 2023 Table 59'!AB16</f>
        <v>41.157238</v>
      </c>
      <c r="AC57" s="231">
        <f>'AEO 2023 Table 59'!AC16</f>
        <v>41.220950999999999</v>
      </c>
      <c r="AD57" s="231">
        <f>'AEO 2023 Table 59'!AD16</f>
        <v>41.302062999999997</v>
      </c>
      <c r="AE57" s="231">
        <f>'AEO 2023 Table 59'!AE16</f>
        <v>41.677504999999996</v>
      </c>
    </row>
    <row r="59" spans="1:34" x14ac:dyDescent="0.25">
      <c r="B59" t="s">
        <v>790</v>
      </c>
      <c r="C59">
        <f>'AEO 2023 Table 58'!C13</f>
        <v>2022</v>
      </c>
      <c r="D59">
        <f>'AEO 2023 Table 58'!D13</f>
        <v>2023</v>
      </c>
      <c r="E59">
        <f>'AEO 2023 Table 58'!E13</f>
        <v>2024</v>
      </c>
      <c r="F59">
        <f>'AEO 2023 Table 58'!F13</f>
        <v>2025</v>
      </c>
      <c r="G59">
        <f>'AEO 2023 Table 58'!G13</f>
        <v>2026</v>
      </c>
      <c r="H59">
        <f>'AEO 2023 Table 58'!H13</f>
        <v>2027</v>
      </c>
      <c r="I59">
        <f>'AEO 2023 Table 58'!I13</f>
        <v>2028</v>
      </c>
      <c r="J59">
        <f>'AEO 2023 Table 58'!J13</f>
        <v>2029</v>
      </c>
      <c r="K59">
        <f>'AEO 2023 Table 58'!K13</f>
        <v>2030</v>
      </c>
      <c r="L59">
        <f>'AEO 2023 Table 58'!L13</f>
        <v>2031</v>
      </c>
      <c r="M59">
        <f>'AEO 2023 Table 58'!M13</f>
        <v>2032</v>
      </c>
      <c r="N59">
        <f>'AEO 2023 Table 58'!N13</f>
        <v>2033</v>
      </c>
      <c r="O59">
        <f>'AEO 2023 Table 58'!O13</f>
        <v>2034</v>
      </c>
      <c r="P59">
        <f>'AEO 2023 Table 58'!P13</f>
        <v>2035</v>
      </c>
      <c r="Q59">
        <f>'AEO 2023 Table 58'!Q13</f>
        <v>2036</v>
      </c>
      <c r="R59">
        <f>'AEO 2023 Table 58'!R13</f>
        <v>2037</v>
      </c>
      <c r="S59">
        <f>'AEO 2023 Table 58'!S13</f>
        <v>2038</v>
      </c>
      <c r="T59">
        <f>'AEO 2023 Table 58'!T13</f>
        <v>2039</v>
      </c>
      <c r="U59">
        <f>'AEO 2023 Table 58'!U13</f>
        <v>2040</v>
      </c>
      <c r="V59">
        <f>'AEO 2023 Table 58'!V13</f>
        <v>2041</v>
      </c>
      <c r="W59">
        <f>'AEO 2023 Table 58'!W13</f>
        <v>2042</v>
      </c>
      <c r="X59">
        <f>'AEO 2023 Table 58'!X13</f>
        <v>2043</v>
      </c>
      <c r="Y59">
        <f>'AEO 2023 Table 58'!Y13</f>
        <v>2044</v>
      </c>
      <c r="Z59">
        <f>'AEO 2023 Table 58'!Z13</f>
        <v>2045</v>
      </c>
      <c r="AA59">
        <f>'AEO 2023 Table 58'!AA13</f>
        <v>2046</v>
      </c>
      <c r="AB59">
        <f>'AEO 2023 Table 58'!AB13</f>
        <v>2047</v>
      </c>
      <c r="AC59">
        <f>'AEO 2023 Table 58'!AC13</f>
        <v>2048</v>
      </c>
      <c r="AD59">
        <f>'AEO 2023 Table 58'!AD13</f>
        <v>2049</v>
      </c>
      <c r="AE59">
        <f>'AEO 2023 Table 58'!AE13</f>
        <v>2050</v>
      </c>
      <c r="AF59" t="str">
        <f>'AEO 2023 Table 58'!AF13</f>
        <v>2021–2050</v>
      </c>
    </row>
    <row r="60" spans="1:34" x14ac:dyDescent="0.25">
      <c r="C60" s="231">
        <f>'AEO 2023 Table 58'!C17</f>
        <v>11.391961</v>
      </c>
      <c r="D60" s="231">
        <f>'AEO 2023 Table 58'!D17</f>
        <v>11.911623000000001</v>
      </c>
      <c r="E60" s="231">
        <f>'AEO 2023 Table 58'!E17</f>
        <v>12.286136000000001</v>
      </c>
      <c r="F60" s="231">
        <f>'AEO 2023 Table 58'!F17</f>
        <v>12.405836000000001</v>
      </c>
      <c r="G60" s="231">
        <f>'AEO 2023 Table 58'!G17</f>
        <v>12.564268</v>
      </c>
      <c r="H60" s="231">
        <f>'AEO 2023 Table 58'!H17</f>
        <v>12.638444</v>
      </c>
      <c r="I60" s="231">
        <f>'AEO 2023 Table 58'!I17</f>
        <v>12.756741999999999</v>
      </c>
      <c r="J60" s="231">
        <f>'AEO 2023 Table 58'!J17</f>
        <v>12.72641</v>
      </c>
      <c r="K60" s="231">
        <f>'AEO 2023 Table 58'!K17</f>
        <v>12.711926999999999</v>
      </c>
      <c r="L60" s="231">
        <f>'AEO 2023 Table 58'!L17</f>
        <v>12.640687</v>
      </c>
      <c r="M60" s="231">
        <f>'AEO 2023 Table 58'!M17</f>
        <v>12.643459</v>
      </c>
      <c r="N60" s="231">
        <f>'AEO 2023 Table 58'!N17</f>
        <v>12.650594</v>
      </c>
      <c r="O60" s="231">
        <f>'AEO 2023 Table 58'!O17</f>
        <v>12.649630999999999</v>
      </c>
      <c r="P60" s="231">
        <f>'AEO 2023 Table 58'!P17</f>
        <v>12.664894</v>
      </c>
      <c r="Q60" s="231">
        <f>'AEO 2023 Table 58'!Q17</f>
        <v>12.608809000000001</v>
      </c>
      <c r="R60" s="231">
        <f>'AEO 2023 Table 58'!R17</f>
        <v>12.553323000000001</v>
      </c>
      <c r="S60" s="231">
        <f>'AEO 2023 Table 58'!S17</f>
        <v>12.463748000000001</v>
      </c>
      <c r="T60" s="231">
        <f>'AEO 2023 Table 58'!T17</f>
        <v>12.381916</v>
      </c>
      <c r="U60" s="231">
        <f>'AEO 2023 Table 58'!U17</f>
        <v>12.31338</v>
      </c>
      <c r="V60" s="231">
        <f>'AEO 2023 Table 58'!V17</f>
        <v>12.207516</v>
      </c>
      <c r="W60" s="231">
        <f>'AEO 2023 Table 58'!W17</f>
        <v>12.241076</v>
      </c>
      <c r="X60" s="231">
        <f>'AEO 2023 Table 58'!X17</f>
        <v>12.313478999999999</v>
      </c>
      <c r="Y60" s="231">
        <f>'AEO 2023 Table 58'!Y17</f>
        <v>12.393143</v>
      </c>
      <c r="Z60" s="231">
        <f>'AEO 2023 Table 58'!Z17</f>
        <v>12.397959999999999</v>
      </c>
      <c r="AA60" s="231">
        <f>'AEO 2023 Table 58'!AA17</f>
        <v>12.389208</v>
      </c>
      <c r="AB60" s="231">
        <f>'AEO 2023 Table 58'!AB17</f>
        <v>12.286963</v>
      </c>
      <c r="AC60" s="231">
        <f>'AEO 2023 Table 58'!AC17</f>
        <v>12.299671999999999</v>
      </c>
      <c r="AD60" s="231">
        <f>'AEO 2023 Table 58'!AD17</f>
        <v>12.441811</v>
      </c>
      <c r="AE60" s="231">
        <f>'AEO 2023 Table 58'!AE17</f>
        <v>12.510002</v>
      </c>
      <c r="AF60" s="231">
        <f>'AEO 2023 Table 58'!AF17</f>
        <v>3.0000000000000001E-3</v>
      </c>
    </row>
    <row r="62" spans="1:34" x14ac:dyDescent="0.25">
      <c r="A62" s="1" t="s">
        <v>791</v>
      </c>
    </row>
    <row r="63" spans="1:34" x14ac:dyDescent="0.25">
      <c r="C63">
        <v>2019</v>
      </c>
      <c r="D63">
        <v>2020</v>
      </c>
      <c r="E63">
        <v>2021</v>
      </c>
      <c r="F63" s="227">
        <v>2022</v>
      </c>
      <c r="G63">
        <v>2023</v>
      </c>
      <c r="H63">
        <v>2024</v>
      </c>
      <c r="I63">
        <v>2025</v>
      </c>
      <c r="J63">
        <v>2026</v>
      </c>
      <c r="K63">
        <v>2027</v>
      </c>
      <c r="L63">
        <v>2028</v>
      </c>
      <c r="M63">
        <v>2029</v>
      </c>
      <c r="N63">
        <v>2030</v>
      </c>
      <c r="O63">
        <v>2031</v>
      </c>
      <c r="P63">
        <v>2032</v>
      </c>
      <c r="Q63">
        <v>2033</v>
      </c>
      <c r="R63">
        <v>2034</v>
      </c>
      <c r="S63">
        <v>2035</v>
      </c>
      <c r="T63">
        <v>2036</v>
      </c>
      <c r="U63">
        <v>2037</v>
      </c>
      <c r="V63">
        <v>2038</v>
      </c>
      <c r="W63">
        <v>2039</v>
      </c>
      <c r="X63">
        <v>2040</v>
      </c>
      <c r="Y63">
        <v>2041</v>
      </c>
      <c r="Z63">
        <v>2042</v>
      </c>
      <c r="AA63">
        <v>2043</v>
      </c>
      <c r="AB63">
        <v>2044</v>
      </c>
      <c r="AC63">
        <v>2045</v>
      </c>
      <c r="AD63">
        <v>2046</v>
      </c>
      <c r="AE63">
        <v>2047</v>
      </c>
      <c r="AF63">
        <v>2048</v>
      </c>
      <c r="AG63">
        <v>2049</v>
      </c>
      <c r="AH63">
        <v>2050</v>
      </c>
    </row>
    <row r="64" spans="1:34" x14ac:dyDescent="0.25">
      <c r="B64" t="s">
        <v>792</v>
      </c>
      <c r="C64" s="231">
        <f>C8</f>
        <v>33.481929999999998</v>
      </c>
      <c r="D64" s="231">
        <f>C26</f>
        <v>33.560645999999998</v>
      </c>
      <c r="E64" s="231">
        <f>C44</f>
        <v>34.068829000000001</v>
      </c>
      <c r="F64" s="244">
        <f t="shared" ref="F64:AH64" si="0">C57</f>
        <v>36.11721</v>
      </c>
      <c r="G64" s="244">
        <f t="shared" si="0"/>
        <v>36.160473000000003</v>
      </c>
      <c r="H64" s="244">
        <f t="shared" si="0"/>
        <v>35.236457999999999</v>
      </c>
      <c r="I64" s="244">
        <f t="shared" si="0"/>
        <v>35.385081999999997</v>
      </c>
      <c r="J64" s="244">
        <f t="shared" si="0"/>
        <v>35.842360999999997</v>
      </c>
      <c r="K64" s="244">
        <f t="shared" si="0"/>
        <v>35.789593000000004</v>
      </c>
      <c r="L64" s="244">
        <f t="shared" si="0"/>
        <v>36.084969000000001</v>
      </c>
      <c r="M64" s="244">
        <f t="shared" si="0"/>
        <v>36.326552999999997</v>
      </c>
      <c r="N64" s="244">
        <f t="shared" si="0"/>
        <v>36.675776999999997</v>
      </c>
      <c r="O64" s="244">
        <f t="shared" si="0"/>
        <v>37.108832999999997</v>
      </c>
      <c r="P64" s="244">
        <f t="shared" si="0"/>
        <v>37.608638999999997</v>
      </c>
      <c r="Q64" s="244">
        <f t="shared" si="0"/>
        <v>38.184341000000003</v>
      </c>
      <c r="R64" s="244">
        <f t="shared" si="0"/>
        <v>38.686110999999997</v>
      </c>
      <c r="S64" s="244">
        <f t="shared" si="0"/>
        <v>39.140957</v>
      </c>
      <c r="T64" s="244">
        <f t="shared" si="0"/>
        <v>39.498707000000003</v>
      </c>
      <c r="U64" s="244">
        <f t="shared" si="0"/>
        <v>39.853999999999999</v>
      </c>
      <c r="V64" s="244">
        <f t="shared" si="0"/>
        <v>40.120361000000003</v>
      </c>
      <c r="W64" s="244">
        <f t="shared" si="0"/>
        <v>40.358707000000003</v>
      </c>
      <c r="X64" s="244">
        <f t="shared" si="0"/>
        <v>40.500950000000003</v>
      </c>
      <c r="Y64" s="244">
        <f t="shared" si="0"/>
        <v>40.620883999999997</v>
      </c>
      <c r="Z64" s="244">
        <f t="shared" si="0"/>
        <v>40.794955999999999</v>
      </c>
      <c r="AA64" s="244">
        <f t="shared" si="0"/>
        <v>40.906959999999998</v>
      </c>
      <c r="AB64" s="244">
        <f t="shared" si="0"/>
        <v>40.974735000000003</v>
      </c>
      <c r="AC64" s="244">
        <f t="shared" si="0"/>
        <v>41.124125999999997</v>
      </c>
      <c r="AD64" s="244">
        <f t="shared" si="0"/>
        <v>40.952205999999997</v>
      </c>
      <c r="AE64" s="244">
        <f t="shared" si="0"/>
        <v>41.157238</v>
      </c>
      <c r="AF64" s="244">
        <f t="shared" si="0"/>
        <v>41.220950999999999</v>
      </c>
      <c r="AG64" s="244">
        <f t="shared" si="0"/>
        <v>41.302062999999997</v>
      </c>
      <c r="AH64" s="244">
        <f t="shared" si="0"/>
        <v>41.677504999999996</v>
      </c>
    </row>
    <row r="65" spans="1:34" x14ac:dyDescent="0.25">
      <c r="B65" t="s">
        <v>790</v>
      </c>
      <c r="C65" s="231">
        <f>C17</f>
        <v>11.781784</v>
      </c>
      <c r="D65" s="231">
        <f>C35</f>
        <v>11.01248</v>
      </c>
      <c r="E65" s="231">
        <f>C53</f>
        <v>10.691084999999999</v>
      </c>
      <c r="F65" s="244">
        <f t="shared" ref="F65:AH65" si="1">C60</f>
        <v>11.391961</v>
      </c>
      <c r="G65" s="244">
        <f t="shared" si="1"/>
        <v>11.911623000000001</v>
      </c>
      <c r="H65" s="244">
        <f t="shared" si="1"/>
        <v>12.286136000000001</v>
      </c>
      <c r="I65" s="244">
        <f t="shared" si="1"/>
        <v>12.405836000000001</v>
      </c>
      <c r="J65" s="244">
        <f t="shared" si="1"/>
        <v>12.564268</v>
      </c>
      <c r="K65" s="244">
        <f t="shared" si="1"/>
        <v>12.638444</v>
      </c>
      <c r="L65" s="244">
        <f t="shared" si="1"/>
        <v>12.756741999999999</v>
      </c>
      <c r="M65" s="244">
        <f t="shared" si="1"/>
        <v>12.72641</v>
      </c>
      <c r="N65" s="244">
        <f t="shared" si="1"/>
        <v>12.711926999999999</v>
      </c>
      <c r="O65" s="244">
        <f t="shared" si="1"/>
        <v>12.640687</v>
      </c>
      <c r="P65" s="244">
        <f t="shared" si="1"/>
        <v>12.643459</v>
      </c>
      <c r="Q65" s="244">
        <f t="shared" si="1"/>
        <v>12.650594</v>
      </c>
      <c r="R65" s="244">
        <f t="shared" si="1"/>
        <v>12.649630999999999</v>
      </c>
      <c r="S65" s="244">
        <f t="shared" si="1"/>
        <v>12.664894</v>
      </c>
      <c r="T65" s="244">
        <f t="shared" si="1"/>
        <v>12.608809000000001</v>
      </c>
      <c r="U65" s="244">
        <f t="shared" si="1"/>
        <v>12.553323000000001</v>
      </c>
      <c r="V65" s="244">
        <f t="shared" si="1"/>
        <v>12.463748000000001</v>
      </c>
      <c r="W65" s="244">
        <f t="shared" si="1"/>
        <v>12.381916</v>
      </c>
      <c r="X65" s="244">
        <f t="shared" si="1"/>
        <v>12.31338</v>
      </c>
      <c r="Y65" s="244">
        <f t="shared" si="1"/>
        <v>12.207516</v>
      </c>
      <c r="Z65" s="244">
        <f t="shared" si="1"/>
        <v>12.241076</v>
      </c>
      <c r="AA65" s="244">
        <f t="shared" si="1"/>
        <v>12.313478999999999</v>
      </c>
      <c r="AB65" s="244">
        <f t="shared" si="1"/>
        <v>12.393143</v>
      </c>
      <c r="AC65" s="244">
        <f t="shared" si="1"/>
        <v>12.397959999999999</v>
      </c>
      <c r="AD65" s="244">
        <f t="shared" si="1"/>
        <v>12.389208</v>
      </c>
      <c r="AE65" s="244">
        <f t="shared" si="1"/>
        <v>12.286963</v>
      </c>
      <c r="AF65" s="244">
        <f t="shared" si="1"/>
        <v>12.299671999999999</v>
      </c>
      <c r="AG65" s="244">
        <f t="shared" si="1"/>
        <v>12.441811</v>
      </c>
      <c r="AH65" s="244">
        <f t="shared" si="1"/>
        <v>12.510002</v>
      </c>
    </row>
    <row r="66" spans="1:34" x14ac:dyDescent="0.25">
      <c r="F66" s="227"/>
    </row>
    <row r="67" spans="1:34" x14ac:dyDescent="0.25">
      <c r="B67" t="s">
        <v>792</v>
      </c>
      <c r="C67">
        <f t="shared" ref="C67:AH67" si="2">C64/$C64</f>
        <v>1</v>
      </c>
      <c r="D67">
        <f t="shared" si="2"/>
        <v>1.0023509994794206</v>
      </c>
      <c r="E67">
        <f t="shared" si="2"/>
        <v>1.0175288282366042</v>
      </c>
      <c r="F67" s="227">
        <f t="shared" si="2"/>
        <v>1.0787075297033355</v>
      </c>
      <c r="G67">
        <f t="shared" si="2"/>
        <v>1.0799996595178356</v>
      </c>
      <c r="H67">
        <f t="shared" si="2"/>
        <v>1.0524022360718155</v>
      </c>
      <c r="I67">
        <f t="shared" si="2"/>
        <v>1.0568411677582505</v>
      </c>
      <c r="J67">
        <f t="shared" si="2"/>
        <v>1.07049865405011</v>
      </c>
      <c r="K67">
        <f t="shared" si="2"/>
        <v>1.0689226397641953</v>
      </c>
      <c r="L67">
        <f t="shared" si="2"/>
        <v>1.077744592381622</v>
      </c>
      <c r="M67">
        <f t="shared" si="2"/>
        <v>1.0849599470520366</v>
      </c>
      <c r="N67">
        <f t="shared" si="2"/>
        <v>1.0953901701604418</v>
      </c>
      <c r="O67">
        <f t="shared" si="2"/>
        <v>1.1083241915863273</v>
      </c>
      <c r="P67">
        <f t="shared" si="2"/>
        <v>1.1232518256862731</v>
      </c>
      <c r="Q67">
        <f t="shared" si="2"/>
        <v>1.1404462347301965</v>
      </c>
      <c r="R67">
        <f t="shared" si="2"/>
        <v>1.155432527336387</v>
      </c>
      <c r="S67">
        <f t="shared" si="2"/>
        <v>1.1690173475662844</v>
      </c>
      <c r="T67">
        <f t="shared" si="2"/>
        <v>1.1797022154935515</v>
      </c>
      <c r="U67">
        <f t="shared" si="2"/>
        <v>1.190313700554299</v>
      </c>
      <c r="V67">
        <f t="shared" si="2"/>
        <v>1.198269066329211</v>
      </c>
      <c r="W67">
        <f t="shared" si="2"/>
        <v>1.2053877121181487</v>
      </c>
      <c r="X67">
        <f t="shared" si="2"/>
        <v>1.2096360633930006</v>
      </c>
      <c r="Y67">
        <f t="shared" si="2"/>
        <v>1.2132181149652961</v>
      </c>
      <c r="Z67">
        <f t="shared" si="2"/>
        <v>1.2184170984169671</v>
      </c>
      <c r="AA67">
        <f t="shared" si="2"/>
        <v>1.2217623058168989</v>
      </c>
      <c r="AB67">
        <f t="shared" si="2"/>
        <v>1.223786532018913</v>
      </c>
      <c r="AC67">
        <f t="shared" si="2"/>
        <v>1.2282483715843142</v>
      </c>
      <c r="AD67">
        <f t="shared" si="2"/>
        <v>1.2231136616079181</v>
      </c>
      <c r="AE67">
        <f t="shared" si="2"/>
        <v>1.2292373229380744</v>
      </c>
      <c r="AF67">
        <f t="shared" si="2"/>
        <v>1.2311402299688221</v>
      </c>
      <c r="AG67">
        <f t="shared" si="2"/>
        <v>1.233562790436513</v>
      </c>
      <c r="AH67">
        <f t="shared" si="2"/>
        <v>1.2447760627896898</v>
      </c>
    </row>
    <row r="68" spans="1:34" x14ac:dyDescent="0.25">
      <c r="B68" t="s">
        <v>384</v>
      </c>
      <c r="C68">
        <f t="shared" ref="C68:AH68" si="3">C65/$C65</f>
        <v>1</v>
      </c>
      <c r="D68">
        <f t="shared" si="3"/>
        <v>0.93470394636330123</v>
      </c>
      <c r="E68">
        <f t="shared" si="3"/>
        <v>0.90742497061565541</v>
      </c>
      <c r="F68" s="227">
        <f t="shared" si="3"/>
        <v>0.96691307530336668</v>
      </c>
      <c r="G68">
        <f t="shared" si="3"/>
        <v>1.0110203174663532</v>
      </c>
      <c r="H68">
        <f t="shared" si="3"/>
        <v>1.0428077785163945</v>
      </c>
      <c r="I68">
        <f t="shared" si="3"/>
        <v>1.0529675302144397</v>
      </c>
      <c r="J68">
        <f t="shared" si="3"/>
        <v>1.0664147297217468</v>
      </c>
      <c r="K68">
        <f t="shared" si="3"/>
        <v>1.0727105504565353</v>
      </c>
      <c r="L68">
        <f t="shared" si="3"/>
        <v>1.0827513048957611</v>
      </c>
      <c r="M68">
        <f t="shared" si="3"/>
        <v>1.0801768221179406</v>
      </c>
      <c r="N68">
        <f t="shared" si="3"/>
        <v>1.0789475515762299</v>
      </c>
      <c r="O68">
        <f t="shared" si="3"/>
        <v>1.072900929095288</v>
      </c>
      <c r="P68">
        <f t="shared" si="3"/>
        <v>1.0731362075556639</v>
      </c>
      <c r="Q68">
        <f t="shared" si="3"/>
        <v>1.0737418034484421</v>
      </c>
      <c r="R68">
        <f t="shared" si="3"/>
        <v>1.0736600671001946</v>
      </c>
      <c r="S68">
        <f t="shared" si="3"/>
        <v>1.0749555415376824</v>
      </c>
      <c r="T68">
        <f t="shared" si="3"/>
        <v>1.0701952268009667</v>
      </c>
      <c r="U68">
        <f t="shared" si="3"/>
        <v>1.0654857532611361</v>
      </c>
      <c r="V68">
        <f t="shared" si="3"/>
        <v>1.0578829148454938</v>
      </c>
      <c r="W68">
        <f t="shared" si="3"/>
        <v>1.0509372774106196</v>
      </c>
      <c r="X68">
        <f t="shared" si="3"/>
        <v>1.0451201617683705</v>
      </c>
      <c r="Y68">
        <f t="shared" si="3"/>
        <v>1.0361347653292574</v>
      </c>
      <c r="Z68">
        <f t="shared" si="3"/>
        <v>1.0389832303834461</v>
      </c>
      <c r="AA68">
        <f t="shared" si="3"/>
        <v>1.0451285645705268</v>
      </c>
      <c r="AB68">
        <f t="shared" si="3"/>
        <v>1.0518901891258574</v>
      </c>
      <c r="AC68">
        <f t="shared" si="3"/>
        <v>1.0522990406206734</v>
      </c>
      <c r="AD68">
        <f t="shared" si="3"/>
        <v>1.0515561989593427</v>
      </c>
      <c r="AE68">
        <f t="shared" si="3"/>
        <v>1.0428779716212757</v>
      </c>
      <c r="AF68">
        <f t="shared" si="3"/>
        <v>1.0439566707384891</v>
      </c>
      <c r="AG68">
        <f t="shared" si="3"/>
        <v>1.0560209727151677</v>
      </c>
      <c r="AH68">
        <f t="shared" si="3"/>
        <v>1.0618088058650541</v>
      </c>
    </row>
    <row r="69" spans="1:34" x14ac:dyDescent="0.25">
      <c r="F69" s="227"/>
    </row>
    <row r="70" spans="1:34" x14ac:dyDescent="0.25">
      <c r="A70" s="1" t="s">
        <v>794</v>
      </c>
      <c r="F70" s="227"/>
    </row>
    <row r="71" spans="1:34" x14ac:dyDescent="0.25">
      <c r="B71" t="s">
        <v>792</v>
      </c>
      <c r="C71">
        <f>C64/$F64</f>
        <v>0.9270353385546668</v>
      </c>
      <c r="D71">
        <f t="shared" ref="D71:G71" si="4">D64/$F64</f>
        <v>0.92921479815301344</v>
      </c>
      <c r="E71">
        <f t="shared" si="4"/>
        <v>0.94328518177345377</v>
      </c>
      <c r="F71" s="227">
        <f t="shared" si="4"/>
        <v>1</v>
      </c>
      <c r="G71">
        <f t="shared" si="4"/>
        <v>1.0011978500000416</v>
      </c>
      <c r="H71">
        <f t="shared" ref="H71:AH71" si="5">H64/$F64</f>
        <v>0.97561406321252386</v>
      </c>
      <c r="I71">
        <f t="shared" si="5"/>
        <v>0.97972910975127914</v>
      </c>
      <c r="J71">
        <f t="shared" si="5"/>
        <v>0.99239008217965885</v>
      </c>
      <c r="K71">
        <f t="shared" si="5"/>
        <v>0.99092906124254898</v>
      </c>
      <c r="L71">
        <f t="shared" si="5"/>
        <v>0.99910732307395844</v>
      </c>
      <c r="M71">
        <f t="shared" si="5"/>
        <v>1.0057962118336383</v>
      </c>
      <c r="N71">
        <f t="shared" si="5"/>
        <v>1.0154653972441392</v>
      </c>
      <c r="O71">
        <f t="shared" si="5"/>
        <v>1.0274556921755584</v>
      </c>
      <c r="P71">
        <f t="shared" si="5"/>
        <v>1.0412941365072219</v>
      </c>
      <c r="Q71">
        <f t="shared" si="5"/>
        <v>1.0572339613165027</v>
      </c>
      <c r="R71">
        <f t="shared" si="5"/>
        <v>1.0711267841563619</v>
      </c>
      <c r="S71">
        <f t="shared" si="5"/>
        <v>1.0837203925773891</v>
      </c>
      <c r="T71">
        <f t="shared" si="5"/>
        <v>1.093625642733755</v>
      </c>
      <c r="U71">
        <f t="shared" si="5"/>
        <v>1.1034628643796129</v>
      </c>
      <c r="V71">
        <f t="shared" si="5"/>
        <v>1.1108377695840848</v>
      </c>
      <c r="W71">
        <f t="shared" si="5"/>
        <v>1.1174370057930831</v>
      </c>
      <c r="X71">
        <f t="shared" si="5"/>
        <v>1.1213753775554647</v>
      </c>
      <c r="Y71">
        <f t="shared" si="5"/>
        <v>1.124696065947508</v>
      </c>
      <c r="Z71">
        <f t="shared" si="5"/>
        <v>1.1295157073317679</v>
      </c>
      <c r="AA71">
        <f t="shared" si="5"/>
        <v>1.1326168328062991</v>
      </c>
      <c r="AB71">
        <f t="shared" si="5"/>
        <v>1.1344933620287947</v>
      </c>
      <c r="AC71">
        <f t="shared" si="5"/>
        <v>1.138629644980883</v>
      </c>
      <c r="AD71">
        <f t="shared" si="5"/>
        <v>1.1338695873795346</v>
      </c>
      <c r="AE71">
        <f t="shared" si="5"/>
        <v>1.1395464378339302</v>
      </c>
      <c r="AF71">
        <f t="shared" si="5"/>
        <v>1.1413104998974173</v>
      </c>
      <c r="AG71">
        <f t="shared" si="5"/>
        <v>1.1435562990607524</v>
      </c>
      <c r="AH71">
        <f t="shared" si="5"/>
        <v>1.1539513987929853</v>
      </c>
    </row>
    <row r="72" spans="1:34" x14ac:dyDescent="0.25">
      <c r="B72" t="s">
        <v>384</v>
      </c>
      <c r="C72">
        <f>C65/$F65</f>
        <v>1.0342191304903519</v>
      </c>
      <c r="D72">
        <f t="shared" ref="D72:G72" si="6">D65/$F65</f>
        <v>0.96668870267375384</v>
      </c>
      <c r="E72">
        <f t="shared" si="6"/>
        <v>0.93847626409535634</v>
      </c>
      <c r="F72" s="227">
        <f t="shared" si="6"/>
        <v>1</v>
      </c>
      <c r="G72">
        <f t="shared" si="6"/>
        <v>1.0456165536381314</v>
      </c>
      <c r="H72">
        <f t="shared" ref="H72:AH72" si="7">H65/$F65</f>
        <v>1.078491753965801</v>
      </c>
      <c r="I72">
        <f t="shared" si="7"/>
        <v>1.088999163532951</v>
      </c>
      <c r="J72">
        <f t="shared" si="7"/>
        <v>1.1029065145149286</v>
      </c>
      <c r="K72">
        <f t="shared" si="7"/>
        <v>1.1094177727609846</v>
      </c>
      <c r="L72">
        <f t="shared" si="7"/>
        <v>1.1198021130865878</v>
      </c>
      <c r="M72">
        <f t="shared" si="7"/>
        <v>1.1171395337466481</v>
      </c>
      <c r="N72">
        <f t="shared" si="7"/>
        <v>1.1158681986358625</v>
      </c>
      <c r="O72">
        <f t="shared" si="7"/>
        <v>1.1096146659912196</v>
      </c>
      <c r="P72">
        <f t="shared" si="7"/>
        <v>1.1098579954759324</v>
      </c>
      <c r="Q72">
        <f t="shared" si="7"/>
        <v>1.1104843143335901</v>
      </c>
      <c r="R72">
        <f t="shared" si="7"/>
        <v>1.1103997810385762</v>
      </c>
      <c r="S72">
        <f t="shared" si="7"/>
        <v>1.111739585484887</v>
      </c>
      <c r="T72">
        <f t="shared" si="7"/>
        <v>1.1068163769170207</v>
      </c>
      <c r="U72">
        <f t="shared" si="7"/>
        <v>1.1019457492875897</v>
      </c>
      <c r="V72">
        <f t="shared" si="7"/>
        <v>1.0940827483521056</v>
      </c>
      <c r="W72">
        <f t="shared" si="7"/>
        <v>1.0868994372435088</v>
      </c>
      <c r="X72">
        <f t="shared" si="7"/>
        <v>1.0808832649620201</v>
      </c>
      <c r="Y72">
        <f t="shared" si="7"/>
        <v>1.0715903960696493</v>
      </c>
      <c r="Z72">
        <f t="shared" si="7"/>
        <v>1.0745363331212245</v>
      </c>
      <c r="AA72">
        <f t="shared" si="7"/>
        <v>1.0808919553007599</v>
      </c>
      <c r="AB72">
        <f t="shared" si="7"/>
        <v>1.087884956769076</v>
      </c>
      <c r="AC72">
        <f t="shared" si="7"/>
        <v>1.0883077988065444</v>
      </c>
      <c r="AD72">
        <f t="shared" si="7"/>
        <v>1.0875395377494708</v>
      </c>
      <c r="AE72">
        <f t="shared" si="7"/>
        <v>1.0785643490176977</v>
      </c>
      <c r="AF72">
        <f t="shared" si="7"/>
        <v>1.0796799602807627</v>
      </c>
      <c r="AG72">
        <f t="shared" si="7"/>
        <v>1.0921570921810564</v>
      </c>
      <c r="AH72">
        <f t="shared" si="7"/>
        <v>1.098142979948755</v>
      </c>
    </row>
    <row r="75" spans="1:34" ht="15.75" thickBot="1" x14ac:dyDescent="0.3">
      <c r="A75" s="1" t="s">
        <v>795</v>
      </c>
      <c r="C75">
        <v>2019</v>
      </c>
      <c r="D75">
        <v>2020</v>
      </c>
      <c r="E75">
        <v>2021</v>
      </c>
      <c r="F75" s="227">
        <v>2022</v>
      </c>
      <c r="G75">
        <v>2023</v>
      </c>
      <c r="H75">
        <v>2024</v>
      </c>
      <c r="I75">
        <v>2025</v>
      </c>
      <c r="J75">
        <v>2026</v>
      </c>
      <c r="K75">
        <v>2027</v>
      </c>
      <c r="L75">
        <v>2028</v>
      </c>
      <c r="M75">
        <v>2029</v>
      </c>
      <c r="N75">
        <v>2030</v>
      </c>
      <c r="O75">
        <v>2031</v>
      </c>
      <c r="P75">
        <v>2032</v>
      </c>
      <c r="Q75">
        <v>2033</v>
      </c>
      <c r="R75">
        <v>2034</v>
      </c>
      <c r="S75">
        <v>2035</v>
      </c>
      <c r="T75">
        <v>2036</v>
      </c>
      <c r="U75">
        <v>2037</v>
      </c>
      <c r="V75">
        <v>2038</v>
      </c>
      <c r="W75">
        <v>2039</v>
      </c>
      <c r="X75">
        <v>2040</v>
      </c>
      <c r="Y75">
        <v>2041</v>
      </c>
      <c r="Z75">
        <v>2042</v>
      </c>
      <c r="AA75">
        <v>2043</v>
      </c>
      <c r="AB75">
        <v>2044</v>
      </c>
      <c r="AC75">
        <v>2045</v>
      </c>
      <c r="AD75">
        <v>2046</v>
      </c>
      <c r="AE75">
        <v>2047</v>
      </c>
      <c r="AF75">
        <v>2048</v>
      </c>
      <c r="AG75">
        <v>2049</v>
      </c>
      <c r="AH75">
        <v>2050</v>
      </c>
    </row>
    <row r="76" spans="1:34" ht="15.75" thickBot="1" x14ac:dyDescent="0.3">
      <c r="B76" s="247" t="s">
        <v>792</v>
      </c>
      <c r="C76" s="248">
        <f>C71*'First Modeled Year Data'!$B$28</f>
        <v>3.3079195256765676E+16</v>
      </c>
      <c r="D76" s="248">
        <f>D71*'First Modeled Year Data'!$B$28</f>
        <v>3.3156964427593992E+16</v>
      </c>
      <c r="E76" s="249">
        <f>E71*'First Modeled Year Data'!$B$28</f>
        <v>3.3659034788626616E+16</v>
      </c>
      <c r="F76" s="248">
        <f>F71*'First Modeled Year Data'!$B$28</f>
        <v>3.5682777E+16</v>
      </c>
      <c r="G76" s="248">
        <f>G71*'First Modeled Year Data'!$B$28</f>
        <v>3.5725519614430932E+16</v>
      </c>
      <c r="H76" s="248">
        <f>H71*'First Modeled Year Data'!$B$28</f>
        <v>3.4812619055676392E+16</v>
      </c>
      <c r="I76" s="248">
        <f>I71*'First Modeled Year Data'!$B$28</f>
        <v>3.495945534366342E+16</v>
      </c>
      <c r="J76" s="248">
        <f>J71*'First Modeled Year Data'!$B$28</f>
        <v>3.541123399942844E+16</v>
      </c>
      <c r="K76" s="248">
        <f>K71*'First Modeled Year Data'!$B$28</f>
        <v>3.535910071513722E+16</v>
      </c>
      <c r="L76" s="248">
        <f>L71*'First Modeled Year Data'!$B$28</f>
        <v>3.5650923808315012E+16</v>
      </c>
      <c r="M76" s="248">
        <f>M71*'First Modeled Year Data'!$B$28</f>
        <v>3.5889601934304476E+16</v>
      </c>
      <c r="N76" s="248">
        <f>N71*'First Modeled Year Data'!$B$28</f>
        <v>3.6234625321079032E+16</v>
      </c>
      <c r="O76" s="248">
        <f>O71*'First Modeled Year Data'!$B$28</f>
        <v>3.6662472341281096E+16</v>
      </c>
      <c r="P76" s="248">
        <f>P71*'First Modeled Year Data'!$B$28</f>
        <v>3.715626646439476E+16</v>
      </c>
      <c r="Q76" s="248">
        <f>Q71*'First Modeled Year Data'!$B$28</f>
        <v>3.7725043678483392E+16</v>
      </c>
      <c r="R76" s="248">
        <f>R71*'First Modeled Year Data'!$B$28</f>
        <v>3.8220778177778592E+16</v>
      </c>
      <c r="S76" s="248">
        <f>S71*'First Modeled Year Data'!$B$28</f>
        <v>3.8670153098691432E+16</v>
      </c>
      <c r="T76" s="248">
        <f>T71*'First Modeled Year Data'!$B$28</f>
        <v>3.9023599931150248E+16</v>
      </c>
      <c r="U76" s="248">
        <f>U71*'First Modeled Year Data'!$B$28</f>
        <v>3.9374619317438968E+16</v>
      </c>
      <c r="V76" s="248">
        <f>V71*'First Modeled Year Data'!$B$28</f>
        <v>3.963777641524628E+16</v>
      </c>
      <c r="W76" s="248">
        <f>W71*'First Modeled Year Data'!$B$28</f>
        <v>3.9873255489262296E+16</v>
      </c>
      <c r="X76" s="248">
        <f>X71*'First Modeled Year Data'!$B$28</f>
        <v>4.0013787530602448E+16</v>
      </c>
      <c r="Y76" s="248">
        <f>Y71*'First Modeled Year Data'!$B$28</f>
        <v>4.0132278913982224E+16</v>
      </c>
      <c r="Z76" s="248">
        <f>Z71*'First Modeled Year Data'!$B$28</f>
        <v>4.0304257102716736E+16</v>
      </c>
      <c r="AA76" s="248">
        <f>AA71*'First Modeled Year Data'!$B$28</f>
        <v>4.0414913871473456E+16</v>
      </c>
      <c r="AB76" s="248">
        <f>AB71*'First Modeled Year Data'!$B$28</f>
        <v>4.0481873645253752E+16</v>
      </c>
      <c r="AC76" s="248">
        <f>AC71*'First Modeled Year Data'!$B$28</f>
        <v>4.0629467707442016E+16</v>
      </c>
      <c r="AD76" s="248">
        <f>AD71*'First Modeled Year Data'!$B$28</f>
        <v>4.0459615633545944E+16</v>
      </c>
      <c r="AE76" s="248">
        <f>AE71*'First Modeled Year Data'!$B$28</f>
        <v>4.0662181422372496E+16</v>
      </c>
      <c r="AF76" s="248">
        <f>AF71*'First Modeled Year Data'!$B$28</f>
        <v>4.0725128055598064E+16</v>
      </c>
      <c r="AG76" s="248">
        <f>AG71*'First Modeled Year Data'!$B$28</f>
        <v>4.0805264406330136E+16</v>
      </c>
      <c r="AH76" s="250">
        <f>AH71*'First Modeled Year Data'!$B$28</f>
        <v>4.117619043196816E+16</v>
      </c>
    </row>
    <row r="77" spans="1:34" ht="15.75" thickBot="1" x14ac:dyDescent="0.3">
      <c r="E77" s="194"/>
    </row>
    <row r="78" spans="1:34" ht="15.75" thickBot="1" x14ac:dyDescent="0.3">
      <c r="B78" s="247" t="s">
        <v>384</v>
      </c>
      <c r="C78" s="248">
        <f>C72*'First Modeled Year Data'!$B$42</f>
        <v>2.4050854715983412E+16</v>
      </c>
      <c r="D78" s="248">
        <f>D72*'First Modeled Year Data'!$B$42</f>
        <v>2.2480428816440108E+16</v>
      </c>
      <c r="E78" s="248">
        <f>E72*'First Modeled Year Data'!$B$42</f>
        <v>2.1824346133932648E+16</v>
      </c>
      <c r="F78" s="248">
        <f>F72*'First Modeled Year Data'!$B$42</f>
        <v>2.3255085897106E+16</v>
      </c>
      <c r="G78" s="248">
        <f>G72*'First Modeled Year Data'!$B$42</f>
        <v>2.4315902770290688E+16</v>
      </c>
      <c r="H78" s="248">
        <f>H72*'First Modeled Year Data'!$B$42</f>
        <v>2.5080418377795212E+16</v>
      </c>
      <c r="I78" s="248">
        <f>I72*'First Modeled Year Data'!$B$42</f>
        <v>2.532476908983536E+16</v>
      </c>
      <c r="J78" s="248">
        <f>J72*'First Modeled Year Data'!$B$42</f>
        <v>2.5648185731522452E+16</v>
      </c>
      <c r="K78" s="248">
        <f>K72*'First Modeled Year Data'!$B$42</f>
        <v>2.5799605601332724E+16</v>
      </c>
      <c r="L78" s="248">
        <f>L72*'First Modeled Year Data'!$B$42</f>
        <v>2.6041094327589408E+16</v>
      </c>
      <c r="M78" s="248">
        <f>M72*'First Modeled Year Data'!$B$42</f>
        <v>2.5979175816331248E+16</v>
      </c>
      <c r="N78" s="248">
        <f>N72*'First Modeled Year Data'!$B$42</f>
        <v>2.5949610809125924E+16</v>
      </c>
      <c r="O78" s="248">
        <f>O72*'First Modeled Year Data'!$B$42</f>
        <v>2.5804184370314396E+16</v>
      </c>
      <c r="P78" s="248">
        <f>P72*'First Modeled Year Data'!$B$42</f>
        <v>2.5809843018382692E+16</v>
      </c>
      <c r="Q78" s="248">
        <f>Q72*'First Modeled Year Data'!$B$42</f>
        <v>2.5824408117216496E+16</v>
      </c>
      <c r="R78" s="248">
        <f>R72*'First Modeled Year Data'!$B$42</f>
        <v>2.5822442288179784E+16</v>
      </c>
      <c r="S78" s="248">
        <f>S72*'First Modeled Year Data'!$B$42</f>
        <v>2.5853599555664068E+16</v>
      </c>
      <c r="T78" s="248">
        <f>T72*'First Modeled Year Data'!$B$42</f>
        <v>2.5739109917528968E+16</v>
      </c>
      <c r="U78" s="248">
        <f>U72*'First Modeled Year Data'!$B$42</f>
        <v>2.5625843053633732E+16</v>
      </c>
      <c r="V78" s="248">
        <f>V72*'First Modeled Year Data'!$B$42</f>
        <v>2.5442988291470024E+16</v>
      </c>
      <c r="W78" s="248">
        <f>W72*'First Modeled Year Data'!$B$42</f>
        <v>2.5275939774613968E+16</v>
      </c>
      <c r="X78" s="248">
        <f>X72*'First Modeled Year Data'!$B$42</f>
        <v>2.5136033171436164E+16</v>
      </c>
      <c r="Y78" s="248">
        <f>Y72*'First Modeled Year Data'!$B$42</f>
        <v>2.4919926707113536E+16</v>
      </c>
      <c r="Z78" s="248">
        <f>Z72*'First Modeled Year Data'!$B$42</f>
        <v>2.4988434726295384E+16</v>
      </c>
      <c r="AA78" s="248">
        <f>AA72*'First Modeled Year Data'!$B$42</f>
        <v>2.5136235266010028E+16</v>
      </c>
      <c r="AB78" s="248">
        <f>AB72*'First Modeled Year Data'!$B$42</f>
        <v>2.5298858115834312E+16</v>
      </c>
      <c r="AC78" s="248">
        <f>AC72*'First Modeled Year Data'!$B$42</f>
        <v>2.5308691343736544E+16</v>
      </c>
      <c r="AD78" s="248">
        <f>AD72*'First Modeled Year Data'!$B$42</f>
        <v>2.5290825366862896E+16</v>
      </c>
      <c r="AE78" s="248">
        <f>AE72*'First Modeled Year Data'!$B$42</f>
        <v>2.5082106581962776E+16</v>
      </c>
      <c r="AF78" s="248">
        <f>AF72*'First Modeled Year Data'!$B$42</f>
        <v>2.5108050217713132E+16</v>
      </c>
      <c r="AG78" s="248">
        <f>AG72*'First Modeled Year Data'!$B$42</f>
        <v>2.5398206991803984E+16</v>
      </c>
      <c r="AH78" s="250">
        <f>AH72*'First Modeled Year Data'!$B$42</f>
        <v>2.5537409326012248E+16</v>
      </c>
    </row>
    <row r="79" spans="1:34" x14ac:dyDescent="0.25">
      <c r="E79" s="194"/>
      <c r="F79" s="194"/>
      <c r="G79" s="194"/>
      <c r="H79" s="194"/>
      <c r="I79" s="194"/>
      <c r="J79" s="194"/>
      <c r="K79" s="194"/>
      <c r="L79" s="194"/>
      <c r="M79" s="194"/>
      <c r="N79" s="194"/>
      <c r="O79" s="194"/>
      <c r="P79" s="194"/>
      <c r="Q79" s="194"/>
      <c r="R79" s="194"/>
      <c r="S79" s="194"/>
      <c r="T79" s="194"/>
      <c r="U79" s="194"/>
      <c r="V79" s="194"/>
      <c r="W79" s="194"/>
      <c r="X79" s="194"/>
      <c r="Y79" s="194"/>
      <c r="Z79" s="194"/>
      <c r="AA79" s="194"/>
      <c r="AB79" s="194"/>
      <c r="AC79" s="194"/>
      <c r="AD79" s="194"/>
      <c r="AE79" s="194"/>
      <c r="AF79" s="194"/>
      <c r="AG79" s="194"/>
      <c r="AH79" s="194"/>
    </row>
    <row r="80" spans="1:34" x14ac:dyDescent="0.25">
      <c r="E80" s="245"/>
      <c r="F80" s="245"/>
      <c r="G80" s="245"/>
      <c r="H80" s="245"/>
      <c r="I80" s="245"/>
      <c r="J80" s="245"/>
      <c r="K80" s="245"/>
      <c r="L80" s="245"/>
      <c r="M80" s="245"/>
      <c r="N80" s="245"/>
      <c r="O80" s="245"/>
      <c r="P80" s="245"/>
      <c r="Q80" s="245"/>
      <c r="R80" s="245"/>
      <c r="S80" s="245"/>
      <c r="T80" s="245"/>
      <c r="U80" s="245"/>
      <c r="V80" s="245"/>
      <c r="W80" s="245"/>
      <c r="X80" s="245"/>
      <c r="Y80" s="245"/>
      <c r="Z80" s="245"/>
      <c r="AA80" s="245"/>
      <c r="AB80" s="245"/>
      <c r="AC80" s="245"/>
      <c r="AD80" s="245"/>
      <c r="AE80" s="245"/>
      <c r="AF80" s="245"/>
      <c r="AG80" s="245"/>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F22"/>
  <sheetViews>
    <sheetView workbookViewId="0">
      <selection activeCell="B2" sqref="B2"/>
    </sheetView>
  </sheetViews>
  <sheetFormatPr defaultRowHeight="15" x14ac:dyDescent="0.25"/>
  <cols>
    <col min="1" max="1" width="36.28515625" customWidth="1"/>
    <col min="2" max="33" width="13" customWidth="1"/>
  </cols>
  <sheetData>
    <row r="1" spans="1:32" x14ac:dyDescent="0.25">
      <c r="A1" s="24" t="s">
        <v>582</v>
      </c>
      <c r="B1" s="18">
        <v>2021</v>
      </c>
      <c r="C1">
        <v>2022</v>
      </c>
      <c r="D1" s="18">
        <v>2023</v>
      </c>
      <c r="E1">
        <v>2024</v>
      </c>
      <c r="F1" s="18">
        <v>2025</v>
      </c>
      <c r="G1">
        <v>2026</v>
      </c>
      <c r="H1" s="18">
        <v>2027</v>
      </c>
      <c r="I1">
        <v>2028</v>
      </c>
      <c r="J1" s="18">
        <v>2029</v>
      </c>
      <c r="K1">
        <v>2030</v>
      </c>
      <c r="L1" s="18">
        <v>2031</v>
      </c>
      <c r="M1">
        <v>2032</v>
      </c>
      <c r="N1" s="18">
        <v>2033</v>
      </c>
      <c r="O1">
        <v>2034</v>
      </c>
      <c r="P1" s="18">
        <v>2035</v>
      </c>
      <c r="Q1">
        <v>2036</v>
      </c>
      <c r="R1" s="18">
        <v>2037</v>
      </c>
      <c r="S1">
        <v>2038</v>
      </c>
      <c r="T1" s="18">
        <v>2039</v>
      </c>
      <c r="U1">
        <v>2040</v>
      </c>
      <c r="V1" s="18">
        <v>2041</v>
      </c>
      <c r="W1">
        <v>2042</v>
      </c>
      <c r="X1" s="18">
        <v>2043</v>
      </c>
      <c r="Y1">
        <v>2044</v>
      </c>
      <c r="Z1" s="18">
        <v>2045</v>
      </c>
      <c r="AA1">
        <v>2046</v>
      </c>
      <c r="AB1" s="18">
        <v>2047</v>
      </c>
      <c r="AC1">
        <v>2048</v>
      </c>
      <c r="AD1" s="18">
        <v>2049</v>
      </c>
      <c r="AE1">
        <v>2050</v>
      </c>
      <c r="AF1" s="18"/>
    </row>
    <row r="2" spans="1:32" x14ac:dyDescent="0.25">
      <c r="A2" s="24" t="s">
        <v>225</v>
      </c>
      <c r="B2">
        <f>'First Modeled Year Data'!B26</f>
        <v>0</v>
      </c>
      <c r="C2">
        <f>$B2*'Time Series Scaling Factors'!C3</f>
        <v>0</v>
      </c>
      <c r="D2">
        <f>$B2*'Time Series Scaling Factors'!D3</f>
        <v>0</v>
      </c>
      <c r="E2">
        <f>$B2*'Time Series Scaling Factors'!E3</f>
        <v>0</v>
      </c>
      <c r="F2">
        <f>$B2*'Time Series Scaling Factors'!F3</f>
        <v>0</v>
      </c>
      <c r="G2">
        <f>$B2*'Time Series Scaling Factors'!G3</f>
        <v>0</v>
      </c>
      <c r="H2">
        <f>$B2*'Time Series Scaling Factors'!H3</f>
        <v>0</v>
      </c>
      <c r="I2">
        <f>$B2*'Time Series Scaling Factors'!I3</f>
        <v>0</v>
      </c>
      <c r="J2">
        <f>$B2*'Time Series Scaling Factors'!J3</f>
        <v>0</v>
      </c>
      <c r="K2">
        <f>$B2*'Time Series Scaling Factors'!K3</f>
        <v>0</v>
      </c>
      <c r="L2">
        <f>$B2*'Time Series Scaling Factors'!L3</f>
        <v>0</v>
      </c>
      <c r="M2">
        <f>$B2*'Time Series Scaling Factors'!M3</f>
        <v>0</v>
      </c>
      <c r="N2">
        <f>$B2*'Time Series Scaling Factors'!N3</f>
        <v>0</v>
      </c>
      <c r="O2">
        <f>$B2*'Time Series Scaling Factors'!O3</f>
        <v>0</v>
      </c>
      <c r="P2">
        <f>$B2*'Time Series Scaling Factors'!P3</f>
        <v>0</v>
      </c>
      <c r="Q2">
        <f>$B2*'Time Series Scaling Factors'!Q3</f>
        <v>0</v>
      </c>
      <c r="R2">
        <f>$B2*'Time Series Scaling Factors'!R3</f>
        <v>0</v>
      </c>
      <c r="S2">
        <f>$B2*'Time Series Scaling Factors'!S3</f>
        <v>0</v>
      </c>
      <c r="T2">
        <f>$B2*'Time Series Scaling Factors'!T3</f>
        <v>0</v>
      </c>
      <c r="U2">
        <f>$B2*'Time Series Scaling Factors'!U3</f>
        <v>0</v>
      </c>
      <c r="V2">
        <f>$B2*'Time Series Scaling Factors'!V3</f>
        <v>0</v>
      </c>
      <c r="W2">
        <f>$B2*'Time Series Scaling Factors'!W3</f>
        <v>0</v>
      </c>
      <c r="X2">
        <f>$B2*'Time Series Scaling Factors'!X3</f>
        <v>0</v>
      </c>
      <c r="Y2">
        <f>$B2*'Time Series Scaling Factors'!Y3</f>
        <v>0</v>
      </c>
      <c r="Z2">
        <f>$B2*'Time Series Scaling Factors'!Z3</f>
        <v>0</v>
      </c>
      <c r="AA2">
        <f>$B2*'Time Series Scaling Factors'!AA3</f>
        <v>0</v>
      </c>
      <c r="AB2">
        <f>$B2*'Time Series Scaling Factors'!AB3</f>
        <v>0</v>
      </c>
      <c r="AC2">
        <f>$B2*'Time Series Scaling Factors'!AC3</f>
        <v>0</v>
      </c>
      <c r="AD2">
        <f>$B2*'Time Series Scaling Factors'!AD3</f>
        <v>0</v>
      </c>
      <c r="AE2">
        <f>$B2*'Time Series Scaling Factors'!AE3</f>
        <v>0</v>
      </c>
    </row>
    <row r="3" spans="1:32" x14ac:dyDescent="0.25">
      <c r="A3" s="1" t="s">
        <v>226</v>
      </c>
      <c r="B3">
        <f>'First Modeled Year Data'!B27</f>
        <v>1.3864106347E+16</v>
      </c>
      <c r="C3">
        <f>$B3*'Time Series Scaling Factors'!C4</f>
        <v>1.248678609059972E+16</v>
      </c>
      <c r="D3">
        <f>$B3*'Time Series Scaling Factors'!D4</f>
        <v>1.172673946351922E+16</v>
      </c>
      <c r="E3">
        <f>$B3*'Time Series Scaling Factors'!E4</f>
        <v>1.2780690811192408E+16</v>
      </c>
      <c r="F3">
        <f>$B3*'Time Series Scaling Factors'!F4</f>
        <v>1.2002181272880054E+16</v>
      </c>
      <c r="G3">
        <f>$B3*'Time Series Scaling Factors'!G4</f>
        <v>1.0984046829126528E+16</v>
      </c>
      <c r="H3">
        <f>$B3*'Time Series Scaling Factors'!H4</f>
        <v>9853725203958848</v>
      </c>
      <c r="I3">
        <f>$B3*'Time Series Scaling Factors'!I4</f>
        <v>8849552330642349</v>
      </c>
      <c r="J3">
        <f>$B3*'Time Series Scaling Factors'!J4</f>
        <v>7905397687636510</v>
      </c>
      <c r="K3">
        <f>$B3*'Time Series Scaling Factors'!K4</f>
        <v>7514447236924447</v>
      </c>
      <c r="L3">
        <f>$B3*'Time Series Scaling Factors'!L4</f>
        <v>7481085417231232</v>
      </c>
      <c r="M3">
        <f>$B3*'Time Series Scaling Factors'!M4</f>
        <v>7534091088153060</v>
      </c>
      <c r="N3">
        <f>$B3*'Time Series Scaling Factors'!N4</f>
        <v>7501106321947599</v>
      </c>
      <c r="O3">
        <f>$B3*'Time Series Scaling Factors'!O4</f>
        <v>7431946662836910</v>
      </c>
      <c r="P3">
        <f>$B3*'Time Series Scaling Factors'!P4</f>
        <v>7486825950668396</v>
      </c>
      <c r="Q3">
        <f>$B3*'Time Series Scaling Factors'!Q4</f>
        <v>7399074165366570</v>
      </c>
      <c r="R3">
        <f>$B3*'Time Series Scaling Factors'!R4</f>
        <v>7204229657291318</v>
      </c>
      <c r="S3">
        <f>$B3*'Time Series Scaling Factors'!S4</f>
        <v>7087770968247629</v>
      </c>
      <c r="T3">
        <f>$B3*'Time Series Scaling Factors'!T4</f>
        <v>6919474838610746</v>
      </c>
      <c r="U3">
        <f>$B3*'Time Series Scaling Factors'!U4</f>
        <v>6818481697399061</v>
      </c>
      <c r="V3">
        <f>$B3*'Time Series Scaling Factors'!V4</f>
        <v>6823650295770530</v>
      </c>
      <c r="W3">
        <f>$B3*'Time Series Scaling Factors'!W4</f>
        <v>6835812389028640</v>
      </c>
      <c r="X3">
        <f>$B3*'Time Series Scaling Factors'!X4</f>
        <v>6740328888949820</v>
      </c>
      <c r="Y3">
        <f>$B3*'Time Series Scaling Factors'!Y4</f>
        <v>6632891945997969</v>
      </c>
      <c r="Z3">
        <f>$B3*'Time Series Scaling Factors'!Z4</f>
        <v>6554751847216854</v>
      </c>
      <c r="AA3">
        <f>$B3*'Time Series Scaling Factors'!AA4</f>
        <v>6481794115614345</v>
      </c>
      <c r="AB3">
        <f>$B3*'Time Series Scaling Factors'!AB4</f>
        <v>6447628409412125</v>
      </c>
      <c r="AC3">
        <f>$B3*'Time Series Scaling Factors'!AC4</f>
        <v>6428849874755130</v>
      </c>
      <c r="AD3">
        <f>$B3*'Time Series Scaling Factors'!AD4</f>
        <v>6388774172874058</v>
      </c>
      <c r="AE3">
        <f>$B3*'Time Series Scaling Factors'!AE4</f>
        <v>6297212664551294</v>
      </c>
    </row>
    <row r="4" spans="1:32" x14ac:dyDescent="0.25">
      <c r="A4" s="1" t="s">
        <v>216</v>
      </c>
      <c r="B4" s="227">
        <f>'growth rate gas and oil'!E76</f>
        <v>3.3659034788626616E+16</v>
      </c>
      <c r="C4" s="227">
        <f>'growth rate gas and oil'!F76</f>
        <v>3.5682777E+16</v>
      </c>
      <c r="D4" s="227">
        <f>'growth rate gas and oil'!G76</f>
        <v>3.5725519614430932E+16</v>
      </c>
      <c r="E4" s="227">
        <f>'growth rate gas and oil'!H76</f>
        <v>3.4812619055676392E+16</v>
      </c>
      <c r="F4" s="227">
        <f>'growth rate gas and oil'!I76</f>
        <v>3.495945534366342E+16</v>
      </c>
      <c r="G4" s="227">
        <f>'growth rate gas and oil'!J76</f>
        <v>3.541123399942844E+16</v>
      </c>
      <c r="H4" s="227">
        <f>'growth rate gas and oil'!K76</f>
        <v>3.535910071513722E+16</v>
      </c>
      <c r="I4" s="227">
        <f>'growth rate gas and oil'!L76</f>
        <v>3.5650923808315012E+16</v>
      </c>
      <c r="J4" s="227">
        <f>'growth rate gas and oil'!M76</f>
        <v>3.5889601934304476E+16</v>
      </c>
      <c r="K4" s="227">
        <f>'growth rate gas and oil'!N76</f>
        <v>3.6234625321079032E+16</v>
      </c>
      <c r="L4" s="227">
        <f>'growth rate gas and oil'!O76</f>
        <v>3.6662472341281096E+16</v>
      </c>
      <c r="M4" s="227">
        <f>'growth rate gas and oil'!P76</f>
        <v>3.715626646439476E+16</v>
      </c>
      <c r="N4" s="227">
        <f>'growth rate gas and oil'!Q76</f>
        <v>3.7725043678483392E+16</v>
      </c>
      <c r="O4" s="227">
        <f>'growth rate gas and oil'!R76</f>
        <v>3.8220778177778592E+16</v>
      </c>
      <c r="P4" s="227">
        <f>'growth rate gas and oil'!S76</f>
        <v>3.8670153098691432E+16</v>
      </c>
      <c r="Q4" s="227">
        <f>'growth rate gas and oil'!T76</f>
        <v>3.9023599931150248E+16</v>
      </c>
      <c r="R4" s="227">
        <f>'growth rate gas and oil'!U76</f>
        <v>3.9374619317438968E+16</v>
      </c>
      <c r="S4" s="227">
        <f>'growth rate gas and oil'!V76</f>
        <v>3.963777641524628E+16</v>
      </c>
      <c r="T4" s="227">
        <f>'growth rate gas and oil'!W76</f>
        <v>3.9873255489262296E+16</v>
      </c>
      <c r="U4" s="227">
        <f>'growth rate gas and oil'!X76</f>
        <v>4.0013787530602448E+16</v>
      </c>
      <c r="V4" s="227">
        <f>'growth rate gas and oil'!Y76</f>
        <v>4.0132278913982224E+16</v>
      </c>
      <c r="W4" s="227">
        <f>'growth rate gas and oil'!Z76</f>
        <v>4.0304257102716736E+16</v>
      </c>
      <c r="X4" s="227">
        <f>'growth rate gas and oil'!AA76</f>
        <v>4.0414913871473456E+16</v>
      </c>
      <c r="Y4" s="227">
        <f>'growth rate gas and oil'!AB76</f>
        <v>4.0481873645253752E+16</v>
      </c>
      <c r="Z4" s="227">
        <f>'growth rate gas and oil'!AC76</f>
        <v>4.0629467707442016E+16</v>
      </c>
      <c r="AA4" s="227">
        <f>'growth rate gas and oil'!AD76</f>
        <v>4.0459615633545944E+16</v>
      </c>
      <c r="AB4" s="227">
        <f>'growth rate gas and oil'!AE76</f>
        <v>4.0662181422372496E+16</v>
      </c>
      <c r="AC4" s="227">
        <f>'growth rate gas and oil'!AF76</f>
        <v>4.0725128055598064E+16</v>
      </c>
      <c r="AD4" s="227">
        <f>'growth rate gas and oil'!AG76</f>
        <v>4.0805264406330136E+16</v>
      </c>
      <c r="AE4" s="227">
        <f>'growth rate gas and oil'!AH76</f>
        <v>4.117619043196816E+16</v>
      </c>
    </row>
    <row r="5" spans="1:32" x14ac:dyDescent="0.25">
      <c r="A5" s="1" t="s">
        <v>227</v>
      </c>
      <c r="B5">
        <f>'First Modeled Year Data'!B29</f>
        <v>540000000000000</v>
      </c>
      <c r="C5">
        <f>$B5*'Time Series Scaling Factors'!C6</f>
        <v>536243408876821.69</v>
      </c>
      <c r="D5">
        <f>$B5*'Time Series Scaling Factors'!D6</f>
        <v>544392597107552.5</v>
      </c>
      <c r="E5">
        <f>$B5*'Time Series Scaling Factors'!E6</f>
        <v>548343480910954.75</v>
      </c>
      <c r="F5">
        <f>$B5*'Time Series Scaling Factors'!F6</f>
        <v>543378910622264</v>
      </c>
      <c r="G5">
        <f>$B5*'Time Series Scaling Factors'!G6</f>
        <v>538118712251343.75</v>
      </c>
      <c r="H5">
        <f>$B5*'Time Series Scaling Factors'!H6</f>
        <v>538109536211004.63</v>
      </c>
      <c r="I5">
        <f>$B5*'Time Series Scaling Factors'!I6</f>
        <v>531776073585637.44</v>
      </c>
      <c r="J5">
        <f>$B5*'Time Series Scaling Factors'!J6</f>
        <v>531767495982711.81</v>
      </c>
      <c r="K5">
        <f>$B5*'Time Series Scaling Factors'!K6</f>
        <v>526541408544356.44</v>
      </c>
      <c r="L5">
        <f>$B5*'Time Series Scaling Factors'!L6</f>
        <v>526544932675790.94</v>
      </c>
      <c r="M5">
        <f>$B5*'Time Series Scaling Factors'!M6</f>
        <v>526550784063833.38</v>
      </c>
      <c r="N5">
        <f>$B5*'Time Series Scaling Factors'!N6</f>
        <v>496889898598104.94</v>
      </c>
      <c r="O5">
        <f>$B5*'Time Series Scaling Factors'!O6</f>
        <v>492262514545353.81</v>
      </c>
      <c r="P5">
        <f>$B5*'Time Series Scaling Factors'!P6</f>
        <v>486325682938992.56</v>
      </c>
      <c r="Q5">
        <f>$B5*'Time Series Scaling Factors'!Q6</f>
        <v>475147138028481.19</v>
      </c>
      <c r="R5">
        <f>$B5*'Time Series Scaling Factors'!R6</f>
        <v>467554895550507</v>
      </c>
      <c r="S5">
        <f>$B5*'Time Series Scaling Factors'!S6</f>
        <v>454626120684878.38</v>
      </c>
      <c r="T5">
        <f>$B5*'Time Series Scaling Factors'!T6</f>
        <v>447780661605807.06</v>
      </c>
      <c r="U5">
        <f>$B5*'Time Series Scaling Factors'!U6</f>
        <v>434441691139801.63</v>
      </c>
      <c r="V5">
        <f>$B5*'Time Series Scaling Factors'!V6</f>
        <v>434559184351969.88</v>
      </c>
      <c r="W5">
        <f>$B5*'Time Series Scaling Factors'!W6</f>
        <v>434766709148334.88</v>
      </c>
      <c r="X5">
        <f>$B5*'Time Series Scaling Factors'!X6</f>
        <v>434944445060120.81</v>
      </c>
      <c r="Y5">
        <f>$B5*'Time Series Scaling Factors'!Y6</f>
        <v>435141530448273.88</v>
      </c>
      <c r="Z5">
        <f>$B5*'Time Series Scaling Factors'!Z6</f>
        <v>435143259267468.25</v>
      </c>
      <c r="AA5">
        <f>$B5*'Time Series Scaling Factors'!AA6</f>
        <v>434975098354297.06</v>
      </c>
      <c r="AB5">
        <f>$B5*'Time Series Scaling Factors'!AB6</f>
        <v>434839851498864.06</v>
      </c>
      <c r="AC5">
        <f>$B5*'Time Series Scaling Factors'!AC6</f>
        <v>434241879536765.13</v>
      </c>
      <c r="AD5">
        <f>$B5*'Time Series Scaling Factors'!AD6</f>
        <v>434323998448495.56</v>
      </c>
      <c r="AE5">
        <f>$B5*'Time Series Scaling Factors'!AE6</f>
        <v>434047121405219.69</v>
      </c>
    </row>
    <row r="6" spans="1:32" x14ac:dyDescent="0.25">
      <c r="A6" s="1" t="s">
        <v>228</v>
      </c>
      <c r="B6">
        <f>'First Modeled Year Data'!B30</f>
        <v>0</v>
      </c>
      <c r="C6">
        <f>$B6*'Time Series Scaling Factors'!C7</f>
        <v>0</v>
      </c>
      <c r="D6">
        <f>$B6*'Time Series Scaling Factors'!D7</f>
        <v>0</v>
      </c>
      <c r="E6">
        <f>$B6*'Time Series Scaling Factors'!E7</f>
        <v>0</v>
      </c>
      <c r="F6">
        <f>$B6*'Time Series Scaling Factors'!F7</f>
        <v>0</v>
      </c>
      <c r="G6">
        <f>$B6*'Time Series Scaling Factors'!G7</f>
        <v>0</v>
      </c>
      <c r="H6">
        <f>$B6*'Time Series Scaling Factors'!H7</f>
        <v>0</v>
      </c>
      <c r="I6">
        <f>$B6*'Time Series Scaling Factors'!I7</f>
        <v>0</v>
      </c>
      <c r="J6">
        <f>$B6*'Time Series Scaling Factors'!J7</f>
        <v>0</v>
      </c>
      <c r="K6">
        <f>$B6*'Time Series Scaling Factors'!K7</f>
        <v>0</v>
      </c>
      <c r="L6">
        <f>$B6*'Time Series Scaling Factors'!L7</f>
        <v>0</v>
      </c>
      <c r="M6">
        <f>$B6*'Time Series Scaling Factors'!M7</f>
        <v>0</v>
      </c>
      <c r="N6">
        <f>$B6*'Time Series Scaling Factors'!N7</f>
        <v>0</v>
      </c>
      <c r="O6">
        <f>$B6*'Time Series Scaling Factors'!O7</f>
        <v>0</v>
      </c>
      <c r="P6">
        <f>$B6*'Time Series Scaling Factors'!P7</f>
        <v>0</v>
      </c>
      <c r="Q6">
        <f>$B6*'Time Series Scaling Factors'!Q7</f>
        <v>0</v>
      </c>
      <c r="R6">
        <f>$B6*'Time Series Scaling Factors'!R7</f>
        <v>0</v>
      </c>
      <c r="S6">
        <f>$B6*'Time Series Scaling Factors'!S7</f>
        <v>0</v>
      </c>
      <c r="T6">
        <f>$B6*'Time Series Scaling Factors'!T7</f>
        <v>0</v>
      </c>
      <c r="U6">
        <f>$B6*'Time Series Scaling Factors'!U7</f>
        <v>0</v>
      </c>
      <c r="V6">
        <f>$B6*'Time Series Scaling Factors'!V7</f>
        <v>0</v>
      </c>
      <c r="W6">
        <f>$B6*'Time Series Scaling Factors'!W7</f>
        <v>0</v>
      </c>
      <c r="X6">
        <f>$B6*'Time Series Scaling Factors'!X7</f>
        <v>0</v>
      </c>
      <c r="Y6">
        <f>$B6*'Time Series Scaling Factors'!Y7</f>
        <v>0</v>
      </c>
      <c r="Z6">
        <f>$B6*'Time Series Scaling Factors'!Z7</f>
        <v>0</v>
      </c>
      <c r="AA6">
        <f>$B6*'Time Series Scaling Factors'!AA7</f>
        <v>0</v>
      </c>
      <c r="AB6">
        <f>$B6*'Time Series Scaling Factors'!AB7</f>
        <v>0</v>
      </c>
      <c r="AC6">
        <f>$B6*'Time Series Scaling Factors'!AC7</f>
        <v>0</v>
      </c>
      <c r="AD6">
        <f>$B6*'Time Series Scaling Factors'!AD7</f>
        <v>0</v>
      </c>
      <c r="AE6">
        <f>$B6*'Time Series Scaling Factors'!AE7</f>
        <v>0</v>
      </c>
    </row>
    <row r="7" spans="1:32" x14ac:dyDescent="0.25">
      <c r="A7" s="1" t="s">
        <v>229</v>
      </c>
      <c r="B7">
        <f>'First Modeled Year Data'!B31</f>
        <v>0</v>
      </c>
      <c r="C7">
        <f>$B7*'Time Series Scaling Factors'!C8</f>
        <v>0</v>
      </c>
      <c r="D7">
        <f>$B7*'Time Series Scaling Factors'!D8</f>
        <v>0</v>
      </c>
      <c r="E7">
        <f>$B7*'Time Series Scaling Factors'!E8</f>
        <v>0</v>
      </c>
      <c r="F7">
        <f>$B7*'Time Series Scaling Factors'!F8</f>
        <v>0</v>
      </c>
      <c r="G7">
        <f>$B7*'Time Series Scaling Factors'!G8</f>
        <v>0</v>
      </c>
      <c r="H7">
        <f>$B7*'Time Series Scaling Factors'!H8</f>
        <v>0</v>
      </c>
      <c r="I7">
        <f>$B7*'Time Series Scaling Factors'!I8</f>
        <v>0</v>
      </c>
      <c r="J7">
        <f>$B7*'Time Series Scaling Factors'!J8</f>
        <v>0</v>
      </c>
      <c r="K7">
        <f>$B7*'Time Series Scaling Factors'!K8</f>
        <v>0</v>
      </c>
      <c r="L7">
        <f>$B7*'Time Series Scaling Factors'!L8</f>
        <v>0</v>
      </c>
      <c r="M7">
        <f>$B7*'Time Series Scaling Factors'!M8</f>
        <v>0</v>
      </c>
      <c r="N7">
        <f>$B7*'Time Series Scaling Factors'!N8</f>
        <v>0</v>
      </c>
      <c r="O7">
        <f>$B7*'Time Series Scaling Factors'!O8</f>
        <v>0</v>
      </c>
      <c r="P7">
        <f>$B7*'Time Series Scaling Factors'!P8</f>
        <v>0</v>
      </c>
      <c r="Q7">
        <f>$B7*'Time Series Scaling Factors'!Q8</f>
        <v>0</v>
      </c>
      <c r="R7">
        <f>$B7*'Time Series Scaling Factors'!R8</f>
        <v>0</v>
      </c>
      <c r="S7">
        <f>$B7*'Time Series Scaling Factors'!S8</f>
        <v>0</v>
      </c>
      <c r="T7">
        <f>$B7*'Time Series Scaling Factors'!T8</f>
        <v>0</v>
      </c>
      <c r="U7">
        <f>$B7*'Time Series Scaling Factors'!U8</f>
        <v>0</v>
      </c>
      <c r="V7">
        <f>$B7*'Time Series Scaling Factors'!V8</f>
        <v>0</v>
      </c>
      <c r="W7">
        <f>$B7*'Time Series Scaling Factors'!W8</f>
        <v>0</v>
      </c>
      <c r="X7">
        <f>$B7*'Time Series Scaling Factors'!X8</f>
        <v>0</v>
      </c>
      <c r="Y7">
        <f>$B7*'Time Series Scaling Factors'!Y8</f>
        <v>0</v>
      </c>
      <c r="Z7">
        <f>$B7*'Time Series Scaling Factors'!Z8</f>
        <v>0</v>
      </c>
      <c r="AA7">
        <f>$B7*'Time Series Scaling Factors'!AA8</f>
        <v>0</v>
      </c>
      <c r="AB7">
        <f>$B7*'Time Series Scaling Factors'!AB8</f>
        <v>0</v>
      </c>
      <c r="AC7">
        <f>$B7*'Time Series Scaling Factors'!AC8</f>
        <v>0</v>
      </c>
      <c r="AD7">
        <f>$B7*'Time Series Scaling Factors'!AD8</f>
        <v>0</v>
      </c>
      <c r="AE7">
        <f>$B7*'Time Series Scaling Factors'!AE8</f>
        <v>0</v>
      </c>
    </row>
    <row r="8" spans="1:32" x14ac:dyDescent="0.25">
      <c r="A8" s="1" t="s">
        <v>230</v>
      </c>
      <c r="B8">
        <f>'First Modeled Year Data'!B32</f>
        <v>0</v>
      </c>
      <c r="C8">
        <f>$B8*'Time Series Scaling Factors'!C9</f>
        <v>0</v>
      </c>
      <c r="D8">
        <f>$B8*'Time Series Scaling Factors'!D9</f>
        <v>0</v>
      </c>
      <c r="E8">
        <f>$B8*'Time Series Scaling Factors'!E9</f>
        <v>0</v>
      </c>
      <c r="F8">
        <f>$B8*'Time Series Scaling Factors'!F9</f>
        <v>0</v>
      </c>
      <c r="G8">
        <f>$B8*'Time Series Scaling Factors'!G9</f>
        <v>0</v>
      </c>
      <c r="H8">
        <f>$B8*'Time Series Scaling Factors'!H9</f>
        <v>0</v>
      </c>
      <c r="I8">
        <f>$B8*'Time Series Scaling Factors'!I9</f>
        <v>0</v>
      </c>
      <c r="J8">
        <f>$B8*'Time Series Scaling Factors'!J9</f>
        <v>0</v>
      </c>
      <c r="K8">
        <f>$B8*'Time Series Scaling Factors'!K9</f>
        <v>0</v>
      </c>
      <c r="L8">
        <f>$B8*'Time Series Scaling Factors'!L9</f>
        <v>0</v>
      </c>
      <c r="M8">
        <f>$B8*'Time Series Scaling Factors'!M9</f>
        <v>0</v>
      </c>
      <c r="N8">
        <f>$B8*'Time Series Scaling Factors'!N9</f>
        <v>0</v>
      </c>
      <c r="O8">
        <f>$B8*'Time Series Scaling Factors'!O9</f>
        <v>0</v>
      </c>
      <c r="P8">
        <f>$B8*'Time Series Scaling Factors'!P9</f>
        <v>0</v>
      </c>
      <c r="Q8">
        <f>$B8*'Time Series Scaling Factors'!Q9</f>
        <v>0</v>
      </c>
      <c r="R8">
        <f>$B8*'Time Series Scaling Factors'!R9</f>
        <v>0</v>
      </c>
      <c r="S8">
        <f>$B8*'Time Series Scaling Factors'!S9</f>
        <v>0</v>
      </c>
      <c r="T8">
        <f>$B8*'Time Series Scaling Factors'!T9</f>
        <v>0</v>
      </c>
      <c r="U8">
        <f>$B8*'Time Series Scaling Factors'!U9</f>
        <v>0</v>
      </c>
      <c r="V8">
        <f>$B8*'Time Series Scaling Factors'!V9</f>
        <v>0</v>
      </c>
      <c r="W8">
        <f>$B8*'Time Series Scaling Factors'!W9</f>
        <v>0</v>
      </c>
      <c r="X8">
        <f>$B8*'Time Series Scaling Factors'!X9</f>
        <v>0</v>
      </c>
      <c r="Y8">
        <f>$B8*'Time Series Scaling Factors'!Y9</f>
        <v>0</v>
      </c>
      <c r="Z8">
        <f>$B8*'Time Series Scaling Factors'!Z9</f>
        <v>0</v>
      </c>
      <c r="AA8">
        <f>$B8*'Time Series Scaling Factors'!AA9</f>
        <v>0</v>
      </c>
      <c r="AB8">
        <f>$B8*'Time Series Scaling Factors'!AB9</f>
        <v>0</v>
      </c>
      <c r="AC8">
        <f>$B8*'Time Series Scaling Factors'!AC9</f>
        <v>0</v>
      </c>
      <c r="AD8">
        <f>$B8*'Time Series Scaling Factors'!AD9</f>
        <v>0</v>
      </c>
      <c r="AE8">
        <f>$B8*'Time Series Scaling Factors'!AE9</f>
        <v>0</v>
      </c>
    </row>
    <row r="9" spans="1:32" x14ac:dyDescent="0.25">
      <c r="A9" s="1" t="s">
        <v>219</v>
      </c>
      <c r="B9">
        <f>'First Modeled Year Data'!B33</f>
        <v>166043036334000</v>
      </c>
      <c r="C9">
        <f>$B9*'Time Series Scaling Factors'!C10</f>
        <v>170903510478866.16</v>
      </c>
      <c r="D9">
        <f>$B9*'Time Series Scaling Factors'!D10</f>
        <v>177753206469555.88</v>
      </c>
      <c r="E9">
        <f>$B9*'Time Series Scaling Factors'!E10</f>
        <v>175332911797818.81</v>
      </c>
      <c r="F9">
        <f>$B9*'Time Series Scaling Factors'!F10</f>
        <v>173493726606192.78</v>
      </c>
      <c r="G9">
        <f>$B9*'Time Series Scaling Factors'!G10</f>
        <v>172572244424457.06</v>
      </c>
      <c r="H9">
        <f>$B9*'Time Series Scaling Factors'!H10</f>
        <v>172207360084882.06</v>
      </c>
      <c r="I9">
        <f>$B9*'Time Series Scaling Factors'!I10</f>
        <v>168464072712360.94</v>
      </c>
      <c r="J9">
        <f>$B9*'Time Series Scaling Factors'!J10</f>
        <v>168367438935081.16</v>
      </c>
      <c r="K9">
        <f>$B9*'Time Series Scaling Factors'!K10</f>
        <v>168298001067342.91</v>
      </c>
      <c r="L9">
        <f>$B9*'Time Series Scaling Factors'!L10</f>
        <v>168399720832900.53</v>
      </c>
      <c r="M9">
        <f>$B9*'Time Series Scaling Factors'!M10</f>
        <v>168579814265045.78</v>
      </c>
      <c r="N9">
        <f>$B9*'Time Series Scaling Factors'!N10</f>
        <v>168930676817493.59</v>
      </c>
      <c r="O9">
        <f>$B9*'Time Series Scaling Factors'!O10</f>
        <v>169286907913123.53</v>
      </c>
      <c r="P9">
        <f>$B9*'Time Series Scaling Factors'!P10</f>
        <v>170150042507115.78</v>
      </c>
      <c r="Q9">
        <f>$B9*'Time Series Scaling Factors'!Q10</f>
        <v>170188434654741.16</v>
      </c>
      <c r="R9">
        <f>$B9*'Time Series Scaling Factors'!R10</f>
        <v>170472967443398.25</v>
      </c>
      <c r="S9">
        <f>$B9*'Time Series Scaling Factors'!S10</f>
        <v>170748564433205.97</v>
      </c>
      <c r="T9">
        <f>$B9*'Time Series Scaling Factors'!T10</f>
        <v>171089784799543.56</v>
      </c>
      <c r="U9">
        <f>$B9*'Time Series Scaling Factors'!U10</f>
        <v>171580582668359.19</v>
      </c>
      <c r="V9">
        <f>$B9*'Time Series Scaling Factors'!V10</f>
        <v>172809802460269.81</v>
      </c>
      <c r="W9">
        <f>$B9*'Time Series Scaling Factors'!W10</f>
        <v>173389075333502.72</v>
      </c>
      <c r="X9">
        <f>$B9*'Time Series Scaling Factors'!X10</f>
        <v>173980709983799.97</v>
      </c>
      <c r="Y9">
        <f>$B9*'Time Series Scaling Factors'!Y10</f>
        <v>173913461916570.16</v>
      </c>
      <c r="Z9">
        <f>$B9*'Time Series Scaling Factors'!Z10</f>
        <v>174195804904718.69</v>
      </c>
      <c r="AA9">
        <f>$B9*'Time Series Scaling Factors'!AA10</f>
        <v>175566019593888.38</v>
      </c>
      <c r="AB9">
        <f>$B9*'Time Series Scaling Factors'!AB10</f>
        <v>177277242733217.41</v>
      </c>
      <c r="AC9">
        <f>$B9*'Time Series Scaling Factors'!AC10</f>
        <v>180323714392305.69</v>
      </c>
      <c r="AD9">
        <f>$B9*'Time Series Scaling Factors'!AD10</f>
        <v>182052067422709.53</v>
      </c>
      <c r="AE9">
        <f>$B9*'Time Series Scaling Factors'!AE10</f>
        <v>183269207992460.19</v>
      </c>
    </row>
    <row r="10" spans="1:32" x14ac:dyDescent="0.25">
      <c r="A10" s="1" t="s">
        <v>220</v>
      </c>
      <c r="B10">
        <f>'First Modeled Year Data'!B34</f>
        <v>1.8360236509349E+16</v>
      </c>
      <c r="C10">
        <f>$B10*'Time Series Scaling Factors'!C11</f>
        <v>1.9480149369556328E+16</v>
      </c>
      <c r="D10">
        <f>$B10*'Time Series Scaling Factors'!D11</f>
        <v>2.0259901489087132E+16</v>
      </c>
      <c r="E10">
        <f>$B10*'Time Series Scaling Factors'!E11</f>
        <v>2.082550420908596E+16</v>
      </c>
      <c r="F10">
        <f>$B10*'Time Series Scaling Factors'!F11</f>
        <v>2.1145684063652024E+16</v>
      </c>
      <c r="G10">
        <f>$B10*'Time Series Scaling Factors'!G11</f>
        <v>2.1440779068099396E+16</v>
      </c>
      <c r="H10">
        <f>$B10*'Time Series Scaling Factors'!H11</f>
        <v>2.1611313423438704E+16</v>
      </c>
      <c r="I10">
        <f>$B10*'Time Series Scaling Factors'!I11</f>
        <v>2.190299522128138E+16</v>
      </c>
      <c r="J10">
        <f>$B10*'Time Series Scaling Factors'!J11</f>
        <v>2.187337210574214E+16</v>
      </c>
      <c r="K10">
        <f>$B10*'Time Series Scaling Factors'!K11</f>
        <v>2.19130058678576E+16</v>
      </c>
      <c r="L10">
        <f>$B10*'Time Series Scaling Factors'!L11</f>
        <v>2.1791855256174464E+16</v>
      </c>
      <c r="M10">
        <f>$B10*'Time Series Scaling Factors'!M11</f>
        <v>2.184054891093726E+16</v>
      </c>
      <c r="N10">
        <f>$B10*'Time Series Scaling Factors'!N11</f>
        <v>2.18883488570069E+16</v>
      </c>
      <c r="O10">
        <f>$B10*'Time Series Scaling Factors'!O11</f>
        <v>2.180813533261674E+16</v>
      </c>
      <c r="P10">
        <f>$B10*'Time Series Scaling Factors'!P11</f>
        <v>2.175204481228722E+16</v>
      </c>
      <c r="Q10">
        <f>$B10*'Time Series Scaling Factors'!Q11</f>
        <v>2.1649305550436952E+16</v>
      </c>
      <c r="R10">
        <f>$B10*'Time Series Scaling Factors'!R11</f>
        <v>2.16187855570248E+16</v>
      </c>
      <c r="S10">
        <f>$B10*'Time Series Scaling Factors'!S11</f>
        <v>2.153468265677056E+16</v>
      </c>
      <c r="T10">
        <f>$B10*'Time Series Scaling Factors'!T11</f>
        <v>2.1447067513044032E+16</v>
      </c>
      <c r="U10">
        <f>$B10*'Time Series Scaling Factors'!U11</f>
        <v>2.127882447467334E+16</v>
      </c>
      <c r="V10">
        <f>$B10*'Time Series Scaling Factors'!V11</f>
        <v>2.1047705702100652E+16</v>
      </c>
      <c r="W10">
        <f>$B10*'Time Series Scaling Factors'!W11</f>
        <v>2.1089699710844564E+16</v>
      </c>
      <c r="X10">
        <f>$B10*'Time Series Scaling Factors'!X11</f>
        <v>2.1203571508907136E+16</v>
      </c>
      <c r="Y10">
        <f>$B10*'Time Series Scaling Factors'!Y11</f>
        <v>2.1425401415594624E+16</v>
      </c>
      <c r="Z10">
        <f>$B10*'Time Series Scaling Factors'!Z11</f>
        <v>2.1478298987312964E+16</v>
      </c>
      <c r="AA10">
        <f>$B10*'Time Series Scaling Factors'!AA11</f>
        <v>2.152484473049142E+16</v>
      </c>
      <c r="AB10">
        <f>$B10*'Time Series Scaling Factors'!AB11</f>
        <v>2.135111742654094E+16</v>
      </c>
      <c r="AC10">
        <f>$B10*'Time Series Scaling Factors'!AC11</f>
        <v>2.1416597434213144E+16</v>
      </c>
      <c r="AD10">
        <f>$B10*'Time Series Scaling Factors'!AD11</f>
        <v>2.1645523134389872E+16</v>
      </c>
      <c r="AE10">
        <f>$B10*'Time Series Scaling Factors'!AE11</f>
        <v>2.1701610485539632E+16</v>
      </c>
    </row>
    <row r="11" spans="1:32" x14ac:dyDescent="0.25">
      <c r="A11" s="1" t="s">
        <v>231</v>
      </c>
      <c r="B11">
        <f>'First Modeled Year Data'!B35</f>
        <v>1.0682345175E+16</v>
      </c>
      <c r="C11">
        <f>$B11*'Time Series Scaling Factors'!C12</f>
        <v>1.133393240986838E+16</v>
      </c>
      <c r="D11">
        <f>$B11*'Time Series Scaling Factors'!D12</f>
        <v>1.1787607463973728E+16</v>
      </c>
      <c r="E11">
        <f>$B11*'Time Series Scaling Factors'!E12</f>
        <v>1.2116686203448016E+16</v>
      </c>
      <c r="F11">
        <f>$B11*'Time Series Scaling Factors'!F12</f>
        <v>1.2302973113358704E+16</v>
      </c>
      <c r="G11">
        <f>$B11*'Time Series Scaling Factors'!G12</f>
        <v>1.2474665166199082E+16</v>
      </c>
      <c r="H11">
        <f>$B11*'Time Series Scaling Factors'!H12</f>
        <v>1.257388539394522E+16</v>
      </c>
      <c r="I11">
        <f>$B11*'Time Series Scaling Factors'!I12</f>
        <v>1.2743591576337448E+16</v>
      </c>
      <c r="J11">
        <f>$B11*'Time Series Scaling Factors'!J12</f>
        <v>1.2726356267566348E+16</v>
      </c>
      <c r="K11">
        <f>$B11*'Time Series Scaling Factors'!K12</f>
        <v>1.2749415966567806E+16</v>
      </c>
      <c r="L11">
        <f>$B11*'Time Series Scaling Factors'!L12</f>
        <v>1.2678928168030864E+16</v>
      </c>
      <c r="M11">
        <f>$B11*'Time Series Scaling Factors'!M12</f>
        <v>1.2707259090006928E+16</v>
      </c>
      <c r="N11">
        <f>$B11*'Time Series Scaling Factors'!N12</f>
        <v>1.2735070034762582E+16</v>
      </c>
      <c r="O11">
        <f>$B11*'Time Series Scaling Factors'!O12</f>
        <v>1.2688400235340194E+16</v>
      </c>
      <c r="P11">
        <f>$B11*'Time Series Scaling Factors'!P12</f>
        <v>1.2655765672114378E+16</v>
      </c>
      <c r="Q11">
        <f>$B11*'Time Series Scaling Factors'!Q12</f>
        <v>1.259598995748508E+16</v>
      </c>
      <c r="R11">
        <f>$B11*'Time Series Scaling Factors'!R12</f>
        <v>1.257823282760272E+16</v>
      </c>
      <c r="S11">
        <f>$B11*'Time Series Scaling Factors'!S12</f>
        <v>1.2529300113131588E+16</v>
      </c>
      <c r="T11">
        <f>$B11*'Time Series Scaling Factors'!T12</f>
        <v>1.247832390662317E+16</v>
      </c>
      <c r="U11">
        <f>$B11*'Time Series Scaling Factors'!U12</f>
        <v>1.2380436811963396E+16</v>
      </c>
      <c r="V11">
        <f>$B11*'Time Series Scaling Factors'!V12</f>
        <v>1.2245967383762586E+16</v>
      </c>
      <c r="W11">
        <f>$B11*'Time Series Scaling Factors'!W12</f>
        <v>1.2270400320476448E+16</v>
      </c>
      <c r="X11">
        <f>$B11*'Time Series Scaling Factors'!X12</f>
        <v>1.233665316269789E+16</v>
      </c>
      <c r="Y11">
        <f>$B11*'Time Series Scaling Factors'!Y12</f>
        <v>1.2465718146810004E+16</v>
      </c>
      <c r="Z11">
        <f>$B11*'Time Series Scaling Factors'!Z12</f>
        <v>1.2496494990001916E+16</v>
      </c>
      <c r="AA11">
        <f>$B11*'Time Series Scaling Factors'!AA12</f>
        <v>1.2523576214952694E+16</v>
      </c>
      <c r="AB11">
        <f>$B11*'Time Series Scaling Factors'!AB12</f>
        <v>1.2422498267172654E+16</v>
      </c>
      <c r="AC11">
        <f>$B11*'Time Series Scaling Factors'!AC12</f>
        <v>1.2460595818021736E+16</v>
      </c>
      <c r="AD11">
        <f>$B11*'Time Series Scaling Factors'!AD12</f>
        <v>1.2593789273752612E+16</v>
      </c>
      <c r="AE11">
        <f>$B11*'Time Series Scaling Factors'!AE12</f>
        <v>1.2626421993087576E+16</v>
      </c>
    </row>
    <row r="12" spans="1:32" x14ac:dyDescent="0.25">
      <c r="A12" s="1" t="s">
        <v>232</v>
      </c>
      <c r="B12">
        <f>'First Modeled Year Data'!B36</f>
        <v>1515620096655000</v>
      </c>
      <c r="C12">
        <f>$B12*'Time Series Scaling Factors'!C13</f>
        <v>1559985897569487</v>
      </c>
      <c r="D12">
        <f>$B12*'Time Series Scaling Factors'!D13</f>
        <v>1622509067036129.3</v>
      </c>
      <c r="E12">
        <f>$B12*'Time Series Scaling Factors'!E13</f>
        <v>1600416919570619.5</v>
      </c>
      <c r="F12">
        <f>$B12*'Time Series Scaling Factors'!F13</f>
        <v>1583629066858196.5</v>
      </c>
      <c r="G12">
        <f>$B12*'Time Series Scaling Factors'!G13</f>
        <v>1575217892597694.5</v>
      </c>
      <c r="H12">
        <f>$B12*'Time Series Scaling Factors'!H13</f>
        <v>1571887273920605.8</v>
      </c>
      <c r="I12">
        <f>$B12*'Time Series Scaling Factors'!I13</f>
        <v>1537719014325932.3</v>
      </c>
      <c r="J12">
        <f>$B12*'Time Series Scaling Factors'!J13</f>
        <v>1536836953276613</v>
      </c>
      <c r="K12">
        <f>$B12*'Time Series Scaling Factors'!K13</f>
        <v>1536203133092782.5</v>
      </c>
      <c r="L12">
        <f>$B12*'Time Series Scaling Factors'!L13</f>
        <v>1537131618407855.3</v>
      </c>
      <c r="M12">
        <f>$B12*'Time Series Scaling Factors'!M13</f>
        <v>1538775488762561.8</v>
      </c>
      <c r="N12">
        <f>$B12*'Time Series Scaling Factors'!N13</f>
        <v>1541978118318093.8</v>
      </c>
      <c r="O12">
        <f>$B12*'Time Series Scaling Factors'!O13</f>
        <v>1545229751265254.3</v>
      </c>
      <c r="P12">
        <f>$B12*'Time Series Scaling Factors'!P13</f>
        <v>1553108336032527</v>
      </c>
      <c r="Q12">
        <f>$B12*'Time Series Scaling Factors'!Q13</f>
        <v>1553458774760820</v>
      </c>
      <c r="R12">
        <f>$B12*'Time Series Scaling Factors'!R13</f>
        <v>1556055954517148.5</v>
      </c>
      <c r="S12">
        <f>$B12*'Time Series Scaling Factors'!S13</f>
        <v>1558571569417673.3</v>
      </c>
      <c r="T12">
        <f>$B12*'Time Series Scaling Factors'!T13</f>
        <v>1561686186302713.8</v>
      </c>
      <c r="U12">
        <f>$B12*'Time Series Scaling Factors'!U13</f>
        <v>1566166127947939.3</v>
      </c>
      <c r="V12">
        <f>$B12*'Time Series Scaling Factors'!V13</f>
        <v>1577386292677270.5</v>
      </c>
      <c r="W12">
        <f>$B12*'Time Series Scaling Factors'!W13</f>
        <v>1582673823112168.5</v>
      </c>
      <c r="X12">
        <f>$B12*'Time Series Scaling Factors'!X13</f>
        <v>1588074190304106.8</v>
      </c>
      <c r="Y12">
        <f>$B12*'Time Series Scaling Factors'!Y13</f>
        <v>1587460358345808.5</v>
      </c>
      <c r="Z12">
        <f>$B12*'Time Series Scaling Factors'!Z13</f>
        <v>1590037549876603.8</v>
      </c>
      <c r="AA12">
        <f>$B12*'Time Series Scaling Factors'!AA13</f>
        <v>1602544698417660.8</v>
      </c>
      <c r="AB12">
        <f>$B12*'Time Series Scaling Factors'!AB13</f>
        <v>1618164529499351.8</v>
      </c>
      <c r="AC12">
        <f>$B12*'Time Series Scaling Factors'!AC13</f>
        <v>1645972342295043.5</v>
      </c>
      <c r="AD12">
        <f>$B12*'Time Series Scaling Factors'!AD13</f>
        <v>1661748532882918.3</v>
      </c>
      <c r="AE12">
        <f>$B12*'Time Series Scaling Factors'!AE13</f>
        <v>1672858439981084.8</v>
      </c>
    </row>
    <row r="13" spans="1:32" x14ac:dyDescent="0.25">
      <c r="A13" s="1" t="s">
        <v>233</v>
      </c>
      <c r="B13">
        <f>'First Modeled Year Data'!B37</f>
        <v>203604487000000</v>
      </c>
      <c r="C13">
        <f>$B13*'Time Series Scaling Factors'!C14</f>
        <v>209564474041260.81</v>
      </c>
      <c r="D13">
        <f>$B13*'Time Series Scaling Factors'!D14</f>
        <v>217963675050118.56</v>
      </c>
      <c r="E13">
        <f>$B13*'Time Series Scaling Factors'!E14</f>
        <v>214995873051866.66</v>
      </c>
      <c r="F13">
        <f>$B13*'Time Series Scaling Factors'!F14</f>
        <v>212740636302968.81</v>
      </c>
      <c r="G13">
        <f>$B13*'Time Series Scaling Factors'!G14</f>
        <v>211610700889630.91</v>
      </c>
      <c r="H13">
        <f>$B13*'Time Series Scaling Factors'!H14</f>
        <v>211163274183797.5</v>
      </c>
      <c r="I13">
        <f>$B13*'Time Series Scaling Factors'!I14</f>
        <v>206573198490152.28</v>
      </c>
      <c r="J13">
        <f>$B13*'Time Series Scaling Factors'!J14</f>
        <v>206454704688278.25</v>
      </c>
      <c r="K13">
        <f>$B13*'Time Series Scaling Factors'!K14</f>
        <v>206369558922750.41</v>
      </c>
      <c r="L13">
        <f>$B13*'Time Series Scaling Factors'!L14</f>
        <v>206494289240512.53</v>
      </c>
      <c r="M13">
        <f>$B13*'Time Series Scaling Factors'!M14</f>
        <v>206715122535744.78</v>
      </c>
      <c r="N13">
        <f>$B13*'Time Series Scaling Factors'!N14</f>
        <v>207145355513747.81</v>
      </c>
      <c r="O13">
        <f>$B13*'Time Series Scaling Factors'!O14</f>
        <v>207582171480743.78</v>
      </c>
      <c r="P13">
        <f>$B13*'Time Series Scaling Factors'!P14</f>
        <v>208640560197920.94</v>
      </c>
      <c r="Q13">
        <f>$B13*'Time Series Scaling Factors'!Q14</f>
        <v>208687637231048.5</v>
      </c>
      <c r="R13">
        <f>$B13*'Time Series Scaling Factors'!R14</f>
        <v>209036535647677.5</v>
      </c>
      <c r="S13">
        <f>$B13*'Time Series Scaling Factors'!S14</f>
        <v>209374476852364.16</v>
      </c>
      <c r="T13">
        <f>$B13*'Time Series Scaling Factors'!T14</f>
        <v>209792886435662.66</v>
      </c>
      <c r="U13">
        <f>$B13*'Time Series Scaling Factors'!U14</f>
        <v>210394710218864.75</v>
      </c>
      <c r="V13">
        <f>$B13*'Time Series Scaling Factors'!V14</f>
        <v>211901998152571.16</v>
      </c>
      <c r="W13">
        <f>$B13*'Time Series Scaling Factors'!W14</f>
        <v>212612311326743.41</v>
      </c>
      <c r="X13">
        <f>$B13*'Time Series Scaling Factors'!X14</f>
        <v>213337782699254.88</v>
      </c>
      <c r="Y13">
        <f>$B13*'Time Series Scaling Factors'!Y14</f>
        <v>213255322100289.88</v>
      </c>
      <c r="Z13">
        <f>$B13*'Time Series Scaling Factors'!Z14</f>
        <v>213601535350355.91</v>
      </c>
      <c r="AA13">
        <f>$B13*'Time Series Scaling Factors'!AA14</f>
        <v>215281713363404.78</v>
      </c>
      <c r="AB13">
        <f>$B13*'Time Series Scaling Factors'!AB14</f>
        <v>217380041104923.41</v>
      </c>
      <c r="AC13">
        <f>$B13*'Time Series Scaling Factors'!AC14</f>
        <v>221115670812760.16</v>
      </c>
      <c r="AD13">
        <f>$B13*'Time Series Scaling Factors'!AD14</f>
        <v>223235003486263</v>
      </c>
      <c r="AE13">
        <f>$B13*'Time Series Scaling Factors'!AE14</f>
        <v>224727479694735.16</v>
      </c>
    </row>
    <row r="14" spans="1:32" x14ac:dyDescent="0.25">
      <c r="A14" s="1" t="s">
        <v>222</v>
      </c>
      <c r="B14">
        <f>'First Modeled Year Data'!B38</f>
        <v>3537592380000000</v>
      </c>
      <c r="C14">
        <f>$B14*'Time Series Scaling Factors'!C15</f>
        <v>3753373652671302.5</v>
      </c>
      <c r="D14">
        <f>$B14*'Time Series Scaling Factors'!D15</f>
        <v>3903613828223313</v>
      </c>
      <c r="E14">
        <f>$B14*'Time Series Scaling Factors'!E15</f>
        <v>4012592373862215.5</v>
      </c>
      <c r="F14">
        <f>$B14*'Time Series Scaling Factors'!F15</f>
        <v>4074283616955172</v>
      </c>
      <c r="G14">
        <f>$B14*'Time Series Scaling Factors'!G15</f>
        <v>4131141590357503.5</v>
      </c>
      <c r="H14">
        <f>$B14*'Time Series Scaling Factors'!H15</f>
        <v>4163999611313244</v>
      </c>
      <c r="I14">
        <f>$B14*'Time Series Scaling Factors'!I15</f>
        <v>4220199938847561.5</v>
      </c>
      <c r="J14">
        <f>$B14*'Time Series Scaling Factors'!J15</f>
        <v>4214492250509771.5</v>
      </c>
      <c r="K14">
        <f>$B14*'Time Series Scaling Factors'!K15</f>
        <v>4222128758611341.5</v>
      </c>
      <c r="L14">
        <f>$B14*'Time Series Scaling Factors'!L15</f>
        <v>4198785841405217.5</v>
      </c>
      <c r="M14">
        <f>$B14*'Time Series Scaling Factors'!M15</f>
        <v>4208167981006496.5</v>
      </c>
      <c r="N14">
        <f>$B14*'Time Series Scaling Factors'!N15</f>
        <v>4217377923639548.5</v>
      </c>
      <c r="O14">
        <f>$B14*'Time Series Scaling Factors'!O15</f>
        <v>4201922635113658.5</v>
      </c>
      <c r="P14">
        <f>$B14*'Time Series Scaling Factors'!P15</f>
        <v>4191115290817908</v>
      </c>
      <c r="Q14">
        <f>$B14*'Time Series Scaling Factors'!Q15</f>
        <v>4171319814345518</v>
      </c>
      <c r="R14">
        <f>$B14*'Time Series Scaling Factors'!R15</f>
        <v>4165439318411955</v>
      </c>
      <c r="S14">
        <f>$B14*'Time Series Scaling Factors'!S15</f>
        <v>4149234637229127.5</v>
      </c>
      <c r="T14">
        <f>$B14*'Time Series Scaling Factors'!T15</f>
        <v>4132353228067446</v>
      </c>
      <c r="U14">
        <f>$B14*'Time Series Scaling Factors'!U15</f>
        <v>4099936690828116.5</v>
      </c>
      <c r="V14">
        <f>$B14*'Time Series Scaling Factors'!V15</f>
        <v>4055405455715117</v>
      </c>
      <c r="W14">
        <f>$B14*'Time Series Scaling Factors'!W15</f>
        <v>4063496728682242.5</v>
      </c>
      <c r="X14">
        <f>$B14*'Time Series Scaling Factors'!X15</f>
        <v>4085437187070016</v>
      </c>
      <c r="Y14">
        <f>$B14*'Time Series Scaling Factors'!Y15</f>
        <v>4128178672843044</v>
      </c>
      <c r="Z14">
        <f>$B14*'Time Series Scaling Factors'!Z15</f>
        <v>4138370809885288.5</v>
      </c>
      <c r="AA14">
        <f>$B14*'Time Series Scaling Factors'!AA15</f>
        <v>4147339096666654.5</v>
      </c>
      <c r="AB14">
        <f>$B14*'Time Series Scaling Factors'!AB15</f>
        <v>4113865868457408.5</v>
      </c>
      <c r="AC14">
        <f>$B14*'Time Series Scaling Factors'!AC15</f>
        <v>4126482349517746.5</v>
      </c>
      <c r="AD14">
        <f>$B14*'Time Series Scaling Factors'!AD15</f>
        <v>4170591030368289.5</v>
      </c>
      <c r="AE14">
        <f>$B14*'Time Series Scaling Factors'!AE15</f>
        <v>4181397764036493.5</v>
      </c>
    </row>
    <row r="15" spans="1:32" x14ac:dyDescent="0.25">
      <c r="A15" s="1" t="s">
        <v>274</v>
      </c>
      <c r="B15">
        <f>'First Modeled Year Data'!B39</f>
        <v>0</v>
      </c>
      <c r="C15">
        <f>$B15*'Time Series Scaling Factors'!C16</f>
        <v>0</v>
      </c>
      <c r="D15">
        <f>$B15*'Time Series Scaling Factors'!D16</f>
        <v>0</v>
      </c>
      <c r="E15">
        <f>$B15*'Time Series Scaling Factors'!E16</f>
        <v>0</v>
      </c>
      <c r="F15">
        <f>$B15*'Time Series Scaling Factors'!F16</f>
        <v>0</v>
      </c>
      <c r="G15">
        <f>$B15*'Time Series Scaling Factors'!G16</f>
        <v>0</v>
      </c>
      <c r="H15">
        <f>$B15*'Time Series Scaling Factors'!H16</f>
        <v>0</v>
      </c>
      <c r="I15">
        <f>$B15*'Time Series Scaling Factors'!I16</f>
        <v>0</v>
      </c>
      <c r="J15">
        <f>$B15*'Time Series Scaling Factors'!J16</f>
        <v>0</v>
      </c>
      <c r="K15">
        <f>$B15*'Time Series Scaling Factors'!K16</f>
        <v>0</v>
      </c>
      <c r="L15">
        <f>$B15*'Time Series Scaling Factors'!L16</f>
        <v>0</v>
      </c>
      <c r="M15">
        <f>$B15*'Time Series Scaling Factors'!M16</f>
        <v>0</v>
      </c>
      <c r="N15">
        <f>$B15*'Time Series Scaling Factors'!N16</f>
        <v>0</v>
      </c>
      <c r="O15">
        <f>$B15*'Time Series Scaling Factors'!O16</f>
        <v>0</v>
      </c>
      <c r="P15">
        <f>$B15*'Time Series Scaling Factors'!P16</f>
        <v>0</v>
      </c>
      <c r="Q15">
        <f>$B15*'Time Series Scaling Factors'!Q16</f>
        <v>0</v>
      </c>
      <c r="R15">
        <f>$B15*'Time Series Scaling Factors'!R16</f>
        <v>0</v>
      </c>
      <c r="S15">
        <f>$B15*'Time Series Scaling Factors'!S16</f>
        <v>0</v>
      </c>
      <c r="T15">
        <f>$B15*'Time Series Scaling Factors'!T16</f>
        <v>0</v>
      </c>
      <c r="U15">
        <f>$B15*'Time Series Scaling Factors'!U16</f>
        <v>0</v>
      </c>
      <c r="V15">
        <f>$B15*'Time Series Scaling Factors'!V16</f>
        <v>0</v>
      </c>
      <c r="W15">
        <f>$B15*'Time Series Scaling Factors'!W16</f>
        <v>0</v>
      </c>
      <c r="X15">
        <f>$B15*'Time Series Scaling Factors'!X16</f>
        <v>0</v>
      </c>
      <c r="Y15">
        <f>$B15*'Time Series Scaling Factors'!Y16</f>
        <v>0</v>
      </c>
      <c r="Z15">
        <f>$B15*'Time Series Scaling Factors'!Z16</f>
        <v>0</v>
      </c>
      <c r="AA15">
        <f>$B15*'Time Series Scaling Factors'!AA16</f>
        <v>0</v>
      </c>
      <c r="AB15">
        <f>$B15*'Time Series Scaling Factors'!AB16</f>
        <v>0</v>
      </c>
      <c r="AC15">
        <f>$B15*'Time Series Scaling Factors'!AC16</f>
        <v>0</v>
      </c>
      <c r="AD15">
        <f>$B15*'Time Series Scaling Factors'!AD16</f>
        <v>0</v>
      </c>
      <c r="AE15">
        <f>$B15*'Time Series Scaling Factors'!AE16</f>
        <v>0</v>
      </c>
    </row>
    <row r="16" spans="1:32" x14ac:dyDescent="0.25">
      <c r="A16" s="1" t="s">
        <v>235</v>
      </c>
      <c r="B16">
        <f>'First Modeled Year Data'!B40</f>
        <v>0</v>
      </c>
      <c r="C16">
        <f>$B16*'Time Series Scaling Factors'!C17</f>
        <v>0</v>
      </c>
      <c r="D16">
        <f>$B16*'Time Series Scaling Factors'!D17</f>
        <v>0</v>
      </c>
      <c r="E16">
        <f>$B16*'Time Series Scaling Factors'!E17</f>
        <v>0</v>
      </c>
      <c r="F16">
        <f>$B16*'Time Series Scaling Factors'!F17</f>
        <v>0</v>
      </c>
      <c r="G16">
        <f>$B16*'Time Series Scaling Factors'!G17</f>
        <v>0</v>
      </c>
      <c r="H16">
        <f>$B16*'Time Series Scaling Factors'!H17</f>
        <v>0</v>
      </c>
      <c r="I16">
        <f>$B16*'Time Series Scaling Factors'!I17</f>
        <v>0</v>
      </c>
      <c r="J16">
        <f>$B16*'Time Series Scaling Factors'!J17</f>
        <v>0</v>
      </c>
      <c r="K16">
        <f>$B16*'Time Series Scaling Factors'!K17</f>
        <v>0</v>
      </c>
      <c r="L16">
        <f>$B16*'Time Series Scaling Factors'!L17</f>
        <v>0</v>
      </c>
      <c r="M16">
        <f>$B16*'Time Series Scaling Factors'!M17</f>
        <v>0</v>
      </c>
      <c r="N16">
        <f>$B16*'Time Series Scaling Factors'!N17</f>
        <v>0</v>
      </c>
      <c r="O16">
        <f>$B16*'Time Series Scaling Factors'!O17</f>
        <v>0</v>
      </c>
      <c r="P16">
        <f>$B16*'Time Series Scaling Factors'!P17</f>
        <v>0</v>
      </c>
      <c r="Q16">
        <f>$B16*'Time Series Scaling Factors'!Q17</f>
        <v>0</v>
      </c>
      <c r="R16">
        <f>$B16*'Time Series Scaling Factors'!R17</f>
        <v>0</v>
      </c>
      <c r="S16">
        <f>$B16*'Time Series Scaling Factors'!S17</f>
        <v>0</v>
      </c>
      <c r="T16">
        <f>$B16*'Time Series Scaling Factors'!T17</f>
        <v>0</v>
      </c>
      <c r="U16">
        <f>$B16*'Time Series Scaling Factors'!U17</f>
        <v>0</v>
      </c>
      <c r="V16">
        <f>$B16*'Time Series Scaling Factors'!V17</f>
        <v>0</v>
      </c>
      <c r="W16">
        <f>$B16*'Time Series Scaling Factors'!W17</f>
        <v>0</v>
      </c>
      <c r="X16">
        <f>$B16*'Time Series Scaling Factors'!X17</f>
        <v>0</v>
      </c>
      <c r="Y16">
        <f>$B16*'Time Series Scaling Factors'!Y17</f>
        <v>0</v>
      </c>
      <c r="Z16">
        <f>$B16*'Time Series Scaling Factors'!Z17</f>
        <v>0</v>
      </c>
      <c r="AA16">
        <f>$B16*'Time Series Scaling Factors'!AA17</f>
        <v>0</v>
      </c>
      <c r="AB16">
        <f>$B16*'Time Series Scaling Factors'!AB17</f>
        <v>0</v>
      </c>
      <c r="AC16">
        <f>$B16*'Time Series Scaling Factors'!AC17</f>
        <v>0</v>
      </c>
      <c r="AD16">
        <f>$B16*'Time Series Scaling Factors'!AD17</f>
        <v>0</v>
      </c>
      <c r="AE16">
        <f>$B16*'Time Series Scaling Factors'!AE17</f>
        <v>0</v>
      </c>
    </row>
    <row r="17" spans="1:31" x14ac:dyDescent="0.25">
      <c r="A17" s="1" t="s">
        <v>236</v>
      </c>
      <c r="B17">
        <f>'First Modeled Year Data'!B41</f>
        <v>906213062527442.13</v>
      </c>
      <c r="C17">
        <f>$B17*'Time Series Scaling Factors'!C18</f>
        <v>816185939509617</v>
      </c>
      <c r="D17">
        <f>$B17*'Time Series Scaling Factors'!D18</f>
        <v>766506272868909.75</v>
      </c>
      <c r="E17">
        <f>$B17*'Time Series Scaling Factors'!E18</f>
        <v>835396719510392.38</v>
      </c>
      <c r="F17">
        <f>$B17*'Time Series Scaling Factors'!F18</f>
        <v>784510243652284</v>
      </c>
      <c r="G17">
        <f>$B17*'Time Series Scaling Factors'!G18</f>
        <v>717960932124664</v>
      </c>
      <c r="H17">
        <f>$B17*'Time Series Scaling Factors'!H18</f>
        <v>644078620784355.63</v>
      </c>
      <c r="I17">
        <f>$B17*'Time Series Scaling Factors'!I18</f>
        <v>578441892959339</v>
      </c>
      <c r="J17">
        <f>$B17*'Time Series Scaling Factors'!J18</f>
        <v>516728195074803.75</v>
      </c>
      <c r="K17">
        <f>$B17*'Time Series Scaling Factors'!K18</f>
        <v>491174120663586.88</v>
      </c>
      <c r="L17">
        <f>$B17*'Time Series Scaling Factors'!L18</f>
        <v>488993459606971.5</v>
      </c>
      <c r="M17">
        <f>$B17*'Time Series Scaling Factors'!M18</f>
        <v>492458120810164.38</v>
      </c>
      <c r="N17">
        <f>$B17*'Time Series Scaling Factors'!N18</f>
        <v>490302105467259.19</v>
      </c>
      <c r="O17">
        <f>$B17*'Time Series Scaling Factors'!O18</f>
        <v>485781555428373.13</v>
      </c>
      <c r="P17">
        <f>$B17*'Time Series Scaling Factors'!P18</f>
        <v>489368683675254.81</v>
      </c>
      <c r="Q17">
        <f>$B17*'Time Series Scaling Factors'!Q18</f>
        <v>483632878415954.69</v>
      </c>
      <c r="R17">
        <f>$B17*'Time Series Scaling Factors'!R18</f>
        <v>470897067397184.31</v>
      </c>
      <c r="S17">
        <f>$B17*'Time Series Scaling Factors'!S18</f>
        <v>463284864878336.13</v>
      </c>
      <c r="T17">
        <f>$B17*'Time Series Scaling Factors'!T18</f>
        <v>452284361331076.75</v>
      </c>
      <c r="U17">
        <f>$B17*'Time Series Scaling Factors'!U18</f>
        <v>445683048451540.75</v>
      </c>
      <c r="V17">
        <f>$B17*'Time Series Scaling Factors'!V18</f>
        <v>446020888572061.56</v>
      </c>
      <c r="W17">
        <f>$B17*'Time Series Scaling Factors'!W18</f>
        <v>446815851298278.69</v>
      </c>
      <c r="X17">
        <f>$B17*'Time Series Scaling Factors'!X18</f>
        <v>440574670448855.31</v>
      </c>
      <c r="Y17">
        <f>$B17*'Time Series Scaling Factors'!Y18</f>
        <v>433552165091194.75</v>
      </c>
      <c r="Z17">
        <f>$B17*'Time Series Scaling Factors'!Z18</f>
        <v>428444617842903.88</v>
      </c>
      <c r="AA17">
        <f>$B17*'Time Series Scaling Factors'!AA18</f>
        <v>423675810699061.44</v>
      </c>
      <c r="AB17">
        <f>$B17*'Time Series Scaling Factors'!AB18</f>
        <v>421442604426979.88</v>
      </c>
      <c r="AC17">
        <f>$B17*'Time Series Scaling Factors'!AC18</f>
        <v>420215164808776.44</v>
      </c>
      <c r="AD17">
        <f>$B17*'Time Series Scaling Factors'!AD18</f>
        <v>417595657743148.56</v>
      </c>
      <c r="AE17">
        <f>$B17*'Time Series Scaling Factors'!AE18</f>
        <v>411610833854030.19</v>
      </c>
    </row>
    <row r="18" spans="1:31" x14ac:dyDescent="0.25">
      <c r="A18" s="1" t="s">
        <v>223</v>
      </c>
      <c r="B18" s="227">
        <f>'growth rate gas and oil'!E78</f>
        <v>2.1824346133932648E+16</v>
      </c>
      <c r="C18" s="227">
        <f>'growth rate gas and oil'!F78</f>
        <v>2.3255085897106E+16</v>
      </c>
      <c r="D18" s="227">
        <f>'growth rate gas and oil'!G78</f>
        <v>2.4315902770290688E+16</v>
      </c>
      <c r="E18" s="227">
        <f>'growth rate gas and oil'!H78</f>
        <v>2.5080418377795212E+16</v>
      </c>
      <c r="F18" s="227">
        <f>'growth rate gas and oil'!I78</f>
        <v>2.532476908983536E+16</v>
      </c>
      <c r="G18" s="227">
        <f>'growth rate gas and oil'!J78</f>
        <v>2.5648185731522452E+16</v>
      </c>
      <c r="H18" s="227">
        <f>'growth rate gas and oil'!K78</f>
        <v>2.5799605601332724E+16</v>
      </c>
      <c r="I18" s="227">
        <f>'growth rate gas and oil'!L78</f>
        <v>2.6041094327589408E+16</v>
      </c>
      <c r="J18" s="227">
        <f>'growth rate gas and oil'!M78</f>
        <v>2.5979175816331248E+16</v>
      </c>
      <c r="K18" s="227">
        <f>'growth rate gas and oil'!N78</f>
        <v>2.5949610809125924E+16</v>
      </c>
      <c r="L18" s="227">
        <f>'growth rate gas and oil'!O78</f>
        <v>2.5804184370314396E+16</v>
      </c>
      <c r="M18" s="227">
        <f>'growth rate gas and oil'!P78</f>
        <v>2.5809843018382692E+16</v>
      </c>
      <c r="N18" s="227">
        <f>'growth rate gas and oil'!Q78</f>
        <v>2.5824408117216496E+16</v>
      </c>
      <c r="O18" s="227">
        <f>'growth rate gas and oil'!R78</f>
        <v>2.5822442288179784E+16</v>
      </c>
      <c r="P18" s="227">
        <f>'growth rate gas and oil'!S78</f>
        <v>2.5853599555664068E+16</v>
      </c>
      <c r="Q18" s="227">
        <f>'growth rate gas and oil'!T78</f>
        <v>2.5739109917528968E+16</v>
      </c>
      <c r="R18" s="227">
        <f>'growth rate gas and oil'!U78</f>
        <v>2.5625843053633732E+16</v>
      </c>
      <c r="S18" s="227">
        <f>'growth rate gas and oil'!V78</f>
        <v>2.5442988291470024E+16</v>
      </c>
      <c r="T18" s="227">
        <f>'growth rate gas and oil'!W78</f>
        <v>2.5275939774613968E+16</v>
      </c>
      <c r="U18" s="227">
        <f>'growth rate gas and oil'!X78</f>
        <v>2.5136033171436164E+16</v>
      </c>
      <c r="V18" s="227">
        <f>'growth rate gas and oil'!Y78</f>
        <v>2.4919926707113536E+16</v>
      </c>
      <c r="W18" s="227">
        <f>'growth rate gas and oil'!Z78</f>
        <v>2.4988434726295384E+16</v>
      </c>
      <c r="X18" s="227">
        <f>'growth rate gas and oil'!AA78</f>
        <v>2.5136235266010028E+16</v>
      </c>
      <c r="Y18" s="227">
        <f>'growth rate gas and oil'!AB78</f>
        <v>2.5298858115834312E+16</v>
      </c>
      <c r="Z18" s="227">
        <f>'growth rate gas and oil'!AC78</f>
        <v>2.5308691343736544E+16</v>
      </c>
      <c r="AA18" s="227">
        <f>'growth rate gas and oil'!AD78</f>
        <v>2.5290825366862896E+16</v>
      </c>
      <c r="AB18" s="227">
        <f>'growth rate gas and oil'!AE78</f>
        <v>2.5082106581962776E+16</v>
      </c>
      <c r="AC18" s="227">
        <f>'growth rate gas and oil'!AF78</f>
        <v>2.5108050217713132E+16</v>
      </c>
      <c r="AD18" s="227">
        <f>'growth rate gas and oil'!AG78</f>
        <v>2.5398206991803984E+16</v>
      </c>
      <c r="AE18" s="227">
        <f>'growth rate gas and oil'!AH78</f>
        <v>2.5537409326012248E+16</v>
      </c>
    </row>
    <row r="19" spans="1:31" x14ac:dyDescent="0.25">
      <c r="A19" s="1" t="s">
        <v>237</v>
      </c>
      <c r="B19">
        <f>'First Modeled Year Data'!B43</f>
        <v>979835237000000</v>
      </c>
      <c r="C19">
        <f>$B19*'Time Series Scaling Factors'!C20</f>
        <v>1039601900803150.6</v>
      </c>
      <c r="D19">
        <f>$B19*'Time Series Scaling Factors'!D20</f>
        <v>1081215123075787.3</v>
      </c>
      <c r="E19">
        <f>$B19*'Time Series Scaling Factors'!E20</f>
        <v>1111399781912600.3</v>
      </c>
      <c r="F19">
        <f>$B19*'Time Series Scaling Factors'!F20</f>
        <v>1128486898602062.3</v>
      </c>
      <c r="G19">
        <f>$B19*'Time Series Scaling Factors'!G20</f>
        <v>1144235305953621.8</v>
      </c>
      <c r="H19">
        <f>$B19*'Time Series Scaling Factors'!H20</f>
        <v>1153336254647580.5</v>
      </c>
      <c r="I19">
        <f>$B19*'Time Series Scaling Factors'!I20</f>
        <v>1168902508566599.3</v>
      </c>
      <c r="J19">
        <f>$B19*'Time Series Scaling Factors'!J20</f>
        <v>1167321604506878</v>
      </c>
      <c r="K19">
        <f>$B19*'Time Series Scaling Factors'!K20</f>
        <v>1169436749193376.5</v>
      </c>
      <c r="L19">
        <f>$B19*'Time Series Scaling Factors'!L20</f>
        <v>1162971274837924</v>
      </c>
      <c r="M19">
        <f>$B19*'Time Series Scaling Factors'!M20</f>
        <v>1165569921033500.3</v>
      </c>
      <c r="N19">
        <f>$B19*'Time Series Scaling Factors'!N20</f>
        <v>1168120872458438.8</v>
      </c>
      <c r="O19">
        <f>$B19*'Time Series Scaling Factors'!O20</f>
        <v>1163840097663331</v>
      </c>
      <c r="P19">
        <f>$B19*'Time Series Scaling Factors'!P20</f>
        <v>1160846701132053.3</v>
      </c>
      <c r="Q19">
        <f>$B19*'Time Series Scaling Factors'!Q20</f>
        <v>1155363789790851</v>
      </c>
      <c r="R19">
        <f>$B19*'Time Series Scaling Factors'!R20</f>
        <v>1153735021830100.3</v>
      </c>
      <c r="S19">
        <f>$B19*'Time Series Scaling Factors'!S20</f>
        <v>1149246681761003.5</v>
      </c>
      <c r="T19">
        <f>$B19*'Time Series Scaling Factors'!T20</f>
        <v>1144570902934605.8</v>
      </c>
      <c r="U19">
        <f>$B19*'Time Series Scaling Factors'!U20</f>
        <v>1135592235514303</v>
      </c>
      <c r="V19">
        <f>$B19*'Time Series Scaling Factors'!V20</f>
        <v>1123258063392740.3</v>
      </c>
      <c r="W19">
        <f>$B19*'Time Series Scaling Factors'!W20</f>
        <v>1125499167938927.4</v>
      </c>
      <c r="X19">
        <f>$B19*'Time Series Scaling Factors'!X20</f>
        <v>1131576192065792</v>
      </c>
      <c r="Y19">
        <f>$B19*'Time Series Scaling Factors'!Y20</f>
        <v>1143414643007431.3</v>
      </c>
      <c r="Z19">
        <f>$B19*'Time Series Scaling Factors'!Z20</f>
        <v>1146237640668435</v>
      </c>
      <c r="AA19">
        <f>$B19*'Time Series Scaling Factors'!AA20</f>
        <v>1148721658740608.5</v>
      </c>
      <c r="AB19">
        <f>$B19*'Time Series Scaling Factors'!AB20</f>
        <v>1139450311176375.8</v>
      </c>
      <c r="AC19">
        <f>$B19*'Time Series Scaling Factors'!AC20</f>
        <v>1142944798777534</v>
      </c>
      <c r="AD19">
        <f>$B19*'Time Series Scaling Factors'!AD20</f>
        <v>1155161932667603.5</v>
      </c>
      <c r="AE19">
        <f>$B19*'Time Series Scaling Factors'!AE20</f>
        <v>1158155160068489.3</v>
      </c>
    </row>
    <row r="20" spans="1:31" x14ac:dyDescent="0.25">
      <c r="A20" s="1" t="s">
        <v>224</v>
      </c>
      <c r="B20">
        <f>'First Modeled Year Data'!B44</f>
        <v>4171558240080000</v>
      </c>
      <c r="C20">
        <f>$B20*'Time Series Scaling Factors'!C21</f>
        <v>4625424853098828</v>
      </c>
      <c r="D20">
        <f>$B20*'Time Series Scaling Factors'!D21</f>
        <v>4864280614485712</v>
      </c>
      <c r="E20">
        <f>$B20*'Time Series Scaling Factors'!E21</f>
        <v>4961013021058499</v>
      </c>
      <c r="F20">
        <f>$B20*'Time Series Scaling Factors'!F21</f>
        <v>4948527905381027</v>
      </c>
      <c r="G20">
        <f>$B20*'Time Series Scaling Factors'!G21</f>
        <v>5044527959801432</v>
      </c>
      <c r="H20">
        <f>$B20*'Time Series Scaling Factors'!H21</f>
        <v>4965654823806440</v>
      </c>
      <c r="I20">
        <f>$B20*'Time Series Scaling Factors'!I21</f>
        <v>4899393625447014</v>
      </c>
      <c r="J20">
        <f>$B20*'Time Series Scaling Factors'!J21</f>
        <v>4838350585025371</v>
      </c>
      <c r="K20">
        <f>$B20*'Time Series Scaling Factors'!K21</f>
        <v>4798412980982159</v>
      </c>
      <c r="L20">
        <f>$B20*'Time Series Scaling Factors'!L21</f>
        <v>4787475926765007</v>
      </c>
      <c r="M20">
        <f>$B20*'Time Series Scaling Factors'!M21</f>
        <v>4830646597627269</v>
      </c>
      <c r="N20">
        <f>$B20*'Time Series Scaling Factors'!N21</f>
        <v>4863231505142219</v>
      </c>
      <c r="O20">
        <f>$B20*'Time Series Scaling Factors'!O21</f>
        <v>4930401296497200</v>
      </c>
      <c r="P20">
        <f>$B20*'Time Series Scaling Factors'!P21</f>
        <v>4965547650320725</v>
      </c>
      <c r="Q20">
        <f>$B20*'Time Series Scaling Factors'!Q21</f>
        <v>5039393754427458</v>
      </c>
      <c r="R20">
        <f>$B20*'Time Series Scaling Factors'!R21</f>
        <v>5071195104680187</v>
      </c>
      <c r="S20">
        <f>$B20*'Time Series Scaling Factors'!S21</f>
        <v>5071719063943679</v>
      </c>
      <c r="T20">
        <f>$B20*'Time Series Scaling Factors'!T21</f>
        <v>5147697920416130</v>
      </c>
      <c r="U20">
        <f>$B20*'Time Series Scaling Factors'!U21</f>
        <v>5139923079435804</v>
      </c>
      <c r="V20">
        <f>$B20*'Time Series Scaling Factors'!V21</f>
        <v>5174780064847900</v>
      </c>
      <c r="W20">
        <f>$B20*'Time Series Scaling Factors'!W21</f>
        <v>5265252349038458</v>
      </c>
      <c r="X20">
        <f>$B20*'Time Series Scaling Factors'!X21</f>
        <v>5339030576604240</v>
      </c>
      <c r="Y20">
        <f>$B20*'Time Series Scaling Factors'!Y21</f>
        <v>5377796417203641</v>
      </c>
      <c r="Z20">
        <f>$B20*'Time Series Scaling Factors'!Z21</f>
        <v>5406290274605572</v>
      </c>
      <c r="AA20">
        <f>$B20*'Time Series Scaling Factors'!AA21</f>
        <v>5444299351314178</v>
      </c>
      <c r="AB20">
        <f>$B20*'Time Series Scaling Factors'!AB21</f>
        <v>5474903930976428</v>
      </c>
      <c r="AC20">
        <f>$B20*'Time Series Scaling Factors'!AC21</f>
        <v>5499215640802482</v>
      </c>
      <c r="AD20">
        <f>$B20*'Time Series Scaling Factors'!AD21</f>
        <v>5527017633813301</v>
      </c>
      <c r="AE20">
        <f>$B20*'Time Series Scaling Factors'!AE21</f>
        <v>5543516396530777</v>
      </c>
    </row>
    <row r="21" spans="1:31" x14ac:dyDescent="0.25">
      <c r="A21" s="1" t="s">
        <v>238</v>
      </c>
      <c r="B21">
        <f>'First Modeled Year Data'!B45</f>
        <v>3564295858911020.5</v>
      </c>
      <c r="C21">
        <f>$B21*'Time Series Scaling Factors'!C22</f>
        <v>3049014096978158</v>
      </c>
      <c r="D21">
        <f>$B21*'Time Series Scaling Factors'!D22</f>
        <v>2061549702866445.3</v>
      </c>
      <c r="E21">
        <f>$B21*'Time Series Scaling Factors'!E22</f>
        <v>1551409966647093</v>
      </c>
      <c r="F21">
        <f>$B21*'Time Series Scaling Factors'!F22</f>
        <v>1342902327480547.3</v>
      </c>
      <c r="G21">
        <f>$B21*'Time Series Scaling Factors'!G22</f>
        <v>1520051628548230.5</v>
      </c>
      <c r="H21">
        <f>$B21*'Time Series Scaling Factors'!H22</f>
        <v>1507475550065025.8</v>
      </c>
      <c r="I21">
        <f>$B21*'Time Series Scaling Factors'!I22</f>
        <v>1404957456510452.3</v>
      </c>
      <c r="J21">
        <f>$B21*'Time Series Scaling Factors'!J22</f>
        <v>1383904887296139.5</v>
      </c>
      <c r="K21">
        <f>$B21*'Time Series Scaling Factors'!K22</f>
        <v>1397660390780558.8</v>
      </c>
      <c r="L21">
        <f>$B21*'Time Series Scaling Factors'!L22</f>
        <v>1399148871908153.8</v>
      </c>
      <c r="M21">
        <f>$B21*'Time Series Scaling Factors'!M22</f>
        <v>1190935253705083.8</v>
      </c>
      <c r="N21">
        <f>$B21*'Time Series Scaling Factors'!N22</f>
        <v>1183664917153687.8</v>
      </c>
      <c r="O21">
        <f>$B21*'Time Series Scaling Factors'!O22</f>
        <v>1194610515748528</v>
      </c>
      <c r="P21">
        <f>$B21*'Time Series Scaling Factors'!P22</f>
        <v>1185529277353907.8</v>
      </c>
      <c r="Q21">
        <f>$B21*'Time Series Scaling Factors'!Q22</f>
        <v>1179820927170976</v>
      </c>
      <c r="R21">
        <f>$B21*'Time Series Scaling Factors'!R22</f>
        <v>1176003666366762</v>
      </c>
      <c r="S21">
        <f>$B21*'Time Series Scaling Factors'!S22</f>
        <v>1177483794626076.5</v>
      </c>
      <c r="T21">
        <f>$B21*'Time Series Scaling Factors'!T22</f>
        <v>1176143994553875.3</v>
      </c>
      <c r="U21">
        <f>$B21*'Time Series Scaling Factors'!U22</f>
        <v>1170449008960192.3</v>
      </c>
      <c r="V21">
        <f>$B21*'Time Series Scaling Factors'!V22</f>
        <v>1173957213638025.8</v>
      </c>
      <c r="W21">
        <f>$B21*'Time Series Scaling Factors'!W22</f>
        <v>1170144964554780</v>
      </c>
      <c r="X21">
        <f>$B21*'Time Series Scaling Factors'!X22</f>
        <v>1169277936827258.5</v>
      </c>
      <c r="Y21">
        <f>$B21*'Time Series Scaling Factors'!Y22</f>
        <v>1170706277303233.5</v>
      </c>
      <c r="Z21">
        <f>$B21*'Time Series Scaling Factors'!Z22</f>
        <v>1170479079286002.3</v>
      </c>
      <c r="AA21">
        <f>$B21*'Time Series Scaling Factors'!AA22</f>
        <v>1131937274465862</v>
      </c>
      <c r="AB21">
        <f>$B21*'Time Series Scaling Factors'!AB22</f>
        <v>1127004070459365.8</v>
      </c>
      <c r="AC21">
        <f>$B21*'Time Series Scaling Factors'!AC22</f>
        <v>1132134402157283</v>
      </c>
      <c r="AD21">
        <f>$B21*'Time Series Scaling Factors'!AD22</f>
        <v>1133103334877827.5</v>
      </c>
      <c r="AE21">
        <f>$B21*'Time Series Scaling Factors'!AE22</f>
        <v>1128928571311205.5</v>
      </c>
    </row>
    <row r="22" spans="1:31" x14ac:dyDescent="0.25">
      <c r="A22" s="1" t="s">
        <v>239</v>
      </c>
      <c r="B22">
        <f>'First Modeled Year Data'!B46</f>
        <v>1345098039215686.5</v>
      </c>
      <c r="C22">
        <f>$B22*'Time Series Scaling Factors'!C23</f>
        <v>1345098039215686.5</v>
      </c>
      <c r="D22">
        <f>$B22*'Time Series Scaling Factors'!D23</f>
        <v>2690196078431373</v>
      </c>
      <c r="E22">
        <f>$B22*'Time Series Scaling Factors'!E23</f>
        <v>4035294117647059.5</v>
      </c>
      <c r="F22">
        <f>$B22*'Time Series Scaling Factors'!F23</f>
        <v>5380392156862746</v>
      </c>
      <c r="G22">
        <f>$B22*'Time Series Scaling Factors'!G23</f>
        <v>6725490196078432</v>
      </c>
      <c r="H22">
        <f>$B22*'Time Series Scaling Factors'!H23</f>
        <v>8070588235294119</v>
      </c>
      <c r="I22">
        <f>$B22*'Time Series Scaling Factors'!I23</f>
        <v>9415686274509806</v>
      </c>
      <c r="J22">
        <f>$B22*'Time Series Scaling Factors'!J23</f>
        <v>1.0760784313725492E+16</v>
      </c>
      <c r="K22">
        <f>$B22*'Time Series Scaling Factors'!K23</f>
        <v>1.2105882352941178E+16</v>
      </c>
      <c r="L22">
        <f>$B22*'Time Series Scaling Factors'!L23</f>
        <v>1.3450980392156864E+16</v>
      </c>
      <c r="M22">
        <f>$B22*'Time Series Scaling Factors'!M23</f>
        <v>1.4796078431372552E+16</v>
      </c>
      <c r="N22">
        <f>$B22*'Time Series Scaling Factors'!N23</f>
        <v>1.6141176470588238E+16</v>
      </c>
      <c r="O22">
        <f>$B22*'Time Series Scaling Factors'!O23</f>
        <v>1.7486274509803924E+16</v>
      </c>
      <c r="P22">
        <f>$B22*'Time Series Scaling Factors'!P23</f>
        <v>1.8831372549019612E+16</v>
      </c>
      <c r="Q22">
        <f>$B22*'Time Series Scaling Factors'!Q23</f>
        <v>2.0176470588235296E+16</v>
      </c>
      <c r="R22">
        <f>$B22*'Time Series Scaling Factors'!R23</f>
        <v>2.1521568627450984E+16</v>
      </c>
      <c r="S22">
        <f>$B22*'Time Series Scaling Factors'!S23</f>
        <v>2.2866666666666672E+16</v>
      </c>
      <c r="T22">
        <f>$B22*'Time Series Scaling Factors'!T23</f>
        <v>2.4211764705882356E+16</v>
      </c>
      <c r="U22">
        <f>$B22*'Time Series Scaling Factors'!U23</f>
        <v>2.5556862745098044E+16</v>
      </c>
      <c r="V22">
        <f>$B22*'Time Series Scaling Factors'!V23</f>
        <v>2.6901960784313728E+16</v>
      </c>
      <c r="W22">
        <f>$B22*'Time Series Scaling Factors'!W23</f>
        <v>2.8247058823529416E+16</v>
      </c>
      <c r="X22">
        <f>$B22*'Time Series Scaling Factors'!X23</f>
        <v>2.9592156862745104E+16</v>
      </c>
      <c r="Y22">
        <f>$B22*'Time Series Scaling Factors'!Y23</f>
        <v>3.0937254901960788E+16</v>
      </c>
      <c r="Z22">
        <f>$B22*'Time Series Scaling Factors'!Z23</f>
        <v>3.2282352941176476E+16</v>
      </c>
      <c r="AA22">
        <f>$B22*'Time Series Scaling Factors'!AA23</f>
        <v>3.3627450980392164E+16</v>
      </c>
      <c r="AB22">
        <f>$B22*'Time Series Scaling Factors'!AB23</f>
        <v>3.4972549019607848E+16</v>
      </c>
      <c r="AC22">
        <f>$B22*'Time Series Scaling Factors'!AC23</f>
        <v>3.6317647058823536E+16</v>
      </c>
      <c r="AD22">
        <f>$B22*'Time Series Scaling Factors'!AD23</f>
        <v>3.7662745098039224E+16</v>
      </c>
      <c r="AE22">
        <f>$B22*'Time Series Scaling Factors'!AE23</f>
        <v>3.9007843137254912E+16</v>
      </c>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F22"/>
  <sheetViews>
    <sheetView workbookViewId="0">
      <selection activeCell="B3" sqref="B3"/>
    </sheetView>
  </sheetViews>
  <sheetFormatPr defaultRowHeight="15" x14ac:dyDescent="0.25"/>
  <cols>
    <col min="1" max="1" width="36.28515625" customWidth="1"/>
    <col min="2" max="33" width="13" customWidth="1"/>
  </cols>
  <sheetData>
    <row r="1" spans="1:32" x14ac:dyDescent="0.25">
      <c r="A1" s="24" t="s">
        <v>582</v>
      </c>
      <c r="B1" s="18">
        <v>2021</v>
      </c>
      <c r="C1">
        <v>2022</v>
      </c>
      <c r="D1" s="18">
        <v>2023</v>
      </c>
      <c r="E1">
        <v>2024</v>
      </c>
      <c r="F1" s="18">
        <v>2025</v>
      </c>
      <c r="G1">
        <v>2026</v>
      </c>
      <c r="H1" s="18">
        <v>2027</v>
      </c>
      <c r="I1">
        <v>2028</v>
      </c>
      <c r="J1" s="18">
        <v>2029</v>
      </c>
      <c r="K1">
        <v>2030</v>
      </c>
      <c r="L1" s="18">
        <v>2031</v>
      </c>
      <c r="M1">
        <v>2032</v>
      </c>
      <c r="N1" s="18">
        <v>2033</v>
      </c>
      <c r="O1">
        <v>2034</v>
      </c>
      <c r="P1" s="18">
        <v>2035</v>
      </c>
      <c r="Q1">
        <v>2036</v>
      </c>
      <c r="R1" s="18">
        <v>2037</v>
      </c>
      <c r="S1">
        <v>2038</v>
      </c>
      <c r="T1" s="18">
        <v>2039</v>
      </c>
      <c r="U1">
        <v>2040</v>
      </c>
      <c r="V1" s="18">
        <v>2041</v>
      </c>
      <c r="W1">
        <v>2042</v>
      </c>
      <c r="X1" s="18">
        <v>2043</v>
      </c>
      <c r="Y1">
        <v>2044</v>
      </c>
      <c r="Z1" s="18">
        <v>2045</v>
      </c>
      <c r="AA1">
        <v>2046</v>
      </c>
      <c r="AB1" s="18">
        <v>2047</v>
      </c>
      <c r="AC1">
        <v>2048</v>
      </c>
      <c r="AD1" s="18">
        <v>2049</v>
      </c>
      <c r="AE1">
        <v>2050</v>
      </c>
      <c r="AF1" s="18"/>
    </row>
    <row r="2" spans="1:32" x14ac:dyDescent="0.25">
      <c r="A2" s="24" t="s">
        <v>225</v>
      </c>
      <c r="B2">
        <f>'First Modeled Year Data'!C26</f>
        <v>0</v>
      </c>
      <c r="C2">
        <f>$B2*'Time Series Scaling Factors'!C28</f>
        <v>0</v>
      </c>
      <c r="D2">
        <f>$B2*'Time Series Scaling Factors'!D28</f>
        <v>0</v>
      </c>
      <c r="E2">
        <f>$B2*'Time Series Scaling Factors'!E28</f>
        <v>0</v>
      </c>
      <c r="F2">
        <f>$B2*'Time Series Scaling Factors'!F28</f>
        <v>0</v>
      </c>
      <c r="G2">
        <f>$B2*'Time Series Scaling Factors'!G28</f>
        <v>0</v>
      </c>
      <c r="H2">
        <f>$B2*'Time Series Scaling Factors'!H28</f>
        <v>0</v>
      </c>
      <c r="I2">
        <f>$B2*'Time Series Scaling Factors'!I28</f>
        <v>0</v>
      </c>
      <c r="J2">
        <f>$B2*'Time Series Scaling Factors'!J28</f>
        <v>0</v>
      </c>
      <c r="K2">
        <f>$B2*'Time Series Scaling Factors'!K28</f>
        <v>0</v>
      </c>
      <c r="L2">
        <f>$B2*'Time Series Scaling Factors'!L28</f>
        <v>0</v>
      </c>
      <c r="M2">
        <f>$B2*'Time Series Scaling Factors'!M28</f>
        <v>0</v>
      </c>
      <c r="N2">
        <f>$B2*'Time Series Scaling Factors'!N28</f>
        <v>0</v>
      </c>
      <c r="O2">
        <f>$B2*'Time Series Scaling Factors'!O28</f>
        <v>0</v>
      </c>
      <c r="P2">
        <f>$B2*'Time Series Scaling Factors'!P28</f>
        <v>0</v>
      </c>
      <c r="Q2">
        <f>$B2*'Time Series Scaling Factors'!Q28</f>
        <v>0</v>
      </c>
      <c r="R2">
        <f>$B2*'Time Series Scaling Factors'!R28</f>
        <v>0</v>
      </c>
      <c r="S2">
        <f>$B2*'Time Series Scaling Factors'!S28</f>
        <v>0</v>
      </c>
      <c r="T2">
        <f>$B2*'Time Series Scaling Factors'!T28</f>
        <v>0</v>
      </c>
      <c r="U2">
        <f>$B2*'Time Series Scaling Factors'!U28</f>
        <v>0</v>
      </c>
      <c r="V2">
        <f>$B2*'Time Series Scaling Factors'!V28</f>
        <v>0</v>
      </c>
      <c r="W2">
        <f>$B2*'Time Series Scaling Factors'!W28</f>
        <v>0</v>
      </c>
      <c r="X2">
        <f>$B2*'Time Series Scaling Factors'!X28</f>
        <v>0</v>
      </c>
      <c r="Y2">
        <f>$B2*'Time Series Scaling Factors'!Y28</f>
        <v>0</v>
      </c>
      <c r="Z2">
        <f>$B2*'Time Series Scaling Factors'!Z28</f>
        <v>0</v>
      </c>
      <c r="AA2">
        <f>$B2*'Time Series Scaling Factors'!AA28</f>
        <v>0</v>
      </c>
      <c r="AB2">
        <f>$B2*'Time Series Scaling Factors'!AB28</f>
        <v>0</v>
      </c>
      <c r="AC2">
        <f>$B2*'Time Series Scaling Factors'!AC28</f>
        <v>0</v>
      </c>
      <c r="AD2">
        <f>$B2*'Time Series Scaling Factors'!AD28</f>
        <v>0</v>
      </c>
      <c r="AE2">
        <f>$B2*'Time Series Scaling Factors'!AE28</f>
        <v>0</v>
      </c>
    </row>
    <row r="3" spans="1:32" x14ac:dyDescent="0.25">
      <c r="A3" s="1" t="s">
        <v>226</v>
      </c>
      <c r="B3">
        <f>'First Modeled Year Data'!C27</f>
        <v>117950568000000</v>
      </c>
      <c r="C3">
        <f>$B3*'Time Series Scaling Factors'!C29</f>
        <v>103036353377412.3</v>
      </c>
      <c r="D3">
        <f>$B3*'Time Series Scaling Factors'!D29</f>
        <v>136932701884127.45</v>
      </c>
      <c r="E3">
        <f>$B3*'Time Series Scaling Factors'!E29</f>
        <v>59095514065044.016</v>
      </c>
      <c r="F3">
        <f>$B3*'Time Series Scaling Factors'!F29</f>
        <v>53145344393322.047</v>
      </c>
      <c r="G3">
        <f>$B3*'Time Series Scaling Factors'!G29</f>
        <v>57401326222819.133</v>
      </c>
      <c r="H3">
        <f>$B3*'Time Series Scaling Factors'!H29</f>
        <v>63070011316583.328</v>
      </c>
      <c r="I3">
        <f>$B3*'Time Series Scaling Factors'!I29</f>
        <v>72017402778709.875</v>
      </c>
      <c r="J3">
        <f>$B3*'Time Series Scaling Factors'!J29</f>
        <v>68704983250216.945</v>
      </c>
      <c r="K3">
        <f>$B3*'Time Series Scaling Factors'!K29</f>
        <v>71603502656142.828</v>
      </c>
      <c r="L3">
        <f>$B3*'Time Series Scaling Factors'!L29</f>
        <v>67804882492995.586</v>
      </c>
      <c r="M3">
        <f>$B3*'Time Series Scaling Factors'!M29</f>
        <v>69178592222653.828</v>
      </c>
      <c r="N3">
        <f>$B3*'Time Series Scaling Factors'!N29</f>
        <v>68781345588825.984</v>
      </c>
      <c r="O3">
        <f>$B3*'Time Series Scaling Factors'!O29</f>
        <v>69212711565436.586</v>
      </c>
      <c r="P3">
        <f>$B3*'Time Series Scaling Factors'!P29</f>
        <v>67402761667341.633</v>
      </c>
      <c r="Q3">
        <f>$B3*'Time Series Scaling Factors'!Q29</f>
        <v>66615985870077.289</v>
      </c>
      <c r="R3">
        <f>$B3*'Time Series Scaling Factors'!R29</f>
        <v>66556683202859.625</v>
      </c>
      <c r="S3">
        <f>$B3*'Time Series Scaling Factors'!S29</f>
        <v>67839408018430.516</v>
      </c>
      <c r="T3">
        <f>$B3*'Time Series Scaling Factors'!T29</f>
        <v>68677362829869.008</v>
      </c>
      <c r="U3">
        <f>$B3*'Time Series Scaling Factors'!U29</f>
        <v>69300447018306.539</v>
      </c>
      <c r="V3">
        <f>$B3*'Time Series Scaling Factors'!V29</f>
        <v>67444192297863.555</v>
      </c>
      <c r="W3">
        <f>$B3*'Time Series Scaling Factors'!W29</f>
        <v>67312995301210.805</v>
      </c>
      <c r="X3">
        <f>$B3*'Time Series Scaling Factors'!X29</f>
        <v>66310130332988.969</v>
      </c>
      <c r="Y3">
        <f>$B3*'Time Series Scaling Factors'!Y29</f>
        <v>65584281933550.984</v>
      </c>
      <c r="Z3">
        <f>$B3*'Time Series Scaling Factors'!Z29</f>
        <v>64386855474936.977</v>
      </c>
      <c r="AA3">
        <f>$B3*'Time Series Scaling Factors'!AA29</f>
        <v>62981463498409.023</v>
      </c>
      <c r="AB3">
        <f>$B3*'Time Series Scaling Factors'!AB29</f>
        <v>62834425378321.43</v>
      </c>
      <c r="AC3">
        <f>$B3*'Time Series Scaling Factors'!AC29</f>
        <v>64034288932848.477</v>
      </c>
      <c r="AD3">
        <f>$B3*'Time Series Scaling Factors'!AD29</f>
        <v>64656154573329.477</v>
      </c>
      <c r="AE3">
        <f>$B3*'Time Series Scaling Factors'!AE29</f>
        <v>63876690063804.305</v>
      </c>
    </row>
    <row r="4" spans="1:32" x14ac:dyDescent="0.25">
      <c r="A4" s="1" t="s">
        <v>216</v>
      </c>
      <c r="B4">
        <f>'First Modeled Year Data'!C28</f>
        <v>2798295000000000</v>
      </c>
      <c r="C4">
        <f>$B4*'Time Series Scaling Factors'!C30</f>
        <v>2981649000000000</v>
      </c>
      <c r="D4">
        <f>$B4*'Time Series Scaling Factors'!D30</f>
        <v>2808482000000000</v>
      </c>
      <c r="E4">
        <f>$B4*'Time Series Scaling Factors'!E30</f>
        <v>2461069000000000.5</v>
      </c>
      <c r="F4">
        <f>$B4*'Time Series Scaling Factors'!F30</f>
        <v>2350870000000000</v>
      </c>
      <c r="G4">
        <f>$B4*'Time Series Scaling Factors'!G30</f>
        <v>2252110000000000</v>
      </c>
      <c r="H4">
        <f>$B4*'Time Series Scaling Factors'!H30</f>
        <v>2184048000000000.3</v>
      </c>
      <c r="I4">
        <f>$B4*'Time Series Scaling Factors'!I30</f>
        <v>2073739000000000.3</v>
      </c>
      <c r="J4">
        <f>$B4*'Time Series Scaling Factors'!J30</f>
        <v>2040553000000000.3</v>
      </c>
      <c r="K4">
        <f>$B4*'Time Series Scaling Factors'!K30</f>
        <v>2072865000000000.3</v>
      </c>
      <c r="L4">
        <f>$B4*'Time Series Scaling Factors'!L30</f>
        <v>2067940000000000.3</v>
      </c>
      <c r="M4">
        <f>$B4*'Time Series Scaling Factors'!M30</f>
        <v>2118680000000000</v>
      </c>
      <c r="N4">
        <f>$B4*'Time Series Scaling Factors'!N30</f>
        <v>2137902000000000</v>
      </c>
      <c r="O4">
        <f>$B4*'Time Series Scaling Factors'!O30</f>
        <v>2141702000000000</v>
      </c>
      <c r="P4">
        <f>$B4*'Time Series Scaling Factors'!P30</f>
        <v>2125696000000000</v>
      </c>
      <c r="Q4">
        <f>$B4*'Time Series Scaling Factors'!Q30</f>
        <v>2080384000000000</v>
      </c>
      <c r="R4">
        <f>$B4*'Time Series Scaling Factors'!R30</f>
        <v>2079351000000000</v>
      </c>
      <c r="S4">
        <f>$B4*'Time Series Scaling Factors'!S30</f>
        <v>2136969000000000.3</v>
      </c>
      <c r="T4">
        <f>$B4*'Time Series Scaling Factors'!T30</f>
        <v>2110060000000000</v>
      </c>
      <c r="U4">
        <f>$B4*'Time Series Scaling Factors'!U30</f>
        <v>2231398000000000</v>
      </c>
      <c r="V4">
        <f>$B4*'Time Series Scaling Factors'!V30</f>
        <v>2256781000000000</v>
      </c>
      <c r="W4">
        <f>$B4*'Time Series Scaling Factors'!W30</f>
        <v>2269709000000000</v>
      </c>
      <c r="X4">
        <f>$B4*'Time Series Scaling Factors'!X30</f>
        <v>2318002000000000</v>
      </c>
      <c r="Y4">
        <f>$B4*'Time Series Scaling Factors'!Y30</f>
        <v>2401960000000000</v>
      </c>
      <c r="Z4">
        <f>$B4*'Time Series Scaling Factors'!Z30</f>
        <v>2477401000000000</v>
      </c>
      <c r="AA4">
        <f>$B4*'Time Series Scaling Factors'!AA30</f>
        <v>2508059000000000</v>
      </c>
      <c r="AB4">
        <f>$B4*'Time Series Scaling Factors'!AB30</f>
        <v>2535450000000000</v>
      </c>
      <c r="AC4">
        <f>$B4*'Time Series Scaling Factors'!AC30</f>
        <v>2582582000000000</v>
      </c>
      <c r="AD4">
        <f>$B4*'Time Series Scaling Factors'!AD30</f>
        <v>2599269000000000</v>
      </c>
      <c r="AE4">
        <f>$B4*'Time Series Scaling Factors'!AE30</f>
        <v>2627204000000000</v>
      </c>
    </row>
    <row r="5" spans="1:32" x14ac:dyDescent="0.25">
      <c r="A5" s="1" t="s">
        <v>227</v>
      </c>
      <c r="B5">
        <f>'First Modeled Year Data'!C29</f>
        <v>7200000000000000</v>
      </c>
      <c r="C5">
        <f>$B5*'Time Series Scaling Factors'!C31</f>
        <v>7200000000000000</v>
      </c>
      <c r="D5">
        <f>$B5*'Time Series Scaling Factors'!D31</f>
        <v>7200000000000000</v>
      </c>
      <c r="E5">
        <f>$B5*'Time Series Scaling Factors'!E31</f>
        <v>7200000000000000</v>
      </c>
      <c r="F5">
        <f>$B5*'Time Series Scaling Factors'!F31</f>
        <v>7200000000000000</v>
      </c>
      <c r="G5">
        <f>$B5*'Time Series Scaling Factors'!G31</f>
        <v>7200000000000000</v>
      </c>
      <c r="H5">
        <f>$B5*'Time Series Scaling Factors'!H31</f>
        <v>7200000000000000</v>
      </c>
      <c r="I5">
        <f>$B5*'Time Series Scaling Factors'!I31</f>
        <v>7200000000000000</v>
      </c>
      <c r="J5">
        <f>$B5*'Time Series Scaling Factors'!J31</f>
        <v>7200000000000000</v>
      </c>
      <c r="K5">
        <f>$B5*'Time Series Scaling Factors'!K31</f>
        <v>7200000000000000</v>
      </c>
      <c r="L5">
        <f>$B5*'Time Series Scaling Factors'!L31</f>
        <v>7200000000000000</v>
      </c>
      <c r="M5">
        <f>$B5*'Time Series Scaling Factors'!M31</f>
        <v>7200000000000000</v>
      </c>
      <c r="N5">
        <f>$B5*'Time Series Scaling Factors'!N31</f>
        <v>7200000000000000</v>
      </c>
      <c r="O5">
        <f>$B5*'Time Series Scaling Factors'!O31</f>
        <v>7200000000000000</v>
      </c>
      <c r="P5">
        <f>$B5*'Time Series Scaling Factors'!P31</f>
        <v>7200000000000000</v>
      </c>
      <c r="Q5">
        <f>$B5*'Time Series Scaling Factors'!Q31</f>
        <v>7200000000000000</v>
      </c>
      <c r="R5">
        <f>$B5*'Time Series Scaling Factors'!R31</f>
        <v>7200000000000000</v>
      </c>
      <c r="S5">
        <f>$B5*'Time Series Scaling Factors'!S31</f>
        <v>7200000000000000</v>
      </c>
      <c r="T5">
        <f>$B5*'Time Series Scaling Factors'!T31</f>
        <v>7200000000000000</v>
      </c>
      <c r="U5">
        <f>$B5*'Time Series Scaling Factors'!U31</f>
        <v>7200000000000000</v>
      </c>
      <c r="V5">
        <f>$B5*'Time Series Scaling Factors'!V31</f>
        <v>7200000000000000</v>
      </c>
      <c r="W5">
        <f>$B5*'Time Series Scaling Factors'!W31</f>
        <v>7200000000000000</v>
      </c>
      <c r="X5">
        <f>$B5*'Time Series Scaling Factors'!X31</f>
        <v>7200000000000000</v>
      </c>
      <c r="Y5">
        <f>$B5*'Time Series Scaling Factors'!Y31</f>
        <v>7200000000000000</v>
      </c>
      <c r="Z5">
        <f>$B5*'Time Series Scaling Factors'!Z31</f>
        <v>7200000000000000</v>
      </c>
      <c r="AA5">
        <f>$B5*'Time Series Scaling Factors'!AA31</f>
        <v>7200000000000000</v>
      </c>
      <c r="AB5">
        <f>$B5*'Time Series Scaling Factors'!AB31</f>
        <v>7200000000000000</v>
      </c>
      <c r="AC5">
        <f>$B5*'Time Series Scaling Factors'!AC31</f>
        <v>7200000000000000</v>
      </c>
      <c r="AD5">
        <f>$B5*'Time Series Scaling Factors'!AD31</f>
        <v>7200000000000000</v>
      </c>
      <c r="AE5">
        <f>$B5*'Time Series Scaling Factors'!AE31</f>
        <v>7200000000000000</v>
      </c>
    </row>
    <row r="6" spans="1:32" x14ac:dyDescent="0.25">
      <c r="A6" s="1" t="s">
        <v>228</v>
      </c>
      <c r="B6">
        <f>'First Modeled Year Data'!C30</f>
        <v>0</v>
      </c>
      <c r="C6">
        <f>$B6*'Time Series Scaling Factors'!C32</f>
        <v>0</v>
      </c>
      <c r="D6">
        <f>$B6*'Time Series Scaling Factors'!D32</f>
        <v>0</v>
      </c>
      <c r="E6">
        <f>$B6*'Time Series Scaling Factors'!E32</f>
        <v>0</v>
      </c>
      <c r="F6">
        <f>$B6*'Time Series Scaling Factors'!F32</f>
        <v>0</v>
      </c>
      <c r="G6">
        <f>$B6*'Time Series Scaling Factors'!G32</f>
        <v>0</v>
      </c>
      <c r="H6">
        <f>$B6*'Time Series Scaling Factors'!H32</f>
        <v>0</v>
      </c>
      <c r="I6">
        <f>$B6*'Time Series Scaling Factors'!I32</f>
        <v>0</v>
      </c>
      <c r="J6">
        <f>$B6*'Time Series Scaling Factors'!J32</f>
        <v>0</v>
      </c>
      <c r="K6">
        <f>$B6*'Time Series Scaling Factors'!K32</f>
        <v>0</v>
      </c>
      <c r="L6">
        <f>$B6*'Time Series Scaling Factors'!L32</f>
        <v>0</v>
      </c>
      <c r="M6">
        <f>$B6*'Time Series Scaling Factors'!M32</f>
        <v>0</v>
      </c>
      <c r="N6">
        <f>$B6*'Time Series Scaling Factors'!N32</f>
        <v>0</v>
      </c>
      <c r="O6">
        <f>$B6*'Time Series Scaling Factors'!O32</f>
        <v>0</v>
      </c>
      <c r="P6">
        <f>$B6*'Time Series Scaling Factors'!P32</f>
        <v>0</v>
      </c>
      <c r="Q6">
        <f>$B6*'Time Series Scaling Factors'!Q32</f>
        <v>0</v>
      </c>
      <c r="R6">
        <f>$B6*'Time Series Scaling Factors'!R32</f>
        <v>0</v>
      </c>
      <c r="S6">
        <f>$B6*'Time Series Scaling Factors'!S32</f>
        <v>0</v>
      </c>
      <c r="T6">
        <f>$B6*'Time Series Scaling Factors'!T32</f>
        <v>0</v>
      </c>
      <c r="U6">
        <f>$B6*'Time Series Scaling Factors'!U32</f>
        <v>0</v>
      </c>
      <c r="V6">
        <f>$B6*'Time Series Scaling Factors'!V32</f>
        <v>0</v>
      </c>
      <c r="W6">
        <f>$B6*'Time Series Scaling Factors'!W32</f>
        <v>0</v>
      </c>
      <c r="X6">
        <f>$B6*'Time Series Scaling Factors'!X32</f>
        <v>0</v>
      </c>
      <c r="Y6">
        <f>$B6*'Time Series Scaling Factors'!Y32</f>
        <v>0</v>
      </c>
      <c r="Z6">
        <f>$B6*'Time Series Scaling Factors'!Z32</f>
        <v>0</v>
      </c>
      <c r="AA6">
        <f>$B6*'Time Series Scaling Factors'!AA32</f>
        <v>0</v>
      </c>
      <c r="AB6">
        <f>$B6*'Time Series Scaling Factors'!AB32</f>
        <v>0</v>
      </c>
      <c r="AC6">
        <f>$B6*'Time Series Scaling Factors'!AC32</f>
        <v>0</v>
      </c>
      <c r="AD6">
        <f>$B6*'Time Series Scaling Factors'!AD32</f>
        <v>0</v>
      </c>
      <c r="AE6">
        <f>$B6*'Time Series Scaling Factors'!AE32</f>
        <v>0</v>
      </c>
    </row>
    <row r="7" spans="1:32" x14ac:dyDescent="0.25">
      <c r="A7" s="1" t="s">
        <v>229</v>
      </c>
      <c r="B7">
        <f>'First Modeled Year Data'!C31</f>
        <v>0</v>
      </c>
      <c r="C7">
        <f>$B7*'Time Series Scaling Factors'!C33</f>
        <v>0</v>
      </c>
      <c r="D7">
        <f>$B7*'Time Series Scaling Factors'!D33</f>
        <v>0</v>
      </c>
      <c r="E7">
        <f>$B7*'Time Series Scaling Factors'!E33</f>
        <v>0</v>
      </c>
      <c r="F7">
        <f>$B7*'Time Series Scaling Factors'!F33</f>
        <v>0</v>
      </c>
      <c r="G7">
        <f>$B7*'Time Series Scaling Factors'!G33</f>
        <v>0</v>
      </c>
      <c r="H7">
        <f>$B7*'Time Series Scaling Factors'!H33</f>
        <v>0</v>
      </c>
      <c r="I7">
        <f>$B7*'Time Series Scaling Factors'!I33</f>
        <v>0</v>
      </c>
      <c r="J7">
        <f>$B7*'Time Series Scaling Factors'!J33</f>
        <v>0</v>
      </c>
      <c r="K7">
        <f>$B7*'Time Series Scaling Factors'!K33</f>
        <v>0</v>
      </c>
      <c r="L7">
        <f>$B7*'Time Series Scaling Factors'!L33</f>
        <v>0</v>
      </c>
      <c r="M7">
        <f>$B7*'Time Series Scaling Factors'!M33</f>
        <v>0</v>
      </c>
      <c r="N7">
        <f>$B7*'Time Series Scaling Factors'!N33</f>
        <v>0</v>
      </c>
      <c r="O7">
        <f>$B7*'Time Series Scaling Factors'!O33</f>
        <v>0</v>
      </c>
      <c r="P7">
        <f>$B7*'Time Series Scaling Factors'!P33</f>
        <v>0</v>
      </c>
      <c r="Q7">
        <f>$B7*'Time Series Scaling Factors'!Q33</f>
        <v>0</v>
      </c>
      <c r="R7">
        <f>$B7*'Time Series Scaling Factors'!R33</f>
        <v>0</v>
      </c>
      <c r="S7">
        <f>$B7*'Time Series Scaling Factors'!S33</f>
        <v>0</v>
      </c>
      <c r="T7">
        <f>$B7*'Time Series Scaling Factors'!T33</f>
        <v>0</v>
      </c>
      <c r="U7">
        <f>$B7*'Time Series Scaling Factors'!U33</f>
        <v>0</v>
      </c>
      <c r="V7">
        <f>$B7*'Time Series Scaling Factors'!V33</f>
        <v>0</v>
      </c>
      <c r="W7">
        <f>$B7*'Time Series Scaling Factors'!W33</f>
        <v>0</v>
      </c>
      <c r="X7">
        <f>$B7*'Time Series Scaling Factors'!X33</f>
        <v>0</v>
      </c>
      <c r="Y7">
        <f>$B7*'Time Series Scaling Factors'!Y33</f>
        <v>0</v>
      </c>
      <c r="Z7">
        <f>$B7*'Time Series Scaling Factors'!Z33</f>
        <v>0</v>
      </c>
      <c r="AA7">
        <f>$B7*'Time Series Scaling Factors'!AA33</f>
        <v>0</v>
      </c>
      <c r="AB7">
        <f>$B7*'Time Series Scaling Factors'!AB33</f>
        <v>0</v>
      </c>
      <c r="AC7">
        <f>$B7*'Time Series Scaling Factors'!AC33</f>
        <v>0</v>
      </c>
      <c r="AD7">
        <f>$B7*'Time Series Scaling Factors'!AD33</f>
        <v>0</v>
      </c>
      <c r="AE7">
        <f>$B7*'Time Series Scaling Factors'!AE33</f>
        <v>0</v>
      </c>
    </row>
    <row r="8" spans="1:32" x14ac:dyDescent="0.25">
      <c r="A8" s="1" t="s">
        <v>230</v>
      </c>
      <c r="B8">
        <f>'First Modeled Year Data'!C32</f>
        <v>0</v>
      </c>
      <c r="C8">
        <f>$B8*'Time Series Scaling Factors'!C34</f>
        <v>0</v>
      </c>
      <c r="D8">
        <f>$B8*'Time Series Scaling Factors'!D34</f>
        <v>0</v>
      </c>
      <c r="E8">
        <f>$B8*'Time Series Scaling Factors'!E34</f>
        <v>0</v>
      </c>
      <c r="F8">
        <f>$B8*'Time Series Scaling Factors'!F34</f>
        <v>0</v>
      </c>
      <c r="G8">
        <f>$B8*'Time Series Scaling Factors'!G34</f>
        <v>0</v>
      </c>
      <c r="H8">
        <f>$B8*'Time Series Scaling Factors'!H34</f>
        <v>0</v>
      </c>
      <c r="I8">
        <f>$B8*'Time Series Scaling Factors'!I34</f>
        <v>0</v>
      </c>
      <c r="J8">
        <f>$B8*'Time Series Scaling Factors'!J34</f>
        <v>0</v>
      </c>
      <c r="K8">
        <f>$B8*'Time Series Scaling Factors'!K34</f>
        <v>0</v>
      </c>
      <c r="L8">
        <f>$B8*'Time Series Scaling Factors'!L34</f>
        <v>0</v>
      </c>
      <c r="M8">
        <f>$B8*'Time Series Scaling Factors'!M34</f>
        <v>0</v>
      </c>
      <c r="N8">
        <f>$B8*'Time Series Scaling Factors'!N34</f>
        <v>0</v>
      </c>
      <c r="O8">
        <f>$B8*'Time Series Scaling Factors'!O34</f>
        <v>0</v>
      </c>
      <c r="P8">
        <f>$B8*'Time Series Scaling Factors'!P34</f>
        <v>0</v>
      </c>
      <c r="Q8">
        <f>$B8*'Time Series Scaling Factors'!Q34</f>
        <v>0</v>
      </c>
      <c r="R8">
        <f>$B8*'Time Series Scaling Factors'!R34</f>
        <v>0</v>
      </c>
      <c r="S8">
        <f>$B8*'Time Series Scaling Factors'!S34</f>
        <v>0</v>
      </c>
      <c r="T8">
        <f>$B8*'Time Series Scaling Factors'!T34</f>
        <v>0</v>
      </c>
      <c r="U8">
        <f>$B8*'Time Series Scaling Factors'!U34</f>
        <v>0</v>
      </c>
      <c r="V8">
        <f>$B8*'Time Series Scaling Factors'!V34</f>
        <v>0</v>
      </c>
      <c r="W8">
        <f>$B8*'Time Series Scaling Factors'!W34</f>
        <v>0</v>
      </c>
      <c r="X8">
        <f>$B8*'Time Series Scaling Factors'!X34</f>
        <v>0</v>
      </c>
      <c r="Y8">
        <f>$B8*'Time Series Scaling Factors'!Y34</f>
        <v>0</v>
      </c>
      <c r="Z8">
        <f>$B8*'Time Series Scaling Factors'!Z34</f>
        <v>0</v>
      </c>
      <c r="AA8">
        <f>$B8*'Time Series Scaling Factors'!AA34</f>
        <v>0</v>
      </c>
      <c r="AB8">
        <f>$B8*'Time Series Scaling Factors'!AB34</f>
        <v>0</v>
      </c>
      <c r="AC8">
        <f>$B8*'Time Series Scaling Factors'!AC34</f>
        <v>0</v>
      </c>
      <c r="AD8">
        <f>$B8*'Time Series Scaling Factors'!AD34</f>
        <v>0</v>
      </c>
      <c r="AE8">
        <f>$B8*'Time Series Scaling Factors'!AE34</f>
        <v>0</v>
      </c>
    </row>
    <row r="9" spans="1:32" x14ac:dyDescent="0.25">
      <c r="A9" s="1" t="s">
        <v>219</v>
      </c>
      <c r="B9">
        <f>'First Modeled Year Data'!C33</f>
        <v>5522103312930.1787</v>
      </c>
      <c r="C9">
        <f>$B9*'Time Series Scaling Factors'!C35</f>
        <v>5522103312930.1787</v>
      </c>
      <c r="D9">
        <f>$B9*'Time Series Scaling Factors'!D35</f>
        <v>5522103312930.1787</v>
      </c>
      <c r="E9">
        <f>$B9*'Time Series Scaling Factors'!E35</f>
        <v>5522103312930.1787</v>
      </c>
      <c r="F9">
        <f>$B9*'Time Series Scaling Factors'!F35</f>
        <v>5522103312930.1787</v>
      </c>
      <c r="G9">
        <f>$B9*'Time Series Scaling Factors'!G35</f>
        <v>5522103312930.1787</v>
      </c>
      <c r="H9">
        <f>$B9*'Time Series Scaling Factors'!H35</f>
        <v>5522103312930.1787</v>
      </c>
      <c r="I9">
        <f>$B9*'Time Series Scaling Factors'!I35</f>
        <v>5522103312930.1787</v>
      </c>
      <c r="J9">
        <f>$B9*'Time Series Scaling Factors'!J35</f>
        <v>5522103312930.1787</v>
      </c>
      <c r="K9">
        <f>$B9*'Time Series Scaling Factors'!K35</f>
        <v>5522103312930.1787</v>
      </c>
      <c r="L9">
        <f>$B9*'Time Series Scaling Factors'!L35</f>
        <v>5522103312930.1787</v>
      </c>
      <c r="M9">
        <f>$B9*'Time Series Scaling Factors'!M35</f>
        <v>5522103312930.1787</v>
      </c>
      <c r="N9">
        <f>$B9*'Time Series Scaling Factors'!N35</f>
        <v>5522103312930.1787</v>
      </c>
      <c r="O9">
        <f>$B9*'Time Series Scaling Factors'!O35</f>
        <v>5522103312930.1787</v>
      </c>
      <c r="P9">
        <f>$B9*'Time Series Scaling Factors'!P35</f>
        <v>5522103312930.1787</v>
      </c>
      <c r="Q9">
        <f>$B9*'Time Series Scaling Factors'!Q35</f>
        <v>5522103312930.1787</v>
      </c>
      <c r="R9">
        <f>$B9*'Time Series Scaling Factors'!R35</f>
        <v>5522103312930.1787</v>
      </c>
      <c r="S9">
        <f>$B9*'Time Series Scaling Factors'!S35</f>
        <v>5522103312930.1787</v>
      </c>
      <c r="T9">
        <f>$B9*'Time Series Scaling Factors'!T35</f>
        <v>5522103312930.1787</v>
      </c>
      <c r="U9">
        <f>$B9*'Time Series Scaling Factors'!U35</f>
        <v>5522103312930.1787</v>
      </c>
      <c r="V9">
        <f>$B9*'Time Series Scaling Factors'!V35</f>
        <v>5522103312930.1787</v>
      </c>
      <c r="W9">
        <f>$B9*'Time Series Scaling Factors'!W35</f>
        <v>5522103312930.1787</v>
      </c>
      <c r="X9">
        <f>$B9*'Time Series Scaling Factors'!X35</f>
        <v>5522103312930.1787</v>
      </c>
      <c r="Y9">
        <f>$B9*'Time Series Scaling Factors'!Y35</f>
        <v>5522103312930.1787</v>
      </c>
      <c r="Z9">
        <f>$B9*'Time Series Scaling Factors'!Z35</f>
        <v>5522103312930.1787</v>
      </c>
      <c r="AA9">
        <f>$B9*'Time Series Scaling Factors'!AA35</f>
        <v>5522103312930.1787</v>
      </c>
      <c r="AB9">
        <f>$B9*'Time Series Scaling Factors'!AB35</f>
        <v>5522103312930.1787</v>
      </c>
      <c r="AC9">
        <f>$B9*'Time Series Scaling Factors'!AC35</f>
        <v>5522103312930.1787</v>
      </c>
      <c r="AD9">
        <f>$B9*'Time Series Scaling Factors'!AD35</f>
        <v>5522103312930.1787</v>
      </c>
      <c r="AE9">
        <f>$B9*'Time Series Scaling Factors'!AE35</f>
        <v>5522103312930.1787</v>
      </c>
    </row>
    <row r="10" spans="1:32" x14ac:dyDescent="0.25">
      <c r="A10" s="1" t="s">
        <v>220</v>
      </c>
      <c r="B10">
        <f>'First Modeled Year Data'!C34</f>
        <v>59529362424000</v>
      </c>
      <c r="C10">
        <f>$B10*'Time Series Scaling Factors'!C36</f>
        <v>60070811101686.063</v>
      </c>
      <c r="D10">
        <f>$B10*'Time Series Scaling Factors'!D36</f>
        <v>61086756347521.961</v>
      </c>
      <c r="E10">
        <f>$B10*'Time Series Scaling Factors'!E36</f>
        <v>50871598825176.734</v>
      </c>
      <c r="F10">
        <f>$B10*'Time Series Scaling Factors'!F36</f>
        <v>50922166349837.758</v>
      </c>
      <c r="G10">
        <f>$B10*'Time Series Scaling Factors'!G36</f>
        <v>50944622572097.367</v>
      </c>
      <c r="H10">
        <f>$B10*'Time Series Scaling Factors'!H36</f>
        <v>50401608649014.914</v>
      </c>
      <c r="I10">
        <f>$B10*'Time Series Scaling Factors'!I36</f>
        <v>49404484216776.023</v>
      </c>
      <c r="J10">
        <f>$B10*'Time Series Scaling Factors'!J36</f>
        <v>48443915838311.063</v>
      </c>
      <c r="K10">
        <f>$B10*'Time Series Scaling Factors'!K36</f>
        <v>48023028924987.844</v>
      </c>
      <c r="L10">
        <f>$B10*'Time Series Scaling Factors'!L36</f>
        <v>48046671704241.492</v>
      </c>
      <c r="M10">
        <f>$B10*'Time Series Scaling Factors'!M36</f>
        <v>47221585413192.125</v>
      </c>
      <c r="N10">
        <f>$B10*'Time Series Scaling Factors'!N36</f>
        <v>46933580260255</v>
      </c>
      <c r="O10">
        <f>$B10*'Time Series Scaling Factors'!O36</f>
        <v>46512655478091.539</v>
      </c>
      <c r="P10">
        <f>$B10*'Time Series Scaling Factors'!P36</f>
        <v>46476061555477.383</v>
      </c>
      <c r="Q10">
        <f>$B10*'Time Series Scaling Factors'!Q36</f>
        <v>46332993077067.961</v>
      </c>
      <c r="R10">
        <f>$B10*'Time Series Scaling Factors'!R36</f>
        <v>46468904344672.883</v>
      </c>
      <c r="S10">
        <f>$B10*'Time Series Scaling Factors'!S36</f>
        <v>46516467608008.578</v>
      </c>
      <c r="T10">
        <f>$B10*'Time Series Scaling Factors'!T36</f>
        <v>46614926592620.672</v>
      </c>
      <c r="U10">
        <f>$B10*'Time Series Scaling Factors'!U36</f>
        <v>46735311635729.07</v>
      </c>
      <c r="V10">
        <f>$B10*'Time Series Scaling Factors'!V36</f>
        <v>46999875976560.477</v>
      </c>
      <c r="W10">
        <f>$B10*'Time Series Scaling Factors'!W36</f>
        <v>46940636487485.531</v>
      </c>
      <c r="X10">
        <f>$B10*'Time Series Scaling Factors'!X36</f>
        <v>47025046132370.289</v>
      </c>
      <c r="Y10">
        <f>$B10*'Time Series Scaling Factors'!Y36</f>
        <v>46921083542977.305</v>
      </c>
      <c r="Z10">
        <f>$B10*'Time Series Scaling Factors'!Z36</f>
        <v>47305035714124.25</v>
      </c>
      <c r="AA10">
        <f>$B10*'Time Series Scaling Factors'!AA36</f>
        <v>46988136636087.492</v>
      </c>
      <c r="AB10">
        <f>$B10*'Time Series Scaling Factors'!AB36</f>
        <v>47261890482149.352</v>
      </c>
      <c r="AC10">
        <f>$B10*'Time Series Scaling Factors'!AC36</f>
        <v>48178859202556.609</v>
      </c>
      <c r="AD10">
        <f>$B10*'Time Series Scaling Factors'!AD36</f>
        <v>48430055842784.898</v>
      </c>
      <c r="AE10">
        <f>$B10*'Time Series Scaling Factors'!AE36</f>
        <v>47558769566648.32</v>
      </c>
    </row>
    <row r="11" spans="1:32" x14ac:dyDescent="0.25">
      <c r="A11" s="1" t="s">
        <v>231</v>
      </c>
      <c r="B11">
        <f>'First Modeled Year Data'!C35</f>
        <v>320229375000000</v>
      </c>
      <c r="C11">
        <f>$B11*'Time Series Scaling Factors'!C37</f>
        <v>323142017846987.44</v>
      </c>
      <c r="D11">
        <f>$B11*'Time Series Scaling Factors'!D37</f>
        <v>328607144598909.19</v>
      </c>
      <c r="E11">
        <f>$B11*'Time Series Scaling Factors'!E37</f>
        <v>273656219950867.97</v>
      </c>
      <c r="F11">
        <f>$B11*'Time Series Scaling Factors'!F37</f>
        <v>273928240448956.97</v>
      </c>
      <c r="G11">
        <f>$B11*'Time Series Scaling Factors'!G37</f>
        <v>274049040365607.13</v>
      </c>
      <c r="H11">
        <f>$B11*'Time Series Scaling Factors'!H37</f>
        <v>271127977513187.16</v>
      </c>
      <c r="I11">
        <f>$B11*'Time Series Scaling Factors'!I37</f>
        <v>265764094536265.56</v>
      </c>
      <c r="J11">
        <f>$B11*'Time Series Scaling Factors'!J37</f>
        <v>260596859428157.22</v>
      </c>
      <c r="K11">
        <f>$B11*'Time Series Scaling Factors'!K37</f>
        <v>258332760709289.78</v>
      </c>
      <c r="L11">
        <f>$B11*'Time Series Scaling Factors'!L37</f>
        <v>258459943533284</v>
      </c>
      <c r="M11">
        <f>$B11*'Time Series Scaling Factors'!M37</f>
        <v>254021514217983.88</v>
      </c>
      <c r="N11">
        <f>$B11*'Time Series Scaling Factors'!N37</f>
        <v>252472233218383.38</v>
      </c>
      <c r="O11">
        <f>$B11*'Time Series Scaling Factors'!O37</f>
        <v>250207930789707.06</v>
      </c>
      <c r="P11">
        <f>$B11*'Time Series Scaling Factors'!P37</f>
        <v>250011079211084.97</v>
      </c>
      <c r="Q11">
        <f>$B11*'Time Series Scaling Factors'!Q37</f>
        <v>249241463553236.44</v>
      </c>
      <c r="R11">
        <f>$B11*'Time Series Scaling Factors'!R37</f>
        <v>249972578057211.66</v>
      </c>
      <c r="S11">
        <f>$B11*'Time Series Scaling Factors'!S37</f>
        <v>250228437577131.66</v>
      </c>
      <c r="T11">
        <f>$B11*'Time Series Scaling Factors'!T37</f>
        <v>250758083080150.75</v>
      </c>
      <c r="U11">
        <f>$B11*'Time Series Scaling Factors'!U37</f>
        <v>251405676562496.03</v>
      </c>
      <c r="V11">
        <f>$B11*'Time Series Scaling Factors'!V37</f>
        <v>252828861190416.22</v>
      </c>
      <c r="W11">
        <f>$B11*'Time Series Scaling Factors'!W37</f>
        <v>252510191146099.75</v>
      </c>
      <c r="X11">
        <f>$B11*'Time Series Scaling Factors'!X37</f>
        <v>252964260310034.22</v>
      </c>
      <c r="Y11">
        <f>$B11*'Time Series Scaling Factors'!Y37</f>
        <v>252405008981461.69</v>
      </c>
      <c r="Z11">
        <f>$B11*'Time Series Scaling Factors'!Z37</f>
        <v>254470422733427.38</v>
      </c>
      <c r="AA11">
        <f>$B11*'Time Series Scaling Factors'!AA37</f>
        <v>252765711149671.66</v>
      </c>
      <c r="AB11">
        <f>$B11*'Time Series Scaling Factors'!AB37</f>
        <v>254238329357873.59</v>
      </c>
      <c r="AC11">
        <f>$B11*'Time Series Scaling Factors'!AC37</f>
        <v>259171026572721.97</v>
      </c>
      <c r="AD11">
        <f>$B11*'Time Series Scaling Factors'!AD37</f>
        <v>260522301638116.84</v>
      </c>
      <c r="AE11">
        <f>$B11*'Time Series Scaling Factors'!AE37</f>
        <v>255835346356015.47</v>
      </c>
    </row>
    <row r="12" spans="1:32" x14ac:dyDescent="0.25">
      <c r="A12" s="1" t="s">
        <v>232</v>
      </c>
      <c r="B12">
        <f>'First Modeled Year Data'!C36</f>
        <v>7285809312000</v>
      </c>
      <c r="C12">
        <f>$B12*'Time Series Scaling Factors'!C38</f>
        <v>7352077312482.8135</v>
      </c>
      <c r="D12">
        <f>$B12*'Time Series Scaling Factors'!D38</f>
        <v>7476419032790.0537</v>
      </c>
      <c r="E12">
        <f>$B12*'Time Series Scaling Factors'!E38</f>
        <v>6226184076975.3057</v>
      </c>
      <c r="F12">
        <f>$B12*'Time Series Scaling Factors'!F38</f>
        <v>6232373045360.957</v>
      </c>
      <c r="G12">
        <f>$B12*'Time Series Scaling Factors'!G38</f>
        <v>6235121466418.8887</v>
      </c>
      <c r="H12">
        <f>$B12*'Time Series Scaling Factors'!H38</f>
        <v>6168661895272.1172</v>
      </c>
      <c r="I12">
        <f>$B12*'Time Series Scaling Factors'!I38</f>
        <v>6046623657706.5176</v>
      </c>
      <c r="J12">
        <f>$B12*'Time Series Scaling Factors'!J38</f>
        <v>5929059522099.1914</v>
      </c>
      <c r="K12">
        <f>$B12*'Time Series Scaling Factors'!K38</f>
        <v>5877547097515.3701</v>
      </c>
      <c r="L12">
        <f>$B12*'Time Series Scaling Factors'!L38</f>
        <v>5880440741495.9814</v>
      </c>
      <c r="M12">
        <f>$B12*'Time Series Scaling Factors'!M38</f>
        <v>5779458282794.0986</v>
      </c>
      <c r="N12">
        <f>$B12*'Time Series Scaling Factors'!N38</f>
        <v>5744209280625.5928</v>
      </c>
      <c r="O12">
        <f>$B12*'Time Series Scaling Factors'!O38</f>
        <v>5692692221267.6436</v>
      </c>
      <c r="P12">
        <f>$B12*'Time Series Scaling Factors'!P38</f>
        <v>5688213484535.2412</v>
      </c>
      <c r="Q12">
        <f>$B12*'Time Series Scaling Factors'!Q38</f>
        <v>5670703307879.4805</v>
      </c>
      <c r="R12">
        <f>$B12*'Time Series Scaling Factors'!R38</f>
        <v>5687337512225.04</v>
      </c>
      <c r="S12">
        <f>$B12*'Time Series Scaling Factors'!S38</f>
        <v>5693158788529.8672</v>
      </c>
      <c r="T12">
        <f>$B12*'Time Series Scaling Factors'!T38</f>
        <v>5705209201262.7891</v>
      </c>
      <c r="U12">
        <f>$B12*'Time Series Scaling Factors'!U38</f>
        <v>5719943148215.8486</v>
      </c>
      <c r="V12">
        <f>$B12*'Time Series Scaling Factors'!V38</f>
        <v>5752323225199.0938</v>
      </c>
      <c r="W12">
        <f>$B12*'Time Series Scaling Factors'!W38</f>
        <v>5745072893538.1191</v>
      </c>
      <c r="X12">
        <f>$B12*'Time Series Scaling Factors'!X38</f>
        <v>5755403805069.5361</v>
      </c>
      <c r="Y12">
        <f>$B12*'Time Series Scaling Factors'!Y38</f>
        <v>5742679805163.3369</v>
      </c>
      <c r="Z12">
        <f>$B12*'Time Series Scaling Factors'!Z38</f>
        <v>5789671780047.6035</v>
      </c>
      <c r="AA12">
        <f>$B12*'Time Series Scaling Factors'!AA38</f>
        <v>5750886445219.3994</v>
      </c>
      <c r="AB12">
        <f>$B12*'Time Series Scaling Factors'!AB38</f>
        <v>5784391227391.0488</v>
      </c>
      <c r="AC12">
        <f>$B12*'Time Series Scaling Factors'!AC38</f>
        <v>5896619193052.2842</v>
      </c>
      <c r="AD12">
        <f>$B12*'Time Series Scaling Factors'!AD38</f>
        <v>5927363194768.3271</v>
      </c>
      <c r="AE12">
        <f>$B12*'Time Series Scaling Factors'!AE38</f>
        <v>5820726311630.2266</v>
      </c>
    </row>
    <row r="13" spans="1:32" x14ac:dyDescent="0.25">
      <c r="A13" s="1" t="s">
        <v>233</v>
      </c>
      <c r="B13">
        <f>'First Modeled Year Data'!C37</f>
        <v>74398997000000</v>
      </c>
      <c r="C13">
        <f>$B13*'Time Series Scaling Factors'!C39</f>
        <v>75075692279547.938</v>
      </c>
      <c r="D13">
        <f>$B13*'Time Series Scaling Factors'!D39</f>
        <v>76345406992075.016</v>
      </c>
      <c r="E13">
        <f>$B13*'Time Series Scaling Factors'!E39</f>
        <v>63578640426587.867</v>
      </c>
      <c r="F13">
        <f>$B13*'Time Series Scaling Factors'!F39</f>
        <v>63641839039211.281</v>
      </c>
      <c r="G13">
        <f>$B13*'Time Series Scaling Factors'!G39</f>
        <v>63669904523948.445</v>
      </c>
      <c r="H13">
        <f>$B13*'Time Series Scaling Factors'!H39</f>
        <v>62991253021743.18</v>
      </c>
      <c r="I13">
        <f>$B13*'Time Series Scaling Factors'!I39</f>
        <v>61745060309071.703</v>
      </c>
      <c r="J13">
        <f>$B13*'Time Series Scaling Factors'!J39</f>
        <v>60544554861042.625</v>
      </c>
      <c r="K13">
        <f>$B13*'Time Series Scaling Factors'!K39</f>
        <v>60018536054077.383</v>
      </c>
      <c r="L13">
        <f>$B13*'Time Series Scaling Factors'!L39</f>
        <v>60048084481796.727</v>
      </c>
      <c r="M13">
        <f>$B13*'Time Series Scaling Factors'!M39</f>
        <v>59016902725551.773</v>
      </c>
      <c r="N13">
        <f>$B13*'Time Series Scaling Factors'!N39</f>
        <v>58656957756601.203</v>
      </c>
      <c r="O13">
        <f>$B13*'Time Series Scaling Factors'!O39</f>
        <v>58130891621668.453</v>
      </c>
      <c r="P13">
        <f>$B13*'Time Series Scaling Factors'!P39</f>
        <v>58085157029058.539</v>
      </c>
      <c r="Q13">
        <f>$B13*'Time Series Scaling Factors'!Q39</f>
        <v>57906351967781.992</v>
      </c>
      <c r="R13">
        <f>$B13*'Time Series Scaling Factors'!R39</f>
        <v>58076212043197.961</v>
      </c>
      <c r="S13">
        <f>$B13*'Time Series Scaling Factors'!S39</f>
        <v>58135655970398.422</v>
      </c>
      <c r="T13">
        <f>$B13*'Time Series Scaling Factors'!T39</f>
        <v>58258708685940.781</v>
      </c>
      <c r="U13">
        <f>$B13*'Time Series Scaling Factors'!U39</f>
        <v>58409164294675.063</v>
      </c>
      <c r="V13">
        <f>$B13*'Time Series Scaling Factors'!V39</f>
        <v>58739813251733.055</v>
      </c>
      <c r="W13">
        <f>$B13*'Time Series Scaling Factors'!W39</f>
        <v>58665776534548.406</v>
      </c>
      <c r="X13">
        <f>$B13*'Time Series Scaling Factors'!X39</f>
        <v>58771270574142.219</v>
      </c>
      <c r="Y13">
        <f>$B13*'Time Series Scaling Factors'!Y39</f>
        <v>58641339527320.82</v>
      </c>
      <c r="Z13">
        <f>$B13*'Time Series Scaling Factors'!Z39</f>
        <v>59121197789968.5</v>
      </c>
      <c r="AA13">
        <f>$B13*'Time Series Scaling Factors'!AA39</f>
        <v>58725141581803</v>
      </c>
      <c r="AB13">
        <f>$B13*'Time Series Scaling Factors'!AB39</f>
        <v>59067275458978.273</v>
      </c>
      <c r="AC13">
        <f>$B13*'Time Series Scaling Factors'!AC39</f>
        <v>60213290640406.938</v>
      </c>
      <c r="AD13">
        <f>$B13*'Time Series Scaling Factors'!AD39</f>
        <v>60527232824931.664</v>
      </c>
      <c r="AE13">
        <f>$B13*'Time Series Scaling Factors'!AE39</f>
        <v>59438310948316.828</v>
      </c>
    </row>
    <row r="14" spans="1:32" x14ac:dyDescent="0.25">
      <c r="A14" s="1" t="s">
        <v>222</v>
      </c>
      <c r="B14">
        <f>'First Modeled Year Data'!C38</f>
        <v>338510340000000</v>
      </c>
      <c r="C14">
        <f>$B14*'Time Series Scaling Factors'!C40</f>
        <v>341589257168146.38</v>
      </c>
      <c r="D14">
        <f>$B14*'Time Series Scaling Factors'!D40</f>
        <v>347366372134367.5</v>
      </c>
      <c r="E14">
        <f>$B14*'Time Series Scaling Factors'!E40</f>
        <v>289278458788120.56</v>
      </c>
      <c r="F14">
        <f>$B14*'Time Series Scaling Factors'!F40</f>
        <v>289566008146436.25</v>
      </c>
      <c r="G14">
        <f>$B14*'Time Series Scaling Factors'!G40</f>
        <v>289693704179497.56</v>
      </c>
      <c r="H14">
        <f>$B14*'Time Series Scaling Factors'!H40</f>
        <v>286605886332262.13</v>
      </c>
      <c r="I14">
        <f>$B14*'Time Series Scaling Factors'!I40</f>
        <v>280935794854121.06</v>
      </c>
      <c r="J14">
        <f>$B14*'Time Series Scaling Factors'!J40</f>
        <v>275473577300513.75</v>
      </c>
      <c r="K14">
        <f>$B14*'Time Series Scaling Factors'!K40</f>
        <v>273080227761242.47</v>
      </c>
      <c r="L14">
        <f>$B14*'Time Series Scaling Factors'!L40</f>
        <v>273214671083290.75</v>
      </c>
      <c r="M14">
        <f>$B14*'Time Series Scaling Factors'!M40</f>
        <v>268522864728585.75</v>
      </c>
      <c r="N14">
        <f>$B14*'Time Series Scaling Factors'!N40</f>
        <v>266885139776181.53</v>
      </c>
      <c r="O14">
        <f>$B14*'Time Series Scaling Factors'!O40</f>
        <v>264491574897900</v>
      </c>
      <c r="P14">
        <f>$B14*'Time Series Scaling Factors'!P40</f>
        <v>264283485634356</v>
      </c>
      <c r="Q14">
        <f>$B14*'Time Series Scaling Factors'!Q40</f>
        <v>263469934853739.38</v>
      </c>
      <c r="R14">
        <f>$B14*'Time Series Scaling Factors'!R40</f>
        <v>264242786561424.16</v>
      </c>
      <c r="S14">
        <f>$B14*'Time Series Scaling Factors'!S40</f>
        <v>264513252358262.31</v>
      </c>
      <c r="T14">
        <f>$B14*'Time Series Scaling Factors'!T40</f>
        <v>265073133784838.06</v>
      </c>
      <c r="U14">
        <f>$B14*'Time Series Scaling Factors'!U40</f>
        <v>265757696498332.06</v>
      </c>
      <c r="V14">
        <f>$B14*'Time Series Scaling Factors'!V40</f>
        <v>267262126603409.19</v>
      </c>
      <c r="W14">
        <f>$B14*'Time Series Scaling Factors'!W40</f>
        <v>266925264611752.78</v>
      </c>
      <c r="X14">
        <f>$B14*'Time Series Scaling Factors'!X40</f>
        <v>267405255265536.44</v>
      </c>
      <c r="Y14">
        <f>$B14*'Time Series Scaling Factors'!Y40</f>
        <v>266814077902808.44</v>
      </c>
      <c r="Z14">
        <f>$B14*'Time Series Scaling Factors'!Z40</f>
        <v>268997400127443.72</v>
      </c>
      <c r="AA14">
        <f>$B14*'Time Series Scaling Factors'!AA40</f>
        <v>267195371510240.56</v>
      </c>
      <c r="AB14">
        <f>$B14*'Time Series Scaling Factors'!AB40</f>
        <v>268752057215131.41</v>
      </c>
      <c r="AC14">
        <f>$B14*'Time Series Scaling Factors'!AC40</f>
        <v>273966347788303.78</v>
      </c>
      <c r="AD14">
        <f>$B14*'Time Series Scaling Factors'!AD40</f>
        <v>275394763222772.72</v>
      </c>
      <c r="AE14">
        <f>$B14*'Time Series Scaling Factors'!AE40</f>
        <v>270440243275597.56</v>
      </c>
    </row>
    <row r="15" spans="1:32" x14ac:dyDescent="0.25">
      <c r="A15" s="1" t="s">
        <v>234</v>
      </c>
      <c r="B15">
        <f>'First Modeled Year Data'!C39</f>
        <v>0</v>
      </c>
      <c r="C15">
        <f>$B15*'Time Series Scaling Factors'!C41</f>
        <v>0</v>
      </c>
      <c r="D15">
        <f>$B15*'Time Series Scaling Factors'!D41</f>
        <v>0</v>
      </c>
      <c r="E15">
        <f>$B15*'Time Series Scaling Factors'!E41</f>
        <v>0</v>
      </c>
      <c r="F15">
        <f>$B15*'Time Series Scaling Factors'!F41</f>
        <v>0</v>
      </c>
      <c r="G15">
        <f>$B15*'Time Series Scaling Factors'!G41</f>
        <v>0</v>
      </c>
      <c r="H15">
        <f>$B15*'Time Series Scaling Factors'!H41</f>
        <v>0</v>
      </c>
      <c r="I15">
        <f>$B15*'Time Series Scaling Factors'!I41</f>
        <v>0</v>
      </c>
      <c r="J15">
        <f>$B15*'Time Series Scaling Factors'!J41</f>
        <v>0</v>
      </c>
      <c r="K15">
        <f>$B15*'Time Series Scaling Factors'!K41</f>
        <v>0</v>
      </c>
      <c r="L15">
        <f>$B15*'Time Series Scaling Factors'!L41</f>
        <v>0</v>
      </c>
      <c r="M15">
        <f>$B15*'Time Series Scaling Factors'!M41</f>
        <v>0</v>
      </c>
      <c r="N15">
        <f>$B15*'Time Series Scaling Factors'!N41</f>
        <v>0</v>
      </c>
      <c r="O15">
        <f>$B15*'Time Series Scaling Factors'!O41</f>
        <v>0</v>
      </c>
      <c r="P15">
        <f>$B15*'Time Series Scaling Factors'!P41</f>
        <v>0</v>
      </c>
      <c r="Q15">
        <f>$B15*'Time Series Scaling Factors'!Q41</f>
        <v>0</v>
      </c>
      <c r="R15">
        <f>$B15*'Time Series Scaling Factors'!R41</f>
        <v>0</v>
      </c>
      <c r="S15">
        <f>$B15*'Time Series Scaling Factors'!S41</f>
        <v>0</v>
      </c>
      <c r="T15">
        <f>$B15*'Time Series Scaling Factors'!T41</f>
        <v>0</v>
      </c>
      <c r="U15">
        <f>$B15*'Time Series Scaling Factors'!U41</f>
        <v>0</v>
      </c>
      <c r="V15">
        <f>$B15*'Time Series Scaling Factors'!V41</f>
        <v>0</v>
      </c>
      <c r="W15">
        <f>$B15*'Time Series Scaling Factors'!W41</f>
        <v>0</v>
      </c>
      <c r="X15">
        <f>$B15*'Time Series Scaling Factors'!X41</f>
        <v>0</v>
      </c>
      <c r="Y15">
        <f>$B15*'Time Series Scaling Factors'!Y41</f>
        <v>0</v>
      </c>
      <c r="Z15">
        <f>$B15*'Time Series Scaling Factors'!Z41</f>
        <v>0</v>
      </c>
      <c r="AA15">
        <f>$B15*'Time Series Scaling Factors'!AA41</f>
        <v>0</v>
      </c>
      <c r="AB15">
        <f>$B15*'Time Series Scaling Factors'!AB41</f>
        <v>0</v>
      </c>
      <c r="AC15">
        <f>$B15*'Time Series Scaling Factors'!AC41</f>
        <v>0</v>
      </c>
      <c r="AD15">
        <f>$B15*'Time Series Scaling Factors'!AD41</f>
        <v>0</v>
      </c>
      <c r="AE15">
        <f>$B15*'Time Series Scaling Factors'!AE41</f>
        <v>0</v>
      </c>
    </row>
    <row r="16" spans="1:32" x14ac:dyDescent="0.25">
      <c r="A16" s="1" t="s">
        <v>235</v>
      </c>
      <c r="B16">
        <f>'First Modeled Year Data'!C40</f>
        <v>0</v>
      </c>
      <c r="C16">
        <f>$B16*'Time Series Scaling Factors'!C42</f>
        <v>0</v>
      </c>
      <c r="D16">
        <f>$B16*'Time Series Scaling Factors'!D42</f>
        <v>0</v>
      </c>
      <c r="E16">
        <f>$B16*'Time Series Scaling Factors'!E42</f>
        <v>0</v>
      </c>
      <c r="F16">
        <f>$B16*'Time Series Scaling Factors'!F42</f>
        <v>0</v>
      </c>
      <c r="G16">
        <f>$B16*'Time Series Scaling Factors'!G42</f>
        <v>0</v>
      </c>
      <c r="H16">
        <f>$B16*'Time Series Scaling Factors'!H42</f>
        <v>0</v>
      </c>
      <c r="I16">
        <f>$B16*'Time Series Scaling Factors'!I42</f>
        <v>0</v>
      </c>
      <c r="J16">
        <f>$B16*'Time Series Scaling Factors'!J42</f>
        <v>0</v>
      </c>
      <c r="K16">
        <f>$B16*'Time Series Scaling Factors'!K42</f>
        <v>0</v>
      </c>
      <c r="L16">
        <f>$B16*'Time Series Scaling Factors'!L42</f>
        <v>0</v>
      </c>
      <c r="M16">
        <f>$B16*'Time Series Scaling Factors'!M42</f>
        <v>0</v>
      </c>
      <c r="N16">
        <f>$B16*'Time Series Scaling Factors'!N42</f>
        <v>0</v>
      </c>
      <c r="O16">
        <f>$B16*'Time Series Scaling Factors'!O42</f>
        <v>0</v>
      </c>
      <c r="P16">
        <f>$B16*'Time Series Scaling Factors'!P42</f>
        <v>0</v>
      </c>
      <c r="Q16">
        <f>$B16*'Time Series Scaling Factors'!Q42</f>
        <v>0</v>
      </c>
      <c r="R16">
        <f>$B16*'Time Series Scaling Factors'!R42</f>
        <v>0</v>
      </c>
      <c r="S16">
        <f>$B16*'Time Series Scaling Factors'!S42</f>
        <v>0</v>
      </c>
      <c r="T16">
        <f>$B16*'Time Series Scaling Factors'!T42</f>
        <v>0</v>
      </c>
      <c r="U16">
        <f>$B16*'Time Series Scaling Factors'!U42</f>
        <v>0</v>
      </c>
      <c r="V16">
        <f>$B16*'Time Series Scaling Factors'!V42</f>
        <v>0</v>
      </c>
      <c r="W16">
        <f>$B16*'Time Series Scaling Factors'!W42</f>
        <v>0</v>
      </c>
      <c r="X16">
        <f>$B16*'Time Series Scaling Factors'!X42</f>
        <v>0</v>
      </c>
      <c r="Y16">
        <f>$B16*'Time Series Scaling Factors'!Y42</f>
        <v>0</v>
      </c>
      <c r="Z16">
        <f>$B16*'Time Series Scaling Factors'!Z42</f>
        <v>0</v>
      </c>
      <c r="AA16">
        <f>$B16*'Time Series Scaling Factors'!AA42</f>
        <v>0</v>
      </c>
      <c r="AB16">
        <f>$B16*'Time Series Scaling Factors'!AB42</f>
        <v>0</v>
      </c>
      <c r="AC16">
        <f>$B16*'Time Series Scaling Factors'!AC42</f>
        <v>0</v>
      </c>
      <c r="AD16">
        <f>$B16*'Time Series Scaling Factors'!AD42</f>
        <v>0</v>
      </c>
      <c r="AE16">
        <f>$B16*'Time Series Scaling Factors'!AE42</f>
        <v>0</v>
      </c>
    </row>
    <row r="17" spans="1:31" x14ac:dyDescent="0.25">
      <c r="A17" s="1" t="s">
        <v>236</v>
      </c>
      <c r="B17">
        <f>'First Modeled Year Data'!C41</f>
        <v>0</v>
      </c>
      <c r="C17">
        <f>$B17*'Time Series Scaling Factors'!C43</f>
        <v>0</v>
      </c>
      <c r="D17">
        <f>$B17*'Time Series Scaling Factors'!D43</f>
        <v>0</v>
      </c>
      <c r="E17">
        <f>$B17*'Time Series Scaling Factors'!E43</f>
        <v>0</v>
      </c>
      <c r="F17">
        <f>$B17*'Time Series Scaling Factors'!F43</f>
        <v>0</v>
      </c>
      <c r="G17">
        <f>$B17*'Time Series Scaling Factors'!G43</f>
        <v>0</v>
      </c>
      <c r="H17">
        <f>$B17*'Time Series Scaling Factors'!H43</f>
        <v>0</v>
      </c>
      <c r="I17">
        <f>$B17*'Time Series Scaling Factors'!I43</f>
        <v>0</v>
      </c>
      <c r="J17">
        <f>$B17*'Time Series Scaling Factors'!J43</f>
        <v>0</v>
      </c>
      <c r="K17">
        <f>$B17*'Time Series Scaling Factors'!K43</f>
        <v>0</v>
      </c>
      <c r="L17">
        <f>$B17*'Time Series Scaling Factors'!L43</f>
        <v>0</v>
      </c>
      <c r="M17">
        <f>$B17*'Time Series Scaling Factors'!M43</f>
        <v>0</v>
      </c>
      <c r="N17">
        <f>$B17*'Time Series Scaling Factors'!N43</f>
        <v>0</v>
      </c>
      <c r="O17">
        <f>$B17*'Time Series Scaling Factors'!O43</f>
        <v>0</v>
      </c>
      <c r="P17">
        <f>$B17*'Time Series Scaling Factors'!P43</f>
        <v>0</v>
      </c>
      <c r="Q17">
        <f>$B17*'Time Series Scaling Factors'!Q43</f>
        <v>0</v>
      </c>
      <c r="R17">
        <f>$B17*'Time Series Scaling Factors'!R43</f>
        <v>0</v>
      </c>
      <c r="S17">
        <f>$B17*'Time Series Scaling Factors'!S43</f>
        <v>0</v>
      </c>
      <c r="T17">
        <f>$B17*'Time Series Scaling Factors'!T43</f>
        <v>0</v>
      </c>
      <c r="U17">
        <f>$B17*'Time Series Scaling Factors'!U43</f>
        <v>0</v>
      </c>
      <c r="V17">
        <f>$B17*'Time Series Scaling Factors'!V43</f>
        <v>0</v>
      </c>
      <c r="W17">
        <f>$B17*'Time Series Scaling Factors'!W43</f>
        <v>0</v>
      </c>
      <c r="X17">
        <f>$B17*'Time Series Scaling Factors'!X43</f>
        <v>0</v>
      </c>
      <c r="Y17">
        <f>$B17*'Time Series Scaling Factors'!Y43</f>
        <v>0</v>
      </c>
      <c r="Z17">
        <f>$B17*'Time Series Scaling Factors'!Z43</f>
        <v>0</v>
      </c>
      <c r="AA17">
        <f>$B17*'Time Series Scaling Factors'!AA43</f>
        <v>0</v>
      </c>
      <c r="AB17">
        <f>$B17*'Time Series Scaling Factors'!AB43</f>
        <v>0</v>
      </c>
      <c r="AC17">
        <f>$B17*'Time Series Scaling Factors'!AC43</f>
        <v>0</v>
      </c>
      <c r="AD17">
        <f>$B17*'Time Series Scaling Factors'!AD43</f>
        <v>0</v>
      </c>
      <c r="AE17">
        <f>$B17*'Time Series Scaling Factors'!AE43</f>
        <v>0</v>
      </c>
    </row>
    <row r="18" spans="1:31" x14ac:dyDescent="0.25">
      <c r="A18" s="1" t="s">
        <v>223</v>
      </c>
      <c r="B18">
        <f>'First Modeled Year Data'!C42</f>
        <v>1.269962477E+16</v>
      </c>
      <c r="C18">
        <f>$B18*'Time Series Scaling Factors'!C44</f>
        <v>1.2676687477324512E+16</v>
      </c>
      <c r="D18">
        <f>$B18*'Time Series Scaling Factors'!D44</f>
        <v>1.3550034867683032E+16</v>
      </c>
      <c r="E18">
        <f>$B18*'Time Series Scaling Factors'!E44</f>
        <v>1.4163107484376542E+16</v>
      </c>
      <c r="F18">
        <f>$B18*'Time Series Scaling Factors'!F44</f>
        <v>1.4033955351231016E+16</v>
      </c>
      <c r="G18">
        <f>$B18*'Time Series Scaling Factors'!G44</f>
        <v>1.3758249368354098E+16</v>
      </c>
      <c r="H18">
        <f>$B18*'Time Series Scaling Factors'!H44</f>
        <v>1.3993542069704752E+16</v>
      </c>
      <c r="I18">
        <f>$B18*'Time Series Scaling Factors'!I44</f>
        <v>1.3965416721784094E+16</v>
      </c>
      <c r="J18">
        <f>$B18*'Time Series Scaling Factors'!J44</f>
        <v>1.4204964948831606E+16</v>
      </c>
      <c r="K18">
        <f>$B18*'Time Series Scaling Factors'!K44</f>
        <v>1.4294259467025376E+16</v>
      </c>
      <c r="L18">
        <f>$B18*'Time Series Scaling Factors'!L44</f>
        <v>1.4383517307557462E+16</v>
      </c>
      <c r="M18">
        <f>$B18*'Time Series Scaling Factors'!M44</f>
        <v>1.4414392563162862E+16</v>
      </c>
      <c r="N18">
        <f>$B18*'Time Series Scaling Factors'!N44</f>
        <v>1.4248330782123414E+16</v>
      </c>
      <c r="O18">
        <f>$B18*'Time Series Scaling Factors'!O44</f>
        <v>1.4404661979518158E+16</v>
      </c>
      <c r="P18">
        <f>$B18*'Time Series Scaling Factors'!P44</f>
        <v>1.453485942602167E+16</v>
      </c>
      <c r="Q18">
        <f>$B18*'Time Series Scaling Factors'!Q44</f>
        <v>1.452775312907044E+16</v>
      </c>
      <c r="R18">
        <f>$B18*'Time Series Scaling Factors'!R44</f>
        <v>1.4494235247940724E+16</v>
      </c>
      <c r="S18">
        <f>$B18*'Time Series Scaling Factors'!S44</f>
        <v>1.4555673082085668E+16</v>
      </c>
      <c r="T18">
        <f>$B18*'Time Series Scaling Factors'!T44</f>
        <v>1.4656979534480876E+16</v>
      </c>
      <c r="U18">
        <f>$B18*'Time Series Scaling Factors'!U44</f>
        <v>1.4712801101680492E+16</v>
      </c>
      <c r="V18">
        <f>$B18*'Time Series Scaling Factors'!V44</f>
        <v>1.5029138598170696E+16</v>
      </c>
      <c r="W18">
        <f>$B18*'Time Series Scaling Factors'!W44</f>
        <v>1.4971712383272414E+16</v>
      </c>
      <c r="X18">
        <f>$B18*'Time Series Scaling Factors'!X44</f>
        <v>1.48135216284303E+16</v>
      </c>
      <c r="Y18">
        <f>$B18*'Time Series Scaling Factors'!Y44</f>
        <v>1.457088330838593E+16</v>
      </c>
      <c r="Z18">
        <f>$B18*'Time Series Scaling Factors'!Z44</f>
        <v>1.445684328879566E+16</v>
      </c>
      <c r="AA18">
        <f>$B18*'Time Series Scaling Factors'!AA44</f>
        <v>1.4204053508938764E+16</v>
      </c>
      <c r="AB18">
        <f>$B18*'Time Series Scaling Factors'!AB44</f>
        <v>1.4233938467678702E+16</v>
      </c>
      <c r="AC18">
        <f>$B18*'Time Series Scaling Factors'!AC44</f>
        <v>1.4114277596435392E+16</v>
      </c>
      <c r="AD18">
        <f>$B18*'Time Series Scaling Factors'!AD44</f>
        <v>1.3808784767563542E+16</v>
      </c>
      <c r="AE18">
        <f>$B18*'Time Series Scaling Factors'!AE44</f>
        <v>1.3577132324135004E+16</v>
      </c>
    </row>
    <row r="19" spans="1:31" x14ac:dyDescent="0.25">
      <c r="A19" s="1" t="s">
        <v>237</v>
      </c>
      <c r="B19">
        <f>'First Modeled Year Data'!C43</f>
        <v>433897305000000</v>
      </c>
      <c r="C19">
        <f>$B19*'Time Series Scaling Factors'!C45</f>
        <v>437843813285616.75</v>
      </c>
      <c r="D19">
        <f>$B19*'Time Series Scaling Factors'!D45</f>
        <v>445248829671581.56</v>
      </c>
      <c r="E19">
        <f>$B19*'Time Series Scaling Factors'!E45</f>
        <v>370792643033353.38</v>
      </c>
      <c r="F19">
        <f>$B19*'Time Series Scaling Factors'!F45</f>
        <v>371161219342211.88</v>
      </c>
      <c r="G19">
        <f>$B19*'Time Series Scaling Factors'!G45</f>
        <v>371324898137384</v>
      </c>
      <c r="H19">
        <f>$B19*'Time Series Scaling Factors'!H45</f>
        <v>367366981099321.44</v>
      </c>
      <c r="I19">
        <f>$B19*'Time Series Scaling Factors'!I45</f>
        <v>360099145760912.31</v>
      </c>
      <c r="J19">
        <f>$B19*'Time Series Scaling Factors'!J45</f>
        <v>353097759995757</v>
      </c>
      <c r="K19">
        <f>$B19*'Time Series Scaling Factors'!K45</f>
        <v>350030001666682.56</v>
      </c>
      <c r="L19">
        <f>$B19*'Time Series Scaling Factors'!L45</f>
        <v>350202329032257.25</v>
      </c>
      <c r="M19">
        <f>$B19*'Time Series Scaling Factors'!M45</f>
        <v>344188444396153.19</v>
      </c>
      <c r="N19">
        <f>$B19*'Time Series Scaling Factors'!N45</f>
        <v>342089233946098.88</v>
      </c>
      <c r="O19">
        <f>$B19*'Time Series Scaling Factors'!O45</f>
        <v>339021199598820.13</v>
      </c>
      <c r="P19">
        <f>$B19*'Time Series Scaling Factors'!P45</f>
        <v>338754474007362.06</v>
      </c>
      <c r="Q19">
        <f>$B19*'Time Series Scaling Factors'!Q45</f>
        <v>337711677231375.19</v>
      </c>
      <c r="R19">
        <f>$B19*'Time Series Scaling Factors'!R45</f>
        <v>338702306566742.25</v>
      </c>
      <c r="S19">
        <f>$B19*'Time Series Scaling Factors'!S45</f>
        <v>339048985431390.13</v>
      </c>
      <c r="T19">
        <f>$B19*'Time Series Scaling Factors'!T45</f>
        <v>339766632762667.44</v>
      </c>
      <c r="U19">
        <f>$B19*'Time Series Scaling Factors'!U45</f>
        <v>340644094634256.13</v>
      </c>
      <c r="V19">
        <f>$B19*'Time Series Scaling Factors'!V45</f>
        <v>342572449815825.56</v>
      </c>
      <c r="W19">
        <f>$B19*'Time Series Scaling Factors'!W45</f>
        <v>342140665338173.75</v>
      </c>
      <c r="X19">
        <f>$B19*'Time Series Scaling Factors'!X45</f>
        <v>342755909915641.94</v>
      </c>
      <c r="Y19">
        <f>$B19*'Time Series Scaling Factors'!Y45</f>
        <v>341998147938667.5</v>
      </c>
      <c r="Z19">
        <f>$B19*'Time Series Scaling Factors'!Z45</f>
        <v>344796696512444.75</v>
      </c>
      <c r="AA19">
        <f>$B19*'Time Series Scaling Factors'!AA45</f>
        <v>342486884172481</v>
      </c>
      <c r="AB19">
        <f>$B19*'Time Series Scaling Factors'!AB45</f>
        <v>344482219771636.31</v>
      </c>
      <c r="AC19">
        <f>$B19*'Time Series Scaling Factors'!AC45</f>
        <v>351165816577531.19</v>
      </c>
      <c r="AD19">
        <f>$B19*'Time Series Scaling Factors'!AD45</f>
        <v>352996737332969.5</v>
      </c>
      <c r="AE19">
        <f>$B19*'Time Series Scaling Factors'!AE45</f>
        <v>346646110487573.75</v>
      </c>
    </row>
    <row r="20" spans="1:31" x14ac:dyDescent="0.25">
      <c r="A20" s="1" t="s">
        <v>224</v>
      </c>
      <c r="B20">
        <f>'First Modeled Year Data'!C44</f>
        <v>219065893200000</v>
      </c>
      <c r="C20">
        <f>$B20*'Time Series Scaling Factors'!C46</f>
        <v>221058404682895.31</v>
      </c>
      <c r="D20">
        <f>$B20*'Time Series Scaling Factors'!D46</f>
        <v>224797046315509.31</v>
      </c>
      <c r="E20">
        <f>$B20*'Time Series Scaling Factors'!E46</f>
        <v>187205637375623.5</v>
      </c>
      <c r="F20">
        <f>$B20*'Time Series Scaling Factors'!F46</f>
        <v>187391724031110.91</v>
      </c>
      <c r="G20">
        <f>$B20*'Time Series Scaling Factors'!G46</f>
        <v>187474362114014.63</v>
      </c>
      <c r="H20">
        <f>$B20*'Time Series Scaling Factors'!H46</f>
        <v>185476090584868.63</v>
      </c>
      <c r="I20">
        <f>$B20*'Time Series Scaling Factors'!I46</f>
        <v>181806708863221.09</v>
      </c>
      <c r="J20">
        <f>$B20*'Time Series Scaling Factors'!J46</f>
        <v>178271852092719.81</v>
      </c>
      <c r="K20">
        <f>$B20*'Time Series Scaling Factors'!K46</f>
        <v>176723003527088.75</v>
      </c>
      <c r="L20">
        <f>$B20*'Time Series Scaling Factors'!L46</f>
        <v>176810008096666.41</v>
      </c>
      <c r="M20">
        <f>$B20*'Time Series Scaling Factors'!M46</f>
        <v>173773720490754.91</v>
      </c>
      <c r="N20">
        <f>$B20*'Time Series Scaling Factors'!N46</f>
        <v>172713871980619.72</v>
      </c>
      <c r="O20">
        <f>$B20*'Time Series Scaling Factors'!O46</f>
        <v>171164884059031</v>
      </c>
      <c r="P20">
        <f>$B20*'Time Series Scaling Factors'!P46</f>
        <v>171030219751927.13</v>
      </c>
      <c r="Q20">
        <f>$B20*'Time Series Scaling Factors'!Q46</f>
        <v>170503732943815.63</v>
      </c>
      <c r="R20">
        <f>$B20*'Time Series Scaling Factors'!R46</f>
        <v>171003881475925.78</v>
      </c>
      <c r="S20">
        <f>$B20*'Time Series Scaling Factors'!S46</f>
        <v>171178912558770.69</v>
      </c>
      <c r="T20">
        <f>$B20*'Time Series Scaling Factors'!T46</f>
        <v>171541238048736.25</v>
      </c>
      <c r="U20">
        <f>$B20*'Time Series Scaling Factors'!U46</f>
        <v>171984250638198</v>
      </c>
      <c r="V20">
        <f>$B20*'Time Series Scaling Factors'!V46</f>
        <v>172957837810529.88</v>
      </c>
      <c r="W20">
        <f>$B20*'Time Series Scaling Factors'!W46</f>
        <v>172739838640733.91</v>
      </c>
      <c r="X20">
        <f>$B20*'Time Series Scaling Factors'!X46</f>
        <v>173050463070400.56</v>
      </c>
      <c r="Y20">
        <f>$B20*'Time Series Scaling Factors'!Y46</f>
        <v>172667884514585.63</v>
      </c>
      <c r="Z20">
        <f>$B20*'Time Series Scaling Factors'!Z46</f>
        <v>174080814569493.66</v>
      </c>
      <c r="AA20">
        <f>$B20*'Time Series Scaling Factors'!AA46</f>
        <v>172914637463649.34</v>
      </c>
      <c r="AB20">
        <f>$B20*'Time Series Scaling Factors'!AB46</f>
        <v>173922041681711.31</v>
      </c>
      <c r="AC20">
        <f>$B20*'Time Series Scaling Factors'!AC46</f>
        <v>177296453292938.16</v>
      </c>
      <c r="AD20">
        <f>$B20*'Time Series Scaling Factors'!AD46</f>
        <v>178220847812209.28</v>
      </c>
      <c r="AE20">
        <f>$B20*'Time Series Scaling Factors'!AE46</f>
        <v>175014545937929.31</v>
      </c>
    </row>
    <row r="21" spans="1:31" x14ac:dyDescent="0.25">
      <c r="A21" s="1" t="s">
        <v>238</v>
      </c>
      <c r="B21">
        <f>'First Modeled Year Data'!C45</f>
        <v>0</v>
      </c>
      <c r="C21">
        <f>$B21*'Time Series Scaling Factors'!C47</f>
        <v>0</v>
      </c>
      <c r="D21">
        <f>$B21*'Time Series Scaling Factors'!D47</f>
        <v>0</v>
      </c>
      <c r="E21">
        <f>$B21*'Time Series Scaling Factors'!E47</f>
        <v>0</v>
      </c>
      <c r="F21">
        <f>$B21*'Time Series Scaling Factors'!F47</f>
        <v>0</v>
      </c>
      <c r="G21">
        <f>$B21*'Time Series Scaling Factors'!G47</f>
        <v>0</v>
      </c>
      <c r="H21">
        <f>$B21*'Time Series Scaling Factors'!H47</f>
        <v>0</v>
      </c>
      <c r="I21">
        <f>$B21*'Time Series Scaling Factors'!I47</f>
        <v>0</v>
      </c>
      <c r="J21">
        <f>$B21*'Time Series Scaling Factors'!J47</f>
        <v>0</v>
      </c>
      <c r="K21">
        <f>$B21*'Time Series Scaling Factors'!K47</f>
        <v>0</v>
      </c>
      <c r="L21">
        <f>$B21*'Time Series Scaling Factors'!L47</f>
        <v>0</v>
      </c>
      <c r="M21">
        <f>$B21*'Time Series Scaling Factors'!M47</f>
        <v>0</v>
      </c>
      <c r="N21">
        <f>$B21*'Time Series Scaling Factors'!N47</f>
        <v>0</v>
      </c>
      <c r="O21">
        <f>$B21*'Time Series Scaling Factors'!O47</f>
        <v>0</v>
      </c>
      <c r="P21">
        <f>$B21*'Time Series Scaling Factors'!P47</f>
        <v>0</v>
      </c>
      <c r="Q21">
        <f>$B21*'Time Series Scaling Factors'!Q47</f>
        <v>0</v>
      </c>
      <c r="R21">
        <f>$B21*'Time Series Scaling Factors'!R47</f>
        <v>0</v>
      </c>
      <c r="S21">
        <f>$B21*'Time Series Scaling Factors'!S47</f>
        <v>0</v>
      </c>
      <c r="T21">
        <f>$B21*'Time Series Scaling Factors'!T47</f>
        <v>0</v>
      </c>
      <c r="U21">
        <f>$B21*'Time Series Scaling Factors'!U47</f>
        <v>0</v>
      </c>
      <c r="V21">
        <f>$B21*'Time Series Scaling Factors'!V47</f>
        <v>0</v>
      </c>
      <c r="W21">
        <f>$B21*'Time Series Scaling Factors'!W47</f>
        <v>0</v>
      </c>
      <c r="X21">
        <f>$B21*'Time Series Scaling Factors'!X47</f>
        <v>0</v>
      </c>
      <c r="Y21">
        <f>$B21*'Time Series Scaling Factors'!Y47</f>
        <v>0</v>
      </c>
      <c r="Z21">
        <f>$B21*'Time Series Scaling Factors'!Z47</f>
        <v>0</v>
      </c>
      <c r="AA21">
        <f>$B21*'Time Series Scaling Factors'!AA47</f>
        <v>0</v>
      </c>
      <c r="AB21">
        <f>$B21*'Time Series Scaling Factors'!AB47</f>
        <v>0</v>
      </c>
      <c r="AC21">
        <f>$B21*'Time Series Scaling Factors'!AC47</f>
        <v>0</v>
      </c>
      <c r="AD21">
        <f>$B21*'Time Series Scaling Factors'!AD47</f>
        <v>0</v>
      </c>
      <c r="AE21">
        <f>$B21*'Time Series Scaling Factors'!AE47</f>
        <v>0</v>
      </c>
    </row>
    <row r="22" spans="1:31" x14ac:dyDescent="0.25">
      <c r="A22" s="1" t="s">
        <v>239</v>
      </c>
      <c r="B22">
        <f>'First Modeled Year Data'!C46</f>
        <v>0</v>
      </c>
      <c r="C22">
        <f>$B22*'Time Series Scaling Factors'!C48</f>
        <v>0</v>
      </c>
      <c r="D22">
        <f>$B22*'Time Series Scaling Factors'!D48</f>
        <v>0</v>
      </c>
      <c r="E22">
        <f>$B22*'Time Series Scaling Factors'!E48</f>
        <v>0</v>
      </c>
      <c r="F22">
        <f>$B22*'Time Series Scaling Factors'!F48</f>
        <v>0</v>
      </c>
      <c r="G22">
        <f>$B22*'Time Series Scaling Factors'!G48</f>
        <v>0</v>
      </c>
      <c r="H22">
        <f>$B22*'Time Series Scaling Factors'!H48</f>
        <v>0</v>
      </c>
      <c r="I22">
        <f>$B22*'Time Series Scaling Factors'!I48</f>
        <v>0</v>
      </c>
      <c r="J22">
        <f>$B22*'Time Series Scaling Factors'!J48</f>
        <v>0</v>
      </c>
      <c r="K22">
        <f>$B22*'Time Series Scaling Factors'!K48</f>
        <v>0</v>
      </c>
      <c r="L22">
        <f>$B22*'Time Series Scaling Factors'!L48</f>
        <v>0</v>
      </c>
      <c r="M22">
        <f>$B22*'Time Series Scaling Factors'!M48</f>
        <v>0</v>
      </c>
      <c r="N22">
        <f>$B22*'Time Series Scaling Factors'!N48</f>
        <v>0</v>
      </c>
      <c r="O22">
        <f>$B22*'Time Series Scaling Factors'!O48</f>
        <v>0</v>
      </c>
      <c r="P22">
        <f>$B22*'Time Series Scaling Factors'!P48</f>
        <v>0</v>
      </c>
      <c r="Q22">
        <f>$B22*'Time Series Scaling Factors'!Q48</f>
        <v>0</v>
      </c>
      <c r="R22">
        <f>$B22*'Time Series Scaling Factors'!R48</f>
        <v>0</v>
      </c>
      <c r="S22">
        <f>$B22*'Time Series Scaling Factors'!S48</f>
        <v>0</v>
      </c>
      <c r="T22">
        <f>$B22*'Time Series Scaling Factors'!T48</f>
        <v>0</v>
      </c>
      <c r="U22">
        <f>$B22*'Time Series Scaling Factors'!U48</f>
        <v>0</v>
      </c>
      <c r="V22">
        <f>$B22*'Time Series Scaling Factors'!V48</f>
        <v>0</v>
      </c>
      <c r="W22">
        <f>$B22*'Time Series Scaling Factors'!W48</f>
        <v>0</v>
      </c>
      <c r="X22">
        <f>$B22*'Time Series Scaling Factors'!X48</f>
        <v>0</v>
      </c>
      <c r="Y22">
        <f>$B22*'Time Series Scaling Factors'!Y48</f>
        <v>0</v>
      </c>
      <c r="Z22">
        <f>$B22*'Time Series Scaling Factors'!Z48</f>
        <v>0</v>
      </c>
      <c r="AA22">
        <f>$B22*'Time Series Scaling Factors'!AA48</f>
        <v>0</v>
      </c>
      <c r="AB22">
        <f>$B22*'Time Series Scaling Factors'!AB48</f>
        <v>0</v>
      </c>
      <c r="AC22">
        <f>$B22*'Time Series Scaling Factors'!AC48</f>
        <v>0</v>
      </c>
      <c r="AD22">
        <f>$B22*'Time Series Scaling Factors'!AD48</f>
        <v>0</v>
      </c>
      <c r="AE22">
        <f>$B22*'Time Series Scaling Factors'!AE48</f>
        <v>0</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F22"/>
  <sheetViews>
    <sheetView workbookViewId="0">
      <selection activeCell="B13" sqref="B13"/>
    </sheetView>
  </sheetViews>
  <sheetFormatPr defaultRowHeight="15" x14ac:dyDescent="0.25"/>
  <cols>
    <col min="1" max="1" width="36.28515625" customWidth="1"/>
    <col min="2" max="31" width="13" customWidth="1"/>
    <col min="32" max="32" width="16.28515625" customWidth="1"/>
    <col min="33" max="33" width="13" customWidth="1"/>
  </cols>
  <sheetData>
    <row r="1" spans="1:32" x14ac:dyDescent="0.25">
      <c r="A1" s="24" t="s">
        <v>582</v>
      </c>
      <c r="B1" s="18">
        <v>2021</v>
      </c>
      <c r="C1">
        <v>2022</v>
      </c>
      <c r="D1" s="18">
        <v>2023</v>
      </c>
      <c r="E1">
        <v>2024</v>
      </c>
      <c r="F1" s="18">
        <v>2025</v>
      </c>
      <c r="G1">
        <v>2026</v>
      </c>
      <c r="H1" s="18">
        <v>2027</v>
      </c>
      <c r="I1">
        <v>2028</v>
      </c>
      <c r="J1" s="18">
        <v>2029</v>
      </c>
      <c r="K1">
        <v>2030</v>
      </c>
      <c r="L1" s="18">
        <v>2031</v>
      </c>
      <c r="M1">
        <v>2032</v>
      </c>
      <c r="N1" s="18">
        <v>2033</v>
      </c>
      <c r="O1">
        <v>2034</v>
      </c>
      <c r="P1" s="18">
        <v>2035</v>
      </c>
      <c r="Q1">
        <v>2036</v>
      </c>
      <c r="R1" s="18">
        <v>2037</v>
      </c>
      <c r="S1">
        <v>2038</v>
      </c>
      <c r="T1" s="18">
        <v>2039</v>
      </c>
      <c r="U1">
        <v>2040</v>
      </c>
      <c r="V1" s="18">
        <v>2041</v>
      </c>
      <c r="W1">
        <v>2042</v>
      </c>
      <c r="X1" s="18">
        <v>2043</v>
      </c>
      <c r="Y1">
        <v>2044</v>
      </c>
      <c r="Z1" s="18">
        <v>2045</v>
      </c>
      <c r="AA1">
        <v>2046</v>
      </c>
      <c r="AB1" s="18">
        <v>2047</v>
      </c>
      <c r="AC1">
        <v>2048</v>
      </c>
      <c r="AD1" s="18">
        <v>2049</v>
      </c>
      <c r="AE1">
        <v>2050</v>
      </c>
      <c r="AF1" s="18"/>
    </row>
    <row r="2" spans="1:32" x14ac:dyDescent="0.25">
      <c r="A2" s="24" t="s">
        <v>225</v>
      </c>
      <c r="B2">
        <f>'First Modeled Year Data'!$D26</f>
        <v>0</v>
      </c>
      <c r="C2">
        <f>$B2*'Time Series Scaling Factors'!C53</f>
        <v>0</v>
      </c>
      <c r="D2">
        <f>$B2*'Time Series Scaling Factors'!D53</f>
        <v>0</v>
      </c>
      <c r="E2">
        <f>$B2*'Time Series Scaling Factors'!E53</f>
        <v>0</v>
      </c>
      <c r="F2">
        <f>$B2*'Time Series Scaling Factors'!F53</f>
        <v>0</v>
      </c>
      <c r="G2">
        <f>$B2*'Time Series Scaling Factors'!G53</f>
        <v>0</v>
      </c>
      <c r="H2">
        <f>$B2*'Time Series Scaling Factors'!H53</f>
        <v>0</v>
      </c>
      <c r="I2">
        <f>$B2*'Time Series Scaling Factors'!I53</f>
        <v>0</v>
      </c>
      <c r="J2">
        <f>$B2*'Time Series Scaling Factors'!J53</f>
        <v>0</v>
      </c>
      <c r="K2">
        <f>$B2*'Time Series Scaling Factors'!K53</f>
        <v>0</v>
      </c>
      <c r="L2">
        <f>$B2*'Time Series Scaling Factors'!L53</f>
        <v>0</v>
      </c>
      <c r="M2">
        <f>$B2*'Time Series Scaling Factors'!M53</f>
        <v>0</v>
      </c>
      <c r="N2">
        <f>$B2*'Time Series Scaling Factors'!N53</f>
        <v>0</v>
      </c>
      <c r="O2">
        <f>$B2*'Time Series Scaling Factors'!O53</f>
        <v>0</v>
      </c>
      <c r="P2">
        <f>$B2*'Time Series Scaling Factors'!P53</f>
        <v>0</v>
      </c>
      <c r="Q2">
        <f>$B2*'Time Series Scaling Factors'!Q53</f>
        <v>0</v>
      </c>
      <c r="R2">
        <f>$B2*'Time Series Scaling Factors'!R53</f>
        <v>0</v>
      </c>
      <c r="S2">
        <f>$B2*'Time Series Scaling Factors'!S53</f>
        <v>0</v>
      </c>
      <c r="T2">
        <f>$B2*'Time Series Scaling Factors'!T53</f>
        <v>0</v>
      </c>
      <c r="U2">
        <f>$B2*'Time Series Scaling Factors'!U53</f>
        <v>0</v>
      </c>
      <c r="V2">
        <f>$B2*'Time Series Scaling Factors'!V53</f>
        <v>0</v>
      </c>
      <c r="W2">
        <f>$B2*'Time Series Scaling Factors'!W53</f>
        <v>0</v>
      </c>
      <c r="X2">
        <f>$B2*'Time Series Scaling Factors'!X53</f>
        <v>0</v>
      </c>
      <c r="Y2">
        <f>$B2*'Time Series Scaling Factors'!Y53</f>
        <v>0</v>
      </c>
      <c r="Z2">
        <f>$B2*'Time Series Scaling Factors'!Z53</f>
        <v>0</v>
      </c>
      <c r="AA2">
        <f>$B2*'Time Series Scaling Factors'!AA53</f>
        <v>0</v>
      </c>
      <c r="AB2">
        <f>$B2*'Time Series Scaling Factors'!AB53</f>
        <v>0</v>
      </c>
      <c r="AC2">
        <f>$B2*'Time Series Scaling Factors'!AC53</f>
        <v>0</v>
      </c>
      <c r="AD2">
        <f>$B2*'Time Series Scaling Factors'!AD53</f>
        <v>0</v>
      </c>
      <c r="AE2">
        <f>$B2*'Time Series Scaling Factors'!AE53</f>
        <v>0</v>
      </c>
    </row>
    <row r="3" spans="1:32" x14ac:dyDescent="0.25">
      <c r="A3" s="1" t="s">
        <v>226</v>
      </c>
      <c r="B3">
        <f>'First Modeled Year Data'!$D$27</f>
        <v>1906867516000000</v>
      </c>
      <c r="C3">
        <f>$B3*'Time Series Scaling Factors'!C54</f>
        <v>1823239144310736</v>
      </c>
      <c r="D3">
        <f>$B3*'Time Series Scaling Factors'!D54</f>
        <v>1813916357079636.5</v>
      </c>
      <c r="E3">
        <f>$B3*'Time Series Scaling Factors'!E54</f>
        <v>2352458158091157.5</v>
      </c>
      <c r="F3">
        <f>$B3*'Time Series Scaling Factors'!F54</f>
        <v>2298308647796336</v>
      </c>
      <c r="G3">
        <f>$B3*'Time Series Scaling Factors'!G54</f>
        <v>2410144014745129.5</v>
      </c>
      <c r="H3">
        <f>$B3*'Time Series Scaling Factors'!H54</f>
        <v>2378471755465327</v>
      </c>
      <c r="I3">
        <f>$B3*'Time Series Scaling Factors'!I54</f>
        <v>2388650915636234.5</v>
      </c>
      <c r="J3">
        <f>$B3*'Time Series Scaling Factors'!J54</f>
        <v>2376847016290986</v>
      </c>
      <c r="K3">
        <f>$B3*'Time Series Scaling Factors'!K54</f>
        <v>2377964024473345.5</v>
      </c>
      <c r="L3">
        <f>$B3*'Time Series Scaling Factors'!L54</f>
        <v>2401929773513189.5</v>
      </c>
      <c r="M3">
        <f>$B3*'Time Series Scaling Factors'!M54</f>
        <v>2446662566343395.5</v>
      </c>
      <c r="N3">
        <f>$B3*'Time Series Scaling Factors'!N54</f>
        <v>2385497059957710</v>
      </c>
      <c r="O3">
        <f>$B3*'Time Series Scaling Factors'!O54</f>
        <v>2364807868252786.5</v>
      </c>
      <c r="P3">
        <f>$B3*'Time Series Scaling Factors'!P54</f>
        <v>2387512751995877</v>
      </c>
      <c r="Q3">
        <f>$B3*'Time Series Scaling Factors'!Q54</f>
        <v>2356368532947734.5</v>
      </c>
      <c r="R3">
        <f>$B3*'Time Series Scaling Factors'!R54</f>
        <v>2307635666119035.5</v>
      </c>
      <c r="S3">
        <f>$B3*'Time Series Scaling Factors'!S54</f>
        <v>2344682257948961.5</v>
      </c>
      <c r="T3">
        <f>$B3*'Time Series Scaling Factors'!T54</f>
        <v>2295464508022920</v>
      </c>
      <c r="U3">
        <f>$B3*'Time Series Scaling Factors'!U54</f>
        <v>2304243176874279.5</v>
      </c>
      <c r="V3">
        <f>$B3*'Time Series Scaling Factors'!V54</f>
        <v>2291741993633376.5</v>
      </c>
      <c r="W3">
        <f>$B3*'Time Series Scaling Factors'!W54</f>
        <v>2304575740674027</v>
      </c>
      <c r="X3">
        <f>$B3*'Time Series Scaling Factors'!X54</f>
        <v>2276855320948480.5</v>
      </c>
      <c r="Y3">
        <f>$B3*'Time Series Scaling Factors'!Y54</f>
        <v>2280415361420590</v>
      </c>
      <c r="Z3">
        <f>$B3*'Time Series Scaling Factors'!Z54</f>
        <v>2288055020413271</v>
      </c>
      <c r="AA3">
        <f>$B3*'Time Series Scaling Factors'!AA54</f>
        <v>2275206041442860.5</v>
      </c>
      <c r="AB3">
        <f>$B3*'Time Series Scaling Factors'!AB54</f>
        <v>2269899406358334.5</v>
      </c>
      <c r="AC3">
        <f>$B3*'Time Series Scaling Factors'!AC54</f>
        <v>2289570597424335</v>
      </c>
      <c r="AD3">
        <f>$B3*'Time Series Scaling Factors'!AD54</f>
        <v>2291444971003067</v>
      </c>
      <c r="AE3">
        <f>$B3*'Time Series Scaling Factors'!AE54</f>
        <v>2305094472504168</v>
      </c>
    </row>
    <row r="4" spans="1:32" x14ac:dyDescent="0.25">
      <c r="A4" s="1" t="s">
        <v>216</v>
      </c>
      <c r="B4">
        <f>'First Modeled Year Data'!$D$28</f>
        <v>6809672000000000</v>
      </c>
      <c r="C4">
        <f>$B4*'Time Series Scaling Factors'!C55</f>
        <v>7157014000000001</v>
      </c>
      <c r="D4">
        <f>$B4*'Time Series Scaling Factors'!D55</f>
        <v>7945881000000000</v>
      </c>
      <c r="E4">
        <f>$B4*'Time Series Scaling Factors'!E55</f>
        <v>7943814999999999</v>
      </c>
      <c r="F4">
        <f>$B4*'Time Series Scaling Factors'!F55</f>
        <v>8337030000000001</v>
      </c>
      <c r="G4">
        <f>$B4*'Time Series Scaling Factors'!G55</f>
        <v>8842743000000001</v>
      </c>
      <c r="H4">
        <f>$B4*'Time Series Scaling Factors'!H55</f>
        <v>9263846000000000</v>
      </c>
      <c r="I4">
        <f>$B4*'Time Series Scaling Factors'!I55</f>
        <v>9664758000000000</v>
      </c>
      <c r="J4">
        <f>$B4*'Time Series Scaling Factors'!J55</f>
        <v>1.0022476E+16</v>
      </c>
      <c r="K4">
        <f>$B4*'Time Series Scaling Factors'!K55</f>
        <v>1.0671082E+16</v>
      </c>
      <c r="L4">
        <f>$B4*'Time Series Scaling Factors'!L55</f>
        <v>1.1372363E+16</v>
      </c>
      <c r="M4">
        <f>$B4*'Time Series Scaling Factors'!M55</f>
        <v>1.2069704E+16</v>
      </c>
      <c r="N4">
        <f>$B4*'Time Series Scaling Factors'!N55</f>
        <v>1.2747917E+16</v>
      </c>
      <c r="O4">
        <f>$B4*'Time Series Scaling Factors'!O55</f>
        <v>1.3325287E+16</v>
      </c>
      <c r="P4">
        <f>$B4*'Time Series Scaling Factors'!P55</f>
        <v>1.3720262999999998E+16</v>
      </c>
      <c r="Q4">
        <f>$B4*'Time Series Scaling Factors'!Q55</f>
        <v>1.3973807000000002E+16</v>
      </c>
      <c r="R4">
        <f>$B4*'Time Series Scaling Factors'!R55</f>
        <v>1.4186524000000002E+16</v>
      </c>
      <c r="S4">
        <f>$B4*'Time Series Scaling Factors'!S55</f>
        <v>1.4301539E+16</v>
      </c>
      <c r="T4">
        <f>$B4*'Time Series Scaling Factors'!T55</f>
        <v>1.4335634000000002E+16</v>
      </c>
      <c r="U4">
        <f>$B4*'Time Series Scaling Factors'!U55</f>
        <v>1.4360343E+16</v>
      </c>
      <c r="V4">
        <f>$B4*'Time Series Scaling Factors'!V55</f>
        <v>1.4349729E+16</v>
      </c>
      <c r="W4">
        <f>$B4*'Time Series Scaling Factors'!W55</f>
        <v>1.4358644E+16</v>
      </c>
      <c r="X4">
        <f>$B4*'Time Series Scaling Factors'!X55</f>
        <v>1.4365799000000002E+16</v>
      </c>
      <c r="Y4">
        <f>$B4*'Time Series Scaling Factors'!Y55</f>
        <v>1.4408306E+16</v>
      </c>
      <c r="Z4">
        <f>$B4*'Time Series Scaling Factors'!Z55</f>
        <v>1.4392715000000002E+16</v>
      </c>
      <c r="AA4">
        <f>$B4*'Time Series Scaling Factors'!AA55</f>
        <v>1.4375298E+16</v>
      </c>
      <c r="AB4">
        <f>$B4*'Time Series Scaling Factors'!AB55</f>
        <v>1.4355018E+16</v>
      </c>
      <c r="AC4">
        <f>$B4*'Time Series Scaling Factors'!AC55</f>
        <v>1.4358721E+16</v>
      </c>
      <c r="AD4">
        <f>$B4*'Time Series Scaling Factors'!AD55</f>
        <v>1.4323404000000002E+16</v>
      </c>
      <c r="AE4">
        <f>$B4*'Time Series Scaling Factors'!AE55</f>
        <v>1.4304577E+16</v>
      </c>
    </row>
    <row r="5" spans="1:32" x14ac:dyDescent="0.25">
      <c r="A5" s="1" t="s">
        <v>227</v>
      </c>
      <c r="B5">
        <f>'First Modeled Year Data'!$D$29</f>
        <v>0</v>
      </c>
      <c r="C5">
        <f>$B5*'Time Series Scaling Factors'!C56</f>
        <v>0</v>
      </c>
      <c r="D5">
        <f>$B5*'Time Series Scaling Factors'!D56</f>
        <v>0</v>
      </c>
      <c r="E5">
        <f>$B5*'Time Series Scaling Factors'!E56</f>
        <v>0</v>
      </c>
      <c r="F5">
        <f>$B5*'Time Series Scaling Factors'!F56</f>
        <v>0</v>
      </c>
      <c r="G5">
        <f>$B5*'Time Series Scaling Factors'!G56</f>
        <v>0</v>
      </c>
      <c r="H5">
        <f>$B5*'Time Series Scaling Factors'!H56</f>
        <v>0</v>
      </c>
      <c r="I5">
        <f>$B5*'Time Series Scaling Factors'!I56</f>
        <v>0</v>
      </c>
      <c r="J5">
        <f>$B5*'Time Series Scaling Factors'!J56</f>
        <v>0</v>
      </c>
      <c r="K5">
        <f>$B5*'Time Series Scaling Factors'!K56</f>
        <v>0</v>
      </c>
      <c r="L5">
        <f>$B5*'Time Series Scaling Factors'!L56</f>
        <v>0</v>
      </c>
      <c r="M5">
        <f>$B5*'Time Series Scaling Factors'!M56</f>
        <v>0</v>
      </c>
      <c r="N5">
        <f>$B5*'Time Series Scaling Factors'!N56</f>
        <v>0</v>
      </c>
      <c r="O5">
        <f>$B5*'Time Series Scaling Factors'!O56</f>
        <v>0</v>
      </c>
      <c r="P5">
        <f>$B5*'Time Series Scaling Factors'!P56</f>
        <v>0</v>
      </c>
      <c r="Q5">
        <f>$B5*'Time Series Scaling Factors'!Q56</f>
        <v>0</v>
      </c>
      <c r="R5">
        <f>$B5*'Time Series Scaling Factors'!R56</f>
        <v>0</v>
      </c>
      <c r="S5">
        <f>$B5*'Time Series Scaling Factors'!S56</f>
        <v>0</v>
      </c>
      <c r="T5">
        <f>$B5*'Time Series Scaling Factors'!T56</f>
        <v>0</v>
      </c>
      <c r="U5">
        <f>$B5*'Time Series Scaling Factors'!U56</f>
        <v>0</v>
      </c>
      <c r="V5">
        <f>$B5*'Time Series Scaling Factors'!V56</f>
        <v>0</v>
      </c>
      <c r="W5">
        <f>$B5*'Time Series Scaling Factors'!W56</f>
        <v>0</v>
      </c>
      <c r="X5">
        <f>$B5*'Time Series Scaling Factors'!X56</f>
        <v>0</v>
      </c>
      <c r="Y5">
        <f>$B5*'Time Series Scaling Factors'!Y56</f>
        <v>0</v>
      </c>
      <c r="Z5">
        <f>$B5*'Time Series Scaling Factors'!Z56</f>
        <v>0</v>
      </c>
      <c r="AA5">
        <f>$B5*'Time Series Scaling Factors'!AA56</f>
        <v>0</v>
      </c>
      <c r="AB5">
        <f>$B5*'Time Series Scaling Factors'!AB56</f>
        <v>0</v>
      </c>
      <c r="AC5">
        <f>$B5*'Time Series Scaling Factors'!AC56</f>
        <v>0</v>
      </c>
      <c r="AD5">
        <f>$B5*'Time Series Scaling Factors'!AD56</f>
        <v>0</v>
      </c>
      <c r="AE5">
        <f>$B5*'Time Series Scaling Factors'!AE56</f>
        <v>0</v>
      </c>
    </row>
    <row r="6" spans="1:32" x14ac:dyDescent="0.25">
      <c r="A6" s="1" t="s">
        <v>228</v>
      </c>
      <c r="B6">
        <f>'First Modeled Year Data'!$D$30</f>
        <v>0</v>
      </c>
      <c r="C6">
        <f>$B6*'Time Series Scaling Factors'!C57</f>
        <v>0</v>
      </c>
      <c r="D6">
        <f>$B6*'Time Series Scaling Factors'!D57</f>
        <v>0</v>
      </c>
      <c r="E6">
        <f>$B6*'Time Series Scaling Factors'!E57</f>
        <v>0</v>
      </c>
      <c r="F6">
        <f>$B6*'Time Series Scaling Factors'!F57</f>
        <v>0</v>
      </c>
      <c r="G6">
        <f>$B6*'Time Series Scaling Factors'!G57</f>
        <v>0</v>
      </c>
      <c r="H6">
        <f>$B6*'Time Series Scaling Factors'!H57</f>
        <v>0</v>
      </c>
      <c r="I6">
        <f>$B6*'Time Series Scaling Factors'!I57</f>
        <v>0</v>
      </c>
      <c r="J6">
        <f>$B6*'Time Series Scaling Factors'!J57</f>
        <v>0</v>
      </c>
      <c r="K6">
        <f>$B6*'Time Series Scaling Factors'!K57</f>
        <v>0</v>
      </c>
      <c r="L6">
        <f>$B6*'Time Series Scaling Factors'!L57</f>
        <v>0</v>
      </c>
      <c r="M6">
        <f>$B6*'Time Series Scaling Factors'!M57</f>
        <v>0</v>
      </c>
      <c r="N6">
        <f>$B6*'Time Series Scaling Factors'!N57</f>
        <v>0</v>
      </c>
      <c r="O6">
        <f>$B6*'Time Series Scaling Factors'!O57</f>
        <v>0</v>
      </c>
      <c r="P6">
        <f>$B6*'Time Series Scaling Factors'!P57</f>
        <v>0</v>
      </c>
      <c r="Q6">
        <f>$B6*'Time Series Scaling Factors'!Q57</f>
        <v>0</v>
      </c>
      <c r="R6">
        <f>$B6*'Time Series Scaling Factors'!R57</f>
        <v>0</v>
      </c>
      <c r="S6">
        <f>$B6*'Time Series Scaling Factors'!S57</f>
        <v>0</v>
      </c>
      <c r="T6">
        <f>$B6*'Time Series Scaling Factors'!T57</f>
        <v>0</v>
      </c>
      <c r="U6">
        <f>$B6*'Time Series Scaling Factors'!U57</f>
        <v>0</v>
      </c>
      <c r="V6">
        <f>$B6*'Time Series Scaling Factors'!V57</f>
        <v>0</v>
      </c>
      <c r="W6">
        <f>$B6*'Time Series Scaling Factors'!W57</f>
        <v>0</v>
      </c>
      <c r="X6">
        <f>$B6*'Time Series Scaling Factors'!X57</f>
        <v>0</v>
      </c>
      <c r="Y6">
        <f>$B6*'Time Series Scaling Factors'!Y57</f>
        <v>0</v>
      </c>
      <c r="Z6">
        <f>$B6*'Time Series Scaling Factors'!Z57</f>
        <v>0</v>
      </c>
      <c r="AA6">
        <f>$B6*'Time Series Scaling Factors'!AA57</f>
        <v>0</v>
      </c>
      <c r="AB6">
        <f>$B6*'Time Series Scaling Factors'!AB57</f>
        <v>0</v>
      </c>
      <c r="AC6">
        <f>$B6*'Time Series Scaling Factors'!AC57</f>
        <v>0</v>
      </c>
      <c r="AD6">
        <f>$B6*'Time Series Scaling Factors'!AD57</f>
        <v>0</v>
      </c>
      <c r="AE6">
        <f>$B6*'Time Series Scaling Factors'!AE57</f>
        <v>0</v>
      </c>
    </row>
    <row r="7" spans="1:32" x14ac:dyDescent="0.25">
      <c r="A7" s="1" t="s">
        <v>229</v>
      </c>
      <c r="B7">
        <f>'First Modeled Year Data'!$D$31</f>
        <v>0</v>
      </c>
      <c r="C7">
        <f>$B7*'Time Series Scaling Factors'!C58</f>
        <v>0</v>
      </c>
      <c r="D7">
        <f>$B7*'Time Series Scaling Factors'!D58</f>
        <v>0</v>
      </c>
      <c r="E7">
        <f>$B7*'Time Series Scaling Factors'!E58</f>
        <v>0</v>
      </c>
      <c r="F7">
        <f>$B7*'Time Series Scaling Factors'!F58</f>
        <v>0</v>
      </c>
      <c r="G7">
        <f>$B7*'Time Series Scaling Factors'!G58</f>
        <v>0</v>
      </c>
      <c r="H7">
        <f>$B7*'Time Series Scaling Factors'!H58</f>
        <v>0</v>
      </c>
      <c r="I7">
        <f>$B7*'Time Series Scaling Factors'!I58</f>
        <v>0</v>
      </c>
      <c r="J7">
        <f>$B7*'Time Series Scaling Factors'!J58</f>
        <v>0</v>
      </c>
      <c r="K7">
        <f>$B7*'Time Series Scaling Factors'!K58</f>
        <v>0</v>
      </c>
      <c r="L7">
        <f>$B7*'Time Series Scaling Factors'!L58</f>
        <v>0</v>
      </c>
      <c r="M7">
        <f>$B7*'Time Series Scaling Factors'!M58</f>
        <v>0</v>
      </c>
      <c r="N7">
        <f>$B7*'Time Series Scaling Factors'!N58</f>
        <v>0</v>
      </c>
      <c r="O7">
        <f>$B7*'Time Series Scaling Factors'!O58</f>
        <v>0</v>
      </c>
      <c r="P7">
        <f>$B7*'Time Series Scaling Factors'!P58</f>
        <v>0</v>
      </c>
      <c r="Q7">
        <f>$B7*'Time Series Scaling Factors'!Q58</f>
        <v>0</v>
      </c>
      <c r="R7">
        <f>$B7*'Time Series Scaling Factors'!R58</f>
        <v>0</v>
      </c>
      <c r="S7">
        <f>$B7*'Time Series Scaling Factors'!S58</f>
        <v>0</v>
      </c>
      <c r="T7">
        <f>$B7*'Time Series Scaling Factors'!T58</f>
        <v>0</v>
      </c>
      <c r="U7">
        <f>$B7*'Time Series Scaling Factors'!U58</f>
        <v>0</v>
      </c>
      <c r="V7">
        <f>$B7*'Time Series Scaling Factors'!V58</f>
        <v>0</v>
      </c>
      <c r="W7">
        <f>$B7*'Time Series Scaling Factors'!W58</f>
        <v>0</v>
      </c>
      <c r="X7">
        <f>$B7*'Time Series Scaling Factors'!X58</f>
        <v>0</v>
      </c>
      <c r="Y7">
        <f>$B7*'Time Series Scaling Factors'!Y58</f>
        <v>0</v>
      </c>
      <c r="Z7">
        <f>$B7*'Time Series Scaling Factors'!Z58</f>
        <v>0</v>
      </c>
      <c r="AA7">
        <f>$B7*'Time Series Scaling Factors'!AA58</f>
        <v>0</v>
      </c>
      <c r="AB7">
        <f>$B7*'Time Series Scaling Factors'!AB58</f>
        <v>0</v>
      </c>
      <c r="AC7">
        <f>$B7*'Time Series Scaling Factors'!AC58</f>
        <v>0</v>
      </c>
      <c r="AD7">
        <f>$B7*'Time Series Scaling Factors'!AD58</f>
        <v>0</v>
      </c>
      <c r="AE7">
        <f>$B7*'Time Series Scaling Factors'!AE58</f>
        <v>0</v>
      </c>
    </row>
    <row r="8" spans="1:32" x14ac:dyDescent="0.25">
      <c r="A8" s="1" t="s">
        <v>230</v>
      </c>
      <c r="B8">
        <f>'First Modeled Year Data'!$D$32</f>
        <v>0</v>
      </c>
      <c r="C8">
        <f>$B8*'Time Series Scaling Factors'!C59</f>
        <v>0</v>
      </c>
      <c r="D8">
        <f>$B8*'Time Series Scaling Factors'!D59</f>
        <v>0</v>
      </c>
      <c r="E8">
        <f>$B8*'Time Series Scaling Factors'!E59</f>
        <v>0</v>
      </c>
      <c r="F8">
        <f>$B8*'Time Series Scaling Factors'!F59</f>
        <v>0</v>
      </c>
      <c r="G8">
        <f>$B8*'Time Series Scaling Factors'!G59</f>
        <v>0</v>
      </c>
      <c r="H8">
        <f>$B8*'Time Series Scaling Factors'!H59</f>
        <v>0</v>
      </c>
      <c r="I8">
        <f>$B8*'Time Series Scaling Factors'!I59</f>
        <v>0</v>
      </c>
      <c r="J8">
        <f>$B8*'Time Series Scaling Factors'!J59</f>
        <v>0</v>
      </c>
      <c r="K8">
        <f>$B8*'Time Series Scaling Factors'!K59</f>
        <v>0</v>
      </c>
      <c r="L8">
        <f>$B8*'Time Series Scaling Factors'!L59</f>
        <v>0</v>
      </c>
      <c r="M8">
        <f>$B8*'Time Series Scaling Factors'!M59</f>
        <v>0</v>
      </c>
      <c r="N8">
        <f>$B8*'Time Series Scaling Factors'!N59</f>
        <v>0</v>
      </c>
      <c r="O8">
        <f>$B8*'Time Series Scaling Factors'!O59</f>
        <v>0</v>
      </c>
      <c r="P8">
        <f>$B8*'Time Series Scaling Factors'!P59</f>
        <v>0</v>
      </c>
      <c r="Q8">
        <f>$B8*'Time Series Scaling Factors'!Q59</f>
        <v>0</v>
      </c>
      <c r="R8">
        <f>$B8*'Time Series Scaling Factors'!R59</f>
        <v>0</v>
      </c>
      <c r="S8">
        <f>$B8*'Time Series Scaling Factors'!S59</f>
        <v>0</v>
      </c>
      <c r="T8">
        <f>$B8*'Time Series Scaling Factors'!T59</f>
        <v>0</v>
      </c>
      <c r="U8">
        <f>$B8*'Time Series Scaling Factors'!U59</f>
        <v>0</v>
      </c>
      <c r="V8">
        <f>$B8*'Time Series Scaling Factors'!V59</f>
        <v>0</v>
      </c>
      <c r="W8">
        <f>$B8*'Time Series Scaling Factors'!W59</f>
        <v>0</v>
      </c>
      <c r="X8">
        <f>$B8*'Time Series Scaling Factors'!X59</f>
        <v>0</v>
      </c>
      <c r="Y8">
        <f>$B8*'Time Series Scaling Factors'!Y59</f>
        <v>0</v>
      </c>
      <c r="Z8">
        <f>$B8*'Time Series Scaling Factors'!Z59</f>
        <v>0</v>
      </c>
      <c r="AA8">
        <f>$B8*'Time Series Scaling Factors'!AA59</f>
        <v>0</v>
      </c>
      <c r="AB8">
        <f>$B8*'Time Series Scaling Factors'!AB59</f>
        <v>0</v>
      </c>
      <c r="AC8">
        <f>$B8*'Time Series Scaling Factors'!AC59</f>
        <v>0</v>
      </c>
      <c r="AD8">
        <f>$B8*'Time Series Scaling Factors'!AD59</f>
        <v>0</v>
      </c>
      <c r="AE8">
        <f>$B8*'Time Series Scaling Factors'!AE59</f>
        <v>0</v>
      </c>
    </row>
    <row r="9" spans="1:32" x14ac:dyDescent="0.25">
      <c r="A9" s="1" t="s">
        <v>219</v>
      </c>
      <c r="B9">
        <f>'First Modeled Year Data'!$D$33</f>
        <v>124444981024000</v>
      </c>
      <c r="C9">
        <f>$B9*'Time Series Scaling Factors'!C60</f>
        <v>124444981024000</v>
      </c>
      <c r="D9">
        <f>$B9*'Time Series Scaling Factors'!D60</f>
        <v>124444981024000</v>
      </c>
      <c r="E9">
        <f>$B9*'Time Series Scaling Factors'!E60</f>
        <v>124444981024000</v>
      </c>
      <c r="F9">
        <f>$B9*'Time Series Scaling Factors'!F60</f>
        <v>124444981024000</v>
      </c>
      <c r="G9">
        <f>$B9*'Time Series Scaling Factors'!G60</f>
        <v>124444981024000</v>
      </c>
      <c r="H9">
        <f>$B9*'Time Series Scaling Factors'!H60</f>
        <v>124444981024000</v>
      </c>
      <c r="I9">
        <f>$B9*'Time Series Scaling Factors'!I60</f>
        <v>124444981024000</v>
      </c>
      <c r="J9">
        <f>$B9*'Time Series Scaling Factors'!J60</f>
        <v>124444981024000</v>
      </c>
      <c r="K9">
        <f>$B9*'Time Series Scaling Factors'!K60</f>
        <v>124444981024000</v>
      </c>
      <c r="L9">
        <f>$B9*'Time Series Scaling Factors'!L60</f>
        <v>124444981024000</v>
      </c>
      <c r="M9">
        <f>$B9*'Time Series Scaling Factors'!M60</f>
        <v>124444981024000</v>
      </c>
      <c r="N9">
        <f>$B9*'Time Series Scaling Factors'!N60</f>
        <v>124444981024000</v>
      </c>
      <c r="O9">
        <f>$B9*'Time Series Scaling Factors'!O60</f>
        <v>124444981024000</v>
      </c>
      <c r="P9">
        <f>$B9*'Time Series Scaling Factors'!P60</f>
        <v>124444981024000</v>
      </c>
      <c r="Q9">
        <f>$B9*'Time Series Scaling Factors'!Q60</f>
        <v>124444981024000</v>
      </c>
      <c r="R9">
        <f>$B9*'Time Series Scaling Factors'!R60</f>
        <v>124444981024000</v>
      </c>
      <c r="S9">
        <f>$B9*'Time Series Scaling Factors'!S60</f>
        <v>124444981024000</v>
      </c>
      <c r="T9">
        <f>$B9*'Time Series Scaling Factors'!T60</f>
        <v>124444981024000</v>
      </c>
      <c r="U9">
        <f>$B9*'Time Series Scaling Factors'!U60</f>
        <v>124444981024000</v>
      </c>
      <c r="V9">
        <f>$B9*'Time Series Scaling Factors'!V60</f>
        <v>124444981024000</v>
      </c>
      <c r="W9">
        <f>$B9*'Time Series Scaling Factors'!W60</f>
        <v>124444981024000</v>
      </c>
      <c r="X9">
        <f>$B9*'Time Series Scaling Factors'!X60</f>
        <v>124444981024000</v>
      </c>
      <c r="Y9">
        <f>$B9*'Time Series Scaling Factors'!Y60</f>
        <v>124444981024000</v>
      </c>
      <c r="Z9">
        <f>$B9*'Time Series Scaling Factors'!Z60</f>
        <v>124444981024000</v>
      </c>
      <c r="AA9">
        <f>$B9*'Time Series Scaling Factors'!AA60</f>
        <v>124444981024000</v>
      </c>
      <c r="AB9">
        <f>$B9*'Time Series Scaling Factors'!AB60</f>
        <v>124444981024000</v>
      </c>
      <c r="AC9">
        <f>$B9*'Time Series Scaling Factors'!AC60</f>
        <v>124444981024000</v>
      </c>
      <c r="AD9">
        <f>$B9*'Time Series Scaling Factors'!AD60</f>
        <v>124444981024000</v>
      </c>
      <c r="AE9">
        <f>$B9*'Time Series Scaling Factors'!AE60</f>
        <v>124444981024000</v>
      </c>
    </row>
    <row r="10" spans="1:32" x14ac:dyDescent="0.25">
      <c r="A10" s="1" t="s">
        <v>220</v>
      </c>
      <c r="B10">
        <f>'First Modeled Year Data'!$D$34</f>
        <v>1381557079413000</v>
      </c>
      <c r="C10">
        <f>$B10*'Time Series Scaling Factors'!C61</f>
        <v>1530356915660895.3</v>
      </c>
      <c r="D10">
        <f>$B10*'Time Series Scaling Factors'!D61</f>
        <v>1571993063392515.3</v>
      </c>
      <c r="E10">
        <f>$B10*'Time Series Scaling Factors'!E61</f>
        <v>1678296222536367.8</v>
      </c>
      <c r="F10">
        <f>$B10*'Time Series Scaling Factors'!F61</f>
        <v>1699087711881606</v>
      </c>
      <c r="G10">
        <f>$B10*'Time Series Scaling Factors'!G61</f>
        <v>1739699529964981.3</v>
      </c>
      <c r="H10">
        <f>$B10*'Time Series Scaling Factors'!H61</f>
        <v>1774203678287912.5</v>
      </c>
      <c r="I10">
        <f>$B10*'Time Series Scaling Factors'!I61</f>
        <v>1786328036002372.5</v>
      </c>
      <c r="J10">
        <f>$B10*'Time Series Scaling Factors'!J61</f>
        <v>1806465397532422.3</v>
      </c>
      <c r="K10">
        <f>$B10*'Time Series Scaling Factors'!K61</f>
        <v>1833083685399020</v>
      </c>
      <c r="L10">
        <f>$B10*'Time Series Scaling Factors'!L61</f>
        <v>1843382627741296</v>
      </c>
      <c r="M10">
        <f>$B10*'Time Series Scaling Factors'!M61</f>
        <v>1854697643669527</v>
      </c>
      <c r="N10">
        <f>$B10*'Time Series Scaling Factors'!N61</f>
        <v>1858881485795298</v>
      </c>
      <c r="O10">
        <f>$B10*'Time Series Scaling Factors'!O61</f>
        <v>1878751433467794.5</v>
      </c>
      <c r="P10">
        <f>$B10*'Time Series Scaling Factors'!P61</f>
        <v>1897142142459901.3</v>
      </c>
      <c r="Q10">
        <f>$B10*'Time Series Scaling Factors'!Q61</f>
        <v>1905218883076365</v>
      </c>
      <c r="R10">
        <f>$B10*'Time Series Scaling Factors'!R61</f>
        <v>1908146730446051.3</v>
      </c>
      <c r="S10">
        <f>$B10*'Time Series Scaling Factors'!S61</f>
        <v>1908939642668324.5</v>
      </c>
      <c r="T10">
        <f>$B10*'Time Series Scaling Factors'!T61</f>
        <v>1921003813688694.8</v>
      </c>
      <c r="U10">
        <f>$B10*'Time Series Scaling Factors'!U61</f>
        <v>1903339720738677.3</v>
      </c>
      <c r="V10">
        <f>$B10*'Time Series Scaling Factors'!V61</f>
        <v>1910386435023916.5</v>
      </c>
      <c r="W10">
        <f>$B10*'Time Series Scaling Factors'!W61</f>
        <v>1916245019385090.5</v>
      </c>
      <c r="X10">
        <f>$B10*'Time Series Scaling Factors'!X61</f>
        <v>1918456405669303.5</v>
      </c>
      <c r="Y10">
        <f>$B10*'Time Series Scaling Factors'!Y61</f>
        <v>1916924410750884.5</v>
      </c>
      <c r="Z10">
        <f>$B10*'Time Series Scaling Factors'!Z61</f>
        <v>1910143459110740.3</v>
      </c>
      <c r="AA10">
        <f>$B10*'Time Series Scaling Factors'!AA61</f>
        <v>1882316648846221.8</v>
      </c>
      <c r="AB10">
        <f>$B10*'Time Series Scaling Factors'!AB61</f>
        <v>1860165963966281</v>
      </c>
      <c r="AC10">
        <f>$B10*'Time Series Scaling Factors'!AC61</f>
        <v>1858765570680755</v>
      </c>
      <c r="AD10">
        <f>$B10*'Time Series Scaling Factors'!AD61</f>
        <v>1849575830307058.8</v>
      </c>
      <c r="AE10">
        <f>$B10*'Time Series Scaling Factors'!AE61</f>
        <v>1810660633024152.5</v>
      </c>
    </row>
    <row r="11" spans="1:32" x14ac:dyDescent="0.25">
      <c r="A11" s="1" t="s">
        <v>231</v>
      </c>
      <c r="B11">
        <f>'First Modeled Year Data'!$D$35</f>
        <v>2936702875000000</v>
      </c>
      <c r="C11">
        <f>$B11*'Time Series Scaling Factors'!C62</f>
        <v>3252998823549870</v>
      </c>
      <c r="D11">
        <f>$B11*'Time Series Scaling Factors'!D62</f>
        <v>3341502582510973</v>
      </c>
      <c r="E11">
        <f>$B11*'Time Series Scaling Factors'!E62</f>
        <v>3567465590287658</v>
      </c>
      <c r="F11">
        <f>$B11*'Time Series Scaling Factors'!F62</f>
        <v>3611660960457695</v>
      </c>
      <c r="G11">
        <f>$B11*'Time Series Scaling Factors'!G62</f>
        <v>3697987356016464.5</v>
      </c>
      <c r="H11">
        <f>$B11*'Time Series Scaling Factors'!H62</f>
        <v>3771331000726701</v>
      </c>
      <c r="I11">
        <f>$B11*'Time Series Scaling Factors'!I62</f>
        <v>3797103107205798.5</v>
      </c>
      <c r="J11">
        <f>$B11*'Time Series Scaling Factors'!J62</f>
        <v>3839908032446628</v>
      </c>
      <c r="K11">
        <f>$B11*'Time Series Scaling Factors'!K62</f>
        <v>3896489120314983</v>
      </c>
      <c r="L11">
        <f>$B11*'Time Series Scaling Factors'!L62</f>
        <v>3918381037801933</v>
      </c>
      <c r="M11">
        <f>$B11*'Time Series Scaling Factors'!M62</f>
        <v>3942432769215900.5</v>
      </c>
      <c r="N11">
        <f>$B11*'Time Series Scaling Factors'!N62</f>
        <v>3951326141326532.5</v>
      </c>
      <c r="O11">
        <f>$B11*'Time Series Scaling Factors'!O62</f>
        <v>3993562639061909</v>
      </c>
      <c r="P11">
        <f>$B11*'Time Series Scaling Factors'!P62</f>
        <v>4032654797305095.5</v>
      </c>
      <c r="Q11">
        <f>$B11*'Time Series Scaling Factors'!Q62</f>
        <v>4049823098016258.5</v>
      </c>
      <c r="R11">
        <f>$B11*'Time Series Scaling Factors'!R62</f>
        <v>4056046668447219</v>
      </c>
      <c r="S11">
        <f>$B11*'Time Series Scaling Factors'!S62</f>
        <v>4057732120056472.5</v>
      </c>
      <c r="T11">
        <f>$B11*'Time Series Scaling Factors'!T62</f>
        <v>4083376290860524</v>
      </c>
      <c r="U11">
        <f>$B11*'Time Series Scaling Factors'!U62</f>
        <v>4045828661939810.5</v>
      </c>
      <c r="V11">
        <f>$B11*'Time Series Scaling Factors'!V62</f>
        <v>4060807490110673</v>
      </c>
      <c r="W11">
        <f>$B11*'Time Series Scaling Factors'!W62</f>
        <v>4073260773288954.5</v>
      </c>
      <c r="X11">
        <f>$B11*'Time Series Scaling Factors'!X62</f>
        <v>4077961400252078.5</v>
      </c>
      <c r="Y11">
        <f>$B11*'Time Series Scaling Factors'!Y62</f>
        <v>4074704919612626.5</v>
      </c>
      <c r="Z11">
        <f>$B11*'Time Series Scaling Factors'!Z62</f>
        <v>4060291009052153</v>
      </c>
      <c r="AA11">
        <f>$B11*'Time Series Scaling Factors'!AA62</f>
        <v>4001141028987188</v>
      </c>
      <c r="AB11">
        <f>$B11*'Time Series Scaling Factors'!AB62</f>
        <v>3954056488696040.5</v>
      </c>
      <c r="AC11">
        <f>$B11*'Time Series Scaling Factors'!AC62</f>
        <v>3951079746693110</v>
      </c>
      <c r="AD11">
        <f>$B11*'Time Series Scaling Factors'!AD62</f>
        <v>3931545601214731.5</v>
      </c>
      <c r="AE11">
        <f>$B11*'Time Series Scaling Factors'!AE62</f>
        <v>3848825622833194</v>
      </c>
    </row>
    <row r="12" spans="1:32" x14ac:dyDescent="0.25">
      <c r="A12" s="1" t="s">
        <v>232</v>
      </c>
      <c r="B12">
        <f>'First Modeled Year Data'!$D$36</f>
        <v>132183114996000</v>
      </c>
      <c r="C12">
        <f>$B12*'Time Series Scaling Factors'!C63</f>
        <v>146419823822028.72</v>
      </c>
      <c r="D12">
        <f>$B12*'Time Series Scaling Factors'!D63</f>
        <v>150403441861131.06</v>
      </c>
      <c r="E12">
        <f>$B12*'Time Series Scaling Factors'!E63</f>
        <v>160574199855089.72</v>
      </c>
      <c r="F12">
        <f>$B12*'Time Series Scaling Factors'!F63</f>
        <v>162563465349807.75</v>
      </c>
      <c r="G12">
        <f>$B12*'Time Series Scaling Factors'!G63</f>
        <v>166449078691380.5</v>
      </c>
      <c r="H12">
        <f>$B12*'Time Series Scaling Factors'!H63</f>
        <v>169750329051262.03</v>
      </c>
      <c r="I12">
        <f>$B12*'Time Series Scaling Factors'!I63</f>
        <v>170910350156364.72</v>
      </c>
      <c r="J12">
        <f>$B12*'Time Series Scaling Factors'!J63</f>
        <v>172837030721726.22</v>
      </c>
      <c r="K12">
        <f>$B12*'Time Series Scaling Factors'!K63</f>
        <v>175383786305333.44</v>
      </c>
      <c r="L12">
        <f>$B12*'Time Series Scaling Factors'!L63</f>
        <v>176369157304658.81</v>
      </c>
      <c r="M12">
        <f>$B12*'Time Series Scaling Factors'!M63</f>
        <v>177451743086969.31</v>
      </c>
      <c r="N12">
        <f>$B12*'Time Series Scaling Factors'!N63</f>
        <v>177852040181513.44</v>
      </c>
      <c r="O12">
        <f>$B12*'Time Series Scaling Factors'!O63</f>
        <v>179753135414780.28</v>
      </c>
      <c r="P12">
        <f>$B12*'Time Series Scaling Factors'!P63</f>
        <v>181512701659118.5</v>
      </c>
      <c r="Q12">
        <f>$B12*'Time Series Scaling Factors'!Q63</f>
        <v>182285459259660.41</v>
      </c>
      <c r="R12">
        <f>$B12*'Time Series Scaling Factors'!R63</f>
        <v>182565586654557.78</v>
      </c>
      <c r="S12">
        <f>$B12*'Time Series Scaling Factors'!S63</f>
        <v>182641450047406.5</v>
      </c>
      <c r="T12">
        <f>$B12*'Time Series Scaling Factors'!T63</f>
        <v>183795712675480.19</v>
      </c>
      <c r="U12">
        <f>$B12*'Time Series Scaling Factors'!U63</f>
        <v>182105666810198.75</v>
      </c>
      <c r="V12">
        <f>$B12*'Time Series Scaling Factors'!V63</f>
        <v>182779874672175.44</v>
      </c>
      <c r="W12">
        <f>$B12*'Time Series Scaling Factors'!W63</f>
        <v>183340405932060.72</v>
      </c>
      <c r="X12">
        <f>$B12*'Time Series Scaling Factors'!X63</f>
        <v>183551984542790.94</v>
      </c>
      <c r="Y12">
        <f>$B12*'Time Series Scaling Factors'!Y63</f>
        <v>183405407999923.28</v>
      </c>
      <c r="Z12">
        <f>$B12*'Time Series Scaling Factors'!Z63</f>
        <v>182756627487132.38</v>
      </c>
      <c r="AA12">
        <f>$B12*'Time Series Scaling Factors'!AA63</f>
        <v>180094244212508.97</v>
      </c>
      <c r="AB12">
        <f>$B12*'Time Series Scaling Factors'!AB63</f>
        <v>177974935086338.53</v>
      </c>
      <c r="AC12">
        <f>$B12*'Time Series Scaling Factors'!AC63</f>
        <v>177840949781309.38</v>
      </c>
      <c r="AD12">
        <f>$B12*'Time Series Scaling Factors'!AD63</f>
        <v>176961703801030.53</v>
      </c>
      <c r="AE12">
        <f>$B12*'Time Series Scaling Factors'!AE63</f>
        <v>173238417898341.66</v>
      </c>
    </row>
    <row r="13" spans="1:32" x14ac:dyDescent="0.25">
      <c r="A13" s="1" t="s">
        <v>233</v>
      </c>
      <c r="B13">
        <f>'First Modeled Year Data'!$D$37</f>
        <v>11939852000000</v>
      </c>
      <c r="C13">
        <f>$B13*'Time Series Scaling Factors'!C64</f>
        <v>13225827113803.457</v>
      </c>
      <c r="D13">
        <f>$B13*'Time Series Scaling Factors'!D64</f>
        <v>13585659833836.205</v>
      </c>
      <c r="E13">
        <f>$B13*'Time Series Scaling Factors'!E64</f>
        <v>14504365261374.043</v>
      </c>
      <c r="F13">
        <f>$B13*'Time Series Scaling Factors'!F64</f>
        <v>14684051869579.326</v>
      </c>
      <c r="G13">
        <f>$B13*'Time Series Scaling Factors'!G64</f>
        <v>15035032009735.713</v>
      </c>
      <c r="H13">
        <f>$B13*'Time Series Scaling Factors'!H64</f>
        <v>15333227741566.705</v>
      </c>
      <c r="I13">
        <f>$B13*'Time Series Scaling Factors'!I64</f>
        <v>15438010264752.225</v>
      </c>
      <c r="J13">
        <f>$B13*'Time Series Scaling Factors'!J64</f>
        <v>15612043694077.814</v>
      </c>
      <c r="K13">
        <f>$B13*'Time Series Scaling Factors'!K64</f>
        <v>15842087332778.293</v>
      </c>
      <c r="L13">
        <f>$B13*'Time Series Scaling Factors'!L64</f>
        <v>15931094040612.293</v>
      </c>
      <c r="M13">
        <f>$B13*'Time Series Scaling Factors'!M64</f>
        <v>16028881976828.523</v>
      </c>
      <c r="N13">
        <f>$B13*'Time Series Scaling Factors'!N64</f>
        <v>16065040059992.41</v>
      </c>
      <c r="O13">
        <f>$B13*'Time Series Scaling Factors'!O64</f>
        <v>16236762414423.219</v>
      </c>
      <c r="P13">
        <f>$B13*'Time Series Scaling Factors'!P64</f>
        <v>16395700721651.264</v>
      </c>
      <c r="Q13">
        <f>$B13*'Time Series Scaling Factors'!Q64</f>
        <v>16465502461325.994</v>
      </c>
      <c r="R13">
        <f>$B13*'Time Series Scaling Factors'!R64</f>
        <v>16490805841688.314</v>
      </c>
      <c r="S13">
        <f>$B13*'Time Series Scaling Factors'!S64</f>
        <v>16497658439184.289</v>
      </c>
      <c r="T13">
        <f>$B13*'Time Series Scaling Factors'!T64</f>
        <v>16601920809977.621</v>
      </c>
      <c r="U13">
        <f>$B13*'Time Series Scaling Factors'!U64</f>
        <v>16449262147747.709</v>
      </c>
      <c r="V13">
        <f>$B13*'Time Series Scaling Factors'!V64</f>
        <v>16510162075015.131</v>
      </c>
      <c r="W13">
        <f>$B13*'Time Series Scaling Factors'!W64</f>
        <v>16560793808762.717</v>
      </c>
      <c r="X13">
        <f>$B13*'Time Series Scaling Factors'!X64</f>
        <v>16579905306464.68</v>
      </c>
      <c r="Y13">
        <f>$B13*'Time Series Scaling Factors'!Y64</f>
        <v>16566665323214.441</v>
      </c>
      <c r="Z13">
        <f>$B13*'Time Series Scaling Factors'!Z64</f>
        <v>16508062200542.971</v>
      </c>
      <c r="AA13">
        <f>$B13*'Time Series Scaling Factors'!AA64</f>
        <v>16267574130132.158</v>
      </c>
      <c r="AB13">
        <f>$B13*'Time Series Scaling Factors'!AB64</f>
        <v>16076140925448.715</v>
      </c>
      <c r="AC13">
        <f>$B13*'Time Series Scaling Factors'!AC64</f>
        <v>16064038285014.863</v>
      </c>
      <c r="AD13">
        <f>$B13*'Time Series Scaling Factors'!AD64</f>
        <v>15984617650416.852</v>
      </c>
      <c r="AE13">
        <f>$B13*'Time Series Scaling Factors'!AE64</f>
        <v>15648300242303.594</v>
      </c>
    </row>
    <row r="14" spans="1:32" x14ac:dyDescent="0.25">
      <c r="A14" s="1" t="s">
        <v>222</v>
      </c>
      <c r="B14">
        <f>'First Modeled Year Data'!$D$38</f>
        <v>393656760000000</v>
      </c>
      <c r="C14">
        <f>$B14*'Time Series Scaling Factors'!C65</f>
        <v>436055342221999.06</v>
      </c>
      <c r="D14">
        <f>$B14*'Time Series Scaling Factors'!D65</f>
        <v>447919022166279.69</v>
      </c>
      <c r="E14">
        <f>$B14*'Time Series Scaling Factors'!E65</f>
        <v>478208727767233.5</v>
      </c>
      <c r="F14">
        <f>$B14*'Time Series Scaling Factors'!F65</f>
        <v>484132992825249.44</v>
      </c>
      <c r="G14">
        <f>$B14*'Time Series Scaling Factors'!G65</f>
        <v>495704803329961.69</v>
      </c>
      <c r="H14">
        <f>$B14*'Time Series Scaling Factors'!H65</f>
        <v>505536312601468.31</v>
      </c>
      <c r="I14">
        <f>$B14*'Time Series Scaling Factors'!I65</f>
        <v>508990990982895.19</v>
      </c>
      <c r="J14">
        <f>$B14*'Time Series Scaling Factors'!J65</f>
        <v>514728870809211.31</v>
      </c>
      <c r="K14">
        <f>$B14*'Time Series Scaling Factors'!K65</f>
        <v>522313406485988.63</v>
      </c>
      <c r="L14">
        <f>$B14*'Time Series Scaling Factors'!L65</f>
        <v>525247956447261.13</v>
      </c>
      <c r="M14">
        <f>$B14*'Time Series Scaling Factors'!M65</f>
        <v>528472023390299.31</v>
      </c>
      <c r="N14">
        <f>$B14*'Time Series Scaling Factors'!N65</f>
        <v>529664154906343.69</v>
      </c>
      <c r="O14">
        <f>$B14*'Time Series Scaling Factors'!O65</f>
        <v>535325838624433.69</v>
      </c>
      <c r="P14">
        <f>$B14*'Time Series Scaling Factors'!P65</f>
        <v>540566032478032.25</v>
      </c>
      <c r="Q14">
        <f>$B14*'Time Series Scaling Factors'!Q65</f>
        <v>542867394897157.5</v>
      </c>
      <c r="R14">
        <f>$B14*'Time Series Scaling Factors'!R65</f>
        <v>543701647007692.75</v>
      </c>
      <c r="S14">
        <f>$B14*'Time Series Scaling Factors'!S65</f>
        <v>543927577055054.31</v>
      </c>
      <c r="T14">
        <f>$B14*'Time Series Scaling Factors'!T65</f>
        <v>547365106019100.25</v>
      </c>
      <c r="U14">
        <f>$B14*'Time Series Scaling Factors'!U65</f>
        <v>542331951976708.31</v>
      </c>
      <c r="V14">
        <f>$B14*'Time Series Scaling Factors'!V65</f>
        <v>544339821760381.44</v>
      </c>
      <c r="W14">
        <f>$B14*'Time Series Scaling Factors'!W65</f>
        <v>546009149341682.81</v>
      </c>
      <c r="X14">
        <f>$B14*'Time Series Scaling Factors'!X65</f>
        <v>546639255164108.63</v>
      </c>
      <c r="Y14">
        <f>$B14*'Time Series Scaling Factors'!Y65</f>
        <v>546202733094258.63</v>
      </c>
      <c r="Z14">
        <f>$B14*'Time Series Scaling Factors'!Z65</f>
        <v>544270588927251.06</v>
      </c>
      <c r="AA14">
        <f>$B14*'Time Series Scaling Factors'!AA65</f>
        <v>536341700477329.5</v>
      </c>
      <c r="AB14">
        <f>$B14*'Time Series Scaling Factors'!AB65</f>
        <v>530030150291271.81</v>
      </c>
      <c r="AC14">
        <f>$B14*'Time Series Scaling Factors'!AC65</f>
        <v>529631126398795.19</v>
      </c>
      <c r="AD14">
        <f>$B14*'Time Series Scaling Factors'!AD65</f>
        <v>527012629143301.81</v>
      </c>
      <c r="AE14">
        <f>$B14*'Time Series Scaling Factors'!AE65</f>
        <v>515924248717023.25</v>
      </c>
    </row>
    <row r="15" spans="1:32" x14ac:dyDescent="0.25">
      <c r="A15" s="1" t="s">
        <v>234</v>
      </c>
      <c r="B15">
        <f>'First Modeled Year Data'!$D$39</f>
        <v>0</v>
      </c>
      <c r="C15">
        <f>$B15*'Time Series Scaling Factors'!C66</f>
        <v>0</v>
      </c>
      <c r="D15">
        <f>$B15*'Time Series Scaling Factors'!D66</f>
        <v>0</v>
      </c>
      <c r="E15">
        <f>$B15*'Time Series Scaling Factors'!E66</f>
        <v>0</v>
      </c>
      <c r="F15">
        <f>$B15*'Time Series Scaling Factors'!F66</f>
        <v>0</v>
      </c>
      <c r="G15">
        <f>$B15*'Time Series Scaling Factors'!G66</f>
        <v>0</v>
      </c>
      <c r="H15">
        <f>$B15*'Time Series Scaling Factors'!H66</f>
        <v>0</v>
      </c>
      <c r="I15">
        <f>$B15*'Time Series Scaling Factors'!I66</f>
        <v>0</v>
      </c>
      <c r="J15">
        <f>$B15*'Time Series Scaling Factors'!J66</f>
        <v>0</v>
      </c>
      <c r="K15">
        <f>$B15*'Time Series Scaling Factors'!K66</f>
        <v>0</v>
      </c>
      <c r="L15">
        <f>$B15*'Time Series Scaling Factors'!L66</f>
        <v>0</v>
      </c>
      <c r="M15">
        <f>$B15*'Time Series Scaling Factors'!M66</f>
        <v>0</v>
      </c>
      <c r="N15">
        <f>$B15*'Time Series Scaling Factors'!N66</f>
        <v>0</v>
      </c>
      <c r="O15">
        <f>$B15*'Time Series Scaling Factors'!O66</f>
        <v>0</v>
      </c>
      <c r="P15">
        <f>$B15*'Time Series Scaling Factors'!P66</f>
        <v>0</v>
      </c>
      <c r="Q15">
        <f>$B15*'Time Series Scaling Factors'!Q66</f>
        <v>0</v>
      </c>
      <c r="R15">
        <f>$B15*'Time Series Scaling Factors'!R66</f>
        <v>0</v>
      </c>
      <c r="S15">
        <f>$B15*'Time Series Scaling Factors'!S66</f>
        <v>0</v>
      </c>
      <c r="T15">
        <f>$B15*'Time Series Scaling Factors'!T66</f>
        <v>0</v>
      </c>
      <c r="U15">
        <f>$B15*'Time Series Scaling Factors'!U66</f>
        <v>0</v>
      </c>
      <c r="V15">
        <f>$B15*'Time Series Scaling Factors'!V66</f>
        <v>0</v>
      </c>
      <c r="W15">
        <f>$B15*'Time Series Scaling Factors'!W66</f>
        <v>0</v>
      </c>
      <c r="X15">
        <f>$B15*'Time Series Scaling Factors'!X66</f>
        <v>0</v>
      </c>
      <c r="Y15">
        <f>$B15*'Time Series Scaling Factors'!Y66</f>
        <v>0</v>
      </c>
      <c r="Z15">
        <f>$B15*'Time Series Scaling Factors'!Z66</f>
        <v>0</v>
      </c>
      <c r="AA15">
        <f>$B15*'Time Series Scaling Factors'!AA66</f>
        <v>0</v>
      </c>
      <c r="AB15">
        <f>$B15*'Time Series Scaling Factors'!AB66</f>
        <v>0</v>
      </c>
      <c r="AC15">
        <f>$B15*'Time Series Scaling Factors'!AC66</f>
        <v>0</v>
      </c>
      <c r="AD15">
        <f>$B15*'Time Series Scaling Factors'!AD66</f>
        <v>0</v>
      </c>
      <c r="AE15">
        <f>$B15*'Time Series Scaling Factors'!AE66</f>
        <v>0</v>
      </c>
    </row>
    <row r="16" spans="1:32" x14ac:dyDescent="0.25">
      <c r="A16" s="1" t="s">
        <v>235</v>
      </c>
      <c r="B16">
        <f>'First Modeled Year Data'!$D$40</f>
        <v>0</v>
      </c>
      <c r="C16">
        <f>$B16*'Time Series Scaling Factors'!C67</f>
        <v>0</v>
      </c>
      <c r="D16">
        <f>$B16*'Time Series Scaling Factors'!D67</f>
        <v>0</v>
      </c>
      <c r="E16">
        <f>$B16*'Time Series Scaling Factors'!E67</f>
        <v>0</v>
      </c>
      <c r="F16">
        <f>$B16*'Time Series Scaling Factors'!F67</f>
        <v>0</v>
      </c>
      <c r="G16">
        <f>$B16*'Time Series Scaling Factors'!G67</f>
        <v>0</v>
      </c>
      <c r="H16">
        <f>$B16*'Time Series Scaling Factors'!H67</f>
        <v>0</v>
      </c>
      <c r="I16">
        <f>$B16*'Time Series Scaling Factors'!I67</f>
        <v>0</v>
      </c>
      <c r="J16">
        <f>$B16*'Time Series Scaling Factors'!J67</f>
        <v>0</v>
      </c>
      <c r="K16">
        <f>$B16*'Time Series Scaling Factors'!K67</f>
        <v>0</v>
      </c>
      <c r="L16">
        <f>$B16*'Time Series Scaling Factors'!L67</f>
        <v>0</v>
      </c>
      <c r="M16">
        <f>$B16*'Time Series Scaling Factors'!M67</f>
        <v>0</v>
      </c>
      <c r="N16">
        <f>$B16*'Time Series Scaling Factors'!N67</f>
        <v>0</v>
      </c>
      <c r="O16">
        <f>$B16*'Time Series Scaling Factors'!O67</f>
        <v>0</v>
      </c>
      <c r="P16">
        <f>$B16*'Time Series Scaling Factors'!P67</f>
        <v>0</v>
      </c>
      <c r="Q16">
        <f>$B16*'Time Series Scaling Factors'!Q67</f>
        <v>0</v>
      </c>
      <c r="R16">
        <f>$B16*'Time Series Scaling Factors'!R67</f>
        <v>0</v>
      </c>
      <c r="S16">
        <f>$B16*'Time Series Scaling Factors'!S67</f>
        <v>0</v>
      </c>
      <c r="T16">
        <f>$B16*'Time Series Scaling Factors'!T67</f>
        <v>0</v>
      </c>
      <c r="U16">
        <f>$B16*'Time Series Scaling Factors'!U67</f>
        <v>0</v>
      </c>
      <c r="V16">
        <f>$B16*'Time Series Scaling Factors'!V67</f>
        <v>0</v>
      </c>
      <c r="W16">
        <f>$B16*'Time Series Scaling Factors'!W67</f>
        <v>0</v>
      </c>
      <c r="X16">
        <f>$B16*'Time Series Scaling Factors'!X67</f>
        <v>0</v>
      </c>
      <c r="Y16">
        <f>$B16*'Time Series Scaling Factors'!Y67</f>
        <v>0</v>
      </c>
      <c r="Z16">
        <f>$B16*'Time Series Scaling Factors'!Z67</f>
        <v>0</v>
      </c>
      <c r="AA16">
        <f>$B16*'Time Series Scaling Factors'!AA67</f>
        <v>0</v>
      </c>
      <c r="AB16">
        <f>$B16*'Time Series Scaling Factors'!AB67</f>
        <v>0</v>
      </c>
      <c r="AC16">
        <f>$B16*'Time Series Scaling Factors'!AC67</f>
        <v>0</v>
      </c>
      <c r="AD16">
        <f>$B16*'Time Series Scaling Factors'!AD67</f>
        <v>0</v>
      </c>
      <c r="AE16">
        <f>$B16*'Time Series Scaling Factors'!AE67</f>
        <v>0</v>
      </c>
    </row>
    <row r="17" spans="1:31" x14ac:dyDescent="0.25">
      <c r="A17" s="1" t="s">
        <v>236</v>
      </c>
      <c r="B17">
        <f>'First Modeled Year Data'!$D$41</f>
        <v>0</v>
      </c>
      <c r="C17">
        <f>$B17*'Time Series Scaling Factors'!C68</f>
        <v>0</v>
      </c>
      <c r="D17">
        <f>$B17*'Time Series Scaling Factors'!D68</f>
        <v>0</v>
      </c>
      <c r="E17">
        <f>$B17*'Time Series Scaling Factors'!E68</f>
        <v>0</v>
      </c>
      <c r="F17">
        <f>$B17*'Time Series Scaling Factors'!F68</f>
        <v>0</v>
      </c>
      <c r="G17">
        <f>$B17*'Time Series Scaling Factors'!G68</f>
        <v>0</v>
      </c>
      <c r="H17">
        <f>$B17*'Time Series Scaling Factors'!H68</f>
        <v>0</v>
      </c>
      <c r="I17">
        <f>$B17*'Time Series Scaling Factors'!I68</f>
        <v>0</v>
      </c>
      <c r="J17">
        <f>$B17*'Time Series Scaling Factors'!J68</f>
        <v>0</v>
      </c>
      <c r="K17">
        <f>$B17*'Time Series Scaling Factors'!K68</f>
        <v>0</v>
      </c>
      <c r="L17">
        <f>$B17*'Time Series Scaling Factors'!L68</f>
        <v>0</v>
      </c>
      <c r="M17">
        <f>$B17*'Time Series Scaling Factors'!M68</f>
        <v>0</v>
      </c>
      <c r="N17">
        <f>$B17*'Time Series Scaling Factors'!N68</f>
        <v>0</v>
      </c>
      <c r="O17">
        <f>$B17*'Time Series Scaling Factors'!O68</f>
        <v>0</v>
      </c>
      <c r="P17">
        <f>$B17*'Time Series Scaling Factors'!P68</f>
        <v>0</v>
      </c>
      <c r="Q17">
        <f>$B17*'Time Series Scaling Factors'!Q68</f>
        <v>0</v>
      </c>
      <c r="R17">
        <f>$B17*'Time Series Scaling Factors'!R68</f>
        <v>0</v>
      </c>
      <c r="S17">
        <f>$B17*'Time Series Scaling Factors'!S68</f>
        <v>0</v>
      </c>
      <c r="T17">
        <f>$B17*'Time Series Scaling Factors'!T68</f>
        <v>0</v>
      </c>
      <c r="U17">
        <f>$B17*'Time Series Scaling Factors'!U68</f>
        <v>0</v>
      </c>
      <c r="V17">
        <f>$B17*'Time Series Scaling Factors'!V68</f>
        <v>0</v>
      </c>
      <c r="W17">
        <f>$B17*'Time Series Scaling Factors'!W68</f>
        <v>0</v>
      </c>
      <c r="X17">
        <f>$B17*'Time Series Scaling Factors'!X68</f>
        <v>0</v>
      </c>
      <c r="Y17">
        <f>$B17*'Time Series Scaling Factors'!Y68</f>
        <v>0</v>
      </c>
      <c r="Z17">
        <f>$B17*'Time Series Scaling Factors'!Z68</f>
        <v>0</v>
      </c>
      <c r="AA17">
        <f>$B17*'Time Series Scaling Factors'!AA68</f>
        <v>0</v>
      </c>
      <c r="AB17">
        <f>$B17*'Time Series Scaling Factors'!AB68</f>
        <v>0</v>
      </c>
      <c r="AC17">
        <f>$B17*'Time Series Scaling Factors'!AC68</f>
        <v>0</v>
      </c>
      <c r="AD17">
        <f>$B17*'Time Series Scaling Factors'!AD68</f>
        <v>0</v>
      </c>
      <c r="AE17">
        <f>$B17*'Time Series Scaling Factors'!AE68</f>
        <v>0</v>
      </c>
    </row>
    <row r="18" spans="1:31" x14ac:dyDescent="0.25">
      <c r="A18" s="1" t="s">
        <v>223</v>
      </c>
      <c r="B18">
        <f>'First Modeled Year Data'!$D$42</f>
        <v>6193988558562000</v>
      </c>
      <c r="C18">
        <f>$B18*'Time Series Scaling Factors'!C69</f>
        <v>6861108648617896</v>
      </c>
      <c r="D18">
        <f>$B18*'Time Series Scaling Factors'!D69</f>
        <v>7047777608239765</v>
      </c>
      <c r="E18">
        <f>$B18*'Time Series Scaling Factors'!E69</f>
        <v>7524370693887575</v>
      </c>
      <c r="F18">
        <f>$B18*'Time Series Scaling Factors'!F69</f>
        <v>7617585986284025</v>
      </c>
      <c r="G18">
        <f>$B18*'Time Series Scaling Factors'!G69</f>
        <v>7799662528975773</v>
      </c>
      <c r="H18">
        <f>$B18*'Time Series Scaling Factors'!H69</f>
        <v>7954356318410783</v>
      </c>
      <c r="I18">
        <f>$B18*'Time Series Scaling Factors'!I69</f>
        <v>8008713922654819</v>
      </c>
      <c r="J18">
        <f>$B18*'Time Series Scaling Factors'!J69</f>
        <v>8098996538389923</v>
      </c>
      <c r="K18">
        <f>$B18*'Time Series Scaling Factors'!K69</f>
        <v>8218335343098787</v>
      </c>
      <c r="L18">
        <f>$B18*'Time Series Scaling Factors'!L69</f>
        <v>8264508991646446</v>
      </c>
      <c r="M18">
        <f>$B18*'Time Series Scaling Factors'!M69</f>
        <v>8315238042399230</v>
      </c>
      <c r="N18">
        <f>$B18*'Time Series Scaling Factors'!N69</f>
        <v>8333995624437654</v>
      </c>
      <c r="O18">
        <f>$B18*'Time Series Scaling Factors'!O69</f>
        <v>8423079333230172</v>
      </c>
      <c r="P18">
        <f>$B18*'Time Series Scaling Factors'!P69</f>
        <v>8505531113745351</v>
      </c>
      <c r="Q18">
        <f>$B18*'Time Series Scaling Factors'!Q69</f>
        <v>8541741878913378</v>
      </c>
      <c r="R18">
        <f>$B18*'Time Series Scaling Factors'!R69</f>
        <v>8554868410838326</v>
      </c>
      <c r="S18">
        <f>$B18*'Time Series Scaling Factors'!S69</f>
        <v>8558423305026839</v>
      </c>
      <c r="T18">
        <f>$B18*'Time Series Scaling Factors'!T69</f>
        <v>8612511071925662</v>
      </c>
      <c r="U18">
        <f>$B18*'Time Series Scaling Factors'!U69</f>
        <v>8533316957357285</v>
      </c>
      <c r="V18">
        <f>$B18*'Time Series Scaling Factors'!V69</f>
        <v>8564909765434946</v>
      </c>
      <c r="W18">
        <f>$B18*'Time Series Scaling Factors'!W69</f>
        <v>8591175784438590</v>
      </c>
      <c r="X18">
        <f>$B18*'Time Series Scaling Factors'!X69</f>
        <v>8601090178528479</v>
      </c>
      <c r="Y18">
        <f>$B18*'Time Series Scaling Factors'!Y69</f>
        <v>8594221726158422</v>
      </c>
      <c r="Z18">
        <f>$B18*'Time Series Scaling Factors'!Z69</f>
        <v>8563820422078347</v>
      </c>
      <c r="AA18">
        <f>$B18*'Time Series Scaling Factors'!AA69</f>
        <v>8439063401924728</v>
      </c>
      <c r="AB18">
        <f>$B18*'Time Series Scaling Factors'!AB69</f>
        <v>8339754375352363</v>
      </c>
      <c r="AC18">
        <f>$B18*'Time Series Scaling Factors'!AC69</f>
        <v>8333475937698725</v>
      </c>
      <c r="AD18">
        <f>$B18*'Time Series Scaling Factors'!AD69</f>
        <v>8292275217454134</v>
      </c>
      <c r="AE18">
        <f>$B18*'Time Series Scaling Factors'!AE69</f>
        <v>8117805200748839</v>
      </c>
    </row>
    <row r="19" spans="1:31" x14ac:dyDescent="0.25">
      <c r="A19" s="1" t="s">
        <v>237</v>
      </c>
      <c r="B19">
        <f>'First Modeled Year Data'!$D$43</f>
        <v>705652880000000</v>
      </c>
      <c r="C19">
        <f>$B19*'Time Series Scaling Factors'!C70</f>
        <v>781654830666033.13</v>
      </c>
      <c r="D19">
        <f>$B19*'Time Series Scaling Factors'!D70</f>
        <v>802921174269734.63</v>
      </c>
      <c r="E19">
        <f>$B19*'Time Series Scaling Factors'!E70</f>
        <v>857217251877204.63</v>
      </c>
      <c r="F19">
        <f>$B19*'Time Series Scaling Factors'!F70</f>
        <v>867836845200261.75</v>
      </c>
      <c r="G19">
        <f>$B19*'Time Series Scaling Factors'!G70</f>
        <v>888579995678522.13</v>
      </c>
      <c r="H19">
        <f>$B19*'Time Series Scaling Factors'!H70</f>
        <v>906203553907740.38</v>
      </c>
      <c r="I19">
        <f>$B19*'Time Series Scaling Factors'!I70</f>
        <v>912396267959767.75</v>
      </c>
      <c r="J19">
        <f>$B19*'Time Series Scaling Factors'!J70</f>
        <v>922681754799963</v>
      </c>
      <c r="K19">
        <f>$B19*'Time Series Scaling Factors'!K70</f>
        <v>936277480791765.25</v>
      </c>
      <c r="L19">
        <f>$B19*'Time Series Scaling Factors'!L70</f>
        <v>941537834079425.88</v>
      </c>
      <c r="M19">
        <f>$B19*'Time Series Scaling Factors'!M70</f>
        <v>947317163573647.38</v>
      </c>
      <c r="N19">
        <f>$B19*'Time Series Scaling Factors'!N70</f>
        <v>949454129385273.5</v>
      </c>
      <c r="O19">
        <f>$B19*'Time Series Scaling Factors'!O70</f>
        <v>959603030222945.63</v>
      </c>
      <c r="P19">
        <f>$B19*'Time Series Scaling Factors'!P70</f>
        <v>968996385704889.25</v>
      </c>
      <c r="Q19">
        <f>$B19*'Time Series Scaling Factors'!Q70</f>
        <v>973121713106810.38</v>
      </c>
      <c r="R19">
        <f>$B19*'Time Series Scaling Factors'!R70</f>
        <v>974617159049223</v>
      </c>
      <c r="S19">
        <f>$B19*'Time Series Scaling Factors'!S70</f>
        <v>975022151938457.75</v>
      </c>
      <c r="T19">
        <f>$B19*'Time Series Scaling Factors'!T70</f>
        <v>981184124651850</v>
      </c>
      <c r="U19">
        <f>$B19*'Time Series Scaling Factors'!U70</f>
        <v>972161900200534.88</v>
      </c>
      <c r="V19">
        <f>$B19*'Time Series Scaling Factors'!V70</f>
        <v>975761124802987.75</v>
      </c>
      <c r="W19">
        <f>$B19*'Time Series Scaling Factors'!W70</f>
        <v>978753492609420.88</v>
      </c>
      <c r="X19">
        <f>$B19*'Time Series Scaling Factors'!X70</f>
        <v>979882994331427.63</v>
      </c>
      <c r="Y19">
        <f>$B19*'Time Series Scaling Factors'!Y70</f>
        <v>979100502864055.75</v>
      </c>
      <c r="Z19">
        <f>$B19*'Time Series Scaling Factors'!Z70</f>
        <v>975637020880349.75</v>
      </c>
      <c r="AA19">
        <f>$B19*'Time Series Scaling Factors'!AA70</f>
        <v>961424022302893.88</v>
      </c>
      <c r="AB19">
        <f>$B19*'Time Series Scaling Factors'!AB70</f>
        <v>950110197624623</v>
      </c>
      <c r="AC19">
        <f>$B19*'Time Series Scaling Factors'!AC70</f>
        <v>949394923844198.38</v>
      </c>
      <c r="AD19">
        <f>$B19*'Time Series Scaling Factors'!AD70</f>
        <v>944701113608065.13</v>
      </c>
      <c r="AE19">
        <f>$B19*'Time Series Scaling Factors'!AE70</f>
        <v>924824539959643.38</v>
      </c>
    </row>
    <row r="20" spans="1:31" x14ac:dyDescent="0.25">
      <c r="A20" s="1" t="s">
        <v>224</v>
      </c>
      <c r="B20">
        <f>'First Modeled Year Data'!$D$44</f>
        <v>2412911377800000</v>
      </c>
      <c r="C20">
        <f>$B20*'Time Series Scaling Factors'!C71</f>
        <v>2672792654692210</v>
      </c>
      <c r="D20">
        <f>$B20*'Time Series Scaling Factors'!D71</f>
        <v>2745510847871802.5</v>
      </c>
      <c r="E20">
        <f>$B20*'Time Series Scaling Factors'!E71</f>
        <v>2931171003370602.5</v>
      </c>
      <c r="F20">
        <f>$B20*'Time Series Scaling Factors'!F71</f>
        <v>2967483669673068</v>
      </c>
      <c r="G20">
        <f>$B20*'Time Series Scaling Factors'!G71</f>
        <v>3038412854856032</v>
      </c>
      <c r="H20">
        <f>$B20*'Time Series Scaling Factors'!H71</f>
        <v>3098674897814889.5</v>
      </c>
      <c r="I20">
        <f>$B20*'Time Series Scaling Factors'!I71</f>
        <v>3119850281093420</v>
      </c>
      <c r="J20">
        <f>$B20*'Time Series Scaling Factors'!J71</f>
        <v>3155020502779356</v>
      </c>
      <c r="K20">
        <f>$B20*'Time Series Scaling Factors'!K71</f>
        <v>3201509765226738</v>
      </c>
      <c r="L20">
        <f>$B20*'Time Series Scaling Factors'!L71</f>
        <v>3219497031570841.5</v>
      </c>
      <c r="M20">
        <f>$B20*'Time Series Scaling Factors'!M71</f>
        <v>3239258886567681</v>
      </c>
      <c r="N20">
        <f>$B20*'Time Series Scaling Factors'!N71</f>
        <v>3246566033278174.5</v>
      </c>
      <c r="O20">
        <f>$B20*'Time Series Scaling Factors'!O71</f>
        <v>3281269212415462.5</v>
      </c>
      <c r="P20">
        <f>$B20*'Time Series Scaling Factors'!P71</f>
        <v>3313388877707697.5</v>
      </c>
      <c r="Q20">
        <f>$B20*'Time Series Scaling Factors'!Q71</f>
        <v>3327495033449945</v>
      </c>
      <c r="R20">
        <f>$B20*'Time Series Scaling Factors'!R71</f>
        <v>3332608565374214</v>
      </c>
      <c r="S20">
        <f>$B20*'Time Series Scaling Factors'!S71</f>
        <v>3333993399161561</v>
      </c>
      <c r="T20">
        <f>$B20*'Time Series Scaling Factors'!T71</f>
        <v>3355063665423122</v>
      </c>
      <c r="U20">
        <f>$B20*'Time Series Scaling Factors'!U71</f>
        <v>3324213046586784.5</v>
      </c>
      <c r="V20">
        <f>$B20*'Time Series Scaling Factors'!V71</f>
        <v>3336520244985119.5</v>
      </c>
      <c r="W20">
        <f>$B20*'Time Series Scaling Factors'!W71</f>
        <v>3346752355604019</v>
      </c>
      <c r="X20">
        <f>$B20*'Time Series Scaling Factors'!X71</f>
        <v>3350614576865377</v>
      </c>
      <c r="Y20">
        <f>$B20*'Time Series Scaling Factors'!Y71</f>
        <v>3347938923412856.5</v>
      </c>
      <c r="Z20">
        <f>$B20*'Time Series Scaling Factors'!Z71</f>
        <v>3336095883694391</v>
      </c>
      <c r="AA20">
        <f>$B20*'Time Series Scaling Factors'!AA71</f>
        <v>3287495917688160.5</v>
      </c>
      <c r="AB20">
        <f>$B20*'Time Series Scaling Factors'!AB71</f>
        <v>3248809394800825.5</v>
      </c>
      <c r="AC20">
        <f>$B20*'Time Series Scaling Factors'!AC71</f>
        <v>3246363585689937</v>
      </c>
      <c r="AD20">
        <f>$B20*'Time Series Scaling Factors'!AD71</f>
        <v>3230313558197666.5</v>
      </c>
      <c r="AE20">
        <f>$B20*'Time Series Scaling Factors'!AE71</f>
        <v>3162347548184419.5</v>
      </c>
    </row>
    <row r="21" spans="1:31" x14ac:dyDescent="0.25">
      <c r="A21" s="1" t="s">
        <v>238</v>
      </c>
      <c r="B21">
        <f>'First Modeled Year Data'!$D$45</f>
        <v>0</v>
      </c>
      <c r="C21">
        <f>$B21*'Time Series Scaling Factors'!C72</f>
        <v>0</v>
      </c>
      <c r="D21">
        <f>$B21*'Time Series Scaling Factors'!D72</f>
        <v>0</v>
      </c>
      <c r="E21">
        <f>$B21*'Time Series Scaling Factors'!E72</f>
        <v>0</v>
      </c>
      <c r="F21">
        <f>$B21*'Time Series Scaling Factors'!F72</f>
        <v>0</v>
      </c>
      <c r="G21">
        <f>$B21*'Time Series Scaling Factors'!G72</f>
        <v>0</v>
      </c>
      <c r="H21">
        <f>$B21*'Time Series Scaling Factors'!H72</f>
        <v>0</v>
      </c>
      <c r="I21">
        <f>$B21*'Time Series Scaling Factors'!I72</f>
        <v>0</v>
      </c>
      <c r="J21">
        <f>$B21*'Time Series Scaling Factors'!J72</f>
        <v>0</v>
      </c>
      <c r="K21">
        <f>$B21*'Time Series Scaling Factors'!K72</f>
        <v>0</v>
      </c>
      <c r="L21">
        <f>$B21*'Time Series Scaling Factors'!L72</f>
        <v>0</v>
      </c>
      <c r="M21">
        <f>$B21*'Time Series Scaling Factors'!M72</f>
        <v>0</v>
      </c>
      <c r="N21">
        <f>$B21*'Time Series Scaling Factors'!N72</f>
        <v>0</v>
      </c>
      <c r="O21">
        <f>$B21*'Time Series Scaling Factors'!O72</f>
        <v>0</v>
      </c>
      <c r="P21">
        <f>$B21*'Time Series Scaling Factors'!P72</f>
        <v>0</v>
      </c>
      <c r="Q21">
        <f>$B21*'Time Series Scaling Factors'!Q72</f>
        <v>0</v>
      </c>
      <c r="R21">
        <f>$B21*'Time Series Scaling Factors'!R72</f>
        <v>0</v>
      </c>
      <c r="S21">
        <f>$B21*'Time Series Scaling Factors'!S72</f>
        <v>0</v>
      </c>
      <c r="T21">
        <f>$B21*'Time Series Scaling Factors'!T72</f>
        <v>0</v>
      </c>
      <c r="U21">
        <f>$B21*'Time Series Scaling Factors'!U72</f>
        <v>0</v>
      </c>
      <c r="V21">
        <f>$B21*'Time Series Scaling Factors'!V72</f>
        <v>0</v>
      </c>
      <c r="W21">
        <f>$B21*'Time Series Scaling Factors'!W72</f>
        <v>0</v>
      </c>
      <c r="X21">
        <f>$B21*'Time Series Scaling Factors'!X72</f>
        <v>0</v>
      </c>
      <c r="Y21">
        <f>$B21*'Time Series Scaling Factors'!Y72</f>
        <v>0</v>
      </c>
      <c r="Z21">
        <f>$B21*'Time Series Scaling Factors'!Z72</f>
        <v>0</v>
      </c>
      <c r="AA21">
        <f>$B21*'Time Series Scaling Factors'!AA72</f>
        <v>0</v>
      </c>
      <c r="AB21">
        <f>$B21*'Time Series Scaling Factors'!AB72</f>
        <v>0</v>
      </c>
      <c r="AC21">
        <f>$B21*'Time Series Scaling Factors'!AC72</f>
        <v>0</v>
      </c>
      <c r="AD21">
        <f>$B21*'Time Series Scaling Factors'!AD72</f>
        <v>0</v>
      </c>
      <c r="AE21">
        <f>$B21*'Time Series Scaling Factors'!AE72</f>
        <v>0</v>
      </c>
    </row>
    <row r="22" spans="1:31" x14ac:dyDescent="0.25">
      <c r="A22" s="1" t="s">
        <v>239</v>
      </c>
      <c r="B22">
        <f>'First Modeled Year Data'!$D$46</f>
        <v>0</v>
      </c>
      <c r="C22">
        <f>$B22*'Time Series Scaling Factors'!C73</f>
        <v>0</v>
      </c>
      <c r="D22">
        <f>$B22*'Time Series Scaling Factors'!D73</f>
        <v>0</v>
      </c>
      <c r="E22">
        <f>$B22*'Time Series Scaling Factors'!E73</f>
        <v>0</v>
      </c>
      <c r="F22">
        <f>$B22*'Time Series Scaling Factors'!F73</f>
        <v>0</v>
      </c>
      <c r="G22">
        <f>$B22*'Time Series Scaling Factors'!G73</f>
        <v>0</v>
      </c>
      <c r="H22">
        <f>$B22*'Time Series Scaling Factors'!H73</f>
        <v>0</v>
      </c>
      <c r="I22">
        <f>$B22*'Time Series Scaling Factors'!I73</f>
        <v>0</v>
      </c>
      <c r="J22">
        <f>$B22*'Time Series Scaling Factors'!J73</f>
        <v>0</v>
      </c>
      <c r="K22">
        <f>$B22*'Time Series Scaling Factors'!K73</f>
        <v>0</v>
      </c>
      <c r="L22">
        <f>$B22*'Time Series Scaling Factors'!L73</f>
        <v>0</v>
      </c>
      <c r="M22">
        <f>$B22*'Time Series Scaling Factors'!M73</f>
        <v>0</v>
      </c>
      <c r="N22">
        <f>$B22*'Time Series Scaling Factors'!N73</f>
        <v>0</v>
      </c>
      <c r="O22">
        <f>$B22*'Time Series Scaling Factors'!O73</f>
        <v>0</v>
      </c>
      <c r="P22">
        <f>$B22*'Time Series Scaling Factors'!P73</f>
        <v>0</v>
      </c>
      <c r="Q22">
        <f>$B22*'Time Series Scaling Factors'!Q73</f>
        <v>0</v>
      </c>
      <c r="R22">
        <f>$B22*'Time Series Scaling Factors'!R73</f>
        <v>0</v>
      </c>
      <c r="S22">
        <f>$B22*'Time Series Scaling Factors'!S73</f>
        <v>0</v>
      </c>
      <c r="T22">
        <f>$B22*'Time Series Scaling Factors'!T73</f>
        <v>0</v>
      </c>
      <c r="U22">
        <f>$B22*'Time Series Scaling Factors'!U73</f>
        <v>0</v>
      </c>
      <c r="V22">
        <f>$B22*'Time Series Scaling Factors'!V73</f>
        <v>0</v>
      </c>
      <c r="W22">
        <f>$B22*'Time Series Scaling Factors'!W73</f>
        <v>0</v>
      </c>
      <c r="X22">
        <f>$B22*'Time Series Scaling Factors'!X73</f>
        <v>0</v>
      </c>
      <c r="Y22">
        <f>$B22*'Time Series Scaling Factors'!Y73</f>
        <v>0</v>
      </c>
      <c r="Z22">
        <f>$B22*'Time Series Scaling Factors'!Z73</f>
        <v>0</v>
      </c>
      <c r="AA22">
        <f>$B22*'Time Series Scaling Factors'!AA73</f>
        <v>0</v>
      </c>
      <c r="AB22">
        <f>$B22*'Time Series Scaling Factors'!AB73</f>
        <v>0</v>
      </c>
      <c r="AC22">
        <f>$B22*'Time Series Scaling Factors'!AC73</f>
        <v>0</v>
      </c>
      <c r="AD22">
        <f>$B22*'Time Series Scaling Factors'!AD73</f>
        <v>0</v>
      </c>
      <c r="AE22">
        <f>$B22*'Time Series Scaling Factors'!AE73</f>
        <v>0</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976811-87EE-4596-A10C-B497FA0C0FD1}">
  <sheetPr>
    <tabColor theme="3"/>
  </sheetPr>
  <dimension ref="A1:B22"/>
  <sheetViews>
    <sheetView workbookViewId="0">
      <selection activeCell="B4" sqref="B4"/>
    </sheetView>
  </sheetViews>
  <sheetFormatPr defaultRowHeight="15" x14ac:dyDescent="0.25"/>
  <cols>
    <col min="1" max="1" width="36.28515625" customWidth="1"/>
    <col min="2" max="33" width="13" customWidth="1"/>
  </cols>
  <sheetData>
    <row r="1" spans="1:2" x14ac:dyDescent="0.25">
      <c r="A1" s="24" t="s">
        <v>582</v>
      </c>
      <c r="B1" s="18">
        <v>2021</v>
      </c>
    </row>
    <row r="2" spans="1:2" x14ac:dyDescent="0.25">
      <c r="A2" s="24" t="s">
        <v>225</v>
      </c>
      <c r="B2">
        <f>'Start Year Data'!B26</f>
        <v>0</v>
      </c>
    </row>
    <row r="3" spans="1:2" x14ac:dyDescent="0.25">
      <c r="A3" s="1" t="s">
        <v>226</v>
      </c>
      <c r="B3">
        <f>'Start Year Data'!B27</f>
        <v>1.3864106347E+16</v>
      </c>
    </row>
    <row r="4" spans="1:2" x14ac:dyDescent="0.25">
      <c r="A4" s="1" t="s">
        <v>216</v>
      </c>
      <c r="B4" s="227">
        <f>'growth rate gas and oil'!D76</f>
        <v>3.3156964427593992E+16</v>
      </c>
    </row>
    <row r="5" spans="1:2" x14ac:dyDescent="0.25">
      <c r="A5" s="1" t="s">
        <v>227</v>
      </c>
      <c r="B5">
        <f>'Start Year Data'!B29</f>
        <v>540000000000000</v>
      </c>
    </row>
    <row r="6" spans="1:2" x14ac:dyDescent="0.25">
      <c r="A6" s="1" t="s">
        <v>228</v>
      </c>
      <c r="B6">
        <f>'Start Year Data'!B30</f>
        <v>0</v>
      </c>
    </row>
    <row r="7" spans="1:2" x14ac:dyDescent="0.25">
      <c r="A7" s="1" t="s">
        <v>229</v>
      </c>
      <c r="B7">
        <f>'Start Year Data'!B31</f>
        <v>0</v>
      </c>
    </row>
    <row r="8" spans="1:2" x14ac:dyDescent="0.25">
      <c r="A8" s="1" t="s">
        <v>230</v>
      </c>
      <c r="B8">
        <f>'Start Year Data'!B32</f>
        <v>0</v>
      </c>
    </row>
    <row r="9" spans="1:2" x14ac:dyDescent="0.25">
      <c r="A9" s="1" t="s">
        <v>219</v>
      </c>
      <c r="B9">
        <f>'Start Year Data'!B33</f>
        <v>166043036334000</v>
      </c>
    </row>
    <row r="10" spans="1:2" x14ac:dyDescent="0.25">
      <c r="A10" s="1" t="s">
        <v>220</v>
      </c>
      <c r="B10">
        <f>'Start Year Data'!B34</f>
        <v>1.8360236509349E+16</v>
      </c>
    </row>
    <row r="11" spans="1:2" x14ac:dyDescent="0.25">
      <c r="A11" s="1" t="s">
        <v>231</v>
      </c>
      <c r="B11">
        <f>'Start Year Data'!B35</f>
        <v>1.0682345175E+16</v>
      </c>
    </row>
    <row r="12" spans="1:2" x14ac:dyDescent="0.25">
      <c r="A12" s="1" t="s">
        <v>232</v>
      </c>
      <c r="B12">
        <f>'Start Year Data'!B36</f>
        <v>1515620096655000</v>
      </c>
    </row>
    <row r="13" spans="1:2" x14ac:dyDescent="0.25">
      <c r="A13" s="1" t="s">
        <v>233</v>
      </c>
      <c r="B13">
        <f>'Start Year Data'!B37</f>
        <v>203604487000000</v>
      </c>
    </row>
    <row r="14" spans="1:2" x14ac:dyDescent="0.25">
      <c r="A14" s="1" t="s">
        <v>222</v>
      </c>
      <c r="B14">
        <f>'Start Year Data'!B38</f>
        <v>3537592380000000</v>
      </c>
    </row>
    <row r="15" spans="1:2" x14ac:dyDescent="0.25">
      <c r="A15" s="1" t="s">
        <v>274</v>
      </c>
      <c r="B15">
        <f>'Start Year Data'!B39</f>
        <v>0</v>
      </c>
    </row>
    <row r="16" spans="1:2" x14ac:dyDescent="0.25">
      <c r="A16" s="1" t="s">
        <v>235</v>
      </c>
      <c r="B16">
        <f>'Start Year Data'!B40</f>
        <v>0</v>
      </c>
    </row>
    <row r="17" spans="1:2" x14ac:dyDescent="0.25">
      <c r="A17" s="1" t="s">
        <v>236</v>
      </c>
      <c r="B17">
        <f>'Start Year Data'!B41</f>
        <v>906213062527442.13</v>
      </c>
    </row>
    <row r="18" spans="1:2" x14ac:dyDescent="0.25">
      <c r="A18" s="1" t="s">
        <v>223</v>
      </c>
      <c r="B18" s="227">
        <f>'growth rate gas and oil'!D78</f>
        <v>2.2480428816440108E+16</v>
      </c>
    </row>
    <row r="19" spans="1:2" x14ac:dyDescent="0.25">
      <c r="A19" s="1" t="s">
        <v>237</v>
      </c>
      <c r="B19">
        <f>'Start Year Data'!B43</f>
        <v>979835237000000</v>
      </c>
    </row>
    <row r="20" spans="1:2" x14ac:dyDescent="0.25">
      <c r="A20" s="1" t="s">
        <v>224</v>
      </c>
      <c r="B20">
        <f>'Start Year Data'!B44</f>
        <v>4171558240080000</v>
      </c>
    </row>
    <row r="21" spans="1:2" x14ac:dyDescent="0.25">
      <c r="A21" s="1" t="s">
        <v>238</v>
      </c>
      <c r="B21">
        <f>'Start Year Data'!B45</f>
        <v>3564295858911020.5</v>
      </c>
    </row>
    <row r="22" spans="1:2" x14ac:dyDescent="0.25">
      <c r="A22" s="1" t="s">
        <v>239</v>
      </c>
      <c r="B22">
        <f>'Start Year Data'!B46</f>
        <v>1345098039215686.5</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5B84-573E-4D3B-8E3A-A015D0F31308}">
  <sheetPr>
    <tabColor theme="3"/>
  </sheetPr>
  <dimension ref="A1:B22"/>
  <sheetViews>
    <sheetView tabSelected="1" workbookViewId="0"/>
  </sheetViews>
  <sheetFormatPr defaultRowHeight="15" x14ac:dyDescent="0.25"/>
  <cols>
    <col min="1" max="1" width="36.28515625" customWidth="1"/>
    <col min="2" max="33" width="13" customWidth="1"/>
  </cols>
  <sheetData>
    <row r="1" spans="1:2" x14ac:dyDescent="0.25">
      <c r="A1" s="24" t="s">
        <v>582</v>
      </c>
      <c r="B1" s="18">
        <v>2021</v>
      </c>
    </row>
    <row r="2" spans="1:2" x14ac:dyDescent="0.25">
      <c r="A2" s="24" t="s">
        <v>225</v>
      </c>
      <c r="B2">
        <f>'Start Year Data'!D26</f>
        <v>0</v>
      </c>
    </row>
    <row r="3" spans="1:2" x14ac:dyDescent="0.25">
      <c r="A3" s="1" t="s">
        <v>226</v>
      </c>
      <c r="B3">
        <f>'Start Year Data'!D27</f>
        <v>1906867516000000</v>
      </c>
    </row>
    <row r="4" spans="1:2" x14ac:dyDescent="0.25">
      <c r="A4" s="1" t="s">
        <v>216</v>
      </c>
      <c r="B4" s="227">
        <f>'Start Year Data'!D28</f>
        <v>5307881000000000</v>
      </c>
    </row>
    <row r="5" spans="1:2" x14ac:dyDescent="0.25">
      <c r="A5" s="1" t="s">
        <v>227</v>
      </c>
      <c r="B5">
        <f>'Start Year Data'!D29</f>
        <v>0</v>
      </c>
    </row>
    <row r="6" spans="1:2" x14ac:dyDescent="0.25">
      <c r="A6" s="1" t="s">
        <v>228</v>
      </c>
      <c r="B6">
        <f>'Start Year Data'!B30</f>
        <v>0</v>
      </c>
    </row>
    <row r="7" spans="1:2" x14ac:dyDescent="0.25">
      <c r="A7" s="1" t="s">
        <v>229</v>
      </c>
      <c r="B7">
        <f>'Start Year Data'!B31</f>
        <v>0</v>
      </c>
    </row>
    <row r="8" spans="1:2" x14ac:dyDescent="0.25">
      <c r="A8" s="1" t="s">
        <v>230</v>
      </c>
      <c r="B8">
        <f>'Start Year Data'!B32</f>
        <v>0</v>
      </c>
    </row>
    <row r="9" spans="1:2" x14ac:dyDescent="0.25">
      <c r="A9" s="1" t="s">
        <v>219</v>
      </c>
      <c r="B9">
        <f>'Start Year Data'!D33</f>
        <v>124444981024000</v>
      </c>
    </row>
    <row r="10" spans="1:2" x14ac:dyDescent="0.25">
      <c r="A10" s="1" t="s">
        <v>220</v>
      </c>
      <c r="B10">
        <f>'Start Year Data'!D34</f>
        <v>1381557079413000</v>
      </c>
    </row>
    <row r="11" spans="1:2" x14ac:dyDescent="0.25">
      <c r="A11" s="1" t="s">
        <v>231</v>
      </c>
      <c r="B11">
        <f>'Start Year Data'!D35</f>
        <v>2936702875000000</v>
      </c>
    </row>
    <row r="12" spans="1:2" x14ac:dyDescent="0.25">
      <c r="A12" s="1" t="s">
        <v>232</v>
      </c>
      <c r="B12">
        <f>'Start Year Data'!D36</f>
        <v>132183114996000</v>
      </c>
    </row>
    <row r="13" spans="1:2" x14ac:dyDescent="0.25">
      <c r="A13" s="1" t="s">
        <v>233</v>
      </c>
      <c r="B13">
        <f>'Start Year Data'!D37</f>
        <v>11939852000000</v>
      </c>
    </row>
    <row r="14" spans="1:2" x14ac:dyDescent="0.25">
      <c r="A14" s="1" t="s">
        <v>222</v>
      </c>
      <c r="B14">
        <f>'Start Year Data'!D38</f>
        <v>393656760000000</v>
      </c>
    </row>
    <row r="15" spans="1:2" x14ac:dyDescent="0.25">
      <c r="A15" s="1" t="s">
        <v>274</v>
      </c>
      <c r="B15">
        <f>'Start Year Data'!D39</f>
        <v>0</v>
      </c>
    </row>
    <row r="16" spans="1:2" x14ac:dyDescent="0.25">
      <c r="A16" s="1" t="s">
        <v>235</v>
      </c>
      <c r="B16">
        <f>'Start Year Data'!D40</f>
        <v>0</v>
      </c>
    </row>
    <row r="17" spans="1:2" x14ac:dyDescent="0.25">
      <c r="A17" s="1" t="s">
        <v>236</v>
      </c>
      <c r="B17">
        <f>'Start Year Data'!D41</f>
        <v>0</v>
      </c>
    </row>
    <row r="18" spans="1:2" x14ac:dyDescent="0.25">
      <c r="A18" s="1" t="s">
        <v>223</v>
      </c>
      <c r="B18" s="227">
        <f>'Start Year Data'!D42</f>
        <v>6193988558562000</v>
      </c>
    </row>
    <row r="19" spans="1:2" x14ac:dyDescent="0.25">
      <c r="A19" s="1" t="s">
        <v>237</v>
      </c>
      <c r="B19">
        <f>'Start Year Data'!D43</f>
        <v>705652880000000</v>
      </c>
    </row>
    <row r="20" spans="1:2" x14ac:dyDescent="0.25">
      <c r="A20" s="1" t="s">
        <v>224</v>
      </c>
      <c r="B20">
        <f>'Start Year Data'!D44</f>
        <v>2412911377800000</v>
      </c>
    </row>
    <row r="21" spans="1:2" x14ac:dyDescent="0.25">
      <c r="A21" s="1" t="s">
        <v>238</v>
      </c>
      <c r="B21">
        <f>'Start Year Data'!D45</f>
        <v>0</v>
      </c>
    </row>
    <row r="22" spans="1:2" x14ac:dyDescent="0.25">
      <c r="A22" s="1" t="s">
        <v>239</v>
      </c>
      <c r="B22">
        <f>'Start Year Data'!D46</f>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About</vt:lpstr>
      <vt:lpstr>Petroleum and Biofuel Data</vt:lpstr>
      <vt:lpstr>Biomass Data</vt:lpstr>
      <vt:lpstr>Uranium, Coal, MSW, Hydrogen</vt:lpstr>
      <vt:lpstr>AEO 2021 Table 1</vt:lpstr>
      <vt:lpstr>AEO 2022 Table 1</vt:lpstr>
      <vt:lpstr>AEO 2023 Table 1</vt:lpstr>
      <vt:lpstr>AEO 2023 Table 71</vt:lpstr>
      <vt:lpstr>AEO 2023 Table 58 Raw</vt:lpstr>
      <vt:lpstr>AEO 2023 Table 58</vt:lpstr>
      <vt:lpstr>AEO 2023 Table 59 Raw</vt:lpstr>
      <vt:lpstr>AEO 2023 Table 59</vt:lpstr>
      <vt:lpstr>GREET1 Fuel_Specs</vt:lpstr>
      <vt:lpstr>Start Year Data</vt:lpstr>
      <vt:lpstr>First Modeled Year Data</vt:lpstr>
      <vt:lpstr>Time Series Scaling Factors</vt:lpstr>
      <vt:lpstr>growth rate gas and oil</vt:lpstr>
      <vt:lpstr>BFPIaE-production</vt:lpstr>
      <vt:lpstr>BFPIaE-imports</vt:lpstr>
      <vt:lpstr>BFPIaE-exports</vt:lpstr>
      <vt:lpstr>BFPIaE-startyearproduction</vt:lpstr>
      <vt:lpstr>BFPIaE-startyearexports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2019-07-26T21:45:06Z</dcterms:created>
  <dcterms:modified xsi:type="dcterms:W3CDTF">2025-12-10T15:17:44Z</dcterms:modified>
</cp:coreProperties>
</file>