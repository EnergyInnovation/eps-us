
<file path=[Content_Types].xml><?xml version="1.0" encoding="utf-8"?>
<Types xmlns="http://schemas.openxmlformats.org/package/2006/content-types">
  <Default Extension="bin" ContentType="application/vnd.openxmlformats-officedocument.spreadsheetml.printerSettings"/>
  <Default Extension="gif" ContentType="image/gi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DanOBrien\Models\EPS\US\eps-us\InputData\fuels\BFPIaE\"/>
    </mc:Choice>
  </mc:AlternateContent>
  <xr:revisionPtr revIDLastSave="0" documentId="13_ncr:1_{51578E74-A128-4696-9A6A-D566512722DB}" xr6:coauthVersionLast="47" xr6:coauthVersionMax="47" xr10:uidLastSave="{00000000-0000-0000-0000-000000000000}"/>
  <bookViews>
    <workbookView xWindow="285" yWindow="1170" windowWidth="27885" windowHeight="15810" tabRatio="866" firstSheet="10" activeTab="18" xr2:uid="{10FA2978-E3EB-4F28-85A3-CFEE2EA73789}"/>
  </bookViews>
  <sheets>
    <sheet name="About" sheetId="4" r:id="rId1"/>
    <sheet name="Petroleum and Biofuel Data" sheetId="5" r:id="rId2"/>
    <sheet name="Petroleum and Biofuels " sheetId="32" r:id="rId3"/>
    <sheet name="Biomass Data" sheetId="6" r:id="rId4"/>
    <sheet name="Uranium, Coal, MSW, Hydrogen" sheetId="8" r:id="rId5"/>
    <sheet name="AEO 2023 Table 1" sheetId="38" r:id="rId6"/>
    <sheet name="AEO 2025 HZC Table 1" sheetId="30" r:id="rId7"/>
    <sheet name="AEO 2025 Alt T Table 1" sheetId="31" r:id="rId8"/>
    <sheet name="AEO 2025 Alt T Table 19" sheetId="33" r:id="rId9"/>
    <sheet name="AEO Conversion Factors" sheetId="34" r:id="rId10"/>
    <sheet name="GREET1 Fuel_Specs" sheetId="16" r:id="rId11"/>
    <sheet name="Start Year Data (2023)" sheetId="37" r:id="rId12"/>
    <sheet name="First Year Data (2024)" sheetId="9" r:id="rId13"/>
    <sheet name="Time Series Scaling Factors" sheetId="18" r:id="rId14"/>
    <sheet name="BFPIaE-production" sheetId="12" r:id="rId15"/>
    <sheet name="BFPIaE-imports" sheetId="19" r:id="rId16"/>
    <sheet name="BFPIaE-exports" sheetId="13" r:id="rId17"/>
    <sheet name="BFPIaE-SYFP" sheetId="35" r:id="rId18"/>
    <sheet name="BFPIaE-SYFE" sheetId="36" r:id="rId19"/>
  </sheets>
  <externalReferences>
    <externalReference r:id="rId20"/>
  </externalReferences>
  <definedNames>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2" i="36" l="1"/>
  <c r="B21" i="36"/>
  <c r="B20" i="36"/>
  <c r="B19" i="36"/>
  <c r="B18" i="36"/>
  <c r="B17" i="36"/>
  <c r="B16" i="36"/>
  <c r="B15" i="36"/>
  <c r="B14" i="36"/>
  <c r="B13" i="36"/>
  <c r="B12" i="36"/>
  <c r="B11" i="36"/>
  <c r="B10" i="36"/>
  <c r="B9" i="36"/>
  <c r="B8" i="36"/>
  <c r="B7" i="36"/>
  <c r="B6" i="36"/>
  <c r="B5" i="36"/>
  <c r="B4" i="36"/>
  <c r="B3" i="36"/>
  <c r="B2" i="36"/>
  <c r="B22" i="35"/>
  <c r="B21" i="35"/>
  <c r="B20" i="35"/>
  <c r="B19" i="35"/>
  <c r="B18" i="35"/>
  <c r="B17" i="35"/>
  <c r="B16" i="35"/>
  <c r="B15" i="35"/>
  <c r="B14" i="35"/>
  <c r="B13" i="35"/>
  <c r="B38" i="37"/>
  <c r="B37" i="37"/>
  <c r="B36" i="37"/>
  <c r="B12" i="35"/>
  <c r="B11" i="35"/>
  <c r="B21" i="37"/>
  <c r="D20" i="37"/>
  <c r="D19" i="37"/>
  <c r="D18" i="37"/>
  <c r="D17" i="37"/>
  <c r="C17" i="37"/>
  <c r="B20" i="37"/>
  <c r="B19" i="37"/>
  <c r="B13" i="37"/>
  <c r="B12" i="37"/>
  <c r="C20" i="37"/>
  <c r="C19" i="37"/>
  <c r="C18" i="37"/>
  <c r="B18" i="37"/>
  <c r="D14" i="37"/>
  <c r="C14" i="37"/>
  <c r="D13" i="37"/>
  <c r="C13" i="37"/>
  <c r="D12" i="37"/>
  <c r="C12" i="37"/>
  <c r="D11" i="37"/>
  <c r="C11" i="37"/>
  <c r="D10" i="37"/>
  <c r="C10" i="37"/>
  <c r="B14" i="37"/>
  <c r="B11" i="37"/>
  <c r="B35" i="37" s="1"/>
  <c r="B10" i="37"/>
  <c r="B34" i="37" s="1"/>
  <c r="B10" i="35" s="1"/>
  <c r="D9" i="37"/>
  <c r="B9" i="37"/>
  <c r="A40" i="6"/>
  <c r="A36" i="6"/>
  <c r="B8" i="35"/>
  <c r="B7" i="35"/>
  <c r="B6" i="35"/>
  <c r="B5" i="37" l="1"/>
  <c r="C4" i="8"/>
  <c r="C5" i="37" s="1"/>
  <c r="D4" i="37"/>
  <c r="D28" i="37" s="1"/>
  <c r="C4" i="37"/>
  <c r="C28" i="37" s="1"/>
  <c r="B4" i="37"/>
  <c r="B28" i="37" s="1"/>
  <c r="B4" i="35" s="1"/>
  <c r="H49" i="37"/>
  <c r="H48" i="37"/>
  <c r="H50" i="37" s="1"/>
  <c r="H51" i="37" s="1"/>
  <c r="H46" i="37"/>
  <c r="D46" i="37"/>
  <c r="C46" i="37"/>
  <c r="H45" i="37"/>
  <c r="D45" i="37"/>
  <c r="C45" i="37"/>
  <c r="H44" i="37"/>
  <c r="H43" i="37"/>
  <c r="D43" i="37"/>
  <c r="H42" i="37"/>
  <c r="H41" i="37"/>
  <c r="H38" i="37"/>
  <c r="D38" i="37"/>
  <c r="C38" i="37"/>
  <c r="H37" i="37"/>
  <c r="D37" i="37"/>
  <c r="C37" i="37"/>
  <c r="H36" i="37"/>
  <c r="H35" i="37"/>
  <c r="D35" i="37"/>
  <c r="C35" i="37"/>
  <c r="H34" i="37"/>
  <c r="D34" i="37"/>
  <c r="C34" i="37"/>
  <c r="H33" i="37"/>
  <c r="C33" i="37"/>
  <c r="H29" i="37"/>
  <c r="H28" i="37"/>
  <c r="H27" i="37"/>
  <c r="B45" i="37"/>
  <c r="D44" i="37"/>
  <c r="C44" i="37"/>
  <c r="B44" i="37"/>
  <c r="E19" i="37"/>
  <c r="E43" i="37" s="1"/>
  <c r="C43" i="37"/>
  <c r="B43" i="37"/>
  <c r="D42" i="37"/>
  <c r="C42" i="37"/>
  <c r="E18" i="37"/>
  <c r="E42" i="37" s="1"/>
  <c r="D41" i="37"/>
  <c r="C41" i="37"/>
  <c r="E14" i="37"/>
  <c r="E38" i="37" s="1"/>
  <c r="E13" i="37"/>
  <c r="E37" i="37" s="1"/>
  <c r="D36" i="37"/>
  <c r="C36" i="37"/>
  <c r="E11" i="37"/>
  <c r="E35" i="37" s="1"/>
  <c r="E10" i="37"/>
  <c r="E34" i="37" s="1"/>
  <c r="C9" i="37"/>
  <c r="B33" i="37"/>
  <c r="D5" i="37"/>
  <c r="D29" i="37" s="1"/>
  <c r="D20" i="8"/>
  <c r="D3" i="37" s="1"/>
  <c r="C20" i="8"/>
  <c r="C3" i="37" s="1"/>
  <c r="C27" i="37" s="1"/>
  <c r="B21" i="8"/>
  <c r="B17" i="37" s="1"/>
  <c r="B20" i="8"/>
  <c r="B3" i="37" s="1"/>
  <c r="B27" i="37" s="1"/>
  <c r="B3" i="35" s="1"/>
  <c r="B19" i="8"/>
  <c r="C18" i="8"/>
  <c r="B18" i="8"/>
  <c r="B2" i="35"/>
  <c r="B9" i="35" l="1"/>
  <c r="E17" i="37"/>
  <c r="E41" i="37" s="1"/>
  <c r="B41" i="37"/>
  <c r="E3" i="37"/>
  <c r="E27" i="37" s="1"/>
  <c r="E20" i="37"/>
  <c r="E44" i="37" s="1"/>
  <c r="E4" i="37"/>
  <c r="E28" i="37" s="1"/>
  <c r="B42" i="37"/>
  <c r="E12" i="37"/>
  <c r="E36" i="37" s="1"/>
  <c r="E21" i="37"/>
  <c r="E45" i="37" s="1"/>
  <c r="D27" i="37"/>
  <c r="H48" i="9" l="1"/>
  <c r="H43" i="9"/>
  <c r="H42" i="9"/>
  <c r="H38" i="9"/>
  <c r="H37" i="9"/>
  <c r="H36" i="9"/>
  <c r="H35" i="9"/>
  <c r="H34" i="9"/>
  <c r="H27" i="9"/>
  <c r="D2" i="12"/>
  <c r="E2" i="12"/>
  <c r="F2" i="12"/>
  <c r="G2" i="12"/>
  <c r="H2" i="12"/>
  <c r="I2" i="12"/>
  <c r="J2" i="12"/>
  <c r="K2" i="12"/>
  <c r="L2" i="12"/>
  <c r="M2" i="12"/>
  <c r="N2" i="12"/>
  <c r="O2" i="12"/>
  <c r="P2" i="12"/>
  <c r="Q2" i="12"/>
  <c r="R2" i="12"/>
  <c r="S2" i="12"/>
  <c r="T2" i="12"/>
  <c r="U2" i="12"/>
  <c r="V2" i="12"/>
  <c r="W2" i="12"/>
  <c r="X2" i="12"/>
  <c r="Y2" i="12"/>
  <c r="Z2" i="12"/>
  <c r="AA2" i="12"/>
  <c r="AB2" i="12"/>
  <c r="D6" i="12"/>
  <c r="E6" i="12"/>
  <c r="F6" i="12"/>
  <c r="G6" i="12"/>
  <c r="H6" i="12"/>
  <c r="I6" i="12"/>
  <c r="J6" i="12"/>
  <c r="K6" i="12"/>
  <c r="L6" i="12"/>
  <c r="M6" i="12"/>
  <c r="N6" i="12"/>
  <c r="O6" i="12"/>
  <c r="P6" i="12"/>
  <c r="Q6" i="12"/>
  <c r="R6" i="12"/>
  <c r="S6" i="12"/>
  <c r="T6" i="12"/>
  <c r="U6" i="12"/>
  <c r="V6" i="12"/>
  <c r="W6" i="12"/>
  <c r="X6" i="12"/>
  <c r="Y6" i="12"/>
  <c r="Z6" i="12"/>
  <c r="AA6" i="12"/>
  <c r="AB6" i="12"/>
  <c r="D7" i="12"/>
  <c r="E7" i="12"/>
  <c r="F7" i="12"/>
  <c r="G7" i="12"/>
  <c r="H7" i="12"/>
  <c r="I7" i="12"/>
  <c r="J7" i="12"/>
  <c r="K7" i="12"/>
  <c r="L7" i="12"/>
  <c r="M7" i="12"/>
  <c r="N7" i="12"/>
  <c r="O7" i="12"/>
  <c r="P7" i="12"/>
  <c r="Q7" i="12"/>
  <c r="R7" i="12"/>
  <c r="S7" i="12"/>
  <c r="T7" i="12"/>
  <c r="U7" i="12"/>
  <c r="V7" i="12"/>
  <c r="W7" i="12"/>
  <c r="X7" i="12"/>
  <c r="Y7" i="12"/>
  <c r="Z7" i="12"/>
  <c r="AA7" i="12"/>
  <c r="AB7" i="12"/>
  <c r="D8" i="12"/>
  <c r="E8" i="12"/>
  <c r="F8" i="12"/>
  <c r="G8" i="12"/>
  <c r="H8" i="12"/>
  <c r="I8" i="12"/>
  <c r="J8" i="12"/>
  <c r="K8" i="12"/>
  <c r="L8" i="12"/>
  <c r="M8" i="12"/>
  <c r="N8" i="12"/>
  <c r="O8" i="12"/>
  <c r="P8" i="12"/>
  <c r="Q8" i="12"/>
  <c r="R8" i="12"/>
  <c r="S8" i="12"/>
  <c r="T8" i="12"/>
  <c r="U8" i="12"/>
  <c r="V8" i="12"/>
  <c r="W8" i="12"/>
  <c r="X8" i="12"/>
  <c r="Y8" i="12"/>
  <c r="Z8" i="12"/>
  <c r="AA8" i="12"/>
  <c r="AB8" i="12"/>
  <c r="D15" i="12"/>
  <c r="E15" i="12"/>
  <c r="F15" i="12"/>
  <c r="G15" i="12"/>
  <c r="H15" i="12"/>
  <c r="I15" i="12"/>
  <c r="J15" i="12"/>
  <c r="K15" i="12"/>
  <c r="L15" i="12"/>
  <c r="M15" i="12"/>
  <c r="N15" i="12"/>
  <c r="O15" i="12"/>
  <c r="P15" i="12"/>
  <c r="Q15" i="12"/>
  <c r="R15" i="12"/>
  <c r="S15" i="12"/>
  <c r="T15" i="12"/>
  <c r="U15" i="12"/>
  <c r="V15" i="12"/>
  <c r="W15" i="12"/>
  <c r="X15" i="12"/>
  <c r="Y15" i="12"/>
  <c r="Z15" i="12"/>
  <c r="AA15" i="12"/>
  <c r="AB15" i="12"/>
  <c r="D16" i="12"/>
  <c r="E16" i="12"/>
  <c r="F16" i="12"/>
  <c r="G16" i="12"/>
  <c r="H16" i="12"/>
  <c r="I16" i="12"/>
  <c r="J16" i="12"/>
  <c r="K16" i="12"/>
  <c r="L16" i="12"/>
  <c r="M16" i="12"/>
  <c r="N16" i="12"/>
  <c r="O16" i="12"/>
  <c r="P16" i="12"/>
  <c r="Q16" i="12"/>
  <c r="R16" i="12"/>
  <c r="S16" i="12"/>
  <c r="T16" i="12"/>
  <c r="U16" i="12"/>
  <c r="V16" i="12"/>
  <c r="W16" i="12"/>
  <c r="X16" i="12"/>
  <c r="Y16" i="12"/>
  <c r="Z16" i="12"/>
  <c r="AA16" i="12"/>
  <c r="AB16" i="12"/>
  <c r="D20" i="12"/>
  <c r="E20" i="12"/>
  <c r="F20" i="12"/>
  <c r="G20" i="12"/>
  <c r="H20" i="12"/>
  <c r="I20" i="12"/>
  <c r="J20" i="12"/>
  <c r="K20" i="12"/>
  <c r="L20" i="12"/>
  <c r="M20" i="12"/>
  <c r="N20" i="12"/>
  <c r="O20" i="12"/>
  <c r="P20" i="12"/>
  <c r="Q20" i="12"/>
  <c r="R20" i="12"/>
  <c r="S20" i="12"/>
  <c r="T20" i="12"/>
  <c r="U20" i="12"/>
  <c r="V20" i="12"/>
  <c r="W20" i="12"/>
  <c r="X20" i="12"/>
  <c r="Y20" i="12"/>
  <c r="Z20" i="12"/>
  <c r="AA20" i="12"/>
  <c r="AB20" i="12"/>
  <c r="C6" i="12"/>
  <c r="C7" i="12"/>
  <c r="C8" i="12"/>
  <c r="C15" i="12"/>
  <c r="C16" i="12"/>
  <c r="C20" i="12"/>
  <c r="C2" i="12"/>
  <c r="D2" i="13"/>
  <c r="E2" i="13"/>
  <c r="F2" i="13"/>
  <c r="G2" i="13"/>
  <c r="H2" i="13"/>
  <c r="I2" i="13"/>
  <c r="J2" i="13"/>
  <c r="K2" i="13"/>
  <c r="L2" i="13"/>
  <c r="M2" i="13"/>
  <c r="N2" i="13"/>
  <c r="O2" i="13"/>
  <c r="P2" i="13"/>
  <c r="Q2" i="13"/>
  <c r="R2" i="13"/>
  <c r="S2" i="13"/>
  <c r="T2" i="13"/>
  <c r="U2" i="13"/>
  <c r="V2" i="13"/>
  <c r="W2" i="13"/>
  <c r="X2" i="13"/>
  <c r="Y2" i="13"/>
  <c r="Z2" i="13"/>
  <c r="AA2" i="13"/>
  <c r="AB2" i="13"/>
  <c r="D6" i="13"/>
  <c r="E6" i="13"/>
  <c r="F6" i="13"/>
  <c r="G6" i="13"/>
  <c r="H6" i="13"/>
  <c r="I6" i="13"/>
  <c r="J6" i="13"/>
  <c r="K6" i="13"/>
  <c r="L6" i="13"/>
  <c r="M6" i="13"/>
  <c r="N6" i="13"/>
  <c r="O6" i="13"/>
  <c r="P6" i="13"/>
  <c r="Q6" i="13"/>
  <c r="R6" i="13"/>
  <c r="S6" i="13"/>
  <c r="T6" i="13"/>
  <c r="U6" i="13"/>
  <c r="V6" i="13"/>
  <c r="W6" i="13"/>
  <c r="X6" i="13"/>
  <c r="Y6" i="13"/>
  <c r="Z6" i="13"/>
  <c r="AA6" i="13"/>
  <c r="AB6" i="13"/>
  <c r="D7" i="13"/>
  <c r="E7" i="13"/>
  <c r="F7" i="13"/>
  <c r="G7" i="13"/>
  <c r="H7" i="13"/>
  <c r="I7" i="13"/>
  <c r="J7" i="13"/>
  <c r="K7" i="13"/>
  <c r="L7" i="13"/>
  <c r="M7" i="13"/>
  <c r="N7" i="13"/>
  <c r="O7" i="13"/>
  <c r="P7" i="13"/>
  <c r="Q7" i="13"/>
  <c r="R7" i="13"/>
  <c r="S7" i="13"/>
  <c r="T7" i="13"/>
  <c r="U7" i="13"/>
  <c r="V7" i="13"/>
  <c r="W7" i="13"/>
  <c r="X7" i="13"/>
  <c r="Y7" i="13"/>
  <c r="Z7" i="13"/>
  <c r="AA7" i="13"/>
  <c r="AB7" i="13"/>
  <c r="D8" i="13"/>
  <c r="E8" i="13"/>
  <c r="F8" i="13"/>
  <c r="G8" i="13"/>
  <c r="H8" i="13"/>
  <c r="I8" i="13"/>
  <c r="J8" i="13"/>
  <c r="K8" i="13"/>
  <c r="L8" i="13"/>
  <c r="M8" i="13"/>
  <c r="N8" i="13"/>
  <c r="O8" i="13"/>
  <c r="P8" i="13"/>
  <c r="Q8" i="13"/>
  <c r="R8" i="13"/>
  <c r="S8" i="13"/>
  <c r="T8" i="13"/>
  <c r="U8" i="13"/>
  <c r="V8" i="13"/>
  <c r="W8" i="13"/>
  <c r="X8" i="13"/>
  <c r="Y8" i="13"/>
  <c r="Z8" i="13"/>
  <c r="AA8" i="13"/>
  <c r="AB8" i="13"/>
  <c r="D15" i="13"/>
  <c r="E15" i="13"/>
  <c r="F15" i="13"/>
  <c r="G15" i="13"/>
  <c r="H15" i="13"/>
  <c r="I15" i="13"/>
  <c r="J15" i="13"/>
  <c r="K15" i="13"/>
  <c r="L15" i="13"/>
  <c r="M15" i="13"/>
  <c r="N15" i="13"/>
  <c r="O15" i="13"/>
  <c r="P15" i="13"/>
  <c r="Q15" i="13"/>
  <c r="R15" i="13"/>
  <c r="S15" i="13"/>
  <c r="T15" i="13"/>
  <c r="U15" i="13"/>
  <c r="V15" i="13"/>
  <c r="W15" i="13"/>
  <c r="X15" i="13"/>
  <c r="Y15" i="13"/>
  <c r="Z15" i="13"/>
  <c r="AA15" i="13"/>
  <c r="AB15" i="13"/>
  <c r="D16" i="13"/>
  <c r="E16" i="13"/>
  <c r="F16" i="13"/>
  <c r="G16" i="13"/>
  <c r="H16" i="13"/>
  <c r="I16" i="13"/>
  <c r="J16" i="13"/>
  <c r="K16" i="13"/>
  <c r="L16" i="13"/>
  <c r="M16" i="13"/>
  <c r="N16" i="13"/>
  <c r="O16" i="13"/>
  <c r="P16" i="13"/>
  <c r="Q16" i="13"/>
  <c r="R16" i="13"/>
  <c r="S16" i="13"/>
  <c r="T16" i="13"/>
  <c r="U16" i="13"/>
  <c r="V16" i="13"/>
  <c r="W16" i="13"/>
  <c r="X16" i="13"/>
  <c r="Y16" i="13"/>
  <c r="Z16" i="13"/>
  <c r="AA16" i="13"/>
  <c r="AB16"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D22" i="13"/>
  <c r="E22" i="13"/>
  <c r="F22" i="13"/>
  <c r="G22" i="13"/>
  <c r="H22" i="13"/>
  <c r="I22" i="13"/>
  <c r="J22" i="13"/>
  <c r="K22" i="13"/>
  <c r="L22" i="13"/>
  <c r="M22" i="13"/>
  <c r="N22" i="13"/>
  <c r="O22" i="13"/>
  <c r="P22" i="13"/>
  <c r="Q22" i="13"/>
  <c r="R22" i="13"/>
  <c r="S22" i="13"/>
  <c r="T22" i="13"/>
  <c r="U22" i="13"/>
  <c r="V22" i="13"/>
  <c r="W22" i="13"/>
  <c r="X22" i="13"/>
  <c r="Y22" i="13"/>
  <c r="Z22" i="13"/>
  <c r="AA22" i="13"/>
  <c r="AB22" i="13"/>
  <c r="F2" i="19"/>
  <c r="G2" i="19"/>
  <c r="H2" i="19"/>
  <c r="I2" i="19"/>
  <c r="J2" i="19"/>
  <c r="K2" i="19"/>
  <c r="L2" i="19"/>
  <c r="M2" i="19"/>
  <c r="N2" i="19"/>
  <c r="O2" i="19"/>
  <c r="P2" i="19"/>
  <c r="Q2" i="19"/>
  <c r="R2" i="19"/>
  <c r="S2" i="19"/>
  <c r="T2" i="19"/>
  <c r="U2" i="19"/>
  <c r="V2" i="19"/>
  <c r="W2" i="19"/>
  <c r="X2" i="19"/>
  <c r="Y2" i="19"/>
  <c r="Z2" i="19"/>
  <c r="AA2" i="19"/>
  <c r="AB2" i="19"/>
  <c r="F6" i="19"/>
  <c r="G6" i="19"/>
  <c r="H6" i="19"/>
  <c r="I6" i="19"/>
  <c r="J6" i="19"/>
  <c r="K6" i="19"/>
  <c r="L6" i="19"/>
  <c r="M6" i="19"/>
  <c r="N6" i="19"/>
  <c r="O6" i="19"/>
  <c r="P6" i="19"/>
  <c r="Q6" i="19"/>
  <c r="R6" i="19"/>
  <c r="S6" i="19"/>
  <c r="T6" i="19"/>
  <c r="U6" i="19"/>
  <c r="V6" i="19"/>
  <c r="W6" i="19"/>
  <c r="X6" i="19"/>
  <c r="Y6" i="19"/>
  <c r="Z6" i="19"/>
  <c r="AA6" i="19"/>
  <c r="AB6" i="19"/>
  <c r="F7" i="19"/>
  <c r="G7" i="19"/>
  <c r="H7" i="19"/>
  <c r="I7" i="19"/>
  <c r="J7" i="19"/>
  <c r="K7" i="19"/>
  <c r="L7" i="19"/>
  <c r="M7" i="19"/>
  <c r="N7" i="19"/>
  <c r="O7" i="19"/>
  <c r="P7" i="19"/>
  <c r="Q7" i="19"/>
  <c r="R7" i="19"/>
  <c r="S7" i="19"/>
  <c r="T7" i="19"/>
  <c r="U7" i="19"/>
  <c r="V7" i="19"/>
  <c r="W7" i="19"/>
  <c r="X7" i="19"/>
  <c r="Y7" i="19"/>
  <c r="Z7" i="19"/>
  <c r="AA7" i="19"/>
  <c r="AB7" i="19"/>
  <c r="F8" i="19"/>
  <c r="G8" i="19"/>
  <c r="H8" i="19"/>
  <c r="I8" i="19"/>
  <c r="J8" i="19"/>
  <c r="K8" i="19"/>
  <c r="L8" i="19"/>
  <c r="M8" i="19"/>
  <c r="N8" i="19"/>
  <c r="O8" i="19"/>
  <c r="P8" i="19"/>
  <c r="Q8" i="19"/>
  <c r="R8" i="19"/>
  <c r="S8" i="19"/>
  <c r="T8" i="19"/>
  <c r="U8" i="19"/>
  <c r="V8" i="19"/>
  <c r="W8" i="19"/>
  <c r="X8" i="19"/>
  <c r="Y8" i="19"/>
  <c r="Z8" i="19"/>
  <c r="AA8" i="19"/>
  <c r="AB8" i="19"/>
  <c r="F15" i="19"/>
  <c r="G15" i="19"/>
  <c r="H15" i="19"/>
  <c r="I15" i="19"/>
  <c r="J15" i="19"/>
  <c r="K15" i="19"/>
  <c r="L15" i="19"/>
  <c r="M15" i="19"/>
  <c r="N15" i="19"/>
  <c r="O15" i="19"/>
  <c r="P15" i="19"/>
  <c r="Q15" i="19"/>
  <c r="R15" i="19"/>
  <c r="S15" i="19"/>
  <c r="T15" i="19"/>
  <c r="U15" i="19"/>
  <c r="V15" i="19"/>
  <c r="W15" i="19"/>
  <c r="X15" i="19"/>
  <c r="Y15" i="19"/>
  <c r="Z15" i="19"/>
  <c r="AA15" i="19"/>
  <c r="AB15" i="19"/>
  <c r="F16" i="19"/>
  <c r="G16" i="19"/>
  <c r="H16" i="19"/>
  <c r="I16" i="19"/>
  <c r="J16" i="19"/>
  <c r="K16" i="19"/>
  <c r="L16" i="19"/>
  <c r="M16" i="19"/>
  <c r="N16" i="19"/>
  <c r="O16" i="19"/>
  <c r="P16" i="19"/>
  <c r="Q16" i="19"/>
  <c r="R16" i="19"/>
  <c r="S16" i="19"/>
  <c r="T16" i="19"/>
  <c r="U16" i="19"/>
  <c r="V16" i="19"/>
  <c r="W16" i="19"/>
  <c r="X16" i="19"/>
  <c r="Y16" i="19"/>
  <c r="Z16" i="19"/>
  <c r="AA16" i="19"/>
  <c r="AB16" i="19"/>
  <c r="F20" i="19"/>
  <c r="G20" i="19"/>
  <c r="H20" i="19"/>
  <c r="I20" i="19"/>
  <c r="J20" i="19"/>
  <c r="K20" i="19"/>
  <c r="L20" i="19"/>
  <c r="M20" i="19"/>
  <c r="N20" i="19"/>
  <c r="O20" i="19"/>
  <c r="P20" i="19"/>
  <c r="Q20" i="19"/>
  <c r="R20" i="19"/>
  <c r="S20" i="19"/>
  <c r="T20" i="19"/>
  <c r="U20" i="19"/>
  <c r="V20" i="19"/>
  <c r="W20" i="19"/>
  <c r="X20" i="19"/>
  <c r="Y20" i="19"/>
  <c r="Z20" i="19"/>
  <c r="AA20" i="19"/>
  <c r="AB20" i="19"/>
  <c r="F21" i="19"/>
  <c r="G21" i="19"/>
  <c r="H21" i="19"/>
  <c r="I21" i="19"/>
  <c r="J21" i="19"/>
  <c r="K21" i="19"/>
  <c r="L21" i="19"/>
  <c r="M21" i="19"/>
  <c r="N21" i="19"/>
  <c r="O21" i="19"/>
  <c r="P21" i="19"/>
  <c r="Q21" i="19"/>
  <c r="R21" i="19"/>
  <c r="S21" i="19"/>
  <c r="T21" i="19"/>
  <c r="U21" i="19"/>
  <c r="V21" i="19"/>
  <c r="W21" i="19"/>
  <c r="X21" i="19"/>
  <c r="Y21" i="19"/>
  <c r="Z21" i="19"/>
  <c r="AA21" i="19"/>
  <c r="AB21" i="19"/>
  <c r="F22" i="19"/>
  <c r="G22" i="19"/>
  <c r="H22" i="19"/>
  <c r="I22" i="19"/>
  <c r="J22" i="19"/>
  <c r="K22" i="19"/>
  <c r="L22" i="19"/>
  <c r="M22" i="19"/>
  <c r="N22" i="19"/>
  <c r="O22" i="19"/>
  <c r="P22" i="19"/>
  <c r="Q22" i="19"/>
  <c r="R22" i="19"/>
  <c r="S22" i="19"/>
  <c r="T22" i="19"/>
  <c r="U22" i="19"/>
  <c r="V22" i="19"/>
  <c r="W22" i="19"/>
  <c r="X22" i="19"/>
  <c r="Y22" i="19"/>
  <c r="Z22" i="19"/>
  <c r="AA22" i="19"/>
  <c r="AB22" i="19"/>
  <c r="D2" i="19"/>
  <c r="E2" i="19"/>
  <c r="D6" i="19"/>
  <c r="E6" i="19"/>
  <c r="D7" i="19"/>
  <c r="E7" i="19"/>
  <c r="D8" i="19"/>
  <c r="E8" i="19"/>
  <c r="D15" i="19"/>
  <c r="E15" i="19"/>
  <c r="D16" i="19"/>
  <c r="E16" i="19"/>
  <c r="D20" i="19"/>
  <c r="E20" i="19"/>
  <c r="D21" i="19"/>
  <c r="E21" i="19"/>
  <c r="D22" i="19"/>
  <c r="E22" i="19"/>
  <c r="C6" i="13"/>
  <c r="C7" i="13"/>
  <c r="C8" i="13"/>
  <c r="C15" i="13"/>
  <c r="C16" i="13"/>
  <c r="C21" i="13"/>
  <c r="C22" i="13"/>
  <c r="C2" i="13"/>
  <c r="C6" i="19"/>
  <c r="C7" i="19"/>
  <c r="C8" i="19"/>
  <c r="C15" i="19"/>
  <c r="C16" i="19"/>
  <c r="C21" i="19"/>
  <c r="C22" i="19"/>
  <c r="C2" i="19"/>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C23" i="18"/>
  <c r="A38" i="8"/>
  <c r="B22" i="37" s="1"/>
  <c r="A39" i="6"/>
  <c r="B3" i="8"/>
  <c r="B20" i="9"/>
  <c r="B19" i="9"/>
  <c r="D33" i="37" l="1"/>
  <c r="E9" i="37"/>
  <c r="E33" i="37" s="1"/>
  <c r="C3" i="8"/>
  <c r="C29" i="37" s="1"/>
  <c r="E22" i="37"/>
  <c r="E46" i="37" s="1"/>
  <c r="B46" i="37"/>
  <c r="D20" i="9"/>
  <c r="C20" i="9"/>
  <c r="D19" i="9"/>
  <c r="C19" i="9"/>
  <c r="C18" i="9"/>
  <c r="D18" i="9"/>
  <c r="B18" i="9"/>
  <c r="C12" i="9"/>
  <c r="E12" i="9" s="1"/>
  <c r="D14" i="9"/>
  <c r="C14" i="9"/>
  <c r="B14" i="9"/>
  <c r="D13" i="9"/>
  <c r="C13" i="9"/>
  <c r="B13" i="9"/>
  <c r="D12" i="9"/>
  <c r="B12" i="9"/>
  <c r="D11" i="9"/>
  <c r="C11" i="9"/>
  <c r="B11" i="9"/>
  <c r="D10" i="9"/>
  <c r="C10" i="9"/>
  <c r="B10" i="9"/>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B22"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B21"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B20"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B19"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B15" i="18"/>
  <c r="AB14" i="18"/>
  <c r="AA14" i="18"/>
  <c r="Z14" i="18"/>
  <c r="Y14" i="18"/>
  <c r="X14" i="18"/>
  <c r="W14" i="18"/>
  <c r="V14" i="18"/>
  <c r="U14" i="18"/>
  <c r="T14" i="18"/>
  <c r="S14" i="18"/>
  <c r="R14" i="18"/>
  <c r="Q14" i="18"/>
  <c r="P14" i="18"/>
  <c r="O14" i="18"/>
  <c r="N14" i="18"/>
  <c r="M14" i="18"/>
  <c r="L14" i="18"/>
  <c r="K14" i="18"/>
  <c r="J14" i="18"/>
  <c r="I14" i="18"/>
  <c r="H14" i="18"/>
  <c r="G14" i="18"/>
  <c r="F14" i="18"/>
  <c r="E14" i="18"/>
  <c r="D14" i="18"/>
  <c r="C14" i="18"/>
  <c r="B14" i="18"/>
  <c r="AB13" i="18"/>
  <c r="AA13" i="18"/>
  <c r="Z13" i="18"/>
  <c r="Y13" i="18"/>
  <c r="X13" i="18"/>
  <c r="W13" i="18"/>
  <c r="V13" i="18"/>
  <c r="U13" i="18"/>
  <c r="T13" i="18"/>
  <c r="S13" i="18"/>
  <c r="R13" i="18"/>
  <c r="Q13" i="18"/>
  <c r="P13" i="18"/>
  <c r="O13" i="18"/>
  <c r="N13" i="18"/>
  <c r="M13" i="18"/>
  <c r="L13" i="18"/>
  <c r="K13" i="18"/>
  <c r="J13" i="18"/>
  <c r="I13" i="18"/>
  <c r="H13" i="18"/>
  <c r="G13" i="18"/>
  <c r="F13" i="18"/>
  <c r="E13" i="18"/>
  <c r="D13" i="18"/>
  <c r="C13" i="18"/>
  <c r="B13" i="18"/>
  <c r="AB12" i="18"/>
  <c r="AA12" i="18"/>
  <c r="Z12" i="18"/>
  <c r="Y12" i="18"/>
  <c r="X12" i="18"/>
  <c r="W12" i="18"/>
  <c r="V12" i="18"/>
  <c r="U12" i="18"/>
  <c r="T12" i="18"/>
  <c r="S12" i="18"/>
  <c r="R12" i="18"/>
  <c r="Q12" i="18"/>
  <c r="P12" i="18"/>
  <c r="O12" i="18"/>
  <c r="N12" i="18"/>
  <c r="M12" i="18"/>
  <c r="L12" i="18"/>
  <c r="K12" i="18"/>
  <c r="J12" i="18"/>
  <c r="I12" i="18"/>
  <c r="H12" i="18"/>
  <c r="G12" i="18"/>
  <c r="F12" i="18"/>
  <c r="E12" i="18"/>
  <c r="D12" i="18"/>
  <c r="C12" i="18"/>
  <c r="B12"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B11" i="18"/>
  <c r="C10"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B10" i="18"/>
  <c r="C6" i="18"/>
  <c r="D6" i="18"/>
  <c r="E6" i="18"/>
  <c r="F6" i="18"/>
  <c r="G6" i="18"/>
  <c r="H6" i="18"/>
  <c r="I6" i="18"/>
  <c r="J6" i="18"/>
  <c r="K6" i="18"/>
  <c r="L6" i="18"/>
  <c r="M6" i="18"/>
  <c r="N6" i="18"/>
  <c r="O6" i="18"/>
  <c r="P6" i="18"/>
  <c r="Q6" i="18"/>
  <c r="R6" i="18"/>
  <c r="S6" i="18"/>
  <c r="T6" i="18"/>
  <c r="U6" i="18"/>
  <c r="V6" i="18"/>
  <c r="W6" i="18"/>
  <c r="X6" i="18"/>
  <c r="Y6" i="18"/>
  <c r="Z6" i="18"/>
  <c r="AA6" i="18"/>
  <c r="AB6" i="18"/>
  <c r="B6" i="18"/>
  <c r="C5" i="18"/>
  <c r="D5" i="18"/>
  <c r="E5" i="18"/>
  <c r="F5" i="18"/>
  <c r="G5" i="18"/>
  <c r="H5" i="18"/>
  <c r="I5" i="18"/>
  <c r="J5" i="18"/>
  <c r="K5" i="18"/>
  <c r="L5" i="18"/>
  <c r="M5" i="18"/>
  <c r="N5" i="18"/>
  <c r="O5" i="18"/>
  <c r="P5" i="18"/>
  <c r="Q5" i="18"/>
  <c r="R5" i="18"/>
  <c r="S5" i="18"/>
  <c r="T5" i="18"/>
  <c r="U5" i="18"/>
  <c r="V5" i="18"/>
  <c r="W5" i="18"/>
  <c r="X5" i="18"/>
  <c r="Y5" i="18"/>
  <c r="Z5" i="18"/>
  <c r="AA5" i="18"/>
  <c r="AB5" i="18"/>
  <c r="B5"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B18" i="18"/>
  <c r="C4" i="18"/>
  <c r="D4" i="18"/>
  <c r="E4" i="18"/>
  <c r="F4" i="18"/>
  <c r="G4" i="18"/>
  <c r="H4" i="18"/>
  <c r="I4" i="18"/>
  <c r="J4" i="18"/>
  <c r="K4" i="18"/>
  <c r="L4" i="18"/>
  <c r="M4" i="18"/>
  <c r="N4" i="18"/>
  <c r="O4" i="18"/>
  <c r="P4" i="18"/>
  <c r="Q4" i="18"/>
  <c r="R4" i="18"/>
  <c r="S4" i="18"/>
  <c r="T4" i="18"/>
  <c r="U4" i="18"/>
  <c r="V4" i="18"/>
  <c r="W4" i="18"/>
  <c r="X4" i="18"/>
  <c r="Y4" i="18"/>
  <c r="Z4" i="18"/>
  <c r="AA4" i="18"/>
  <c r="AB4" i="18"/>
  <c r="B4"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C20" i="19" s="1"/>
  <c r="B46" i="18"/>
  <c r="AB45" i="18"/>
  <c r="AA45" i="18"/>
  <c r="Z45" i="18"/>
  <c r="Y45" i="18"/>
  <c r="X45" i="18"/>
  <c r="W45" i="18"/>
  <c r="V45" i="18"/>
  <c r="U45" i="18"/>
  <c r="T45" i="18"/>
  <c r="S45" i="18"/>
  <c r="R45" i="18"/>
  <c r="Q45" i="18"/>
  <c r="P45" i="18"/>
  <c r="O45" i="18"/>
  <c r="N45" i="18"/>
  <c r="M45" i="18"/>
  <c r="L45" i="18"/>
  <c r="K45" i="18"/>
  <c r="J45" i="18"/>
  <c r="I45" i="18"/>
  <c r="H45" i="18"/>
  <c r="G45" i="18"/>
  <c r="F45" i="18"/>
  <c r="E45" i="18"/>
  <c r="D45" i="18"/>
  <c r="C45" i="18"/>
  <c r="B45" i="18"/>
  <c r="B37" i="18"/>
  <c r="C37" i="18"/>
  <c r="D37" i="18"/>
  <c r="E37" i="18"/>
  <c r="F37" i="18"/>
  <c r="G37" i="18"/>
  <c r="H37" i="18"/>
  <c r="I37" i="18"/>
  <c r="J37" i="18"/>
  <c r="K37" i="18"/>
  <c r="L37" i="18"/>
  <c r="M37" i="18"/>
  <c r="N37" i="18"/>
  <c r="O37" i="18"/>
  <c r="P37" i="18"/>
  <c r="Q37" i="18"/>
  <c r="R37" i="18"/>
  <c r="S37" i="18"/>
  <c r="T37" i="18"/>
  <c r="U37" i="18"/>
  <c r="V37" i="18"/>
  <c r="W37" i="18"/>
  <c r="X37" i="18"/>
  <c r="Y37" i="18"/>
  <c r="Z37" i="18"/>
  <c r="AA37" i="18"/>
  <c r="AB37" i="18"/>
  <c r="B38" i="18"/>
  <c r="C38" i="18"/>
  <c r="D38" i="18"/>
  <c r="E38" i="18"/>
  <c r="F38" i="18"/>
  <c r="G38" i="18"/>
  <c r="H38" i="18"/>
  <c r="I38" i="18"/>
  <c r="J38" i="18"/>
  <c r="K38" i="18"/>
  <c r="L38" i="18"/>
  <c r="M38" i="18"/>
  <c r="N38" i="18"/>
  <c r="O38" i="18"/>
  <c r="P38" i="18"/>
  <c r="Q38" i="18"/>
  <c r="R38" i="18"/>
  <c r="S38" i="18"/>
  <c r="T38" i="18"/>
  <c r="U38" i="18"/>
  <c r="V38" i="18"/>
  <c r="W38" i="18"/>
  <c r="X38" i="18"/>
  <c r="Y38" i="18"/>
  <c r="Z38" i="18"/>
  <c r="AA38" i="18"/>
  <c r="AB38" i="18"/>
  <c r="B39" i="18"/>
  <c r="C39" i="18"/>
  <c r="D39" i="18"/>
  <c r="E39" i="18"/>
  <c r="F39" i="18"/>
  <c r="G39" i="18"/>
  <c r="H39" i="18"/>
  <c r="I39" i="18"/>
  <c r="J39" i="18"/>
  <c r="K39" i="18"/>
  <c r="L39" i="18"/>
  <c r="M39" i="18"/>
  <c r="N39" i="18"/>
  <c r="O39" i="18"/>
  <c r="P39" i="18"/>
  <c r="Q39" i="18"/>
  <c r="R39" i="18"/>
  <c r="S39" i="18"/>
  <c r="T39" i="18"/>
  <c r="U39" i="18"/>
  <c r="V39" i="18"/>
  <c r="W39" i="18"/>
  <c r="X39" i="18"/>
  <c r="Y39" i="18"/>
  <c r="Z39" i="18"/>
  <c r="AA39" i="18"/>
  <c r="AB39" i="18"/>
  <c r="B40" i="18"/>
  <c r="C40" i="18"/>
  <c r="D40" i="18"/>
  <c r="E40" i="18"/>
  <c r="F40" i="18"/>
  <c r="G40" i="18"/>
  <c r="H40" i="18"/>
  <c r="I40" i="18"/>
  <c r="J40" i="18"/>
  <c r="K40" i="18"/>
  <c r="L40" i="18"/>
  <c r="M40" i="18"/>
  <c r="N40" i="18"/>
  <c r="O40" i="18"/>
  <c r="P40" i="18"/>
  <c r="Q40" i="18"/>
  <c r="R40" i="18"/>
  <c r="S40" i="18"/>
  <c r="T40" i="18"/>
  <c r="U40" i="18"/>
  <c r="V40" i="18"/>
  <c r="W40" i="18"/>
  <c r="X40" i="18"/>
  <c r="Y40" i="18"/>
  <c r="Z40" i="18"/>
  <c r="AA40" i="18"/>
  <c r="AB40" i="18"/>
  <c r="C36"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B36"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B44" i="18"/>
  <c r="AB43" i="18"/>
  <c r="AA43" i="18"/>
  <c r="Z43" i="18"/>
  <c r="Y43" i="18"/>
  <c r="X43" i="18"/>
  <c r="W43" i="18"/>
  <c r="V43" i="18"/>
  <c r="U43" i="18"/>
  <c r="T43" i="18"/>
  <c r="S43" i="18"/>
  <c r="R43" i="18"/>
  <c r="Q43" i="18"/>
  <c r="P43" i="18"/>
  <c r="O43" i="18"/>
  <c r="N43" i="18"/>
  <c r="M43" i="18"/>
  <c r="L43" i="18"/>
  <c r="K43" i="18"/>
  <c r="J43" i="18"/>
  <c r="I43" i="18"/>
  <c r="H43" i="18"/>
  <c r="G43" i="18"/>
  <c r="F43" i="18"/>
  <c r="E43" i="18"/>
  <c r="D43" i="18"/>
  <c r="C43" i="18"/>
  <c r="B43" i="18"/>
  <c r="C30" i="18"/>
  <c r="D30" i="18"/>
  <c r="E30" i="18"/>
  <c r="F30" i="18"/>
  <c r="G30" i="18"/>
  <c r="H30" i="18"/>
  <c r="I30" i="18"/>
  <c r="J30" i="18"/>
  <c r="K30" i="18"/>
  <c r="L30" i="18"/>
  <c r="M30" i="18"/>
  <c r="N30" i="18"/>
  <c r="O30" i="18"/>
  <c r="P30" i="18"/>
  <c r="Q30" i="18"/>
  <c r="R30" i="18"/>
  <c r="S30" i="18"/>
  <c r="T30" i="18"/>
  <c r="U30" i="18"/>
  <c r="V30" i="18"/>
  <c r="W30" i="18"/>
  <c r="X30" i="18"/>
  <c r="Y30" i="18"/>
  <c r="Z30" i="18"/>
  <c r="AA30" i="18"/>
  <c r="AB30" i="18"/>
  <c r="B30" i="18"/>
  <c r="C29" i="18"/>
  <c r="D29" i="18"/>
  <c r="E29" i="18"/>
  <c r="F29" i="18"/>
  <c r="G29" i="18"/>
  <c r="H29" i="18"/>
  <c r="I29" i="18"/>
  <c r="J29" i="18"/>
  <c r="K29" i="18"/>
  <c r="L29" i="18"/>
  <c r="M29" i="18"/>
  <c r="N29" i="18"/>
  <c r="O29" i="18"/>
  <c r="P29" i="18"/>
  <c r="Q29" i="18"/>
  <c r="R29" i="18"/>
  <c r="S29" i="18"/>
  <c r="T29" i="18"/>
  <c r="U29" i="18"/>
  <c r="V29" i="18"/>
  <c r="W29" i="18"/>
  <c r="X29" i="18"/>
  <c r="Y29" i="18"/>
  <c r="Z29" i="18"/>
  <c r="AA29" i="18"/>
  <c r="AB29" i="18"/>
  <c r="B29" i="18"/>
  <c r="D4" i="9"/>
  <c r="C4" i="9"/>
  <c r="B4" i="9"/>
  <c r="B28" i="9" s="1"/>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B68" i="18"/>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B54"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C20" i="13" s="1"/>
  <c r="B71"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B70"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B69"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B65"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B64"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B63" i="18"/>
  <c r="B62" i="18"/>
  <c r="C62" i="18"/>
  <c r="D62" i="18"/>
  <c r="E62" i="18"/>
  <c r="F62" i="18"/>
  <c r="G62" i="18"/>
  <c r="H62" i="18"/>
  <c r="I62" i="18"/>
  <c r="J62" i="18"/>
  <c r="K62" i="18"/>
  <c r="L62" i="18"/>
  <c r="M62" i="18"/>
  <c r="N62" i="18"/>
  <c r="O62" i="18"/>
  <c r="P62" i="18"/>
  <c r="Q62" i="18"/>
  <c r="R62" i="18"/>
  <c r="S62" i="18"/>
  <c r="T62" i="18"/>
  <c r="U62" i="18"/>
  <c r="V62" i="18"/>
  <c r="W62" i="18"/>
  <c r="X62" i="18"/>
  <c r="Y62" i="18"/>
  <c r="Z62" i="18"/>
  <c r="AA62" i="18"/>
  <c r="AB62" i="18"/>
  <c r="C61" i="18"/>
  <c r="D61" i="18"/>
  <c r="E61" i="18"/>
  <c r="F61" i="18"/>
  <c r="G61" i="18"/>
  <c r="H61" i="18"/>
  <c r="I61" i="18"/>
  <c r="J61" i="18"/>
  <c r="K61" i="18"/>
  <c r="L61" i="18"/>
  <c r="M61" i="18"/>
  <c r="N61" i="18"/>
  <c r="O61" i="18"/>
  <c r="P61" i="18"/>
  <c r="Q61" i="18"/>
  <c r="R61" i="18"/>
  <c r="S61" i="18"/>
  <c r="T61" i="18"/>
  <c r="U61" i="18"/>
  <c r="V61" i="18"/>
  <c r="W61" i="18"/>
  <c r="X61" i="18"/>
  <c r="Y61" i="18"/>
  <c r="Z61" i="18"/>
  <c r="AA61" i="18"/>
  <c r="AB61" i="18"/>
  <c r="B61" i="18"/>
  <c r="C55" i="18"/>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B55" i="18"/>
  <c r="E5" i="37" l="1"/>
  <c r="E29" i="37" s="1"/>
  <c r="B29" i="37"/>
  <c r="B5" i="35" s="1"/>
  <c r="B4" i="12"/>
  <c r="H46" i="9"/>
  <c r="E4" i="12" l="1"/>
  <c r="AA4" i="12"/>
  <c r="S4" i="12"/>
  <c r="T4" i="12"/>
  <c r="U4" i="12"/>
  <c r="X4" i="12"/>
  <c r="F4" i="12"/>
  <c r="AB4" i="12"/>
  <c r="R4" i="12"/>
  <c r="G4" i="12"/>
  <c r="W4" i="12"/>
  <c r="Y4" i="12"/>
  <c r="H4" i="12"/>
  <c r="J4" i="12"/>
  <c r="O4" i="12"/>
  <c r="I4" i="12"/>
  <c r="K4" i="12"/>
  <c r="Z4" i="12"/>
  <c r="L4" i="12"/>
  <c r="V4" i="12"/>
  <c r="D4" i="12"/>
  <c r="M4" i="12"/>
  <c r="N4" i="12"/>
  <c r="C4" i="12"/>
  <c r="Q4" i="12"/>
  <c r="P4" i="12"/>
  <c r="B21" i="13"/>
  <c r="B16" i="13"/>
  <c r="B15" i="13"/>
  <c r="B8" i="13"/>
  <c r="B7" i="13"/>
  <c r="B6" i="13"/>
  <c r="B2" i="13"/>
  <c r="B16" i="12"/>
  <c r="B15" i="12"/>
  <c r="B8" i="12"/>
  <c r="B7" i="12"/>
  <c r="B6" i="12"/>
  <c r="B2" i="12"/>
  <c r="B21" i="19"/>
  <c r="B16" i="19"/>
  <c r="B15" i="19"/>
  <c r="B8" i="19"/>
  <c r="B7" i="19"/>
  <c r="B6" i="19"/>
  <c r="B2" i="19"/>
  <c r="H49" i="9"/>
  <c r="A4" i="5"/>
  <c r="A5" i="5"/>
  <c r="A6"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7" i="5"/>
  <c r="H50" i="9" l="1"/>
  <c r="H51" i="9" s="1"/>
  <c r="B52" i="18"/>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AB52" i="18"/>
  <c r="B27"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AB27" i="18"/>
  <c r="H45" i="9"/>
  <c r="H44" i="9"/>
  <c r="H41" i="9"/>
  <c r="H33" i="9"/>
  <c r="C45" i="9" l="1"/>
  <c r="C46" i="9"/>
  <c r="B22" i="19" s="1"/>
  <c r="H29" i="9"/>
  <c r="H28" i="9"/>
  <c r="D45" i="9" l="1"/>
  <c r="D46" i="9"/>
  <c r="B22" i="13" s="1"/>
  <c r="B37" i="9" l="1"/>
  <c r="B13" i="12" s="1"/>
  <c r="C37" i="9"/>
  <c r="B13" i="19" s="1"/>
  <c r="D37" i="9"/>
  <c r="B13" i="13" s="1"/>
  <c r="D36" i="9"/>
  <c r="B12" i="13" s="1"/>
  <c r="C36" i="9"/>
  <c r="B12" i="19" s="1"/>
  <c r="B36" i="9"/>
  <c r="B12" i="12" s="1"/>
  <c r="B22" i="9"/>
  <c r="X12" i="19" l="1"/>
  <c r="Y12" i="19"/>
  <c r="AA12" i="19"/>
  <c r="F12" i="19"/>
  <c r="Z12" i="19"/>
  <c r="G12" i="19"/>
  <c r="H12" i="19"/>
  <c r="AB12" i="19"/>
  <c r="I12" i="19"/>
  <c r="J12" i="19"/>
  <c r="K12" i="19"/>
  <c r="D12" i="19"/>
  <c r="O12" i="19"/>
  <c r="L12" i="19"/>
  <c r="E12" i="19"/>
  <c r="N12" i="19"/>
  <c r="Q12" i="19"/>
  <c r="U12" i="19"/>
  <c r="W12" i="19"/>
  <c r="M12" i="19"/>
  <c r="P12" i="19"/>
  <c r="R12" i="19"/>
  <c r="S12" i="19"/>
  <c r="V12" i="19"/>
  <c r="T12" i="19"/>
  <c r="C12" i="19"/>
  <c r="V13" i="13"/>
  <c r="W13" i="13"/>
  <c r="D13" i="13"/>
  <c r="X13" i="13"/>
  <c r="E13" i="13"/>
  <c r="Y13" i="13"/>
  <c r="F13" i="13"/>
  <c r="Z13" i="13"/>
  <c r="G13" i="13"/>
  <c r="AA13" i="13"/>
  <c r="H13" i="13"/>
  <c r="AB13" i="13"/>
  <c r="T13" i="13"/>
  <c r="I13" i="13"/>
  <c r="U13" i="13"/>
  <c r="N13" i="13"/>
  <c r="P13" i="13"/>
  <c r="L13" i="13"/>
  <c r="M13" i="13"/>
  <c r="O13" i="13"/>
  <c r="J13" i="13"/>
  <c r="K13" i="13"/>
  <c r="R13" i="13"/>
  <c r="S13" i="13"/>
  <c r="Q13" i="13"/>
  <c r="C13" i="13"/>
  <c r="M12" i="12"/>
  <c r="N12" i="12"/>
  <c r="O12" i="12"/>
  <c r="P12" i="12"/>
  <c r="Q12" i="12"/>
  <c r="R12" i="12"/>
  <c r="S12" i="12"/>
  <c r="T12" i="12"/>
  <c r="E12" i="12"/>
  <c r="C12" i="12"/>
  <c r="W12" i="12"/>
  <c r="Z12" i="12"/>
  <c r="F12" i="12"/>
  <c r="L12" i="12"/>
  <c r="U12" i="12"/>
  <c r="Y12" i="12"/>
  <c r="AA12" i="12"/>
  <c r="AB12" i="12"/>
  <c r="G12" i="12"/>
  <c r="K12" i="12"/>
  <c r="H12" i="12"/>
  <c r="V12" i="12"/>
  <c r="I12" i="12"/>
  <c r="J12" i="12"/>
  <c r="X12" i="12"/>
  <c r="D12" i="12"/>
  <c r="U13" i="19"/>
  <c r="V13" i="19"/>
  <c r="W13" i="19"/>
  <c r="X13" i="19"/>
  <c r="Y13" i="19"/>
  <c r="F13" i="19"/>
  <c r="Z13" i="19"/>
  <c r="G13" i="19"/>
  <c r="AA13" i="19"/>
  <c r="N13" i="19"/>
  <c r="O13" i="19"/>
  <c r="Q13" i="19"/>
  <c r="T13" i="19"/>
  <c r="AB13" i="19"/>
  <c r="P13" i="19"/>
  <c r="I13" i="19"/>
  <c r="D13" i="19"/>
  <c r="S13" i="19"/>
  <c r="R13" i="19"/>
  <c r="E13" i="19"/>
  <c r="H13" i="19"/>
  <c r="K13" i="19"/>
  <c r="L13" i="19"/>
  <c r="M13" i="19"/>
  <c r="J13" i="19"/>
  <c r="C13" i="19"/>
  <c r="G12" i="13"/>
  <c r="AA12" i="13"/>
  <c r="H12" i="13"/>
  <c r="AB12" i="13"/>
  <c r="I12" i="13"/>
  <c r="J12" i="13"/>
  <c r="K12" i="13"/>
  <c r="L12" i="13"/>
  <c r="M12" i="13"/>
  <c r="N12" i="13"/>
  <c r="R12" i="13"/>
  <c r="E12" i="13"/>
  <c r="S12" i="13"/>
  <c r="X12" i="13"/>
  <c r="F12" i="13"/>
  <c r="T12" i="13"/>
  <c r="W12" i="13"/>
  <c r="Y12" i="13"/>
  <c r="D12" i="13"/>
  <c r="U12" i="13"/>
  <c r="V12" i="13"/>
  <c r="Z12" i="13"/>
  <c r="O12" i="13"/>
  <c r="Q12" i="13"/>
  <c r="P12" i="13"/>
  <c r="C12" i="13"/>
  <c r="H13" i="12"/>
  <c r="AB13" i="12"/>
  <c r="I13" i="12"/>
  <c r="J13" i="12"/>
  <c r="K13" i="12"/>
  <c r="L13" i="12"/>
  <c r="M13" i="12"/>
  <c r="N13" i="12"/>
  <c r="O13" i="12"/>
  <c r="P13" i="12"/>
  <c r="Q13" i="12"/>
  <c r="C13" i="12"/>
  <c r="Y13" i="12"/>
  <c r="Z13" i="12"/>
  <c r="R13" i="12"/>
  <c r="W13" i="12"/>
  <c r="X13" i="12"/>
  <c r="S13" i="12"/>
  <c r="AA13" i="12"/>
  <c r="T13" i="12"/>
  <c r="U13" i="12"/>
  <c r="V13" i="12"/>
  <c r="D13" i="12"/>
  <c r="E13" i="12"/>
  <c r="F13" i="12"/>
  <c r="G13" i="12"/>
  <c r="E22" i="9"/>
  <c r="E46" i="9" s="1"/>
  <c r="B46" i="9"/>
  <c r="B22" i="12" s="1"/>
  <c r="E13" i="9"/>
  <c r="E37" i="9" s="1"/>
  <c r="B21" i="9"/>
  <c r="S22" i="12" l="1"/>
  <c r="Z22" i="12"/>
  <c r="N22" i="12"/>
  <c r="P22" i="12"/>
  <c r="T22" i="12"/>
  <c r="H22" i="12"/>
  <c r="K22" i="12"/>
  <c r="C22" i="12"/>
  <c r="U22" i="12"/>
  <c r="Y22" i="12"/>
  <c r="V22" i="12"/>
  <c r="X22" i="12"/>
  <c r="L22" i="12"/>
  <c r="W22" i="12"/>
  <c r="D22" i="12"/>
  <c r="J22" i="12"/>
  <c r="O22" i="12"/>
  <c r="I22" i="12"/>
  <c r="M22" i="12"/>
  <c r="Q22" i="12"/>
  <c r="R22" i="12"/>
  <c r="E22" i="12"/>
  <c r="AA22" i="12"/>
  <c r="F22" i="12"/>
  <c r="AB22" i="12"/>
  <c r="G22" i="12"/>
  <c r="E21" i="9"/>
  <c r="E45" i="9" s="1"/>
  <c r="B45" i="9"/>
  <c r="B21" i="12" s="1"/>
  <c r="D17" i="9"/>
  <c r="D41" i="9" s="1"/>
  <c r="B17" i="13" s="1"/>
  <c r="C17" i="9"/>
  <c r="C41" i="9" s="1"/>
  <c r="B17" i="19" s="1"/>
  <c r="B17" i="9"/>
  <c r="B41" i="9" s="1"/>
  <c r="B17" i="12" s="1"/>
  <c r="D18" i="8"/>
  <c r="V21" i="12" l="1"/>
  <c r="K21" i="12"/>
  <c r="T21" i="12"/>
  <c r="W21" i="12"/>
  <c r="L21" i="12"/>
  <c r="O21" i="12"/>
  <c r="X21" i="12"/>
  <c r="AA21" i="12"/>
  <c r="F21" i="12"/>
  <c r="AB21" i="12"/>
  <c r="S21" i="12"/>
  <c r="Y21" i="12"/>
  <c r="Q21" i="12"/>
  <c r="D21" i="12"/>
  <c r="Z21" i="12"/>
  <c r="E21" i="12"/>
  <c r="U21" i="12"/>
  <c r="N21" i="12"/>
  <c r="G21" i="12"/>
  <c r="M21" i="12"/>
  <c r="P21" i="12"/>
  <c r="R21" i="12"/>
  <c r="H21" i="12"/>
  <c r="I21" i="12"/>
  <c r="J21" i="12"/>
  <c r="C21" i="12"/>
  <c r="H17" i="12"/>
  <c r="AB17" i="12"/>
  <c r="C17" i="12"/>
  <c r="I17" i="12"/>
  <c r="J17" i="12"/>
  <c r="K17" i="12"/>
  <c r="L17" i="12"/>
  <c r="M17" i="12"/>
  <c r="N17" i="12"/>
  <c r="O17" i="12"/>
  <c r="R17" i="12"/>
  <c r="S17" i="12"/>
  <c r="X17" i="12"/>
  <c r="Z17" i="12"/>
  <c r="AA17" i="12"/>
  <c r="D17" i="12"/>
  <c r="E17" i="12"/>
  <c r="T17" i="12"/>
  <c r="U17" i="12"/>
  <c r="F17" i="12"/>
  <c r="V17" i="12"/>
  <c r="W17" i="12"/>
  <c r="Y17" i="12"/>
  <c r="G17" i="12"/>
  <c r="P17" i="12"/>
  <c r="Q17" i="12"/>
  <c r="I17" i="19"/>
  <c r="J17" i="19"/>
  <c r="K17" i="19"/>
  <c r="L17" i="19"/>
  <c r="M17" i="19"/>
  <c r="N17" i="19"/>
  <c r="D17" i="19"/>
  <c r="O17" i="19"/>
  <c r="E17" i="19"/>
  <c r="W17" i="19"/>
  <c r="F17" i="19"/>
  <c r="Q17" i="19"/>
  <c r="X17" i="19"/>
  <c r="P17" i="19"/>
  <c r="Y17" i="19"/>
  <c r="G17" i="19"/>
  <c r="Z17" i="19"/>
  <c r="R17" i="19"/>
  <c r="AA17" i="19"/>
  <c r="AB17" i="19"/>
  <c r="H17" i="19"/>
  <c r="V17" i="19"/>
  <c r="T17" i="19"/>
  <c r="U17" i="19"/>
  <c r="S17" i="19"/>
  <c r="C17" i="19"/>
  <c r="V17" i="13"/>
  <c r="W17" i="13"/>
  <c r="D17" i="13"/>
  <c r="X17" i="13"/>
  <c r="E17" i="13"/>
  <c r="Y17" i="13"/>
  <c r="F17" i="13"/>
  <c r="Z17" i="13"/>
  <c r="G17" i="13"/>
  <c r="AA17" i="13"/>
  <c r="H17" i="13"/>
  <c r="AB17" i="13"/>
  <c r="S17" i="13"/>
  <c r="T17" i="13"/>
  <c r="J17" i="13"/>
  <c r="O17" i="13"/>
  <c r="U17" i="13"/>
  <c r="I17" i="13"/>
  <c r="M17" i="13"/>
  <c r="K17" i="13"/>
  <c r="L17" i="13"/>
  <c r="N17" i="13"/>
  <c r="Q17" i="13"/>
  <c r="R17" i="13"/>
  <c r="P17" i="13"/>
  <c r="C17" i="13"/>
  <c r="E17" i="9"/>
  <c r="E41" i="9" s="1"/>
  <c r="D44" i="9"/>
  <c r="B20" i="13" s="1"/>
  <c r="C44" i="9"/>
  <c r="B20" i="19" s="1"/>
  <c r="B44" i="9"/>
  <c r="B20" i="12" s="1"/>
  <c r="D43" i="9"/>
  <c r="B19" i="13" s="1"/>
  <c r="C43" i="9"/>
  <c r="B19" i="19" s="1"/>
  <c r="B43" i="9"/>
  <c r="B19" i="12" s="1"/>
  <c r="D42" i="9"/>
  <c r="B18" i="13" s="1"/>
  <c r="C42" i="9"/>
  <c r="B18" i="19" s="1"/>
  <c r="B42" i="9"/>
  <c r="B18" i="12" s="1"/>
  <c r="D38" i="9"/>
  <c r="B14" i="13" s="1"/>
  <c r="C38" i="9"/>
  <c r="B14" i="19" s="1"/>
  <c r="B38" i="9"/>
  <c r="B14" i="12" s="1"/>
  <c r="D35" i="9"/>
  <c r="B11" i="13" s="1"/>
  <c r="C35" i="9"/>
  <c r="B11" i="19" s="1"/>
  <c r="B35" i="9"/>
  <c r="B11" i="12" s="1"/>
  <c r="D34" i="9"/>
  <c r="B10" i="13" s="1"/>
  <c r="C34" i="9"/>
  <c r="B10" i="19" s="1"/>
  <c r="B34" i="9"/>
  <c r="B10" i="12" s="1"/>
  <c r="D9" i="9"/>
  <c r="D33" i="9" s="1"/>
  <c r="B9" i="13" s="1"/>
  <c r="D5" i="9"/>
  <c r="D29" i="9" s="1"/>
  <c r="B5" i="13" s="1"/>
  <c r="C5" i="9"/>
  <c r="C29" i="9" s="1"/>
  <c r="B5" i="19" s="1"/>
  <c r="B5" i="9"/>
  <c r="B29" i="9" s="1"/>
  <c r="B5" i="12" s="1"/>
  <c r="D28" i="9"/>
  <c r="B4" i="13" s="1"/>
  <c r="C28" i="9"/>
  <c r="B4" i="19" s="1"/>
  <c r="D3" i="9"/>
  <c r="D27" i="9" s="1"/>
  <c r="B3" i="13" s="1"/>
  <c r="C3" i="9"/>
  <c r="B3" i="9"/>
  <c r="B9" i="9"/>
  <c r="B33" i="9" s="1"/>
  <c r="B9" i="12" s="1"/>
  <c r="H9" i="13" l="1"/>
  <c r="N9" i="13"/>
  <c r="I9" i="13"/>
  <c r="P9" i="13"/>
  <c r="J9" i="13"/>
  <c r="C9" i="13"/>
  <c r="R9" i="13"/>
  <c r="X9" i="13"/>
  <c r="Y9" i="13"/>
  <c r="D9" i="13"/>
  <c r="K9" i="13"/>
  <c r="Q9" i="13"/>
  <c r="S9" i="13"/>
  <c r="L9" i="13"/>
  <c r="V9" i="13"/>
  <c r="W9" i="13"/>
  <c r="G9" i="13"/>
  <c r="M9" i="13"/>
  <c r="Z9" i="13"/>
  <c r="E9" i="13"/>
  <c r="F9" i="13"/>
  <c r="AA9" i="13"/>
  <c r="O9" i="13"/>
  <c r="T9" i="13"/>
  <c r="U9" i="13"/>
  <c r="AB9" i="13"/>
  <c r="R9" i="12"/>
  <c r="AA9" i="12"/>
  <c r="F9" i="12"/>
  <c r="G9" i="12"/>
  <c r="S9" i="12"/>
  <c r="C9" i="12"/>
  <c r="T9" i="12"/>
  <c r="M9" i="12"/>
  <c r="N9" i="12"/>
  <c r="U9" i="12"/>
  <c r="V9" i="12"/>
  <c r="Z9" i="12"/>
  <c r="E9" i="12"/>
  <c r="AB9" i="12"/>
  <c r="L9" i="12"/>
  <c r="O9" i="12"/>
  <c r="W9" i="12"/>
  <c r="H9" i="12"/>
  <c r="K9" i="12"/>
  <c r="P9" i="12"/>
  <c r="X9" i="12"/>
  <c r="Q9" i="12"/>
  <c r="Y9" i="12"/>
  <c r="D9" i="12"/>
  <c r="I9" i="12"/>
  <c r="J9" i="12"/>
  <c r="L5" i="19"/>
  <c r="C5" i="19"/>
  <c r="M5" i="19"/>
  <c r="R5" i="19"/>
  <c r="S5" i="19"/>
  <c r="V5" i="19"/>
  <c r="AB5" i="19"/>
  <c r="N5" i="19"/>
  <c r="W5" i="19"/>
  <c r="G5" i="19"/>
  <c r="O5" i="19"/>
  <c r="X5" i="19"/>
  <c r="AA5" i="19"/>
  <c r="J5" i="19"/>
  <c r="P5" i="19"/>
  <c r="Q5" i="19"/>
  <c r="F5" i="19"/>
  <c r="K5" i="19"/>
  <c r="H5" i="19"/>
  <c r="T5" i="19"/>
  <c r="D5" i="19"/>
  <c r="U5" i="19"/>
  <c r="E5" i="19"/>
  <c r="Y5" i="19"/>
  <c r="I5" i="19"/>
  <c r="Z5" i="19"/>
  <c r="X5" i="12"/>
  <c r="Y5" i="12"/>
  <c r="G5" i="12"/>
  <c r="P5" i="12"/>
  <c r="R5" i="12"/>
  <c r="U5" i="12"/>
  <c r="D5" i="12"/>
  <c r="Z5" i="12"/>
  <c r="H5" i="12"/>
  <c r="I5" i="12"/>
  <c r="M5" i="12"/>
  <c r="N5" i="12"/>
  <c r="Q5" i="12"/>
  <c r="E5" i="12"/>
  <c r="AA5" i="12"/>
  <c r="F5" i="12"/>
  <c r="AB5" i="12"/>
  <c r="L5" i="12"/>
  <c r="S5" i="12"/>
  <c r="T5" i="12"/>
  <c r="V5" i="12"/>
  <c r="W5" i="12"/>
  <c r="C5" i="12"/>
  <c r="J5" i="12"/>
  <c r="K5" i="12"/>
  <c r="O5" i="12"/>
  <c r="M4" i="19"/>
  <c r="Y4" i="19"/>
  <c r="N4" i="19"/>
  <c r="E4" i="19"/>
  <c r="H4" i="19"/>
  <c r="O4" i="19"/>
  <c r="G4" i="19"/>
  <c r="P4" i="19"/>
  <c r="Q4" i="19"/>
  <c r="S4" i="19"/>
  <c r="D4" i="19"/>
  <c r="T4" i="19"/>
  <c r="AB4" i="19"/>
  <c r="J4" i="19"/>
  <c r="R4" i="19"/>
  <c r="K4" i="19"/>
  <c r="Z4" i="19"/>
  <c r="L4" i="19"/>
  <c r="W4" i="19"/>
  <c r="I4" i="19"/>
  <c r="U4" i="19"/>
  <c r="V4" i="19"/>
  <c r="X4" i="19"/>
  <c r="AA4" i="19"/>
  <c r="F4" i="19"/>
  <c r="C4" i="19"/>
  <c r="T5" i="13"/>
  <c r="I5" i="13"/>
  <c r="S5" i="13"/>
  <c r="U5" i="13"/>
  <c r="Y5" i="13"/>
  <c r="D5" i="13"/>
  <c r="J5" i="13"/>
  <c r="P5" i="13"/>
  <c r="V5" i="13"/>
  <c r="E5" i="13"/>
  <c r="M5" i="13"/>
  <c r="W5" i="13"/>
  <c r="Z5" i="13"/>
  <c r="C5" i="13"/>
  <c r="X5" i="13"/>
  <c r="Q5" i="13"/>
  <c r="AA5" i="13"/>
  <c r="K5" i="13"/>
  <c r="L5" i="13"/>
  <c r="O5" i="13"/>
  <c r="F5" i="13"/>
  <c r="AB5" i="13"/>
  <c r="G5" i="13"/>
  <c r="H5" i="13"/>
  <c r="N5" i="13"/>
  <c r="R5" i="13"/>
  <c r="B27" i="9"/>
  <c r="W4" i="13"/>
  <c r="F4" i="13"/>
  <c r="X4" i="13"/>
  <c r="T4" i="13"/>
  <c r="V4" i="13"/>
  <c r="Y4" i="13"/>
  <c r="G4" i="13"/>
  <c r="K4" i="13"/>
  <c r="N4" i="13"/>
  <c r="U4" i="13"/>
  <c r="D4" i="13"/>
  <c r="Z4" i="13"/>
  <c r="AB4" i="13"/>
  <c r="H4" i="13"/>
  <c r="M4" i="13"/>
  <c r="S4" i="13"/>
  <c r="E4" i="13"/>
  <c r="AA4" i="13"/>
  <c r="O4" i="13"/>
  <c r="P4" i="13"/>
  <c r="Q4" i="13"/>
  <c r="R4" i="13"/>
  <c r="I4" i="13"/>
  <c r="J4" i="13"/>
  <c r="L4" i="13"/>
  <c r="C4" i="13"/>
  <c r="W10" i="12"/>
  <c r="D10" i="12"/>
  <c r="X10" i="12"/>
  <c r="E10" i="12"/>
  <c r="Y10" i="12"/>
  <c r="F10" i="12"/>
  <c r="Z10" i="12"/>
  <c r="G10" i="12"/>
  <c r="AA10" i="12"/>
  <c r="H10" i="12"/>
  <c r="AB10" i="12"/>
  <c r="I10" i="12"/>
  <c r="J10" i="12"/>
  <c r="S10" i="12"/>
  <c r="L10" i="12"/>
  <c r="T10" i="12"/>
  <c r="M10" i="12"/>
  <c r="U10" i="12"/>
  <c r="K10" i="12"/>
  <c r="N10" i="12"/>
  <c r="V10" i="12"/>
  <c r="O10" i="12"/>
  <c r="R10" i="12"/>
  <c r="Q10" i="12"/>
  <c r="C10" i="12"/>
  <c r="P10" i="12"/>
  <c r="W18" i="12"/>
  <c r="D18" i="12"/>
  <c r="X18" i="12"/>
  <c r="C18" i="12"/>
  <c r="E18" i="12"/>
  <c r="Y18" i="12"/>
  <c r="F18" i="12"/>
  <c r="Z18" i="12"/>
  <c r="G18" i="12"/>
  <c r="AA18" i="12"/>
  <c r="H18" i="12"/>
  <c r="AB18" i="12"/>
  <c r="I18" i="12"/>
  <c r="J18" i="12"/>
  <c r="U18" i="12"/>
  <c r="N18" i="12"/>
  <c r="O18" i="12"/>
  <c r="V18" i="12"/>
  <c r="P18" i="12"/>
  <c r="Q18" i="12"/>
  <c r="L18" i="12"/>
  <c r="K18" i="12"/>
  <c r="M18" i="12"/>
  <c r="R18" i="12"/>
  <c r="S18" i="12"/>
  <c r="T18" i="12"/>
  <c r="Q10" i="13"/>
  <c r="R10" i="13"/>
  <c r="S10" i="13"/>
  <c r="T10" i="13"/>
  <c r="U10" i="13"/>
  <c r="V10" i="13"/>
  <c r="W10" i="13"/>
  <c r="D10" i="13"/>
  <c r="X10" i="13"/>
  <c r="E10" i="13"/>
  <c r="K10" i="13"/>
  <c r="L10" i="13"/>
  <c r="M10" i="13"/>
  <c r="Y10" i="13"/>
  <c r="AA10" i="13"/>
  <c r="F10" i="13"/>
  <c r="N10" i="13"/>
  <c r="O10" i="13"/>
  <c r="G10" i="13"/>
  <c r="I10" i="13"/>
  <c r="J10" i="13"/>
  <c r="H10" i="13"/>
  <c r="P10" i="13"/>
  <c r="Z10" i="13"/>
  <c r="AB10" i="13"/>
  <c r="C10" i="13"/>
  <c r="G11" i="19"/>
  <c r="AA11" i="19"/>
  <c r="H11" i="19"/>
  <c r="AB11" i="19"/>
  <c r="I11" i="19"/>
  <c r="J11" i="19"/>
  <c r="K11" i="19"/>
  <c r="L11" i="19"/>
  <c r="M11" i="19"/>
  <c r="Z11" i="19"/>
  <c r="E11" i="19"/>
  <c r="U11" i="19"/>
  <c r="N11" i="19"/>
  <c r="P11" i="19"/>
  <c r="R11" i="19"/>
  <c r="T11" i="19"/>
  <c r="F11" i="19"/>
  <c r="Q11" i="19"/>
  <c r="S11" i="19"/>
  <c r="O11" i="19"/>
  <c r="V11" i="19"/>
  <c r="X11" i="19"/>
  <c r="D11" i="19"/>
  <c r="W11" i="19"/>
  <c r="Y11" i="19"/>
  <c r="C11" i="19"/>
  <c r="Q18" i="13"/>
  <c r="R18" i="13"/>
  <c r="S18" i="13"/>
  <c r="T18" i="13"/>
  <c r="U18" i="13"/>
  <c r="V18" i="13"/>
  <c r="W18" i="13"/>
  <c r="AB18" i="13"/>
  <c r="M18" i="13"/>
  <c r="H18" i="13"/>
  <c r="N18" i="13"/>
  <c r="O18" i="13"/>
  <c r="P18" i="13"/>
  <c r="G18" i="13"/>
  <c r="I18" i="13"/>
  <c r="K18" i="13"/>
  <c r="L18" i="13"/>
  <c r="D18" i="13"/>
  <c r="J18" i="13"/>
  <c r="E18" i="13"/>
  <c r="F18" i="13"/>
  <c r="Z18" i="13"/>
  <c r="AA18" i="13"/>
  <c r="X18" i="13"/>
  <c r="Y18" i="13"/>
  <c r="C18" i="13"/>
  <c r="R11" i="12"/>
  <c r="S11" i="12"/>
  <c r="T11" i="12"/>
  <c r="U11" i="12"/>
  <c r="V11" i="12"/>
  <c r="W11" i="12"/>
  <c r="D11" i="12"/>
  <c r="X11" i="12"/>
  <c r="E11" i="12"/>
  <c r="Y11" i="12"/>
  <c r="O11" i="12"/>
  <c r="P11" i="12"/>
  <c r="H11" i="12"/>
  <c r="K11" i="12"/>
  <c r="M11" i="12"/>
  <c r="J11" i="12"/>
  <c r="L11" i="12"/>
  <c r="Z11" i="12"/>
  <c r="F11" i="12"/>
  <c r="G11" i="12"/>
  <c r="I11" i="12"/>
  <c r="N11" i="12"/>
  <c r="Q11" i="12"/>
  <c r="AA11" i="12"/>
  <c r="AB11" i="12"/>
  <c r="C11" i="12"/>
  <c r="W14" i="12"/>
  <c r="D14" i="12"/>
  <c r="X14" i="12"/>
  <c r="E14" i="12"/>
  <c r="Y14" i="12"/>
  <c r="F14" i="12"/>
  <c r="Z14" i="12"/>
  <c r="G14" i="12"/>
  <c r="AA14" i="12"/>
  <c r="H14" i="12"/>
  <c r="AB14" i="12"/>
  <c r="I14" i="12"/>
  <c r="J14" i="12"/>
  <c r="S14" i="12"/>
  <c r="K14" i="12"/>
  <c r="L14" i="12"/>
  <c r="N14" i="12"/>
  <c r="T14" i="12"/>
  <c r="U14" i="12"/>
  <c r="C14" i="12"/>
  <c r="V14" i="12"/>
  <c r="M14" i="12"/>
  <c r="O14" i="12"/>
  <c r="Q14" i="12"/>
  <c r="R14" i="12"/>
  <c r="P14" i="12"/>
  <c r="F18" i="19"/>
  <c r="Z18" i="19"/>
  <c r="G18" i="19"/>
  <c r="AA18" i="19"/>
  <c r="H18" i="19"/>
  <c r="AB18" i="19"/>
  <c r="I18" i="19"/>
  <c r="J18" i="19"/>
  <c r="K18" i="19"/>
  <c r="L18" i="19"/>
  <c r="O18" i="19"/>
  <c r="R18" i="19"/>
  <c r="E18" i="19"/>
  <c r="S18" i="19"/>
  <c r="N18" i="19"/>
  <c r="Q18" i="19"/>
  <c r="D18" i="19"/>
  <c r="T18" i="19"/>
  <c r="V18" i="19"/>
  <c r="M18" i="19"/>
  <c r="P18" i="19"/>
  <c r="U18" i="19"/>
  <c r="X18" i="19"/>
  <c r="Y18" i="19"/>
  <c r="W18" i="19"/>
  <c r="C18" i="19"/>
  <c r="W19" i="19"/>
  <c r="X19" i="19"/>
  <c r="Y19" i="19"/>
  <c r="F19" i="19"/>
  <c r="Z19" i="19"/>
  <c r="G19" i="19"/>
  <c r="AA19" i="19"/>
  <c r="H19" i="19"/>
  <c r="AB19" i="19"/>
  <c r="I19" i="19"/>
  <c r="K19" i="19"/>
  <c r="O19" i="19"/>
  <c r="S19" i="19"/>
  <c r="D19" i="19"/>
  <c r="L19" i="19"/>
  <c r="E19" i="19"/>
  <c r="M19" i="19"/>
  <c r="P19" i="19"/>
  <c r="N19" i="19"/>
  <c r="Q19" i="19"/>
  <c r="R19" i="19"/>
  <c r="T19" i="19"/>
  <c r="V19" i="19"/>
  <c r="U19" i="19"/>
  <c r="J19" i="19"/>
  <c r="C19" i="19"/>
  <c r="L19" i="13"/>
  <c r="M19" i="13"/>
  <c r="N19" i="13"/>
  <c r="O19" i="13"/>
  <c r="P19" i="13"/>
  <c r="Q19" i="13"/>
  <c r="R19" i="13"/>
  <c r="Y19" i="13"/>
  <c r="D19" i="13"/>
  <c r="W19" i="13"/>
  <c r="E19" i="13"/>
  <c r="I19" i="13"/>
  <c r="J19" i="13"/>
  <c r="F19" i="13"/>
  <c r="H19" i="13"/>
  <c r="X19" i="13"/>
  <c r="G19" i="13"/>
  <c r="K19" i="13"/>
  <c r="S19" i="13"/>
  <c r="T19" i="13"/>
  <c r="U19" i="13"/>
  <c r="V19" i="13"/>
  <c r="Z19" i="13"/>
  <c r="AA19" i="13"/>
  <c r="AB19" i="13"/>
  <c r="C19" i="13"/>
  <c r="J10" i="19"/>
  <c r="K10" i="19"/>
  <c r="L10" i="19"/>
  <c r="M10" i="19"/>
  <c r="N10" i="19"/>
  <c r="O10" i="19"/>
  <c r="P10" i="19"/>
  <c r="V10" i="19"/>
  <c r="G10" i="19"/>
  <c r="W10" i="19"/>
  <c r="F10" i="19"/>
  <c r="H10" i="19"/>
  <c r="I10" i="19"/>
  <c r="Q10" i="19"/>
  <c r="X10" i="19"/>
  <c r="Y10" i="19"/>
  <c r="Z10" i="19"/>
  <c r="AA10" i="19"/>
  <c r="AB10" i="19"/>
  <c r="R10" i="19"/>
  <c r="D10" i="19"/>
  <c r="E10" i="19"/>
  <c r="U10" i="19"/>
  <c r="S10" i="19"/>
  <c r="T10" i="19"/>
  <c r="C10" i="19"/>
  <c r="R14" i="19"/>
  <c r="E14" i="19"/>
  <c r="S14" i="19"/>
  <c r="T14" i="19"/>
  <c r="U14" i="19"/>
  <c r="V14" i="19"/>
  <c r="W14" i="19"/>
  <c r="X14" i="19"/>
  <c r="Y14" i="19"/>
  <c r="AB14" i="19"/>
  <c r="Z14" i="19"/>
  <c r="K14" i="19"/>
  <c r="AA14" i="19"/>
  <c r="G14" i="19"/>
  <c r="H14" i="19"/>
  <c r="D14" i="19"/>
  <c r="L14" i="19"/>
  <c r="M14" i="19"/>
  <c r="F14" i="19"/>
  <c r="I14" i="19"/>
  <c r="J14" i="19"/>
  <c r="P14" i="19"/>
  <c r="Q14" i="19"/>
  <c r="N14" i="19"/>
  <c r="O14" i="19"/>
  <c r="C14" i="19"/>
  <c r="R19" i="12"/>
  <c r="S19" i="12"/>
  <c r="T19" i="12"/>
  <c r="C19" i="12"/>
  <c r="U19" i="12"/>
  <c r="V19" i="12"/>
  <c r="W19" i="12"/>
  <c r="D19" i="12"/>
  <c r="X19" i="12"/>
  <c r="E19" i="12"/>
  <c r="Y19" i="12"/>
  <c r="M19" i="12"/>
  <c r="P19" i="12"/>
  <c r="AB19" i="12"/>
  <c r="K19" i="12"/>
  <c r="O19" i="12"/>
  <c r="Z19" i="12"/>
  <c r="F19" i="12"/>
  <c r="L19" i="12"/>
  <c r="Q19" i="12"/>
  <c r="G19" i="12"/>
  <c r="N19" i="12"/>
  <c r="AA19" i="12"/>
  <c r="H19" i="12"/>
  <c r="I19" i="12"/>
  <c r="J19" i="12"/>
  <c r="L11" i="13"/>
  <c r="M11" i="13"/>
  <c r="N11" i="13"/>
  <c r="O11" i="13"/>
  <c r="P11" i="13"/>
  <c r="Q11" i="13"/>
  <c r="R11" i="13"/>
  <c r="S11" i="13"/>
  <c r="G11" i="13"/>
  <c r="AB11" i="13"/>
  <c r="H11" i="13"/>
  <c r="Z11" i="13"/>
  <c r="AA11" i="13"/>
  <c r="I11" i="13"/>
  <c r="U11" i="13"/>
  <c r="W11" i="13"/>
  <c r="Y11" i="13"/>
  <c r="J11" i="13"/>
  <c r="K11" i="13"/>
  <c r="T11" i="13"/>
  <c r="V11" i="13"/>
  <c r="X11" i="13"/>
  <c r="E11" i="13"/>
  <c r="F11" i="13"/>
  <c r="D11" i="13"/>
  <c r="C11" i="13"/>
  <c r="Q14" i="13"/>
  <c r="R14" i="13"/>
  <c r="S14" i="13"/>
  <c r="T14" i="13"/>
  <c r="U14" i="13"/>
  <c r="V14" i="13"/>
  <c r="W14" i="13"/>
  <c r="N14" i="13"/>
  <c r="P14" i="13"/>
  <c r="Y14" i="13"/>
  <c r="X14" i="13"/>
  <c r="D14" i="13"/>
  <c r="K14" i="13"/>
  <c r="L14" i="13"/>
  <c r="M14" i="13"/>
  <c r="O14" i="13"/>
  <c r="E14" i="13"/>
  <c r="I14" i="13"/>
  <c r="J14" i="13"/>
  <c r="F14" i="13"/>
  <c r="G14" i="13"/>
  <c r="H14" i="13"/>
  <c r="Z14" i="13"/>
  <c r="AA14" i="13"/>
  <c r="AB14" i="13"/>
  <c r="C14" i="13"/>
  <c r="L3" i="13"/>
  <c r="M3" i="13"/>
  <c r="N3" i="13"/>
  <c r="O3" i="13"/>
  <c r="P3" i="13"/>
  <c r="Q3" i="13"/>
  <c r="R3" i="13"/>
  <c r="S3" i="13"/>
  <c r="J3" i="13"/>
  <c r="D3" i="13"/>
  <c r="E3" i="13"/>
  <c r="K3" i="13"/>
  <c r="AA3" i="13"/>
  <c r="T3" i="13"/>
  <c r="X3" i="13"/>
  <c r="U3" i="13"/>
  <c r="Y3" i="13"/>
  <c r="F3" i="13"/>
  <c r="V3" i="13"/>
  <c r="W3" i="13"/>
  <c r="Z3" i="13"/>
  <c r="AB3" i="13"/>
  <c r="G3" i="13"/>
  <c r="H3" i="13"/>
  <c r="I3" i="13"/>
  <c r="C3" i="13"/>
  <c r="C27" i="9"/>
  <c r="B3" i="19" s="1"/>
  <c r="C9" i="9"/>
  <c r="C33" i="9" s="1"/>
  <c r="B9" i="19" s="1"/>
  <c r="E18" i="9"/>
  <c r="E42" i="9" s="1"/>
  <c r="E10" i="9"/>
  <c r="E14" i="9"/>
  <c r="E11" i="9"/>
  <c r="E19" i="9"/>
  <c r="E43" i="9" s="1"/>
  <c r="E3" i="9"/>
  <c r="E5" i="9"/>
  <c r="E4" i="9"/>
  <c r="E20" i="9"/>
  <c r="E44" i="9" s="1"/>
  <c r="J9" i="19" l="1"/>
  <c r="D9" i="19"/>
  <c r="K9" i="19"/>
  <c r="T9" i="19"/>
  <c r="L9" i="19"/>
  <c r="U9" i="19"/>
  <c r="Y9" i="19"/>
  <c r="M9" i="19"/>
  <c r="C9" i="19"/>
  <c r="X9" i="19"/>
  <c r="Z9" i="19"/>
  <c r="AB9" i="19"/>
  <c r="I9" i="19"/>
  <c r="N9" i="19"/>
  <c r="P9" i="19"/>
  <c r="R9" i="19"/>
  <c r="E9" i="19"/>
  <c r="V9" i="19"/>
  <c r="W9" i="19"/>
  <c r="F9" i="19"/>
  <c r="G9" i="19"/>
  <c r="O9" i="19"/>
  <c r="H9" i="19"/>
  <c r="Q9" i="19"/>
  <c r="S9" i="19"/>
  <c r="AA9" i="19"/>
  <c r="B3" i="12"/>
  <c r="K3" i="19"/>
  <c r="L3" i="19"/>
  <c r="M3" i="19"/>
  <c r="N3" i="19"/>
  <c r="O3" i="19"/>
  <c r="P3" i="19"/>
  <c r="Q3" i="19"/>
  <c r="I3" i="19"/>
  <c r="J3" i="19"/>
  <c r="W3" i="19"/>
  <c r="X3" i="19"/>
  <c r="Z3" i="19"/>
  <c r="R3" i="19"/>
  <c r="V3" i="19"/>
  <c r="S3" i="19"/>
  <c r="D3" i="19"/>
  <c r="AA3" i="19"/>
  <c r="T3" i="19"/>
  <c r="E3" i="19"/>
  <c r="U3" i="19"/>
  <c r="Y3" i="19"/>
  <c r="AB3" i="19"/>
  <c r="F3" i="19"/>
  <c r="G3" i="19"/>
  <c r="H3" i="19"/>
  <c r="C3" i="19"/>
  <c r="E9" i="9"/>
  <c r="E33" i="9" s="1"/>
  <c r="E35" i="9"/>
  <c r="E36" i="9"/>
  <c r="E38" i="9"/>
  <c r="E27" i="9"/>
  <c r="E34" i="9"/>
  <c r="E28" i="9"/>
  <c r="E29" i="9"/>
  <c r="R3" i="12" l="1"/>
  <c r="M3" i="12"/>
  <c r="W3" i="12"/>
  <c r="P3" i="12"/>
  <c r="G3" i="12"/>
  <c r="N3" i="12"/>
  <c r="S3" i="12"/>
  <c r="Z3" i="12"/>
  <c r="K3" i="12"/>
  <c r="T3" i="12"/>
  <c r="Q3" i="12"/>
  <c r="Y3" i="12"/>
  <c r="X3" i="12"/>
  <c r="U3" i="12"/>
  <c r="E3" i="12"/>
  <c r="H3" i="12"/>
  <c r="V3" i="12"/>
  <c r="D3" i="12"/>
  <c r="AB3" i="12"/>
  <c r="I3" i="12"/>
  <c r="F3" i="12"/>
  <c r="J3" i="12"/>
  <c r="L3" i="12"/>
  <c r="C3" i="12"/>
  <c r="AA3" i="12"/>
  <c r="O3"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<sst xmlns="http://schemas.openxmlformats.org/spreadsheetml/2006/main" count="2517" uniqueCount="949">
  <si>
    <t>Source:</t>
  </si>
  <si>
    <t>Petroleum-based fuels, biofuels</t>
  </si>
  <si>
    <t>U.S. Energy Information Administration</t>
  </si>
  <si>
    <t>Petroleum &amp; Other Liquids: Supply and Disposition</t>
  </si>
  <si>
    <t>https://www.eia.gov/dnav/pet/pet_sum_snd_d_nus_mbbl_a_cur.htm</t>
  </si>
  <si>
    <t>Biomass Production and Exports</t>
  </si>
  <si>
    <t>https://www.eia.gov/outlooks/aeo/tables_ref.php</t>
  </si>
  <si>
    <t>Notes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</si>
  <si>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</si>
  <si>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</si>
  <si>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</si>
  <si>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</si>
  <si>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Hydrogen is an energy carrier, but can theoretically be imported</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</si>
  <si>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</si>
  <si>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</si>
  <si>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</si>
  <si>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</si>
  <si>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</si>
  <si>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</si>
  <si>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</si>
  <si>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</si>
  <si>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</si>
  <si>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</si>
  <si>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</si>
  <si>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</si>
  <si>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</si>
  <si>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</si>
  <si>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</si>
  <si>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</si>
  <si>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</si>
  <si>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</si>
  <si>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</si>
  <si>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</si>
  <si>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</si>
  <si>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</si>
  <si>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</si>
  <si>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</si>
  <si>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</si>
  <si>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</si>
  <si>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</si>
  <si>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</si>
  <si>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</si>
  <si>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</si>
  <si>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</si>
  <si>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</si>
  <si>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</si>
  <si>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</si>
  <si>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Hydrogen</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</si>
  <si>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</si>
  <si>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</si>
  <si>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</si>
  <si>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</si>
  <si>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</si>
  <si>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</si>
  <si>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</si>
  <si>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</si>
  <si>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</si>
  <si>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</si>
  <si>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</si>
  <si>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</si>
  <si>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</si>
  <si>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</si>
  <si>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</si>
  <si>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</si>
  <si>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</si>
  <si>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</si>
  <si>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</si>
  <si>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</si>
  <si>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</si>
  <si>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</si>
  <si>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</si>
  <si>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</si>
  <si>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</si>
  <si>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</si>
  <si>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</si>
  <si>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</si>
  <si>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</si>
  <si>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</si>
  <si>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</si>
  <si>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</si>
  <si>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</si>
  <si>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</si>
  <si>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</si>
  <si>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</si>
  <si>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Month</t>
  </si>
  <si>
    <t>Quantity (tons)</t>
  </si>
  <si>
    <t>Average Price (USD per ton)</t>
  </si>
  <si>
    <t>tons</t>
  </si>
  <si>
    <t>Total wood pellet exports</t>
  </si>
  <si>
    <t>Unit</t>
  </si>
  <si>
    <t>kg</t>
  </si>
  <si>
    <t>Total wood pellet imports</t>
  </si>
  <si>
    <t>Report</t>
  </si>
  <si>
    <t>Scenario</t>
  </si>
  <si>
    <t>Datekey</t>
  </si>
  <si>
    <t>Release Date</t>
  </si>
  <si>
    <t>Production</t>
  </si>
  <si>
    <t>- -</t>
  </si>
  <si>
    <t>Consumption</t>
  </si>
  <si>
    <t>Prices (nominal dollars per unit)</t>
  </si>
  <si>
    <t>Uranium</t>
  </si>
  <si>
    <t>million pounds U3O8</t>
  </si>
  <si>
    <t>million short tons</t>
  </si>
  <si>
    <t>Fuel</t>
  </si>
  <si>
    <t>Domestic Use</t>
  </si>
  <si>
    <t>Domestic use also includes change in domestic inventories, which should average to zero over multi-year timeframes.</t>
  </si>
  <si>
    <t>natural gas</t>
  </si>
  <si>
    <t>quads</t>
  </si>
  <si>
    <t>uranium</t>
  </si>
  <si>
    <t>biomass</t>
  </si>
  <si>
    <t>petroleum gasoline</t>
  </si>
  <si>
    <t>thousand barrels</t>
  </si>
  <si>
    <t>jet fuel or kerosene</t>
  </si>
  <si>
    <t>crude oil</t>
  </si>
  <si>
    <t>LPG propane or butane</t>
  </si>
  <si>
    <t>electricity (not used in this variable)</t>
  </si>
  <si>
    <t>hard coal</t>
  </si>
  <si>
    <t>nuclear</t>
  </si>
  <si>
    <t>hydro (is not a fuel)</t>
  </si>
  <si>
    <t>wind (is not a fuel)</t>
  </si>
  <si>
    <t>solar (is not a fuel)</t>
  </si>
  <si>
    <t>petroleum diesel</t>
  </si>
  <si>
    <t>biofuel gasoline</t>
  </si>
  <si>
    <t>biofuel diesel</t>
  </si>
  <si>
    <t>heat (energy carrier)</t>
  </si>
  <si>
    <t>geothermal (is not a fuel)</t>
  </si>
  <si>
    <t>lignite</t>
  </si>
  <si>
    <t>heavy fuel oil</t>
  </si>
  <si>
    <t>municipal solid waste</t>
  </si>
  <si>
    <t>hydrogen</t>
  </si>
  <si>
    <t>Hard Coal, Lignite</t>
  </si>
  <si>
    <t>Hard Coal</t>
  </si>
  <si>
    <t>Hard Coal and Lignite</t>
  </si>
  <si>
    <t>We assume that all imported and exported coal was hard coal, while all lignite produced was used domestically.</t>
  </si>
  <si>
    <t>Lignite</t>
  </si>
  <si>
    <t>Municipal Solid Waste</t>
  </si>
  <si>
    <t>MSW Tonnage Data for Year 2015</t>
  </si>
  <si>
    <t>U.S. MSW generated (million tons)</t>
  </si>
  <si>
    <t>Although the U.S. exports waste to other countries,</t>
  </si>
  <si>
    <t>it is difficult to find statistics for waste exports other than plastic waste.</t>
  </si>
  <si>
    <t>In this model, we are only concerned about MSW that is burned as a</t>
  </si>
  <si>
    <t>fuel.  We will assume that a negligible amount of exported waste</t>
  </si>
  <si>
    <t>is used as a fuel.</t>
  </si>
  <si>
    <t>million metric tons</t>
  </si>
  <si>
    <t>https://www.plasticpollutioncoalition.org/pft/2019/3/6/157000-shipping-containers-of-us-plastic-waste-exported-to-countries-with-poor-waste-management-in-2018</t>
  </si>
  <si>
    <t>(Plastic waste exports to other countries in 2018 were</t>
  </si>
  <si>
    <t>1.07 million metric tons in 2018.)</t>
  </si>
  <si>
    <t>We assume none was imported or exported.</t>
  </si>
  <si>
    <t>heat (not used in this variable)</t>
  </si>
  <si>
    <t>(from physical units to million Btu)</t>
  </si>
  <si>
    <t>Petroleum and Other Liquids</t>
  </si>
  <si>
    <t>(million Btu per barrel)</t>
  </si>
  <si>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</si>
  <si>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</si>
  <si>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</si>
  <si>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</si>
  <si>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</si>
  <si>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</si>
  <si>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</si>
  <si>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</si>
  <si>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</si>
  <si>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</si>
  <si>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</si>
  <si>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</si>
  <si>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Ethanol including denaturant</t>
  </si>
  <si>
    <t xml:space="preserve">  Jet Fuel - Kerosene</t>
  </si>
  <si>
    <t xml:space="preserve">  Lubricants</t>
  </si>
  <si>
    <t xml:space="preserve">  Motor Gasoline Average</t>
  </si>
  <si>
    <t xml:space="preserve">     Conventional Motor Gasoline</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</si>
  <si>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</si>
  <si>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</si>
  <si>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</si>
  <si>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</si>
  <si>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</si>
  <si>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</si>
  <si>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</si>
  <si>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</si>
  <si>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</si>
  <si>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</si>
  <si>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</si>
  <si>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</si>
  <si>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</si>
  <si>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</si>
  <si>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</si>
  <si>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</si>
  <si>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</si>
  <si>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</si>
  <si>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</si>
  <si>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</si>
  <si>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</si>
  <si>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</si>
  <si>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</si>
  <si>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</si>
  <si>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</si>
  <si>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</si>
  <si>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</si>
  <si>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</si>
  <si>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</si>
  <si>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</si>
  <si>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</si>
  <si>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</si>
  <si>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</si>
  <si>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</si>
  <si>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</si>
  <si>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</si>
  <si>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</si>
  <si>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</si>
  <si>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</si>
  <si>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</si>
  <si>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</si>
  <si>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</si>
  <si>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</si>
  <si>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</si>
  <si>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</si>
  <si>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</si>
  <si>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</si>
  <si>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</si>
  <si>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</si>
  <si>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</si>
  <si>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</si>
  <si>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</si>
  <si>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</si>
  <si>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</si>
  <si>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</si>
  <si>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</si>
  <si>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</si>
  <si>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</si>
  <si>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</si>
  <si>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</si>
  <si>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</si>
  <si>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</si>
  <si>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</si>
  <si>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</si>
  <si>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</si>
  <si>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</si>
  <si>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</si>
  <si>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</si>
  <si>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</si>
  <si>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</si>
  <si>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</si>
  <si>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</si>
  <si>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</si>
  <si>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</si>
  <si>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</si>
  <si>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</si>
  <si>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</si>
  <si>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</si>
  <si>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</si>
  <si>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</si>
  <si>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</si>
  <si>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</si>
  <si>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</si>
  <si>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</si>
  <si>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</si>
  <si>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</si>
  <si>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</si>
  <si>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</si>
  <si>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</si>
  <si>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</si>
  <si>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</si>
  <si>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</si>
  <si>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</si>
  <si>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</si>
  <si>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</si>
  <si>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</si>
  <si>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</si>
  <si>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</si>
  <si>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</si>
  <si>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</si>
  <si>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</si>
  <si>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</si>
  <si>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</si>
  <si>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</si>
  <si>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</si>
  <si>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</si>
  <si>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</si>
  <si>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</si>
  <si>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</si>
  <si>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</si>
  <si>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</si>
  <si>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</si>
  <si>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</si>
  <si>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</si>
  <si>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</si>
  <si>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</si>
  <si>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</si>
  <si>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</si>
  <si>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</si>
  <si>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</si>
  <si>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</si>
  <si>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</si>
  <si>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</si>
  <si>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</si>
  <si>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</si>
  <si>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</si>
  <si>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</si>
  <si>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</si>
  <si>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</si>
  <si>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</si>
  <si>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</si>
  <si>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</si>
  <si>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</si>
  <si>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</si>
  <si>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</si>
  <si>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</si>
  <si>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</si>
  <si>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</si>
  <si>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</si>
  <si>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</si>
  <si>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</si>
  <si>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</si>
  <si>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</si>
  <si>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</si>
  <si>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</si>
  <si>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</si>
  <si>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</si>
  <si>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</si>
  <si>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</si>
  <si>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</si>
  <si>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</si>
  <si>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</si>
  <si>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</si>
  <si>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</si>
  <si>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</si>
  <si>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</si>
  <si>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</si>
  <si>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</si>
  <si>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</si>
  <si>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</si>
  <si>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</si>
  <si>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</si>
  <si>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</si>
  <si>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</si>
  <si>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</si>
  <si>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</si>
  <si>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</si>
  <si>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</si>
  <si>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</si>
  <si>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</si>
  <si>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</si>
  <si>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</si>
  <si>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</si>
  <si>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</si>
  <si>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</si>
  <si>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</si>
  <si>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</si>
  <si>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</si>
  <si>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</si>
  <si>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</si>
  <si>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</si>
  <si>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</si>
  <si>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</si>
  <si>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</si>
  <si>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</si>
  <si>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</si>
  <si>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</si>
  <si>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</si>
  <si>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</si>
  <si>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</si>
  <si>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</si>
  <si>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</si>
  <si>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</si>
  <si>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</si>
  <si>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</si>
  <si>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</si>
  <si>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</si>
  <si>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</si>
  <si>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</si>
  <si>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</si>
  <si>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</si>
  <si>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</si>
  <si>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</si>
  <si>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</si>
  <si>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</si>
  <si>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</si>
  <si>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</si>
  <si>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</si>
  <si>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</si>
  <si>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</si>
  <si>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</si>
  <si>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</si>
  <si>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</si>
  <si>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</si>
  <si>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</si>
  <si>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</si>
  <si>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</si>
  <si>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</si>
  <si>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</si>
  <si>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</si>
  <si>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</si>
  <si>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</si>
  <si>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</si>
  <si>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</si>
  <si>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</si>
  <si>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</si>
  <si>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</si>
  <si>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</si>
  <si>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</si>
  <si>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</si>
  <si>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</si>
  <si>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</si>
  <si>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</si>
  <si>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</si>
  <si>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</si>
  <si>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</si>
  <si>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</si>
  <si>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</si>
  <si>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</si>
  <si>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</si>
  <si>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</si>
  <si>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</si>
  <si>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</si>
  <si>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</si>
  <si>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</si>
  <si>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</si>
  <si>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Converted to BTU</t>
  </si>
  <si>
    <t>Energy Information Administration</t>
  </si>
  <si>
    <t>Argonne National Laboratory</t>
  </si>
  <si>
    <t>https://greet.es.anl.gov/</t>
  </si>
  <si>
    <t>Tab "Fuel_Specs"</t>
  </si>
  <si>
    <t>Unit Conversions for hard coal, natural gas, petroleum fuels, liquid biofuels</t>
  </si>
  <si>
    <t>Unit Conversions for Lignite, Biomass, LPG, municipal solid waste, hydrogen</t>
  </si>
  <si>
    <t>Unit Conversion for Uranium (U3O8)</t>
  </si>
  <si>
    <t>TradeTech</t>
  </si>
  <si>
    <t>https://www.uranium.info/unit_conversion_table.php</t>
  </si>
  <si>
    <t>Uranium Primer - Price &amp; Unit Conversion Calculator &amp; Table</t>
  </si>
  <si>
    <t>short tons</t>
  </si>
  <si>
    <t>BTU per</t>
  </si>
  <si>
    <t>Conversion Factors</t>
  </si>
  <si>
    <t>quad</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</si>
  <si>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</si>
  <si>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</si>
  <si>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</si>
  <si>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</si>
  <si>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</si>
  <si>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Collect Export, Import, and Production Data for Each Fuel</t>
  </si>
  <si>
    <t>Time Series</t>
  </si>
  <si>
    <t>Included Fuels</t>
  </si>
  <si>
    <t>and handled in the power sector.  District heat imports/exports are assumed to be negligible.)</t>
  </si>
  <si>
    <t>or exported in bulk, so is included here.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</si>
  <si>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</si>
  <si>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</si>
  <si>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</si>
  <si>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</si>
  <si>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However, only data from the first year are used in variable fuels/CiFIaEpUDFS.</t>
  </si>
  <si>
    <t>Production Scaling Factors</t>
  </si>
  <si>
    <t>Exports Scaling Factors</t>
  </si>
  <si>
    <t>In the future, fuels/CiFIaEpUDFS may be replaced with internal Vensim calculations,</t>
  </si>
  <si>
    <t>making those values sensitive to changes over time.</t>
  </si>
  <si>
    <t>This variable contains time series data.</t>
  </si>
  <si>
    <t>BFPIaE BAU Fuel Production</t>
  </si>
  <si>
    <t>BFPIaE BAU Fuel Imports</t>
  </si>
  <si>
    <t>BFPIaE BAU Fuel Exports</t>
  </si>
  <si>
    <t>Imports Scaling Factors</t>
  </si>
  <si>
    <t>Fuel (BTU)</t>
  </si>
  <si>
    <t>GREET1 2019</t>
  </si>
  <si>
    <t>CA diesel</t>
  </si>
  <si>
    <t>Low Octane Gasoline-Like Fuel (LOF)</t>
  </si>
  <si>
    <t>Renewable Gasoline (Ex Situ CFP)</t>
  </si>
  <si>
    <t>Catalyst Coke</t>
  </si>
  <si>
    <t>Clean Pine</t>
  </si>
  <si>
    <t>Asphalt</t>
  </si>
  <si>
    <t>Length</t>
  </si>
  <si>
    <t>mm</t>
  </si>
  <si>
    <t>m</t>
  </si>
  <si>
    <t>km</t>
  </si>
  <si>
    <t>ft</t>
  </si>
  <si>
    <t>mi</t>
  </si>
  <si>
    <t>- - = Not applicable.</t>
  </si>
  <si>
    <t>Approximate Heat Rates and Heat Content</t>
  </si>
  <si>
    <t>(Btu per kilowatthour)</t>
  </si>
  <si>
    <t xml:space="preserve">  Electricity Heat Content</t>
  </si>
  <si>
    <t>CNV000:fossil_hr_us</t>
  </si>
  <si>
    <t xml:space="preserve">  Fossil Fuel Heat Rate</t>
  </si>
  <si>
    <t>--</t>
  </si>
  <si>
    <t>Change</t>
  </si>
  <si>
    <t>Annual</t>
  </si>
  <si>
    <t>Average</t>
  </si>
  <si>
    <t>Reference</t>
  </si>
  <si>
    <t>68. Conversion Factors</t>
  </si>
  <si>
    <t>Source: U.S. Energy Information Administration</t>
  </si>
  <si>
    <t>full name</t>
  </si>
  <si>
    <t>api key</t>
  </si>
  <si>
    <t>units</t>
  </si>
  <si>
    <t>ref2023.d020623a</t>
  </si>
  <si>
    <t>Annual Energy Outlook 2023</t>
  </si>
  <si>
    <t>ref2023</t>
  </si>
  <si>
    <t>d020623a</t>
  </si>
  <si>
    <t xml:space="preserve"> March 2023</t>
  </si>
  <si>
    <t>2022–2050</t>
  </si>
  <si>
    <t xml:space="preserve">  E85 1/</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</si>
  <si>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</si>
  <si>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</si>
  <si>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</si>
  <si>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</si>
  <si>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</si>
  <si>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Data source: 2022:  U.S. Energy Information Administration (EIA), Short-Term Energy Outlook, November 2022 and EIA,</t>
  </si>
  <si>
    <t>AEO2023 National Energy Modeling System run ref2023.d020623a. Projections:  EIA, AEO2023 National Energy Modeling System run ref2023.d020623a.</t>
  </si>
  <si>
    <t>PPC001</t>
  </si>
  <si>
    <t>PPC001:ba_End-UserPrice</t>
  </si>
  <si>
    <t>PPC001:ba_FederalTaxes</t>
  </si>
  <si>
    <t>PPC001:ba_StateTaxes</t>
  </si>
  <si>
    <t>PPC001:Diesel_Tax_Allow</t>
  </si>
  <si>
    <t>PPC001:ba_DistributionC</t>
  </si>
  <si>
    <t>PPC001:ba_WholesalePric</t>
  </si>
  <si>
    <t>PPC001:ca_End-UserPrice</t>
  </si>
  <si>
    <t>PPC001:ca_FederalTaxes</t>
  </si>
  <si>
    <t>PPC001:ca_StateTaxes</t>
  </si>
  <si>
    <t>PPC001:MoGas_Tax_Allow</t>
  </si>
  <si>
    <t>PPC001:ca_DistributionC</t>
  </si>
  <si>
    <t>PPC001:ca_WholesalePric</t>
  </si>
  <si>
    <t>PPC001:da_End-UserPrice</t>
  </si>
  <si>
    <t>PPC001:da_FederalTaxes</t>
  </si>
  <si>
    <t>PPC001:da_StateTaxes</t>
  </si>
  <si>
    <t>2024 $/b</t>
  </si>
  <si>
    <t>Growth (2024-2050)</t>
  </si>
  <si>
    <t>Total</t>
  </si>
  <si>
    <t>Coal</t>
  </si>
  <si>
    <t>Natural Gas</t>
  </si>
  <si>
    <t>2024 $/MMBtu</t>
  </si>
  <si>
    <t>nom cents/kWh</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</si>
  <si>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</si>
  <si>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</si>
  <si>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</si>
  <si>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</si>
  <si>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</si>
  <si>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</si>
  <si>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</si>
  <si>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</si>
  <si>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</si>
  <si>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</si>
  <si>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</si>
  <si>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</si>
  <si>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</si>
  <si>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</si>
  <si>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</si>
  <si>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</si>
  <si>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</si>
  <si>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</si>
  <si>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</si>
  <si>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</si>
  <si>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</si>
  <si>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</si>
  <si>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</si>
  <si>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</si>
  <si>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2024 cents/kWh</t>
  </si>
  <si>
    <t>AEO.2025.HIGHZTC.PRCE_RLP_TEN_NA_ELC_NA_USA_Y13CNTPKWH.A</t>
  </si>
  <si>
    <t>Total Energy: Real Prices: Electricity: High Zero-Carbon Technology Cost</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</si>
  <si>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</si>
  <si>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</si>
  <si>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</si>
  <si>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</si>
  <si>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</si>
  <si>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</si>
  <si>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</si>
  <si>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</si>
  <si>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</si>
  <si>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</si>
  <si>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</si>
  <si>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</si>
  <si>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</si>
  <si>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</si>
  <si>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AEO.2025.HIGHZTC.CNSM_USE_TEN_NA_TOT_NA_USA_QBTU.A</t>
  </si>
  <si>
    <t>Total Energy: Use: Total: High Zero-Carbon Technology Cost</t>
  </si>
  <si>
    <t>AEO.2025.HIGHZTC.CNSM_USE_TEN_NA_OTH_NA_USA_QBTU.A</t>
  </si>
  <si>
    <t>Total Energy: Use: Other: High Zero-Carbon Technology Cost</t>
  </si>
  <si>
    <t>Other</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</si>
  <si>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</si>
  <si>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</si>
  <si>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</si>
  <si>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</si>
  <si>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</si>
  <si>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</si>
  <si>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</si>
  <si>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</si>
  <si>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</si>
  <si>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</si>
  <si>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</si>
  <si>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</si>
  <si>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</si>
  <si>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</si>
  <si>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</si>
  <si>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</si>
  <si>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</si>
  <si>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</si>
  <si>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AEO.2025.HIGHZTC.UNC_NA_TEN_NA_DESCR_NA_USA_QBTU.A</t>
  </si>
  <si>
    <t>Total Energy: Discrepancy: High Zero-Carbon Technology Cost</t>
  </si>
  <si>
    <t>Discrepancy</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</si>
  <si>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</si>
  <si>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</si>
  <si>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</si>
  <si>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</si>
  <si>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</si>
  <si>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</si>
  <si>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</si>
  <si>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</si>
  <si>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</si>
  <si>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</si>
  <si>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</si>
  <si>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</si>
  <si>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</si>
  <si>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</si>
  <si>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</si>
  <si>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</si>
  <si>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</si>
  <si>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</si>
  <si>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</si>
  <si>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</si>
  <si>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</si>
  <si>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</si>
  <si>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</si>
  <si>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</si>
  <si>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</si>
  <si>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</si>
  <si>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</si>
  <si>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</si>
  <si>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</si>
  <si>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</si>
  <si>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</si>
  <si>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</si>
  <si>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</si>
  <si>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</si>
  <si>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</si>
  <si>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</si>
  <si>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</si>
  <si>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Natural Gas Plant Liquids</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</si>
  <si>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</si>
  <si>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</si>
  <si>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</si>
  <si>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</si>
  <si>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</si>
  <si>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</si>
  <si>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AEO.2025.ALTTRNP.PRCE_NOMP_TEN_NA_ELC_NA_USA_NCNTPKWH.A</t>
  </si>
  <si>
    <t>Total Energy: Nominal Prices: Electricity: Alternative Transportation</t>
  </si>
  <si>
    <t>AEO.2025.ALTTRNP.PRCE_NOMP_TEN_NA_DCL_NA_USA_NDLRPMBTU.A</t>
  </si>
  <si>
    <t>Total Energy: Nominal Prices: Delivered Coal: Alternative Transportation</t>
  </si>
  <si>
    <t>AEO.2025.ALTTRNP.PRCE_NOMP_TEN_NA_CMN_NA_USA_NDLRPMBTU.A</t>
  </si>
  <si>
    <t>Total Energy: Nominal Prices: Coal Minemouth: Alternative Transportation</t>
  </si>
  <si>
    <t>AEO.2025.ALTTRNP.PRCE_NOMP_TEN_NA_CAM_NA_USA_NDLRPTON.A</t>
  </si>
  <si>
    <t>Total Energy: Nominal Prices: Coal at Minemouth: Alternative Transportation</t>
  </si>
  <si>
    <t>AEO.2025.ALTTRNP.PRCE_NOMP_TEN_NA_HHP_NA_USA_NDLRPMBTU.A</t>
  </si>
  <si>
    <t>Total Energy: Nominal Prices: Gas Price at Henry Hub: Alternative Transportation</t>
  </si>
  <si>
    <t>AEO.2025.ALTTRNP.PRCE_NOMP_TEN_NA_WTI_NA_USA_NDLRPBRL.A</t>
  </si>
  <si>
    <t>Total Energy: Nominal Prices: West Texas Intermediate: Alternative Transportation</t>
  </si>
  <si>
    <t>AEO.2025.ALTTRNP.PRCE_NOMP_TEN_NA_BRN_NA_USA_NDLRPBRL.A</t>
  </si>
  <si>
    <t>Total Energy: Nominal Prices: Brent: Alternative Transportation</t>
  </si>
  <si>
    <t>AEO.2025.ALTTRNP.PRCE_RLP_TEN_NA_ELC_NA_USA_Y13CNTPKWH.A</t>
  </si>
  <si>
    <t>Total Energy: Real Prices: Electricity: Alternative Transportation</t>
  </si>
  <si>
    <t>AEO.2025.ALTTRNP.PRCE_RLP_TEN_NA_DCL_NA_USA_Y13DLRPMMBTU.A</t>
  </si>
  <si>
    <t>Total Energy: Real Prices: Delivered Coal: Alternative Transportation</t>
  </si>
  <si>
    <t>AEO.2025.ALTTRNP.PRCE_RLP_TEN_NA_CMN_NA_USA_Y13DLRPMMBTU.A</t>
  </si>
  <si>
    <t>Total Energy: Real Prices: Coal Minemouth: Alternative Transportation</t>
  </si>
  <si>
    <t>AEO.2025.ALTTRNP.PRCE_RLP_TEN_NA_CMN_NA_USA_Y13DLRPTN.A</t>
  </si>
  <si>
    <t>Total Energy: Real Prices: Coal at Minemouth: Alternative Transportation</t>
  </si>
  <si>
    <t>AEO.2025.ALTTRNP.PRCE_RLP_TEN_NA_HHP_NA_USA_Y13DLRPMMBTU.A</t>
  </si>
  <si>
    <t>Total Energy: Real Prices: Gas Price at Henry Hub: Alternative Transportation</t>
  </si>
  <si>
    <t>AEO.2025.ALTTRNP.PRCE_RLP_TEN_NA_WTI_NA_USA_Y13DLRPBBL.A</t>
  </si>
  <si>
    <t>Total Energy: Real Prices: West Texas Intermediate: Alternative Transportation</t>
  </si>
  <si>
    <t>AEO.2025.ALTTRNP.PRCE_RLP_TEN_NA_BRN_NA_USA_Y13DLRPBBL.A</t>
  </si>
  <si>
    <t>Total Energy: Real Prices: Brent: Alternative Transportation</t>
  </si>
  <si>
    <t>AEO.2025.ALTTRNP.CNSM_USE_TEN_NA_TOT_NA_USA_QBTU.A</t>
  </si>
  <si>
    <t>Total Energy: Use: Total: Alternative Transportation</t>
  </si>
  <si>
    <t>AEO.2025.ALTTRNP.CNSM_USE_TEN_NA_OTH_NA_USA_QBTU.A</t>
  </si>
  <si>
    <t>Total Energy: Use: Other: Alternative Transportation</t>
  </si>
  <si>
    <t>AEO.2025.ALTTRNP.CNSM_USE_TEN_NA_PRE_NA_USA_QBTU.A</t>
  </si>
  <si>
    <t>Total Energy: Use: Other Renewable Energy: Alternative Transportation</t>
  </si>
  <si>
    <t>AEO.2025.ALTTRNP.CNSM_USE_TEN_NA_BMS_NA_USA_QBTU.A</t>
  </si>
  <si>
    <t>Total Energy: Use: Biomass: Alternative Transportation</t>
  </si>
  <si>
    <t>AEO.2025.ALTTRNP.CNSM_USE_TEN_NA_HYD_CNV_USA_QBTU.A</t>
  </si>
  <si>
    <t>Total Energy: Use: Hydropower: Alternative Transportation</t>
  </si>
  <si>
    <t>AEO.2025.ALTTRNP.CNSM_USE_TEN_NA_NUC_NA_USA_QBTU.A</t>
  </si>
  <si>
    <t>Total Energy: Use: Nuclear: Alternative Transportation</t>
  </si>
  <si>
    <t>AEO.2025.ALTTRNP.CNSM_USE_TEN_NA_CL_NA_USA_QBTU.A</t>
  </si>
  <si>
    <t>Total Energy: Use: Coal: Alternative Transportation</t>
  </si>
  <si>
    <t>AEO.2025.ALTTRNP.CNSM_USE_TEN_NA_NG_NA_USA_QBTU.A</t>
  </si>
  <si>
    <t>Total Energy: Use: Natural Gas: Alternative Transportation</t>
  </si>
  <si>
    <t>AEO.2025.ALTTRNP.CNSM_USE_TEN_NA_LFL_NA_USA_QBTU.A</t>
  </si>
  <si>
    <t>Total Energy: Use: Liquid Fuels: Alternative Transportation</t>
  </si>
  <si>
    <t>AEO.2025.ALTTRNP.UNC_NA_TEN_NA_DESCR_NA_USA_QBTU.A</t>
  </si>
  <si>
    <t>Total Energy: Discrepancy: Alternative Transportation</t>
  </si>
  <si>
    <t>AEO.2025.ALTTRNP.TRAD_EXP_TEN_NA_TOT_NA_USA_QBTU.A</t>
  </si>
  <si>
    <t>Total Energy: Exports: Total: Alternative Transportation</t>
  </si>
  <si>
    <t>AEO.2025.ALTTRNP.TRAD_EXP_TEN_NA_CL_NA_USA_QBTU.A</t>
  </si>
  <si>
    <t>Total Energy: Exports: Coal: Alternative Transportation</t>
  </si>
  <si>
    <t>AEO.2025.ALTTRNP.TRAD_EXP_TEN_NA_NG_NA_USA_QBTU.A</t>
  </si>
  <si>
    <t>Total Energy: Exports: Natural Gas: Alternative Transportation</t>
  </si>
  <si>
    <t>AEO.2025.ALTTRNP.TRAD_EXP_TEN_NA_PET_NA_USA_QBTU.A</t>
  </si>
  <si>
    <t>Total Energy: Exports: Petroleum: Alternative Transportation</t>
  </si>
  <si>
    <t>AEO.2025.ALTTRNP.TRAD_IMP_TEN_NA_TOT_NA_USA_QBTU.A</t>
  </si>
  <si>
    <t>Total Energy: Imports: Total: Alternative Transportation</t>
  </si>
  <si>
    <t>AEO.2025.ALTTRNP.TRAD_IMP_TEN_NA_OTH_NA_USA_QBTU.A</t>
  </si>
  <si>
    <t>Total Energy: Imports: Other: Alternative Transportation</t>
  </si>
  <si>
    <t>AEO.2025.ALTTRNP.TRAD_IMP_TEN_NA_NG_NA_USA_QBTU.A</t>
  </si>
  <si>
    <t>Total Energy: Imports: Natural Gas: Alternative Transportation</t>
  </si>
  <si>
    <t>AEO.2025.ALTTRNP.TRAD_IMP_TEN_NA_LFL_NA_USA_QBTU.A</t>
  </si>
  <si>
    <t>Total Energy: Imports: Liquid Fuels: Alternative Transportation</t>
  </si>
  <si>
    <t>AEO.2025.ALTTRNP.TRAD_IMP_TEN_NA_CR_NA_USA_QBTU.A</t>
  </si>
  <si>
    <t>Total Energy: Imports: Crude Oil: Alternative Transportation</t>
  </si>
  <si>
    <t>AEO.2025.ALTTRNP.SUP_PRD_TEN_NA_TOT_NA_USA_QBTU.A</t>
  </si>
  <si>
    <t>Total Energy: Production: Total: Alternative Transportation</t>
  </si>
  <si>
    <t>AEO.2025.ALTTRNP.SUP_PRD_TEN_NA_OTH_NA_USA_QBTU.A</t>
  </si>
  <si>
    <t>Total Energy: Production: Other: Alternative Transportation</t>
  </si>
  <si>
    <t>AEO.2025.ALTTRNP.SUP_PRD_TEN_NA_PRE_NA_USA_QBTU.A</t>
  </si>
  <si>
    <t>Total Energy: Production: Other Renewable Energy: Alternative Transportation</t>
  </si>
  <si>
    <t>AEO.2025.ALTTRNP.SUP_PRD_TEN_NA_BMS_NA_USA_QBTU.A</t>
  </si>
  <si>
    <t>Total Energy: Production: Biomass: Alternative Transportation</t>
  </si>
  <si>
    <t>AEO.2025.ALTTRNP.SUP_PRD_TEN_NA_HYD_CNV_USA_QBTU.A</t>
  </si>
  <si>
    <t>Total Energy: Production: Hydropower: Alternative Transportation</t>
  </si>
  <si>
    <t>AEO.2025.ALTTRNP.SUP_PRD_TEN_NA_NUC_NA_USA_QBTU.A</t>
  </si>
  <si>
    <t>Total Energy: Production: Nuclear: Alternative Transportation</t>
  </si>
  <si>
    <t>AEO.2025.ALTTRNP.SUP_PRD_TEN_NA_CL_NA_USA_QBTU.A</t>
  </si>
  <si>
    <t>Total Energy: Production: Coal: Alternative Transportation</t>
  </si>
  <si>
    <t>AEO.2025.ALTTRNP.SUP_PRD_TEN_NA_DNG_NA_USA_QBTU.A</t>
  </si>
  <si>
    <t>Total Energy: Production: Dry Natural Gas: Alternative Transportation</t>
  </si>
  <si>
    <t>AEO.2025.ALTTRNP.SUP_PRD_TEN_NA_NGP_NA_USA_QBTU.A</t>
  </si>
  <si>
    <t>Total Energy: Production: Natural Gas Plant Liquids: Alternative Transportation</t>
  </si>
  <si>
    <t>AEO.2025.ALTTRNP.SUP_PRD_TEN_NA_CLC_NA_USA_QBTU.A</t>
  </si>
  <si>
    <t>Total Energy: Production: Crude Oil and Lease Condensate: Alternative Transportation</t>
  </si>
  <si>
    <t>Fri Dec 05 2025 14:39:56 GMT-0800 (Pacific Standard Time)</t>
  </si>
  <si>
    <t>https://www.eia.gov/outlooks/aeo/data/browser/#/?id=1-AEO2025&amp;region=0-0&amp;cases=alttrnp&amp;start=2023&amp;end=2050&amp;f=A&amp;sourcekey=0</t>
  </si>
  <si>
    <t>Annual Energy Outlook 2025</t>
  </si>
  <si>
    <t>Condensate and Scrubber Oil</t>
  </si>
  <si>
    <t>Biofuels (incl. Fuel Ethanol)</t>
  </si>
  <si>
    <t>Biofuels (excl. Fuel Ethanol)</t>
  </si>
  <si>
    <t>Biodiesel</t>
  </si>
  <si>
    <t>Renewable Diesel Fuel</t>
  </si>
  <si>
    <t>Other Biofuels</t>
  </si>
  <si>
    <t>Transfers to Crude Oil Supply</t>
  </si>
  <si>
    <t>Biofuels Plant Net Production</t>
  </si>
  <si>
    <t>2025 (with annual data for 2024)</t>
  </si>
  <si>
    <t>Area: US, Period: Annual 2024</t>
  </si>
  <si>
    <t>https://www.eia.gov/uranium/production/annual/umine.php</t>
  </si>
  <si>
    <t>Demand</t>
  </si>
  <si>
    <t>Nuclear Fuel (Uranium) Production</t>
  </si>
  <si>
    <t>Domestic Uranium Production Report - Annual</t>
  </si>
  <si>
    <t>Nuclear Fuel (Uranium) Domestic Demand</t>
  </si>
  <si>
    <t>Uranium Marketing Annual Report</t>
  </si>
  <si>
    <t>https://www.eia.gov/uranium/marketing/summarytable1a.php?</t>
  </si>
  <si>
    <t>https://www.eia.gov/coal/data/browser/</t>
  </si>
  <si>
    <t>million short tons of coal produced (of all types) in 2024</t>
  </si>
  <si>
    <t>https://www.eia.gov/coal/data/browser/#/topic/41?agg=0,2,1&amp;rank=g&amp;freq=A&amp;start=2001&amp;end=2024&amp;ctype=map&amp;ltype=pin&amp;rtype=s&amp;maptype=0&amp;rse=0&amp;pin=</t>
  </si>
  <si>
    <t>https://www.eia.gov/coal/data/browser/#/topic/39?agg=2,1,0&amp;rank=ok&amp;map=COAL.EXPORT_QTY.TOT-TOT-TOT.A&amp;freq=A&amp;start=2001&amp;end=2024&amp;ctype=map&amp;ltype=pin&amp;rtype=s&amp;pin=&amp;rse=0&amp;maptype=0</t>
  </si>
  <si>
    <t>million short tons of coal exported in 2024</t>
  </si>
  <si>
    <t>million short tons of coal imported in 2024</t>
  </si>
  <si>
    <t>million short tons of lignite produced in 2024</t>
  </si>
  <si>
    <t>https://www.eia.gov/coal/annual/pdf/tableES1.pdf</t>
  </si>
  <si>
    <t>Annual Coal Report and Browser Data</t>
  </si>
  <si>
    <t>We don't have biomass import data from EIA. Imports are assumed to be negligible.</t>
  </si>
  <si>
    <t>Total wood pellet production (Table 2)</t>
  </si>
  <si>
    <t>Tables 2 and 8</t>
  </si>
  <si>
    <t>https://www.eia.gov/biofuels/biomass/?year=2024&amp;month=12#table_data</t>
  </si>
  <si>
    <t>Monthly Densified Biomass Fuel Report, December 2024</t>
  </si>
  <si>
    <t>produced in 2024 (NOT including byproduct hydrogen)</t>
  </si>
  <si>
    <t>https://www.nationalacademies.org/read/27978/chapter/4</t>
  </si>
  <si>
    <t>Municipal Solid Waste Recycling in the United States: Analysis of Current and Alternative Approaches</t>
  </si>
  <si>
    <t>National Academies of Sciences</t>
  </si>
  <si>
    <t>Summary of Key Messages, first paragraph</t>
  </si>
  <si>
    <t>alttrnp.d032125a</t>
  </si>
  <si>
    <t>alttrnp</t>
  </si>
  <si>
    <t>Alternative Transportation</t>
  </si>
  <si>
    <t>d032125a</t>
  </si>
  <si>
    <t>April 2025</t>
  </si>
  <si>
    <t>19. Hydrogen Supply, Disposition, and Prices</t>
  </si>
  <si>
    <t>(million metric tons unless otherwise noted)</t>
  </si>
  <si>
    <t>Avg Annual Change</t>
  </si>
  <si>
    <t>2024-2050</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</si>
  <si>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</si>
  <si>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</si>
  <si>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</si>
  <si>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</si>
  <si>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</si>
  <si>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</si>
  <si>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</si>
  <si>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</si>
  <si>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</si>
  <si>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</si>
  <si>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</si>
  <si>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</si>
  <si>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</si>
  <si>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</si>
  <si>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</si>
  <si>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</si>
  <si>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</si>
  <si>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</si>
  <si>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</si>
  <si>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</si>
  <si>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</si>
  <si>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</si>
  <si>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</si>
  <si>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</si>
  <si>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</si>
  <si>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</si>
  <si>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</si>
  <si>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</si>
  <si>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</si>
  <si>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</si>
  <si>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</si>
  <si>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</si>
  <si>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</si>
  <si>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</si>
  <si>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</si>
  <si>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</si>
  <si>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</si>
  <si>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</si>
  <si>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</si>
  <si>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</si>
  <si>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</si>
  <si>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</si>
  <si>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</si>
  <si>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</si>
  <si>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</si>
  <si>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Data source: 2024: U.S. Energy Information Administration (EIA), Short-Term Energy Outlook, December 2024 and EIA,</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</si>
  <si>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</si>
  <si>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</si>
  <si>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</si>
  <si>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</si>
  <si>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</si>
  <si>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</si>
  <si>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</si>
  <si>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</si>
  <si>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</si>
  <si>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</si>
  <si>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</si>
  <si>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</si>
  <si>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</si>
  <si>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</si>
  <si>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</si>
  <si>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</si>
  <si>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</si>
  <si>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</si>
  <si>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</si>
  <si>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</si>
  <si>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</si>
  <si>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</si>
  <si>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</si>
  <si>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</si>
  <si>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</si>
  <si>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</si>
  <si>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</si>
  <si>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Natural Gas, Hydrogen, Time Series Scaling Factors</t>
  </si>
  <si>
    <t>AEO2023 Table 69</t>
  </si>
  <si>
    <t>https://www.eia.gov/outlooks/archive/aeo23/</t>
  </si>
  <si>
    <t>High Zero Carbon Technology and Alternative Transportation, Tables 1, 19</t>
  </si>
  <si>
    <t>million short tons of lignite produced in 2023</t>
  </si>
  <si>
    <t>million short tons of coal produced (of all types) in 2023</t>
  </si>
  <si>
    <t>million short tons of coal exported in 2023</t>
  </si>
  <si>
    <t>million short tons of coal imported in 2023</t>
  </si>
  <si>
    <t>AEO.2023.REF2023.PRCE_NOMP_TEN_NA_ELC_NA_USA_NCNTPKWH.A</t>
  </si>
  <si>
    <t>Total Energy: Nominal Prices: Electricity: Reference case</t>
  </si>
  <si>
    <t>AEO.2023.REF2023.PRCE_NOMP_TEN_NA_DCL_NA_USA_NDLRPMBTU.A</t>
  </si>
  <si>
    <t>Total Energy: Nominal Prices: Delivered Coal: Reference case</t>
  </si>
  <si>
    <t xml:space="preserve"> Delivered (dollars per million Btu)</t>
  </si>
  <si>
    <t>AEO.2023.REF2023.PRCE_NOMP_TEN_NA_CMN_NA_USA_NDLRPMBTU.A</t>
  </si>
  <si>
    <t>Total Energy: Nominal Prices: Coal Minemouth: Reference case</t>
  </si>
  <si>
    <t xml:space="preserve"> Minemouth (dollars per million Btu)</t>
  </si>
  <si>
    <t>AEO.2023.REF2023.PRCE_NOMP_TEN_NA_CAM_NA_USA_NDLRPTON.A</t>
  </si>
  <si>
    <t>Total Energy: Nominal Prices: Coal at Minemouth: Reference case</t>
  </si>
  <si>
    <t>AEO.2023.REF2023.PRCE_NOMP_TEN_NA_HHP_NA_USA_NDLRPMBTU.A</t>
  </si>
  <si>
    <t>Total Energy: Nominal Prices: Gas Price at Henry Hub: Reference case</t>
  </si>
  <si>
    <t>Natural Gas at Henry Hub (dollars per mmBtu)</t>
  </si>
  <si>
    <t>AEO.2023.REF2023.PRCE_NOMP_TEN_NA_WTI_NA_USA_NDLRPBRL.A</t>
  </si>
  <si>
    <t>Total Energy: Nominal Prices: West Texas Intermediate: Reference case</t>
  </si>
  <si>
    <t>West Texas Intermediate Spot Price (dollars p</t>
  </si>
  <si>
    <t>AEO.2023.REF2023.PRCE_NOMP_TEN_NA_BRN_NA_USA_NDLRPBRL.A</t>
  </si>
  <si>
    <t>Total Energy: Nominal Prices: Brent: Reference case</t>
  </si>
  <si>
    <t>2022 cents/kWh</t>
  </si>
  <si>
    <t>AEO.2023.REF2023.PRCE_RLP_TEN_NA_ELC_NA_USA_Y13CNTPKWH.A</t>
  </si>
  <si>
    <t>Total Energy: Real Prices: Electricity: Reference case</t>
  </si>
  <si>
    <t>2022 $/MMBtu</t>
  </si>
  <si>
    <t>AEO.2023.REF2023.PRCE_RLP_TEN_NA_DCL_NA_USA_Y13DLRPMMBTU.A</t>
  </si>
  <si>
    <t>Total Energy: Real Prices: Delivered Coal: Reference case</t>
  </si>
  <si>
    <t>AEO.2023.REF2023.PRCE_RLP_TEN_NA_CMN_NA_USA_Y13DLRPMMBTU.A</t>
  </si>
  <si>
    <t>Total Energy: Real Prices: Coal Minemouth: Reference case</t>
  </si>
  <si>
    <t>2022 $/ton</t>
  </si>
  <si>
    <t>AEO.2023.REF2023.PRCE_RLP_TEN_NA_CMN_NA_USA_Y13DLRPTN.A</t>
  </si>
  <si>
    <t>Total Energy: Real Prices: Coal at Minemouth: Reference case</t>
  </si>
  <si>
    <t>AEO.2023.REF2023.PRCE_RLP_TEN_NA_HHP_NA_USA_Y13DLRPMMBTU.A</t>
  </si>
  <si>
    <t>Total Energy: Real Prices: Gas Price at Henry Hub: Reference case</t>
  </si>
  <si>
    <t>2022 $/b</t>
  </si>
  <si>
    <t>AEO.2023.REF2023.PRCE_RLP_TEN_NA_WTI_NA_USA_Y13DLRPBBL.A</t>
  </si>
  <si>
    <t>Total Energy: Real Prices: West Texas Intermediate: Reference case</t>
  </si>
  <si>
    <t>AEO.2023.REF2023.PRCE_RLP_TEN_NA_BRN_NA_USA_Y13DLRPBBL.A</t>
  </si>
  <si>
    <t>Total Energy: Real Prices: Brent: Reference case</t>
  </si>
  <si>
    <t>Prices (2022 dollars per unit)</t>
  </si>
  <si>
    <t>AEO.2023.REF2023.CNSM_USE_TEN_NA_TOT_NA_USA_QBTU.A</t>
  </si>
  <si>
    <t>Total Energy: Use: Total: Reference case</t>
  </si>
  <si>
    <t>AEO.2023.REF2023.CNSM_USE_TEN_NA_OTH_NA_USA_QBTU.A</t>
  </si>
  <si>
    <t>Total Energy: Use: Other: Reference case</t>
  </si>
  <si>
    <t>AEO.2023.REF2023.CNSM_USE_TEN_NA_PRE_NA_USA_QBTU.A</t>
  </si>
  <si>
    <t>Total Energy: Use: Other Renewable Energy: Reference case</t>
  </si>
  <si>
    <t>AEO.2023.REF2023.CNSM_USE_TEN_NA_BMS_NA_USA_QBTU.A</t>
  </si>
  <si>
    <t>Total Energy: Use: Biomass: Reference case</t>
  </si>
  <si>
    <t>AEO.2023.REF2023.CNSM_USE_TEN_NA_HYD_CNV_USA_QBTU.A</t>
  </si>
  <si>
    <t>Total Energy: Use: Hydropower: Reference case</t>
  </si>
  <si>
    <t>AEO.2023.REF2023.CNSM_USE_TEN_NA_NUC_NA_USA_QBTU.A</t>
  </si>
  <si>
    <t>Total Energy: Use: Nuclear: Reference case</t>
  </si>
  <si>
    <t>AEO.2023.REF2023.CNSM_USE_TEN_NA_CL_NA_USA_QBTU.A</t>
  </si>
  <si>
    <t>Total Energy: Use: Coal: Reference case</t>
  </si>
  <si>
    <t>AEO.2023.REF2023.CNSM_USE_TEN_NA_NG_NA_USA_QBTU.A</t>
  </si>
  <si>
    <t>Total Energy: Use: Natural Gas: Reference case</t>
  </si>
  <si>
    <t>AEO.2023.REF2023.CNSM_USE_TEN_NA_LFL_NA_USA_QBTU.A</t>
  </si>
  <si>
    <t>Total Energy: Use: Liquid Fuels: Reference case</t>
  </si>
  <si>
    <t>AEO.2023.REF2023.UNC_NA_TEN_NA_DESCR_NA_USA_QBTU.A</t>
  </si>
  <si>
    <t>Total Energy: Discrepancy: Reference case</t>
  </si>
  <si>
    <t>AEO.2023.REF2023.TRAD_EXP_TEN_NA_TOT_NA_USA_QBTU.A</t>
  </si>
  <si>
    <t>Total Energy: Exports: Total: Reference case</t>
  </si>
  <si>
    <t>AEO.2023.REF2023.TRAD_EXP_TEN_NA_CL_NA_USA_QBTU.A</t>
  </si>
  <si>
    <t>Total Energy: Exports: Coal: Reference case</t>
  </si>
  <si>
    <t>AEO.2023.REF2023.TRAD_EXP_TEN_NA_NG_NA_USA_QBTU.A</t>
  </si>
  <si>
    <t>Total Energy: Exports: Natural Gas: Reference case</t>
  </si>
  <si>
    <t>AEO.2023.REF2023.TRAD_EXP_TEN_NA_PET_NA_USA_QBTU.A</t>
  </si>
  <si>
    <t>Total Energy: Exports: Petroleum: Reference case</t>
  </si>
  <si>
    <t>AEO.2023.REF2023.TRAD_IMP_TEN_NA_TOT_NA_USA_QBTU.A</t>
  </si>
  <si>
    <t>Total Energy: Imports: Total: Reference case</t>
  </si>
  <si>
    <t>AEO.2023.REF2023.TRAD_IMP_TEN_NA_OTH_NA_USA_QBTU.A</t>
  </si>
  <si>
    <t>Total Energy: Imports: Other: Reference case</t>
  </si>
  <si>
    <t>AEO.2023.REF2023.TRAD_IMP_TEN_NA_NG_NA_USA_QBTU.A</t>
  </si>
  <si>
    <t>Total Energy: Imports: Natural Gas: Reference case</t>
  </si>
  <si>
    <t>AEO.2023.REF2023.TRAD_IMP_TEN_NA_LFL_NA_USA_QBTU.A</t>
  </si>
  <si>
    <t>Total Energy: Imports: Liquid Fuels: Reference case</t>
  </si>
  <si>
    <t>AEO.2023.REF2023.TRAD_IMP_TEN_NA_CR_NA_USA_QBTU.A</t>
  </si>
  <si>
    <t>Total Energy: Imports: Crude Oil: Reference case</t>
  </si>
  <si>
    <t>AEO.2023.REF2023.SUP_PRD_TEN_NA_TOT_NA_USA_QBTU.A</t>
  </si>
  <si>
    <t>Total Energy: Production: Total: Reference case</t>
  </si>
  <si>
    <t>AEO.2023.REF2023.SUP_PRD_TEN_NA_OTH_NA_USA_QBTU.A</t>
  </si>
  <si>
    <t>Total Energy: Production: Other: Reference case</t>
  </si>
  <si>
    <t>AEO.2023.REF2023.SUP_PRD_TEN_NA_PRE_NA_USA_QBTU.A</t>
  </si>
  <si>
    <t>Total Energy: Production: Other Renewable Energy: Reference case</t>
  </si>
  <si>
    <t>AEO.2023.REF2023.SUP_PRD_TEN_NA_BMS_NA_USA_QBTU.A</t>
  </si>
  <si>
    <t>Total Energy: Production: Biomass: Reference case</t>
  </si>
  <si>
    <t>AEO.2023.REF2023.SUP_PRD_TEN_NA_HYD_CNV_USA_QBTU.A</t>
  </si>
  <si>
    <t>Total Energy: Production: Hydropower: Reference case</t>
  </si>
  <si>
    <t>AEO.2023.REF2023.SUP_PRD_TEN_NA_NUC_NA_USA_QBTU.A</t>
  </si>
  <si>
    <t>Total Energy: Production: Nuclear: Reference case</t>
  </si>
  <si>
    <t>AEO.2023.REF2023.SUP_PRD_TEN_NA_CL_NA_USA_QBTU.A</t>
  </si>
  <si>
    <t>Total Energy: Production: Coal: Reference case</t>
  </si>
  <si>
    <t>AEO.2023.REF2023.SUP_PRD_TEN_NA_DNG_NA_USA_QBTU.A</t>
  </si>
  <si>
    <t>Total Energy: Production: Dry Natural Gas: Reference case</t>
  </si>
  <si>
    <t>AEO.2023.REF2023.SUP_PRD_TEN_NA_NGP_NA_USA_QBTU.A</t>
  </si>
  <si>
    <t>Total Energy: Production: Natural Gas Plant Liquids: Reference case</t>
  </si>
  <si>
    <t>AEO.2023.REF2023.SUP_PRD_TEN_NA_CLC_NA_USA_QBTU.A</t>
  </si>
  <si>
    <t>Total Energy: Production: Crude Oil and Lease Condensate: Reference case</t>
  </si>
  <si>
    <t>Growth (2022-2050)</t>
  </si>
  <si>
    <t>Wed Mar 11 2026 09:54:51 GMT-0400 (Eastern Daylight Time)</t>
  </si>
  <si>
    <t>https://www.eia.gov/outlooks/aeo/data/browser/#/?id=1-AEO2023&amp;sourcekey=0</t>
  </si>
  <si>
    <t>Table 8. Export sales and average price of densified biomass fuel, 2023</t>
  </si>
  <si>
    <t>Table 8. Export sales and average price of densified biomass fuel, 2024</t>
  </si>
  <si>
    <t>Table 2</t>
  </si>
  <si>
    <t>Capacity (tons per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</si>
</sst>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 numFmtId="177" formatCode="_(* #,##0_);_(* \(#,##0\);_(* &quot;-&quot;??_);_(@_)"/>
  </numFmts>
  <fonts count="39" x14ac:knownFonts="1">
    <font>
      <sz val="11"/>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b/>
      <sz val="9"/>
      <name val="Calibri"/>
      <family val="2"/>
    </font>
    <font>
      <b/>
      <sz val="12"/>
      <name val="Calibri"/>
      <family val="2"/>
    </font>
    <font>
      <sz val="9"/>
      <color rgb="FF333333"/>
      <name val="Arial"/>
      <family val="2"/>
    </font>
    <font>
      <b/>
      <sz val="9"/>
      <color rgb="FF333333"/>
      <name val="Arial"/>
      <family val="2"/>
    </font>
    <font>
      <sz val="11"/>
      <color rgb="FF000000"/>
      <name val="Arial"/>
      <family val="2"/>
    </font>
    <font>
      <b/>
      <sz val="8"/>
      <color rgb="FF000000"/>
      <name val="Arial"/>
      <family val="2"/>
    </font>
    <font>
      <sz val="6"/>
      <color rgb="FF333333"/>
      <name val="Inherit"/>
    </font>
    <font>
      <b/>
      <sz val="12"/>
      <color rgb="FF000000"/>
      <name val="Calibri"/>
      <family val="2"/>
      <scheme val="minor"/>
    </font>
    <font>
      <sz val="9"/>
      <color rgb="FF000000"/>
      <name val="Calibri"/>
      <family val="2"/>
      <scheme val="minor"/>
    </font>
    <font>
      <b/>
      <sz val="9"/>
      <color rgb="FF000000"/>
      <name val="Calibri"/>
      <family val="2"/>
      <scheme val="minor"/>
    </font>
    <font>
      <b/>
      <sz val="20"/>
      <color rgb="FF007EB5"/>
      <name val="Arial"/>
      <family val="2"/>
    </font>
  </fonts>
  <fills count="29">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rgb="FFCC99FF"/>
        <bgColor indexed="64"/>
      </patternFill>
    </fill>
    <fill>
      <patternFill patternType="solid">
        <fgColor theme="2" tint="-0.249977111117893"/>
        <bgColor indexed="64"/>
      </patternFill>
    </fill>
    <fill>
      <patternFill patternType="solid">
        <fgColor rgb="FFFF66FF"/>
        <bgColor indexed="64"/>
      </patternFill>
    </fill>
    <fill>
      <patternFill patternType="solid">
        <fgColor theme="2" tint="-9.9978637043366805E-2"/>
        <bgColor indexed="64"/>
      </patternFill>
    </fill>
    <fill>
      <patternFill patternType="solid">
        <fgColor rgb="FFF7F7F7"/>
        <bgColor indexed="64"/>
      </patternFill>
    </fill>
    <fill>
      <patternFill patternType="solid">
        <fgColor theme="6"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right/>
      <top/>
      <bottom style="mediumDashed">
        <color rgb="FFD8D8D8"/>
      </bottom>
      <diagonal/>
    </border>
    <border>
      <left/>
      <right/>
      <top/>
      <bottom style="medium">
        <color rgb="FF000000"/>
      </bottom>
      <diagonal/>
    </border>
    <border>
      <left/>
      <right style="thick">
        <color rgb="FFFFFFFF"/>
      </right>
      <top/>
      <bottom style="medium">
        <color rgb="FFD8D8D8"/>
      </bottom>
      <diagonal/>
    </border>
    <border>
      <left/>
      <right style="thick">
        <color rgb="FFFFFFFF"/>
      </right>
      <top/>
      <bottom/>
      <diagonal/>
    </border>
    <border>
      <left/>
      <right/>
      <top/>
      <bottom style="medium">
        <color rgb="FFD8D8D8"/>
      </bottom>
      <diagonal/>
    </border>
    <border>
      <left style="thick">
        <color rgb="FFFFFFFF"/>
      </left>
      <right/>
      <top/>
      <bottom/>
      <diagonal/>
    </border>
    <border>
      <left style="thick">
        <color rgb="FFFFFFFF"/>
      </left>
      <right/>
      <top/>
      <bottom style="medium">
        <color rgb="FFD8D8D8"/>
      </bottom>
      <diagonal/>
    </border>
  </borders>
  <cellStyleXfs count="37">
    <xf numFmtId="0" fontId="0" fillId="0" borderId="0"/>
    <xf numFmtId="0" fontId="2" fillId="0" borderId="0" applyNumberFormat="0" applyFill="0" applyBorder="0" applyAlignment="0" applyProtection="0"/>
    <xf numFmtId="0" fontId="6" fillId="0" borderId="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43" fontId="13" fillId="0" borderId="0" applyFont="0" applyFill="0" applyBorder="0" applyAlignment="0" applyProtection="0"/>
    <xf numFmtId="9" fontId="13" fillId="0" borderId="0" applyFont="0" applyFill="0" applyBorder="0" applyAlignment="0" applyProtection="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0" fontId="23" fillId="0" borderId="0" applyNumberFormat="0" applyProtection="0">
      <alignment vertical="top" wrapText="1"/>
    </xf>
    <xf numFmtId="0" fontId="24" fillId="0" borderId="20" applyNumberFormat="0" applyProtection="0">
      <alignment horizontal="left" wrapText="1"/>
    </xf>
    <xf numFmtId="0" fontId="23" fillId="0" borderId="21" applyNumberFormat="0" applyFont="0" applyFill="0" applyProtection="0">
      <alignment wrapText="1"/>
    </xf>
    <xf numFmtId="0" fontId="24" fillId="0" borderId="22" applyNumberFormat="0" applyFill="0" applyProtection="0">
      <alignment wrapText="1"/>
    </xf>
    <xf numFmtId="0" fontId="6" fillId="0" borderId="5">
      <alignment wrapText="1"/>
    </xf>
    <xf numFmtId="0" fontId="6" fillId="0" borderId="4">
      <alignment wrapText="1"/>
    </xf>
    <xf numFmtId="0" fontId="7" fillId="0" borderId="3">
      <alignment wrapText="1"/>
    </xf>
    <xf numFmtId="0" fontId="7" fillId="0" borderId="2">
      <alignment wrapText="1"/>
    </xf>
    <xf numFmtId="0" fontId="6" fillId="0" borderId="0"/>
    <xf numFmtId="0" fontId="10" fillId="0" borderId="0">
      <alignment horizontal="left"/>
    </xf>
    <xf numFmtId="9" fontId="6" fillId="0" borderId="0" applyFont="0" applyFill="0" applyBorder="0" applyAlignment="0" applyProtection="0"/>
    <xf numFmtId="0" fontId="13" fillId="0" borderId="0"/>
    <xf numFmtId="0" fontId="6" fillId="0" borderId="0"/>
    <xf numFmtId="0" fontId="13" fillId="0" borderId="0"/>
    <xf numFmtId="0" fontId="6" fillId="0" borderId="4">
      <alignment wrapText="1"/>
    </xf>
    <xf numFmtId="0" fontId="6" fillId="0" borderId="0"/>
    <xf numFmtId="0" fontId="6" fillId="0" borderId="5">
      <alignment wrapText="1"/>
    </xf>
    <xf numFmtId="0" fontId="7" fillId="0" borderId="2">
      <alignment wrapText="1"/>
    </xf>
    <xf numFmtId="0" fontId="7" fillId="0" borderId="3">
      <alignment wrapText="1"/>
    </xf>
    <xf numFmtId="0" fontId="10" fillId="0" borderId="0">
      <alignment horizontal="left"/>
    </xf>
  </cellStyleXfs>
  <cellXfs count="293">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3" borderId="0" xfId="0" applyFill="1"/>
    <xf numFmtId="0" fontId="0" fillId="4" borderId="0" xfId="0" applyFill="1"/>
    <xf numFmtId="0" fontId="0" fillId="2" borderId="0" xfId="0" applyFill="1"/>
    <xf numFmtId="0" fontId="4" fillId="8" borderId="1" xfId="0" applyFont="1" applyFill="1" applyBorder="1" applyAlignment="1">
      <alignment horizontal="center" wrapText="1"/>
    </xf>
    <xf numFmtId="0" fontId="4" fillId="9" borderId="1" xfId="0" applyFont="1" applyFill="1" applyBorder="1" applyAlignment="1">
      <alignment horizontal="center" wrapText="1"/>
    </xf>
    <xf numFmtId="0" fontId="4" fillId="10" borderId="1" xfId="0" applyFont="1" applyFill="1" applyBorder="1" applyAlignment="1">
      <alignment horizontal="left" vertical="center" wrapText="1"/>
    </xf>
    <xf numFmtId="0" fontId="0" fillId="0" borderId="1" xfId="0" applyBorder="1"/>
    <xf numFmtId="0" fontId="5" fillId="0" borderId="1" xfId="0" applyFont="1" applyBorder="1" applyAlignment="1">
      <alignment horizontal="right" vertical="center" wrapText="1"/>
    </xf>
    <xf numFmtId="0" fontId="0" fillId="11" borderId="1" xfId="0" applyFill="1" applyBorder="1"/>
    <xf numFmtId="0" fontId="5" fillId="10" borderId="1" xfId="0" applyFont="1" applyFill="1" applyBorder="1" applyAlignment="1">
      <alignment horizontal="left" vertical="center" wrapText="1" indent="1"/>
    </xf>
    <xf numFmtId="0" fontId="5" fillId="10" borderId="1" xfId="0" applyFont="1" applyFill="1" applyBorder="1" applyAlignment="1">
      <alignment horizontal="left" vertical="center" wrapText="1" indent="2"/>
    </xf>
    <xf numFmtId="0" fontId="5" fillId="11" borderId="1" xfId="0" applyFont="1" applyFill="1" applyBorder="1" applyAlignment="1">
      <alignment horizontal="right" vertical="center" wrapText="1"/>
    </xf>
    <xf numFmtId="0" fontId="5"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2"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1" fillId="0" borderId="0" xfId="0" applyFont="1" applyAlignment="1">
      <alignment wrapText="1"/>
    </xf>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1" fillId="13" borderId="0" xfId="0" applyFont="1" applyFill="1"/>
    <xf numFmtId="0" fontId="1" fillId="13" borderId="0" xfId="0" applyFont="1" applyFill="1" applyAlignment="1">
      <alignment horizontal="right"/>
    </xf>
    <xf numFmtId="0" fontId="1" fillId="13" borderId="0" xfId="0" applyFont="1" applyFill="1" applyAlignment="1">
      <alignment horizontal="right" wrapText="1"/>
    </xf>
    <xf numFmtId="0" fontId="1" fillId="13" borderId="0" xfId="0" applyFont="1" applyFill="1" applyAlignment="1">
      <alignment horizontal="left"/>
    </xf>
    <xf numFmtId="0" fontId="14" fillId="0" borderId="0" xfId="0" applyFont="1"/>
    <xf numFmtId="0" fontId="15" fillId="0" borderId="0" xfId="0" applyFont="1"/>
    <xf numFmtId="0" fontId="16" fillId="0" borderId="6" xfId="0" applyFont="1" applyBorder="1" applyAlignment="1">
      <alignment horizontal="left"/>
    </xf>
    <xf numFmtId="0" fontId="16" fillId="0" borderId="6" xfId="0" applyFont="1" applyBorder="1" applyAlignment="1">
      <alignment horizontal="centerContinuous"/>
    </xf>
    <xf numFmtId="0" fontId="16" fillId="0" borderId="7" xfId="0" applyFont="1" applyBorder="1" applyAlignment="1">
      <alignment horizontal="centerContinuous"/>
    </xf>
    <xf numFmtId="0" fontId="16" fillId="0" borderId="7" xfId="0" applyFont="1" applyBorder="1" applyAlignment="1">
      <alignment horizontal="right"/>
    </xf>
    <xf numFmtId="170" fontId="16" fillId="0" borderId="8" xfId="0" applyNumberFormat="1" applyFont="1" applyBorder="1" applyAlignment="1">
      <alignment horizontal="right"/>
    </xf>
    <xf numFmtId="0" fontId="16" fillId="0" borderId="9" xfId="0" applyFont="1" applyBorder="1" applyAlignment="1">
      <alignment horizontal="right"/>
    </xf>
    <xf numFmtId="0" fontId="16" fillId="0" borderId="9" xfId="0" applyFont="1" applyBorder="1" applyAlignment="1">
      <alignment horizontal="right" wrapText="1"/>
    </xf>
    <xf numFmtId="0" fontId="16" fillId="0" borderId="0" xfId="0" applyFont="1" applyAlignment="1">
      <alignment horizontal="right"/>
    </xf>
    <xf numFmtId="0" fontId="16" fillId="0" borderId="0" xfId="0" applyFont="1" applyAlignment="1">
      <alignment horizontal="right" wrapText="1"/>
    </xf>
    <xf numFmtId="170" fontId="16" fillId="0" borderId="10" xfId="0" applyNumberFormat="1" applyFont="1" applyBorder="1" applyAlignment="1">
      <alignment horizontal="right" wrapText="1"/>
    </xf>
    <xf numFmtId="0" fontId="16" fillId="0" borderId="9" xfId="0" applyFont="1" applyBorder="1"/>
    <xf numFmtId="0" fontId="16" fillId="14" borderId="9" xfId="0" applyFont="1" applyFill="1" applyBorder="1"/>
    <xf numFmtId="0" fontId="17" fillId="0" borderId="0" xfId="0" applyFont="1"/>
    <xf numFmtId="0" fontId="16" fillId="0" borderId="0" xfId="0" applyFont="1"/>
    <xf numFmtId="170" fontId="16" fillId="0" borderId="10" xfId="0" applyNumberFormat="1" applyFont="1" applyBorder="1"/>
    <xf numFmtId="0" fontId="16" fillId="0" borderId="11" xfId="0" applyFont="1" applyBorder="1"/>
    <xf numFmtId="0" fontId="16" fillId="0" borderId="11" xfId="0" applyFont="1" applyBorder="1" applyAlignment="1">
      <alignment horizontal="right"/>
    </xf>
    <xf numFmtId="0" fontId="16" fillId="0" borderId="12" xfId="0" applyFont="1" applyBorder="1" applyAlignment="1">
      <alignment horizontal="right"/>
    </xf>
    <xf numFmtId="0" fontId="16" fillId="0" borderId="12" xfId="0" applyFont="1" applyBorder="1"/>
    <xf numFmtId="170" fontId="16" fillId="0" borderId="13" xfId="0" applyNumberFormat="1" applyFont="1" applyBorder="1"/>
    <xf numFmtId="0" fontId="0" fillId="0" borderId="9" xfId="0" applyBorder="1"/>
    <xf numFmtId="3" fontId="17" fillId="0" borderId="9" xfId="9" applyNumberFormat="1" applyFont="1" applyFill="1" applyBorder="1" applyAlignment="1"/>
    <xf numFmtId="3" fontId="17" fillId="15" borderId="0" xfId="9" applyNumberFormat="1" applyFont="1" applyFill="1" applyBorder="1" applyAlignment="1"/>
    <xf numFmtId="164" fontId="17" fillId="15" borderId="0" xfId="10" applyNumberFormat="1" applyFont="1" applyFill="1" applyBorder="1" applyAlignment="1"/>
    <xf numFmtId="3" fontId="17" fillId="16" borderId="0" xfId="9" applyNumberFormat="1" applyFont="1" applyFill="1" applyBorder="1" applyAlignment="1"/>
    <xf numFmtId="171" fontId="17" fillId="0" borderId="0" xfId="9" applyNumberFormat="1" applyFont="1" applyFill="1" applyBorder="1" applyAlignment="1"/>
    <xf numFmtId="170" fontId="17" fillId="0" borderId="10" xfId="9" applyNumberFormat="1" applyFont="1" applyFill="1" applyBorder="1" applyAlignment="1"/>
    <xf numFmtId="3" fontId="17" fillId="17" borderId="0" xfId="9" applyNumberFormat="1" applyFont="1" applyFill="1" applyBorder="1" applyAlignment="1"/>
    <xf numFmtId="164" fontId="17" fillId="17" borderId="0" xfId="10" applyNumberFormat="1" applyFont="1" applyFill="1" applyBorder="1" applyAlignment="1"/>
    <xf numFmtId="3" fontId="17" fillId="0" borderId="0" xfId="9" applyNumberFormat="1" applyFont="1" applyFill="1" applyBorder="1" applyAlignment="1"/>
    <xf numFmtId="164" fontId="17" fillId="0" borderId="0" xfId="10" applyNumberFormat="1" applyFont="1" applyFill="1" applyBorder="1" applyAlignment="1"/>
    <xf numFmtId="170" fontId="17" fillId="0" borderId="0" xfId="9" applyNumberFormat="1" applyFont="1" applyFill="1" applyBorder="1" applyAlignment="1"/>
    <xf numFmtId="3" fontId="0" fillId="0" borderId="0" xfId="0" applyNumberFormat="1"/>
    <xf numFmtId="3" fontId="17" fillId="0" borderId="0" xfId="0" applyNumberFormat="1" applyFont="1" applyAlignment="1">
      <alignment vertical="top"/>
    </xf>
    <xf numFmtId="0" fontId="0" fillId="18" borderId="0" xfId="0" applyFill="1"/>
    <xf numFmtId="164" fontId="0" fillId="0" borderId="0" xfId="0" applyNumberFormat="1"/>
    <xf numFmtId="1" fontId="17" fillId="0" borderId="0" xfId="10" applyNumberFormat="1" applyFont="1" applyFill="1" applyBorder="1" applyAlignment="1"/>
    <xf numFmtId="0" fontId="17" fillId="0" borderId="9" xfId="0" applyFont="1" applyBorder="1"/>
    <xf numFmtId="164" fontId="17" fillId="0" borderId="0" xfId="9" applyNumberFormat="1" applyFont="1" applyFill="1" applyBorder="1" applyAlignment="1"/>
    <xf numFmtId="3" fontId="17" fillId="12" borderId="0" xfId="9" applyNumberFormat="1" applyFont="1" applyFill="1" applyBorder="1" applyAlignment="1"/>
    <xf numFmtId="164" fontId="17" fillId="16" borderId="0" xfId="10" applyNumberFormat="1" applyFont="1" applyFill="1" applyBorder="1" applyAlignment="1"/>
    <xf numFmtId="3" fontId="0" fillId="12" borderId="0" xfId="0" applyNumberFormat="1" applyFill="1"/>
    <xf numFmtId="164" fontId="0" fillId="12" borderId="0" xfId="0" applyNumberFormat="1" applyFill="1"/>
    <xf numFmtId="164" fontId="17" fillId="12" borderId="0" xfId="10" applyNumberFormat="1" applyFont="1" applyFill="1" applyBorder="1" applyAlignment="1"/>
    <xf numFmtId="3" fontId="17" fillId="0" borderId="0" xfId="10" applyNumberFormat="1" applyFont="1" applyFill="1" applyBorder="1" applyAlignment="1"/>
    <xf numFmtId="3" fontId="17" fillId="0" borderId="0" xfId="9" applyNumberFormat="1" applyFont="1" applyBorder="1" applyAlignment="1"/>
    <xf numFmtId="164" fontId="17" fillId="0" borderId="0" xfId="10" applyNumberFormat="1" applyFont="1" applyBorder="1" applyAlignment="1"/>
    <xf numFmtId="3" fontId="16" fillId="0" borderId="11" xfId="9" applyNumberFormat="1" applyFont="1" applyFill="1" applyBorder="1" applyAlignment="1">
      <alignment horizontal="right"/>
    </xf>
    <xf numFmtId="3" fontId="16" fillId="0" borderId="12" xfId="9" applyNumberFormat="1" applyFont="1" applyFill="1" applyBorder="1" applyAlignment="1">
      <alignment horizontal="right"/>
    </xf>
    <xf numFmtId="164" fontId="16" fillId="0" borderId="12" xfId="10" applyNumberFormat="1" applyFont="1" applyFill="1" applyBorder="1" applyAlignment="1"/>
    <xf numFmtId="3" fontId="16" fillId="0" borderId="12" xfId="9" applyNumberFormat="1" applyFont="1" applyBorder="1" applyAlignment="1"/>
    <xf numFmtId="171" fontId="16" fillId="0" borderId="12" xfId="9" applyNumberFormat="1" applyFont="1" applyFill="1" applyBorder="1" applyAlignment="1"/>
    <xf numFmtId="170" fontId="16" fillId="0" borderId="13" xfId="9" applyNumberFormat="1" applyFont="1" applyFill="1" applyBorder="1" applyAlignment="1"/>
    <xf numFmtId="165" fontId="17" fillId="15" borderId="0" xfId="9" applyNumberFormat="1" applyFont="1" applyFill="1" applyBorder="1" applyAlignment="1"/>
    <xf numFmtId="3" fontId="17" fillId="19" borderId="0" xfId="9" applyNumberFormat="1" applyFont="1" applyFill="1" applyBorder="1" applyAlignment="1"/>
    <xf numFmtId="165" fontId="17" fillId="19" borderId="0" xfId="9" applyNumberFormat="1" applyFont="1" applyFill="1" applyBorder="1" applyAlignment="1"/>
    <xf numFmtId="165" fontId="17" fillId="12" borderId="0" xfId="9" applyNumberFormat="1" applyFont="1" applyFill="1" applyBorder="1" applyAlignment="1"/>
    <xf numFmtId="165" fontId="17" fillId="17" borderId="0" xfId="9" applyNumberFormat="1" applyFont="1" applyFill="1" applyBorder="1" applyAlignment="1"/>
    <xf numFmtId="3" fontId="16" fillId="0" borderId="12" xfId="9" applyNumberFormat="1" applyFont="1" applyBorder="1" applyAlignment="1">
      <alignment horizontal="right"/>
    </xf>
    <xf numFmtId="170" fontId="17" fillId="12" borderId="10" xfId="9" applyNumberFormat="1" applyFont="1" applyFill="1" applyBorder="1" applyAlignment="1"/>
    <xf numFmtId="10" fontId="0" fillId="0" borderId="0" xfId="0" applyNumberFormat="1"/>
    <xf numFmtId="3" fontId="17" fillId="20" borderId="0" xfId="9" applyNumberFormat="1" applyFont="1" applyFill="1" applyBorder="1" applyAlignment="1"/>
    <xf numFmtId="0" fontId="17" fillId="0" borderId="0" xfId="10" applyNumberFormat="1" applyFont="1" applyBorder="1" applyAlignment="1"/>
    <xf numFmtId="172" fontId="17" fillId="0" borderId="0" xfId="9" applyNumberFormat="1" applyFont="1" applyFill="1" applyBorder="1" applyAlignment="1"/>
    <xf numFmtId="164" fontId="17" fillId="16" borderId="0" xfId="0" applyNumberFormat="1" applyFont="1" applyFill="1"/>
    <xf numFmtId="171" fontId="0" fillId="0" borderId="0" xfId="0" applyNumberFormat="1"/>
    <xf numFmtId="170" fontId="0" fillId="0" borderId="10" xfId="0" applyNumberFormat="1" applyBorder="1"/>
    <xf numFmtId="0" fontId="17" fillId="0" borderId="14" xfId="0" applyFont="1" applyBorder="1"/>
    <xf numFmtId="164" fontId="17" fillId="12" borderId="0" xfId="0" applyNumberFormat="1" applyFont="1" applyFill="1"/>
    <xf numFmtId="164" fontId="17" fillId="0" borderId="0" xfId="0" applyNumberFormat="1" applyFont="1"/>
    <xf numFmtId="0" fontId="0" fillId="0" borderId="14" xfId="0" applyBorder="1"/>
    <xf numFmtId="0" fontId="0" fillId="0" borderId="15" xfId="0" applyBorder="1"/>
    <xf numFmtId="3" fontId="17" fillId="0" borderId="16" xfId="9" applyNumberFormat="1" applyFont="1" applyFill="1" applyBorder="1" applyAlignment="1"/>
    <xf numFmtId="3" fontId="17" fillId="12" borderId="16" xfId="9" applyNumberFormat="1" applyFont="1" applyFill="1" applyBorder="1" applyAlignment="1"/>
    <xf numFmtId="164" fontId="17"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7" fillId="0" borderId="0" xfId="9" applyNumberFormat="1" applyFont="1" applyBorder="1" applyAlignment="1"/>
    <xf numFmtId="0" fontId="0" fillId="0" borderId="6" xfId="0" applyBorder="1" applyAlignment="1">
      <alignment horizontal="right"/>
    </xf>
    <xf numFmtId="0" fontId="17"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7" fillId="21" borderId="15" xfId="9" applyNumberFormat="1" applyFont="1" applyFill="1" applyBorder="1" applyAlignment="1">
      <alignment horizontal="right"/>
    </xf>
    <xf numFmtId="0" fontId="17" fillId="0" borderId="16" xfId="9" applyNumberFormat="1" applyFont="1" applyBorder="1" applyAlignment="1">
      <alignment horizontal="right"/>
    </xf>
    <xf numFmtId="0" fontId="17"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6" fillId="0" borderId="11" xfId="0" applyFont="1" applyBorder="1" applyAlignment="1">
      <alignment horizontal="right" wrapText="1"/>
    </xf>
    <xf numFmtId="0" fontId="16" fillId="0" borderId="12" xfId="0" applyFont="1" applyBorder="1" applyAlignment="1">
      <alignment horizontal="center" wrapText="1"/>
    </xf>
    <xf numFmtId="0" fontId="16" fillId="0" borderId="13" xfId="0" applyFont="1" applyBorder="1" applyAlignment="1">
      <alignment horizontal="right" wrapText="1"/>
    </xf>
    <xf numFmtId="0" fontId="16"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6" fillId="0" borderId="9" xfId="0" applyFont="1" applyBorder="1" applyAlignment="1">
      <alignment horizontal="center"/>
    </xf>
    <xf numFmtId="165" fontId="16" fillId="0" borderId="0" xfId="0" applyNumberFormat="1" applyFont="1" applyAlignment="1">
      <alignment horizontal="center"/>
    </xf>
    <xf numFmtId="164" fontId="16"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6"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1"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5" fillId="0" borderId="0" xfId="1" applyFont="1" applyAlignment="1" applyProtection="1"/>
    <xf numFmtId="11" fontId="0" fillId="0" borderId="0" xfId="0" applyNumberFormat="1"/>
    <xf numFmtId="0" fontId="1" fillId="4" borderId="0" xfId="0" applyFont="1" applyFill="1"/>
    <xf numFmtId="0" fontId="1" fillId="22" borderId="0" xfId="0" applyFont="1" applyFill="1"/>
    <xf numFmtId="0" fontId="0" fillId="22" borderId="0" xfId="0" applyFill="1"/>
    <xf numFmtId="0" fontId="26" fillId="0" borderId="0" xfId="1" applyFont="1"/>
    <xf numFmtId="0" fontId="9" fillId="0" borderId="0" xfId="0" applyFont="1"/>
    <xf numFmtId="0" fontId="6" fillId="0" borderId="0" xfId="2"/>
    <xf numFmtId="0" fontId="11" fillId="0" borderId="0" xfId="2" applyFont="1"/>
    <xf numFmtId="0" fontId="9" fillId="0" borderId="0" xfId="2" applyFont="1"/>
    <xf numFmtId="0" fontId="28" fillId="0" borderId="0" xfId="2" applyFont="1" applyAlignment="1">
      <alignment horizontal="right"/>
    </xf>
    <xf numFmtId="0" fontId="8" fillId="0" borderId="0" xfId="2" applyFont="1"/>
    <xf numFmtId="0" fontId="0" fillId="12" borderId="1" xfId="0" applyFill="1" applyBorder="1"/>
    <xf numFmtId="177" fontId="0" fillId="0" borderId="0" xfId="9" applyNumberFormat="1" applyFont="1"/>
    <xf numFmtId="176" fontId="0" fillId="12" borderId="0" xfId="0" applyNumberFormat="1" applyFill="1" applyAlignment="1">
      <alignment horizontal="right"/>
    </xf>
    <xf numFmtId="0" fontId="5" fillId="12" borderId="1" xfId="0" applyFont="1" applyFill="1" applyBorder="1" applyAlignment="1">
      <alignment horizontal="right" vertical="center" wrapText="1"/>
    </xf>
    <xf numFmtId="0" fontId="27" fillId="0" borderId="0" xfId="2" applyFont="1"/>
    <xf numFmtId="9" fontId="0" fillId="0" borderId="0" xfId="10" applyFont="1"/>
    <xf numFmtId="177" fontId="0" fillId="0" borderId="0" xfId="0" applyNumberFormat="1"/>
    <xf numFmtId="0" fontId="11" fillId="0" borderId="0" xfId="2" applyFont="1" applyAlignment="1">
      <alignment horizontal="left"/>
    </xf>
    <xf numFmtId="0" fontId="6" fillId="0" borderId="0" xfId="32"/>
    <xf numFmtId="0" fontId="7" fillId="0" borderId="2" xfId="34" applyAlignment="1"/>
    <xf numFmtId="0" fontId="29" fillId="0" borderId="0" xfId="36" applyFont="1">
      <alignment horizontal="left"/>
    </xf>
    <xf numFmtId="0" fontId="11" fillId="0" borderId="0" xfId="32" applyFont="1"/>
    <xf numFmtId="0" fontId="28" fillId="0" borderId="2" xfId="34" applyFont="1" applyAlignment="1"/>
    <xf numFmtId="0" fontId="28" fillId="0" borderId="2" xfId="34" applyFont="1" applyAlignment="1">
      <alignment horizontal="right"/>
    </xf>
    <xf numFmtId="0" fontId="28" fillId="0" borderId="3" xfId="35" applyFont="1" applyAlignment="1"/>
    <xf numFmtId="0" fontId="11" fillId="0" borderId="4" xfId="31" applyFont="1" applyAlignment="1"/>
    <xf numFmtId="4" fontId="11" fillId="0" borderId="4" xfId="31" applyNumberFormat="1" applyFont="1" applyAlignment="1">
      <alignment horizontal="right"/>
    </xf>
    <xf numFmtId="164" fontId="11" fillId="0" borderId="4" xfId="31" applyNumberFormat="1" applyFont="1" applyAlignment="1">
      <alignment horizontal="right"/>
    </xf>
    <xf numFmtId="0" fontId="11" fillId="0" borderId="5" xfId="2" applyFont="1" applyBorder="1"/>
    <xf numFmtId="3" fontId="11" fillId="0" borderId="4" xfId="31" applyNumberFormat="1" applyFont="1" applyAlignment="1">
      <alignment horizontal="right"/>
    </xf>
    <xf numFmtId="169" fontId="11" fillId="0" borderId="4" xfId="31" applyNumberFormat="1" applyFont="1" applyAlignment="1">
      <alignment horizontal="right"/>
    </xf>
    <xf numFmtId="4" fontId="0" fillId="23" borderId="0" xfId="0" applyNumberFormat="1" applyFill="1" applyAlignment="1">
      <alignment horizontal="right"/>
    </xf>
    <xf numFmtId="0" fontId="0" fillId="23" borderId="0" xfId="0" applyFill="1"/>
    <xf numFmtId="177" fontId="0" fillId="23" borderId="0" xfId="9" applyNumberFormat="1" applyFont="1" applyFill="1"/>
    <xf numFmtId="0" fontId="0" fillId="24" borderId="0" xfId="0" applyFill="1"/>
    <xf numFmtId="9" fontId="0" fillId="23" borderId="0" xfId="10" applyFont="1" applyFill="1"/>
    <xf numFmtId="0" fontId="0" fillId="25" borderId="0" xfId="0" applyFill="1"/>
    <xf numFmtId="0" fontId="0" fillId="26" borderId="0" xfId="0" applyFill="1"/>
    <xf numFmtId="9" fontId="0" fillId="2" borderId="0" xfId="10" applyFont="1" applyFill="1"/>
    <xf numFmtId="9" fontId="0" fillId="25" borderId="0" xfId="10" applyFont="1" applyFill="1"/>
    <xf numFmtId="0" fontId="31" fillId="0" borderId="23" xfId="0" applyFont="1" applyBorder="1" applyAlignment="1">
      <alignment horizontal="left" vertical="center" wrapText="1"/>
    </xf>
    <xf numFmtId="3" fontId="2" fillId="7" borderId="23" xfId="1" applyNumberFormat="1" applyFill="1" applyBorder="1" applyAlignment="1">
      <alignment horizontal="right" vertical="center" wrapText="1"/>
    </xf>
    <xf numFmtId="0" fontId="2" fillId="7" borderId="23" xfId="1" applyFill="1" applyBorder="1" applyAlignment="1">
      <alignment horizontal="right" vertical="center" wrapText="1"/>
    </xf>
    <xf numFmtId="0" fontId="5" fillId="7" borderId="23" xfId="0" applyFont="1" applyFill="1" applyBorder="1" applyAlignment="1">
      <alignment horizontal="right" vertical="center" wrapText="1"/>
    </xf>
    <xf numFmtId="3" fontId="2" fillId="27" borderId="23" xfId="1" applyNumberFormat="1" applyFill="1" applyBorder="1" applyAlignment="1">
      <alignment horizontal="right" vertical="center" wrapText="1"/>
    </xf>
    <xf numFmtId="0" fontId="32" fillId="0" borderId="0" xfId="0" applyFont="1" applyAlignment="1">
      <alignment horizontal="left" vertical="center" wrapText="1"/>
    </xf>
    <xf numFmtId="0" fontId="32" fillId="0" borderId="23" xfId="0" applyFont="1" applyBorder="1" applyAlignment="1">
      <alignment horizontal="left" vertical="center" wrapText="1"/>
    </xf>
    <xf numFmtId="0" fontId="2" fillId="27" borderId="23" xfId="1" applyFill="1" applyBorder="1" applyAlignment="1">
      <alignment horizontal="right" vertical="center" wrapText="1"/>
    </xf>
    <xf numFmtId="0" fontId="30" fillId="0" borderId="23" xfId="0" applyFont="1" applyBorder="1" applyAlignment="1">
      <alignment horizontal="left" vertical="center" wrapText="1"/>
    </xf>
    <xf numFmtId="0" fontId="5" fillId="27" borderId="23" xfId="0" applyFont="1" applyFill="1" applyBorder="1" applyAlignment="1">
      <alignment horizontal="right" vertical="center" wrapText="1"/>
    </xf>
    <xf numFmtId="0" fontId="32" fillId="0" borderId="24" xfId="0" applyFont="1" applyBorder="1" applyAlignment="1">
      <alignment horizontal="left" vertical="center" wrapText="1"/>
    </xf>
    <xf numFmtId="0" fontId="30" fillId="0" borderId="24" xfId="0" applyFont="1" applyBorder="1" applyAlignment="1">
      <alignment horizontal="left" vertical="center" wrapText="1"/>
    </xf>
    <xf numFmtId="0" fontId="5" fillId="7" borderId="24" xfId="0" applyFont="1" applyFill="1" applyBorder="1" applyAlignment="1">
      <alignment horizontal="right" vertical="center" wrapText="1"/>
    </xf>
    <xf numFmtId="3" fontId="2" fillId="7" borderId="24" xfId="1" applyNumberFormat="1" applyFill="1" applyBorder="1" applyAlignment="1">
      <alignment horizontal="right" vertical="center" wrapText="1"/>
    </xf>
    <xf numFmtId="0" fontId="2" fillId="7" borderId="24" xfId="1" applyFill="1" applyBorder="1" applyAlignment="1">
      <alignment horizontal="right" vertical="center" wrapText="1"/>
    </xf>
    <xf numFmtId="0" fontId="2" fillId="27" borderId="24" xfId="1" applyFill="1" applyBorder="1" applyAlignment="1">
      <alignment horizontal="right" vertical="center" wrapText="1"/>
    </xf>
    <xf numFmtId="0" fontId="5" fillId="27" borderId="24" xfId="0" applyFont="1" applyFill="1" applyBorder="1" applyAlignment="1">
      <alignment horizontal="right" vertical="center" wrapText="1"/>
    </xf>
    <xf numFmtId="3" fontId="2" fillId="27" borderId="24" xfId="1" applyNumberFormat="1" applyFill="1" applyBorder="1" applyAlignment="1">
      <alignment horizontal="right" vertical="center" wrapText="1"/>
    </xf>
    <xf numFmtId="0" fontId="0" fillId="0" borderId="2" xfId="0" applyBorder="1"/>
    <xf numFmtId="0" fontId="33" fillId="0" borderId="2" xfId="0" applyFont="1" applyBorder="1" applyAlignment="1">
      <alignment horizontal="right" wrapText="1"/>
    </xf>
    <xf numFmtId="0" fontId="33" fillId="27" borderId="2" xfId="0" applyFont="1" applyFill="1" applyBorder="1" applyAlignment="1">
      <alignment horizontal="right" wrapText="1"/>
    </xf>
    <xf numFmtId="3" fontId="0" fillId="28" borderId="0" xfId="0" applyNumberFormat="1" applyFill="1" applyAlignment="1">
      <alignment horizontal="right"/>
    </xf>
    <xf numFmtId="0" fontId="0" fillId="28" borderId="0" xfId="0" applyFill="1" applyAlignment="1">
      <alignment horizontal="right"/>
    </xf>
    <xf numFmtId="3" fontId="0" fillId="12" borderId="0" xfId="0" applyNumberFormat="1" applyFill="1" applyAlignment="1">
      <alignment horizontal="right"/>
    </xf>
    <xf numFmtId="3" fontId="2" fillId="0" borderId="23" xfId="1" applyNumberFormat="1" applyFill="1" applyBorder="1" applyAlignment="1">
      <alignment horizontal="right" vertical="center" wrapText="1"/>
    </xf>
    <xf numFmtId="0" fontId="5" fillId="0" borderId="23" xfId="0" applyFont="1" applyBorder="1" applyAlignment="1">
      <alignment horizontal="right" vertical="center" wrapText="1"/>
    </xf>
    <xf numFmtId="0" fontId="2" fillId="0" borderId="23" xfId="1" applyFill="1" applyBorder="1" applyAlignment="1">
      <alignment horizontal="right" vertical="center" wrapText="1"/>
    </xf>
    <xf numFmtId="0" fontId="5" fillId="0" borderId="24" xfId="0" applyFont="1" applyBorder="1" applyAlignment="1">
      <alignment horizontal="right" vertical="center" wrapText="1"/>
    </xf>
    <xf numFmtId="3" fontId="2" fillId="0" borderId="24" xfId="1" applyNumberFormat="1" applyFill="1" applyBorder="1" applyAlignment="1">
      <alignment horizontal="right" vertical="center" wrapText="1"/>
    </xf>
    <xf numFmtId="0" fontId="34" fillId="0" borderId="0" xfId="0" applyFont="1" applyAlignment="1">
      <alignment horizontal="left" vertical="top" wrapText="1"/>
    </xf>
    <xf numFmtId="3" fontId="34" fillId="0" borderId="0" xfId="0" applyNumberFormat="1" applyFont="1" applyAlignment="1">
      <alignment horizontal="right" vertical="top" wrapText="1"/>
    </xf>
    <xf numFmtId="8" fontId="34" fillId="0" borderId="0" xfId="0" applyNumberFormat="1" applyFont="1" applyAlignment="1">
      <alignment horizontal="right" vertical="top" wrapText="1"/>
    </xf>
    <xf numFmtId="3" fontId="35" fillId="0" borderId="0" xfId="0" applyNumberFormat="1" applyFont="1"/>
    <xf numFmtId="3" fontId="36" fillId="0" borderId="0" xfId="0" applyNumberFormat="1" applyFont="1"/>
    <xf numFmtId="4" fontId="35" fillId="0" borderId="0" xfId="0" applyNumberFormat="1" applyFont="1"/>
    <xf numFmtId="4" fontId="36" fillId="0" borderId="0" xfId="0" applyNumberFormat="1" applyFont="1"/>
    <xf numFmtId="1" fontId="37" fillId="0" borderId="0" xfId="0" applyNumberFormat="1" applyFont="1"/>
    <xf numFmtId="4" fontId="37" fillId="0" borderId="0" xfId="0" applyNumberFormat="1" applyFont="1"/>
    <xf numFmtId="0" fontId="0" fillId="12" borderId="0" xfId="0" applyFill="1"/>
    <xf numFmtId="0" fontId="0" fillId="0" borderId="23" xfId="0" applyBorder="1"/>
    <xf numFmtId="0" fontId="38" fillId="0" borderId="0" xfId="0" applyFont="1" applyAlignment="1">
      <alignment horizontal="left" vertical="center" wrapText="1"/>
    </xf>
    <xf numFmtId="0" fontId="3" fillId="5" borderId="1" xfId="0" applyFont="1" applyFill="1" applyBorder="1" applyAlignment="1">
      <alignment horizontal="center" wrapText="1"/>
    </xf>
    <xf numFmtId="0" fontId="3" fillId="6" borderId="1" xfId="0" applyFont="1" applyFill="1" applyBorder="1" applyAlignment="1">
      <alignment horizontal="center" wrapText="1"/>
    </xf>
    <xf numFmtId="0" fontId="4" fillId="7" borderId="1" xfId="0" applyFont="1" applyFill="1" applyBorder="1" applyAlignment="1">
      <alignment horizontal="center" wrapText="1"/>
    </xf>
    <xf numFmtId="0" fontId="32" fillId="0" borderId="0" xfId="0" applyFont="1" applyAlignment="1">
      <alignment horizontal="left" vertical="center" wrapText="1"/>
    </xf>
    <xf numFmtId="0" fontId="4" fillId="0" borderId="0" xfId="0" applyFont="1" applyAlignment="1">
      <alignment horizontal="left" wrapText="1"/>
    </xf>
    <xf numFmtId="0" fontId="4" fillId="0" borderId="26" xfId="0" applyFont="1" applyBorder="1" applyAlignment="1">
      <alignment horizontal="left" wrapText="1"/>
    </xf>
    <xf numFmtId="0" fontId="4" fillId="0" borderId="27" xfId="0" applyFont="1" applyBorder="1" applyAlignment="1">
      <alignment horizontal="left" wrapText="1"/>
    </xf>
    <xf numFmtId="0" fontId="4" fillId="0" borderId="25" xfId="0" applyFont="1" applyBorder="1" applyAlignment="1">
      <alignment horizontal="left" wrapText="1"/>
    </xf>
    <xf numFmtId="0" fontId="4" fillId="0" borderId="28" xfId="0" applyFont="1" applyBorder="1" applyAlignment="1">
      <alignment horizontal="left" wrapText="1"/>
    </xf>
    <xf numFmtId="0" fontId="4" fillId="0" borderId="29" xfId="0" applyFont="1" applyBorder="1" applyAlignment="1">
      <alignment horizontal="left" wrapText="1"/>
    </xf>
    <xf numFmtId="0" fontId="33" fillId="0" borderId="0" xfId="0" applyFont="1" applyAlignment="1">
      <alignment horizontal="right" wrapText="1"/>
    </xf>
    <xf numFmtId="0" fontId="33" fillId="0" borderId="2" xfId="0" applyFont="1" applyBorder="1" applyAlignment="1">
      <alignment horizontal="right" wrapText="1"/>
    </xf>
    <xf numFmtId="0" fontId="32" fillId="0" borderId="2" xfId="0" applyFont="1" applyBorder="1" applyAlignment="1">
      <alignment horizontal="right" wrapText="1"/>
    </xf>
    <xf numFmtId="0" fontId="0" fillId="0" borderId="0" xfId="0"/>
    <xf numFmtId="0" fontId="6" fillId="0" borderId="0" xfId="2"/>
    <xf numFmtId="0" fontId="11" fillId="0" borderId="5" xfId="33" applyFont="1" applyAlignment="1"/>
    <xf numFmtId="0" fontId="6" fillId="0" borderId="5" xfId="2" applyBorder="1"/>
    <xf numFmtId="0" fontId="11" fillId="0" borderId="0" xfId="2" applyFont="1"/>
  </cellXfs>
  <cellStyles count="37">
    <cellStyle name="Body: normal cell" xfId="7" xr:uid="{00000000-0005-0000-0000-000000000000}"/>
    <cellStyle name="Body: normal cell 2" xfId="15" xr:uid="{00000000-0005-0000-0000-000001000000}"/>
    <cellStyle name="Body: normal cell 2 2" xfId="31" xr:uid="{D1FE2E30-B1FC-481B-BE3D-09B590B78790}"/>
    <cellStyle name="Body: normal cell 3" xfId="22" xr:uid="{B1293A1F-F4C6-4A3E-BD91-9A34733FCCAD}"/>
    <cellStyle name="Comma" xfId="9" builtinId="3"/>
    <cellStyle name="Font: Calibri, 9pt regular" xfId="3" xr:uid="{00000000-0005-0000-0000-000003000000}"/>
    <cellStyle name="Font: Calibri, 9pt regular 2" xfId="11" xr:uid="{00000000-0005-0000-0000-000004000000}"/>
    <cellStyle name="Font: Calibri, 9pt regular 2 2" xfId="32" xr:uid="{273FFB9A-635C-481F-B917-E0F5D2D4C1A0}"/>
    <cellStyle name="Font: Calibri, 9pt regular 3" xfId="25" xr:uid="{8475CEE1-2C32-49A6-8FA4-42C33F4120AF}"/>
    <cellStyle name="Footnotes: all except top row" xfId="17" xr:uid="{00000000-0005-0000-0000-000005000000}"/>
    <cellStyle name="Footnotes: top row" xfId="8" xr:uid="{00000000-0005-0000-0000-000006000000}"/>
    <cellStyle name="Footnotes: top row 2" xfId="16" xr:uid="{00000000-0005-0000-0000-000007000000}"/>
    <cellStyle name="Footnotes: top row 2 2" xfId="33" xr:uid="{C078E2A6-F48A-4B2F-98AB-C95F058ED1A5}"/>
    <cellStyle name="Footnotes: top row 3" xfId="21" xr:uid="{8A775C82-5C61-4D7B-A6D8-70CEAAAC375B}"/>
    <cellStyle name="Header: bottom row" xfId="4" xr:uid="{00000000-0005-0000-0000-000008000000}"/>
    <cellStyle name="Header: bottom row 2" xfId="12" xr:uid="{00000000-0005-0000-0000-000009000000}"/>
    <cellStyle name="Header: bottom row 2 2" xfId="34" xr:uid="{DA5B4D03-0D24-46E5-AD61-7A4EA198A6CA}"/>
    <cellStyle name="Header: bottom row 3" xfId="24" xr:uid="{AE126B05-B4CF-4974-9AFE-DDCD45802937}"/>
    <cellStyle name="Header: top rows" xfId="18" xr:uid="{00000000-0005-0000-0000-00000A000000}"/>
    <cellStyle name="Hyperlink" xfId="1" builtinId="8"/>
    <cellStyle name="Normal" xfId="0" builtinId="0"/>
    <cellStyle name="Normal 2" xfId="2" xr:uid="{00000000-0005-0000-0000-00000D000000}"/>
    <cellStyle name="Normal 3" xfId="30" xr:uid="{AC580BE3-4547-48E9-99FD-938AB06B9F6E}"/>
    <cellStyle name="Normal 4" xfId="29" xr:uid="{DEF297B8-1C43-46DE-9267-A0FE6F009557}"/>
    <cellStyle name="Normal 5" xfId="28" xr:uid="{745BDA17-13E3-4571-908A-E0B9276F5358}"/>
    <cellStyle name="Parent row" xfId="6" xr:uid="{00000000-0005-0000-0000-00000E000000}"/>
    <cellStyle name="Parent row 2" xfId="14" xr:uid="{00000000-0005-0000-0000-00000F000000}"/>
    <cellStyle name="Parent row 2 2" xfId="35" xr:uid="{FB6159C2-3816-462C-9C7E-597FA8726819}"/>
    <cellStyle name="Parent row 3" xfId="23" xr:uid="{331FC99C-93DD-42D6-8CB1-F9333C05A143}"/>
    <cellStyle name="Percent" xfId="10" builtinId="5"/>
    <cellStyle name="Percent 2" xfId="27" xr:uid="{9E1DDFDA-DFF4-4D40-BF83-8294F9197DDF}"/>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 name="Table title 2 2" xfId="36" xr:uid="{4DA32883-3F28-49DD-A335-06D63994080A}"/>
    <cellStyle name="Table title 3" xfId="26" xr:uid="{CE97C44B-4CC0-45E6-AB97-7B8144BE6342}"/>
  </cellStyles>
  <dxfs count="23">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colors>
    <mruColors>
      <color rgb="FFFF66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Structure" Target="richData/rdrichvaluestructure.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gif"/></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reet.es.anl.gov/" TargetMode="External"/><Relationship Id="rId2" Type="http://schemas.openxmlformats.org/officeDocument/2006/relationships/hyperlink" Target="https://www.uranium.info/unit_conversion_table.php" TargetMode="External"/><Relationship Id="rId1" Type="http://schemas.openxmlformats.org/officeDocument/2006/relationships/hyperlink" Target="https://www.eia.gov/outlooks/aeo/tables_ref.php"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17" Type="http://schemas.openxmlformats.org/officeDocument/2006/relationships/hyperlink" Target="https://www.eia.gov/dnav/pet/hist/LeafHandler.ashx?n=PET&amp;s=MOLIMUS1&amp;f=A" TargetMode="External"/><Relationship Id="rId671" Type="http://schemas.openxmlformats.org/officeDocument/2006/relationships/hyperlink" Target="https://www.eia.gov/dnav/pet/hist/LeafHandler.ashx?n=PET&amp;s=MKJSCUS1&amp;f=A" TargetMode="External"/><Relationship Id="rId769" Type="http://schemas.openxmlformats.org/officeDocument/2006/relationships/hyperlink" Target="https://www.eia.gov/dnav/pet/hist/LeafHandler.ashx?n=PET&amp;s=MCKSCUS1&amp;f=A" TargetMode="External"/><Relationship Id="rId21" Type="http://schemas.openxmlformats.org/officeDocument/2006/relationships/hyperlink" Target="https://www.eia.gov/dnav/pet/hist/LeafHandler.ashx?n=PET&amp;s=MNGFPUS1&amp;f=A" TargetMode="External"/><Relationship Id="rId324" Type="http://schemas.openxmlformats.org/officeDocument/2006/relationships/hyperlink" Target="https://www.eia.gov/dnav/pet/hist/LeafHandler.ashx?n=PET&amp;s=MRXSC_NUS_1&amp;f=A" TargetMode="External"/><Relationship Id="rId531" Type="http://schemas.openxmlformats.org/officeDocument/2006/relationships/hyperlink" Target="https://www.eia.gov/dnav/pet/hist/LeafHandler.ashx?n=PET&amp;s=M_EPOOOH_VPP_NUS_MBBL&amp;f=A" TargetMode="External"/><Relationship Id="rId629" Type="http://schemas.openxmlformats.org/officeDocument/2006/relationships/hyperlink" Target="https://www.eia.gov/dnav/pet/hist/LeafHandler.ashx?n=PET&amp;s=MBAUPUS1&amp;f=A" TargetMode="External"/><Relationship Id="rId170" Type="http://schemas.openxmlformats.org/officeDocument/2006/relationships/hyperlink" Target="https://www.eia.gov/dnav/pet/hist/LeafHandler.ashx?n=PET&amp;s=M_EPOORDB_SCG_NUS_MBBL&amp;f=A" TargetMode="External"/><Relationship Id="rId268" Type="http://schemas.openxmlformats.org/officeDocument/2006/relationships/hyperlink" Target="https://www.eia.gov/dnav/pet/hist/LeafHandler.ashx?n=PET&amp;s=MGAEXUS1&amp;f=A" TargetMode="External"/><Relationship Id="rId475" Type="http://schemas.openxmlformats.org/officeDocument/2006/relationships/hyperlink" Target="https://www.eia.gov/dnav/pet/hist/LeafHandler.ashx?n=PET&amp;s=M_EPLLNG_YNP_NUS_MBBL&amp;f=A" TargetMode="External"/><Relationship Id="rId682" Type="http://schemas.openxmlformats.org/officeDocument/2006/relationships/hyperlink" Target="https://www.eia.gov/dnav/pet/hist/LeafHandler.ashx?n=PET&amp;s=M_EPD0_YNP_NUS_MBBL&amp;f=A" TargetMode="External"/><Relationship Id="rId32" Type="http://schemas.openxmlformats.org/officeDocument/2006/relationships/hyperlink" Target="https://www.eia.gov/dnav/pet/hist/LeafHandler.ashx?n=PET&amp;s=M_EPL2_TVP_NUS_MBBL&amp;f=A" TargetMode="External"/><Relationship Id="rId128" Type="http://schemas.openxmlformats.org/officeDocument/2006/relationships/hyperlink" Target="https://www.eia.gov/dnav/pet/hist/LeafHandler.ashx?n=PET&amp;s=MOHRIUS1&amp;f=A" TargetMode="External"/><Relationship Id="rId335" Type="http://schemas.openxmlformats.org/officeDocument/2006/relationships/hyperlink" Target="https://www.eia.gov/dnav/pet/hist/LeafHandler.ashx?n=PET&amp;s=MPFIM_NUS-Z00_1&amp;f=A" TargetMode="External"/><Relationship Id="rId542" Type="http://schemas.openxmlformats.org/officeDocument/2006/relationships/hyperlink" Target="https://www.eia.gov/dnav/pet/hist/LeafHandler.ashx?n=PET&amp;s=M_EPOOR_VUA_NUS_MBBL&amp;f=A" TargetMode="External"/><Relationship Id="rId181" Type="http://schemas.openxmlformats.org/officeDocument/2006/relationships/hyperlink" Target="https://www.eia.gov/dnav/pet/hist/LeafHandler.ashx?n=PET&amp;s=M_EPOORDO_VPP_NUS_MBBL&amp;f=A" TargetMode="External"/><Relationship Id="rId402" Type="http://schemas.openxmlformats.org/officeDocument/2006/relationships/hyperlink" Target="https://www.eia.gov/dnav/pet/hist/LeafHandler.ashx?n=PET&amp;s=MTTIMUS1&amp;f=A" TargetMode="External"/><Relationship Id="rId279" Type="http://schemas.openxmlformats.org/officeDocument/2006/relationships/hyperlink" Target="https://www.eia.gov/dnav/pet/hist/LeafHandler.ashx?n=PET&amp;s=MKERPUS1&amp;f=A" TargetMode="External"/><Relationship Id="rId486" Type="http://schemas.openxmlformats.org/officeDocument/2006/relationships/hyperlink" Target="https://www.eia.gov/dnav/pet/hist/LeafHandler.ashx?n=PET&amp;s=M_EPLLCS_SAE_NUS_MBBL&amp;f=A" TargetMode="External"/><Relationship Id="rId693" Type="http://schemas.openxmlformats.org/officeDocument/2006/relationships/hyperlink" Target="https://www.eia.gov/dnav/pet/hist/LeafHandler.ashx?n=PET&amp;s=M_EPDXL0_VUA_NUS_1&amp;f=A" TargetMode="External"/><Relationship Id="rId707" Type="http://schemas.openxmlformats.org/officeDocument/2006/relationships/hyperlink" Target="https://www.eia.gov/dnav/pet/hist/LeafHandler.ashx?n=PET&amp;s=MDGRPUS1&amp;f=A" TargetMode="External"/><Relationship Id="rId43" Type="http://schemas.openxmlformats.org/officeDocument/2006/relationships/hyperlink" Target="https://www.eia.gov/dnav/pet/hist/LeafHandler.ashx?n=PET&amp;s=MENIMUS1&amp;f=A" TargetMode="External"/><Relationship Id="rId139" Type="http://schemas.openxmlformats.org/officeDocument/2006/relationships/hyperlink" Target="https://www.eia.gov/dnav/pet/hist/LeafHandler.ashx?n=PET&amp;s=M_EPOOXXFE_YIR_NUS_MBBL&amp;f=A" TargetMode="External"/><Relationship Id="rId346" Type="http://schemas.openxmlformats.org/officeDocument/2006/relationships/hyperlink" Target="https://www.eia.gov/dnav/pet/hist/LeafHandler.ashx?n=PET&amp;s=MOTRPUS1&amp;f=A" TargetMode="External"/><Relationship Id="rId553" Type="http://schemas.openxmlformats.org/officeDocument/2006/relationships/hyperlink" Target="https://www.eia.gov/dnav/pet/hist/LeafHandler.ashx?n=PET&amp;s=M_EPOOXE_EEX_NUS-Z00_MBBL&amp;f=A" TargetMode="External"/><Relationship Id="rId760" Type="http://schemas.openxmlformats.org/officeDocument/2006/relationships/hyperlink" Target="https://www.eia.gov/dnav/pet/hist/LeafHandler.ashx?n=PET&amp;s=MLUSTUS1&amp;f=A" TargetMode="External"/><Relationship Id="rId192" Type="http://schemas.openxmlformats.org/officeDocument/2006/relationships/hyperlink" Target="https://www.eia.gov/dnav/pet/hist/LeafHandler.ashx?n=PET&amp;s=M_EPOOOXH_VUA_NUS_MBBL&amp;f=A" TargetMode="External"/><Relationship Id="rId206" Type="http://schemas.openxmlformats.org/officeDocument/2006/relationships/hyperlink" Target="https://www.eia.gov/dnav/pet/hist/LeafHandler.ashx?n=PET&amp;s=MBCUA_NUS_1&amp;f=A" TargetMode="External"/><Relationship Id="rId413" Type="http://schemas.openxmlformats.org/officeDocument/2006/relationships/hyperlink" Target="https://www.eia.gov/dnav/pet/hist/LeafHandler.ashx?n=PET&amp;s=MCRSCUS1&amp;f=A" TargetMode="External"/><Relationship Id="rId497" Type="http://schemas.openxmlformats.org/officeDocument/2006/relationships/hyperlink" Target="https://www.eia.gov/dnav/pet/hist/LeafHandler.ashx?n=PET&amp;s=MPLRPUS1&amp;f=A" TargetMode="External"/><Relationship Id="rId620" Type="http://schemas.openxmlformats.org/officeDocument/2006/relationships/hyperlink" Target="https://www.eia.gov/dnav/pet/hist/LeafHandler.ashx?n=PET&amp;s=MO5SC_NUS_1&amp;f=A" TargetMode="External"/><Relationship Id="rId718" Type="http://schemas.openxmlformats.org/officeDocument/2006/relationships/hyperlink" Target="https://www.eia.gov/dnav/pet/hist/LeafHandler.ashx?n=PET&amp;s=MRESTUS1&amp;f=A" TargetMode="External"/><Relationship Id="rId357" Type="http://schemas.openxmlformats.org/officeDocument/2006/relationships/hyperlink" Target="https://www.eia.gov/dnav/pet/hist/LeafHandler.ashx?n=PET&amp;s=MNSSTUS1&amp;f=A" TargetMode="External"/><Relationship Id="rId54" Type="http://schemas.openxmlformats.org/officeDocument/2006/relationships/hyperlink" Target="https://www.eia.gov/dnav/pet/hist/LeafHandler.ashx?n=PET&amp;s=M_EPLLPA_VPP_NUS_MBBL&amp;f=A" TargetMode="External"/><Relationship Id="rId217" Type="http://schemas.openxmlformats.org/officeDocument/2006/relationships/hyperlink" Target="https://www.eia.gov/dnav/pet/hist/LeafHandler.ashx?n=PET&amp;s=MO1EX_NUS-Z00_1&amp;f=A" TargetMode="External"/><Relationship Id="rId564" Type="http://schemas.openxmlformats.org/officeDocument/2006/relationships/hyperlink" Target="https://www.eia.gov/dnav/pet/hist/LeafHandler.ashx?n=PET&amp;s=M_EPOORDB_YNP_NUS_MBBL&amp;f=A" TargetMode="External"/><Relationship Id="rId771" Type="http://schemas.openxmlformats.org/officeDocument/2006/relationships/hyperlink" Target="https://www.eia.gov/dnav/pet/hist/LeafHandler.ashx?n=PET&amp;s=MCKUPUS1&amp;f=A" TargetMode="External"/><Relationship Id="rId424" Type="http://schemas.openxmlformats.org/officeDocument/2006/relationships/hyperlink" Target="https://www.eia.gov/dnav/pet/hist/LeafHandler.ashx?n=PET&amp;s=MNGRIUS1&amp;f=A" TargetMode="External"/><Relationship Id="rId631" Type="http://schemas.openxmlformats.org/officeDocument/2006/relationships/hyperlink" Target="https://www.eia.gov/dnav/pet/hist/LeafHandler.ashx?n=PET&amp;s=M_EPP2_YNP_NUS_MBBL&amp;f=A" TargetMode="External"/><Relationship Id="rId729" Type="http://schemas.openxmlformats.org/officeDocument/2006/relationships/hyperlink" Target="https://www.eia.gov/dnav/pet/hist/LeafHandler.ashx?n=PET&amp;s=MRZSC_NUS_1&amp;f=A" TargetMode="External"/><Relationship Id="rId270" Type="http://schemas.openxmlformats.org/officeDocument/2006/relationships/hyperlink" Target="https://www.eia.gov/dnav/pet/hist/LeafHandler.ashx?n=PET&amp;s=MGASTUS1&amp;f=A" TargetMode="External"/><Relationship Id="rId65" Type="http://schemas.openxmlformats.org/officeDocument/2006/relationships/hyperlink" Target="https://www.eia.gov/dnav/pet/hist/LeafHandler.ashx?n=PET&amp;s=M_EPLLBAN_SAE_NUS_MBBL&amp;f=A" TargetMode="External"/><Relationship Id="rId130" Type="http://schemas.openxmlformats.org/officeDocument/2006/relationships/hyperlink" Target="https://www.eia.gov/dnav/pet/hist/LeafHandler.ashx?n=PET&amp;s=MOHUPUS1&amp;f=A" TargetMode="External"/><Relationship Id="rId368" Type="http://schemas.openxmlformats.org/officeDocument/2006/relationships/hyperlink" Target="https://www.eia.gov/dnav/pet/hist/LeafHandler.ashx?n=PET&amp;s=MWXUPUS1&amp;f=A" TargetMode="External"/><Relationship Id="rId575" Type="http://schemas.openxmlformats.org/officeDocument/2006/relationships/hyperlink" Target="https://www.eia.gov/dnav/pet/hist/LeafHandler.ashx?n=PET&amp;s=M_EPOORDO_SCG_NUS_MBBL&amp;f=A" TargetMode="External"/><Relationship Id="rId782" Type="http://schemas.openxmlformats.org/officeDocument/2006/relationships/hyperlink" Target="https://www.eia.gov/dnav/pet/hist/LeafHandler.ashx?n=PET&amp;s=MAPIMUS1&amp;f=A" TargetMode="External"/><Relationship Id="rId228" Type="http://schemas.openxmlformats.org/officeDocument/2006/relationships/hyperlink" Target="https://www.eia.gov/dnav/pet/hist/LeafHandler.ashx?n=PET&amp;s=MBAIMUS1&amp;f=A" TargetMode="External"/><Relationship Id="rId435" Type="http://schemas.openxmlformats.org/officeDocument/2006/relationships/hyperlink" Target="https://www.eia.gov/dnav/pet/hist/LeafHandler.ashx?n=PET&amp;s=M_EPL2_EEX_NUS-Z00_MBBL&amp;f=A" TargetMode="External"/><Relationship Id="rId642" Type="http://schemas.openxmlformats.org/officeDocument/2006/relationships/hyperlink" Target="https://www.eia.gov/dnav/pet/hist/LeafHandler.ashx?n=PET&amp;s=MGFUA_NUS_1&amp;f=A" TargetMode="External"/><Relationship Id="rId281" Type="http://schemas.openxmlformats.org/officeDocument/2006/relationships/hyperlink" Target="https://www.eia.gov/dnav/pet/hist/LeafHandler.ashx?n=PET&amp;s=MKESCUS1&amp;f=A" TargetMode="External"/><Relationship Id="rId502" Type="http://schemas.openxmlformats.org/officeDocument/2006/relationships/hyperlink" Target="https://www.eia.gov/dnav/pet/hist/LeafHandler.ashx?n=PET&amp;s=MBYRPUS1&amp;f=A" TargetMode="External"/><Relationship Id="rId76" Type="http://schemas.openxmlformats.org/officeDocument/2006/relationships/hyperlink" Target="https://www.eia.gov/dnav/pet/hist/LeafHandler.ashx?n=PET&amp;s=M_EPLLNG_FPF_NUS_MBBL&amp;f=A" TargetMode="External"/><Relationship Id="rId141" Type="http://schemas.openxmlformats.org/officeDocument/2006/relationships/hyperlink" Target="https://www.eia.gov/dnav/pet/hist/LeafHandler.ashx?n=PET&amp;s=M_EPOOXXFE_VPP_NUS_MBBL&amp;f=A" TargetMode="External"/><Relationship Id="rId379" Type="http://schemas.openxmlformats.org/officeDocument/2006/relationships/hyperlink" Target="https://www.eia.gov/dnav/pet/hist/LeafHandler.ashx?n=PET&amp;s=MCMEX_NUS-Z00_1&amp;f=A" TargetMode="External"/><Relationship Id="rId586" Type="http://schemas.openxmlformats.org/officeDocument/2006/relationships/hyperlink" Target="https://www.eia.gov/dnav/pet/hist/LeafHandler.ashx?n=PET&amp;s=M_EPOORO_VPP_NUS_MBBL&amp;f=A" TargetMode="External"/><Relationship Id="rId793" Type="http://schemas.openxmlformats.org/officeDocument/2006/relationships/hyperlink" Target="https://www.eia.gov/dnav/pet/hist/LeafHandler.ashx?n=PET&amp;s=MMSUPUS1&amp;f=A" TargetMode="External"/><Relationship Id="rId7" Type="http://schemas.openxmlformats.org/officeDocument/2006/relationships/hyperlink" Target="https://www.eia.gov/dnav/pet/hist/LeafHandler.ashx?n=PET&amp;s=MTTSCUS1&amp;f=A" TargetMode="External"/><Relationship Id="rId239" Type="http://schemas.openxmlformats.org/officeDocument/2006/relationships/hyperlink" Target="https://www.eia.gov/dnav/pet/hist/LeafHandler.ashx?n=PET&amp;s=MTPEXUS1&amp;f=A" TargetMode="External"/><Relationship Id="rId446" Type="http://schemas.openxmlformats.org/officeDocument/2006/relationships/hyperlink" Target="https://www.eia.gov/dnav/pet/hist/LeafHandler.ashx?n=PET&amp;s=M_EPLLPA_TVP_NUS_MBBL&amp;f=A" TargetMode="External"/><Relationship Id="rId653" Type="http://schemas.openxmlformats.org/officeDocument/2006/relationships/hyperlink" Target="https://www.eia.gov/dnav/pet/hist/LeafHandler.ashx?n=PET&amp;s=MGRSTUS1&amp;f=A" TargetMode="External"/><Relationship Id="rId292" Type="http://schemas.openxmlformats.org/officeDocument/2006/relationships/hyperlink" Target="https://www.eia.gov/dnav/pet/hist/LeafHandler.ashx?n=PET&amp;s=MDISTUS1&amp;f=A" TargetMode="External"/><Relationship Id="rId306" Type="http://schemas.openxmlformats.org/officeDocument/2006/relationships/hyperlink" Target="https://www.eia.gov/dnav/pet/hist/LeafHandler.ashx?n=PET&amp;s=MD1EX_NUS-Z00_1&amp;f=A" TargetMode="External"/><Relationship Id="rId87" Type="http://schemas.openxmlformats.org/officeDocument/2006/relationships/hyperlink" Target="https://www.eia.gov/dnav/pet/hist/LeafHandler.ashx?n=PET&amp;s=M_EPLLCS_SCG_NUS_MBBL&amp;f=A" TargetMode="External"/><Relationship Id="rId513" Type="http://schemas.openxmlformats.org/officeDocument/2006/relationships/hyperlink" Target="https://www.eia.gov/dnav/pet/hist/LeafHandler.ashx?n=PET&amp;s=M_EPOL_YNP_NUS_MBBL&amp;f=A" TargetMode="External"/><Relationship Id="rId597" Type="http://schemas.openxmlformats.org/officeDocument/2006/relationships/hyperlink" Target="https://www.eia.gov/dnav/pet/hist/LeafHandler.ashx?n=PET&amp;s=MUORIUS1&amp;f=A" TargetMode="External"/><Relationship Id="rId720" Type="http://schemas.openxmlformats.org/officeDocument/2006/relationships/hyperlink" Target="https://www.eia.gov/dnav/pet/hist/LeafHandler.ashx?n=PET&amp;s=MRXIMUS1&amp;f=A" TargetMode="External"/><Relationship Id="rId152" Type="http://schemas.openxmlformats.org/officeDocument/2006/relationships/hyperlink" Target="https://www.eia.gov/dnav/pet/hist/LeafHandler.ashx?n=PET&amp;s=MFEIMUS1&amp;f=A" TargetMode="External"/><Relationship Id="rId457" Type="http://schemas.openxmlformats.org/officeDocument/2006/relationships/hyperlink" Target="https://www.eia.gov/dnav/pet/hist/LeafHandler.ashx?n=PET&amp;s=MBUIM_NUS-Z00_1&amp;f=A" TargetMode="External"/><Relationship Id="rId664" Type="http://schemas.openxmlformats.org/officeDocument/2006/relationships/hyperlink" Target="https://www.eia.gov/dnav/pet/hist/LeafHandler.ashx?n=PET&amp;s=MGASCUS1&amp;f=A" TargetMode="External"/><Relationship Id="rId14" Type="http://schemas.openxmlformats.org/officeDocument/2006/relationships/hyperlink" Target="https://www.eia.gov/dnav/pet/hist/LeafHandler.ashx?n=PET&amp;s=MCRIMUS1&amp;f=A" TargetMode="External"/><Relationship Id="rId317" Type="http://schemas.openxmlformats.org/officeDocument/2006/relationships/hyperlink" Target="https://www.eia.gov/dnav/pet/hist/LeafHandler.ashx?n=PET&amp;s=MREIMUS1&amp;f=A" TargetMode="External"/><Relationship Id="rId524" Type="http://schemas.openxmlformats.org/officeDocument/2006/relationships/hyperlink" Target="https://www.eia.gov/dnav/pet/hist/LeafHandler.ashx?n=PET&amp;s=MOHSCUS1&amp;f=A" TargetMode="External"/><Relationship Id="rId731" Type="http://schemas.openxmlformats.org/officeDocument/2006/relationships/hyperlink" Target="https://www.eia.gov/dnav/pet/hist/LeafHandler.ashx?n=PET&amp;s=MPCRPUS1&amp;f=A" TargetMode="External"/><Relationship Id="rId98" Type="http://schemas.openxmlformats.org/officeDocument/2006/relationships/hyperlink" Target="https://www.eia.gov/dnav/pet/hist/LeafHandler.ashx?n=PET&amp;s=M_EPLLEY_VPP_NUS_MBBL&amp;f=A" TargetMode="External"/><Relationship Id="rId163" Type="http://schemas.openxmlformats.org/officeDocument/2006/relationships/hyperlink" Target="https://www.eia.gov/dnav/pet/hist/LeafHandler.ashx?n=PET&amp;s=M_EPOORXFE_YIR_NUS_MBBL&amp;f=A" TargetMode="External"/><Relationship Id="rId370" Type="http://schemas.openxmlformats.org/officeDocument/2006/relationships/hyperlink" Target="https://www.eia.gov/dnav/pet/hist/LeafHandler.ashx?n=PET&amp;s=MCKRPUS1&amp;f=A" TargetMode="External"/><Relationship Id="rId230" Type="http://schemas.openxmlformats.org/officeDocument/2006/relationships/hyperlink" Target="https://www.eia.gov/dnav/pet/hist/LeafHandler.ashx?n=PET&amp;s=MBARIUS1&amp;f=A" TargetMode="External"/><Relationship Id="rId468" Type="http://schemas.openxmlformats.org/officeDocument/2006/relationships/hyperlink" Target="https://www.eia.gov/dnav/pet/hist/LeafHandler.ashx?n=PET&amp;s=M_EPLLBAI_SCG_NUS_MBBL&amp;f=A" TargetMode="External"/><Relationship Id="rId675" Type="http://schemas.openxmlformats.org/officeDocument/2006/relationships/hyperlink" Target="https://www.eia.gov/dnav/pet/hist/LeafHandler.ashx?n=PET&amp;s=M_EPPK_YNP_NUS_MBBL&amp;f=A" TargetMode="External"/><Relationship Id="rId25" Type="http://schemas.openxmlformats.org/officeDocument/2006/relationships/hyperlink" Target="https://www.eia.gov/dnav/pet/hist/LeafHandler.ashx?n=PET&amp;s=MNGIMUS1&amp;f=A" TargetMode="External"/><Relationship Id="rId328" Type="http://schemas.openxmlformats.org/officeDocument/2006/relationships/hyperlink" Target="https://www.eia.gov/dnav/pet/hist/LeafHandler.ashx?n=PET&amp;s=MRYSC_NUS_1&amp;f=A" TargetMode="External"/><Relationship Id="rId535" Type="http://schemas.openxmlformats.org/officeDocument/2006/relationships/hyperlink" Target="https://www.eia.gov/dnav/pet/hist/LeafHandler.ashx?n=PET&amp;s=M_EPOOXXFE_SCG_NUS_MBBL&amp;f=A" TargetMode="External"/><Relationship Id="rId742" Type="http://schemas.openxmlformats.org/officeDocument/2006/relationships/hyperlink" Target="https://www.eia.gov/dnav/pet/hist/LeafHandler.ashx?n=PET&amp;s=MNFSTUS1&amp;f=A" TargetMode="External"/><Relationship Id="rId174" Type="http://schemas.openxmlformats.org/officeDocument/2006/relationships/hyperlink" Target="https://www.eia.gov/dnav/pet/hist/LeafHandler.ashx?n=PET&amp;s=M_EPOORDB_SAE_NUS_MBBL&amp;f=A" TargetMode="External"/><Relationship Id="rId381" Type="http://schemas.openxmlformats.org/officeDocument/2006/relationships/hyperlink" Target="https://www.eia.gov/dnav/pet/hist/LeafHandler.ashx?n=PET&amp;s=MCMST_NUS_1&amp;f=A" TargetMode="External"/><Relationship Id="rId602" Type="http://schemas.openxmlformats.org/officeDocument/2006/relationships/hyperlink" Target="https://www.eia.gov/dnav/pet/hist/LeafHandler.ashx?n=PET&amp;s=MBCIMUS1&amp;f=A" TargetMode="External"/><Relationship Id="rId241" Type="http://schemas.openxmlformats.org/officeDocument/2006/relationships/hyperlink" Target="https://www.eia.gov/dnav/pet/hist/LeafHandler.ashx?n=PET&amp;s=MTPSTUS1&amp;f=A" TargetMode="External"/><Relationship Id="rId479" Type="http://schemas.openxmlformats.org/officeDocument/2006/relationships/hyperlink" Target="https://www.eia.gov/dnav/pet/hist/LeafHandler.ashx?n=PET&amp;s=M_EPLLNG_EEX_NUS-Z00_MBBL&amp;f=A" TargetMode="External"/><Relationship Id="rId686" Type="http://schemas.openxmlformats.org/officeDocument/2006/relationships/hyperlink" Target="https://www.eia.gov/dnav/pet/hist/LeafHandler.ashx?n=PET&amp;s=MDISCUS1&amp;f=A" TargetMode="External"/><Relationship Id="rId36" Type="http://schemas.openxmlformats.org/officeDocument/2006/relationships/hyperlink" Target="https://www.eia.gov/dnav/pet/hist/LeafHandler.ashx?n=PET&amp;s=M_EPL2_SCG_NUS_MBBL&amp;f=A" TargetMode="External"/><Relationship Id="rId339" Type="http://schemas.openxmlformats.org/officeDocument/2006/relationships/hyperlink" Target="https://www.eia.gov/dnav/pet/hist/LeafHandler.ashx?n=PET&amp;s=MPCST_NUS_1&amp;f=A" TargetMode="External"/><Relationship Id="rId546" Type="http://schemas.openxmlformats.org/officeDocument/2006/relationships/hyperlink" Target="https://www.eia.gov/dnav/pet/hist/LeafHandler.ashx?n=PET&amp;s=M_EPOOR_VPP_NUS_MBBL&amp;f=A" TargetMode="External"/><Relationship Id="rId753" Type="http://schemas.openxmlformats.org/officeDocument/2006/relationships/hyperlink" Target="https://www.eia.gov/dnav/pet/hist/LeafHandler.ashx?n=PET&amp;s=MNSUPUS1&amp;f=A" TargetMode="External"/><Relationship Id="rId101" Type="http://schemas.openxmlformats.org/officeDocument/2006/relationships/hyperlink" Target="https://www.eia.gov/dnav/pet/hist/LeafHandler.ashx?n=PET&amp;s=MPLIMUS1&amp;f=A" TargetMode="External"/><Relationship Id="rId185" Type="http://schemas.openxmlformats.org/officeDocument/2006/relationships/hyperlink" Target="https://www.eia.gov/dnav/pet/hist/LeafHandler.ashx?n=PET&amp;s=M_EPOORO_VUA_NUS_MBBL&amp;f=A" TargetMode="External"/><Relationship Id="rId406" Type="http://schemas.openxmlformats.org/officeDocument/2006/relationships/hyperlink" Target="https://www.eia.gov/dnav/pet/hist/LeafHandler.ashx?n=PET&amp;s=MTTEXUS1&amp;f=A" TargetMode="External"/><Relationship Id="rId392" Type="http://schemas.openxmlformats.org/officeDocument/2006/relationships/hyperlink" Target="https://www.eia.gov/dnav/pet/hist/LeafHandler.ashx?n=PET&amp;s=MMSRPUS1&amp;f=A" TargetMode="External"/><Relationship Id="rId613" Type="http://schemas.openxmlformats.org/officeDocument/2006/relationships/hyperlink" Target="https://www.eia.gov/dnav/pet/hist/LeafHandler.ashx?n=PET&amp;s=MO1RI_NUS_1&amp;f=A" TargetMode="External"/><Relationship Id="rId697" Type="http://schemas.openxmlformats.org/officeDocument/2006/relationships/hyperlink" Target="https://www.eia.gov/dnav/pet/hist/LeafHandler.ashx?n=PET&amp;s=MD0ST_NUS_1&amp;f=A" TargetMode="External"/><Relationship Id="rId252" Type="http://schemas.openxmlformats.org/officeDocument/2006/relationships/hyperlink" Target="https://www.eia.gov/dnav/pet/hist/LeafHandler.ashx?n=PET&amp;s=MGRUA_NUS_1&amp;f=A" TargetMode="External"/><Relationship Id="rId47" Type="http://schemas.openxmlformats.org/officeDocument/2006/relationships/hyperlink" Target="https://www.eia.gov/dnav/pet/hist/LeafHandler.ashx?n=PET&amp;s=M_EPLLEA_SAE_NUS_MBBL&amp;f=A" TargetMode="External"/><Relationship Id="rId112" Type="http://schemas.openxmlformats.org/officeDocument/2006/relationships/hyperlink" Target="https://www.eia.gov/dnav/pet/hist/LeafHandler.ashx?n=PET&amp;s=M_EPLLBYI_SCG_NUS_MBBL&amp;f=A" TargetMode="External"/><Relationship Id="rId557" Type="http://schemas.openxmlformats.org/officeDocument/2006/relationships/hyperlink" Target="https://www.eia.gov/dnav/pet/hist/LeafHandler.ashx?n=PET&amp;s=M_EPOORXFE_IM0_NUS-Z00_MBBL&amp;f=A" TargetMode="External"/><Relationship Id="rId764" Type="http://schemas.openxmlformats.org/officeDocument/2006/relationships/hyperlink" Target="https://www.eia.gov/dnav/pet/hist/LeafHandler.ashx?n=PET&amp;s=MWXEXUS1&amp;f=A" TargetMode="External"/><Relationship Id="rId196" Type="http://schemas.openxmlformats.org/officeDocument/2006/relationships/hyperlink" Target="https://www.eia.gov/dnav/pet/hist/LeafHandler.ashx?n=PET&amp;s=M_EPOOOXH_SAE_NUS_MBBL&amp;f=A" TargetMode="External"/><Relationship Id="rId417" Type="http://schemas.openxmlformats.org/officeDocument/2006/relationships/hyperlink" Target="https://www.eia.gov/dnav/pet/hist/LeafHandler.ashx?n=PET&amp;s=MCRSTUS1&amp;f=A" TargetMode="External"/><Relationship Id="rId624" Type="http://schemas.openxmlformats.org/officeDocument/2006/relationships/hyperlink" Target="https://www.eia.gov/dnav/pet/hist/LeafHandler.ashx?n=PET&amp;s=MO5ST_NUS_1&amp;f=A" TargetMode="External"/><Relationship Id="rId263" Type="http://schemas.openxmlformats.org/officeDocument/2006/relationships/hyperlink" Target="https://www.eia.gov/dnav/pet/hist/LeafHandler.ashx?n=PET&amp;s=MG4UP_NUS_1&amp;f=A" TargetMode="External"/><Relationship Id="rId470" Type="http://schemas.openxmlformats.org/officeDocument/2006/relationships/hyperlink" Target="https://www.eia.gov/dnav/pet/hist/LeafHandler.ashx?n=PET&amp;s=M_EPLLBAI_EEX_NUS-Z00_1&amp;f=A" TargetMode="External"/><Relationship Id="rId58" Type="http://schemas.openxmlformats.org/officeDocument/2006/relationships/hyperlink" Target="https://www.eia.gov/dnav/pet/hist/LeafHandler.ashx?n=PET&amp;s=M_EPLLBAN_YNP_NUS_MBBL&amp;f=A" TargetMode="External"/><Relationship Id="rId123" Type="http://schemas.openxmlformats.org/officeDocument/2006/relationships/hyperlink" Target="https://www.eia.gov/dnav/pet/hist/LeafHandler.ashx?n=PET&amp;s=MOLSTUS1&amp;f=A" TargetMode="External"/><Relationship Id="rId330" Type="http://schemas.openxmlformats.org/officeDocument/2006/relationships/hyperlink" Target="https://www.eia.gov/dnav/pet/hist/LeafHandler.ashx?n=PET&amp;s=MRGRPUS1&amp;f=A" TargetMode="External"/><Relationship Id="rId568" Type="http://schemas.openxmlformats.org/officeDocument/2006/relationships/hyperlink" Target="https://www.eia.gov/dnav/pet/hist/LeafHandler.ashx?n=PET&amp;s=M_EPOORDB_YIR_NUS_MBBL&amp;f=A" TargetMode="External"/><Relationship Id="rId775" Type="http://schemas.openxmlformats.org/officeDocument/2006/relationships/hyperlink" Target="https://www.eia.gov/dnav/pet/hist/LeafHandler.ashx?n=PET&amp;s=MCMSC_NUS_1&amp;f=A" TargetMode="External"/><Relationship Id="rId428" Type="http://schemas.openxmlformats.org/officeDocument/2006/relationships/hyperlink" Target="https://www.eia.gov/dnav/pet/hist/LeafHandler.ashx?n=PET&amp;s=M_EPL2_FPF_NUS_MBBL&amp;f=A" TargetMode="External"/><Relationship Id="rId635" Type="http://schemas.openxmlformats.org/officeDocument/2006/relationships/hyperlink" Target="https://www.eia.gov/dnav/pet/hist/LeafHandler.ashx?n=PET&amp;s=MTPSCUS1&amp;f=A" TargetMode="External"/><Relationship Id="rId274" Type="http://schemas.openxmlformats.org/officeDocument/2006/relationships/hyperlink" Target="https://www.eia.gov/dnav/pet/hist/LeafHandler.ashx?n=PET&amp;s=MKJSCUS1&amp;f=A" TargetMode="External"/><Relationship Id="rId481" Type="http://schemas.openxmlformats.org/officeDocument/2006/relationships/hyperlink" Target="https://www.eia.gov/dnav/pet/hist/LeafHandler.ashx?n=PET&amp;s=M_EPLLNG_SAE_NUS_MBBL&amp;f=A" TargetMode="External"/><Relationship Id="rId702" Type="http://schemas.openxmlformats.org/officeDocument/2006/relationships/hyperlink" Target="https://www.eia.gov/dnav/pet/hist/LeafHandler.ashx?n=PET&amp;s=MD1SC_NUS_1&amp;f=A" TargetMode="External"/><Relationship Id="rId69" Type="http://schemas.openxmlformats.org/officeDocument/2006/relationships/hyperlink" Target="https://www.eia.gov/dnav/pet/hist/LeafHandler.ashx?n=PET&amp;s=MIIRPUS1&amp;f=A" TargetMode="External"/><Relationship Id="rId134" Type="http://schemas.openxmlformats.org/officeDocument/2006/relationships/hyperlink" Target="https://www.eia.gov/dnav/pet/hist/LeafHandler.ashx?n=PET&amp;s=M_EPOOOH_VPP_NUS_MBBL&amp;f=A" TargetMode="External"/><Relationship Id="rId579" Type="http://schemas.openxmlformats.org/officeDocument/2006/relationships/hyperlink" Target="https://www.eia.gov/dnav/pet/hist/LeafHandler.ashx?n=PET&amp;s=M_EPOORDO_SAE_NUS_MBBL&amp;f=A" TargetMode="External"/><Relationship Id="rId786" Type="http://schemas.openxmlformats.org/officeDocument/2006/relationships/hyperlink" Target="https://www.eia.gov/dnav/pet/hist/LeafHandler.ashx?n=PET&amp;s=MAPSTUS1&amp;f=A" TargetMode="External"/><Relationship Id="rId341" Type="http://schemas.openxmlformats.org/officeDocument/2006/relationships/hyperlink" Target="https://www.eia.gov/dnav/pet/hist/LeafHandler.ashx?n=PET&amp;s=MNFIMUS1&amp;f=A" TargetMode="External"/><Relationship Id="rId439" Type="http://schemas.openxmlformats.org/officeDocument/2006/relationships/hyperlink" Target="https://www.eia.gov/dnav/pet/hist/LeafHandler.ashx?n=PET&amp;s=MENRPUS1&amp;f=A" TargetMode="External"/><Relationship Id="rId646" Type="http://schemas.openxmlformats.org/officeDocument/2006/relationships/hyperlink" Target="https://www.eia.gov/dnav/pet/hist/LeafHandler.ashx?n=PET&amp;s=MGFSTUS1&amp;f=A" TargetMode="External"/><Relationship Id="rId201" Type="http://schemas.openxmlformats.org/officeDocument/2006/relationships/hyperlink" Target="https://www.eia.gov/dnav/pet/hist/LeafHandler.ashx?n=PET&amp;s=MUOEXUS1&amp;f=A" TargetMode="External"/><Relationship Id="rId285" Type="http://schemas.openxmlformats.org/officeDocument/2006/relationships/hyperlink" Target="https://www.eia.gov/dnav/pet/hist/LeafHandler.ashx?n=PET&amp;s=M_EPD0_YNP_NUS_MBBL&amp;f=A" TargetMode="External"/><Relationship Id="rId506" Type="http://schemas.openxmlformats.org/officeDocument/2006/relationships/hyperlink" Target="https://www.eia.gov/dnav/pet/hist/LeafHandler.ashx?n=PET&amp;s=M_EPLLBYN_SAE_NUS_MBBL&amp;f=A" TargetMode="External"/><Relationship Id="rId492" Type="http://schemas.openxmlformats.org/officeDocument/2006/relationships/hyperlink" Target="https://www.eia.gov/dnav/pet/hist/LeafHandler.ashx?n=PET&amp;s=MEYRPUS1&amp;f=A" TargetMode="External"/><Relationship Id="rId713" Type="http://schemas.openxmlformats.org/officeDocument/2006/relationships/hyperlink" Target="https://www.eia.gov/dnav/pet/hist/LeafHandler.ashx?n=PET&amp;s=MRERPUS1&amp;f=A" TargetMode="External"/><Relationship Id="rId145" Type="http://schemas.openxmlformats.org/officeDocument/2006/relationships/hyperlink" Target="https://www.eia.gov/dnav/pet/hist/LeafHandler.ashx?n=PET&amp;s=M_EPOOR_VUA_NUS_MBBL&amp;f=A" TargetMode="External"/><Relationship Id="rId352" Type="http://schemas.openxmlformats.org/officeDocument/2006/relationships/hyperlink" Target="https://www.eia.gov/dnav/pet/hist/LeafHandler.ashx?n=PET&amp;s=MNSRPUS1&amp;f=A" TargetMode="External"/><Relationship Id="rId212" Type="http://schemas.openxmlformats.org/officeDocument/2006/relationships/hyperlink" Target="https://www.eia.gov/dnav/pet/hist/LeafHandler.ashx?n=PET&amp;s=M_EPOBGR0_YNP_NUS_MBBL&amp;f=A" TargetMode="External"/><Relationship Id="rId657" Type="http://schemas.openxmlformats.org/officeDocument/2006/relationships/hyperlink" Target="https://www.eia.gov/dnav/pet/hist/LeafHandler.ashx?n=PET&amp;s=MG4UA_NUS_1&amp;f=A" TargetMode="External"/><Relationship Id="rId296" Type="http://schemas.openxmlformats.org/officeDocument/2006/relationships/hyperlink" Target="https://www.eia.gov/dnav/pet/hist/LeafHandler.ashx?n=PET&amp;s=M_EPDXL0_VUA_NUS_1&amp;f=A" TargetMode="External"/><Relationship Id="rId517" Type="http://schemas.openxmlformats.org/officeDocument/2006/relationships/hyperlink" Target="https://www.eia.gov/dnav/pet/hist/LeafHandler.ashx?n=PET&amp;s=MOLRIUS1&amp;f=A" TargetMode="External"/><Relationship Id="rId724" Type="http://schemas.openxmlformats.org/officeDocument/2006/relationships/hyperlink" Target="https://www.eia.gov/dnav/pet/hist/LeafHandler.ashx?n=PET&amp;s=MRYIMUS1&amp;f=A" TargetMode="External"/><Relationship Id="rId60" Type="http://schemas.openxmlformats.org/officeDocument/2006/relationships/hyperlink" Target="https://www.eia.gov/dnav/pet/hist/LeafHandler.ashx?n=PET&amp;s=MBUIM_NUS-Z00_1&amp;f=A" TargetMode="External"/><Relationship Id="rId156" Type="http://schemas.openxmlformats.org/officeDocument/2006/relationships/hyperlink" Target="https://www.eia.gov/dnav/pet/hist/LeafHandler.ashx?n=PET&amp;s=M_EPOOXE_EEX_NUS-Z00_MBBL&amp;f=A" TargetMode="External"/><Relationship Id="rId363" Type="http://schemas.openxmlformats.org/officeDocument/2006/relationships/hyperlink" Target="https://www.eia.gov/dnav/pet/hist/LeafHandler.ashx?n=PET&amp;s=MLUSTUS1&amp;f=A" TargetMode="External"/><Relationship Id="rId570" Type="http://schemas.openxmlformats.org/officeDocument/2006/relationships/hyperlink" Target="https://www.eia.gov/dnav/pet/hist/LeafHandler.ashx?n=PET&amp;s=M_EPOORDB_VPP_NUS_MBBL&amp;f=A" TargetMode="External"/><Relationship Id="rId223" Type="http://schemas.openxmlformats.org/officeDocument/2006/relationships/hyperlink" Target="https://www.eia.gov/dnav/pet/hist/LeafHandler.ashx?n=PET&amp;s=MO5SC_NUS_1&amp;f=A" TargetMode="External"/><Relationship Id="rId430" Type="http://schemas.openxmlformats.org/officeDocument/2006/relationships/hyperlink" Target="https://www.eia.gov/dnav/pet/hist/LeafHandler.ashx?n=PET&amp;s=M_EPL2_YNP_NUS_MBBL&amp;f=A" TargetMode="External"/><Relationship Id="rId668" Type="http://schemas.openxmlformats.org/officeDocument/2006/relationships/hyperlink" Target="https://www.eia.gov/dnav/pet/hist/LeafHandler.ashx?n=PET&amp;s=M_EPJK_YNP_NUS_MBBL&amp;f=A" TargetMode="External"/><Relationship Id="rId18" Type="http://schemas.openxmlformats.org/officeDocument/2006/relationships/hyperlink" Target="https://www.eia.gov/dnav/pet/hist/LeafHandler.ashx?n=PET&amp;s=MCREXUS1&amp;f=A" TargetMode="External"/><Relationship Id="rId528" Type="http://schemas.openxmlformats.org/officeDocument/2006/relationships/hyperlink" Target="https://www.eia.gov/dnav/pet/hist/LeafHandler.ashx?n=PET&amp;s=MOHSTUS1&amp;f=A" TargetMode="External"/><Relationship Id="rId735" Type="http://schemas.openxmlformats.org/officeDocument/2006/relationships/hyperlink" Target="https://www.eia.gov/dnav/pet/hist/LeafHandler.ashx?n=PET&amp;s=MPCUP_NUS_1&amp;f=A" TargetMode="External"/><Relationship Id="rId167" Type="http://schemas.openxmlformats.org/officeDocument/2006/relationships/hyperlink" Target="https://www.eia.gov/dnav/pet/hist/LeafHandler.ashx?n=PET&amp;s=M_EPOORDB_YNP_NUS_MBBL&amp;f=A" TargetMode="External"/><Relationship Id="rId374" Type="http://schemas.openxmlformats.org/officeDocument/2006/relationships/hyperlink" Target="https://www.eia.gov/dnav/pet/hist/LeafHandler.ashx?n=PET&amp;s=MCKUPUS1&amp;f=A" TargetMode="External"/><Relationship Id="rId581" Type="http://schemas.openxmlformats.org/officeDocument/2006/relationships/hyperlink" Target="https://www.eia.gov/dnav/pet/hist/LeafHandler.ashx?n=PET&amp;s=M_EPOORO_IM0_NUS-Z00_MBBL&amp;f=A" TargetMode="External"/><Relationship Id="rId71" Type="http://schemas.openxmlformats.org/officeDocument/2006/relationships/hyperlink" Target="https://www.eia.gov/dnav/pet/hist/LeafHandler.ashx?n=PET&amp;s=M_EPLLBAI_SCG_NUS_MBBL&amp;f=A" TargetMode="External"/><Relationship Id="rId234" Type="http://schemas.openxmlformats.org/officeDocument/2006/relationships/hyperlink" Target="https://www.eia.gov/dnav/pet/hist/LeafHandler.ashx?n=PET&amp;s=M_EPP2_YNP_NUS_MBBL&amp;f=A" TargetMode="External"/><Relationship Id="rId679" Type="http://schemas.openxmlformats.org/officeDocument/2006/relationships/hyperlink" Target="https://www.eia.gov/dnav/pet/hist/LeafHandler.ashx?n=PET&amp;s=MKEEXUS1&amp;f=A" TargetMode="External"/><Relationship Id="rId2" Type="http://schemas.openxmlformats.org/officeDocument/2006/relationships/hyperlink" Target="https://www.eia.gov/dnav/pet/hist/LeafHandler.ashx?n=PET&amp;s=M_EP00_TVP_NUS_MBBL&amp;f=A" TargetMode="External"/><Relationship Id="rId29" Type="http://schemas.openxmlformats.org/officeDocument/2006/relationships/hyperlink" Target="https://www.eia.gov/dnav/pet/hist/LeafHandler.ashx?n=PET&amp;s=MNGUPUS1&amp;f=A" TargetMode="External"/><Relationship Id="rId441" Type="http://schemas.openxmlformats.org/officeDocument/2006/relationships/hyperlink" Target="https://www.eia.gov/dnav/pet/hist/LeafHandler.ashx?n=PET&amp;s=M_EPLLEA_SCG_NUS_MBBL&amp;f=A" TargetMode="External"/><Relationship Id="rId539" Type="http://schemas.openxmlformats.org/officeDocument/2006/relationships/hyperlink" Target="https://www.eia.gov/dnav/pet/hist/LeafHandler.ashx?n=PET&amp;s=M_EPOOXXFE_SAE_NUS_MBBL&amp;f=A" TargetMode="External"/><Relationship Id="rId746" Type="http://schemas.openxmlformats.org/officeDocument/2006/relationships/hyperlink" Target="https://www.eia.gov/dnav/pet/hist/LeafHandler.ashx?n=PET&amp;s=MOTEXUS1&amp;f=A" TargetMode="External"/><Relationship Id="rId178" Type="http://schemas.openxmlformats.org/officeDocument/2006/relationships/hyperlink" Target="https://www.eia.gov/dnav/pet/hist/LeafHandler.ashx?n=PET&amp;s=M_EPOORDO_SCG_NUS_MBBL&amp;f=A" TargetMode="External"/><Relationship Id="rId301" Type="http://schemas.openxmlformats.org/officeDocument/2006/relationships/hyperlink" Target="https://www.eia.gov/dnav/pet/hist/LeafHandler.ashx?n=PET&amp;s=M_EPDM10_YNP_NUS_MBBL&amp;f=A" TargetMode="External"/><Relationship Id="rId82" Type="http://schemas.openxmlformats.org/officeDocument/2006/relationships/hyperlink" Target="https://www.eia.gov/dnav/pet/hist/LeafHandler.ashx?n=PET&amp;s=M_EPLLNG_EEX_NUS-Z00_MBBL&amp;f=A" TargetMode="External"/><Relationship Id="rId385" Type="http://schemas.openxmlformats.org/officeDocument/2006/relationships/hyperlink" Target="https://www.eia.gov/dnav/pet/hist/LeafHandler.ashx?n=PET&amp;s=MAPIMUS1&amp;f=A" TargetMode="External"/><Relationship Id="rId592" Type="http://schemas.openxmlformats.org/officeDocument/2006/relationships/hyperlink" Target="https://www.eia.gov/dnav/pet/hist/LeafHandler.ashx?n=PET&amp;s=M_EPOOOXH_VPP_NUS_MBBL&amp;f=A" TargetMode="External"/><Relationship Id="rId606" Type="http://schemas.openxmlformats.org/officeDocument/2006/relationships/hyperlink" Target="https://www.eia.gov/dnav/pet/hist/LeafHandler.ashx?n=PET&amp;s=MBCEXUS1&amp;f=A" TargetMode="External"/><Relationship Id="rId245" Type="http://schemas.openxmlformats.org/officeDocument/2006/relationships/hyperlink" Target="https://www.eia.gov/dnav/pet/hist/LeafHandler.ashx?n=PET&amp;s=MGFUA_NUS_1&amp;f=A" TargetMode="External"/><Relationship Id="rId452" Type="http://schemas.openxmlformats.org/officeDocument/2006/relationships/hyperlink" Target="https://www.eia.gov/dnav/pet/hist/LeafHandler.ashx?n=PET&amp;s=M_EPLLPA_SAE_NUS_MBBL&amp;f=A" TargetMode="External"/><Relationship Id="rId105" Type="http://schemas.openxmlformats.org/officeDocument/2006/relationships/hyperlink" Target="https://www.eia.gov/dnav/pet/hist/LeafHandler.ashx?n=PET&amp;s=MBYRPUS1&amp;f=A" TargetMode="External"/><Relationship Id="rId312" Type="http://schemas.openxmlformats.org/officeDocument/2006/relationships/hyperlink" Target="https://www.eia.gov/dnav/pet/hist/LeafHandler.ashx?n=PET&amp;s=MDGSCUS1&amp;f=A" TargetMode="External"/><Relationship Id="rId757" Type="http://schemas.openxmlformats.org/officeDocument/2006/relationships/hyperlink" Target="https://www.eia.gov/dnav/pet/hist/LeafHandler.ashx?n=PET&amp;s=MLUSCUS1&amp;f=A" TargetMode="External"/><Relationship Id="rId93" Type="http://schemas.openxmlformats.org/officeDocument/2006/relationships/hyperlink" Target="https://www.eia.gov/dnav/pet/hist/LeafHandler.ashx?n=PET&amp;s=M_EPLOLE_VPP_NUS_MBBL&amp;f=A" TargetMode="External"/><Relationship Id="rId189" Type="http://schemas.openxmlformats.org/officeDocument/2006/relationships/hyperlink" Target="https://www.eia.gov/dnav/pet/hist/LeafHandler.ashx?n=PET&amp;s=M_EPOORO_VPP_NUS_MBBL&amp;f=A" TargetMode="External"/><Relationship Id="rId396" Type="http://schemas.openxmlformats.org/officeDocument/2006/relationships/hyperlink" Target="https://www.eia.gov/dnav/pet/hist/LeafHandler.ashx?n=PET&amp;s=MMSUPUS1&amp;f=A" TargetMode="External"/><Relationship Id="rId617" Type="http://schemas.openxmlformats.org/officeDocument/2006/relationships/hyperlink" Target="https://www.eia.gov/dnav/pet/hist/LeafHandler.ashx?n=PET&amp;s=M_EPOBGC0_YNP_NUS_MBBL&amp;f=A" TargetMode="External"/><Relationship Id="rId256" Type="http://schemas.openxmlformats.org/officeDocument/2006/relationships/hyperlink" Target="https://www.eia.gov/dnav/pet/hist/LeafHandler.ashx?n=PET&amp;s=MGRSTUS1&amp;f=A" TargetMode="External"/><Relationship Id="rId463" Type="http://schemas.openxmlformats.org/officeDocument/2006/relationships/hyperlink" Target="https://www.eia.gov/dnav/pet/hist/LeafHandler.ashx?n=PET&amp;s=M_EPLLBAI_FPF_NUS_MBBL&amp;f=A" TargetMode="External"/><Relationship Id="rId670" Type="http://schemas.openxmlformats.org/officeDocument/2006/relationships/hyperlink" Target="https://www.eia.gov/dnav/pet/hist/LeafHandler.ashx?n=PET&amp;s=MKJIMUS1&amp;f=A" TargetMode="External"/><Relationship Id="rId116" Type="http://schemas.openxmlformats.org/officeDocument/2006/relationships/hyperlink" Target="https://www.eia.gov/dnav/pet/hist/LeafHandler.ashx?n=PET&amp;s=M_EPOL_YNP_NUS_MBBL&amp;f=A" TargetMode="External"/><Relationship Id="rId323" Type="http://schemas.openxmlformats.org/officeDocument/2006/relationships/hyperlink" Target="https://www.eia.gov/dnav/pet/hist/LeafHandler.ashx?n=PET&amp;s=MRXIMUS1&amp;f=A" TargetMode="External"/><Relationship Id="rId530" Type="http://schemas.openxmlformats.org/officeDocument/2006/relationships/hyperlink" Target="https://www.eia.gov/dnav/pet/hist/LeafHandler.ashx?n=PET&amp;s=M_EPOOOH_YIR_NUS_MBBL&amp;f=A" TargetMode="External"/><Relationship Id="rId768" Type="http://schemas.openxmlformats.org/officeDocument/2006/relationships/hyperlink" Target="https://www.eia.gov/dnav/pet/hist/LeafHandler.ashx?n=PET&amp;s=MCKIMUS1&amp;f=A" TargetMode="External"/><Relationship Id="rId20" Type="http://schemas.openxmlformats.org/officeDocument/2006/relationships/hyperlink" Target="https://www.eia.gov/dnav/pet/hist/LeafHandler.ashx?n=PET&amp;s=MCRSTUS1&amp;f=A" TargetMode="External"/><Relationship Id="rId628" Type="http://schemas.openxmlformats.org/officeDocument/2006/relationships/hyperlink" Target="https://www.eia.gov/dnav/pet/hist/LeafHandler.ashx?n=PET&amp;s=MBAEXUS1&amp;f=A" TargetMode="External"/><Relationship Id="rId267" Type="http://schemas.openxmlformats.org/officeDocument/2006/relationships/hyperlink" Target="https://www.eia.gov/dnav/pet/hist/LeafHandler.ashx?n=PET&amp;s=MGASCUS1&amp;f=A" TargetMode="External"/><Relationship Id="rId474" Type="http://schemas.openxmlformats.org/officeDocument/2006/relationships/hyperlink" Target="https://www.eia.gov/dnav/pet/hist/LeafHandler.ashx?n=PET&amp;s=M_EPLLNG_TVP_NUS_MBBL&amp;f=A" TargetMode="External"/><Relationship Id="rId127" Type="http://schemas.openxmlformats.org/officeDocument/2006/relationships/hyperlink" Target="https://www.eia.gov/dnav/pet/hist/LeafHandler.ashx?n=PET&amp;s=MOHSCUS1&amp;f=A" TargetMode="External"/><Relationship Id="rId681" Type="http://schemas.openxmlformats.org/officeDocument/2006/relationships/hyperlink" Target="https://www.eia.gov/dnav/pet/hist/LeafHandler.ashx?n=PET&amp;s=MKESTUS1&amp;f=A" TargetMode="External"/><Relationship Id="rId779" Type="http://schemas.openxmlformats.org/officeDocument/2006/relationships/hyperlink" Target="https://www.eia.gov/dnav/pet/hist/LeafHandler.ashx?n=PET&amp;s=MCORPUS1&amp;f=A" TargetMode="External"/><Relationship Id="rId31" Type="http://schemas.openxmlformats.org/officeDocument/2006/relationships/hyperlink" Target="https://www.eia.gov/dnav/pet/hist/LeafHandler.ashx?n=PET&amp;s=M_EPL2_FPF_NUS_MBBL&amp;f=A" TargetMode="External"/><Relationship Id="rId334" Type="http://schemas.openxmlformats.org/officeDocument/2006/relationships/hyperlink" Target="https://www.eia.gov/dnav/pet/hist/LeafHandler.ashx?n=PET&amp;s=MPCRPUS1&amp;f=A" TargetMode="External"/><Relationship Id="rId541" Type="http://schemas.openxmlformats.org/officeDocument/2006/relationships/hyperlink" Target="https://www.eia.gov/dnav/pet/hist/LeafHandler.ashx?n=PET&amp;s=M_EPOOR_IM0_NUS-Z00_MBBL&amp;f=A" TargetMode="External"/><Relationship Id="rId639" Type="http://schemas.openxmlformats.org/officeDocument/2006/relationships/hyperlink" Target="https://www.eia.gov/dnav/pet/hist/LeafHandler.ashx?n=PET&amp;s=M_EPM0F_YNP_NUS_MBBL&amp;f=A" TargetMode="External"/><Relationship Id="rId180" Type="http://schemas.openxmlformats.org/officeDocument/2006/relationships/hyperlink" Target="https://www.eia.gov/dnav/pet/hist/LeafHandler.ashx?n=PET&amp;s=M_EPOORDO_EEX_NUS-Z00_MBBL&amp;f=A" TargetMode="External"/><Relationship Id="rId278" Type="http://schemas.openxmlformats.org/officeDocument/2006/relationships/hyperlink" Target="https://www.eia.gov/dnav/pet/hist/LeafHandler.ashx?n=PET&amp;s=M_EPPK_YNP_NUS_MBBL&amp;f=A" TargetMode="External"/><Relationship Id="rId401" Type="http://schemas.openxmlformats.org/officeDocument/2006/relationships/hyperlink" Target="https://www.eia.gov/dnav/pet/hist/LeafHandler.ashx?n=PET&amp;s=MTTRPUS1&amp;f=A" TargetMode="External"/><Relationship Id="rId485" Type="http://schemas.openxmlformats.org/officeDocument/2006/relationships/hyperlink" Target="https://www.eia.gov/dnav/pet/hist/LeafHandler.ashx?n=PET&amp;s=M_EPLLCS_VPP_NUS_MBBL&amp;f=A" TargetMode="External"/><Relationship Id="rId692" Type="http://schemas.openxmlformats.org/officeDocument/2006/relationships/hyperlink" Target="https://www.eia.gov/dnav/pet/hist/LeafHandler.ashx?n=PET&amp;s=MD0IM_NUS-Z00_1&amp;f=A" TargetMode="External"/><Relationship Id="rId706" Type="http://schemas.openxmlformats.org/officeDocument/2006/relationships/hyperlink" Target="https://www.eia.gov/dnav/pet/hist/LeafHandler.ashx?n=PET&amp;s=M_EPD00H_YNP_NUS_MBBL&amp;f=A" TargetMode="External"/><Relationship Id="rId42" Type="http://schemas.openxmlformats.org/officeDocument/2006/relationships/hyperlink" Target="https://www.eia.gov/dnav/pet/hist/LeafHandler.ashx?n=PET&amp;s=MENRPUS1&amp;f=A" TargetMode="External"/><Relationship Id="rId138" Type="http://schemas.openxmlformats.org/officeDocument/2006/relationships/hyperlink" Target="https://www.eia.gov/dnav/pet/hist/LeafHandler.ashx?n=PET&amp;s=M_EPOOXXFE_SCG_NUS_MBBL&amp;f=A" TargetMode="External"/><Relationship Id="rId345" Type="http://schemas.openxmlformats.org/officeDocument/2006/relationships/hyperlink" Target="https://www.eia.gov/dnav/pet/hist/LeafHandler.ashx?n=PET&amp;s=MNFSTUS1&amp;f=A" TargetMode="External"/><Relationship Id="rId552" Type="http://schemas.openxmlformats.org/officeDocument/2006/relationships/hyperlink" Target="https://www.eia.gov/dnav/pet/hist/LeafHandler.ashx?n=PET&amp;s=MFERIUS1&amp;f=A" TargetMode="External"/><Relationship Id="rId191" Type="http://schemas.openxmlformats.org/officeDocument/2006/relationships/hyperlink" Target="https://www.eia.gov/dnav/pet/hist/LeafHandler.ashx?n=PET&amp;s=M_EPOOOXH_IM0_NUS-Z00_MBBL&amp;f=A" TargetMode="External"/><Relationship Id="rId205" Type="http://schemas.openxmlformats.org/officeDocument/2006/relationships/hyperlink" Target="https://www.eia.gov/dnav/pet/hist/LeafHandler.ashx?n=PET&amp;s=MBCIMUS1&amp;f=A" TargetMode="External"/><Relationship Id="rId412" Type="http://schemas.openxmlformats.org/officeDocument/2006/relationships/hyperlink" Target="https://www.eia.gov/dnav/pet/hist/LeafHandler.ashx?n=PET&amp;s=MCRUA_NUS_1&amp;f=A" TargetMode="External"/><Relationship Id="rId289" Type="http://schemas.openxmlformats.org/officeDocument/2006/relationships/hyperlink" Target="https://www.eia.gov/dnav/pet/hist/LeafHandler.ashx?n=PET&amp;s=MDISCUS1&amp;f=A" TargetMode="External"/><Relationship Id="rId496" Type="http://schemas.openxmlformats.org/officeDocument/2006/relationships/hyperlink" Target="https://www.eia.gov/dnav/pet/hist/LeafHandler.ashx?n=PET&amp;s=M_EPLLEY_SAE_NUS_MBBL&amp;f=A" TargetMode="External"/><Relationship Id="rId717" Type="http://schemas.openxmlformats.org/officeDocument/2006/relationships/hyperlink" Target="https://www.eia.gov/dnav/pet/hist/LeafHandler.ashx?n=PET&amp;s=MREUPUS1&amp;f=A" TargetMode="External"/><Relationship Id="rId53" Type="http://schemas.openxmlformats.org/officeDocument/2006/relationships/hyperlink" Target="https://www.eia.gov/dnav/pet/hist/LeafHandler.ashx?n=PET&amp;s=MPAEX_NUS-Z00_1&amp;f=A" TargetMode="External"/><Relationship Id="rId149" Type="http://schemas.openxmlformats.org/officeDocument/2006/relationships/hyperlink" Target="https://www.eia.gov/dnav/pet/hist/LeafHandler.ashx?n=PET&amp;s=M_EPOOR_VPP_NUS_MBBL&amp;f=A" TargetMode="External"/><Relationship Id="rId356" Type="http://schemas.openxmlformats.org/officeDocument/2006/relationships/hyperlink" Target="https://www.eia.gov/dnav/pet/hist/LeafHandler.ashx?n=PET&amp;s=MNSUPUS1&amp;f=A" TargetMode="External"/><Relationship Id="rId563" Type="http://schemas.openxmlformats.org/officeDocument/2006/relationships/hyperlink" Target="https://www.eia.gov/dnav/pet/hist/LeafHandler.ashx?n=PET&amp;s=M_EPOORXFE_SAE_NUS_MBBL&amp;f=A" TargetMode="External"/><Relationship Id="rId770" Type="http://schemas.openxmlformats.org/officeDocument/2006/relationships/hyperlink" Target="https://www.eia.gov/dnav/pet/hist/LeafHandler.ashx?n=PET&amp;s=MCKEXUS1&amp;f=A" TargetMode="External"/><Relationship Id="rId216" Type="http://schemas.openxmlformats.org/officeDocument/2006/relationships/hyperlink" Target="https://www.eia.gov/dnav/pet/hist/LeafHandler.ashx?n=PET&amp;s=MO1RI_NUS_1&amp;f=A" TargetMode="External"/><Relationship Id="rId423" Type="http://schemas.openxmlformats.org/officeDocument/2006/relationships/hyperlink" Target="https://www.eia.gov/dnav/pet/hist/LeafHandler.ashx?n=PET&amp;s=MNGSCUS1&amp;f=A" TargetMode="External"/><Relationship Id="rId630" Type="http://schemas.openxmlformats.org/officeDocument/2006/relationships/hyperlink" Target="https://www.eia.gov/dnav/pet/hist/LeafHandler.ashx?n=PET&amp;s=MBASTUS1&amp;f=A" TargetMode="External"/><Relationship Id="rId728" Type="http://schemas.openxmlformats.org/officeDocument/2006/relationships/hyperlink" Target="https://www.eia.gov/dnav/pet/hist/LeafHandler.ashx?n=PET&amp;s=MRZIMUS1&amp;f=A" TargetMode="External"/><Relationship Id="rId22" Type="http://schemas.openxmlformats.org/officeDocument/2006/relationships/hyperlink" Target="https://www.eia.gov/dnav/pet/hist/LeafHandler.ashx?n=PET&amp;s=M_EPL0_TVP_NUS_MBBL&amp;f=A" TargetMode="External"/><Relationship Id="rId64" Type="http://schemas.openxmlformats.org/officeDocument/2006/relationships/hyperlink" Target="https://www.eia.gov/dnav/pet/hist/LeafHandler.ashx?n=PET&amp;s=M_EPLLBAN_VPP_NUS_MBBL&amp;f=A" TargetMode="External"/><Relationship Id="rId118" Type="http://schemas.openxmlformats.org/officeDocument/2006/relationships/hyperlink" Target="https://www.eia.gov/dnav/pet/hist/LeafHandler.ashx?n=PET&amp;s=MOLUA_NUS_1&amp;f=A" TargetMode="External"/><Relationship Id="rId325" Type="http://schemas.openxmlformats.org/officeDocument/2006/relationships/hyperlink" Target="https://www.eia.gov/dnav/pet/hist/LeafHandler.ashx?n=PET&amp;s=MRLSTUS1&amp;f=A" TargetMode="External"/><Relationship Id="rId367" Type="http://schemas.openxmlformats.org/officeDocument/2006/relationships/hyperlink" Target="https://www.eia.gov/dnav/pet/hist/LeafHandler.ashx?n=PET&amp;s=MWXEXUS1&amp;f=A" TargetMode="External"/><Relationship Id="rId532" Type="http://schemas.openxmlformats.org/officeDocument/2006/relationships/hyperlink" Target="https://www.eia.gov/dnav/pet/hist/LeafHandler.ashx?n=PET&amp;s=M_EPOOXXFE_YNP_NUS_MBBL&amp;f=A" TargetMode="External"/><Relationship Id="rId574" Type="http://schemas.openxmlformats.org/officeDocument/2006/relationships/hyperlink" Target="https://www.eia.gov/dnav/pet/hist/LeafHandler.ashx?n=PET&amp;s=M_EPOORDO_VUA_NUS_MBBL&amp;f=A" TargetMode="External"/><Relationship Id="rId171" Type="http://schemas.openxmlformats.org/officeDocument/2006/relationships/hyperlink" Target="https://www.eia.gov/dnav/pet/hist/LeafHandler.ashx?n=PET&amp;s=M_EPOORDB_YIR_NUS_MBBL&amp;f=A" TargetMode="External"/><Relationship Id="rId227" Type="http://schemas.openxmlformats.org/officeDocument/2006/relationships/hyperlink" Target="https://www.eia.gov/dnav/pet/hist/LeafHandler.ashx?n=PET&amp;s=MO5ST_NUS_1&amp;f=A" TargetMode="External"/><Relationship Id="rId781" Type="http://schemas.openxmlformats.org/officeDocument/2006/relationships/hyperlink" Target="https://www.eia.gov/dnav/pet/hist/LeafHandler.ashx?n=PET&amp;s=MAPRPUS1&amp;f=A" TargetMode="External"/><Relationship Id="rId269" Type="http://schemas.openxmlformats.org/officeDocument/2006/relationships/hyperlink" Target="https://www.eia.gov/dnav/pet/hist/LeafHandler.ashx?n=PET&amp;s=MGAUPUS1&amp;f=A" TargetMode="External"/><Relationship Id="rId434" Type="http://schemas.openxmlformats.org/officeDocument/2006/relationships/hyperlink" Target="https://www.eia.gov/dnav/pet/hist/LeafHandler.ashx?n=PET&amp;s=M_EPL2_YIR_NUS_MBBL&amp;f=A" TargetMode="External"/><Relationship Id="rId476" Type="http://schemas.openxmlformats.org/officeDocument/2006/relationships/hyperlink" Target="https://www.eia.gov/dnav/pet/hist/LeafHandler.ashx?n=PET&amp;s=M_EPLLNG_IM0_NUS-Z00_MBBL&amp;f=A" TargetMode="External"/><Relationship Id="rId641" Type="http://schemas.openxmlformats.org/officeDocument/2006/relationships/hyperlink" Target="https://www.eia.gov/dnav/pet/hist/LeafHandler.ashx?n=PET&amp;s=MGFIMUS1&amp;f=A" TargetMode="External"/><Relationship Id="rId683" Type="http://schemas.openxmlformats.org/officeDocument/2006/relationships/hyperlink" Target="https://www.eia.gov/dnav/pet/hist/LeafHandler.ashx?n=PET&amp;s=MDIRPUS1&amp;f=A" TargetMode="External"/><Relationship Id="rId739" Type="http://schemas.openxmlformats.org/officeDocument/2006/relationships/hyperlink" Target="https://www.eia.gov/dnav/pet/hist/LeafHandler.ashx?n=PET&amp;s=MNFSCUS1&amp;f=A" TargetMode="External"/><Relationship Id="rId33" Type="http://schemas.openxmlformats.org/officeDocument/2006/relationships/hyperlink" Target="https://www.eia.gov/dnav/pet/hist/LeafHandler.ashx?n=PET&amp;s=M_EPL2_YNP_NUS_MBBL&amp;f=A" TargetMode="External"/><Relationship Id="rId129" Type="http://schemas.openxmlformats.org/officeDocument/2006/relationships/hyperlink" Target="https://www.eia.gov/dnav/pet/hist/LeafHandler.ashx?n=PET&amp;s=MOHEXUS1&amp;f=A" TargetMode="External"/><Relationship Id="rId280" Type="http://schemas.openxmlformats.org/officeDocument/2006/relationships/hyperlink" Target="https://www.eia.gov/dnav/pet/hist/LeafHandler.ashx?n=PET&amp;s=MKEIMUS1&amp;f=A" TargetMode="External"/><Relationship Id="rId336" Type="http://schemas.openxmlformats.org/officeDocument/2006/relationships/hyperlink" Target="https://www.eia.gov/dnav/pet/hist/LeafHandler.ashx?n=PET&amp;s=MPCSC_NUS_1&amp;f=A" TargetMode="External"/><Relationship Id="rId501" Type="http://schemas.openxmlformats.org/officeDocument/2006/relationships/hyperlink" Target="https://www.eia.gov/dnav/pet/hist/LeafHandler.ashx?n=PET&amp;s=M_EPLLPY_SAE_NUS_MBBL&amp;f=A" TargetMode="External"/><Relationship Id="rId543" Type="http://schemas.openxmlformats.org/officeDocument/2006/relationships/hyperlink" Target="https://www.eia.gov/dnav/pet/hist/LeafHandler.ashx?n=PET&amp;s=M_EPOOR_SCG_NUS_MBBL&amp;f=A" TargetMode="External"/><Relationship Id="rId75" Type="http://schemas.openxmlformats.org/officeDocument/2006/relationships/hyperlink" Target="https://www.eia.gov/dnav/pet/hist/LeafHandler.ashx?n=PET&amp;s=M_EPLLBAI_SAE_NUS_MBBL&amp;f=A" TargetMode="External"/><Relationship Id="rId140" Type="http://schemas.openxmlformats.org/officeDocument/2006/relationships/hyperlink" Target="https://www.eia.gov/dnav/pet/hist/LeafHandler.ashx?n=PET&amp;s=M_EPOOXXFE_EEX_NUS-Z00_MBBL&amp;f=A" TargetMode="External"/><Relationship Id="rId182" Type="http://schemas.openxmlformats.org/officeDocument/2006/relationships/hyperlink" Target="https://www.eia.gov/dnav/pet/hist/LeafHandler.ashx?n=PET&amp;s=M_EPOORDO_SAE_NUS_MBBL&amp;f=A" TargetMode="External"/><Relationship Id="rId378" Type="http://schemas.openxmlformats.org/officeDocument/2006/relationships/hyperlink" Target="https://www.eia.gov/dnav/pet/hist/LeafHandler.ashx?n=PET&amp;s=MCMSC_NUS_1&amp;f=A" TargetMode="External"/><Relationship Id="rId403" Type="http://schemas.openxmlformats.org/officeDocument/2006/relationships/hyperlink" Target="https://www.eia.gov/dnav/pet/hist/LeafHandler.ashx?n=PET&amp;s=MTTUA_NUS_1&amp;f=A" TargetMode="External"/><Relationship Id="rId585" Type="http://schemas.openxmlformats.org/officeDocument/2006/relationships/hyperlink" Target="https://www.eia.gov/dnav/pet/hist/LeafHandler.ashx?n=PET&amp;s=M_EPOORO_EEX_NUS-Z00_MBBL&amp;f=A" TargetMode="External"/><Relationship Id="rId750" Type="http://schemas.openxmlformats.org/officeDocument/2006/relationships/hyperlink" Target="https://www.eia.gov/dnav/pet/hist/LeafHandler.ashx?n=PET&amp;s=MNSIMUS1&amp;f=A" TargetMode="External"/><Relationship Id="rId792" Type="http://schemas.openxmlformats.org/officeDocument/2006/relationships/hyperlink" Target="https://www.eia.gov/dnav/pet/hist/LeafHandler.ashx?n=PET&amp;s=MMSEXUS1&amp;f=A" TargetMode="External"/><Relationship Id="rId6" Type="http://schemas.openxmlformats.org/officeDocument/2006/relationships/hyperlink" Target="https://www.eia.gov/dnav/pet/hist/LeafHandler.ashx?n=PET&amp;s=MTTUA_NUS_1&amp;f=A" TargetMode="External"/><Relationship Id="rId238" Type="http://schemas.openxmlformats.org/officeDocument/2006/relationships/hyperlink" Target="https://www.eia.gov/dnav/pet/hist/LeafHandler.ashx?n=PET&amp;s=MTPSCUS1&amp;f=A" TargetMode="External"/><Relationship Id="rId445" Type="http://schemas.openxmlformats.org/officeDocument/2006/relationships/hyperlink" Target="https://www.eia.gov/dnav/pet/hist/LeafHandler.ashx?n=PET&amp;s=M_EPLLPA_FPF_NUS_MBBL&amp;f=A" TargetMode="External"/><Relationship Id="rId487" Type="http://schemas.openxmlformats.org/officeDocument/2006/relationships/hyperlink" Target="https://www.eia.gov/dnav/pet/hist/LeafHandler.ashx?n=PET&amp;s=M_EPLOLE_YPR_NUS_MBBL&amp;f=A" TargetMode="External"/><Relationship Id="rId610" Type="http://schemas.openxmlformats.org/officeDocument/2006/relationships/hyperlink" Target="https://www.eia.gov/dnav/pet/hist/LeafHandler.ashx?n=PET&amp;s=MO1IM_NUS-Z00_1&amp;f=A" TargetMode="External"/><Relationship Id="rId652" Type="http://schemas.openxmlformats.org/officeDocument/2006/relationships/hyperlink" Target="https://www.eia.gov/dnav/pet/hist/LeafHandler.ashx?n=PET&amp;s=MGRUPUS1&amp;f=A" TargetMode="External"/><Relationship Id="rId694" Type="http://schemas.openxmlformats.org/officeDocument/2006/relationships/hyperlink" Target="https://www.eia.gov/dnav/pet/hist/LeafHandler.ashx?n=PET&amp;s=MD0SC_NUS_1&amp;f=A" TargetMode="External"/><Relationship Id="rId708" Type="http://schemas.openxmlformats.org/officeDocument/2006/relationships/hyperlink" Target="https://www.eia.gov/dnav/pet/hist/LeafHandler.ashx?n=PET&amp;s=MDGIMUS1&amp;f=A" TargetMode="External"/><Relationship Id="rId291" Type="http://schemas.openxmlformats.org/officeDocument/2006/relationships/hyperlink" Target="https://www.eia.gov/dnav/pet/hist/LeafHandler.ashx?n=PET&amp;s=MDIUPUS1&amp;f=A" TargetMode="External"/><Relationship Id="rId305" Type="http://schemas.openxmlformats.org/officeDocument/2006/relationships/hyperlink" Target="https://www.eia.gov/dnav/pet/hist/LeafHandler.ashx?n=PET&amp;s=MD1SC_NUS_1&amp;f=A" TargetMode="External"/><Relationship Id="rId347" Type="http://schemas.openxmlformats.org/officeDocument/2006/relationships/hyperlink" Target="https://www.eia.gov/dnav/pet/hist/LeafHandler.ashx?n=PET&amp;s=MOTIMUS1&amp;f=A" TargetMode="External"/><Relationship Id="rId512" Type="http://schemas.openxmlformats.org/officeDocument/2006/relationships/hyperlink" Target="https://www.eia.gov/dnav/pet/hist/LeafHandler.ashx?n=PET&amp;s=M_EPOL_TVP_NUS_MBBL&amp;f=A" TargetMode="External"/><Relationship Id="rId44" Type="http://schemas.openxmlformats.org/officeDocument/2006/relationships/hyperlink" Target="https://www.eia.gov/dnav/pet/hist/LeafHandler.ashx?n=PET&amp;s=M_EPLLEA_SCG_NUS_MBBL&amp;f=A" TargetMode="External"/><Relationship Id="rId86" Type="http://schemas.openxmlformats.org/officeDocument/2006/relationships/hyperlink" Target="https://www.eia.gov/dnav/pet/hist/LeafHandler.ashx?n=PET&amp;s=M_EPLLCS_TVP_NUS_MBBL&amp;f=A" TargetMode="External"/><Relationship Id="rId151" Type="http://schemas.openxmlformats.org/officeDocument/2006/relationships/hyperlink" Target="https://www.eia.gov/dnav/pet/hist/LeafHandler.ashx?n=PET&amp;s=M_EPOOXE_YNP_NUS_MBBL&amp;f=A" TargetMode="External"/><Relationship Id="rId389" Type="http://schemas.openxmlformats.org/officeDocument/2006/relationships/hyperlink" Target="https://www.eia.gov/dnav/pet/hist/LeafHandler.ashx?n=PET&amp;s=MAPSTUS1&amp;f=A" TargetMode="External"/><Relationship Id="rId554" Type="http://schemas.openxmlformats.org/officeDocument/2006/relationships/hyperlink" Target="https://www.eia.gov/dnav/pet/hist/LeafHandler.ashx?n=PET&amp;s=M_EPOOXE_VPP_NUS_MBBL&amp;f=A" TargetMode="External"/><Relationship Id="rId596" Type="http://schemas.openxmlformats.org/officeDocument/2006/relationships/hyperlink" Target="https://www.eia.gov/dnav/pet/hist/LeafHandler.ashx?n=PET&amp;s=MUOSCUS1&amp;f=A" TargetMode="External"/><Relationship Id="rId761" Type="http://schemas.openxmlformats.org/officeDocument/2006/relationships/hyperlink" Target="https://www.eia.gov/dnav/pet/hist/LeafHandler.ashx?n=PET&amp;s=MWXRPUS1&amp;f=A" TargetMode="External"/><Relationship Id="rId193" Type="http://schemas.openxmlformats.org/officeDocument/2006/relationships/hyperlink" Target="https://www.eia.gov/dnav/pet/hist/LeafHandler.ashx?n=PET&amp;s=M_EPOOOXH_SCG_NUS_MBBL&amp;f=A" TargetMode="External"/><Relationship Id="rId207" Type="http://schemas.openxmlformats.org/officeDocument/2006/relationships/hyperlink" Target="https://www.eia.gov/dnav/pet/hist/LeafHandler.ashx?n=PET&amp;s=MBCSCUS1&amp;f=A" TargetMode="External"/><Relationship Id="rId249" Type="http://schemas.openxmlformats.org/officeDocument/2006/relationships/hyperlink" Target="https://www.eia.gov/dnav/pet/hist/LeafHandler.ashx?n=PET&amp;s=MGFSTUS1&amp;f=A" TargetMode="External"/><Relationship Id="rId414" Type="http://schemas.openxmlformats.org/officeDocument/2006/relationships/hyperlink" Target="https://www.eia.gov/dnav/pet/hist/LeafHandler.ashx?n=PET&amp;s=MCRRIUS1&amp;f=A" TargetMode="External"/><Relationship Id="rId456" Type="http://schemas.openxmlformats.org/officeDocument/2006/relationships/hyperlink" Target="https://www.eia.gov/dnav/pet/hist/LeafHandler.ashx?n=PET&amp;s=MBURPUS1&amp;f=A" TargetMode="External"/><Relationship Id="rId498" Type="http://schemas.openxmlformats.org/officeDocument/2006/relationships/hyperlink" Target="https://www.eia.gov/dnav/pet/hist/LeafHandler.ashx?n=PET&amp;s=MPLIMUS1&amp;f=A" TargetMode="External"/><Relationship Id="rId621" Type="http://schemas.openxmlformats.org/officeDocument/2006/relationships/hyperlink" Target="https://www.eia.gov/dnav/pet/hist/LeafHandler.ashx?n=PET&amp;s=MO5RI_NUS_1&amp;f=A" TargetMode="External"/><Relationship Id="rId663" Type="http://schemas.openxmlformats.org/officeDocument/2006/relationships/hyperlink" Target="https://www.eia.gov/dnav/pet/hist/LeafHandler.ashx?n=PET&amp;s=MGAIMUS1&amp;f=A" TargetMode="External"/><Relationship Id="rId13" Type="http://schemas.openxmlformats.org/officeDocument/2006/relationships/hyperlink" Target="https://www.eia.gov/dnav/pet/hist/LeafHandler.ashx?n=PET&amp;s=M_EPC0_TVP_NUS_MBBL&amp;f=A" TargetMode="External"/><Relationship Id="rId109" Type="http://schemas.openxmlformats.org/officeDocument/2006/relationships/hyperlink" Target="https://www.eia.gov/dnav/pet/hist/LeafHandler.ashx?n=PET&amp;s=M_EPLLBYN_SAE_NUS_MBBL&amp;f=A" TargetMode="External"/><Relationship Id="rId260" Type="http://schemas.openxmlformats.org/officeDocument/2006/relationships/hyperlink" Target="https://www.eia.gov/dnav/pet/hist/LeafHandler.ashx?n=PET&amp;s=MG4UA_NUS_1&amp;f=A" TargetMode="External"/><Relationship Id="rId316" Type="http://schemas.openxmlformats.org/officeDocument/2006/relationships/hyperlink" Target="https://www.eia.gov/dnav/pet/hist/LeafHandler.ashx?n=PET&amp;s=MRERPUS1&amp;f=A" TargetMode="External"/><Relationship Id="rId523" Type="http://schemas.openxmlformats.org/officeDocument/2006/relationships/hyperlink" Target="https://www.eia.gov/dnav/pet/hist/LeafHandler.ashx?n=PET&amp;s=MOHUA_NUS_1&amp;f=A" TargetMode="External"/><Relationship Id="rId719" Type="http://schemas.openxmlformats.org/officeDocument/2006/relationships/hyperlink" Target="https://www.eia.gov/dnav/pet/hist/LeafHandler.ashx?n=PET&amp;s=MRLRPUS1&amp;f=A" TargetMode="External"/><Relationship Id="rId55" Type="http://schemas.openxmlformats.org/officeDocument/2006/relationships/hyperlink" Target="https://www.eia.gov/dnav/pet/hist/LeafHandler.ashx?n=PET&amp;s=M_EPLLPA_SAE_NUS_MBBL&amp;f=A" TargetMode="External"/><Relationship Id="rId97" Type="http://schemas.openxmlformats.org/officeDocument/2006/relationships/hyperlink" Target="https://www.eia.gov/dnav/pet/hist/LeafHandler.ashx?n=PET&amp;s=M_EPLLEY_SCG_NUS_MBBL&amp;f=A" TargetMode="External"/><Relationship Id="rId120" Type="http://schemas.openxmlformats.org/officeDocument/2006/relationships/hyperlink" Target="https://www.eia.gov/dnav/pet/hist/LeafHandler.ashx?n=PET&amp;s=MOLRIUS1&amp;f=A" TargetMode="External"/><Relationship Id="rId358" Type="http://schemas.openxmlformats.org/officeDocument/2006/relationships/hyperlink" Target="https://www.eia.gov/dnav/pet/hist/LeafHandler.ashx?n=PET&amp;s=MLURPUS1&amp;f=A" TargetMode="External"/><Relationship Id="rId565" Type="http://schemas.openxmlformats.org/officeDocument/2006/relationships/hyperlink" Target="https://www.eia.gov/dnav/pet/hist/LeafHandler.ashx?n=PET&amp;s=M_EPOORDB_IM0_NUS-Z00_MBBL&amp;f=A" TargetMode="External"/><Relationship Id="rId730" Type="http://schemas.openxmlformats.org/officeDocument/2006/relationships/hyperlink" Target="https://www.eia.gov/dnav/pet/hist/LeafHandler.ashx?n=PET&amp;s=MRGSTUS1&amp;f=A" TargetMode="External"/><Relationship Id="rId772" Type="http://schemas.openxmlformats.org/officeDocument/2006/relationships/hyperlink" Target="https://www.eia.gov/dnav/pet/hist/LeafHandler.ashx?n=PET&amp;s=MCKSTUS1&amp;f=A" TargetMode="External"/><Relationship Id="rId162" Type="http://schemas.openxmlformats.org/officeDocument/2006/relationships/hyperlink" Target="https://www.eia.gov/dnav/pet/hist/LeafHandler.ashx?n=PET&amp;s=M_EPOORXFE_SCG_NUS_MBBL&amp;f=A" TargetMode="External"/><Relationship Id="rId218" Type="http://schemas.openxmlformats.org/officeDocument/2006/relationships/hyperlink" Target="https://www.eia.gov/dnav/pet/hist/LeafHandler.ashx?n=PET&amp;s=MO1UP_NUS_1&amp;f=A" TargetMode="External"/><Relationship Id="rId425" Type="http://schemas.openxmlformats.org/officeDocument/2006/relationships/hyperlink" Target="https://www.eia.gov/dnav/pet/hist/LeafHandler.ashx?n=PET&amp;s=MNGEXUS1&amp;f=A" TargetMode="External"/><Relationship Id="rId467" Type="http://schemas.openxmlformats.org/officeDocument/2006/relationships/hyperlink" Target="https://www.eia.gov/dnav/pet/hist/LeafHandler.ashx?n=PET&amp;s=MIIIM_NUS-Z00_1&amp;f=A" TargetMode="External"/><Relationship Id="rId632" Type="http://schemas.openxmlformats.org/officeDocument/2006/relationships/hyperlink" Target="https://www.eia.gov/dnav/pet/hist/LeafHandler.ashx?n=PET&amp;s=MTPRPUS1&amp;f=A" TargetMode="External"/><Relationship Id="rId271" Type="http://schemas.openxmlformats.org/officeDocument/2006/relationships/hyperlink" Target="https://www.eia.gov/dnav/pet/hist/LeafHandler.ashx?n=PET&amp;s=M_EPJK_YNP_NUS_MBBL&amp;f=A" TargetMode="External"/><Relationship Id="rId674" Type="http://schemas.openxmlformats.org/officeDocument/2006/relationships/hyperlink" Target="https://www.eia.gov/dnav/pet/hist/LeafHandler.ashx?n=PET&amp;s=MKJSTUS1&amp;f=A" TargetMode="External"/><Relationship Id="rId24" Type="http://schemas.openxmlformats.org/officeDocument/2006/relationships/hyperlink" Target="https://www.eia.gov/dnav/pet/hist/LeafHandler.ashx?n=PET&amp;s=MNGRPUS1&amp;f=A" TargetMode="External"/><Relationship Id="rId66" Type="http://schemas.openxmlformats.org/officeDocument/2006/relationships/hyperlink" Target="https://www.eia.gov/dnav/pet/hist/LeafHandler.ashx?n=PET&amp;s=M_EPLLBAI_FPF_NUS_MBBL&amp;f=A" TargetMode="External"/><Relationship Id="rId131" Type="http://schemas.openxmlformats.org/officeDocument/2006/relationships/hyperlink" Target="https://www.eia.gov/dnav/pet/hist/LeafHandler.ashx?n=PET&amp;s=MOHSTUS1&amp;f=A" TargetMode="External"/><Relationship Id="rId327" Type="http://schemas.openxmlformats.org/officeDocument/2006/relationships/hyperlink" Target="https://www.eia.gov/dnav/pet/hist/LeafHandler.ashx?n=PET&amp;s=MRYIMUS1&amp;f=A" TargetMode="External"/><Relationship Id="rId369" Type="http://schemas.openxmlformats.org/officeDocument/2006/relationships/hyperlink" Target="https://www.eia.gov/dnav/pet/hist/LeafHandler.ashx?n=PET&amp;s=MWXSTUS1&amp;f=A" TargetMode="External"/><Relationship Id="rId534" Type="http://schemas.openxmlformats.org/officeDocument/2006/relationships/hyperlink" Target="https://www.eia.gov/dnav/pet/hist/LeafHandler.ashx?n=PET&amp;s=M_EPOOXXFE_VUA_NUS_MBBL&amp;f=A" TargetMode="External"/><Relationship Id="rId576" Type="http://schemas.openxmlformats.org/officeDocument/2006/relationships/hyperlink" Target="https://www.eia.gov/dnav/pet/hist/LeafHandler.ashx?n=PET&amp;s=M_EPOORDO_YIR_NUS_MBBL&amp;f=A" TargetMode="External"/><Relationship Id="rId741" Type="http://schemas.openxmlformats.org/officeDocument/2006/relationships/hyperlink" Target="https://www.eia.gov/dnav/pet/hist/LeafHandler.ashx?n=PET&amp;s=MNFUPUS1&amp;f=A" TargetMode="External"/><Relationship Id="rId783" Type="http://schemas.openxmlformats.org/officeDocument/2006/relationships/hyperlink" Target="https://www.eia.gov/dnav/pet/hist/LeafHandler.ashx?n=PET&amp;s=MAPSCUS1&amp;f=A" TargetMode="External"/><Relationship Id="rId173" Type="http://schemas.openxmlformats.org/officeDocument/2006/relationships/hyperlink" Target="https://www.eia.gov/dnav/pet/hist/LeafHandler.ashx?n=PET&amp;s=M_EPOORDB_VPP_NUS_MBBL&amp;f=A" TargetMode="External"/><Relationship Id="rId229" Type="http://schemas.openxmlformats.org/officeDocument/2006/relationships/hyperlink" Target="https://www.eia.gov/dnav/pet/hist/LeafHandler.ashx?n=PET&amp;s=MBASCUS1&amp;f=A" TargetMode="External"/><Relationship Id="rId380" Type="http://schemas.openxmlformats.org/officeDocument/2006/relationships/hyperlink" Target="https://www.eia.gov/dnav/pet/hist/LeafHandler.ashx?n=PET&amp;s=MCMUP_NUS_1&amp;f=A" TargetMode="External"/><Relationship Id="rId436" Type="http://schemas.openxmlformats.org/officeDocument/2006/relationships/hyperlink" Target="https://www.eia.gov/dnav/pet/hist/LeafHandler.ashx?n=PET&amp;s=M_EPL2_VPP_NUS_MBBL&amp;f=A" TargetMode="External"/><Relationship Id="rId601" Type="http://schemas.openxmlformats.org/officeDocument/2006/relationships/hyperlink" Target="https://www.eia.gov/dnav/pet/hist/LeafHandler.ashx?n=PET&amp;s=M_EPOBG_YNP_NUS_MBBL&amp;f=A" TargetMode="External"/><Relationship Id="rId643" Type="http://schemas.openxmlformats.org/officeDocument/2006/relationships/hyperlink" Target="https://www.eia.gov/dnav/pet/hist/LeafHandler.ashx?n=PET&amp;s=MGFSCUS1&amp;f=A" TargetMode="External"/><Relationship Id="rId240" Type="http://schemas.openxmlformats.org/officeDocument/2006/relationships/hyperlink" Target="https://www.eia.gov/dnav/pet/hist/LeafHandler.ashx?n=PET&amp;s=MTPUPUS1&amp;f=A" TargetMode="External"/><Relationship Id="rId478" Type="http://schemas.openxmlformats.org/officeDocument/2006/relationships/hyperlink" Target="https://www.eia.gov/dnav/pet/hist/LeafHandler.ashx?n=PET&amp;s=M_EPLLNG_YIR_NUS_MBBL&amp;f=A" TargetMode="External"/><Relationship Id="rId685" Type="http://schemas.openxmlformats.org/officeDocument/2006/relationships/hyperlink" Target="https://www.eia.gov/dnav/pet/hist/LeafHandler.ashx?n=PET&amp;s=M_EPD0_VUA_NUS_1&amp;f=A" TargetMode="External"/><Relationship Id="rId35" Type="http://schemas.openxmlformats.org/officeDocument/2006/relationships/hyperlink" Target="https://www.eia.gov/dnav/pet/hist/LeafHandler.ashx?n=PET&amp;s=M_EPL2_IM0_NUS-Z00_MBBL&amp;f=A" TargetMode="External"/><Relationship Id="rId77" Type="http://schemas.openxmlformats.org/officeDocument/2006/relationships/hyperlink" Target="https://www.eia.gov/dnav/pet/hist/LeafHandler.ashx?n=PET&amp;s=M_EPLLNG_TVP_NUS_MBBL&amp;f=A" TargetMode="External"/><Relationship Id="rId100" Type="http://schemas.openxmlformats.org/officeDocument/2006/relationships/hyperlink" Target="https://www.eia.gov/dnav/pet/hist/LeafHandler.ashx?n=PET&amp;s=MPLRPUS1&amp;f=A" TargetMode="External"/><Relationship Id="rId282" Type="http://schemas.openxmlformats.org/officeDocument/2006/relationships/hyperlink" Target="https://www.eia.gov/dnav/pet/hist/LeafHandler.ashx?n=PET&amp;s=MKEEXUS1&amp;f=A" TargetMode="External"/><Relationship Id="rId338" Type="http://schemas.openxmlformats.org/officeDocument/2006/relationships/hyperlink" Target="https://www.eia.gov/dnav/pet/hist/LeafHandler.ashx?n=PET&amp;s=MPCUP_NUS_1&amp;f=A" TargetMode="External"/><Relationship Id="rId503" Type="http://schemas.openxmlformats.org/officeDocument/2006/relationships/hyperlink" Target="https://www.eia.gov/dnav/pet/hist/LeafHandler.ashx?n=PET&amp;s=MBYIMUS1&amp;f=A" TargetMode="External"/><Relationship Id="rId545" Type="http://schemas.openxmlformats.org/officeDocument/2006/relationships/hyperlink" Target="https://www.eia.gov/dnav/pet/hist/LeafHandler.ashx?n=PET&amp;s=M_EPOOR_EEX_NUS-Z00_MBBL&amp;f=A" TargetMode="External"/><Relationship Id="rId587" Type="http://schemas.openxmlformats.org/officeDocument/2006/relationships/hyperlink" Target="https://www.eia.gov/dnav/pet/hist/LeafHandler.ashx?n=PET&amp;s=M_EPOORO_SAE_NUS_MBBL&amp;f=A" TargetMode="External"/><Relationship Id="rId710" Type="http://schemas.openxmlformats.org/officeDocument/2006/relationships/hyperlink" Target="https://www.eia.gov/dnav/pet/hist/LeafHandler.ashx?n=PET&amp;s=MDGEXUS1&amp;f=A" TargetMode="External"/><Relationship Id="rId752" Type="http://schemas.openxmlformats.org/officeDocument/2006/relationships/hyperlink" Target="https://www.eia.gov/dnav/pet/hist/LeafHandler.ashx?n=PET&amp;s=MNSEXUS1&amp;f=A" TargetMode="External"/><Relationship Id="rId8" Type="http://schemas.openxmlformats.org/officeDocument/2006/relationships/hyperlink" Target="https://www.eia.gov/dnav/pet/hist/LeafHandler.ashx?n=PET&amp;s=MTTRIUS1&amp;f=A" TargetMode="External"/><Relationship Id="rId142" Type="http://schemas.openxmlformats.org/officeDocument/2006/relationships/hyperlink" Target="https://www.eia.gov/dnav/pet/hist/LeafHandler.ashx?n=PET&amp;s=M_EPOOXXFE_SAE_NUS_MBBL&amp;f=A" TargetMode="External"/><Relationship Id="rId184" Type="http://schemas.openxmlformats.org/officeDocument/2006/relationships/hyperlink" Target="https://www.eia.gov/dnav/pet/hist/LeafHandler.ashx?n=PET&amp;s=M_EPOORO_IM0_NUS-Z00_MBBL&amp;f=A" TargetMode="External"/><Relationship Id="rId391" Type="http://schemas.openxmlformats.org/officeDocument/2006/relationships/hyperlink" Target="https://www.eia.gov/dnav/pet/hist/LeafHandler.ashx?n=PET&amp;s=MSGUPUS1&amp;f=A" TargetMode="External"/><Relationship Id="rId405" Type="http://schemas.openxmlformats.org/officeDocument/2006/relationships/hyperlink" Target="https://www.eia.gov/dnav/pet/hist/LeafHandler.ashx?n=PET&amp;s=MTTRIUS1&amp;f=A" TargetMode="External"/><Relationship Id="rId447" Type="http://schemas.openxmlformats.org/officeDocument/2006/relationships/hyperlink" Target="https://www.eia.gov/dnav/pet/hist/LeafHandler.ashx?n=PET&amp;s=MPARP_NUS_1&amp;f=A" TargetMode="External"/><Relationship Id="rId612" Type="http://schemas.openxmlformats.org/officeDocument/2006/relationships/hyperlink" Target="https://www.eia.gov/dnav/pet/hist/LeafHandler.ashx?n=PET&amp;s=MO1SC_NUS_1&amp;f=A" TargetMode="External"/><Relationship Id="rId794" Type="http://schemas.openxmlformats.org/officeDocument/2006/relationships/hyperlink" Target="https://www.eia.gov/dnav/pet/hist/LeafHandler.ashx?n=PET&amp;s=MMSSTUS1&amp;f=A" TargetMode="External"/><Relationship Id="rId251" Type="http://schemas.openxmlformats.org/officeDocument/2006/relationships/hyperlink" Target="https://www.eia.gov/dnav/pet/hist/LeafHandler.ashx?n=PET&amp;s=MGRIMUS1&amp;f=A" TargetMode="External"/><Relationship Id="rId489" Type="http://schemas.openxmlformats.org/officeDocument/2006/relationships/hyperlink" Target="https://www.eia.gov/dnav/pet/hist/LeafHandler.ashx?n=PET&amp;s=M_EPLOLE_SCG_NUS_MBBL&amp;f=A" TargetMode="External"/><Relationship Id="rId654" Type="http://schemas.openxmlformats.org/officeDocument/2006/relationships/hyperlink" Target="https://www.eia.gov/dnav/pet/hist/LeafHandler.ashx?n=PET&amp;s=M_EPM0C_YNP_NUS_MBBL&amp;f=A" TargetMode="External"/><Relationship Id="rId696" Type="http://schemas.openxmlformats.org/officeDocument/2006/relationships/hyperlink" Target="https://www.eia.gov/dnav/pet/hist/LeafHandler.ashx?n=PET&amp;s=MD0UP_NUS_1&amp;f=A" TargetMode="External"/><Relationship Id="rId46" Type="http://schemas.openxmlformats.org/officeDocument/2006/relationships/hyperlink" Target="https://www.eia.gov/dnav/pet/hist/LeafHandler.ashx?n=PET&amp;s=M_EPLLEA_VPP_NUS_MBBL&amp;f=A" TargetMode="External"/><Relationship Id="rId293" Type="http://schemas.openxmlformats.org/officeDocument/2006/relationships/hyperlink" Target="https://www.eia.gov/dnav/pet/hist/LeafHandler.ashx?n=PET&amp;s=M_EPDXL0_YNP_NUS_MBBL&amp;f=A" TargetMode="External"/><Relationship Id="rId307" Type="http://schemas.openxmlformats.org/officeDocument/2006/relationships/hyperlink" Target="https://www.eia.gov/dnav/pet/hist/LeafHandler.ashx?n=PET&amp;s=MD1UP_NUS_1&amp;f=A" TargetMode="External"/><Relationship Id="rId349" Type="http://schemas.openxmlformats.org/officeDocument/2006/relationships/hyperlink" Target="https://www.eia.gov/dnav/pet/hist/LeafHandler.ashx?n=PET&amp;s=MOTEXUS1&amp;f=A" TargetMode="External"/><Relationship Id="rId514" Type="http://schemas.openxmlformats.org/officeDocument/2006/relationships/hyperlink" Target="https://www.eia.gov/dnav/pet/hist/LeafHandler.ashx?n=PET&amp;s=MOLIMUS1&amp;f=A" TargetMode="External"/><Relationship Id="rId556" Type="http://schemas.openxmlformats.org/officeDocument/2006/relationships/hyperlink" Target="https://www.eia.gov/dnav/pet/hist/LeafHandler.ashx?n=PET&amp;s=M_EPOORXFE_YNP_NUS_MBBL&amp;f=A" TargetMode="External"/><Relationship Id="rId721" Type="http://schemas.openxmlformats.org/officeDocument/2006/relationships/hyperlink" Target="https://www.eia.gov/dnav/pet/hist/LeafHandler.ashx?n=PET&amp;s=MRXSC_NUS_1&amp;f=A" TargetMode="External"/><Relationship Id="rId763" Type="http://schemas.openxmlformats.org/officeDocument/2006/relationships/hyperlink" Target="https://www.eia.gov/dnav/pet/hist/LeafHandler.ashx?n=PET&amp;s=MWXSCUS1&amp;f=A" TargetMode="External"/><Relationship Id="rId88" Type="http://schemas.openxmlformats.org/officeDocument/2006/relationships/hyperlink" Target="https://www.eia.gov/dnav/pet/hist/LeafHandler.ashx?n=PET&amp;s=M_EPLLCS_VPP_NUS_MBBL&amp;f=A" TargetMode="External"/><Relationship Id="rId111" Type="http://schemas.openxmlformats.org/officeDocument/2006/relationships/hyperlink" Target="https://www.eia.gov/dnav/pet/hist/LeafHandler.ashx?n=PET&amp;s=MIYIMUS1&amp;f=A" TargetMode="External"/><Relationship Id="rId153" Type="http://schemas.openxmlformats.org/officeDocument/2006/relationships/hyperlink" Target="https://www.eia.gov/dnav/pet/hist/LeafHandler.ashx?n=PET&amp;s=M_EPOOXE_VUA_NUS_MBBL&amp;f=A" TargetMode="External"/><Relationship Id="rId195" Type="http://schemas.openxmlformats.org/officeDocument/2006/relationships/hyperlink" Target="https://www.eia.gov/dnav/pet/hist/LeafHandler.ashx?n=PET&amp;s=M_EPOOOXH_VPP_NUS_MBBL&amp;f=A" TargetMode="External"/><Relationship Id="rId209" Type="http://schemas.openxmlformats.org/officeDocument/2006/relationships/hyperlink" Target="https://www.eia.gov/dnav/pet/hist/LeafHandler.ashx?n=PET&amp;s=MBCEXUS1&amp;f=A" TargetMode="External"/><Relationship Id="rId360" Type="http://schemas.openxmlformats.org/officeDocument/2006/relationships/hyperlink" Target="https://www.eia.gov/dnav/pet/hist/LeafHandler.ashx?n=PET&amp;s=MLUSCUS1&amp;f=A" TargetMode="External"/><Relationship Id="rId416" Type="http://schemas.openxmlformats.org/officeDocument/2006/relationships/hyperlink" Target="https://www.eia.gov/dnav/pet/hist/LeafHandler.ashx?n=PET&amp;s=MCRUPUS1&amp;f=A" TargetMode="External"/><Relationship Id="rId598" Type="http://schemas.openxmlformats.org/officeDocument/2006/relationships/hyperlink" Target="https://www.eia.gov/dnav/pet/hist/LeafHandler.ashx?n=PET&amp;s=MUOEXUS1&amp;f=A" TargetMode="External"/><Relationship Id="rId220" Type="http://schemas.openxmlformats.org/officeDocument/2006/relationships/hyperlink" Target="https://www.eia.gov/dnav/pet/hist/LeafHandler.ashx?n=PET&amp;s=M_EPOBGC0_YNP_NUS_MBBL&amp;f=A" TargetMode="External"/><Relationship Id="rId458" Type="http://schemas.openxmlformats.org/officeDocument/2006/relationships/hyperlink" Target="https://www.eia.gov/dnav/pet/hist/LeafHandler.ashx?n=PET&amp;s=M_EPLLBAN_SCG_NUS_MBBL&amp;f=A" TargetMode="External"/><Relationship Id="rId623" Type="http://schemas.openxmlformats.org/officeDocument/2006/relationships/hyperlink" Target="https://www.eia.gov/dnav/pet/hist/LeafHandler.ashx?n=PET&amp;s=MO5UP_NUS_1&amp;f=A" TargetMode="External"/><Relationship Id="rId665" Type="http://schemas.openxmlformats.org/officeDocument/2006/relationships/hyperlink" Target="https://www.eia.gov/dnav/pet/hist/LeafHandler.ashx?n=PET&amp;s=MGAEXUS1&amp;f=A" TargetMode="External"/><Relationship Id="rId15" Type="http://schemas.openxmlformats.org/officeDocument/2006/relationships/hyperlink" Target="https://www.eia.gov/dnav/pet/hist/LeafHandler.ashx?n=PET&amp;s=MCRUA_NUS_1&amp;f=A" TargetMode="External"/><Relationship Id="rId57" Type="http://schemas.openxmlformats.org/officeDocument/2006/relationships/hyperlink" Target="https://www.eia.gov/dnav/pet/hist/LeafHandler.ashx?n=PET&amp;s=M_EPLLBAN_TVP_NUS_MBBL&amp;f=A" TargetMode="External"/><Relationship Id="rId262" Type="http://schemas.openxmlformats.org/officeDocument/2006/relationships/hyperlink" Target="https://www.eia.gov/dnav/pet/hist/LeafHandler.ashx?n=PET&amp;s=MG4EX_NUS-Z00_1&amp;f=A" TargetMode="External"/><Relationship Id="rId318" Type="http://schemas.openxmlformats.org/officeDocument/2006/relationships/hyperlink" Target="https://www.eia.gov/dnav/pet/hist/LeafHandler.ashx?n=PET&amp;s=MRESCUS1&amp;f=A" TargetMode="External"/><Relationship Id="rId525" Type="http://schemas.openxmlformats.org/officeDocument/2006/relationships/hyperlink" Target="https://www.eia.gov/dnav/pet/hist/LeafHandler.ashx?n=PET&amp;s=MOHRIUS1&amp;f=A" TargetMode="External"/><Relationship Id="rId567" Type="http://schemas.openxmlformats.org/officeDocument/2006/relationships/hyperlink" Target="https://www.eia.gov/dnav/pet/hist/LeafHandler.ashx?n=PET&amp;s=M_EPOORDB_SCG_NUS_MBBL&amp;f=A" TargetMode="External"/><Relationship Id="rId732" Type="http://schemas.openxmlformats.org/officeDocument/2006/relationships/hyperlink" Target="https://www.eia.gov/dnav/pet/hist/LeafHandler.ashx?n=PET&amp;s=MPFIM_NUS-Z00_1&amp;f=A" TargetMode="External"/><Relationship Id="rId99" Type="http://schemas.openxmlformats.org/officeDocument/2006/relationships/hyperlink" Target="https://www.eia.gov/dnav/pet/hist/LeafHandler.ashx?n=PET&amp;s=M_EPLLEY_SAE_NUS_MBBL&amp;f=A" TargetMode="External"/><Relationship Id="rId122" Type="http://schemas.openxmlformats.org/officeDocument/2006/relationships/hyperlink" Target="https://www.eia.gov/dnav/pet/hist/LeafHandler.ashx?n=PET&amp;s=MOLUPUS1&amp;f=A" TargetMode="External"/><Relationship Id="rId164" Type="http://schemas.openxmlformats.org/officeDocument/2006/relationships/hyperlink" Target="https://www.eia.gov/dnav/pet/hist/LeafHandler.ashx?n=PET&amp;s=M_EPOORXFE_EEX_NUS-Z00_MBBL&amp;f=A" TargetMode="External"/><Relationship Id="rId371" Type="http://schemas.openxmlformats.org/officeDocument/2006/relationships/hyperlink" Target="https://www.eia.gov/dnav/pet/hist/LeafHandler.ashx?n=PET&amp;s=MCKIMUS1&amp;f=A" TargetMode="External"/><Relationship Id="rId774" Type="http://schemas.openxmlformats.org/officeDocument/2006/relationships/hyperlink" Target="https://www.eia.gov/dnav/pet/hist/LeafHandler.ashx?n=PET&amp;s=MCMIM_NUS-Z00_1&amp;f=A" TargetMode="External"/><Relationship Id="rId427" Type="http://schemas.openxmlformats.org/officeDocument/2006/relationships/hyperlink" Target="https://www.eia.gov/dnav/pet/hist/LeafHandler.ashx?n=PET&amp;s=MNGSTUS1&amp;f=A" TargetMode="External"/><Relationship Id="rId469" Type="http://schemas.openxmlformats.org/officeDocument/2006/relationships/hyperlink" Target="https://www.eia.gov/dnav/pet/hist/LeafHandler.ashx?n=PET&amp;s=M_EPLLBAI_YIR_NUS_MBBL&amp;f=A" TargetMode="External"/><Relationship Id="rId634" Type="http://schemas.openxmlformats.org/officeDocument/2006/relationships/hyperlink" Target="https://www.eia.gov/dnav/pet/hist/LeafHandler.ashx?n=PET&amp;s=MTPUA_NUS_1&amp;f=A" TargetMode="External"/><Relationship Id="rId676" Type="http://schemas.openxmlformats.org/officeDocument/2006/relationships/hyperlink" Target="https://www.eia.gov/dnav/pet/hist/LeafHandler.ashx?n=PET&amp;s=MKERPUS1&amp;f=A" TargetMode="External"/><Relationship Id="rId26" Type="http://schemas.openxmlformats.org/officeDocument/2006/relationships/hyperlink" Target="https://www.eia.gov/dnav/pet/hist/LeafHandler.ashx?n=PET&amp;s=MNGSCUS1&amp;f=A" TargetMode="External"/><Relationship Id="rId231" Type="http://schemas.openxmlformats.org/officeDocument/2006/relationships/hyperlink" Target="https://www.eia.gov/dnav/pet/hist/LeafHandler.ashx?n=PET&amp;s=MBAEXUS1&amp;f=A" TargetMode="External"/><Relationship Id="rId273" Type="http://schemas.openxmlformats.org/officeDocument/2006/relationships/hyperlink" Target="https://www.eia.gov/dnav/pet/hist/LeafHandler.ashx?n=PET&amp;s=MKJIMUS1&amp;f=A" TargetMode="External"/><Relationship Id="rId329" Type="http://schemas.openxmlformats.org/officeDocument/2006/relationships/hyperlink" Target="https://www.eia.gov/dnav/pet/hist/LeafHandler.ashx?n=PET&amp;s=MRMSTUS1&amp;f=A" TargetMode="External"/><Relationship Id="rId480" Type="http://schemas.openxmlformats.org/officeDocument/2006/relationships/hyperlink" Target="https://www.eia.gov/dnav/pet/hist/LeafHandler.ashx?n=PET&amp;s=M_EPLLNG_VPP_NUS_MBBL&amp;f=A" TargetMode="External"/><Relationship Id="rId536" Type="http://schemas.openxmlformats.org/officeDocument/2006/relationships/hyperlink" Target="https://www.eia.gov/dnav/pet/hist/LeafHandler.ashx?n=PET&amp;s=M_EPOOXXFE_YIR_NUS_MBBL&amp;f=A" TargetMode="External"/><Relationship Id="rId701" Type="http://schemas.openxmlformats.org/officeDocument/2006/relationships/hyperlink" Target="https://www.eia.gov/dnav/pet/hist/LeafHandler.ashx?n=PET&amp;s=M_EPDM10_VUA_NUS_1&amp;f=A" TargetMode="External"/><Relationship Id="rId68" Type="http://schemas.openxmlformats.org/officeDocument/2006/relationships/hyperlink" Target="https://www.eia.gov/dnav/pet/hist/LeafHandler.ashx?n=PET&amp;s=M_EPLLBAI_YNP_NUS_MBBL&amp;f=A" TargetMode="External"/><Relationship Id="rId133" Type="http://schemas.openxmlformats.org/officeDocument/2006/relationships/hyperlink" Target="https://www.eia.gov/dnav/pet/hist/LeafHandler.ashx?n=PET&amp;s=M_EPOOOH_YIR_NUS_MBBL&amp;f=A" TargetMode="External"/><Relationship Id="rId175" Type="http://schemas.openxmlformats.org/officeDocument/2006/relationships/hyperlink" Target="https://www.eia.gov/dnav/pet/hist/LeafHandler.ashx?n=PET&amp;s=M_EPOORDO_YNP_NUS_MBBL&amp;f=A" TargetMode="External"/><Relationship Id="rId340" Type="http://schemas.openxmlformats.org/officeDocument/2006/relationships/hyperlink" Target="https://www.eia.gov/dnav/pet/hist/LeafHandler.ashx?n=PET&amp;s=MNFRPUS1&amp;f=A" TargetMode="External"/><Relationship Id="rId578" Type="http://schemas.openxmlformats.org/officeDocument/2006/relationships/hyperlink" Target="https://www.eia.gov/dnav/pet/hist/LeafHandler.ashx?n=PET&amp;s=M_EPOORDO_VPP_NUS_MBBL&amp;f=A" TargetMode="External"/><Relationship Id="rId743" Type="http://schemas.openxmlformats.org/officeDocument/2006/relationships/hyperlink" Target="https://www.eia.gov/dnav/pet/hist/LeafHandler.ashx?n=PET&amp;s=MOTRPUS1&amp;f=A" TargetMode="External"/><Relationship Id="rId785" Type="http://schemas.openxmlformats.org/officeDocument/2006/relationships/hyperlink" Target="https://www.eia.gov/dnav/pet/hist/LeafHandler.ashx?n=PET&amp;s=MAPUPUS1&amp;f=A" TargetMode="External"/><Relationship Id="rId200" Type="http://schemas.openxmlformats.org/officeDocument/2006/relationships/hyperlink" Target="https://www.eia.gov/dnav/pet/hist/LeafHandler.ashx?n=PET&amp;s=MUORIUS1&amp;f=A" TargetMode="External"/><Relationship Id="rId382" Type="http://schemas.openxmlformats.org/officeDocument/2006/relationships/hyperlink" Target="https://www.eia.gov/dnav/pet/hist/LeafHandler.ashx?n=PET&amp;s=MCORPUS1&amp;f=A" TargetMode="External"/><Relationship Id="rId438" Type="http://schemas.openxmlformats.org/officeDocument/2006/relationships/hyperlink" Target="https://www.eia.gov/dnav/pet/hist/LeafHandler.ashx?n=PET&amp;s=M_EPLLEA_FPF_NUS_MBBL&amp;f=A" TargetMode="External"/><Relationship Id="rId603" Type="http://schemas.openxmlformats.org/officeDocument/2006/relationships/hyperlink" Target="https://www.eia.gov/dnav/pet/hist/LeafHandler.ashx?n=PET&amp;s=MBCUA_NUS_1&amp;f=A" TargetMode="External"/><Relationship Id="rId645" Type="http://schemas.openxmlformats.org/officeDocument/2006/relationships/hyperlink" Target="https://www.eia.gov/dnav/pet/hist/LeafHandler.ashx?n=PET&amp;s=MGFUPUS1&amp;f=A" TargetMode="External"/><Relationship Id="rId687" Type="http://schemas.openxmlformats.org/officeDocument/2006/relationships/hyperlink" Target="https://www.eia.gov/dnav/pet/hist/LeafHandler.ashx?n=PET&amp;s=MDIEXUS1&amp;f=A" TargetMode="External"/><Relationship Id="rId242" Type="http://schemas.openxmlformats.org/officeDocument/2006/relationships/hyperlink" Target="https://www.eia.gov/dnav/pet/hist/LeafHandler.ashx?n=PET&amp;s=M_EPM0F_YNP_NUS_MBBL&amp;f=A" TargetMode="External"/><Relationship Id="rId284" Type="http://schemas.openxmlformats.org/officeDocument/2006/relationships/hyperlink" Target="https://www.eia.gov/dnav/pet/hist/LeafHandler.ashx?n=PET&amp;s=MKESTUS1&amp;f=A" TargetMode="External"/><Relationship Id="rId491" Type="http://schemas.openxmlformats.org/officeDocument/2006/relationships/hyperlink" Target="https://www.eia.gov/dnav/pet/hist/LeafHandler.ashx?n=PET&amp;s=M_EPLOLE_SAE_NUS_MBBL&amp;f=A" TargetMode="External"/><Relationship Id="rId505" Type="http://schemas.openxmlformats.org/officeDocument/2006/relationships/hyperlink" Target="https://www.eia.gov/dnav/pet/hist/LeafHandler.ashx?n=PET&amp;s=M_EPLLBYN_VPP_NUS_MBBL&amp;f=A" TargetMode="External"/><Relationship Id="rId712" Type="http://schemas.openxmlformats.org/officeDocument/2006/relationships/hyperlink" Target="https://www.eia.gov/dnav/pet/hist/LeafHandler.ashx?n=PET&amp;s=MDGSTUS1&amp;f=A" TargetMode="External"/><Relationship Id="rId37" Type="http://schemas.openxmlformats.org/officeDocument/2006/relationships/hyperlink" Target="https://www.eia.gov/dnav/pet/hist/LeafHandler.ashx?n=PET&amp;s=M_EPL2_YIR_NUS_MBBL&amp;f=A" TargetMode="External"/><Relationship Id="rId79" Type="http://schemas.openxmlformats.org/officeDocument/2006/relationships/hyperlink" Target="https://www.eia.gov/dnav/pet/hist/LeafHandler.ashx?n=PET&amp;s=M_EPLLNG_IM0_NUS-Z00_MBBL&amp;f=A" TargetMode="External"/><Relationship Id="rId102" Type="http://schemas.openxmlformats.org/officeDocument/2006/relationships/hyperlink" Target="https://www.eia.gov/dnav/pet/hist/LeafHandler.ashx?n=PET&amp;s=M_EPLLPY_SCG_NUS_MBBL&amp;f=A" TargetMode="External"/><Relationship Id="rId144" Type="http://schemas.openxmlformats.org/officeDocument/2006/relationships/hyperlink" Target="https://www.eia.gov/dnav/pet/hist/LeafHandler.ashx?n=PET&amp;s=M_EPOOR_IM0_NUS-Z00_MBBL&amp;f=A" TargetMode="External"/><Relationship Id="rId547" Type="http://schemas.openxmlformats.org/officeDocument/2006/relationships/hyperlink" Target="https://www.eia.gov/dnav/pet/hist/LeafHandler.ashx?n=PET&amp;s=M_EPOOR_SAE_NUS_MBBL&amp;f=A" TargetMode="External"/><Relationship Id="rId589" Type="http://schemas.openxmlformats.org/officeDocument/2006/relationships/hyperlink" Target="https://www.eia.gov/dnav/pet/hist/LeafHandler.ashx?n=PET&amp;s=M_EPOOOXH_VUA_NUS_MBBL&amp;f=A" TargetMode="External"/><Relationship Id="rId754" Type="http://schemas.openxmlformats.org/officeDocument/2006/relationships/hyperlink" Target="https://www.eia.gov/dnav/pet/hist/LeafHandler.ashx?n=PET&amp;s=MNSSTUS1&amp;f=A" TargetMode="External"/><Relationship Id="rId90" Type="http://schemas.openxmlformats.org/officeDocument/2006/relationships/hyperlink" Target="https://www.eia.gov/dnav/pet/hist/LeafHandler.ashx?n=PET&amp;s=M_EPLOLE_YPR_NUS_MBBL&amp;f=A" TargetMode="External"/><Relationship Id="rId186" Type="http://schemas.openxmlformats.org/officeDocument/2006/relationships/hyperlink" Target="https://www.eia.gov/dnav/pet/hist/LeafHandler.ashx?n=PET&amp;s=M_EPOORO_SCG_NUS_MBBL&amp;f=A" TargetMode="External"/><Relationship Id="rId351" Type="http://schemas.openxmlformats.org/officeDocument/2006/relationships/hyperlink" Target="https://www.eia.gov/dnav/pet/hist/LeafHandler.ashx?n=PET&amp;s=MOTSTUS1&amp;f=A" TargetMode="External"/><Relationship Id="rId393" Type="http://schemas.openxmlformats.org/officeDocument/2006/relationships/hyperlink" Target="https://www.eia.gov/dnav/pet/hist/LeafHandler.ashx?n=PET&amp;s=MMSIMUS1&amp;f=A" TargetMode="External"/><Relationship Id="rId407" Type="http://schemas.openxmlformats.org/officeDocument/2006/relationships/hyperlink" Target="https://www.eia.gov/dnav/pet/hist/LeafHandler.ashx?n=PET&amp;s=MTTUPUS1&amp;f=A" TargetMode="External"/><Relationship Id="rId449" Type="http://schemas.openxmlformats.org/officeDocument/2006/relationships/hyperlink" Target="https://www.eia.gov/dnav/pet/hist/LeafHandler.ashx?n=PET&amp;s=M_EPLLPA_SCG_NUS_MBBL&amp;f=A" TargetMode="External"/><Relationship Id="rId614" Type="http://schemas.openxmlformats.org/officeDocument/2006/relationships/hyperlink" Target="https://www.eia.gov/dnav/pet/hist/LeafHandler.ashx?n=PET&amp;s=MO1EX_NUS-Z00_1&amp;f=A" TargetMode="External"/><Relationship Id="rId656" Type="http://schemas.openxmlformats.org/officeDocument/2006/relationships/hyperlink" Target="https://www.eia.gov/dnav/pet/hist/LeafHandler.ashx?n=PET&amp;s=MG4IM_NUS-Z00_1&amp;f=A" TargetMode="External"/><Relationship Id="rId211" Type="http://schemas.openxmlformats.org/officeDocument/2006/relationships/hyperlink" Target="https://www.eia.gov/dnav/pet/hist/LeafHandler.ashx?n=PET&amp;s=MBCSTUS1&amp;f=A" TargetMode="External"/><Relationship Id="rId253" Type="http://schemas.openxmlformats.org/officeDocument/2006/relationships/hyperlink" Target="https://www.eia.gov/dnav/pet/hist/LeafHandler.ashx?n=PET&amp;s=MGRSCUS1&amp;f=A" TargetMode="External"/><Relationship Id="rId295" Type="http://schemas.openxmlformats.org/officeDocument/2006/relationships/hyperlink" Target="https://www.eia.gov/dnav/pet/hist/LeafHandler.ashx?n=PET&amp;s=MD0IM_NUS-Z00_1&amp;f=A" TargetMode="External"/><Relationship Id="rId309" Type="http://schemas.openxmlformats.org/officeDocument/2006/relationships/hyperlink" Target="https://www.eia.gov/dnav/pet/hist/LeafHandler.ashx?n=PET&amp;s=M_EPD00H_YNP_NUS_MBBL&amp;f=A" TargetMode="External"/><Relationship Id="rId460" Type="http://schemas.openxmlformats.org/officeDocument/2006/relationships/hyperlink" Target="https://www.eia.gov/dnav/pet/hist/LeafHandler.ashx?n=PET&amp;s=MBUEX_NUS-Z00_1&amp;f=A" TargetMode="External"/><Relationship Id="rId516" Type="http://schemas.openxmlformats.org/officeDocument/2006/relationships/hyperlink" Target="https://www.eia.gov/dnav/pet/hist/LeafHandler.ashx?n=PET&amp;s=MOLSCUS1&amp;f=A" TargetMode="External"/><Relationship Id="rId698" Type="http://schemas.openxmlformats.org/officeDocument/2006/relationships/hyperlink" Target="https://www.eia.gov/dnav/pet/hist/LeafHandler.ashx?n=PET&amp;s=M_EPDM10_YNP_NUS_MBBL&amp;f=A" TargetMode="External"/><Relationship Id="rId48" Type="http://schemas.openxmlformats.org/officeDocument/2006/relationships/hyperlink" Target="https://www.eia.gov/dnav/pet/hist/LeafHandler.ashx?n=PET&amp;s=M_EPLLPA_FPF_NUS_MBBL&amp;f=A" TargetMode="External"/><Relationship Id="rId113" Type="http://schemas.openxmlformats.org/officeDocument/2006/relationships/hyperlink" Target="https://www.eia.gov/dnav/pet/hist/LeafHandler.ashx?n=PET&amp;s=M_EPLLBYI_VPP_NUS_MBBL&amp;f=A" TargetMode="External"/><Relationship Id="rId320" Type="http://schemas.openxmlformats.org/officeDocument/2006/relationships/hyperlink" Target="https://www.eia.gov/dnav/pet/hist/LeafHandler.ashx?n=PET&amp;s=MREUPUS1&amp;f=A" TargetMode="External"/><Relationship Id="rId558" Type="http://schemas.openxmlformats.org/officeDocument/2006/relationships/hyperlink" Target="https://www.eia.gov/dnav/pet/hist/LeafHandler.ashx?n=PET&amp;s=M_EPOORXFE_VUA_NUS_MBBL&amp;f=A" TargetMode="External"/><Relationship Id="rId723" Type="http://schemas.openxmlformats.org/officeDocument/2006/relationships/hyperlink" Target="https://www.eia.gov/dnav/pet/hist/LeafHandler.ashx?n=PET&amp;s=MRMRPUS1&amp;f=A" TargetMode="External"/><Relationship Id="rId765" Type="http://schemas.openxmlformats.org/officeDocument/2006/relationships/hyperlink" Target="https://www.eia.gov/dnav/pet/hist/LeafHandler.ashx?n=PET&amp;s=MWXUPUS1&amp;f=A" TargetMode="External"/><Relationship Id="rId155" Type="http://schemas.openxmlformats.org/officeDocument/2006/relationships/hyperlink" Target="https://www.eia.gov/dnav/pet/hist/LeafHandler.ashx?n=PET&amp;s=MFERIUS1&amp;f=A" TargetMode="External"/><Relationship Id="rId197" Type="http://schemas.openxmlformats.org/officeDocument/2006/relationships/hyperlink" Target="https://www.eia.gov/dnav/pet/hist/LeafHandler.ashx?n=PET&amp;s=M_EPPU_TVP_NUS_MBBL&amp;f=A" TargetMode="External"/><Relationship Id="rId362" Type="http://schemas.openxmlformats.org/officeDocument/2006/relationships/hyperlink" Target="https://www.eia.gov/dnav/pet/hist/LeafHandler.ashx?n=PET&amp;s=MLUUPUS1&amp;f=A" TargetMode="External"/><Relationship Id="rId418" Type="http://schemas.openxmlformats.org/officeDocument/2006/relationships/hyperlink" Target="https://www.eia.gov/dnav/pet/hist/LeafHandler.ashx?n=PET&amp;s=MNGFPUS1&amp;f=A" TargetMode="External"/><Relationship Id="rId625" Type="http://schemas.openxmlformats.org/officeDocument/2006/relationships/hyperlink" Target="https://www.eia.gov/dnav/pet/hist/LeafHandler.ashx?n=PET&amp;s=MBAIMUS1&amp;f=A" TargetMode="External"/><Relationship Id="rId222" Type="http://schemas.openxmlformats.org/officeDocument/2006/relationships/hyperlink" Target="https://www.eia.gov/dnav/pet/hist/LeafHandler.ashx?n=PET&amp;s=MO5UA_NUS_1&amp;f=A" TargetMode="External"/><Relationship Id="rId264" Type="http://schemas.openxmlformats.org/officeDocument/2006/relationships/hyperlink" Target="https://www.eia.gov/dnav/pet/hist/LeafHandler.ashx?n=PET&amp;s=MG4ST_NUS_1&amp;f=A" TargetMode="External"/><Relationship Id="rId471" Type="http://schemas.openxmlformats.org/officeDocument/2006/relationships/hyperlink" Target="https://www.eia.gov/dnav/pet/hist/LeafHandler.ashx?n=PET&amp;s=M_EPLLBAI_VPP_NUS_MBBL&amp;f=A" TargetMode="External"/><Relationship Id="rId667" Type="http://schemas.openxmlformats.org/officeDocument/2006/relationships/hyperlink" Target="https://www.eia.gov/dnav/pet/hist/LeafHandler.ashx?n=PET&amp;s=MGASTUS1&amp;f=A" TargetMode="External"/><Relationship Id="rId17" Type="http://schemas.openxmlformats.org/officeDocument/2006/relationships/hyperlink" Target="https://www.eia.gov/dnav/pet/hist/LeafHandler.ashx?n=PET&amp;s=MCRRIUS1&amp;f=A" TargetMode="External"/><Relationship Id="rId59" Type="http://schemas.openxmlformats.org/officeDocument/2006/relationships/hyperlink" Target="https://www.eia.gov/dnav/pet/hist/LeafHandler.ashx?n=PET&amp;s=MBURPUS1&amp;f=A" TargetMode="External"/><Relationship Id="rId124" Type="http://schemas.openxmlformats.org/officeDocument/2006/relationships/hyperlink" Target="https://www.eia.gov/dnav/pet/hist/LeafHandler.ashx?n=PET&amp;s=M_EPOO_YNP_NUS_MBBL&amp;f=A" TargetMode="External"/><Relationship Id="rId527" Type="http://schemas.openxmlformats.org/officeDocument/2006/relationships/hyperlink" Target="https://www.eia.gov/dnav/pet/hist/LeafHandler.ashx?n=PET&amp;s=MOHUPUS1&amp;f=A" TargetMode="External"/><Relationship Id="rId569" Type="http://schemas.openxmlformats.org/officeDocument/2006/relationships/hyperlink" Target="https://www.eia.gov/dnav/pet/hist/LeafHandler.ashx?n=PET&amp;s=M_EPOORDB_EEX_NUS-Z00_MBBL&amp;f=A" TargetMode="External"/><Relationship Id="rId734" Type="http://schemas.openxmlformats.org/officeDocument/2006/relationships/hyperlink" Target="https://www.eia.gov/dnav/pet/hist/LeafHandler.ashx?n=PET&amp;s=MPCEX_NUS-Z00_1&amp;f=A" TargetMode="External"/><Relationship Id="rId776" Type="http://schemas.openxmlformats.org/officeDocument/2006/relationships/hyperlink" Target="https://www.eia.gov/dnav/pet/hist/LeafHandler.ashx?n=PET&amp;s=MCMEX_NUS-Z00_1&amp;f=A" TargetMode="External"/><Relationship Id="rId70" Type="http://schemas.openxmlformats.org/officeDocument/2006/relationships/hyperlink" Target="https://www.eia.gov/dnav/pet/hist/LeafHandler.ashx?n=PET&amp;s=MIIIM_NUS-Z00_1&amp;f=A" TargetMode="External"/><Relationship Id="rId166" Type="http://schemas.openxmlformats.org/officeDocument/2006/relationships/hyperlink" Target="https://www.eia.gov/dnav/pet/hist/LeafHandler.ashx?n=PET&amp;s=M_EPOORXFE_SAE_NUS_MBBL&amp;f=A" TargetMode="External"/><Relationship Id="rId331" Type="http://schemas.openxmlformats.org/officeDocument/2006/relationships/hyperlink" Target="https://www.eia.gov/dnav/pet/hist/LeafHandler.ashx?n=PET&amp;s=MRZIMUS1&amp;f=A" TargetMode="External"/><Relationship Id="rId373" Type="http://schemas.openxmlformats.org/officeDocument/2006/relationships/hyperlink" Target="https://www.eia.gov/dnav/pet/hist/LeafHandler.ashx?n=PET&amp;s=MCKEXUS1&amp;f=A" TargetMode="External"/><Relationship Id="rId429" Type="http://schemas.openxmlformats.org/officeDocument/2006/relationships/hyperlink" Target="https://www.eia.gov/dnav/pet/hist/LeafHandler.ashx?n=PET&amp;s=M_EPL2_TVP_NUS_MBBL&amp;f=A" TargetMode="External"/><Relationship Id="rId580" Type="http://schemas.openxmlformats.org/officeDocument/2006/relationships/hyperlink" Target="https://www.eia.gov/dnav/pet/hist/LeafHandler.ashx?n=PET&amp;s=M_EPOORO_YNP_NUS_MBBL&amp;f=A" TargetMode="External"/><Relationship Id="rId636" Type="http://schemas.openxmlformats.org/officeDocument/2006/relationships/hyperlink" Target="https://www.eia.gov/dnav/pet/hist/LeafHandler.ashx?n=PET&amp;s=MTPEXUS1&amp;f=A" TargetMode="External"/><Relationship Id="rId1" Type="http://schemas.openxmlformats.org/officeDocument/2006/relationships/hyperlink" Target="https://www.eia.gov/dnav/pet/hist/LeafHandler.ashx?n=PET&amp;s=MTTFPUS1&amp;f=A" TargetMode="External"/><Relationship Id="rId233" Type="http://schemas.openxmlformats.org/officeDocument/2006/relationships/hyperlink" Target="https://www.eia.gov/dnav/pet/hist/LeafHandler.ashx?n=PET&amp;s=MBASTUS1&amp;f=A" TargetMode="External"/><Relationship Id="rId440" Type="http://schemas.openxmlformats.org/officeDocument/2006/relationships/hyperlink" Target="https://www.eia.gov/dnav/pet/hist/LeafHandler.ashx?n=PET&amp;s=MENIMUS1&amp;f=A" TargetMode="External"/><Relationship Id="rId678" Type="http://schemas.openxmlformats.org/officeDocument/2006/relationships/hyperlink" Target="https://www.eia.gov/dnav/pet/hist/LeafHandler.ashx?n=PET&amp;s=MKESCUS1&amp;f=A" TargetMode="External"/><Relationship Id="rId28" Type="http://schemas.openxmlformats.org/officeDocument/2006/relationships/hyperlink" Target="https://www.eia.gov/dnav/pet/hist/LeafHandler.ashx?n=PET&amp;s=MNGEXUS1&amp;f=A" TargetMode="External"/><Relationship Id="rId275" Type="http://schemas.openxmlformats.org/officeDocument/2006/relationships/hyperlink" Target="https://www.eia.gov/dnav/pet/hist/LeafHandler.ashx?n=PET&amp;s=MKJEXUS1&amp;f=A" TargetMode="External"/><Relationship Id="rId300" Type="http://schemas.openxmlformats.org/officeDocument/2006/relationships/hyperlink" Target="https://www.eia.gov/dnav/pet/hist/LeafHandler.ashx?n=PET&amp;s=MD0ST_NUS_1&amp;f=A" TargetMode="External"/><Relationship Id="rId482" Type="http://schemas.openxmlformats.org/officeDocument/2006/relationships/hyperlink" Target="https://www.eia.gov/dnav/pet/hist/LeafHandler.ashx?n=PET&amp;s=M_EPLLCS_FPF_NUS_MBBL&amp;f=A" TargetMode="External"/><Relationship Id="rId538" Type="http://schemas.openxmlformats.org/officeDocument/2006/relationships/hyperlink" Target="https://www.eia.gov/dnav/pet/hist/LeafHandler.ashx?n=PET&amp;s=M_EPOOXXFE_VPP_NUS_MBBL&amp;f=A" TargetMode="External"/><Relationship Id="rId703" Type="http://schemas.openxmlformats.org/officeDocument/2006/relationships/hyperlink" Target="https://www.eia.gov/dnav/pet/hist/LeafHandler.ashx?n=PET&amp;s=MD1EX_NUS-Z00_1&amp;f=A" TargetMode="External"/><Relationship Id="rId745" Type="http://schemas.openxmlformats.org/officeDocument/2006/relationships/hyperlink" Target="https://www.eia.gov/dnav/pet/hist/LeafHandler.ashx?n=PET&amp;s=MOTSCUS1&amp;f=A" TargetMode="External"/><Relationship Id="rId81" Type="http://schemas.openxmlformats.org/officeDocument/2006/relationships/hyperlink" Target="https://www.eia.gov/dnav/pet/hist/LeafHandler.ashx?n=PET&amp;s=M_EPLLNG_YIR_NUS_MBBL&amp;f=A" TargetMode="External"/><Relationship Id="rId135" Type="http://schemas.openxmlformats.org/officeDocument/2006/relationships/hyperlink" Target="https://www.eia.gov/dnav/pet/hist/LeafHandler.ashx?n=PET&amp;s=M_EPOOXXFE_YNP_NUS_MBBL&amp;f=A" TargetMode="External"/><Relationship Id="rId177" Type="http://schemas.openxmlformats.org/officeDocument/2006/relationships/hyperlink" Target="https://www.eia.gov/dnav/pet/hist/LeafHandler.ashx?n=PET&amp;s=M_EPOORDO_VUA_NUS_MBBL&amp;f=A" TargetMode="External"/><Relationship Id="rId342" Type="http://schemas.openxmlformats.org/officeDocument/2006/relationships/hyperlink" Target="https://www.eia.gov/dnav/pet/hist/LeafHandler.ashx?n=PET&amp;s=MNFSCUS1&amp;f=A" TargetMode="External"/><Relationship Id="rId384" Type="http://schemas.openxmlformats.org/officeDocument/2006/relationships/hyperlink" Target="https://www.eia.gov/dnav/pet/hist/LeafHandler.ashx?n=PET&amp;s=MAPRPUS1&amp;f=A" TargetMode="External"/><Relationship Id="rId591" Type="http://schemas.openxmlformats.org/officeDocument/2006/relationships/hyperlink" Target="https://www.eia.gov/dnav/pet/hist/LeafHandler.ashx?n=PET&amp;s=M_EPOOOXH_YIR_NUS_MBBL&amp;f=A" TargetMode="External"/><Relationship Id="rId605" Type="http://schemas.openxmlformats.org/officeDocument/2006/relationships/hyperlink" Target="https://www.eia.gov/dnav/pet/hist/LeafHandler.ashx?n=PET&amp;s=MBCRIUS1&amp;f=A" TargetMode="External"/><Relationship Id="rId787" Type="http://schemas.openxmlformats.org/officeDocument/2006/relationships/hyperlink" Target="https://www.eia.gov/dnav/pet/hist/LeafHandler.ashx?n=PET&amp;s=MSGRPUS1&amp;f=A" TargetMode="External"/><Relationship Id="rId202" Type="http://schemas.openxmlformats.org/officeDocument/2006/relationships/hyperlink" Target="https://www.eia.gov/dnav/pet/hist/LeafHandler.ashx?n=PET&amp;s=MUOUPUS1&amp;f=A" TargetMode="External"/><Relationship Id="rId244" Type="http://schemas.openxmlformats.org/officeDocument/2006/relationships/hyperlink" Target="https://www.eia.gov/dnav/pet/hist/LeafHandler.ashx?n=PET&amp;s=MGFIMUS1&amp;f=A" TargetMode="External"/><Relationship Id="rId647" Type="http://schemas.openxmlformats.org/officeDocument/2006/relationships/hyperlink" Target="https://www.eia.gov/dnav/pet/hist/LeafHandler.ashx?n=PET&amp;s=MGRRPUS1&amp;f=A" TargetMode="External"/><Relationship Id="rId689" Type="http://schemas.openxmlformats.org/officeDocument/2006/relationships/hyperlink" Target="https://www.eia.gov/dnav/pet/hist/LeafHandler.ashx?n=PET&amp;s=MDISTUS1&amp;f=A" TargetMode="External"/><Relationship Id="rId39" Type="http://schemas.openxmlformats.org/officeDocument/2006/relationships/hyperlink" Target="https://www.eia.gov/dnav/pet/hist/LeafHandler.ashx?n=PET&amp;s=M_EPL2_VPP_NUS_MBBL&amp;f=A" TargetMode="External"/><Relationship Id="rId286" Type="http://schemas.openxmlformats.org/officeDocument/2006/relationships/hyperlink" Target="https://www.eia.gov/dnav/pet/hist/LeafHandler.ashx?n=PET&amp;s=MDIRPUS1&amp;f=A" TargetMode="External"/><Relationship Id="rId451" Type="http://schemas.openxmlformats.org/officeDocument/2006/relationships/hyperlink" Target="https://www.eia.gov/dnav/pet/hist/LeafHandler.ashx?n=PET&amp;s=M_EPLLPA_VPP_NUS_MBBL&amp;f=A" TargetMode="External"/><Relationship Id="rId493" Type="http://schemas.openxmlformats.org/officeDocument/2006/relationships/hyperlink" Target="https://www.eia.gov/dnav/pet/hist/LeafHandler.ashx?n=PET&amp;s=MEYIMUS1&amp;f=A" TargetMode="External"/><Relationship Id="rId507" Type="http://schemas.openxmlformats.org/officeDocument/2006/relationships/hyperlink" Target="https://www.eia.gov/dnav/pet/hist/LeafHandler.ashx?n=PET&amp;s=MIYRPUS1&amp;f=A" TargetMode="External"/><Relationship Id="rId549" Type="http://schemas.openxmlformats.org/officeDocument/2006/relationships/hyperlink" Target="https://www.eia.gov/dnav/pet/hist/LeafHandler.ashx?n=PET&amp;s=MFEIMUS1&amp;f=A" TargetMode="External"/><Relationship Id="rId714" Type="http://schemas.openxmlformats.org/officeDocument/2006/relationships/hyperlink" Target="https://www.eia.gov/dnav/pet/hist/LeafHandler.ashx?n=PET&amp;s=MREIMUS1&amp;f=A" TargetMode="External"/><Relationship Id="rId756" Type="http://schemas.openxmlformats.org/officeDocument/2006/relationships/hyperlink" Target="https://www.eia.gov/dnav/pet/hist/LeafHandler.ashx?n=PET&amp;s=MLUIMUS1&amp;f=A" TargetMode="External"/><Relationship Id="rId50" Type="http://schemas.openxmlformats.org/officeDocument/2006/relationships/hyperlink" Target="https://www.eia.gov/dnav/pet/hist/LeafHandler.ashx?n=PET&amp;s=MPARP_NUS_1&amp;f=A" TargetMode="External"/><Relationship Id="rId104" Type="http://schemas.openxmlformats.org/officeDocument/2006/relationships/hyperlink" Target="https://www.eia.gov/dnav/pet/hist/LeafHandler.ashx?n=PET&amp;s=M_EPLLPY_SAE_NUS_MBBL&amp;f=A" TargetMode="External"/><Relationship Id="rId146" Type="http://schemas.openxmlformats.org/officeDocument/2006/relationships/hyperlink" Target="https://www.eia.gov/dnav/pet/hist/LeafHandler.ashx?n=PET&amp;s=M_EPOOR_SCG_NUS_MBBL&amp;f=A" TargetMode="External"/><Relationship Id="rId188" Type="http://schemas.openxmlformats.org/officeDocument/2006/relationships/hyperlink" Target="https://www.eia.gov/dnav/pet/hist/LeafHandler.ashx?n=PET&amp;s=M_EPOORO_EEX_NUS-Z00_MBBL&amp;f=A" TargetMode="External"/><Relationship Id="rId311" Type="http://schemas.openxmlformats.org/officeDocument/2006/relationships/hyperlink" Target="https://www.eia.gov/dnav/pet/hist/LeafHandler.ashx?n=PET&amp;s=MDGIMUS1&amp;f=A" TargetMode="External"/><Relationship Id="rId353" Type="http://schemas.openxmlformats.org/officeDocument/2006/relationships/hyperlink" Target="https://www.eia.gov/dnav/pet/hist/LeafHandler.ashx?n=PET&amp;s=MNSIMUS1&amp;f=A" TargetMode="External"/><Relationship Id="rId395" Type="http://schemas.openxmlformats.org/officeDocument/2006/relationships/hyperlink" Target="https://www.eia.gov/dnav/pet/hist/LeafHandler.ashx?n=PET&amp;s=MMSEXUS1&amp;f=A" TargetMode="External"/><Relationship Id="rId409" Type="http://schemas.openxmlformats.org/officeDocument/2006/relationships/hyperlink" Target="https://www.eia.gov/dnav/pet/hist/LeafHandler.ashx?n=PET&amp;s=MCRFPUS1&amp;f=A" TargetMode="External"/><Relationship Id="rId560" Type="http://schemas.openxmlformats.org/officeDocument/2006/relationships/hyperlink" Target="https://www.eia.gov/dnav/pet/hist/LeafHandler.ashx?n=PET&amp;s=M_EPOORXFE_YIR_NUS_MBBL&amp;f=A" TargetMode="External"/><Relationship Id="rId92" Type="http://schemas.openxmlformats.org/officeDocument/2006/relationships/hyperlink" Target="https://www.eia.gov/dnav/pet/hist/LeafHandler.ashx?n=PET&amp;s=M_EPLOLE_SCG_NUS_MBBL&amp;f=A" TargetMode="External"/><Relationship Id="rId213" Type="http://schemas.openxmlformats.org/officeDocument/2006/relationships/hyperlink" Target="https://www.eia.gov/dnav/pet/hist/LeafHandler.ashx?n=PET&amp;s=MO1IM_NUS-Z00_1&amp;f=A" TargetMode="External"/><Relationship Id="rId420" Type="http://schemas.openxmlformats.org/officeDocument/2006/relationships/hyperlink" Target="https://www.eia.gov/dnav/pet/hist/LeafHandler.ashx?n=PET&amp;s=M_EPL0_YNP_NUS_MBBL&amp;f=A" TargetMode="External"/><Relationship Id="rId616" Type="http://schemas.openxmlformats.org/officeDocument/2006/relationships/hyperlink" Target="https://www.eia.gov/dnav/pet/hist/LeafHandler.ashx?n=PET&amp;s=MO1ST_NUS_1&amp;f=A" TargetMode="External"/><Relationship Id="rId658" Type="http://schemas.openxmlformats.org/officeDocument/2006/relationships/hyperlink" Target="https://www.eia.gov/dnav/pet/hist/LeafHandler.ashx?n=PET&amp;s=MG4SC_NUS_1&amp;f=A" TargetMode="External"/><Relationship Id="rId255" Type="http://schemas.openxmlformats.org/officeDocument/2006/relationships/hyperlink" Target="https://www.eia.gov/dnav/pet/hist/LeafHandler.ashx?n=PET&amp;s=MGRUPUS1&amp;f=A" TargetMode="External"/><Relationship Id="rId297" Type="http://schemas.openxmlformats.org/officeDocument/2006/relationships/hyperlink" Target="https://www.eia.gov/dnav/pet/hist/LeafHandler.ashx?n=PET&amp;s=MD0SC_NUS_1&amp;f=A" TargetMode="External"/><Relationship Id="rId462" Type="http://schemas.openxmlformats.org/officeDocument/2006/relationships/hyperlink" Target="https://www.eia.gov/dnav/pet/hist/LeafHandler.ashx?n=PET&amp;s=M_EPLLBAN_SAE_NUS_MBBL&amp;f=A" TargetMode="External"/><Relationship Id="rId518" Type="http://schemas.openxmlformats.org/officeDocument/2006/relationships/hyperlink" Target="https://www.eia.gov/dnav/pet/hist/LeafHandler.ashx?n=PET&amp;s=MOLEXUS1&amp;f=A" TargetMode="External"/><Relationship Id="rId725" Type="http://schemas.openxmlformats.org/officeDocument/2006/relationships/hyperlink" Target="https://www.eia.gov/dnav/pet/hist/LeafHandler.ashx?n=PET&amp;s=MRYSC_NUS_1&amp;f=A" TargetMode="External"/><Relationship Id="rId115" Type="http://schemas.openxmlformats.org/officeDocument/2006/relationships/hyperlink" Target="https://www.eia.gov/dnav/pet/hist/LeafHandler.ashx?n=PET&amp;s=M_EPOL_TVP_NUS_MBBL&amp;f=A" TargetMode="External"/><Relationship Id="rId157" Type="http://schemas.openxmlformats.org/officeDocument/2006/relationships/hyperlink" Target="https://www.eia.gov/dnav/pet/hist/LeafHandler.ashx?n=PET&amp;s=M_EPOOXE_VPP_NUS_MBBL&amp;f=A" TargetMode="External"/><Relationship Id="rId322" Type="http://schemas.openxmlformats.org/officeDocument/2006/relationships/hyperlink" Target="https://www.eia.gov/dnav/pet/hist/LeafHandler.ashx?n=PET&amp;s=MRLRPUS1&amp;f=A" TargetMode="External"/><Relationship Id="rId364" Type="http://schemas.openxmlformats.org/officeDocument/2006/relationships/hyperlink" Target="https://www.eia.gov/dnav/pet/hist/LeafHandler.ashx?n=PET&amp;s=MWXRPUS1&amp;f=A" TargetMode="External"/><Relationship Id="rId767" Type="http://schemas.openxmlformats.org/officeDocument/2006/relationships/hyperlink" Target="https://www.eia.gov/dnav/pet/hist/LeafHandler.ashx?n=PET&amp;s=MCKRPUS1&amp;f=A" TargetMode="External"/><Relationship Id="rId61" Type="http://schemas.openxmlformats.org/officeDocument/2006/relationships/hyperlink" Target="https://www.eia.gov/dnav/pet/hist/LeafHandler.ashx?n=PET&amp;s=M_EPLLBAN_SCG_NUS_MBBL&amp;f=A" TargetMode="External"/><Relationship Id="rId199" Type="http://schemas.openxmlformats.org/officeDocument/2006/relationships/hyperlink" Target="https://www.eia.gov/dnav/pet/hist/LeafHandler.ashx?n=PET&amp;s=MUOSCUS1&amp;f=A" TargetMode="External"/><Relationship Id="rId571" Type="http://schemas.openxmlformats.org/officeDocument/2006/relationships/hyperlink" Target="https://www.eia.gov/dnav/pet/hist/LeafHandler.ashx?n=PET&amp;s=M_EPOORDB_SAE_NUS_MBBL&amp;f=A" TargetMode="External"/><Relationship Id="rId627" Type="http://schemas.openxmlformats.org/officeDocument/2006/relationships/hyperlink" Target="https://www.eia.gov/dnav/pet/hist/LeafHandler.ashx?n=PET&amp;s=MBARIUS1&amp;f=A" TargetMode="External"/><Relationship Id="rId669" Type="http://schemas.openxmlformats.org/officeDocument/2006/relationships/hyperlink" Target="https://www.eia.gov/dnav/pet/hist/LeafHandler.ashx?n=PET&amp;s=MKJRPUS1&amp;f=A" TargetMode="External"/><Relationship Id="rId19" Type="http://schemas.openxmlformats.org/officeDocument/2006/relationships/hyperlink" Target="https://www.eia.gov/dnav/pet/hist/LeafHandler.ashx?n=PET&amp;s=MCRUPUS1&amp;f=A" TargetMode="External"/><Relationship Id="rId224" Type="http://schemas.openxmlformats.org/officeDocument/2006/relationships/hyperlink" Target="https://www.eia.gov/dnav/pet/hist/LeafHandler.ashx?n=PET&amp;s=MO5RI_NUS_1&amp;f=A" TargetMode="External"/><Relationship Id="rId266" Type="http://schemas.openxmlformats.org/officeDocument/2006/relationships/hyperlink" Target="https://www.eia.gov/dnav/pet/hist/LeafHandler.ashx?n=PET&amp;s=MGAIMUS1&amp;f=A" TargetMode="External"/><Relationship Id="rId431" Type="http://schemas.openxmlformats.org/officeDocument/2006/relationships/hyperlink" Target="https://www.eia.gov/dnav/pet/hist/LeafHandler.ashx?n=PET&amp;s=M_EPL2_YPR_NUS_MBBL&amp;f=A" TargetMode="External"/><Relationship Id="rId473" Type="http://schemas.openxmlformats.org/officeDocument/2006/relationships/hyperlink" Target="https://www.eia.gov/dnav/pet/hist/LeafHandler.ashx?n=PET&amp;s=M_EPLLNG_FPF_NUS_MBBL&amp;f=A" TargetMode="External"/><Relationship Id="rId529" Type="http://schemas.openxmlformats.org/officeDocument/2006/relationships/hyperlink" Target="https://www.eia.gov/dnav/pet/hist/LeafHandler.ashx?n=PET&amp;s=M_EPOOOH_VUA_NUS_MBBL&amp;f=A" TargetMode="External"/><Relationship Id="rId680" Type="http://schemas.openxmlformats.org/officeDocument/2006/relationships/hyperlink" Target="https://www.eia.gov/dnav/pet/hist/LeafHandler.ashx?n=PET&amp;s=MKEUPUS1&amp;f=A" TargetMode="External"/><Relationship Id="rId736" Type="http://schemas.openxmlformats.org/officeDocument/2006/relationships/hyperlink" Target="https://www.eia.gov/dnav/pet/hist/LeafHandler.ashx?n=PET&amp;s=MPCST_NUS_1&amp;f=A" TargetMode="External"/><Relationship Id="rId30" Type="http://schemas.openxmlformats.org/officeDocument/2006/relationships/hyperlink" Target="https://www.eia.gov/dnav/pet/hist/LeafHandler.ashx?n=PET&amp;s=MNGSTUS1&amp;f=A" TargetMode="External"/><Relationship Id="rId126" Type="http://schemas.openxmlformats.org/officeDocument/2006/relationships/hyperlink" Target="https://www.eia.gov/dnav/pet/hist/LeafHandler.ashx?n=PET&amp;s=MOHUA_NUS_1&amp;f=A" TargetMode="External"/><Relationship Id="rId168" Type="http://schemas.openxmlformats.org/officeDocument/2006/relationships/hyperlink" Target="https://www.eia.gov/dnav/pet/hist/LeafHandler.ashx?n=PET&amp;s=M_EPOORDB_IM0_NUS-Z00_MBBL&amp;f=A" TargetMode="External"/><Relationship Id="rId333" Type="http://schemas.openxmlformats.org/officeDocument/2006/relationships/hyperlink" Target="https://www.eia.gov/dnav/pet/hist/LeafHandler.ashx?n=PET&amp;s=MRGSTUS1&amp;f=A" TargetMode="External"/><Relationship Id="rId540" Type="http://schemas.openxmlformats.org/officeDocument/2006/relationships/hyperlink" Target="https://www.eia.gov/dnav/pet/hist/LeafHandler.ashx?n=PET&amp;s=M_EPOOR_YNP_NUS_MBBL&amp;f=A" TargetMode="External"/><Relationship Id="rId778" Type="http://schemas.openxmlformats.org/officeDocument/2006/relationships/hyperlink" Target="https://www.eia.gov/dnav/pet/hist/LeafHandler.ashx?n=PET&amp;s=MCMST_NUS_1&amp;f=A" TargetMode="External"/><Relationship Id="rId72" Type="http://schemas.openxmlformats.org/officeDocument/2006/relationships/hyperlink" Target="https://www.eia.gov/dnav/pet/hist/LeafHandler.ashx?n=PET&amp;s=M_EPLLBAI_YIR_NUS_MBBL&amp;f=A" TargetMode="External"/><Relationship Id="rId375" Type="http://schemas.openxmlformats.org/officeDocument/2006/relationships/hyperlink" Target="https://www.eia.gov/dnav/pet/hist/LeafHandler.ashx?n=PET&amp;s=MCKSTUS1&amp;f=A" TargetMode="External"/><Relationship Id="rId582" Type="http://schemas.openxmlformats.org/officeDocument/2006/relationships/hyperlink" Target="https://www.eia.gov/dnav/pet/hist/LeafHandler.ashx?n=PET&amp;s=M_EPOORO_VUA_NUS_MBBL&amp;f=A" TargetMode="External"/><Relationship Id="rId638" Type="http://schemas.openxmlformats.org/officeDocument/2006/relationships/hyperlink" Target="https://www.eia.gov/dnav/pet/hist/LeafHandler.ashx?n=PET&amp;s=MTPSTUS1&amp;f=A" TargetMode="External"/><Relationship Id="rId3" Type="http://schemas.openxmlformats.org/officeDocument/2006/relationships/hyperlink" Target="https://www.eia.gov/dnav/pet/hist/LeafHandler.ashx?n=PET&amp;s=M_EP00_YNP_NUS_MBBL&amp;f=A" TargetMode="External"/><Relationship Id="rId235" Type="http://schemas.openxmlformats.org/officeDocument/2006/relationships/hyperlink" Target="https://www.eia.gov/dnav/pet/hist/LeafHandler.ashx?n=PET&amp;s=MTPRPUS1&amp;f=A" TargetMode="External"/><Relationship Id="rId277" Type="http://schemas.openxmlformats.org/officeDocument/2006/relationships/hyperlink" Target="https://www.eia.gov/dnav/pet/hist/LeafHandler.ashx?n=PET&amp;s=MKJSTUS1&amp;f=A" TargetMode="External"/><Relationship Id="rId400" Type="http://schemas.openxmlformats.org/officeDocument/2006/relationships/hyperlink" Target="https://www.eia.gov/dnav/pet/hist/LeafHandler.ashx?n=PET&amp;s=M_EP00_YNP_NUS_MBBL&amp;f=A" TargetMode="External"/><Relationship Id="rId442" Type="http://schemas.openxmlformats.org/officeDocument/2006/relationships/hyperlink" Target="https://www.eia.gov/dnav/pet/hist/LeafHandler.ashx?n=PET&amp;s=M_EPLLEA_EEX_NUS-Z00_1&amp;f=A" TargetMode="External"/><Relationship Id="rId484" Type="http://schemas.openxmlformats.org/officeDocument/2006/relationships/hyperlink" Target="https://www.eia.gov/dnav/pet/hist/LeafHandler.ashx?n=PET&amp;s=M_EPLLCS_SCG_NUS_MBBL&amp;f=A" TargetMode="External"/><Relationship Id="rId705" Type="http://schemas.openxmlformats.org/officeDocument/2006/relationships/hyperlink" Target="https://www.eia.gov/dnav/pet/hist/LeafHandler.ashx?n=PET&amp;s=MD1ST_NUS_1&amp;f=A" TargetMode="External"/><Relationship Id="rId137" Type="http://schemas.openxmlformats.org/officeDocument/2006/relationships/hyperlink" Target="https://www.eia.gov/dnav/pet/hist/LeafHandler.ashx?n=PET&amp;s=M_EPOOXXFE_VUA_NUS_MBBL&amp;f=A" TargetMode="External"/><Relationship Id="rId302" Type="http://schemas.openxmlformats.org/officeDocument/2006/relationships/hyperlink" Target="https://www.eia.gov/dnav/pet/hist/LeafHandler.ashx?n=PET&amp;s=MD1RP_NUS_1&amp;f=A" TargetMode="External"/><Relationship Id="rId344" Type="http://schemas.openxmlformats.org/officeDocument/2006/relationships/hyperlink" Target="https://www.eia.gov/dnav/pet/hist/LeafHandler.ashx?n=PET&amp;s=MNFUPUS1&amp;f=A" TargetMode="External"/><Relationship Id="rId691" Type="http://schemas.openxmlformats.org/officeDocument/2006/relationships/hyperlink" Target="https://www.eia.gov/dnav/pet/hist/LeafHandler.ashx?n=PET&amp;s=MD0RP_NUS_1&amp;f=A" TargetMode="External"/><Relationship Id="rId747" Type="http://schemas.openxmlformats.org/officeDocument/2006/relationships/hyperlink" Target="https://www.eia.gov/dnav/pet/hist/LeafHandler.ashx?n=PET&amp;s=MOTUPUS1&amp;f=A" TargetMode="External"/><Relationship Id="rId789" Type="http://schemas.openxmlformats.org/officeDocument/2006/relationships/hyperlink" Target="https://www.eia.gov/dnav/pet/hist/LeafHandler.ashx?n=PET&amp;s=MMSRPUS1&amp;f=A" TargetMode="External"/><Relationship Id="rId41" Type="http://schemas.openxmlformats.org/officeDocument/2006/relationships/hyperlink" Target="https://www.eia.gov/dnav/pet/hist/LeafHandler.ashx?n=PET&amp;s=M_EPLLEA_FPF_NUS_MBBL&amp;f=A" TargetMode="External"/><Relationship Id="rId83" Type="http://schemas.openxmlformats.org/officeDocument/2006/relationships/hyperlink" Target="https://www.eia.gov/dnav/pet/hist/LeafHandler.ashx?n=PET&amp;s=M_EPLLNG_VPP_NUS_MBBL&amp;f=A" TargetMode="External"/><Relationship Id="rId179" Type="http://schemas.openxmlformats.org/officeDocument/2006/relationships/hyperlink" Target="https://www.eia.gov/dnav/pet/hist/LeafHandler.ashx?n=PET&amp;s=M_EPOORDO_YIR_NUS_MBBL&amp;f=A" TargetMode="External"/><Relationship Id="rId386" Type="http://schemas.openxmlformats.org/officeDocument/2006/relationships/hyperlink" Target="https://www.eia.gov/dnav/pet/hist/LeafHandler.ashx?n=PET&amp;s=MAPSCUS1&amp;f=A" TargetMode="External"/><Relationship Id="rId551" Type="http://schemas.openxmlformats.org/officeDocument/2006/relationships/hyperlink" Target="https://www.eia.gov/dnav/pet/hist/LeafHandler.ashx?n=PET&amp;s=M_EPOOXE_SCG_NUS_MBBL&amp;f=A" TargetMode="External"/><Relationship Id="rId593" Type="http://schemas.openxmlformats.org/officeDocument/2006/relationships/hyperlink" Target="https://www.eia.gov/dnav/pet/hist/LeafHandler.ashx?n=PET&amp;s=M_EPOOOXH_SAE_NUS_MBBL&amp;f=A" TargetMode="External"/><Relationship Id="rId607" Type="http://schemas.openxmlformats.org/officeDocument/2006/relationships/hyperlink" Target="https://www.eia.gov/dnav/pet/hist/LeafHandler.ashx?n=PET&amp;s=MBCUPUS1&amp;f=A" TargetMode="External"/><Relationship Id="rId649" Type="http://schemas.openxmlformats.org/officeDocument/2006/relationships/hyperlink" Target="https://www.eia.gov/dnav/pet/hist/LeafHandler.ashx?n=PET&amp;s=MGRUA_NUS_1&amp;f=A" TargetMode="External"/><Relationship Id="rId190" Type="http://schemas.openxmlformats.org/officeDocument/2006/relationships/hyperlink" Target="https://www.eia.gov/dnav/pet/hist/LeafHandler.ashx?n=PET&amp;s=M_EPOORO_SAE_NUS_MBBL&amp;f=A" TargetMode="External"/><Relationship Id="rId204" Type="http://schemas.openxmlformats.org/officeDocument/2006/relationships/hyperlink" Target="https://www.eia.gov/dnav/pet/hist/LeafHandler.ashx?n=PET&amp;s=M_EPOBG_YNP_NUS_MBBL&amp;f=A" TargetMode="External"/><Relationship Id="rId246" Type="http://schemas.openxmlformats.org/officeDocument/2006/relationships/hyperlink" Target="https://www.eia.gov/dnav/pet/hist/LeafHandler.ashx?n=PET&amp;s=MGFSCUS1&amp;f=A" TargetMode="External"/><Relationship Id="rId288" Type="http://schemas.openxmlformats.org/officeDocument/2006/relationships/hyperlink" Target="https://www.eia.gov/dnav/pet/hist/LeafHandler.ashx?n=PET&amp;s=M_EPD0_VUA_NUS_1&amp;f=A" TargetMode="External"/><Relationship Id="rId411" Type="http://schemas.openxmlformats.org/officeDocument/2006/relationships/hyperlink" Target="https://www.eia.gov/dnav/pet/hist/LeafHandler.ashx?n=PET&amp;s=MCRIMUS1&amp;f=A" TargetMode="External"/><Relationship Id="rId453" Type="http://schemas.openxmlformats.org/officeDocument/2006/relationships/hyperlink" Target="https://www.eia.gov/dnav/pet/hist/LeafHandler.ashx?n=PET&amp;s=M_EPLLBAN_FPF_NUS_MBBL&amp;f=A" TargetMode="External"/><Relationship Id="rId509" Type="http://schemas.openxmlformats.org/officeDocument/2006/relationships/hyperlink" Target="https://www.eia.gov/dnav/pet/hist/LeafHandler.ashx?n=PET&amp;s=M_EPLLBYI_SCG_NUS_MBBL&amp;f=A" TargetMode="External"/><Relationship Id="rId660" Type="http://schemas.openxmlformats.org/officeDocument/2006/relationships/hyperlink" Target="https://www.eia.gov/dnav/pet/hist/LeafHandler.ashx?n=PET&amp;s=MG4UP_NUS_1&amp;f=A" TargetMode="External"/><Relationship Id="rId106" Type="http://schemas.openxmlformats.org/officeDocument/2006/relationships/hyperlink" Target="https://www.eia.gov/dnav/pet/hist/LeafHandler.ashx?n=PET&amp;s=MBYIMUS1&amp;f=A" TargetMode="External"/><Relationship Id="rId313" Type="http://schemas.openxmlformats.org/officeDocument/2006/relationships/hyperlink" Target="https://www.eia.gov/dnav/pet/hist/LeafHandler.ashx?n=PET&amp;s=MDGEXUS1&amp;f=A" TargetMode="External"/><Relationship Id="rId495" Type="http://schemas.openxmlformats.org/officeDocument/2006/relationships/hyperlink" Target="https://www.eia.gov/dnav/pet/hist/LeafHandler.ashx?n=PET&amp;s=M_EPLLEY_VPP_NUS_MBBL&amp;f=A" TargetMode="External"/><Relationship Id="rId716" Type="http://schemas.openxmlformats.org/officeDocument/2006/relationships/hyperlink" Target="https://www.eia.gov/dnav/pet/hist/LeafHandler.ashx?n=PET&amp;s=MREEXUS1&amp;f=A" TargetMode="External"/><Relationship Id="rId758" Type="http://schemas.openxmlformats.org/officeDocument/2006/relationships/hyperlink" Target="https://www.eia.gov/dnav/pet/hist/LeafHandler.ashx?n=PET&amp;s=MLUEXUS1&amp;f=A" TargetMode="External"/><Relationship Id="rId10" Type="http://schemas.openxmlformats.org/officeDocument/2006/relationships/hyperlink" Target="https://www.eia.gov/dnav/pet/hist/LeafHandler.ashx?n=PET&amp;s=MTTUPUS1&amp;f=A" TargetMode="External"/><Relationship Id="rId52" Type="http://schemas.openxmlformats.org/officeDocument/2006/relationships/hyperlink" Target="https://www.eia.gov/dnav/pet/hist/LeafHandler.ashx?n=PET&amp;s=M_EPLLPA_SCG_NUS_MBBL&amp;f=A" TargetMode="External"/><Relationship Id="rId94" Type="http://schemas.openxmlformats.org/officeDocument/2006/relationships/hyperlink" Target="https://www.eia.gov/dnav/pet/hist/LeafHandler.ashx?n=PET&amp;s=M_EPLOLE_SAE_NUS_MBBL&amp;f=A" TargetMode="External"/><Relationship Id="rId148" Type="http://schemas.openxmlformats.org/officeDocument/2006/relationships/hyperlink" Target="https://www.eia.gov/dnav/pet/hist/LeafHandler.ashx?n=PET&amp;s=M_EPOOR_EEX_NUS-Z00_MBBL&amp;f=A" TargetMode="External"/><Relationship Id="rId355" Type="http://schemas.openxmlformats.org/officeDocument/2006/relationships/hyperlink" Target="https://www.eia.gov/dnav/pet/hist/LeafHandler.ashx?n=PET&amp;s=MNSEXUS1&amp;f=A" TargetMode="External"/><Relationship Id="rId397" Type="http://schemas.openxmlformats.org/officeDocument/2006/relationships/hyperlink" Target="https://www.eia.gov/dnav/pet/hist/LeafHandler.ashx?n=PET&amp;s=MMSSTUS1&amp;f=A" TargetMode="External"/><Relationship Id="rId520" Type="http://schemas.openxmlformats.org/officeDocument/2006/relationships/hyperlink" Target="https://www.eia.gov/dnav/pet/hist/LeafHandler.ashx?n=PET&amp;s=MOLSTUS1&amp;f=A" TargetMode="External"/><Relationship Id="rId562" Type="http://schemas.openxmlformats.org/officeDocument/2006/relationships/hyperlink" Target="https://www.eia.gov/dnav/pet/hist/LeafHandler.ashx?n=PET&amp;s=M_EPOORXFE_VPP_NUS_MBBL&amp;f=A" TargetMode="External"/><Relationship Id="rId618" Type="http://schemas.openxmlformats.org/officeDocument/2006/relationships/hyperlink" Target="https://www.eia.gov/dnav/pet/hist/LeafHandler.ashx?n=PET&amp;s=MO5IM_NUS-Z00_1&amp;f=A" TargetMode="External"/><Relationship Id="rId215" Type="http://schemas.openxmlformats.org/officeDocument/2006/relationships/hyperlink" Target="https://www.eia.gov/dnav/pet/hist/LeafHandler.ashx?n=PET&amp;s=MO1SC_NUS_1&amp;f=A" TargetMode="External"/><Relationship Id="rId257" Type="http://schemas.openxmlformats.org/officeDocument/2006/relationships/hyperlink" Target="https://www.eia.gov/dnav/pet/hist/LeafHandler.ashx?n=PET&amp;s=M_EPM0C_YNP_NUS_MBBL&amp;f=A" TargetMode="External"/><Relationship Id="rId422" Type="http://schemas.openxmlformats.org/officeDocument/2006/relationships/hyperlink" Target="https://www.eia.gov/dnav/pet/hist/LeafHandler.ashx?n=PET&amp;s=MNGIMUS1&amp;f=A" TargetMode="External"/><Relationship Id="rId464" Type="http://schemas.openxmlformats.org/officeDocument/2006/relationships/hyperlink" Target="https://www.eia.gov/dnav/pet/hist/LeafHandler.ashx?n=PET&amp;s=M_EPLLBAI_TVP_NUS_MBBL&amp;f=A" TargetMode="External"/><Relationship Id="rId299" Type="http://schemas.openxmlformats.org/officeDocument/2006/relationships/hyperlink" Target="https://www.eia.gov/dnav/pet/hist/LeafHandler.ashx?n=PET&amp;s=MD0UP_NUS_1&amp;f=A" TargetMode="External"/><Relationship Id="rId727" Type="http://schemas.openxmlformats.org/officeDocument/2006/relationships/hyperlink" Target="https://www.eia.gov/dnav/pet/hist/LeafHandler.ashx?n=PET&amp;s=MRGRPUS1&amp;f=A" TargetMode="External"/><Relationship Id="rId63" Type="http://schemas.openxmlformats.org/officeDocument/2006/relationships/hyperlink" Target="https://www.eia.gov/dnav/pet/hist/LeafHandler.ashx?n=PET&amp;s=MBUEX_NUS-Z00_1&amp;f=A" TargetMode="External"/><Relationship Id="rId159" Type="http://schemas.openxmlformats.org/officeDocument/2006/relationships/hyperlink" Target="https://www.eia.gov/dnav/pet/hist/LeafHandler.ashx?n=PET&amp;s=M_EPOORXFE_YNP_NUS_MBBL&amp;f=A" TargetMode="External"/><Relationship Id="rId366" Type="http://schemas.openxmlformats.org/officeDocument/2006/relationships/hyperlink" Target="https://www.eia.gov/dnav/pet/hist/LeafHandler.ashx?n=PET&amp;s=MWXSCUS1&amp;f=A" TargetMode="External"/><Relationship Id="rId573" Type="http://schemas.openxmlformats.org/officeDocument/2006/relationships/hyperlink" Target="https://www.eia.gov/dnav/pet/hist/LeafHandler.ashx?n=PET&amp;s=M_EPOORDO_IM0_NUS-Z00_MBBL&amp;f=A" TargetMode="External"/><Relationship Id="rId780" Type="http://schemas.openxmlformats.org/officeDocument/2006/relationships/hyperlink" Target="https://www.eia.gov/dnav/pet/hist/LeafHandler.ashx?n=PET&amp;s=MCOUP_NUS_1&amp;f=A" TargetMode="External"/><Relationship Id="rId226" Type="http://schemas.openxmlformats.org/officeDocument/2006/relationships/hyperlink" Target="https://www.eia.gov/dnav/pet/hist/LeafHandler.ashx?n=PET&amp;s=MO5UP_NUS_1&amp;f=A" TargetMode="External"/><Relationship Id="rId433" Type="http://schemas.openxmlformats.org/officeDocument/2006/relationships/hyperlink" Target="https://www.eia.gov/dnav/pet/hist/LeafHandler.ashx?n=PET&amp;s=M_EPL2_SCG_NUS_MBBL&amp;f=A" TargetMode="External"/><Relationship Id="rId640" Type="http://schemas.openxmlformats.org/officeDocument/2006/relationships/hyperlink" Target="https://www.eia.gov/dnav/pet/hist/LeafHandler.ashx?n=PET&amp;s=MGFRPUS1&amp;f=A" TargetMode="External"/><Relationship Id="rId738" Type="http://schemas.openxmlformats.org/officeDocument/2006/relationships/hyperlink" Target="https://www.eia.gov/dnav/pet/hist/LeafHandler.ashx?n=PET&amp;s=MNFIMUS1&amp;f=A" TargetMode="External"/><Relationship Id="rId74" Type="http://schemas.openxmlformats.org/officeDocument/2006/relationships/hyperlink" Target="https://www.eia.gov/dnav/pet/hist/LeafHandler.ashx?n=PET&amp;s=M_EPLLBAI_VPP_NUS_MBBL&amp;f=A" TargetMode="External"/><Relationship Id="rId377" Type="http://schemas.openxmlformats.org/officeDocument/2006/relationships/hyperlink" Target="https://www.eia.gov/dnav/pet/hist/LeafHandler.ashx?n=PET&amp;s=MCMIM_NUS-Z00_1&amp;f=A" TargetMode="External"/><Relationship Id="rId500" Type="http://schemas.openxmlformats.org/officeDocument/2006/relationships/hyperlink" Target="https://www.eia.gov/dnav/pet/hist/LeafHandler.ashx?n=PET&amp;s=M_EPLLPY_VPP_NUS_MBBL&amp;f=A" TargetMode="External"/><Relationship Id="rId584" Type="http://schemas.openxmlformats.org/officeDocument/2006/relationships/hyperlink" Target="https://www.eia.gov/dnav/pet/hist/LeafHandler.ashx?n=PET&amp;s=M_EPOORO_YIR_NUS_MBBL&amp;f=A" TargetMode="External"/><Relationship Id="rId5" Type="http://schemas.openxmlformats.org/officeDocument/2006/relationships/hyperlink" Target="https://www.eia.gov/dnav/pet/hist/LeafHandler.ashx?n=PET&amp;s=MTTIMUS1&amp;f=A" TargetMode="External"/><Relationship Id="rId237" Type="http://schemas.openxmlformats.org/officeDocument/2006/relationships/hyperlink" Target="https://www.eia.gov/dnav/pet/hist/LeafHandler.ashx?n=PET&amp;s=MTPUA_NUS_1&amp;f=A" TargetMode="External"/><Relationship Id="rId791" Type="http://schemas.openxmlformats.org/officeDocument/2006/relationships/hyperlink" Target="https://www.eia.gov/dnav/pet/hist/LeafHandler.ashx?n=PET&amp;s=MMSSCUS1&amp;f=A" TargetMode="External"/><Relationship Id="rId444" Type="http://schemas.openxmlformats.org/officeDocument/2006/relationships/hyperlink" Target="https://www.eia.gov/dnav/pet/hist/LeafHandler.ashx?n=PET&amp;s=M_EPLLEA_SAE_NUS_MBBL&amp;f=A" TargetMode="External"/><Relationship Id="rId651" Type="http://schemas.openxmlformats.org/officeDocument/2006/relationships/hyperlink" Target="https://www.eia.gov/dnav/pet/hist/LeafHandler.ashx?n=PET&amp;s=MGREXUS1&amp;f=A" TargetMode="External"/><Relationship Id="rId749" Type="http://schemas.openxmlformats.org/officeDocument/2006/relationships/hyperlink" Target="https://www.eia.gov/dnav/pet/hist/LeafHandler.ashx?n=PET&amp;s=MNSRPUS1&amp;f=A" TargetMode="External"/><Relationship Id="rId290" Type="http://schemas.openxmlformats.org/officeDocument/2006/relationships/hyperlink" Target="https://www.eia.gov/dnav/pet/hist/LeafHandler.ashx?n=PET&amp;s=MDIEXUS1&amp;f=A" TargetMode="External"/><Relationship Id="rId304" Type="http://schemas.openxmlformats.org/officeDocument/2006/relationships/hyperlink" Target="https://www.eia.gov/dnav/pet/hist/LeafHandler.ashx?n=PET&amp;s=M_EPDM10_VUA_NUS_1&amp;f=A" TargetMode="External"/><Relationship Id="rId388" Type="http://schemas.openxmlformats.org/officeDocument/2006/relationships/hyperlink" Target="https://www.eia.gov/dnav/pet/hist/LeafHandler.ashx?n=PET&amp;s=MAPUPUS1&amp;f=A" TargetMode="External"/><Relationship Id="rId511" Type="http://schemas.openxmlformats.org/officeDocument/2006/relationships/hyperlink" Target="https://www.eia.gov/dnav/pet/hist/LeafHandler.ashx?n=PET&amp;s=M_EPLLBYI_SAE_NUS_MBBL&amp;f=A" TargetMode="External"/><Relationship Id="rId609" Type="http://schemas.openxmlformats.org/officeDocument/2006/relationships/hyperlink" Target="https://www.eia.gov/dnav/pet/hist/LeafHandler.ashx?n=PET&amp;s=M_EPOBGR0_YNP_NUS_MBBL&amp;f=A" TargetMode="External"/><Relationship Id="rId85" Type="http://schemas.openxmlformats.org/officeDocument/2006/relationships/hyperlink" Target="https://www.eia.gov/dnav/pet/hist/LeafHandler.ashx?n=PET&amp;s=M_EPLLCS_FPF_NUS_MBBL&amp;f=A" TargetMode="External"/><Relationship Id="rId150" Type="http://schemas.openxmlformats.org/officeDocument/2006/relationships/hyperlink" Target="https://www.eia.gov/dnav/pet/hist/LeafHandler.ashx?n=PET&amp;s=M_EPOOR_SAE_NUS_MBBL&amp;f=A" TargetMode="External"/><Relationship Id="rId595" Type="http://schemas.openxmlformats.org/officeDocument/2006/relationships/hyperlink" Target="https://www.eia.gov/dnav/pet/hist/LeafHandler.ashx?n=PET&amp;s=MUOIMUS1&amp;f=A" TargetMode="External"/><Relationship Id="rId248" Type="http://schemas.openxmlformats.org/officeDocument/2006/relationships/hyperlink" Target="https://www.eia.gov/dnav/pet/hist/LeafHandler.ashx?n=PET&amp;s=MGFUPUS1&amp;f=A" TargetMode="External"/><Relationship Id="rId455" Type="http://schemas.openxmlformats.org/officeDocument/2006/relationships/hyperlink" Target="https://www.eia.gov/dnav/pet/hist/LeafHandler.ashx?n=PET&amp;s=M_EPLLBAN_YNP_NUS_MBBL&amp;f=A" TargetMode="External"/><Relationship Id="rId662" Type="http://schemas.openxmlformats.org/officeDocument/2006/relationships/hyperlink" Target="https://www.eia.gov/dnav/pet/hist/LeafHandler.ashx?n=PET&amp;s=MGARPUS1&amp;f=A" TargetMode="External"/><Relationship Id="rId12" Type="http://schemas.openxmlformats.org/officeDocument/2006/relationships/hyperlink" Target="https://www.eia.gov/dnav/pet/hist/LeafHandler.ashx?n=PET&amp;s=MCRFPUS1&amp;f=A" TargetMode="External"/><Relationship Id="rId108" Type="http://schemas.openxmlformats.org/officeDocument/2006/relationships/hyperlink" Target="https://www.eia.gov/dnav/pet/hist/LeafHandler.ashx?n=PET&amp;s=M_EPLLBYN_VPP_NUS_MBBL&amp;f=A" TargetMode="External"/><Relationship Id="rId315" Type="http://schemas.openxmlformats.org/officeDocument/2006/relationships/hyperlink" Target="https://www.eia.gov/dnav/pet/hist/LeafHandler.ashx?n=PET&amp;s=MDGSTUS1&amp;f=A" TargetMode="External"/><Relationship Id="rId522" Type="http://schemas.openxmlformats.org/officeDocument/2006/relationships/hyperlink" Target="https://www.eia.gov/dnav/pet/hist/LeafHandler.ashx?n=PET&amp;s=MOHIMUS1&amp;f=A" TargetMode="External"/><Relationship Id="rId96" Type="http://schemas.openxmlformats.org/officeDocument/2006/relationships/hyperlink" Target="https://www.eia.gov/dnav/pet/hist/LeafHandler.ashx?n=PET&amp;s=MEYIMUS1&amp;f=A" TargetMode="External"/><Relationship Id="rId161" Type="http://schemas.openxmlformats.org/officeDocument/2006/relationships/hyperlink" Target="https://www.eia.gov/dnav/pet/hist/LeafHandler.ashx?n=PET&amp;s=M_EPOORXFE_VUA_NUS_MBBL&amp;f=A" TargetMode="External"/><Relationship Id="rId399" Type="http://schemas.openxmlformats.org/officeDocument/2006/relationships/hyperlink" Target="https://www.eia.gov/dnav/pet/hist/LeafHandler.ashx?n=PET&amp;s=M_EP00_TVP_NUS_MBBL&amp;f=A" TargetMode="External"/><Relationship Id="rId259" Type="http://schemas.openxmlformats.org/officeDocument/2006/relationships/hyperlink" Target="https://www.eia.gov/dnav/pet/hist/LeafHandler.ashx?n=PET&amp;s=MG4IM_NUS-Z00_1&amp;f=A" TargetMode="External"/><Relationship Id="rId466" Type="http://schemas.openxmlformats.org/officeDocument/2006/relationships/hyperlink" Target="https://www.eia.gov/dnav/pet/hist/LeafHandler.ashx?n=PET&amp;s=MIIRPUS1&amp;f=A" TargetMode="External"/><Relationship Id="rId673" Type="http://schemas.openxmlformats.org/officeDocument/2006/relationships/hyperlink" Target="https://www.eia.gov/dnav/pet/hist/LeafHandler.ashx?n=PET&amp;s=MKJUPUS1&amp;f=A" TargetMode="External"/><Relationship Id="rId23" Type="http://schemas.openxmlformats.org/officeDocument/2006/relationships/hyperlink" Target="https://www.eia.gov/dnav/pet/hist/LeafHandler.ashx?n=PET&amp;s=M_EPL0_YNP_NUS_MBBL&amp;f=A" TargetMode="External"/><Relationship Id="rId119" Type="http://schemas.openxmlformats.org/officeDocument/2006/relationships/hyperlink" Target="https://www.eia.gov/dnav/pet/hist/LeafHandler.ashx?n=PET&amp;s=MOLSCUS1&amp;f=A" TargetMode="External"/><Relationship Id="rId326" Type="http://schemas.openxmlformats.org/officeDocument/2006/relationships/hyperlink" Target="https://www.eia.gov/dnav/pet/hist/LeafHandler.ashx?n=PET&amp;s=MRMRPUS1&amp;f=A" TargetMode="External"/><Relationship Id="rId533" Type="http://schemas.openxmlformats.org/officeDocument/2006/relationships/hyperlink" Target="https://www.eia.gov/dnav/pet/hist/LeafHandler.ashx?n=PET&amp;s=M_EPOOXXFE_IM0_NUS-Z00_MBBL&amp;f=A" TargetMode="External"/><Relationship Id="rId740" Type="http://schemas.openxmlformats.org/officeDocument/2006/relationships/hyperlink" Target="https://www.eia.gov/dnav/pet/hist/LeafHandler.ashx?n=PET&amp;s=MNFEXUS1&amp;f=A" TargetMode="External"/><Relationship Id="rId172" Type="http://schemas.openxmlformats.org/officeDocument/2006/relationships/hyperlink" Target="https://www.eia.gov/dnav/pet/hist/LeafHandler.ashx?n=PET&amp;s=M_EPOORDB_EEX_NUS-Z00_MBBL&amp;f=A" TargetMode="External"/><Relationship Id="rId477" Type="http://schemas.openxmlformats.org/officeDocument/2006/relationships/hyperlink" Target="https://www.eia.gov/dnav/pet/hist/LeafHandler.ashx?n=PET&amp;s=M_EPLLNG_SCG_NUS_MBBL&amp;f=A" TargetMode="External"/><Relationship Id="rId600" Type="http://schemas.openxmlformats.org/officeDocument/2006/relationships/hyperlink" Target="https://www.eia.gov/dnav/pet/hist/LeafHandler.ashx?n=PET&amp;s=MUOSTUS1&amp;f=A" TargetMode="External"/><Relationship Id="rId684" Type="http://schemas.openxmlformats.org/officeDocument/2006/relationships/hyperlink" Target="https://www.eia.gov/dnav/pet/hist/LeafHandler.ashx?n=PET&amp;s=MDIIMUS1&amp;f=A" TargetMode="External"/><Relationship Id="rId337" Type="http://schemas.openxmlformats.org/officeDocument/2006/relationships/hyperlink" Target="https://www.eia.gov/dnav/pet/hist/LeafHandler.ashx?n=PET&amp;s=MPCEX_NUS-Z00_1&amp;f=A" TargetMode="External"/><Relationship Id="rId34" Type="http://schemas.openxmlformats.org/officeDocument/2006/relationships/hyperlink" Target="https://www.eia.gov/dnav/pet/hist/LeafHandler.ashx?n=PET&amp;s=M_EPL2_YPR_NUS_MBBL&amp;f=A" TargetMode="External"/><Relationship Id="rId544" Type="http://schemas.openxmlformats.org/officeDocument/2006/relationships/hyperlink" Target="https://www.eia.gov/dnav/pet/hist/LeafHandler.ashx?n=PET&amp;s=M_EPOOR_YIR_NUS_MBBL&amp;f=A" TargetMode="External"/><Relationship Id="rId751" Type="http://schemas.openxmlformats.org/officeDocument/2006/relationships/hyperlink" Target="https://www.eia.gov/dnav/pet/hist/LeafHandler.ashx?n=PET&amp;s=MNSSCUS1&amp;f=A" TargetMode="External"/><Relationship Id="rId183" Type="http://schemas.openxmlformats.org/officeDocument/2006/relationships/hyperlink" Target="https://www.eia.gov/dnav/pet/hist/LeafHandler.ashx?n=PET&amp;s=M_EPOORO_YNP_NUS_MBBL&amp;f=A" TargetMode="External"/><Relationship Id="rId390" Type="http://schemas.openxmlformats.org/officeDocument/2006/relationships/hyperlink" Target="https://www.eia.gov/dnav/pet/hist/LeafHandler.ashx?n=PET&amp;s=MSGRPUS1&amp;f=A" TargetMode="External"/><Relationship Id="rId404" Type="http://schemas.openxmlformats.org/officeDocument/2006/relationships/hyperlink" Target="https://www.eia.gov/dnav/pet/hist/LeafHandler.ashx?n=PET&amp;s=MTTSCUS1&amp;f=A" TargetMode="External"/><Relationship Id="rId611" Type="http://schemas.openxmlformats.org/officeDocument/2006/relationships/hyperlink" Target="https://www.eia.gov/dnav/pet/hist/LeafHandler.ashx?n=PET&amp;s=MO1UA_NUS_1&amp;f=A" TargetMode="External"/><Relationship Id="rId250" Type="http://schemas.openxmlformats.org/officeDocument/2006/relationships/hyperlink" Target="https://www.eia.gov/dnav/pet/hist/LeafHandler.ashx?n=PET&amp;s=MGRRPUS1&amp;f=A" TargetMode="External"/><Relationship Id="rId488" Type="http://schemas.openxmlformats.org/officeDocument/2006/relationships/hyperlink" Target="https://www.eia.gov/dnav/pet/hist/LeafHandler.ashx?n=PET&amp;s=M_EPLOLE_IM0_NUS-Z00_MBBL&amp;f=A" TargetMode="External"/><Relationship Id="rId695" Type="http://schemas.openxmlformats.org/officeDocument/2006/relationships/hyperlink" Target="https://www.eia.gov/dnav/pet/hist/LeafHandler.ashx?n=PET&amp;s=M_EPDXL0_EEX_NUS-Z00_MBBL&amp;f=A" TargetMode="External"/><Relationship Id="rId709" Type="http://schemas.openxmlformats.org/officeDocument/2006/relationships/hyperlink" Target="https://www.eia.gov/dnav/pet/hist/LeafHandler.ashx?n=PET&amp;s=MDGSCUS1&amp;f=A" TargetMode="External"/><Relationship Id="rId45" Type="http://schemas.openxmlformats.org/officeDocument/2006/relationships/hyperlink" Target="https://www.eia.gov/dnav/pet/hist/LeafHandler.ashx?n=PET&amp;s=M_EPLLEA_EEX_NUS-Z00_1&amp;f=A" TargetMode="External"/><Relationship Id="rId110" Type="http://schemas.openxmlformats.org/officeDocument/2006/relationships/hyperlink" Target="https://www.eia.gov/dnav/pet/hist/LeafHandler.ashx?n=PET&amp;s=MIYRPUS1&amp;f=A" TargetMode="External"/><Relationship Id="rId348" Type="http://schemas.openxmlformats.org/officeDocument/2006/relationships/hyperlink" Target="https://www.eia.gov/dnav/pet/hist/LeafHandler.ashx?n=PET&amp;s=MOTSCUS1&amp;f=A" TargetMode="External"/><Relationship Id="rId555" Type="http://schemas.openxmlformats.org/officeDocument/2006/relationships/hyperlink" Target="https://www.eia.gov/dnav/pet/hist/LeafHandler.ashx?n=PET&amp;s=MFESTUS1&amp;f=A" TargetMode="External"/><Relationship Id="rId762" Type="http://schemas.openxmlformats.org/officeDocument/2006/relationships/hyperlink" Target="https://www.eia.gov/dnav/pet/hist/LeafHandler.ashx?n=PET&amp;s=MWXIMUS1&amp;f=A" TargetMode="External"/><Relationship Id="rId194" Type="http://schemas.openxmlformats.org/officeDocument/2006/relationships/hyperlink" Target="https://www.eia.gov/dnav/pet/hist/LeafHandler.ashx?n=PET&amp;s=M_EPOOOXH_YIR_NUS_MBBL&amp;f=A" TargetMode="External"/><Relationship Id="rId208" Type="http://schemas.openxmlformats.org/officeDocument/2006/relationships/hyperlink" Target="https://www.eia.gov/dnav/pet/hist/LeafHandler.ashx?n=PET&amp;s=MBCRIUS1&amp;f=A" TargetMode="External"/><Relationship Id="rId415" Type="http://schemas.openxmlformats.org/officeDocument/2006/relationships/hyperlink" Target="https://www.eia.gov/dnav/pet/hist/LeafHandler.ashx?n=PET&amp;s=MCREXUS1&amp;f=A" TargetMode="External"/><Relationship Id="rId622" Type="http://schemas.openxmlformats.org/officeDocument/2006/relationships/hyperlink" Target="https://www.eia.gov/dnav/pet/hist/LeafHandler.ashx?n=PET&amp;s=MO5EX_NUS-Z00_1&amp;f=A" TargetMode="External"/><Relationship Id="rId261" Type="http://schemas.openxmlformats.org/officeDocument/2006/relationships/hyperlink" Target="https://www.eia.gov/dnav/pet/hist/LeafHandler.ashx?n=PET&amp;s=MG4SC_NUS_1&amp;f=A" TargetMode="External"/><Relationship Id="rId499" Type="http://schemas.openxmlformats.org/officeDocument/2006/relationships/hyperlink" Target="https://www.eia.gov/dnav/pet/hist/LeafHandler.ashx?n=PET&amp;s=M_EPLLPY_SCG_NUS_MBBL&amp;f=A" TargetMode="External"/><Relationship Id="rId56" Type="http://schemas.openxmlformats.org/officeDocument/2006/relationships/hyperlink" Target="https://www.eia.gov/dnav/pet/hist/LeafHandler.ashx?n=PET&amp;s=M_EPLLBAN_FPF_NUS_MBBL&amp;f=A" TargetMode="External"/><Relationship Id="rId359" Type="http://schemas.openxmlformats.org/officeDocument/2006/relationships/hyperlink" Target="https://www.eia.gov/dnav/pet/hist/LeafHandler.ashx?n=PET&amp;s=MLUIMUS1&amp;f=A" TargetMode="External"/><Relationship Id="rId566" Type="http://schemas.openxmlformats.org/officeDocument/2006/relationships/hyperlink" Target="https://www.eia.gov/dnav/pet/hist/LeafHandler.ashx?n=PET&amp;s=M_EPOORDB_VUA_NUS_MBBL&amp;f=A" TargetMode="External"/><Relationship Id="rId773" Type="http://schemas.openxmlformats.org/officeDocument/2006/relationships/hyperlink" Target="https://www.eia.gov/dnav/pet/hist/LeafHandler.ashx?n=PET&amp;s=MCMRPUS1&amp;f=A" TargetMode="External"/><Relationship Id="rId121" Type="http://schemas.openxmlformats.org/officeDocument/2006/relationships/hyperlink" Target="https://www.eia.gov/dnav/pet/hist/LeafHandler.ashx?n=PET&amp;s=MOLEXUS1&amp;f=A" TargetMode="External"/><Relationship Id="rId219" Type="http://schemas.openxmlformats.org/officeDocument/2006/relationships/hyperlink" Target="https://www.eia.gov/dnav/pet/hist/LeafHandler.ashx?n=PET&amp;s=MO1ST_NUS_1&amp;f=A" TargetMode="External"/><Relationship Id="rId426" Type="http://schemas.openxmlformats.org/officeDocument/2006/relationships/hyperlink" Target="https://www.eia.gov/dnav/pet/hist/LeafHandler.ashx?n=PET&amp;s=MNGUPUS1&amp;f=A" TargetMode="External"/><Relationship Id="rId633" Type="http://schemas.openxmlformats.org/officeDocument/2006/relationships/hyperlink" Target="https://www.eia.gov/dnav/pet/hist/LeafHandler.ashx?n=PET&amp;s=MTPIMUS1&amp;f=A" TargetMode="External"/><Relationship Id="rId67" Type="http://schemas.openxmlformats.org/officeDocument/2006/relationships/hyperlink" Target="https://www.eia.gov/dnav/pet/hist/LeafHandler.ashx?n=PET&amp;s=M_EPLLBAI_TVP_NUS_MBBL&amp;f=A" TargetMode="External"/><Relationship Id="rId272" Type="http://schemas.openxmlformats.org/officeDocument/2006/relationships/hyperlink" Target="https://www.eia.gov/dnav/pet/hist/LeafHandler.ashx?n=PET&amp;s=MKJRPUS1&amp;f=A" TargetMode="External"/><Relationship Id="rId577" Type="http://schemas.openxmlformats.org/officeDocument/2006/relationships/hyperlink" Target="https://www.eia.gov/dnav/pet/hist/LeafHandler.ashx?n=PET&amp;s=M_EPOORDO_EEX_NUS-Z00_MBBL&amp;f=A" TargetMode="External"/><Relationship Id="rId700" Type="http://schemas.openxmlformats.org/officeDocument/2006/relationships/hyperlink" Target="https://www.eia.gov/dnav/pet/hist/LeafHandler.ashx?n=PET&amp;s=MD1IM_NUS-Z00_1&amp;f=A" TargetMode="External"/><Relationship Id="rId132" Type="http://schemas.openxmlformats.org/officeDocument/2006/relationships/hyperlink" Target="https://www.eia.gov/dnav/pet/hist/LeafHandler.ashx?n=PET&amp;s=M_EPOOOH_VUA_NUS_MBBL&amp;f=A" TargetMode="External"/><Relationship Id="rId784" Type="http://schemas.openxmlformats.org/officeDocument/2006/relationships/hyperlink" Target="https://www.eia.gov/dnav/pet/hist/LeafHandler.ashx?n=PET&amp;s=MAPEXUS1&amp;f=A" TargetMode="External"/><Relationship Id="rId437" Type="http://schemas.openxmlformats.org/officeDocument/2006/relationships/hyperlink" Target="https://www.eia.gov/dnav/pet/hist/LeafHandler.ashx?n=PET&amp;s=M_EPL2_SAE_NUS_MBBL&amp;f=A" TargetMode="External"/><Relationship Id="rId644" Type="http://schemas.openxmlformats.org/officeDocument/2006/relationships/hyperlink" Target="https://www.eia.gov/dnav/pet/hist/LeafHandler.ashx?n=PET&amp;s=MGFEXUS1&amp;f=A" TargetMode="External"/><Relationship Id="rId283" Type="http://schemas.openxmlformats.org/officeDocument/2006/relationships/hyperlink" Target="https://www.eia.gov/dnav/pet/hist/LeafHandler.ashx?n=PET&amp;s=MKEUPUS1&amp;f=A" TargetMode="External"/><Relationship Id="rId490" Type="http://schemas.openxmlformats.org/officeDocument/2006/relationships/hyperlink" Target="https://www.eia.gov/dnav/pet/hist/LeafHandler.ashx?n=PET&amp;s=M_EPLOLE_VPP_NUS_MBBL&amp;f=A" TargetMode="External"/><Relationship Id="rId504" Type="http://schemas.openxmlformats.org/officeDocument/2006/relationships/hyperlink" Target="https://www.eia.gov/dnav/pet/hist/LeafHandler.ashx?n=PET&amp;s=M_EPLLBYN_SCG_NUS_MBBL&amp;f=A" TargetMode="External"/><Relationship Id="rId711" Type="http://schemas.openxmlformats.org/officeDocument/2006/relationships/hyperlink" Target="https://www.eia.gov/dnav/pet/hist/LeafHandler.ashx?n=PET&amp;s=MDGUPUS1&amp;f=A" TargetMode="External"/><Relationship Id="rId78" Type="http://schemas.openxmlformats.org/officeDocument/2006/relationships/hyperlink" Target="https://www.eia.gov/dnav/pet/hist/LeafHandler.ashx?n=PET&amp;s=M_EPLLNG_YNP_NUS_MBBL&amp;f=A" TargetMode="External"/><Relationship Id="rId143" Type="http://schemas.openxmlformats.org/officeDocument/2006/relationships/hyperlink" Target="https://www.eia.gov/dnav/pet/hist/LeafHandler.ashx?n=PET&amp;s=M_EPOOR_YNP_NUS_MBBL&amp;f=A" TargetMode="External"/><Relationship Id="rId350" Type="http://schemas.openxmlformats.org/officeDocument/2006/relationships/hyperlink" Target="https://www.eia.gov/dnav/pet/hist/LeafHandler.ashx?n=PET&amp;s=MOTUPUS1&amp;f=A" TargetMode="External"/><Relationship Id="rId588" Type="http://schemas.openxmlformats.org/officeDocument/2006/relationships/hyperlink" Target="https://www.eia.gov/dnav/pet/hist/LeafHandler.ashx?n=PET&amp;s=M_EPOOOXH_IM0_NUS-Z00_MBBL&amp;f=A" TargetMode="External"/><Relationship Id="rId9" Type="http://schemas.openxmlformats.org/officeDocument/2006/relationships/hyperlink" Target="https://www.eia.gov/dnav/pet/hist/LeafHandler.ashx?n=PET&amp;s=MTTEXUS1&amp;f=A" TargetMode="External"/><Relationship Id="rId210" Type="http://schemas.openxmlformats.org/officeDocument/2006/relationships/hyperlink" Target="https://www.eia.gov/dnav/pet/hist/LeafHandler.ashx?n=PET&amp;s=MBCUPUS1&amp;f=A" TargetMode="External"/><Relationship Id="rId448" Type="http://schemas.openxmlformats.org/officeDocument/2006/relationships/hyperlink" Target="https://www.eia.gov/dnav/pet/hist/LeafHandler.ashx?n=PET&amp;s=MPAIM_NUS-Z00_1&amp;f=A" TargetMode="External"/><Relationship Id="rId655" Type="http://schemas.openxmlformats.org/officeDocument/2006/relationships/hyperlink" Target="https://www.eia.gov/dnav/pet/hist/LeafHandler.ashx?n=PET&amp;s=MG4RP_NUS_1&amp;f=A" TargetMode="External"/><Relationship Id="rId294" Type="http://schemas.openxmlformats.org/officeDocument/2006/relationships/hyperlink" Target="https://www.eia.gov/dnav/pet/hist/LeafHandler.ashx?n=PET&amp;s=MD0RP_NUS_1&amp;f=A" TargetMode="External"/><Relationship Id="rId308" Type="http://schemas.openxmlformats.org/officeDocument/2006/relationships/hyperlink" Target="https://www.eia.gov/dnav/pet/hist/LeafHandler.ashx?n=PET&amp;s=MD1ST_NUS_1&amp;f=A" TargetMode="External"/><Relationship Id="rId515" Type="http://schemas.openxmlformats.org/officeDocument/2006/relationships/hyperlink" Target="https://www.eia.gov/dnav/pet/hist/LeafHandler.ashx?n=PET&amp;s=MOLUA_NUS_1&amp;f=A" TargetMode="External"/><Relationship Id="rId722" Type="http://schemas.openxmlformats.org/officeDocument/2006/relationships/hyperlink" Target="https://www.eia.gov/dnav/pet/hist/LeafHandler.ashx?n=PET&amp;s=MRLSTUS1&amp;f=A" TargetMode="External"/><Relationship Id="rId89" Type="http://schemas.openxmlformats.org/officeDocument/2006/relationships/hyperlink" Target="https://www.eia.gov/dnav/pet/hist/LeafHandler.ashx?n=PET&amp;s=M_EPLLCS_SAE_NUS_MBBL&amp;f=A" TargetMode="External"/><Relationship Id="rId154" Type="http://schemas.openxmlformats.org/officeDocument/2006/relationships/hyperlink" Target="https://www.eia.gov/dnav/pet/hist/LeafHandler.ashx?n=PET&amp;s=M_EPOOXE_SCG_NUS_MBBL&amp;f=A" TargetMode="External"/><Relationship Id="rId361" Type="http://schemas.openxmlformats.org/officeDocument/2006/relationships/hyperlink" Target="https://www.eia.gov/dnav/pet/hist/LeafHandler.ashx?n=PET&amp;s=MLUEXUS1&amp;f=A" TargetMode="External"/><Relationship Id="rId599" Type="http://schemas.openxmlformats.org/officeDocument/2006/relationships/hyperlink" Target="https://www.eia.gov/dnav/pet/hist/LeafHandler.ashx?n=PET&amp;s=MUOUPUS1&amp;f=A" TargetMode="External"/><Relationship Id="rId459" Type="http://schemas.openxmlformats.org/officeDocument/2006/relationships/hyperlink" Target="https://www.eia.gov/dnav/pet/hist/LeafHandler.ashx?n=PET&amp;s=M_EPLLBAN_YIR_NUS_MBBL&amp;f=A" TargetMode="External"/><Relationship Id="rId666" Type="http://schemas.openxmlformats.org/officeDocument/2006/relationships/hyperlink" Target="https://www.eia.gov/dnav/pet/hist/LeafHandler.ashx?n=PET&amp;s=MGAUPUS1&amp;f=A" TargetMode="External"/><Relationship Id="rId16" Type="http://schemas.openxmlformats.org/officeDocument/2006/relationships/hyperlink" Target="https://www.eia.gov/dnav/pet/hist/LeafHandler.ashx?n=PET&amp;s=MCRSCUS1&amp;f=A" TargetMode="External"/><Relationship Id="rId221" Type="http://schemas.openxmlformats.org/officeDocument/2006/relationships/hyperlink" Target="https://www.eia.gov/dnav/pet/hist/LeafHandler.ashx?n=PET&amp;s=MO5IM_NUS-Z00_1&amp;f=A" TargetMode="External"/><Relationship Id="rId319" Type="http://schemas.openxmlformats.org/officeDocument/2006/relationships/hyperlink" Target="https://www.eia.gov/dnav/pet/hist/LeafHandler.ashx?n=PET&amp;s=MREEXUS1&amp;f=A" TargetMode="External"/><Relationship Id="rId526" Type="http://schemas.openxmlformats.org/officeDocument/2006/relationships/hyperlink" Target="https://www.eia.gov/dnav/pet/hist/LeafHandler.ashx?n=PET&amp;s=MOHEXUS1&amp;f=A" TargetMode="External"/><Relationship Id="rId733" Type="http://schemas.openxmlformats.org/officeDocument/2006/relationships/hyperlink" Target="https://www.eia.gov/dnav/pet/hist/LeafHandler.ashx?n=PET&amp;s=MPCSC_NUS_1&amp;f=A" TargetMode="External"/><Relationship Id="rId165" Type="http://schemas.openxmlformats.org/officeDocument/2006/relationships/hyperlink" Target="https://www.eia.gov/dnav/pet/hist/LeafHandler.ashx?n=PET&amp;s=M_EPOORXFE_VPP_NUS_MBBL&amp;f=A" TargetMode="External"/><Relationship Id="rId372" Type="http://schemas.openxmlformats.org/officeDocument/2006/relationships/hyperlink" Target="https://www.eia.gov/dnav/pet/hist/LeafHandler.ashx?n=PET&amp;s=MCKSCUS1&amp;f=A" TargetMode="External"/><Relationship Id="rId677" Type="http://schemas.openxmlformats.org/officeDocument/2006/relationships/hyperlink" Target="https://www.eia.gov/dnav/pet/hist/LeafHandler.ashx?n=PET&amp;s=MKEIMUS1&amp;f=A" TargetMode="External"/><Relationship Id="rId232" Type="http://schemas.openxmlformats.org/officeDocument/2006/relationships/hyperlink" Target="https://www.eia.gov/dnav/pet/hist/LeafHandler.ashx?n=PET&amp;s=MBAUPUS1&amp;f=A" TargetMode="External"/><Relationship Id="rId27" Type="http://schemas.openxmlformats.org/officeDocument/2006/relationships/hyperlink" Target="https://www.eia.gov/dnav/pet/hist/LeafHandler.ashx?n=PET&amp;s=MNGRIUS1&amp;f=A" TargetMode="External"/><Relationship Id="rId537" Type="http://schemas.openxmlformats.org/officeDocument/2006/relationships/hyperlink" Target="https://www.eia.gov/dnav/pet/hist/LeafHandler.ashx?n=PET&amp;s=M_EPOOXXFE_EEX_NUS-Z00_MBBL&amp;f=A" TargetMode="External"/><Relationship Id="rId744" Type="http://schemas.openxmlformats.org/officeDocument/2006/relationships/hyperlink" Target="https://www.eia.gov/dnav/pet/hist/LeafHandler.ashx?n=PET&amp;s=MOTIMUS1&amp;f=A" TargetMode="External"/><Relationship Id="rId80" Type="http://schemas.openxmlformats.org/officeDocument/2006/relationships/hyperlink" Target="https://www.eia.gov/dnav/pet/hist/LeafHandler.ashx?n=PET&amp;s=M_EPLLNG_SCG_NUS_MBBL&amp;f=A" TargetMode="External"/><Relationship Id="rId176" Type="http://schemas.openxmlformats.org/officeDocument/2006/relationships/hyperlink" Target="https://www.eia.gov/dnav/pet/hist/LeafHandler.ashx?n=PET&amp;s=M_EPOORDO_IM0_NUS-Z00_MBBL&amp;f=A" TargetMode="External"/><Relationship Id="rId383" Type="http://schemas.openxmlformats.org/officeDocument/2006/relationships/hyperlink" Target="https://www.eia.gov/dnav/pet/hist/LeafHandler.ashx?n=PET&amp;s=MCOUP_NUS_1&amp;f=A" TargetMode="External"/><Relationship Id="rId590" Type="http://schemas.openxmlformats.org/officeDocument/2006/relationships/hyperlink" Target="https://www.eia.gov/dnav/pet/hist/LeafHandler.ashx?n=PET&amp;s=M_EPOOOXH_SCG_NUS_MBBL&amp;f=A" TargetMode="External"/><Relationship Id="rId604" Type="http://schemas.openxmlformats.org/officeDocument/2006/relationships/hyperlink" Target="https://www.eia.gov/dnav/pet/hist/LeafHandler.ashx?n=PET&amp;s=MBCSCUS1&amp;f=A" TargetMode="External"/><Relationship Id="rId243" Type="http://schemas.openxmlformats.org/officeDocument/2006/relationships/hyperlink" Target="https://www.eia.gov/dnav/pet/hist/LeafHandler.ashx?n=PET&amp;s=MGFRPUS1&amp;f=A" TargetMode="External"/><Relationship Id="rId450" Type="http://schemas.openxmlformats.org/officeDocument/2006/relationships/hyperlink" Target="https://www.eia.gov/dnav/pet/hist/LeafHandler.ashx?n=PET&amp;s=MPAEX_NUS-Z00_1&amp;f=A" TargetMode="External"/><Relationship Id="rId688" Type="http://schemas.openxmlformats.org/officeDocument/2006/relationships/hyperlink" Target="https://www.eia.gov/dnav/pet/hist/LeafHandler.ashx?n=PET&amp;s=MDIUPUS1&amp;f=A" TargetMode="External"/><Relationship Id="rId38" Type="http://schemas.openxmlformats.org/officeDocument/2006/relationships/hyperlink" Target="https://www.eia.gov/dnav/pet/hist/LeafHandler.ashx?n=PET&amp;s=M_EPL2_EEX_NUS-Z00_MBBL&amp;f=A" TargetMode="External"/><Relationship Id="rId103" Type="http://schemas.openxmlformats.org/officeDocument/2006/relationships/hyperlink" Target="https://www.eia.gov/dnav/pet/hist/LeafHandler.ashx?n=PET&amp;s=M_EPLLPY_VPP_NUS_MBBL&amp;f=A" TargetMode="External"/><Relationship Id="rId310" Type="http://schemas.openxmlformats.org/officeDocument/2006/relationships/hyperlink" Target="https://www.eia.gov/dnav/pet/hist/LeafHandler.ashx?n=PET&amp;s=MDGRPUS1&amp;f=A" TargetMode="External"/><Relationship Id="rId548" Type="http://schemas.openxmlformats.org/officeDocument/2006/relationships/hyperlink" Target="https://www.eia.gov/dnav/pet/hist/LeafHandler.ashx?n=PET&amp;s=M_EPOOXE_YNP_NUS_MBBL&amp;f=A" TargetMode="External"/><Relationship Id="rId755" Type="http://schemas.openxmlformats.org/officeDocument/2006/relationships/hyperlink" Target="https://www.eia.gov/dnav/pet/hist/LeafHandler.ashx?n=PET&amp;s=MLURPUS1&amp;f=A" TargetMode="External"/><Relationship Id="rId91" Type="http://schemas.openxmlformats.org/officeDocument/2006/relationships/hyperlink" Target="https://www.eia.gov/dnav/pet/hist/LeafHandler.ashx?n=PET&amp;s=M_EPLOLE_IM0_NUS-Z00_MBBL&amp;f=A" TargetMode="External"/><Relationship Id="rId187" Type="http://schemas.openxmlformats.org/officeDocument/2006/relationships/hyperlink" Target="https://www.eia.gov/dnav/pet/hist/LeafHandler.ashx?n=PET&amp;s=M_EPOORO_YIR_NUS_MBBL&amp;f=A" TargetMode="External"/><Relationship Id="rId394" Type="http://schemas.openxmlformats.org/officeDocument/2006/relationships/hyperlink" Target="https://www.eia.gov/dnav/pet/hist/LeafHandler.ashx?n=PET&amp;s=MMSSCUS1&amp;f=A" TargetMode="External"/><Relationship Id="rId408" Type="http://schemas.openxmlformats.org/officeDocument/2006/relationships/hyperlink" Target="https://www.eia.gov/dnav/pet/hist/LeafHandler.ashx?n=PET&amp;s=MTTSTUS1&amp;f=A" TargetMode="External"/><Relationship Id="rId615" Type="http://schemas.openxmlformats.org/officeDocument/2006/relationships/hyperlink" Target="https://www.eia.gov/dnav/pet/hist/LeafHandler.ashx?n=PET&amp;s=MO1UP_NUS_1&amp;f=A" TargetMode="External"/><Relationship Id="rId254" Type="http://schemas.openxmlformats.org/officeDocument/2006/relationships/hyperlink" Target="https://www.eia.gov/dnav/pet/hist/LeafHandler.ashx?n=PET&amp;s=MGREXUS1&amp;f=A" TargetMode="External"/><Relationship Id="rId699" Type="http://schemas.openxmlformats.org/officeDocument/2006/relationships/hyperlink" Target="https://www.eia.gov/dnav/pet/hist/LeafHandler.ashx?n=PET&amp;s=MD1RP_NUS_1&amp;f=A" TargetMode="External"/><Relationship Id="rId49" Type="http://schemas.openxmlformats.org/officeDocument/2006/relationships/hyperlink" Target="https://www.eia.gov/dnav/pet/hist/LeafHandler.ashx?n=PET&amp;s=M_EPLLPA_TVP_NUS_MBBL&amp;f=A" TargetMode="External"/><Relationship Id="rId114" Type="http://schemas.openxmlformats.org/officeDocument/2006/relationships/hyperlink" Target="https://www.eia.gov/dnav/pet/hist/LeafHandler.ashx?n=PET&amp;s=M_EPLLBYI_SAE_NUS_MBBL&amp;f=A" TargetMode="External"/><Relationship Id="rId461" Type="http://schemas.openxmlformats.org/officeDocument/2006/relationships/hyperlink" Target="https://www.eia.gov/dnav/pet/hist/LeafHandler.ashx?n=PET&amp;s=M_EPLLBAN_VPP_NUS_MBBL&amp;f=A" TargetMode="External"/><Relationship Id="rId559" Type="http://schemas.openxmlformats.org/officeDocument/2006/relationships/hyperlink" Target="https://www.eia.gov/dnav/pet/hist/LeafHandler.ashx?n=PET&amp;s=M_EPOORXFE_SCG_NUS_MBBL&amp;f=A" TargetMode="External"/><Relationship Id="rId766" Type="http://schemas.openxmlformats.org/officeDocument/2006/relationships/hyperlink" Target="https://www.eia.gov/dnav/pet/hist/LeafHandler.ashx?n=PET&amp;s=MWXSTUS1&amp;f=A" TargetMode="External"/><Relationship Id="rId198" Type="http://schemas.openxmlformats.org/officeDocument/2006/relationships/hyperlink" Target="https://www.eia.gov/dnav/pet/hist/LeafHandler.ashx?n=PET&amp;s=MUOIMUS1&amp;f=A" TargetMode="External"/><Relationship Id="rId321" Type="http://schemas.openxmlformats.org/officeDocument/2006/relationships/hyperlink" Target="https://www.eia.gov/dnav/pet/hist/LeafHandler.ashx?n=PET&amp;s=MRESTUS1&amp;f=A" TargetMode="External"/><Relationship Id="rId419" Type="http://schemas.openxmlformats.org/officeDocument/2006/relationships/hyperlink" Target="https://www.eia.gov/dnav/pet/hist/LeafHandler.ashx?n=PET&amp;s=M_EPL0_TVP_NUS_MBBL&amp;f=A" TargetMode="External"/><Relationship Id="rId626" Type="http://schemas.openxmlformats.org/officeDocument/2006/relationships/hyperlink" Target="https://www.eia.gov/dnav/pet/hist/LeafHandler.ashx?n=PET&amp;s=MBASCUS1&amp;f=A" TargetMode="External"/><Relationship Id="rId265" Type="http://schemas.openxmlformats.org/officeDocument/2006/relationships/hyperlink" Target="https://www.eia.gov/dnav/pet/hist/LeafHandler.ashx?n=PET&amp;s=MGARPUS1&amp;f=A" TargetMode="External"/><Relationship Id="rId472" Type="http://schemas.openxmlformats.org/officeDocument/2006/relationships/hyperlink" Target="https://www.eia.gov/dnav/pet/hist/LeafHandler.ashx?n=PET&amp;s=M_EPLLBAI_SAE_NUS_MBBL&amp;f=A" TargetMode="External"/><Relationship Id="rId125" Type="http://schemas.openxmlformats.org/officeDocument/2006/relationships/hyperlink" Target="https://www.eia.gov/dnav/pet/hist/LeafHandler.ashx?n=PET&amp;s=MOHIMUS1&amp;f=A" TargetMode="External"/><Relationship Id="rId332" Type="http://schemas.openxmlformats.org/officeDocument/2006/relationships/hyperlink" Target="https://www.eia.gov/dnav/pet/hist/LeafHandler.ashx?n=PET&amp;s=MRZSC_NUS_1&amp;f=A" TargetMode="External"/><Relationship Id="rId777" Type="http://schemas.openxmlformats.org/officeDocument/2006/relationships/hyperlink" Target="https://www.eia.gov/dnav/pet/hist/LeafHandler.ashx?n=PET&amp;s=MCMUP_NUS_1&amp;f=A" TargetMode="External"/><Relationship Id="rId637" Type="http://schemas.openxmlformats.org/officeDocument/2006/relationships/hyperlink" Target="https://www.eia.gov/dnav/pet/hist/LeafHandler.ashx?n=PET&amp;s=MTPUPUS1&amp;f=A" TargetMode="External"/><Relationship Id="rId276" Type="http://schemas.openxmlformats.org/officeDocument/2006/relationships/hyperlink" Target="https://www.eia.gov/dnav/pet/hist/LeafHandler.ashx?n=PET&amp;s=MKJUPUS1&amp;f=A" TargetMode="External"/><Relationship Id="rId483" Type="http://schemas.openxmlformats.org/officeDocument/2006/relationships/hyperlink" Target="https://www.eia.gov/dnav/pet/hist/LeafHandler.ashx?n=PET&amp;s=M_EPLLCS_TVP_NUS_MBBL&amp;f=A" TargetMode="External"/><Relationship Id="rId690" Type="http://schemas.openxmlformats.org/officeDocument/2006/relationships/hyperlink" Target="https://www.eia.gov/dnav/pet/hist/LeafHandler.ashx?n=PET&amp;s=M_EPDXL0_YNP_NUS_MBBL&amp;f=A" TargetMode="External"/><Relationship Id="rId704" Type="http://schemas.openxmlformats.org/officeDocument/2006/relationships/hyperlink" Target="https://www.eia.gov/dnav/pet/hist/LeafHandler.ashx?n=PET&amp;s=MD1UP_NUS_1&amp;f=A" TargetMode="External"/><Relationship Id="rId40" Type="http://schemas.openxmlformats.org/officeDocument/2006/relationships/hyperlink" Target="https://www.eia.gov/dnav/pet/hist/LeafHandler.ashx?n=PET&amp;s=M_EPL2_SAE_NUS_MBBL&amp;f=A" TargetMode="External"/><Relationship Id="rId136" Type="http://schemas.openxmlformats.org/officeDocument/2006/relationships/hyperlink" Target="https://www.eia.gov/dnav/pet/hist/LeafHandler.ashx?n=PET&amp;s=M_EPOOXXFE_IM0_NUS-Z00_MBBL&amp;f=A" TargetMode="External"/><Relationship Id="rId343" Type="http://schemas.openxmlformats.org/officeDocument/2006/relationships/hyperlink" Target="https://www.eia.gov/dnav/pet/hist/LeafHandler.ashx?n=PET&amp;s=MNFEXUS1&amp;f=A" TargetMode="External"/><Relationship Id="rId550" Type="http://schemas.openxmlformats.org/officeDocument/2006/relationships/hyperlink" Target="https://www.eia.gov/dnav/pet/hist/LeafHandler.ashx?n=PET&amp;s=M_EPOOXE_VUA_NUS_MBBL&amp;f=A" TargetMode="External"/><Relationship Id="rId788" Type="http://schemas.openxmlformats.org/officeDocument/2006/relationships/hyperlink" Target="https://www.eia.gov/dnav/pet/hist/LeafHandler.ashx?n=PET&amp;s=MSGUPUS1&amp;f=A" TargetMode="External"/><Relationship Id="rId203" Type="http://schemas.openxmlformats.org/officeDocument/2006/relationships/hyperlink" Target="https://www.eia.gov/dnav/pet/hist/LeafHandler.ashx?n=PET&amp;s=MUOSTUS1&amp;f=A" TargetMode="External"/><Relationship Id="rId648" Type="http://schemas.openxmlformats.org/officeDocument/2006/relationships/hyperlink" Target="https://www.eia.gov/dnav/pet/hist/LeafHandler.ashx?n=PET&amp;s=MGRIMUS1&amp;f=A" TargetMode="External"/><Relationship Id="rId287" Type="http://schemas.openxmlformats.org/officeDocument/2006/relationships/hyperlink" Target="https://www.eia.gov/dnav/pet/hist/LeafHandler.ashx?n=PET&amp;s=MDIIMUS1&amp;f=A" TargetMode="External"/><Relationship Id="rId410" Type="http://schemas.openxmlformats.org/officeDocument/2006/relationships/hyperlink" Target="https://www.eia.gov/dnav/pet/hist/LeafHandler.ashx?n=PET&amp;s=M_EPC0_TVP_NUS_MBBL&amp;f=A" TargetMode="External"/><Relationship Id="rId494" Type="http://schemas.openxmlformats.org/officeDocument/2006/relationships/hyperlink" Target="https://www.eia.gov/dnav/pet/hist/LeafHandler.ashx?n=PET&amp;s=M_EPLLEY_SCG_NUS_MBBL&amp;f=A" TargetMode="External"/><Relationship Id="rId508" Type="http://schemas.openxmlformats.org/officeDocument/2006/relationships/hyperlink" Target="https://www.eia.gov/dnav/pet/hist/LeafHandler.ashx?n=PET&amp;s=MIYIMUS1&amp;f=A" TargetMode="External"/><Relationship Id="rId715" Type="http://schemas.openxmlformats.org/officeDocument/2006/relationships/hyperlink" Target="https://www.eia.gov/dnav/pet/hist/LeafHandler.ashx?n=PET&amp;s=MRESCUS1&amp;f=A" TargetMode="External"/><Relationship Id="rId147" Type="http://schemas.openxmlformats.org/officeDocument/2006/relationships/hyperlink" Target="https://www.eia.gov/dnav/pet/hist/LeafHandler.ashx?n=PET&amp;s=M_EPOOR_YIR_NUS_MBBL&amp;f=A" TargetMode="External"/><Relationship Id="rId354" Type="http://schemas.openxmlformats.org/officeDocument/2006/relationships/hyperlink" Target="https://www.eia.gov/dnav/pet/hist/LeafHandler.ashx?n=PET&amp;s=MNSSCUS1&amp;f=A" TargetMode="External"/><Relationship Id="rId51" Type="http://schemas.openxmlformats.org/officeDocument/2006/relationships/hyperlink" Target="https://www.eia.gov/dnav/pet/hist/LeafHandler.ashx?n=PET&amp;s=MPAIM_NUS-Z00_1&amp;f=A" TargetMode="External"/><Relationship Id="rId561" Type="http://schemas.openxmlformats.org/officeDocument/2006/relationships/hyperlink" Target="https://www.eia.gov/dnav/pet/hist/LeafHandler.ashx?n=PET&amp;s=M_EPOORXFE_EEX_NUS-Z00_MBBL&amp;f=A" TargetMode="External"/><Relationship Id="rId659" Type="http://schemas.openxmlformats.org/officeDocument/2006/relationships/hyperlink" Target="https://www.eia.gov/dnav/pet/hist/LeafHandler.ashx?n=PET&amp;s=MG4EX_NUS-Z00_1&amp;f=A" TargetMode="External"/><Relationship Id="rId214" Type="http://schemas.openxmlformats.org/officeDocument/2006/relationships/hyperlink" Target="https://www.eia.gov/dnav/pet/hist/LeafHandler.ashx?n=PET&amp;s=MO1UA_NUS_1&amp;f=A" TargetMode="External"/><Relationship Id="rId298" Type="http://schemas.openxmlformats.org/officeDocument/2006/relationships/hyperlink" Target="https://www.eia.gov/dnav/pet/hist/LeafHandler.ashx?n=PET&amp;s=M_EPDXL0_EEX_NUS-Z00_MBBL&amp;f=A" TargetMode="External"/><Relationship Id="rId421" Type="http://schemas.openxmlformats.org/officeDocument/2006/relationships/hyperlink" Target="https://www.eia.gov/dnav/pet/hist/LeafHandler.ashx?n=PET&amp;s=MNGRPUS1&amp;f=A" TargetMode="External"/><Relationship Id="rId519" Type="http://schemas.openxmlformats.org/officeDocument/2006/relationships/hyperlink" Target="https://www.eia.gov/dnav/pet/hist/LeafHandler.ashx?n=PET&amp;s=MOLUPUS1&amp;f=A" TargetMode="External"/><Relationship Id="rId158" Type="http://schemas.openxmlformats.org/officeDocument/2006/relationships/hyperlink" Target="https://www.eia.gov/dnav/pet/hist/LeafHandler.ashx?n=PET&amp;s=MFESTUS1&amp;f=A" TargetMode="External"/><Relationship Id="rId726" Type="http://schemas.openxmlformats.org/officeDocument/2006/relationships/hyperlink" Target="https://www.eia.gov/dnav/pet/hist/LeafHandler.ashx?n=PET&amp;s=MRMSTUS1&amp;f=A" TargetMode="External"/><Relationship Id="rId62" Type="http://schemas.openxmlformats.org/officeDocument/2006/relationships/hyperlink" Target="https://www.eia.gov/dnav/pet/hist/LeafHandler.ashx?n=PET&amp;s=M_EPLLBAN_YIR_NUS_MBBL&amp;f=A" TargetMode="External"/><Relationship Id="rId365" Type="http://schemas.openxmlformats.org/officeDocument/2006/relationships/hyperlink" Target="https://www.eia.gov/dnav/pet/hist/LeafHandler.ashx?n=PET&amp;s=MWXIMUS1&amp;f=A" TargetMode="External"/><Relationship Id="rId572" Type="http://schemas.openxmlformats.org/officeDocument/2006/relationships/hyperlink" Target="https://www.eia.gov/dnav/pet/hist/LeafHandler.ashx?n=PET&amp;s=M_EPOORDO_YNP_NUS_MBBL&amp;f=A" TargetMode="External"/><Relationship Id="rId225" Type="http://schemas.openxmlformats.org/officeDocument/2006/relationships/hyperlink" Target="https://www.eia.gov/dnav/pet/hist/LeafHandler.ashx?n=PET&amp;s=MO5EX_NUS-Z00_1&amp;f=A" TargetMode="External"/><Relationship Id="rId432" Type="http://schemas.openxmlformats.org/officeDocument/2006/relationships/hyperlink" Target="https://www.eia.gov/dnav/pet/hist/LeafHandler.ashx?n=PET&amp;s=M_EPL2_IM0_NUS-Z00_MBBL&amp;f=A" TargetMode="External"/><Relationship Id="rId737" Type="http://schemas.openxmlformats.org/officeDocument/2006/relationships/hyperlink" Target="https://www.eia.gov/dnav/pet/hist/LeafHandler.ashx?n=PET&amp;s=MNFRPUS1&amp;f=A" TargetMode="External"/><Relationship Id="rId73" Type="http://schemas.openxmlformats.org/officeDocument/2006/relationships/hyperlink" Target="https://www.eia.gov/dnav/pet/hist/LeafHandler.ashx?n=PET&amp;s=M_EPLLBAI_EEX_NUS-Z00_1&amp;f=A" TargetMode="External"/><Relationship Id="rId169" Type="http://schemas.openxmlformats.org/officeDocument/2006/relationships/hyperlink" Target="https://www.eia.gov/dnav/pet/hist/LeafHandler.ashx?n=PET&amp;s=M_EPOORDB_VUA_NUS_MBBL&amp;f=A" TargetMode="External"/><Relationship Id="rId376" Type="http://schemas.openxmlformats.org/officeDocument/2006/relationships/hyperlink" Target="https://www.eia.gov/dnav/pet/hist/LeafHandler.ashx?n=PET&amp;s=MCMRPUS1&amp;f=A" TargetMode="External"/><Relationship Id="rId583" Type="http://schemas.openxmlformats.org/officeDocument/2006/relationships/hyperlink" Target="https://www.eia.gov/dnav/pet/hist/LeafHandler.ashx?n=PET&amp;s=M_EPOORO_SCG_NUS_MBBL&amp;f=A" TargetMode="External"/><Relationship Id="rId790" Type="http://schemas.openxmlformats.org/officeDocument/2006/relationships/hyperlink" Target="https://www.eia.gov/dnav/pet/hist/LeafHandler.ashx?n=PET&amp;s=MMSIMUS1&amp;f=A" TargetMode="External"/><Relationship Id="rId4" Type="http://schemas.openxmlformats.org/officeDocument/2006/relationships/hyperlink" Target="https://www.eia.gov/dnav/pet/hist/LeafHandler.ashx?n=PET&amp;s=MTTRPUS1&amp;f=A" TargetMode="External"/><Relationship Id="rId236" Type="http://schemas.openxmlformats.org/officeDocument/2006/relationships/hyperlink" Target="https://www.eia.gov/dnav/pet/hist/LeafHandler.ashx?n=PET&amp;s=MTPIMUS1&amp;f=A" TargetMode="External"/><Relationship Id="rId443" Type="http://schemas.openxmlformats.org/officeDocument/2006/relationships/hyperlink" Target="https://www.eia.gov/dnav/pet/hist/LeafHandler.ashx?n=PET&amp;s=M_EPLLEA_VPP_NUS_MBBL&amp;f=A" TargetMode="External"/><Relationship Id="rId650" Type="http://schemas.openxmlformats.org/officeDocument/2006/relationships/hyperlink" Target="https://www.eia.gov/dnav/pet/hist/LeafHandler.ashx?n=PET&amp;s=MGRSCUS1&amp;f=A" TargetMode="External"/><Relationship Id="rId303" Type="http://schemas.openxmlformats.org/officeDocument/2006/relationships/hyperlink" Target="https://www.eia.gov/dnav/pet/hist/LeafHandler.ashx?n=PET&amp;s=MD1IM_NUS-Z00_1&amp;f=A" TargetMode="External"/><Relationship Id="rId748" Type="http://schemas.openxmlformats.org/officeDocument/2006/relationships/hyperlink" Target="https://www.eia.gov/dnav/pet/hist/LeafHandler.ashx?n=PET&amp;s=MOTSTUS1&amp;f=A" TargetMode="External"/><Relationship Id="rId84" Type="http://schemas.openxmlformats.org/officeDocument/2006/relationships/hyperlink" Target="https://www.eia.gov/dnav/pet/hist/LeafHandler.ashx?n=PET&amp;s=M_EPLLNG_SAE_NUS_MBBL&amp;f=A" TargetMode="External"/><Relationship Id="rId387" Type="http://schemas.openxmlformats.org/officeDocument/2006/relationships/hyperlink" Target="https://www.eia.gov/dnav/pet/hist/LeafHandler.ashx?n=PET&amp;s=MAPEXUS1&amp;f=A" TargetMode="External"/><Relationship Id="rId510" Type="http://schemas.openxmlformats.org/officeDocument/2006/relationships/hyperlink" Target="https://www.eia.gov/dnav/pet/hist/LeafHandler.ashx?n=PET&amp;s=M_EPLLBYI_VPP_NUS_MBBL&amp;f=A" TargetMode="External"/><Relationship Id="rId594" Type="http://schemas.openxmlformats.org/officeDocument/2006/relationships/hyperlink" Target="https://www.eia.gov/dnav/pet/hist/LeafHandler.ashx?n=PET&amp;s=M_EPPU_TVP_NUS_MBBL&amp;f=A" TargetMode="External"/><Relationship Id="rId608" Type="http://schemas.openxmlformats.org/officeDocument/2006/relationships/hyperlink" Target="https://www.eia.gov/dnav/pet/hist/LeafHandler.ashx?n=PET&amp;s=MBCSTUS1&amp;f=A" TargetMode="External"/><Relationship Id="rId247" Type="http://schemas.openxmlformats.org/officeDocument/2006/relationships/hyperlink" Target="https://www.eia.gov/dnav/pet/hist/LeafHandler.ashx?n=PET&amp;s=MGFEXUS1&amp;f=A" TargetMode="External"/><Relationship Id="rId107" Type="http://schemas.openxmlformats.org/officeDocument/2006/relationships/hyperlink" Target="https://www.eia.gov/dnav/pet/hist/LeafHandler.ashx?n=PET&amp;s=M_EPLLBYN_SCG_NUS_MBBL&amp;f=A" TargetMode="External"/><Relationship Id="rId454" Type="http://schemas.openxmlformats.org/officeDocument/2006/relationships/hyperlink" Target="https://www.eia.gov/dnav/pet/hist/LeafHandler.ashx?n=PET&amp;s=M_EPLLBAN_TVP_NUS_MBBL&amp;f=A" TargetMode="External"/><Relationship Id="rId661" Type="http://schemas.openxmlformats.org/officeDocument/2006/relationships/hyperlink" Target="https://www.eia.gov/dnav/pet/hist/LeafHandler.ashx?n=PET&amp;s=MG4ST_NUS_1&amp;f=A" TargetMode="External"/><Relationship Id="rId759" Type="http://schemas.openxmlformats.org/officeDocument/2006/relationships/hyperlink" Target="https://www.eia.gov/dnav/pet/hist/LeafHandler.ashx?n=PET&amp;s=MLUUPUS1&amp;f=A" TargetMode="External"/><Relationship Id="rId11" Type="http://schemas.openxmlformats.org/officeDocument/2006/relationships/hyperlink" Target="https://www.eia.gov/dnav/pet/hist/LeafHandler.ashx?n=PET&amp;s=MTTSTUS1&amp;f=A" TargetMode="External"/><Relationship Id="rId314" Type="http://schemas.openxmlformats.org/officeDocument/2006/relationships/hyperlink" Target="https://www.eia.gov/dnav/pet/hist/LeafHandler.ashx?n=PET&amp;s=MDGUPUS1&amp;f=A" TargetMode="External"/><Relationship Id="rId398" Type="http://schemas.openxmlformats.org/officeDocument/2006/relationships/hyperlink" Target="https://www.eia.gov/dnav/pet/hist/LeafHandler.ashx?n=PET&amp;s=MTTFPUS1&amp;f=A" TargetMode="External"/><Relationship Id="rId521" Type="http://schemas.openxmlformats.org/officeDocument/2006/relationships/hyperlink" Target="https://www.eia.gov/dnav/pet/hist/LeafHandler.ashx?n=PET&amp;s=M_EPOO_YNP_NUS_MBBL&amp;f=A" TargetMode="External"/><Relationship Id="rId619" Type="http://schemas.openxmlformats.org/officeDocument/2006/relationships/hyperlink" Target="https://www.eia.gov/dnav/pet/hist/LeafHandler.ashx?n=PET&amp;s=MO5UA_NUS_1&amp;f=A" TargetMode="External"/><Relationship Id="rId95" Type="http://schemas.openxmlformats.org/officeDocument/2006/relationships/hyperlink" Target="https://www.eia.gov/dnav/pet/hist/LeafHandler.ashx?n=PET&amp;s=MEYRPUS1&amp;f=A" TargetMode="External"/><Relationship Id="rId160" Type="http://schemas.openxmlformats.org/officeDocument/2006/relationships/hyperlink" Target="https://www.eia.gov/dnav/pet/hist/LeafHandler.ashx?n=PET&amp;s=M_EPOORXFE_IM0_NUS-Z00_MBBL&amp;f=A" TargetMode="External"/><Relationship Id="rId258" Type="http://schemas.openxmlformats.org/officeDocument/2006/relationships/hyperlink" Target="https://www.eia.gov/dnav/pet/hist/LeafHandler.ashx?n=PET&amp;s=MG4RP_NUS_1&amp;f=A" TargetMode="External"/><Relationship Id="rId465" Type="http://schemas.openxmlformats.org/officeDocument/2006/relationships/hyperlink" Target="https://www.eia.gov/dnav/pet/hist/LeafHandler.ashx?n=PET&amp;s=M_EPLLBAI_YNP_NUS_MBBL&amp;f=A" TargetMode="External"/><Relationship Id="rId672" Type="http://schemas.openxmlformats.org/officeDocument/2006/relationships/hyperlink" Target="https://www.eia.gov/dnav/pet/hist/LeafHandler.ashx?n=PET&amp;s=MKJEXUS1&amp;f=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1"/>
  <sheetViews>
    <sheetView topLeftCell="A43" workbookViewId="0">
      <selection activeCell="B65" sqref="B65"/>
    </sheetView>
  </sheetViews>
  <sheetFormatPr defaultRowHeight="15" x14ac:dyDescent="0.25"/>
  <cols>
    <col min="2" max="2" width="82.7109375" customWidth="1"/>
  </cols>
  <sheetData>
    <row r="1" spans="1:4" x14ac:dyDescent="0.25">
      <c r="A1" s="1" t="s">
        <v>450</v>
      </c>
    </row>
    <row r="2" spans="1:4" x14ac:dyDescent="0.25">
      <c r="A2" s="1" t="s">
        <v>451</v>
      </c>
    </row>
    <row r="3" spans="1:4" x14ac:dyDescent="0.25">
      <c r="A3" s="1" t="s">
        <v>452</v>
      </c>
    </row>
    <row r="5" spans="1:4" x14ac:dyDescent="0.25">
      <c r="A5" s="1" t="s">
        <v>0</v>
      </c>
      <c r="B5" s="2" t="s">
        <v>1</v>
      </c>
    </row>
    <row r="6" spans="1:4" x14ac:dyDescent="0.25">
      <c r="B6" t="s">
        <v>2</v>
      </c>
    </row>
    <row r="7" spans="1:4" x14ac:dyDescent="0.25">
      <c r="B7" s="3" t="s">
        <v>729</v>
      </c>
    </row>
    <row r="8" spans="1:4" x14ac:dyDescent="0.25">
      <c r="B8" t="s">
        <v>3</v>
      </c>
    </row>
    <row r="9" spans="1:4" x14ac:dyDescent="0.25">
      <c r="B9" s="4" t="s">
        <v>4</v>
      </c>
    </row>
    <row r="10" spans="1:4" x14ac:dyDescent="0.25">
      <c r="B10" t="s">
        <v>730</v>
      </c>
    </row>
    <row r="12" spans="1:4" x14ac:dyDescent="0.25">
      <c r="B12" s="2" t="s">
        <v>733</v>
      </c>
    </row>
    <row r="13" spans="1:4" x14ac:dyDescent="0.25">
      <c r="B13" t="s">
        <v>2</v>
      </c>
    </row>
    <row r="14" spans="1:4" x14ac:dyDescent="0.25">
      <c r="B14" s="3">
        <v>2025</v>
      </c>
    </row>
    <row r="15" spans="1:4" x14ac:dyDescent="0.25">
      <c r="B15" t="s">
        <v>734</v>
      </c>
    </row>
    <row r="16" spans="1:4" x14ac:dyDescent="0.25">
      <c r="B16" t="s">
        <v>731</v>
      </c>
      <c r="D16" s="4"/>
    </row>
    <row r="18" spans="2:2" x14ac:dyDescent="0.25">
      <c r="B18" s="2" t="s">
        <v>735</v>
      </c>
    </row>
    <row r="19" spans="2:2" x14ac:dyDescent="0.25">
      <c r="B19" t="s">
        <v>2</v>
      </c>
    </row>
    <row r="20" spans="2:2" x14ac:dyDescent="0.25">
      <c r="B20" s="3">
        <v>2025</v>
      </c>
    </row>
    <row r="21" spans="2:2" x14ac:dyDescent="0.25">
      <c r="B21" t="s">
        <v>736</v>
      </c>
    </row>
    <row r="22" spans="2:2" x14ac:dyDescent="0.25">
      <c r="B22" t="s">
        <v>737</v>
      </c>
    </row>
    <row r="24" spans="2:2" x14ac:dyDescent="0.25">
      <c r="B24" s="2" t="s">
        <v>130</v>
      </c>
    </row>
    <row r="25" spans="2:2" x14ac:dyDescent="0.25">
      <c r="B25" t="s">
        <v>2</v>
      </c>
    </row>
    <row r="26" spans="2:2" x14ac:dyDescent="0.25">
      <c r="B26" s="3">
        <v>2025</v>
      </c>
    </row>
    <row r="27" spans="2:2" x14ac:dyDescent="0.25">
      <c r="B27" t="s">
        <v>746</v>
      </c>
    </row>
    <row r="28" spans="2:2" x14ac:dyDescent="0.25">
      <c r="B28" t="s">
        <v>745</v>
      </c>
    </row>
    <row r="29" spans="2:2" x14ac:dyDescent="0.25">
      <c r="B29" t="s">
        <v>738</v>
      </c>
    </row>
    <row r="30" spans="2:2" x14ac:dyDescent="0.25">
      <c r="B30" t="s">
        <v>740</v>
      </c>
    </row>
    <row r="31" spans="2:2" x14ac:dyDescent="0.25">
      <c r="B31" t="s">
        <v>741</v>
      </c>
    </row>
    <row r="33" spans="2:2" x14ac:dyDescent="0.25">
      <c r="B33" s="2" t="s">
        <v>5</v>
      </c>
    </row>
    <row r="34" spans="2:2" x14ac:dyDescent="0.25">
      <c r="B34" t="s">
        <v>2</v>
      </c>
    </row>
    <row r="35" spans="2:2" x14ac:dyDescent="0.25">
      <c r="B35" s="3">
        <v>2025</v>
      </c>
    </row>
    <row r="36" spans="2:2" x14ac:dyDescent="0.25">
      <c r="B36" t="s">
        <v>751</v>
      </c>
    </row>
    <row r="37" spans="2:2" x14ac:dyDescent="0.25">
      <c r="B37" s="4" t="s">
        <v>750</v>
      </c>
    </row>
    <row r="38" spans="2:2" x14ac:dyDescent="0.25">
      <c r="B38" t="s">
        <v>749</v>
      </c>
    </row>
    <row r="40" spans="2:2" x14ac:dyDescent="0.25">
      <c r="B40" s="2" t="s">
        <v>839</v>
      </c>
    </row>
    <row r="41" spans="2:2" x14ac:dyDescent="0.25">
      <c r="B41" t="s">
        <v>2</v>
      </c>
    </row>
    <row r="42" spans="2:2" x14ac:dyDescent="0.25">
      <c r="B42" s="3">
        <v>2025</v>
      </c>
    </row>
    <row r="43" spans="2:2" x14ac:dyDescent="0.25">
      <c r="B43" t="s">
        <v>720</v>
      </c>
    </row>
    <row r="44" spans="2:2" x14ac:dyDescent="0.25">
      <c r="B44" s="4" t="s">
        <v>6</v>
      </c>
    </row>
    <row r="45" spans="2:2" x14ac:dyDescent="0.25">
      <c r="B45" t="s">
        <v>842</v>
      </c>
    </row>
    <row r="47" spans="2:2" x14ac:dyDescent="0.25">
      <c r="B47" s="2" t="s">
        <v>135</v>
      </c>
    </row>
    <row r="48" spans="2:2" x14ac:dyDescent="0.25">
      <c r="B48" t="s">
        <v>755</v>
      </c>
    </row>
    <row r="49" spans="2:2" x14ac:dyDescent="0.25">
      <c r="B49" s="3">
        <v>2025</v>
      </c>
    </row>
    <row r="50" spans="2:2" x14ac:dyDescent="0.25">
      <c r="B50" t="s">
        <v>754</v>
      </c>
    </row>
    <row r="51" spans="2:2" x14ac:dyDescent="0.25">
      <c r="B51" s="4" t="s">
        <v>753</v>
      </c>
    </row>
    <row r="52" spans="2:2" x14ac:dyDescent="0.25">
      <c r="B52" t="s">
        <v>756</v>
      </c>
    </row>
    <row r="54" spans="2:2" x14ac:dyDescent="0.25">
      <c r="B54" s="2" t="s">
        <v>420</v>
      </c>
    </row>
    <row r="55" spans="2:2" x14ac:dyDescent="0.25">
      <c r="B55" t="s">
        <v>416</v>
      </c>
    </row>
    <row r="56" spans="2:2" x14ac:dyDescent="0.25">
      <c r="B56" s="3">
        <v>2023</v>
      </c>
    </row>
    <row r="57" spans="2:2" x14ac:dyDescent="0.25">
      <c r="B57" t="s">
        <v>485</v>
      </c>
    </row>
    <row r="58" spans="2:2" x14ac:dyDescent="0.25">
      <c r="B58" s="192" t="s">
        <v>841</v>
      </c>
    </row>
    <row r="59" spans="2:2" x14ac:dyDescent="0.25">
      <c r="B59" t="s">
        <v>840</v>
      </c>
    </row>
    <row r="61" spans="2:2" x14ac:dyDescent="0.25">
      <c r="B61" s="2" t="s">
        <v>421</v>
      </c>
    </row>
    <row r="62" spans="2:2" x14ac:dyDescent="0.25">
      <c r="B62" t="s">
        <v>417</v>
      </c>
    </row>
    <row r="63" spans="2:2" x14ac:dyDescent="0.25">
      <c r="B63" s="3">
        <v>2019</v>
      </c>
    </row>
    <row r="64" spans="2:2" x14ac:dyDescent="0.25">
      <c r="B64" t="s">
        <v>455</v>
      </c>
    </row>
    <row r="65" spans="1:2" x14ac:dyDescent="0.25">
      <c r="B65" s="4" t="s">
        <v>418</v>
      </c>
    </row>
    <row r="66" spans="1:2" x14ac:dyDescent="0.25">
      <c r="B66" t="s">
        <v>419</v>
      </c>
    </row>
    <row r="68" spans="1:2" x14ac:dyDescent="0.25">
      <c r="B68" s="2" t="s">
        <v>422</v>
      </c>
    </row>
    <row r="69" spans="1:2" x14ac:dyDescent="0.25">
      <c r="B69" t="s">
        <v>423</v>
      </c>
    </row>
    <row r="70" spans="1:2" x14ac:dyDescent="0.25">
      <c r="B70" s="3">
        <v>2019</v>
      </c>
    </row>
    <row r="71" spans="1:2" x14ac:dyDescent="0.25">
      <c r="B71" t="s">
        <v>425</v>
      </c>
    </row>
    <row r="72" spans="1:2" x14ac:dyDescent="0.25">
      <c r="B72" s="4" t="s">
        <v>424</v>
      </c>
    </row>
    <row r="73" spans="1:2" x14ac:dyDescent="0.25">
      <c r="B73" s="197"/>
    </row>
    <row r="74" spans="1:2" x14ac:dyDescent="0.25">
      <c r="A74" s="1" t="s">
        <v>7</v>
      </c>
    </row>
    <row r="76" spans="1:2" x14ac:dyDescent="0.25">
      <c r="A76" s="1" t="s">
        <v>435</v>
      </c>
    </row>
    <row r="77" spans="1:2" x14ac:dyDescent="0.25">
      <c r="A77" t="s">
        <v>430</v>
      </c>
    </row>
    <row r="78" spans="1:2" x14ac:dyDescent="0.25">
      <c r="A78" t="s">
        <v>431</v>
      </c>
    </row>
    <row r="79" spans="1:2" x14ac:dyDescent="0.25">
      <c r="A79" t="s">
        <v>432</v>
      </c>
    </row>
    <row r="80" spans="1:2" x14ac:dyDescent="0.25">
      <c r="A80" t="s">
        <v>433</v>
      </c>
    </row>
    <row r="81" spans="1:1" x14ac:dyDescent="0.25">
      <c r="A81" t="s">
        <v>434</v>
      </c>
    </row>
    <row r="83" spans="1:1" x14ac:dyDescent="0.25">
      <c r="A83" s="1" t="s">
        <v>436</v>
      </c>
    </row>
    <row r="84" spans="1:1" x14ac:dyDescent="0.25">
      <c r="A84" t="s">
        <v>449</v>
      </c>
    </row>
    <row r="85" spans="1:1" x14ac:dyDescent="0.25">
      <c r="A85" t="s">
        <v>444</v>
      </c>
    </row>
    <row r="86" spans="1:1" x14ac:dyDescent="0.25">
      <c r="A86" t="s">
        <v>447</v>
      </c>
    </row>
    <row r="87" spans="1:1" x14ac:dyDescent="0.25">
      <c r="A87" t="s">
        <v>448</v>
      </c>
    </row>
    <row r="89" spans="1:1" x14ac:dyDescent="0.25">
      <c r="A89" s="1" t="s">
        <v>440</v>
      </c>
    </row>
    <row r="90" spans="1:1" x14ac:dyDescent="0.25">
      <c r="A90" t="s">
        <v>441</v>
      </c>
    </row>
    <row r="91" spans="1:1" x14ac:dyDescent="0.25">
      <c r="A91" t="s">
        <v>442</v>
      </c>
    </row>
    <row r="92" spans="1:1" x14ac:dyDescent="0.25">
      <c r="A92" t="s">
        <v>443</v>
      </c>
    </row>
    <row r="94" spans="1:1" x14ac:dyDescent="0.25">
      <c r="A94" s="1" t="s">
        <v>437</v>
      </c>
    </row>
    <row r="95" spans="1:1" x14ac:dyDescent="0.25">
      <c r="A95" t="s">
        <v>8</v>
      </c>
    </row>
    <row r="96" spans="1:1" x14ac:dyDescent="0.25">
      <c r="A96" t="s">
        <v>9</v>
      </c>
    </row>
    <row r="97" spans="1:1" x14ac:dyDescent="0.25">
      <c r="A97" t="s">
        <v>10</v>
      </c>
    </row>
    <row r="98" spans="1:1" x14ac:dyDescent="0.25">
      <c r="A98" t="s">
        <v>11</v>
      </c>
    </row>
    <row r="99" spans="1:1" x14ac:dyDescent="0.25">
      <c r="A99" t="s">
        <v>438</v>
      </c>
    </row>
    <row r="100" spans="1:1" x14ac:dyDescent="0.25">
      <c r="A100" t="s">
        <v>12</v>
      </c>
    </row>
    <row r="101" spans="1:1" x14ac:dyDescent="0.25">
      <c r="A101" t="s">
        <v>439</v>
      </c>
    </row>
  </sheetData>
  <hyperlinks>
    <hyperlink ref="B44" r:id="rId1" xr:uid="{00000000-0004-0000-0000-000000000000}"/>
    <hyperlink ref="B72" r:id="rId2" xr:uid="{00000000-0004-0000-0000-000009000000}"/>
    <hyperlink ref="B65" r:id="rId3" xr:uid="{000A6849-BB52-4934-B731-3641C10054B8}"/>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
  <sheetViews>
    <sheetView workbookViewId="0">
      <selection activeCell="A42" sqref="A42:XFD42"/>
    </sheetView>
  </sheetViews>
  <sheetFormatPr defaultRowHeight="15" x14ac:dyDescent="0.25"/>
  <cols>
    <col min="1" max="1" width="28.5703125" customWidth="1"/>
    <col min="2" max="2" width="44" customWidth="1"/>
    <col min="3" max="3" width="12.28515625" customWidth="1"/>
    <col min="4" max="4" width="19.28515625" customWidth="1"/>
    <col min="5" max="5" width="13.140625" customWidth="1"/>
    <col min="10" max="10" width="12.28515625" customWidth="1"/>
  </cols>
  <sheetData>
    <row r="1" spans="1:13" x14ac:dyDescent="0.25">
      <c r="B1" s="1" t="s">
        <v>13</v>
      </c>
      <c r="C1" s="1" t="s">
        <v>14</v>
      </c>
      <c r="D1" s="1"/>
      <c r="E1" s="1" t="s">
        <v>15</v>
      </c>
    </row>
    <row r="2" spans="1:13" ht="16.5" customHeight="1" x14ac:dyDescent="0.25">
      <c r="C2" s="275" t="s">
        <v>16</v>
      </c>
      <c r="D2" s="275"/>
      <c r="E2" s="275"/>
      <c r="F2" s="275"/>
      <c r="G2" s="275"/>
      <c r="H2" s="275"/>
      <c r="I2" s="276" t="s">
        <v>17</v>
      </c>
      <c r="J2" s="276"/>
      <c r="K2" s="276"/>
      <c r="L2" s="276"/>
      <c r="M2" s="277" t="s">
        <v>18</v>
      </c>
    </row>
    <row r="3" spans="1:13" ht="36.75" x14ac:dyDescent="0.25">
      <c r="C3" s="8" t="s">
        <v>19</v>
      </c>
      <c r="D3" s="8" t="s">
        <v>20</v>
      </c>
      <c r="E3" s="8" t="s">
        <v>21</v>
      </c>
      <c r="F3" s="8" t="s">
        <v>22</v>
      </c>
      <c r="G3" s="8" t="s">
        <v>23</v>
      </c>
      <c r="H3" s="8" t="s">
        <v>24</v>
      </c>
      <c r="I3" s="9" t="s">
        <v>25</v>
      </c>
      <c r="J3" s="9" t="s">
        <v>26</v>
      </c>
      <c r="K3" s="9" t="s">
        <v>27</v>
      </c>
      <c r="L3" s="9" t="s">
        <v>28</v>
      </c>
      <c r="M3" s="277"/>
    </row>
    <row r="4" spans="1:13" x14ac:dyDescent="0.25">
      <c r="A4" t="str">
        <f t="shared" ref="A4:A6" si="0">TRIM(B4)</f>
        <v>Crude Oil &amp; Petroleum Products</v>
      </c>
      <c r="B4" s="10" t="s">
        <v>29</v>
      </c>
      <c r="C4" s="11">
        <v>4794078</v>
      </c>
      <c r="D4" s="11">
        <v>437131</v>
      </c>
      <c r="E4" s="11">
        <v>7408771</v>
      </c>
      <c r="F4" s="11">
        <v>3702640</v>
      </c>
      <c r="G4" s="12"/>
      <c r="H4" s="11">
        <v>137262</v>
      </c>
      <c r="I4" s="13">
        <v>-135002</v>
      </c>
      <c r="J4" s="13">
        <v>7003159</v>
      </c>
      <c r="K4" s="13">
        <v>2327156</v>
      </c>
      <c r="L4" s="13">
        <v>7284569</v>
      </c>
      <c r="M4" s="11">
        <v>1894570</v>
      </c>
    </row>
    <row r="5" spans="1:13" x14ac:dyDescent="0.25">
      <c r="A5" t="str">
        <f t="shared" si="0"/>
        <v>Crude Oil</v>
      </c>
      <c r="B5" s="10" t="s">
        <v>30</v>
      </c>
      <c r="C5" s="204">
        <v>4083494</v>
      </c>
      <c r="D5" s="207" t="s">
        <v>31</v>
      </c>
      <c r="E5" s="207" t="s">
        <v>31</v>
      </c>
      <c r="F5" s="204">
        <v>2230000</v>
      </c>
      <c r="G5" s="207"/>
      <c r="H5" s="204">
        <v>194916</v>
      </c>
      <c r="I5" s="204">
        <v>-108241</v>
      </c>
      <c r="J5" s="204">
        <v>5529012</v>
      </c>
      <c r="K5" s="204">
        <v>1087638</v>
      </c>
      <c r="L5" s="204">
        <v>0</v>
      </c>
      <c r="M5" s="204">
        <v>1015102</v>
      </c>
    </row>
    <row r="6" spans="1:13" x14ac:dyDescent="0.25">
      <c r="A6" t="str">
        <f t="shared" si="0"/>
        <v>Hydrocarbon Gas Liquids</v>
      </c>
      <c r="B6" s="10" t="s">
        <v>32</v>
      </c>
      <c r="C6" s="204">
        <v>1970031</v>
      </c>
      <c r="D6" s="204">
        <v>-7941</v>
      </c>
      <c r="E6" s="204">
        <v>225172</v>
      </c>
      <c r="F6" s="204">
        <v>63125</v>
      </c>
      <c r="G6" s="207"/>
      <c r="H6" s="207" t="s">
        <v>31</v>
      </c>
      <c r="I6" s="204">
        <v>-40797</v>
      </c>
      <c r="J6" s="204">
        <v>198527</v>
      </c>
      <c r="K6" s="204">
        <v>848015</v>
      </c>
      <c r="L6" s="204">
        <v>1244642</v>
      </c>
      <c r="M6" s="204">
        <v>188360</v>
      </c>
    </row>
    <row r="7" spans="1:13" x14ac:dyDescent="0.25">
      <c r="A7" t="str">
        <f>TRIM(B7)</f>
        <v>Natural Gas Liquids</v>
      </c>
      <c r="B7" s="14" t="s">
        <v>33</v>
      </c>
      <c r="C7" s="204">
        <v>1970031</v>
      </c>
      <c r="D7" s="204">
        <v>-7941</v>
      </c>
      <c r="E7" s="204">
        <v>120757</v>
      </c>
      <c r="F7" s="204">
        <v>57128</v>
      </c>
      <c r="G7" s="207"/>
      <c r="H7" s="207" t="s">
        <v>31</v>
      </c>
      <c r="I7" s="204">
        <v>-40636</v>
      </c>
      <c r="J7" s="204">
        <v>198527</v>
      </c>
      <c r="K7" s="204">
        <v>848015</v>
      </c>
      <c r="L7" s="204">
        <v>1134069</v>
      </c>
      <c r="M7" s="204">
        <v>186272</v>
      </c>
    </row>
    <row r="8" spans="1:13" x14ac:dyDescent="0.25">
      <c r="A8" t="str">
        <f t="shared" ref="A8:A57" si="1">TRIM(B8)</f>
        <v>Ethane</v>
      </c>
      <c r="B8" s="15" t="s">
        <v>34</v>
      </c>
      <c r="C8" s="204">
        <v>781560</v>
      </c>
      <c r="D8" s="207" t="s">
        <v>31</v>
      </c>
      <c r="E8" s="204">
        <v>1505</v>
      </c>
      <c r="F8" s="204" t="s">
        <v>35</v>
      </c>
      <c r="G8" s="207"/>
      <c r="H8" s="207" t="s">
        <v>31</v>
      </c>
      <c r="I8" s="204">
        <v>-9779</v>
      </c>
      <c r="J8" s="207"/>
      <c r="K8" s="204">
        <v>147584</v>
      </c>
      <c r="L8" s="204">
        <v>645260</v>
      </c>
      <c r="M8" s="204">
        <v>59821</v>
      </c>
    </row>
    <row r="9" spans="1:13" x14ac:dyDescent="0.25">
      <c r="A9" t="str">
        <f t="shared" si="1"/>
        <v>Propane</v>
      </c>
      <c r="B9" s="15" t="s">
        <v>36</v>
      </c>
      <c r="C9" s="204">
        <v>632906</v>
      </c>
      <c r="D9" s="207" t="s">
        <v>31</v>
      </c>
      <c r="E9" s="204">
        <v>101344</v>
      </c>
      <c r="F9" s="204">
        <v>41465</v>
      </c>
      <c r="G9" s="207"/>
      <c r="H9" s="207" t="s">
        <v>31</v>
      </c>
      <c r="I9" s="204">
        <v>-8358</v>
      </c>
      <c r="J9" s="207"/>
      <c r="K9" s="204">
        <v>477616</v>
      </c>
      <c r="L9" s="204">
        <v>306457</v>
      </c>
      <c r="M9" s="204">
        <v>62077</v>
      </c>
    </row>
    <row r="10" spans="1:13" x14ac:dyDescent="0.25">
      <c r="A10" t="str">
        <f t="shared" si="1"/>
        <v>Normal Butane</v>
      </c>
      <c r="B10" s="15" t="s">
        <v>37</v>
      </c>
      <c r="C10" s="204">
        <v>180543</v>
      </c>
      <c r="D10" s="207" t="s">
        <v>35</v>
      </c>
      <c r="E10" s="204">
        <v>20998</v>
      </c>
      <c r="F10" s="204">
        <v>13237</v>
      </c>
      <c r="G10" s="207"/>
      <c r="H10" s="207" t="s">
        <v>31</v>
      </c>
      <c r="I10" s="204">
        <v>-7626</v>
      </c>
      <c r="J10" s="204">
        <v>66056</v>
      </c>
      <c r="K10" s="204">
        <v>149693</v>
      </c>
      <c r="L10" s="204">
        <v>6655</v>
      </c>
      <c r="M10" s="204">
        <v>34017</v>
      </c>
    </row>
    <row r="11" spans="1:13" x14ac:dyDescent="0.25">
      <c r="A11" t="str">
        <f t="shared" si="1"/>
        <v>Isobutane</v>
      </c>
      <c r="B11" s="15" t="s">
        <v>38</v>
      </c>
      <c r="C11" s="204">
        <v>153863</v>
      </c>
      <c r="D11" s="207" t="s">
        <v>35</v>
      </c>
      <c r="E11" s="204">
        <v>-3090</v>
      </c>
      <c r="F11" s="204">
        <v>2358</v>
      </c>
      <c r="G11" s="207"/>
      <c r="H11" s="207" t="s">
        <v>31</v>
      </c>
      <c r="I11" s="204">
        <v>-2667</v>
      </c>
      <c r="J11" s="204">
        <v>71652</v>
      </c>
      <c r="K11" s="204">
        <v>1181</v>
      </c>
      <c r="L11" s="204">
        <v>82965</v>
      </c>
      <c r="M11" s="204">
        <v>9674</v>
      </c>
    </row>
    <row r="12" spans="1:13" x14ac:dyDescent="0.25">
      <c r="A12" t="str">
        <f t="shared" si="1"/>
        <v>Natural Gasoline</v>
      </c>
      <c r="B12" s="15" t="s">
        <v>39</v>
      </c>
      <c r="C12" s="204">
        <v>221159</v>
      </c>
      <c r="D12" s="204">
        <v>-7941</v>
      </c>
      <c r="E12" s="207"/>
      <c r="F12" s="204">
        <v>68</v>
      </c>
      <c r="G12" s="207"/>
      <c r="H12" s="207" t="s">
        <v>31</v>
      </c>
      <c r="I12" s="204">
        <v>-12206</v>
      </c>
      <c r="J12" s="204">
        <v>60819</v>
      </c>
      <c r="K12" s="204">
        <v>71941</v>
      </c>
      <c r="L12" s="204">
        <v>92732</v>
      </c>
      <c r="M12" s="204">
        <v>20683</v>
      </c>
    </row>
    <row r="13" spans="1:13" x14ac:dyDescent="0.25">
      <c r="A13" t="str">
        <f t="shared" si="1"/>
        <v>Refinery Olefins</v>
      </c>
      <c r="B13" s="14" t="s">
        <v>40</v>
      </c>
      <c r="C13" s="207" t="s">
        <v>31</v>
      </c>
      <c r="D13" s="207" t="s">
        <v>31</v>
      </c>
      <c r="E13" s="204">
        <v>104415</v>
      </c>
      <c r="F13" s="204">
        <v>5997</v>
      </c>
      <c r="G13" s="207"/>
      <c r="H13" s="207" t="s">
        <v>31</v>
      </c>
      <c r="I13" s="204">
        <v>-161</v>
      </c>
      <c r="J13" s="207" t="s">
        <v>31</v>
      </c>
      <c r="K13" s="207" t="s">
        <v>31</v>
      </c>
      <c r="L13" s="204">
        <v>110573</v>
      </c>
      <c r="M13" s="204">
        <v>2088</v>
      </c>
    </row>
    <row r="14" spans="1:13" x14ac:dyDescent="0.25">
      <c r="A14" t="str">
        <f t="shared" si="1"/>
        <v>Ethylene</v>
      </c>
      <c r="B14" s="15" t="s">
        <v>41</v>
      </c>
      <c r="C14" s="207" t="s">
        <v>31</v>
      </c>
      <c r="D14" s="207" t="s">
        <v>31</v>
      </c>
      <c r="E14" s="204">
        <v>277</v>
      </c>
      <c r="F14" s="204" t="s">
        <v>35</v>
      </c>
      <c r="G14" s="207"/>
      <c r="H14" s="207" t="s">
        <v>31</v>
      </c>
      <c r="I14" s="204">
        <v>0</v>
      </c>
      <c r="J14" s="207" t="s">
        <v>31</v>
      </c>
      <c r="K14" s="207" t="s">
        <v>31</v>
      </c>
      <c r="L14" s="204">
        <v>277</v>
      </c>
      <c r="M14" s="204">
        <v>0</v>
      </c>
    </row>
    <row r="15" spans="1:13" x14ac:dyDescent="0.25">
      <c r="A15" t="str">
        <f t="shared" si="1"/>
        <v>Propylene</v>
      </c>
      <c r="B15" s="15" t="s">
        <v>42</v>
      </c>
      <c r="C15" s="207" t="s">
        <v>31</v>
      </c>
      <c r="D15" s="207" t="s">
        <v>31</v>
      </c>
      <c r="E15" s="204">
        <v>106126</v>
      </c>
      <c r="F15" s="204">
        <v>5243</v>
      </c>
      <c r="G15" s="207"/>
      <c r="H15" s="207" t="s">
        <v>31</v>
      </c>
      <c r="I15" s="204">
        <v>-90</v>
      </c>
      <c r="J15" s="207" t="s">
        <v>31</v>
      </c>
      <c r="K15" s="207" t="s">
        <v>31</v>
      </c>
      <c r="L15" s="204">
        <v>111459</v>
      </c>
      <c r="M15" s="204">
        <v>1397</v>
      </c>
    </row>
    <row r="16" spans="1:13" x14ac:dyDescent="0.25">
      <c r="A16" t="str">
        <f t="shared" si="1"/>
        <v>Normal Butylene</v>
      </c>
      <c r="B16" s="15" t="s">
        <v>43</v>
      </c>
      <c r="C16" s="12" t="s">
        <v>31</v>
      </c>
      <c r="D16" s="12" t="s">
        <v>31</v>
      </c>
      <c r="E16" s="11">
        <v>-2397</v>
      </c>
      <c r="F16" s="11">
        <v>2433</v>
      </c>
      <c r="G16" s="12"/>
      <c r="H16" s="12" t="s">
        <v>31</v>
      </c>
      <c r="I16" s="13">
        <v>-1165</v>
      </c>
      <c r="J16" s="16" t="s">
        <v>31</v>
      </c>
      <c r="K16" s="16" t="s">
        <v>31</v>
      </c>
      <c r="L16" s="13">
        <v>1201</v>
      </c>
      <c r="M16" s="11">
        <v>1204</v>
      </c>
    </row>
    <row r="17" spans="1:13" x14ac:dyDescent="0.25">
      <c r="A17" t="str">
        <f t="shared" si="1"/>
        <v>Isobutylene</v>
      </c>
      <c r="B17" s="15" t="s">
        <v>44</v>
      </c>
      <c r="C17" s="12" t="s">
        <v>31</v>
      </c>
      <c r="D17" s="12" t="s">
        <v>31</v>
      </c>
      <c r="E17" s="11">
        <v>286</v>
      </c>
      <c r="F17" s="11" t="s">
        <v>35</v>
      </c>
      <c r="G17" s="12"/>
      <c r="H17" s="12" t="s">
        <v>31</v>
      </c>
      <c r="I17" s="13">
        <v>6</v>
      </c>
      <c r="J17" s="16" t="s">
        <v>31</v>
      </c>
      <c r="K17" s="16" t="s">
        <v>31</v>
      </c>
      <c r="L17" s="13">
        <v>280</v>
      </c>
      <c r="M17" s="11">
        <v>30</v>
      </c>
    </row>
    <row r="18" spans="1:13" x14ac:dyDescent="0.25">
      <c r="A18" t="str">
        <f t="shared" si="1"/>
        <v>Other Liquids</v>
      </c>
      <c r="B18" s="10" t="s">
        <v>45</v>
      </c>
      <c r="C18" s="12" t="s">
        <v>31</v>
      </c>
      <c r="D18" s="11">
        <v>443737</v>
      </c>
      <c r="E18" s="12" t="s">
        <v>31</v>
      </c>
      <c r="F18" s="11">
        <v>471784</v>
      </c>
      <c r="G18" s="12"/>
      <c r="H18" s="11">
        <v>19117</v>
      </c>
      <c r="I18" s="13">
        <v>8685</v>
      </c>
      <c r="J18" s="13">
        <v>741289</v>
      </c>
      <c r="K18" s="13">
        <v>171592</v>
      </c>
      <c r="L18" s="13">
        <v>13072</v>
      </c>
      <c r="M18" s="11">
        <v>328230</v>
      </c>
    </row>
    <row r="19" spans="1:13" ht="24" x14ac:dyDescent="0.25">
      <c r="A19" t="str">
        <f t="shared" si="1"/>
        <v>Hydrogen/Oxygenates/Renewables/Other Hydrocarbons</v>
      </c>
      <c r="B19" s="14" t="s">
        <v>46</v>
      </c>
      <c r="C19" s="12" t="s">
        <v>31</v>
      </c>
      <c r="D19" s="11">
        <v>443788</v>
      </c>
      <c r="E19" s="12" t="s">
        <v>31</v>
      </c>
      <c r="F19" s="11">
        <v>19778</v>
      </c>
      <c r="G19" s="12"/>
      <c r="H19" s="11">
        <v>36824</v>
      </c>
      <c r="I19" s="13">
        <v>577</v>
      </c>
      <c r="J19" s="13">
        <v>439078</v>
      </c>
      <c r="K19" s="13">
        <v>60735</v>
      </c>
      <c r="L19" s="13">
        <v>0</v>
      </c>
      <c r="M19" s="11">
        <v>29585</v>
      </c>
    </row>
    <row r="20" spans="1:13" x14ac:dyDescent="0.25">
      <c r="A20" t="str">
        <f t="shared" si="1"/>
        <v>Hydrogen</v>
      </c>
      <c r="B20" s="15" t="s">
        <v>47</v>
      </c>
      <c r="C20" s="12" t="s">
        <v>31</v>
      </c>
      <c r="D20" s="12" t="s">
        <v>31</v>
      </c>
      <c r="E20" s="12" t="s">
        <v>31</v>
      </c>
      <c r="F20" s="12"/>
      <c r="G20" s="12"/>
      <c r="H20" s="11">
        <v>81091</v>
      </c>
      <c r="I20" s="16" t="s">
        <v>31</v>
      </c>
      <c r="J20" s="13">
        <v>81091</v>
      </c>
      <c r="K20" s="16"/>
      <c r="L20" s="13">
        <v>0</v>
      </c>
      <c r="M20" s="12" t="s">
        <v>31</v>
      </c>
    </row>
    <row r="21" spans="1:13" x14ac:dyDescent="0.25">
      <c r="A21" t="str">
        <f t="shared" si="1"/>
        <v>Oxygenates (excl. Fuel Ethanol)</v>
      </c>
      <c r="B21" s="15" t="s">
        <v>48</v>
      </c>
      <c r="C21" s="12" t="s">
        <v>31</v>
      </c>
      <c r="D21" s="11">
        <v>26360</v>
      </c>
      <c r="E21" s="12" t="s">
        <v>31</v>
      </c>
      <c r="F21" s="11">
        <v>3835</v>
      </c>
      <c r="G21" s="12"/>
      <c r="H21" s="11">
        <v>-4811</v>
      </c>
      <c r="I21" s="13">
        <v>-31</v>
      </c>
      <c r="J21" s="13" t="s">
        <v>35</v>
      </c>
      <c r="K21" s="13">
        <v>25415</v>
      </c>
      <c r="L21" s="13">
        <v>0</v>
      </c>
      <c r="M21" s="11">
        <v>1446</v>
      </c>
    </row>
    <row r="22" spans="1:13" x14ac:dyDescent="0.25">
      <c r="A22" t="str">
        <f t="shared" si="1"/>
        <v>Renewable Fuels (incl. Fuel Ethanol)</v>
      </c>
      <c r="B22" s="15" t="s">
        <v>49</v>
      </c>
      <c r="C22" s="12" t="s">
        <v>31</v>
      </c>
      <c r="D22" s="11">
        <v>417428</v>
      </c>
      <c r="E22" s="12" t="s">
        <v>31</v>
      </c>
      <c r="F22" s="11">
        <v>15707</v>
      </c>
      <c r="G22" s="12"/>
      <c r="H22" s="11">
        <v>-39640</v>
      </c>
      <c r="I22" s="13">
        <v>578</v>
      </c>
      <c r="J22" s="13">
        <v>357597</v>
      </c>
      <c r="K22" s="13">
        <v>35320</v>
      </c>
      <c r="L22" s="13">
        <v>0</v>
      </c>
      <c r="M22" s="11">
        <v>28092</v>
      </c>
    </row>
    <row r="23" spans="1:13" x14ac:dyDescent="0.25">
      <c r="A23" t="str">
        <f t="shared" si="1"/>
        <v>Fuel Ethanol</v>
      </c>
      <c r="B23" s="17" t="s">
        <v>50</v>
      </c>
      <c r="C23" s="12" t="s">
        <v>31</v>
      </c>
      <c r="D23" s="11">
        <v>379435</v>
      </c>
      <c r="E23" s="12" t="s">
        <v>31</v>
      </c>
      <c r="F23" s="11">
        <v>1824</v>
      </c>
      <c r="G23" s="12"/>
      <c r="H23" s="11">
        <v>-9859</v>
      </c>
      <c r="I23" s="13">
        <v>3285</v>
      </c>
      <c r="J23" s="13">
        <v>335023</v>
      </c>
      <c r="K23" s="13">
        <v>33092</v>
      </c>
      <c r="L23" s="13">
        <v>0</v>
      </c>
      <c r="M23" s="11">
        <v>23043</v>
      </c>
    </row>
    <row r="24" spans="1:13" x14ac:dyDescent="0.25">
      <c r="A24" t="str">
        <f t="shared" si="1"/>
        <v>Renewable Fuels Except Fuel Ethanol</v>
      </c>
      <c r="B24" s="17" t="s">
        <v>51</v>
      </c>
      <c r="C24" s="12" t="s">
        <v>31</v>
      </c>
      <c r="D24" s="11">
        <v>37993</v>
      </c>
      <c r="E24" s="12" t="s">
        <v>31</v>
      </c>
      <c r="F24" s="11">
        <v>13883</v>
      </c>
      <c r="G24" s="12"/>
      <c r="H24" s="11">
        <v>-29781</v>
      </c>
      <c r="I24" s="13">
        <v>-2707</v>
      </c>
      <c r="J24" s="13">
        <v>22574</v>
      </c>
      <c r="K24" s="13">
        <v>2228</v>
      </c>
      <c r="L24" s="13">
        <v>0</v>
      </c>
      <c r="M24" s="11">
        <v>5049</v>
      </c>
    </row>
    <row r="25" spans="1:13" x14ac:dyDescent="0.25">
      <c r="A25" t="str">
        <f t="shared" si="1"/>
        <v>Other Hydrocarbons</v>
      </c>
      <c r="B25" s="15" t="s">
        <v>52</v>
      </c>
      <c r="C25" s="12" t="s">
        <v>31</v>
      </c>
      <c r="D25" s="12" t="s">
        <v>31</v>
      </c>
      <c r="E25" s="12" t="s">
        <v>31</v>
      </c>
      <c r="F25" s="11">
        <v>236</v>
      </c>
      <c r="G25" s="12"/>
      <c r="H25" s="11">
        <v>184</v>
      </c>
      <c r="I25" s="13">
        <v>30</v>
      </c>
      <c r="J25" s="13">
        <v>390</v>
      </c>
      <c r="K25" s="16"/>
      <c r="L25" s="13">
        <v>0</v>
      </c>
      <c r="M25" s="11">
        <v>47</v>
      </c>
    </row>
    <row r="26" spans="1:13" x14ac:dyDescent="0.25">
      <c r="A26" t="str">
        <f t="shared" si="1"/>
        <v>Unfinished Oils</v>
      </c>
      <c r="B26" s="14" t="s">
        <v>53</v>
      </c>
      <c r="C26" s="12" t="s">
        <v>31</v>
      </c>
      <c r="D26" s="12" t="s">
        <v>31</v>
      </c>
      <c r="E26" s="12" t="s">
        <v>31</v>
      </c>
      <c r="F26" s="11">
        <v>231478</v>
      </c>
      <c r="G26" s="12"/>
      <c r="H26" s="12" t="s">
        <v>31</v>
      </c>
      <c r="I26" s="13">
        <v>6013</v>
      </c>
      <c r="J26" s="13">
        <v>129406</v>
      </c>
      <c r="K26" s="13">
        <v>82949</v>
      </c>
      <c r="L26" s="13">
        <v>13110</v>
      </c>
      <c r="M26" s="11">
        <v>86337</v>
      </c>
    </row>
    <row r="27" spans="1:13" x14ac:dyDescent="0.25">
      <c r="A27" t="str">
        <f t="shared" si="1"/>
        <v>Motor Gasoline Blend. Comp.</v>
      </c>
      <c r="B27" s="14" t="s">
        <v>54</v>
      </c>
      <c r="C27" s="12" t="s">
        <v>31</v>
      </c>
      <c r="D27" s="11">
        <v>-51</v>
      </c>
      <c r="E27" s="12" t="s">
        <v>31</v>
      </c>
      <c r="F27" s="11">
        <v>220528</v>
      </c>
      <c r="G27" s="12"/>
      <c r="H27" s="11">
        <v>-17707</v>
      </c>
      <c r="I27" s="13">
        <v>2089</v>
      </c>
      <c r="J27" s="13">
        <v>172773</v>
      </c>
      <c r="K27" s="13">
        <v>27908</v>
      </c>
      <c r="L27" s="13">
        <v>0</v>
      </c>
      <c r="M27" s="11">
        <v>212293</v>
      </c>
    </row>
    <row r="28" spans="1:13" x14ac:dyDescent="0.25">
      <c r="A28" t="str">
        <f t="shared" si="1"/>
        <v>Reformulated</v>
      </c>
      <c r="B28" s="15" t="s">
        <v>55</v>
      </c>
      <c r="C28" s="12" t="s">
        <v>31</v>
      </c>
      <c r="D28" s="11">
        <v>-3</v>
      </c>
      <c r="E28" s="12" t="s">
        <v>31</v>
      </c>
      <c r="F28" s="11">
        <v>76948</v>
      </c>
      <c r="G28" s="12"/>
      <c r="H28" s="11">
        <v>65150</v>
      </c>
      <c r="I28" s="13">
        <v>1299</v>
      </c>
      <c r="J28" s="13">
        <v>140697</v>
      </c>
      <c r="K28" s="13">
        <v>99</v>
      </c>
      <c r="L28" s="13">
        <v>0</v>
      </c>
      <c r="M28" s="11">
        <v>53447</v>
      </c>
    </row>
    <row r="29" spans="1:13" x14ac:dyDescent="0.25">
      <c r="A29" t="str">
        <f t="shared" si="1"/>
        <v>Conventional</v>
      </c>
      <c r="B29" s="15" t="s">
        <v>56</v>
      </c>
      <c r="C29" s="12" t="s">
        <v>31</v>
      </c>
      <c r="D29" s="11">
        <v>-48</v>
      </c>
      <c r="E29" s="12" t="s">
        <v>31</v>
      </c>
      <c r="F29" s="11">
        <v>143580</v>
      </c>
      <c r="G29" s="12"/>
      <c r="H29" s="11">
        <v>-82856</v>
      </c>
      <c r="I29" s="13">
        <v>790</v>
      </c>
      <c r="J29" s="13">
        <v>32076</v>
      </c>
      <c r="K29" s="13">
        <v>27810</v>
      </c>
      <c r="L29" s="13">
        <v>0</v>
      </c>
      <c r="M29" s="11">
        <v>158846</v>
      </c>
    </row>
    <row r="30" spans="1:13" x14ac:dyDescent="0.25">
      <c r="A30" t="str">
        <f t="shared" si="1"/>
        <v>Aviation Gasoline Blend. Comp.</v>
      </c>
      <c r="B30" s="14" t="s">
        <v>57</v>
      </c>
      <c r="C30" s="12" t="s">
        <v>31</v>
      </c>
      <c r="D30" s="12" t="s">
        <v>31</v>
      </c>
      <c r="E30" s="12" t="s">
        <v>31</v>
      </c>
      <c r="F30" s="11" t="s">
        <v>35</v>
      </c>
      <c r="G30" s="12"/>
      <c r="H30" s="12" t="s">
        <v>31</v>
      </c>
      <c r="I30" s="13">
        <v>6</v>
      </c>
      <c r="J30" s="13">
        <v>32</v>
      </c>
      <c r="K30" s="13" t="s">
        <v>35</v>
      </c>
      <c r="L30" s="13">
        <v>-38</v>
      </c>
      <c r="M30" s="11">
        <v>15</v>
      </c>
    </row>
    <row r="31" spans="1:13" x14ac:dyDescent="0.25">
      <c r="A31" t="str">
        <f t="shared" si="1"/>
        <v>Finished Petroleum Products</v>
      </c>
      <c r="B31" s="10" t="s">
        <v>58</v>
      </c>
      <c r="C31" s="12" t="s">
        <v>31</v>
      </c>
      <c r="D31" s="11">
        <v>1336</v>
      </c>
      <c r="E31" s="11">
        <v>7179380</v>
      </c>
      <c r="F31" s="11">
        <v>250759</v>
      </c>
      <c r="G31" s="12"/>
      <c r="H31" s="11">
        <v>57659</v>
      </c>
      <c r="I31" s="13">
        <v>-38269</v>
      </c>
      <c r="J31" s="16" t="s">
        <v>31</v>
      </c>
      <c r="K31" s="13">
        <v>1220551</v>
      </c>
      <c r="L31" s="13">
        <v>6306852</v>
      </c>
      <c r="M31" s="11">
        <v>291859</v>
      </c>
    </row>
    <row r="32" spans="1:13" x14ac:dyDescent="0.25">
      <c r="A32" t="str">
        <f t="shared" si="1"/>
        <v>Finished Motor Gasoline</v>
      </c>
      <c r="B32" s="14" t="s">
        <v>59</v>
      </c>
      <c r="C32" s="12" t="s">
        <v>31</v>
      </c>
      <c r="D32" s="11">
        <v>1336</v>
      </c>
      <c r="E32" s="11">
        <v>3633123</v>
      </c>
      <c r="F32" s="11">
        <v>11784</v>
      </c>
      <c r="G32" s="12"/>
      <c r="H32" s="11">
        <v>27566</v>
      </c>
      <c r="I32" s="13">
        <v>-3860</v>
      </c>
      <c r="J32" s="16" t="s">
        <v>31</v>
      </c>
      <c r="K32" s="13">
        <v>273483</v>
      </c>
      <c r="L32" s="13">
        <v>3404186</v>
      </c>
      <c r="M32" s="11">
        <v>24523</v>
      </c>
    </row>
    <row r="33" spans="1:13" x14ac:dyDescent="0.25">
      <c r="A33" t="str">
        <f t="shared" si="1"/>
        <v>Reformulated</v>
      </c>
      <c r="B33" s="15" t="s">
        <v>55</v>
      </c>
      <c r="C33" s="12" t="s">
        <v>31</v>
      </c>
      <c r="D33" s="12"/>
      <c r="E33" s="11">
        <v>1187104</v>
      </c>
      <c r="F33" s="11" t="s">
        <v>35</v>
      </c>
      <c r="G33" s="12"/>
      <c r="H33" s="11">
        <v>-59342</v>
      </c>
      <c r="I33" s="13">
        <v>-7</v>
      </c>
      <c r="J33" s="16" t="s">
        <v>31</v>
      </c>
      <c r="K33" s="13" t="s">
        <v>35</v>
      </c>
      <c r="L33" s="13">
        <v>1127769</v>
      </c>
      <c r="M33" s="11">
        <v>40</v>
      </c>
    </row>
    <row r="34" spans="1:13" x14ac:dyDescent="0.25">
      <c r="A34" t="str">
        <f t="shared" si="1"/>
        <v>Conventional</v>
      </c>
      <c r="B34" s="15" t="s">
        <v>56</v>
      </c>
      <c r="C34" s="12" t="s">
        <v>31</v>
      </c>
      <c r="D34" s="11">
        <v>1336</v>
      </c>
      <c r="E34" s="11">
        <v>2446019</v>
      </c>
      <c r="F34" s="11">
        <v>11784</v>
      </c>
      <c r="G34" s="12"/>
      <c r="H34" s="11">
        <v>86908</v>
      </c>
      <c r="I34" s="13">
        <v>-3853</v>
      </c>
      <c r="J34" s="16" t="s">
        <v>31</v>
      </c>
      <c r="K34" s="13">
        <v>273483</v>
      </c>
      <c r="L34" s="13">
        <v>2276417</v>
      </c>
      <c r="M34" s="11">
        <v>24483</v>
      </c>
    </row>
    <row r="35" spans="1:13" x14ac:dyDescent="0.25">
      <c r="A35" t="str">
        <f t="shared" si="1"/>
        <v>Finished Aviation Gasoline</v>
      </c>
      <c r="B35" s="14" t="s">
        <v>60</v>
      </c>
      <c r="C35" s="12" t="s">
        <v>31</v>
      </c>
      <c r="D35" s="12" t="s">
        <v>31</v>
      </c>
      <c r="E35" s="11">
        <v>4032</v>
      </c>
      <c r="F35" s="11">
        <v>165</v>
      </c>
      <c r="G35" s="12"/>
      <c r="H35" s="12" t="s">
        <v>31</v>
      </c>
      <c r="I35" s="13">
        <v>47</v>
      </c>
      <c r="J35" s="16" t="s">
        <v>31</v>
      </c>
      <c r="K35" s="13" t="s">
        <v>35</v>
      </c>
      <c r="L35" s="13">
        <v>4150</v>
      </c>
      <c r="M35" s="11">
        <v>1041</v>
      </c>
    </row>
    <row r="36" spans="1:13" x14ac:dyDescent="0.25">
      <c r="A36" t="str">
        <f t="shared" si="1"/>
        <v>Kerosene-Type Jet Fuel</v>
      </c>
      <c r="B36" s="14" t="s">
        <v>61</v>
      </c>
      <c r="C36" s="12" t="s">
        <v>31</v>
      </c>
      <c r="D36" s="12" t="s">
        <v>31</v>
      </c>
      <c r="E36" s="11">
        <v>621176</v>
      </c>
      <c r="F36" s="11">
        <v>58273</v>
      </c>
      <c r="G36" s="12"/>
      <c r="H36" s="12" t="s">
        <v>31</v>
      </c>
      <c r="I36" s="13">
        <v>-1706</v>
      </c>
      <c r="J36" s="16" t="s">
        <v>31</v>
      </c>
      <c r="K36" s="13">
        <v>67161</v>
      </c>
      <c r="L36" s="13">
        <v>613994</v>
      </c>
      <c r="M36" s="11">
        <v>41304</v>
      </c>
    </row>
    <row r="37" spans="1:13" x14ac:dyDescent="0.25">
      <c r="A37" t="str">
        <f t="shared" si="1"/>
        <v>Kerosene</v>
      </c>
      <c r="B37" s="14" t="s">
        <v>62</v>
      </c>
      <c r="C37" s="12" t="s">
        <v>31</v>
      </c>
      <c r="D37" s="12" t="s">
        <v>31</v>
      </c>
      <c r="E37" s="11">
        <v>2738</v>
      </c>
      <c r="F37" s="11">
        <v>1429</v>
      </c>
      <c r="G37" s="12"/>
      <c r="H37" s="12" t="s">
        <v>31</v>
      </c>
      <c r="I37" s="13">
        <v>10</v>
      </c>
      <c r="J37" s="16" t="s">
        <v>31</v>
      </c>
      <c r="K37" s="13">
        <v>2267</v>
      </c>
      <c r="L37" s="13">
        <v>1890</v>
      </c>
      <c r="M37" s="11">
        <v>2138</v>
      </c>
    </row>
    <row r="38" spans="1:13" x14ac:dyDescent="0.25">
      <c r="A38" t="str">
        <f t="shared" si="1"/>
        <v>Distillate Fuel Oil</v>
      </c>
      <c r="B38" s="14" t="s">
        <v>63</v>
      </c>
      <c r="C38" s="12" t="s">
        <v>31</v>
      </c>
      <c r="D38" s="12" t="s">
        <v>31</v>
      </c>
      <c r="E38" s="11">
        <v>1833879</v>
      </c>
      <c r="F38" s="11">
        <v>54975</v>
      </c>
      <c r="G38" s="12"/>
      <c r="H38" s="11">
        <v>30093</v>
      </c>
      <c r="I38" s="13">
        <v>-20457</v>
      </c>
      <c r="J38" s="16" t="s">
        <v>31</v>
      </c>
      <c r="K38" s="13">
        <v>504155</v>
      </c>
      <c r="L38" s="13">
        <v>1435249</v>
      </c>
      <c r="M38" s="11">
        <v>145638</v>
      </c>
    </row>
    <row r="39" spans="1:13" x14ac:dyDescent="0.25">
      <c r="A39" t="str">
        <f t="shared" si="1"/>
        <v>15 ppm Sulfur and Under</v>
      </c>
      <c r="B39" s="15" t="s">
        <v>64</v>
      </c>
      <c r="C39" s="12" t="s">
        <v>31</v>
      </c>
      <c r="D39" s="12" t="s">
        <v>31</v>
      </c>
      <c r="E39" s="11">
        <v>1713652</v>
      </c>
      <c r="F39" s="11">
        <v>37012</v>
      </c>
      <c r="G39" s="12"/>
      <c r="H39" s="11">
        <v>30093</v>
      </c>
      <c r="I39" s="13">
        <v>-16256</v>
      </c>
      <c r="J39" s="16" t="s">
        <v>31</v>
      </c>
      <c r="K39" s="13">
        <v>423862</v>
      </c>
      <c r="L39" s="13">
        <v>1373151</v>
      </c>
      <c r="M39" s="11">
        <v>128016</v>
      </c>
    </row>
    <row r="40" spans="1:13" x14ac:dyDescent="0.25">
      <c r="A40" t="str">
        <f t="shared" si="1"/>
        <v>Greater than 15 to 500 ppm Sulfur</v>
      </c>
      <c r="B40" s="15" t="s">
        <v>65</v>
      </c>
      <c r="C40" s="12" t="s">
        <v>31</v>
      </c>
      <c r="D40" s="12" t="s">
        <v>31</v>
      </c>
      <c r="E40" s="11">
        <v>42167</v>
      </c>
      <c r="F40" s="11">
        <v>759</v>
      </c>
      <c r="G40" s="12"/>
      <c r="H40" s="11" t="s">
        <v>35</v>
      </c>
      <c r="I40" s="13">
        <v>-929</v>
      </c>
      <c r="J40" s="16" t="s">
        <v>31</v>
      </c>
      <c r="K40" s="13">
        <v>41645</v>
      </c>
      <c r="L40" s="13">
        <v>2210</v>
      </c>
      <c r="M40" s="11">
        <v>7480</v>
      </c>
    </row>
    <row r="41" spans="1:13" x14ac:dyDescent="0.25">
      <c r="A41" t="str">
        <f t="shared" si="1"/>
        <v>Greater than 500 ppm Sulfur</v>
      </c>
      <c r="B41" s="15" t="s">
        <v>66</v>
      </c>
      <c r="C41" s="12" t="s">
        <v>31</v>
      </c>
      <c r="D41" s="12" t="s">
        <v>31</v>
      </c>
      <c r="E41" s="11">
        <v>78060</v>
      </c>
      <c r="F41" s="11">
        <v>17204</v>
      </c>
      <c r="G41" s="12"/>
      <c r="H41" s="12" t="s">
        <v>31</v>
      </c>
      <c r="I41" s="13">
        <v>-3272</v>
      </c>
      <c r="J41" s="16" t="s">
        <v>31</v>
      </c>
      <c r="K41" s="13">
        <v>38648</v>
      </c>
      <c r="L41" s="13">
        <v>59888</v>
      </c>
      <c r="M41" s="11">
        <v>10142</v>
      </c>
    </row>
    <row r="42" spans="1:13" x14ac:dyDescent="0.25">
      <c r="A42" t="str">
        <f t="shared" si="1"/>
        <v>Residual Fuel Oil</v>
      </c>
      <c r="B42" s="14" t="s">
        <v>67</v>
      </c>
      <c r="C42" s="12" t="s">
        <v>31</v>
      </c>
      <c r="D42" s="12" t="s">
        <v>31</v>
      </c>
      <c r="E42" s="11">
        <v>155851</v>
      </c>
      <c r="F42" s="11">
        <v>69015</v>
      </c>
      <c r="G42" s="12"/>
      <c r="H42" s="12" t="s">
        <v>31</v>
      </c>
      <c r="I42" s="13">
        <v>-12098</v>
      </c>
      <c r="J42" s="16" t="s">
        <v>31</v>
      </c>
      <c r="K42" s="13">
        <v>112240</v>
      </c>
      <c r="L42" s="13">
        <v>124724</v>
      </c>
      <c r="M42" s="11">
        <v>29377</v>
      </c>
    </row>
    <row r="43" spans="1:13" x14ac:dyDescent="0.25">
      <c r="A43" t="str">
        <f t="shared" si="1"/>
        <v>Less than 0.31% Sulfur</v>
      </c>
      <c r="B43" s="15" t="s">
        <v>68</v>
      </c>
      <c r="C43" s="12" t="s">
        <v>31</v>
      </c>
      <c r="D43" s="12" t="s">
        <v>31</v>
      </c>
      <c r="E43" s="11">
        <v>18946</v>
      </c>
      <c r="F43" s="11">
        <v>4112</v>
      </c>
      <c r="G43" s="12"/>
      <c r="H43" s="12" t="s">
        <v>31</v>
      </c>
      <c r="I43" s="13">
        <v>-2600</v>
      </c>
      <c r="J43" s="16" t="s">
        <v>31</v>
      </c>
      <c r="K43" s="16" t="s">
        <v>69</v>
      </c>
      <c r="L43" s="16" t="s">
        <v>69</v>
      </c>
      <c r="M43" s="11">
        <v>1928</v>
      </c>
    </row>
    <row r="44" spans="1:13" x14ac:dyDescent="0.25">
      <c r="A44" t="str">
        <f t="shared" si="1"/>
        <v>0.31 to 1.00% Sulfur</v>
      </c>
      <c r="B44" s="15" t="s">
        <v>70</v>
      </c>
      <c r="C44" s="12" t="s">
        <v>31</v>
      </c>
      <c r="D44" s="12" t="s">
        <v>31</v>
      </c>
      <c r="E44" s="11">
        <v>19577</v>
      </c>
      <c r="F44" s="11">
        <v>7295</v>
      </c>
      <c r="G44" s="12"/>
      <c r="H44" s="12" t="s">
        <v>31</v>
      </c>
      <c r="I44" s="13">
        <v>-1119</v>
      </c>
      <c r="J44" s="16" t="s">
        <v>31</v>
      </c>
      <c r="K44" s="16" t="s">
        <v>69</v>
      </c>
      <c r="L44" s="16" t="s">
        <v>69</v>
      </c>
      <c r="M44" s="11">
        <v>6822</v>
      </c>
    </row>
    <row r="45" spans="1:13" x14ac:dyDescent="0.25">
      <c r="A45" t="str">
        <f t="shared" si="1"/>
        <v>Greater than 1.00% Sulfur</v>
      </c>
      <c r="B45" s="15" t="s">
        <v>71</v>
      </c>
      <c r="C45" s="12" t="s">
        <v>31</v>
      </c>
      <c r="D45" s="12" t="s">
        <v>31</v>
      </c>
      <c r="E45" s="11">
        <v>117328</v>
      </c>
      <c r="F45" s="11">
        <v>57608</v>
      </c>
      <c r="G45" s="12"/>
      <c r="H45" s="12" t="s">
        <v>31</v>
      </c>
      <c r="I45" s="13">
        <v>-8379</v>
      </c>
      <c r="J45" s="16" t="s">
        <v>31</v>
      </c>
      <c r="K45" s="16" t="s">
        <v>69</v>
      </c>
      <c r="L45" s="16" t="s">
        <v>69</v>
      </c>
      <c r="M45" s="11">
        <v>20621</v>
      </c>
    </row>
    <row r="46" spans="1:13" x14ac:dyDescent="0.25">
      <c r="A46" t="str">
        <f t="shared" si="1"/>
        <v>Petrochemical Feedstocks</v>
      </c>
      <c r="B46" s="14" t="s">
        <v>72</v>
      </c>
      <c r="C46" s="12" t="s">
        <v>31</v>
      </c>
      <c r="D46" s="12" t="s">
        <v>31</v>
      </c>
      <c r="E46" s="11">
        <v>112198</v>
      </c>
      <c r="F46" s="11">
        <v>15696</v>
      </c>
      <c r="G46" s="12"/>
      <c r="H46" s="12" t="s">
        <v>31</v>
      </c>
      <c r="I46" s="13">
        <v>-357</v>
      </c>
      <c r="J46" s="16" t="s">
        <v>31</v>
      </c>
      <c r="K46" s="13" t="s">
        <v>35</v>
      </c>
      <c r="L46" s="13">
        <v>128251</v>
      </c>
      <c r="M46" s="11">
        <v>2883</v>
      </c>
    </row>
    <row r="47" spans="1:13" x14ac:dyDescent="0.25">
      <c r="A47" t="str">
        <f t="shared" si="1"/>
        <v>Naphtha for Petro. Feed. Use</v>
      </c>
      <c r="B47" s="15" t="s">
        <v>73</v>
      </c>
      <c r="C47" s="12" t="s">
        <v>31</v>
      </c>
      <c r="D47" s="12" t="s">
        <v>31</v>
      </c>
      <c r="E47" s="11">
        <v>71578</v>
      </c>
      <c r="F47" s="11">
        <v>11373</v>
      </c>
      <c r="G47" s="12"/>
      <c r="H47" s="12" t="s">
        <v>31</v>
      </c>
      <c r="I47" s="13">
        <v>-162</v>
      </c>
      <c r="J47" s="16" t="s">
        <v>31</v>
      </c>
      <c r="K47" s="13" t="s">
        <v>35</v>
      </c>
      <c r="L47" s="13">
        <v>83113</v>
      </c>
      <c r="M47" s="11">
        <v>1849</v>
      </c>
    </row>
    <row r="48" spans="1:13" x14ac:dyDescent="0.25">
      <c r="A48" t="str">
        <f t="shared" si="1"/>
        <v>Other Oils for Petro. Feed. Use</v>
      </c>
      <c r="B48" s="15" t="s">
        <v>74</v>
      </c>
      <c r="C48" s="12" t="s">
        <v>31</v>
      </c>
      <c r="D48" s="12" t="s">
        <v>31</v>
      </c>
      <c r="E48" s="11">
        <v>40620</v>
      </c>
      <c r="F48" s="11">
        <v>4323</v>
      </c>
      <c r="G48" s="12"/>
      <c r="H48" s="12" t="s">
        <v>31</v>
      </c>
      <c r="I48" s="13">
        <v>-195</v>
      </c>
      <c r="J48" s="16" t="s">
        <v>31</v>
      </c>
      <c r="K48" s="13" t="s">
        <v>35</v>
      </c>
      <c r="L48" s="13">
        <v>45138</v>
      </c>
      <c r="M48" s="11">
        <v>1034</v>
      </c>
    </row>
    <row r="49" spans="1:13" x14ac:dyDescent="0.25">
      <c r="A49" t="str">
        <f t="shared" si="1"/>
        <v>Special Naphthas</v>
      </c>
      <c r="B49" s="14" t="s">
        <v>75</v>
      </c>
      <c r="C49" s="12" t="s">
        <v>31</v>
      </c>
      <c r="D49" s="12" t="s">
        <v>31</v>
      </c>
      <c r="E49" s="11">
        <v>13688</v>
      </c>
      <c r="F49" s="11">
        <v>5405</v>
      </c>
      <c r="G49" s="12"/>
      <c r="H49" s="12" t="s">
        <v>31</v>
      </c>
      <c r="I49" s="13">
        <v>-26</v>
      </c>
      <c r="J49" s="16" t="s">
        <v>31</v>
      </c>
      <c r="K49" s="13" t="s">
        <v>35</v>
      </c>
      <c r="L49" s="13">
        <v>19119</v>
      </c>
      <c r="M49" s="11">
        <v>1192</v>
      </c>
    </row>
    <row r="50" spans="1:13" x14ac:dyDescent="0.25">
      <c r="A50" t="str">
        <f t="shared" si="1"/>
        <v>Lubricants</v>
      </c>
      <c r="B50" s="14" t="s">
        <v>76</v>
      </c>
      <c r="C50" s="12" t="s">
        <v>31</v>
      </c>
      <c r="D50" s="12" t="s">
        <v>31</v>
      </c>
      <c r="E50" s="11">
        <v>64970</v>
      </c>
      <c r="F50" s="11">
        <v>14901</v>
      </c>
      <c r="G50" s="12"/>
      <c r="H50" s="12" t="s">
        <v>31</v>
      </c>
      <c r="I50" s="13">
        <v>-347</v>
      </c>
      <c r="J50" s="16" t="s">
        <v>31</v>
      </c>
      <c r="K50" s="13">
        <v>36215</v>
      </c>
      <c r="L50" s="13">
        <v>44003</v>
      </c>
      <c r="M50" s="11">
        <v>12021</v>
      </c>
    </row>
    <row r="51" spans="1:13" x14ac:dyDescent="0.25">
      <c r="A51" t="str">
        <f t="shared" si="1"/>
        <v>Waxes</v>
      </c>
      <c r="B51" s="14" t="s">
        <v>77</v>
      </c>
      <c r="C51" s="12" t="s">
        <v>31</v>
      </c>
      <c r="D51" s="12" t="s">
        <v>31</v>
      </c>
      <c r="E51" s="11">
        <v>1774</v>
      </c>
      <c r="F51" s="11">
        <v>1724</v>
      </c>
      <c r="G51" s="12"/>
      <c r="H51" s="12" t="s">
        <v>31</v>
      </c>
      <c r="I51" s="13">
        <v>184</v>
      </c>
      <c r="J51" s="16" t="s">
        <v>31</v>
      </c>
      <c r="K51" s="13">
        <v>1479</v>
      </c>
      <c r="L51" s="13">
        <v>1835</v>
      </c>
      <c r="M51" s="11">
        <v>855</v>
      </c>
    </row>
    <row r="52" spans="1:13" x14ac:dyDescent="0.25">
      <c r="A52" t="str">
        <f t="shared" si="1"/>
        <v>Petroleum Coke</v>
      </c>
      <c r="B52" s="14" t="s">
        <v>78</v>
      </c>
      <c r="C52" s="12" t="s">
        <v>31</v>
      </c>
      <c r="D52" s="12" t="s">
        <v>31</v>
      </c>
      <c r="E52" s="11">
        <v>329170</v>
      </c>
      <c r="F52" s="11">
        <v>3662</v>
      </c>
      <c r="G52" s="12"/>
      <c r="H52" s="12" t="s">
        <v>31</v>
      </c>
      <c r="I52" s="13">
        <v>1536</v>
      </c>
      <c r="J52" s="16" t="s">
        <v>31</v>
      </c>
      <c r="K52" s="13">
        <v>215873</v>
      </c>
      <c r="L52" s="13">
        <v>115423</v>
      </c>
      <c r="M52" s="11">
        <v>8519</v>
      </c>
    </row>
    <row r="53" spans="1:13" x14ac:dyDescent="0.25">
      <c r="A53" t="str">
        <f t="shared" si="1"/>
        <v>Marketable</v>
      </c>
      <c r="B53" s="15" t="s">
        <v>79</v>
      </c>
      <c r="C53" s="12" t="s">
        <v>31</v>
      </c>
      <c r="D53" s="12" t="s">
        <v>31</v>
      </c>
      <c r="E53" s="11">
        <v>245213</v>
      </c>
      <c r="F53" s="11">
        <v>3662</v>
      </c>
      <c r="G53" s="12"/>
      <c r="H53" s="12" t="s">
        <v>31</v>
      </c>
      <c r="I53" s="13">
        <v>1536</v>
      </c>
      <c r="J53" s="16" t="s">
        <v>31</v>
      </c>
      <c r="K53" s="13">
        <v>215873</v>
      </c>
      <c r="L53" s="13">
        <v>31466</v>
      </c>
      <c r="M53" s="11">
        <v>8519</v>
      </c>
    </row>
    <row r="54" spans="1:13" x14ac:dyDescent="0.25">
      <c r="A54" t="str">
        <f t="shared" si="1"/>
        <v>Catalyst</v>
      </c>
      <c r="B54" s="15" t="s">
        <v>80</v>
      </c>
      <c r="C54" s="12" t="s">
        <v>31</v>
      </c>
      <c r="D54" s="12" t="s">
        <v>31</v>
      </c>
      <c r="E54" s="11">
        <v>83957</v>
      </c>
      <c r="F54" s="12" t="s">
        <v>31</v>
      </c>
      <c r="G54" s="12" t="s">
        <v>31</v>
      </c>
      <c r="H54" s="12" t="s">
        <v>31</v>
      </c>
      <c r="I54" s="16" t="s">
        <v>31</v>
      </c>
      <c r="J54" s="16" t="s">
        <v>31</v>
      </c>
      <c r="K54" s="16" t="s">
        <v>31</v>
      </c>
      <c r="L54" s="13">
        <v>83957</v>
      </c>
      <c r="M54" s="12" t="s">
        <v>31</v>
      </c>
    </row>
    <row r="55" spans="1:13" x14ac:dyDescent="0.25">
      <c r="A55" t="str">
        <f t="shared" si="1"/>
        <v>Asphalt and Road Oil</v>
      </c>
      <c r="B55" s="14" t="s">
        <v>81</v>
      </c>
      <c r="C55" s="12" t="s">
        <v>31</v>
      </c>
      <c r="D55" s="12" t="s">
        <v>31</v>
      </c>
      <c r="E55" s="11">
        <v>120515</v>
      </c>
      <c r="F55" s="11">
        <v>13666</v>
      </c>
      <c r="G55" s="12"/>
      <c r="H55" s="12" t="s">
        <v>31</v>
      </c>
      <c r="I55" s="13">
        <v>-1184</v>
      </c>
      <c r="J55" s="16" t="s">
        <v>31</v>
      </c>
      <c r="K55" s="13">
        <v>7399</v>
      </c>
      <c r="L55" s="13">
        <v>127966</v>
      </c>
      <c r="M55" s="11">
        <v>21697</v>
      </c>
    </row>
    <row r="56" spans="1:13" x14ac:dyDescent="0.25">
      <c r="A56" t="str">
        <f t="shared" si="1"/>
        <v>Still Gas</v>
      </c>
      <c r="B56" s="14" t="s">
        <v>82</v>
      </c>
      <c r="C56" s="12" t="s">
        <v>31</v>
      </c>
      <c r="D56" s="12" t="s">
        <v>31</v>
      </c>
      <c r="E56" s="11">
        <v>251761</v>
      </c>
      <c r="F56" s="12" t="s">
        <v>31</v>
      </c>
      <c r="G56" s="12" t="s">
        <v>31</v>
      </c>
      <c r="H56" s="12" t="s">
        <v>31</v>
      </c>
      <c r="I56" s="16" t="s">
        <v>31</v>
      </c>
      <c r="J56" s="16" t="s">
        <v>31</v>
      </c>
      <c r="K56" s="16" t="s">
        <v>31</v>
      </c>
      <c r="L56" s="13">
        <v>251761</v>
      </c>
      <c r="M56" s="12" t="s">
        <v>31</v>
      </c>
    </row>
    <row r="57" spans="1:13" x14ac:dyDescent="0.25">
      <c r="A57" t="str">
        <f t="shared" si="1"/>
        <v>Miscellaneous Products</v>
      </c>
      <c r="B57" s="14" t="s">
        <v>83</v>
      </c>
      <c r="C57" s="12" t="s">
        <v>31</v>
      </c>
      <c r="D57" s="12" t="s">
        <v>31</v>
      </c>
      <c r="E57" s="11">
        <v>34505</v>
      </c>
      <c r="F57" s="11">
        <v>64</v>
      </c>
      <c r="G57" s="12"/>
      <c r="H57" s="12" t="s">
        <v>31</v>
      </c>
      <c r="I57" s="13">
        <v>-11</v>
      </c>
      <c r="J57" s="16" t="s">
        <v>31</v>
      </c>
      <c r="K57" s="13">
        <v>279</v>
      </c>
      <c r="L57" s="13">
        <v>34301</v>
      </c>
      <c r="M57" s="11">
        <v>671</v>
      </c>
    </row>
  </sheetData>
  <mergeCells count="3">
    <mergeCell ref="C2:H2"/>
    <mergeCell ref="I2:L2"/>
    <mergeCell ref="M2:M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B312-2CA4-49C0-9304-910921BC57CE}">
  <dimension ref="A1:AC62"/>
  <sheetViews>
    <sheetView zoomScale="85" zoomScaleNormal="85" workbookViewId="0">
      <selection activeCell="A37" sqref="A37:U37"/>
    </sheetView>
  </sheetViews>
  <sheetFormatPr defaultRowHeight="15" x14ac:dyDescent="0.25"/>
  <cols>
    <col min="2" max="2" width="10.7109375" bestFit="1" customWidth="1"/>
    <col min="17" max="17" width="10.7109375" bestFit="1" customWidth="1"/>
  </cols>
  <sheetData>
    <row r="1" spans="1:29" x14ac:dyDescent="0.25">
      <c r="A1" s="278"/>
      <c r="B1" s="278"/>
      <c r="C1" s="279"/>
      <c r="D1" s="279"/>
      <c r="E1" s="279"/>
      <c r="F1" s="279"/>
      <c r="G1" s="279"/>
      <c r="H1" s="279"/>
      <c r="I1" s="280"/>
      <c r="J1" s="283"/>
      <c r="K1" s="279"/>
      <c r="L1" s="279"/>
      <c r="M1" s="280"/>
      <c r="N1" s="285"/>
      <c r="P1" s="278"/>
      <c r="Q1" s="278"/>
      <c r="R1" s="279"/>
      <c r="S1" s="279"/>
      <c r="T1" s="279"/>
      <c r="U1" s="279"/>
      <c r="V1" s="279"/>
      <c r="W1" s="279"/>
      <c r="X1" s="280"/>
      <c r="Y1" s="283"/>
      <c r="Z1" s="279"/>
      <c r="AA1" s="279"/>
      <c r="AB1" s="280"/>
      <c r="AC1" s="285"/>
    </row>
    <row r="2" spans="1:29" ht="26.25" x14ac:dyDescent="0.25">
      <c r="A2" s="239" t="e" vm="1">
        <v>#VALUE!</v>
      </c>
      <c r="B2" s="274">
        <v>2024</v>
      </c>
      <c r="C2" s="279"/>
      <c r="D2" s="279"/>
      <c r="E2" s="279"/>
      <c r="F2" s="279"/>
      <c r="G2" s="279"/>
      <c r="H2" s="279"/>
      <c r="I2" s="280"/>
      <c r="J2" s="283"/>
      <c r="K2" s="279"/>
      <c r="L2" s="279"/>
      <c r="M2" s="280"/>
      <c r="N2" s="285"/>
      <c r="P2" s="239" t="e" vm="1">
        <v>#VALUE!</v>
      </c>
      <c r="Q2" s="274">
        <v>2023</v>
      </c>
      <c r="R2" s="279"/>
      <c r="S2" s="279"/>
      <c r="T2" s="279"/>
      <c r="U2" s="279"/>
      <c r="V2" s="279"/>
      <c r="W2" s="279"/>
      <c r="X2" s="280"/>
      <c r="Y2" s="283"/>
      <c r="Z2" s="279"/>
      <c r="AA2" s="279"/>
      <c r="AB2" s="280"/>
      <c r="AC2" s="285"/>
    </row>
    <row r="3" spans="1:29" ht="15.75" thickBot="1" x14ac:dyDescent="0.3">
      <c r="A3" s="278"/>
      <c r="B3" s="278"/>
      <c r="C3" s="281"/>
      <c r="D3" s="281"/>
      <c r="E3" s="281"/>
      <c r="F3" s="281"/>
      <c r="G3" s="281"/>
      <c r="H3" s="281"/>
      <c r="I3" s="282"/>
      <c r="J3" s="284"/>
      <c r="K3" s="281"/>
      <c r="L3" s="281"/>
      <c r="M3" s="282"/>
      <c r="N3" s="285"/>
      <c r="P3" s="278"/>
      <c r="Q3" s="278"/>
      <c r="R3" s="281"/>
      <c r="S3" s="281"/>
      <c r="T3" s="281"/>
      <c r="U3" s="281"/>
      <c r="V3" s="281"/>
      <c r="W3" s="281"/>
      <c r="X3" s="282"/>
      <c r="Y3" s="284"/>
      <c r="Z3" s="281"/>
      <c r="AA3" s="281"/>
      <c r="AB3" s="282"/>
      <c r="AC3" s="285"/>
    </row>
    <row r="4" spans="1:29" ht="57.75" thickBot="1" x14ac:dyDescent="0.3">
      <c r="A4" s="287" t="e" vm="1">
        <v>#VALUE!</v>
      </c>
      <c r="B4" s="287"/>
      <c r="C4" s="253" t="s">
        <v>19</v>
      </c>
      <c r="D4" s="253" t="s">
        <v>727</v>
      </c>
      <c r="E4" s="253" t="s">
        <v>728</v>
      </c>
      <c r="F4" s="253" t="s">
        <v>21</v>
      </c>
      <c r="G4" s="253" t="s">
        <v>22</v>
      </c>
      <c r="H4" s="253" t="s">
        <v>23</v>
      </c>
      <c r="I4" s="253" t="s">
        <v>24</v>
      </c>
      <c r="J4" s="254" t="s">
        <v>25</v>
      </c>
      <c r="K4" s="254" t="s">
        <v>26</v>
      </c>
      <c r="L4" s="254" t="s">
        <v>27</v>
      </c>
      <c r="M4" s="254" t="s">
        <v>28</v>
      </c>
      <c r="N4" s="286"/>
      <c r="P4" s="287" t="e" vm="1">
        <v>#VALUE!</v>
      </c>
      <c r="Q4" s="287"/>
      <c r="R4" s="253" t="s">
        <v>19</v>
      </c>
      <c r="S4" s="253" t="s">
        <v>727</v>
      </c>
      <c r="T4" s="253" t="s">
        <v>728</v>
      </c>
      <c r="U4" s="253" t="s">
        <v>21</v>
      </c>
      <c r="V4" s="253" t="s">
        <v>22</v>
      </c>
      <c r="W4" s="253" t="s">
        <v>23</v>
      </c>
      <c r="X4" s="253" t="s">
        <v>24</v>
      </c>
      <c r="Y4" s="254" t="s">
        <v>25</v>
      </c>
      <c r="Z4" s="254" t="s">
        <v>26</v>
      </c>
      <c r="AA4" s="254" t="s">
        <v>27</v>
      </c>
      <c r="AB4" s="254" t="s">
        <v>28</v>
      </c>
      <c r="AC4" s="286"/>
    </row>
    <row r="5" spans="1:29" ht="61.5" thickTop="1" thickBot="1" x14ac:dyDescent="0.3">
      <c r="A5" s="240"/>
      <c r="B5" s="234" t="s">
        <v>29</v>
      </c>
      <c r="C5" s="235">
        <v>7420896</v>
      </c>
      <c r="D5" s="236">
        <v>0</v>
      </c>
      <c r="E5" s="258">
        <v>504680</v>
      </c>
      <c r="F5" s="258">
        <v>7146373</v>
      </c>
      <c r="G5" s="235">
        <v>3088150</v>
      </c>
      <c r="H5" s="237"/>
      <c r="I5" s="235">
        <v>64054</v>
      </c>
      <c r="J5" s="238">
        <v>23607</v>
      </c>
      <c r="K5" s="238">
        <v>6791496</v>
      </c>
      <c r="L5" s="238">
        <v>3919330</v>
      </c>
      <c r="M5" s="238">
        <v>7489722</v>
      </c>
      <c r="N5" s="235">
        <v>1629709</v>
      </c>
      <c r="P5" s="234" t="s">
        <v>29</v>
      </c>
      <c r="Q5" s="273"/>
      <c r="R5" s="235">
        <v>7096331</v>
      </c>
      <c r="S5" s="236">
        <v>0</v>
      </c>
      <c r="T5" s="235">
        <v>474167</v>
      </c>
      <c r="U5" s="235">
        <v>7092522</v>
      </c>
      <c r="V5" s="235">
        <v>3112016</v>
      </c>
      <c r="W5" s="237"/>
      <c r="X5" s="235">
        <v>92637</v>
      </c>
      <c r="Y5" s="238">
        <v>11480</v>
      </c>
      <c r="Z5" s="238">
        <v>6720185</v>
      </c>
      <c r="AA5" s="238">
        <v>3735628</v>
      </c>
      <c r="AB5" s="238">
        <v>7400380</v>
      </c>
      <c r="AC5" s="235">
        <v>1606102</v>
      </c>
    </row>
    <row r="6" spans="1:29" ht="15.75" thickBot="1" x14ac:dyDescent="0.3">
      <c r="A6" s="240"/>
      <c r="B6" s="234" t="s">
        <v>30</v>
      </c>
      <c r="C6" s="235">
        <v>4843858</v>
      </c>
      <c r="D6" s="235">
        <v>223927</v>
      </c>
      <c r="E6" s="259" t="s">
        <v>31</v>
      </c>
      <c r="F6" s="259" t="s">
        <v>31</v>
      </c>
      <c r="G6" s="235">
        <v>2411095</v>
      </c>
      <c r="H6" s="237"/>
      <c r="I6" s="235">
        <v>-16532</v>
      </c>
      <c r="J6" s="238">
        <v>25773</v>
      </c>
      <c r="K6" s="238">
        <v>5938479</v>
      </c>
      <c r="L6" s="238">
        <v>1498096</v>
      </c>
      <c r="M6" s="241">
        <v>0</v>
      </c>
      <c r="N6" s="235">
        <v>806948</v>
      </c>
      <c r="P6" s="240"/>
      <c r="Q6" s="234" t="s">
        <v>30</v>
      </c>
      <c r="R6" s="235">
        <v>4724335</v>
      </c>
      <c r="S6" s="235">
        <v>191768</v>
      </c>
      <c r="T6" s="237" t="s">
        <v>31</v>
      </c>
      <c r="U6" s="237" t="s">
        <v>31</v>
      </c>
      <c r="V6" s="235">
        <v>2368436</v>
      </c>
      <c r="W6" s="237"/>
      <c r="X6" s="235">
        <v>12186</v>
      </c>
      <c r="Y6" s="238">
        <v>-20957</v>
      </c>
      <c r="Z6" s="238">
        <v>5827889</v>
      </c>
      <c r="AA6" s="238">
        <v>1489794</v>
      </c>
      <c r="AB6" s="241">
        <v>0</v>
      </c>
      <c r="AC6" s="235">
        <v>781175</v>
      </c>
    </row>
    <row r="7" spans="1:29" ht="36.75" thickBot="1" x14ac:dyDescent="0.3">
      <c r="A7" s="240"/>
      <c r="B7" s="234" t="s">
        <v>32</v>
      </c>
      <c r="C7" s="235">
        <v>2577038</v>
      </c>
      <c r="D7" s="235">
        <v>-176427</v>
      </c>
      <c r="E7" s="258">
        <v>-8484</v>
      </c>
      <c r="F7" s="258">
        <v>212322</v>
      </c>
      <c r="G7" s="235">
        <v>64641</v>
      </c>
      <c r="H7" s="237"/>
      <c r="I7" s="237" t="s">
        <v>31</v>
      </c>
      <c r="J7" s="238">
        <v>2412</v>
      </c>
      <c r="K7" s="238">
        <v>237103</v>
      </c>
      <c r="L7" s="238">
        <v>1060250</v>
      </c>
      <c r="M7" s="238">
        <v>1369325</v>
      </c>
      <c r="N7" s="235">
        <v>225710</v>
      </c>
      <c r="P7" s="240"/>
      <c r="Q7" s="234" t="s">
        <v>32</v>
      </c>
      <c r="R7" s="235">
        <v>2371996</v>
      </c>
      <c r="S7" s="235">
        <v>-148441</v>
      </c>
      <c r="T7" s="235">
        <v>-8630</v>
      </c>
      <c r="U7" s="235">
        <v>220363</v>
      </c>
      <c r="V7" s="235">
        <v>61649</v>
      </c>
      <c r="W7" s="237"/>
      <c r="X7" s="237" t="s">
        <v>31</v>
      </c>
      <c r="Y7" s="238">
        <v>12149</v>
      </c>
      <c r="Z7" s="238">
        <v>227190</v>
      </c>
      <c r="AA7" s="238">
        <v>978453</v>
      </c>
      <c r="AB7" s="238">
        <v>1279146</v>
      </c>
      <c r="AC7" s="235">
        <v>223299</v>
      </c>
    </row>
    <row r="8" spans="1:29" ht="24.75" thickBot="1" x14ac:dyDescent="0.3">
      <c r="A8" s="240"/>
      <c r="B8" s="242" t="s">
        <v>33</v>
      </c>
      <c r="C8" s="235">
        <v>2577038</v>
      </c>
      <c r="D8" s="235">
        <v>-176427</v>
      </c>
      <c r="E8" s="258">
        <v>-8484</v>
      </c>
      <c r="F8" s="258">
        <v>122497</v>
      </c>
      <c r="G8" s="235">
        <v>58699</v>
      </c>
      <c r="H8" s="237"/>
      <c r="I8" s="237" t="s">
        <v>31</v>
      </c>
      <c r="J8" s="238">
        <v>1772</v>
      </c>
      <c r="K8" s="238">
        <v>237103</v>
      </c>
      <c r="L8" s="238">
        <v>1060250</v>
      </c>
      <c r="M8" s="238">
        <v>1274198</v>
      </c>
      <c r="N8" s="235">
        <v>223701</v>
      </c>
      <c r="P8" s="240"/>
      <c r="Q8" s="242" t="s">
        <v>33</v>
      </c>
      <c r="R8" s="235">
        <v>2371996</v>
      </c>
      <c r="S8" s="235">
        <v>-148441</v>
      </c>
      <c r="T8" s="235">
        <v>-8630</v>
      </c>
      <c r="U8" s="235">
        <v>129497</v>
      </c>
      <c r="V8" s="235">
        <v>55095</v>
      </c>
      <c r="W8" s="237"/>
      <c r="X8" s="237" t="s">
        <v>31</v>
      </c>
      <c r="Y8" s="238">
        <v>12653</v>
      </c>
      <c r="Z8" s="238">
        <v>227190</v>
      </c>
      <c r="AA8" s="238">
        <v>978453</v>
      </c>
      <c r="AB8" s="238">
        <v>1181222</v>
      </c>
      <c r="AC8" s="235">
        <v>221930</v>
      </c>
    </row>
    <row r="9" spans="1:29" ht="15.75" thickBot="1" x14ac:dyDescent="0.3">
      <c r="A9" s="240"/>
      <c r="B9" s="242" t="s">
        <v>34</v>
      </c>
      <c r="C9" s="235">
        <v>1049589</v>
      </c>
      <c r="D9" s="237"/>
      <c r="E9" s="259" t="s">
        <v>31</v>
      </c>
      <c r="F9" s="258">
        <v>3305</v>
      </c>
      <c r="G9" s="236" t="s">
        <v>35</v>
      </c>
      <c r="H9" s="237"/>
      <c r="I9" s="237" t="s">
        <v>31</v>
      </c>
      <c r="J9" s="238">
        <v>5808</v>
      </c>
      <c r="K9" s="243"/>
      <c r="L9" s="238">
        <v>178192</v>
      </c>
      <c r="M9" s="238">
        <v>868894</v>
      </c>
      <c r="N9" s="235">
        <v>71604</v>
      </c>
      <c r="P9" s="240"/>
      <c r="Q9" s="242" t="s">
        <v>34</v>
      </c>
      <c r="R9" s="235">
        <v>967953</v>
      </c>
      <c r="S9" s="237"/>
      <c r="T9" s="237" t="s">
        <v>31</v>
      </c>
      <c r="U9" s="235">
        <v>2605</v>
      </c>
      <c r="V9" s="236" t="s">
        <v>35</v>
      </c>
      <c r="W9" s="237"/>
      <c r="X9" s="237" t="s">
        <v>31</v>
      </c>
      <c r="Y9" s="238">
        <v>12250</v>
      </c>
      <c r="Z9" s="243"/>
      <c r="AA9" s="238">
        <v>171943</v>
      </c>
      <c r="AB9" s="238">
        <v>786365</v>
      </c>
      <c r="AC9" s="235">
        <v>65796</v>
      </c>
    </row>
    <row r="10" spans="1:29" ht="15.75" thickBot="1" x14ac:dyDescent="0.3">
      <c r="A10" s="240"/>
      <c r="B10" s="242" t="s">
        <v>36</v>
      </c>
      <c r="C10" s="235">
        <v>798376</v>
      </c>
      <c r="D10" s="236">
        <v>-269</v>
      </c>
      <c r="E10" s="259" t="s">
        <v>31</v>
      </c>
      <c r="F10" s="258">
        <v>99800</v>
      </c>
      <c r="G10" s="235">
        <v>39610</v>
      </c>
      <c r="H10" s="237"/>
      <c r="I10" s="237" t="s">
        <v>31</v>
      </c>
      <c r="J10" s="238">
        <v>1009</v>
      </c>
      <c r="K10" s="243"/>
      <c r="L10" s="238">
        <v>646618</v>
      </c>
      <c r="M10" s="238">
        <v>289890</v>
      </c>
      <c r="N10" s="235">
        <v>80649</v>
      </c>
      <c r="P10" s="240"/>
      <c r="Q10" s="242" t="s">
        <v>36</v>
      </c>
      <c r="R10" s="235">
        <v>737718</v>
      </c>
      <c r="S10" s="236">
        <v>-294</v>
      </c>
      <c r="T10" s="237" t="s">
        <v>31</v>
      </c>
      <c r="U10" s="235">
        <v>101513</v>
      </c>
      <c r="V10" s="235">
        <v>39230</v>
      </c>
      <c r="W10" s="237"/>
      <c r="X10" s="237" t="s">
        <v>31</v>
      </c>
      <c r="Y10" s="238">
        <v>2998</v>
      </c>
      <c r="Z10" s="243"/>
      <c r="AA10" s="238">
        <v>590516</v>
      </c>
      <c r="AB10" s="238">
        <v>284653</v>
      </c>
      <c r="AC10" s="235">
        <v>79640</v>
      </c>
    </row>
    <row r="11" spans="1:29" ht="24.75" thickBot="1" x14ac:dyDescent="0.3">
      <c r="A11" s="240"/>
      <c r="B11" s="242" t="s">
        <v>37</v>
      </c>
      <c r="C11" s="235">
        <v>246951</v>
      </c>
      <c r="D11" s="235">
        <v>-5230</v>
      </c>
      <c r="E11" s="260" t="s">
        <v>474</v>
      </c>
      <c r="F11" s="258">
        <v>25022</v>
      </c>
      <c r="G11" s="235">
        <v>15813</v>
      </c>
      <c r="H11" s="237"/>
      <c r="I11" s="237" t="s">
        <v>31</v>
      </c>
      <c r="J11" s="238">
        <v>-2765</v>
      </c>
      <c r="K11" s="238">
        <v>62427</v>
      </c>
      <c r="L11" s="238">
        <v>179465</v>
      </c>
      <c r="M11" s="238">
        <v>43429</v>
      </c>
      <c r="N11" s="235">
        <v>36191</v>
      </c>
      <c r="P11" s="240"/>
      <c r="Q11" s="242" t="s">
        <v>37</v>
      </c>
      <c r="R11" s="235">
        <v>227337</v>
      </c>
      <c r="S11" s="235">
        <v>-5185</v>
      </c>
      <c r="T11" s="236" t="s">
        <v>474</v>
      </c>
      <c r="U11" s="235">
        <v>30882</v>
      </c>
      <c r="V11" s="235">
        <v>13055</v>
      </c>
      <c r="W11" s="237"/>
      <c r="X11" s="237" t="s">
        <v>31</v>
      </c>
      <c r="Y11" s="238">
        <v>-2809</v>
      </c>
      <c r="Z11" s="238">
        <v>71344</v>
      </c>
      <c r="AA11" s="238">
        <v>159965</v>
      </c>
      <c r="AB11" s="238">
        <v>37589</v>
      </c>
      <c r="AC11" s="235">
        <v>38956</v>
      </c>
    </row>
    <row r="12" spans="1:29" ht="15.75" thickBot="1" x14ac:dyDescent="0.3">
      <c r="A12" s="240"/>
      <c r="B12" s="242" t="s">
        <v>38</v>
      </c>
      <c r="C12" s="235">
        <v>170999</v>
      </c>
      <c r="D12" s="235">
        <v>-1998</v>
      </c>
      <c r="E12" s="260" t="s">
        <v>474</v>
      </c>
      <c r="F12" s="258">
        <v>-5630</v>
      </c>
      <c r="G12" s="235">
        <v>3233</v>
      </c>
      <c r="H12" s="237"/>
      <c r="I12" s="237" t="s">
        <v>31</v>
      </c>
      <c r="J12" s="238">
        <v>1530</v>
      </c>
      <c r="K12" s="238">
        <v>91853</v>
      </c>
      <c r="L12" s="238">
        <v>1235</v>
      </c>
      <c r="M12" s="238">
        <v>71986</v>
      </c>
      <c r="N12" s="235">
        <v>12235</v>
      </c>
      <c r="P12" s="240"/>
      <c r="Q12" s="242" t="s">
        <v>38</v>
      </c>
      <c r="R12" s="235">
        <v>160542</v>
      </c>
      <c r="S12" s="235">
        <v>-2023</v>
      </c>
      <c r="T12" s="236" t="s">
        <v>474</v>
      </c>
      <c r="U12" s="235">
        <v>-5503</v>
      </c>
      <c r="V12" s="235">
        <v>2771</v>
      </c>
      <c r="W12" s="237"/>
      <c r="X12" s="237" t="s">
        <v>31</v>
      </c>
      <c r="Y12" s="238">
        <v>-1488</v>
      </c>
      <c r="Z12" s="238">
        <v>83409</v>
      </c>
      <c r="AA12" s="238">
        <v>1252</v>
      </c>
      <c r="AB12" s="238">
        <v>72614</v>
      </c>
      <c r="AC12" s="235">
        <v>10705</v>
      </c>
    </row>
    <row r="13" spans="1:29" ht="24.75" thickBot="1" x14ac:dyDescent="0.3">
      <c r="A13" s="240"/>
      <c r="B13" s="242" t="s">
        <v>39</v>
      </c>
      <c r="C13" s="235">
        <v>311123</v>
      </c>
      <c r="D13" s="235">
        <v>-168930</v>
      </c>
      <c r="E13" s="258">
        <v>-8484</v>
      </c>
      <c r="F13" s="259"/>
      <c r="G13" s="236">
        <v>43</v>
      </c>
      <c r="H13" s="237"/>
      <c r="I13" s="237" t="s">
        <v>31</v>
      </c>
      <c r="J13" s="238">
        <v>-3810</v>
      </c>
      <c r="K13" s="238">
        <v>82823</v>
      </c>
      <c r="L13" s="238">
        <v>54739</v>
      </c>
      <c r="M13" s="241">
        <v>0</v>
      </c>
      <c r="N13" s="235">
        <v>23022</v>
      </c>
      <c r="P13" s="240"/>
      <c r="Q13" s="242" t="s">
        <v>39</v>
      </c>
      <c r="R13" s="235">
        <v>278446</v>
      </c>
      <c r="S13" s="235">
        <v>-140939</v>
      </c>
      <c r="T13" s="235">
        <v>-8630</v>
      </c>
      <c r="U13" s="237"/>
      <c r="V13" s="236">
        <v>39</v>
      </c>
      <c r="W13" s="237"/>
      <c r="X13" s="237" t="s">
        <v>31</v>
      </c>
      <c r="Y13" s="238">
        <v>1702</v>
      </c>
      <c r="Z13" s="238">
        <v>72437</v>
      </c>
      <c r="AA13" s="238">
        <v>54777</v>
      </c>
      <c r="AB13" s="241">
        <v>0</v>
      </c>
      <c r="AC13" s="235">
        <v>26833</v>
      </c>
    </row>
    <row r="14" spans="1:29" ht="36.75" thickBot="1" x14ac:dyDescent="0.3">
      <c r="A14" s="240"/>
      <c r="B14" s="242" t="s">
        <v>721</v>
      </c>
      <c r="C14" s="235">
        <v>54857</v>
      </c>
      <c r="D14" s="235">
        <v>-54860</v>
      </c>
      <c r="E14" s="259"/>
      <c r="F14" s="259"/>
      <c r="G14" s="237"/>
      <c r="H14" s="237"/>
      <c r="I14" s="237" t="s">
        <v>31</v>
      </c>
      <c r="J14" s="241">
        <v>-3</v>
      </c>
      <c r="K14" s="243"/>
      <c r="L14" s="243"/>
      <c r="M14" s="241">
        <v>0</v>
      </c>
      <c r="N14" s="236">
        <v>28</v>
      </c>
      <c r="P14" s="240"/>
      <c r="Q14" s="242" t="s">
        <v>721</v>
      </c>
      <c r="R14" s="235">
        <v>15667</v>
      </c>
      <c r="S14" s="235">
        <v>-15636</v>
      </c>
      <c r="T14" s="237"/>
      <c r="U14" s="237"/>
      <c r="V14" s="237"/>
      <c r="W14" s="237"/>
      <c r="X14" s="237" t="s">
        <v>31</v>
      </c>
      <c r="Y14" s="241">
        <v>31</v>
      </c>
      <c r="Z14" s="243"/>
      <c r="AA14" s="243"/>
      <c r="AB14" s="241">
        <v>0</v>
      </c>
      <c r="AC14" s="236">
        <v>31</v>
      </c>
    </row>
    <row r="15" spans="1:29" ht="24.75" thickBot="1" x14ac:dyDescent="0.3">
      <c r="A15" s="240"/>
      <c r="B15" s="242" t="s">
        <v>40</v>
      </c>
      <c r="C15" s="237" t="s">
        <v>31</v>
      </c>
      <c r="D15" s="237"/>
      <c r="E15" s="259" t="s">
        <v>31</v>
      </c>
      <c r="F15" s="258">
        <v>89825</v>
      </c>
      <c r="G15" s="235">
        <v>5942</v>
      </c>
      <c r="H15" s="237"/>
      <c r="I15" s="237" t="s">
        <v>31</v>
      </c>
      <c r="J15" s="241">
        <v>640</v>
      </c>
      <c r="K15" s="243" t="s">
        <v>31</v>
      </c>
      <c r="L15" s="243" t="s">
        <v>31</v>
      </c>
      <c r="M15" s="238">
        <v>95127</v>
      </c>
      <c r="N15" s="235">
        <v>2009</v>
      </c>
      <c r="P15" s="240"/>
      <c r="Q15" s="242" t="s">
        <v>40</v>
      </c>
      <c r="R15" s="237" t="s">
        <v>31</v>
      </c>
      <c r="S15" s="237"/>
      <c r="T15" s="237" t="s">
        <v>31</v>
      </c>
      <c r="U15" s="235">
        <v>90866</v>
      </c>
      <c r="V15" s="235">
        <v>6554</v>
      </c>
      <c r="W15" s="237"/>
      <c r="X15" s="237" t="s">
        <v>31</v>
      </c>
      <c r="Y15" s="241">
        <v>-504</v>
      </c>
      <c r="Z15" s="243" t="s">
        <v>31</v>
      </c>
      <c r="AA15" s="243" t="s">
        <v>31</v>
      </c>
      <c r="AB15" s="238">
        <v>97924</v>
      </c>
      <c r="AC15" s="235">
        <v>1369</v>
      </c>
    </row>
    <row r="16" spans="1:29" ht="15.75" thickBot="1" x14ac:dyDescent="0.3">
      <c r="A16" s="240"/>
      <c r="B16" s="242" t="s">
        <v>41</v>
      </c>
      <c r="C16" s="237" t="s">
        <v>31</v>
      </c>
      <c r="D16" s="237"/>
      <c r="E16" s="259" t="s">
        <v>31</v>
      </c>
      <c r="F16" s="258">
        <v>-6109</v>
      </c>
      <c r="G16" s="236" t="s">
        <v>35</v>
      </c>
      <c r="H16" s="237"/>
      <c r="I16" s="237" t="s">
        <v>31</v>
      </c>
      <c r="J16" s="241">
        <v>0</v>
      </c>
      <c r="K16" s="243" t="s">
        <v>31</v>
      </c>
      <c r="L16" s="243" t="s">
        <v>31</v>
      </c>
      <c r="M16" s="238">
        <v>-6109</v>
      </c>
      <c r="N16" s="236">
        <v>0</v>
      </c>
      <c r="P16" s="240"/>
      <c r="Q16" s="242" t="s">
        <v>41</v>
      </c>
      <c r="R16" s="237" t="s">
        <v>31</v>
      </c>
      <c r="S16" s="237"/>
      <c r="T16" s="237" t="s">
        <v>31</v>
      </c>
      <c r="U16" s="236">
        <v>636</v>
      </c>
      <c r="V16" s="236" t="s">
        <v>35</v>
      </c>
      <c r="W16" s="237"/>
      <c r="X16" s="237" t="s">
        <v>31</v>
      </c>
      <c r="Y16" s="241">
        <v>0</v>
      </c>
      <c r="Z16" s="243" t="s">
        <v>31</v>
      </c>
      <c r="AA16" s="243" t="s">
        <v>31</v>
      </c>
      <c r="AB16" s="241">
        <v>636</v>
      </c>
      <c r="AC16" s="236">
        <v>0</v>
      </c>
    </row>
    <row r="17" spans="1:29" ht="15.75" thickBot="1" x14ac:dyDescent="0.3">
      <c r="A17" s="240"/>
      <c r="B17" s="242" t="s">
        <v>42</v>
      </c>
      <c r="C17" s="237" t="s">
        <v>31</v>
      </c>
      <c r="D17" s="237"/>
      <c r="E17" s="259" t="s">
        <v>31</v>
      </c>
      <c r="F17" s="258">
        <v>96276</v>
      </c>
      <c r="G17" s="235">
        <v>5442</v>
      </c>
      <c r="H17" s="237"/>
      <c r="I17" s="237" t="s">
        <v>31</v>
      </c>
      <c r="J17" s="241">
        <v>466</v>
      </c>
      <c r="K17" s="243" t="s">
        <v>31</v>
      </c>
      <c r="L17" s="243" t="s">
        <v>31</v>
      </c>
      <c r="M17" s="238">
        <v>101252</v>
      </c>
      <c r="N17" s="235">
        <v>1375</v>
      </c>
      <c r="P17" s="240"/>
      <c r="Q17" s="242" t="s">
        <v>42</v>
      </c>
      <c r="R17" s="237" t="s">
        <v>31</v>
      </c>
      <c r="S17" s="237"/>
      <c r="T17" s="237" t="s">
        <v>31</v>
      </c>
      <c r="U17" s="235">
        <v>91700</v>
      </c>
      <c r="V17" s="235">
        <v>5370</v>
      </c>
      <c r="W17" s="237"/>
      <c r="X17" s="237" t="s">
        <v>31</v>
      </c>
      <c r="Y17" s="241">
        <v>-429</v>
      </c>
      <c r="Z17" s="243" t="s">
        <v>31</v>
      </c>
      <c r="AA17" s="243" t="s">
        <v>31</v>
      </c>
      <c r="AB17" s="238">
        <v>97499</v>
      </c>
      <c r="AC17" s="236">
        <v>909</v>
      </c>
    </row>
    <row r="18" spans="1:29" ht="24.75" thickBot="1" x14ac:dyDescent="0.3">
      <c r="A18" s="240"/>
      <c r="B18" s="242" t="s">
        <v>43</v>
      </c>
      <c r="C18" s="237" t="s">
        <v>31</v>
      </c>
      <c r="D18" s="237"/>
      <c r="E18" s="259" t="s">
        <v>31</v>
      </c>
      <c r="F18" s="260">
        <v>-693</v>
      </c>
      <c r="G18" s="236">
        <v>500</v>
      </c>
      <c r="H18" s="237"/>
      <c r="I18" s="237" t="s">
        <v>31</v>
      </c>
      <c r="J18" s="241">
        <v>124</v>
      </c>
      <c r="K18" s="243" t="s">
        <v>31</v>
      </c>
      <c r="L18" s="243" t="s">
        <v>31</v>
      </c>
      <c r="M18" s="241">
        <v>-317</v>
      </c>
      <c r="N18" s="236">
        <v>573</v>
      </c>
      <c r="P18" s="240"/>
      <c r="Q18" s="242" t="s">
        <v>43</v>
      </c>
      <c r="R18" s="237" t="s">
        <v>31</v>
      </c>
      <c r="S18" s="237"/>
      <c r="T18" s="237" t="s">
        <v>31</v>
      </c>
      <c r="U18" s="235">
        <v>-1587</v>
      </c>
      <c r="V18" s="235">
        <v>1184</v>
      </c>
      <c r="W18" s="237"/>
      <c r="X18" s="237" t="s">
        <v>31</v>
      </c>
      <c r="Y18" s="241">
        <v>-70</v>
      </c>
      <c r="Z18" s="243" t="s">
        <v>31</v>
      </c>
      <c r="AA18" s="243" t="s">
        <v>31</v>
      </c>
      <c r="AB18" s="241">
        <v>-333</v>
      </c>
      <c r="AC18" s="236">
        <v>449</v>
      </c>
    </row>
    <row r="19" spans="1:29" ht="15.75" thickBot="1" x14ac:dyDescent="0.3">
      <c r="A19" s="240"/>
      <c r="B19" s="242" t="s">
        <v>44</v>
      </c>
      <c r="C19" s="237" t="s">
        <v>31</v>
      </c>
      <c r="D19" s="237"/>
      <c r="E19" s="259" t="s">
        <v>31</v>
      </c>
      <c r="F19" s="260">
        <v>351</v>
      </c>
      <c r="G19" s="236">
        <v>7</v>
      </c>
      <c r="H19" s="237"/>
      <c r="I19" s="237" t="s">
        <v>31</v>
      </c>
      <c r="J19" s="241">
        <v>50</v>
      </c>
      <c r="K19" s="243" t="s">
        <v>31</v>
      </c>
      <c r="L19" s="243" t="s">
        <v>31</v>
      </c>
      <c r="M19" s="241">
        <v>301</v>
      </c>
      <c r="N19" s="236">
        <v>61</v>
      </c>
      <c r="P19" s="240"/>
      <c r="Q19" s="242" t="s">
        <v>44</v>
      </c>
      <c r="R19" s="237" t="s">
        <v>31</v>
      </c>
      <c r="S19" s="237"/>
      <c r="T19" s="237" t="s">
        <v>31</v>
      </c>
      <c r="U19" s="236">
        <v>117</v>
      </c>
      <c r="V19" s="236" t="s">
        <v>35</v>
      </c>
      <c r="W19" s="237"/>
      <c r="X19" s="237" t="s">
        <v>31</v>
      </c>
      <c r="Y19" s="241">
        <v>-5</v>
      </c>
      <c r="Z19" s="243" t="s">
        <v>31</v>
      </c>
      <c r="AA19" s="243" t="s">
        <v>31</v>
      </c>
      <c r="AB19" s="241">
        <v>122</v>
      </c>
      <c r="AC19" s="236">
        <v>11</v>
      </c>
    </row>
    <row r="20" spans="1:29" ht="24.75" thickBot="1" x14ac:dyDescent="0.3">
      <c r="A20" s="240"/>
      <c r="B20" s="234" t="s">
        <v>45</v>
      </c>
      <c r="C20" s="237" t="s">
        <v>31</v>
      </c>
      <c r="D20" s="235">
        <v>-47500</v>
      </c>
      <c r="E20" s="258">
        <v>510454</v>
      </c>
      <c r="F20" s="259" t="s">
        <v>31</v>
      </c>
      <c r="G20" s="235">
        <v>390451</v>
      </c>
      <c r="H20" s="237"/>
      <c r="I20" s="235">
        <v>72862</v>
      </c>
      <c r="J20" s="238">
        <v>-5840</v>
      </c>
      <c r="K20" s="238">
        <v>615914</v>
      </c>
      <c r="L20" s="238">
        <v>196936</v>
      </c>
      <c r="M20" s="238">
        <v>119257</v>
      </c>
      <c r="N20" s="235">
        <v>333975</v>
      </c>
      <c r="P20" s="240"/>
      <c r="Q20" s="234" t="s">
        <v>45</v>
      </c>
      <c r="R20" s="237" t="s">
        <v>31</v>
      </c>
      <c r="S20" s="235">
        <v>-43328</v>
      </c>
      <c r="T20" s="235">
        <v>480304</v>
      </c>
      <c r="U20" s="237" t="s">
        <v>31</v>
      </c>
      <c r="V20" s="235">
        <v>438138</v>
      </c>
      <c r="W20" s="237"/>
      <c r="X20" s="235">
        <v>82855</v>
      </c>
      <c r="Y20" s="238">
        <v>14677</v>
      </c>
      <c r="Z20" s="238">
        <v>665106</v>
      </c>
      <c r="AA20" s="238">
        <v>180643</v>
      </c>
      <c r="AB20" s="238">
        <v>97544</v>
      </c>
      <c r="AC20" s="235">
        <v>339815</v>
      </c>
    </row>
    <row r="21" spans="1:29" ht="72.75" thickBot="1" x14ac:dyDescent="0.3">
      <c r="A21" s="240"/>
      <c r="B21" s="242" t="s">
        <v>46</v>
      </c>
      <c r="C21" s="237" t="s">
        <v>31</v>
      </c>
      <c r="D21" s="237"/>
      <c r="E21" s="258">
        <v>510459</v>
      </c>
      <c r="F21" s="259" t="s">
        <v>31</v>
      </c>
      <c r="G21" s="235">
        <v>22625</v>
      </c>
      <c r="H21" s="237"/>
      <c r="I21" s="235">
        <v>69549</v>
      </c>
      <c r="J21" s="238">
        <v>1891</v>
      </c>
      <c r="K21" s="238">
        <v>430753</v>
      </c>
      <c r="L21" s="238">
        <v>50526</v>
      </c>
      <c r="M21" s="238">
        <v>119462</v>
      </c>
      <c r="N21" s="235">
        <v>35008</v>
      </c>
      <c r="P21" s="240"/>
      <c r="Q21" s="242" t="s">
        <v>46</v>
      </c>
      <c r="R21" s="237" t="s">
        <v>31</v>
      </c>
      <c r="S21" s="237"/>
      <c r="T21" s="235">
        <v>480311</v>
      </c>
      <c r="U21" s="237" t="s">
        <v>31</v>
      </c>
      <c r="V21" s="235">
        <v>21300</v>
      </c>
      <c r="W21" s="237"/>
      <c r="X21" s="235">
        <v>68527</v>
      </c>
      <c r="Y21" s="238">
        <v>1567</v>
      </c>
      <c r="Z21" s="238">
        <v>431186</v>
      </c>
      <c r="AA21" s="238">
        <v>39714</v>
      </c>
      <c r="AB21" s="238">
        <v>97672</v>
      </c>
      <c r="AC21" s="235">
        <v>33117</v>
      </c>
    </row>
    <row r="22" spans="1:29" ht="15.75" thickBot="1" x14ac:dyDescent="0.3">
      <c r="A22" s="240"/>
      <c r="B22" s="242" t="s">
        <v>47</v>
      </c>
      <c r="C22" s="237" t="s">
        <v>31</v>
      </c>
      <c r="D22" s="237"/>
      <c r="E22" s="259" t="s">
        <v>31</v>
      </c>
      <c r="F22" s="259" t="s">
        <v>31</v>
      </c>
      <c r="G22" s="237"/>
      <c r="H22" s="237"/>
      <c r="I22" s="235">
        <v>80466</v>
      </c>
      <c r="J22" s="243" t="s">
        <v>31</v>
      </c>
      <c r="K22" s="238">
        <v>80466</v>
      </c>
      <c r="L22" s="243"/>
      <c r="M22" s="241">
        <v>0</v>
      </c>
      <c r="N22" s="237" t="s">
        <v>31</v>
      </c>
      <c r="P22" s="240"/>
      <c r="Q22" s="242" t="s">
        <v>47</v>
      </c>
      <c r="R22" s="237" t="s">
        <v>31</v>
      </c>
      <c r="S22" s="237"/>
      <c r="T22" s="237" t="s">
        <v>31</v>
      </c>
      <c r="U22" s="237" t="s">
        <v>31</v>
      </c>
      <c r="V22" s="237"/>
      <c r="W22" s="237"/>
      <c r="X22" s="235">
        <v>80303</v>
      </c>
      <c r="Y22" s="243" t="s">
        <v>31</v>
      </c>
      <c r="Z22" s="238">
        <v>80303</v>
      </c>
      <c r="AA22" s="243"/>
      <c r="AB22" s="241">
        <v>0</v>
      </c>
      <c r="AC22" s="237" t="s">
        <v>31</v>
      </c>
    </row>
    <row r="23" spans="1:29" ht="36.75" thickBot="1" x14ac:dyDescent="0.3">
      <c r="A23" s="240"/>
      <c r="B23" s="242" t="s">
        <v>48</v>
      </c>
      <c r="C23" s="237" t="s">
        <v>31</v>
      </c>
      <c r="D23" s="237"/>
      <c r="E23" s="260" t="s">
        <v>474</v>
      </c>
      <c r="F23" s="259" t="s">
        <v>31</v>
      </c>
      <c r="G23" s="236" t="s">
        <v>474</v>
      </c>
      <c r="H23" s="237"/>
      <c r="I23" s="236" t="s">
        <v>474</v>
      </c>
      <c r="J23" s="241" t="s">
        <v>474</v>
      </c>
      <c r="K23" s="241" t="s">
        <v>474</v>
      </c>
      <c r="L23" s="241" t="s">
        <v>474</v>
      </c>
      <c r="M23" s="241" t="s">
        <v>35</v>
      </c>
      <c r="N23" s="236" t="s">
        <v>474</v>
      </c>
      <c r="P23" s="240"/>
      <c r="Q23" s="242" t="s">
        <v>48</v>
      </c>
      <c r="R23" s="237" t="s">
        <v>31</v>
      </c>
      <c r="S23" s="237"/>
      <c r="T23" s="236" t="s">
        <v>474</v>
      </c>
      <c r="U23" s="237" t="s">
        <v>31</v>
      </c>
      <c r="V23" s="236" t="s">
        <v>474</v>
      </c>
      <c r="W23" s="237"/>
      <c r="X23" s="236" t="s">
        <v>474</v>
      </c>
      <c r="Y23" s="241" t="s">
        <v>474</v>
      </c>
      <c r="Z23" s="241" t="s">
        <v>474</v>
      </c>
      <c r="AA23" s="241" t="s">
        <v>474</v>
      </c>
      <c r="AB23" s="241" t="s">
        <v>35</v>
      </c>
      <c r="AC23" s="236" t="s">
        <v>474</v>
      </c>
    </row>
    <row r="24" spans="1:29" ht="36.75" thickBot="1" x14ac:dyDescent="0.3">
      <c r="A24" s="240"/>
      <c r="B24" s="242" t="s">
        <v>722</v>
      </c>
      <c r="C24" s="237" t="s">
        <v>31</v>
      </c>
      <c r="D24" s="237"/>
      <c r="E24" s="258">
        <v>510459</v>
      </c>
      <c r="F24" s="259" t="s">
        <v>31</v>
      </c>
      <c r="G24" s="235">
        <v>22625</v>
      </c>
      <c r="H24" s="237"/>
      <c r="I24" s="235">
        <v>-11037</v>
      </c>
      <c r="J24" s="238">
        <v>1889</v>
      </c>
      <c r="K24" s="238">
        <v>350169</v>
      </c>
      <c r="L24" s="238">
        <v>50526</v>
      </c>
      <c r="M24" s="238">
        <v>119462</v>
      </c>
      <c r="N24" s="235">
        <v>34993</v>
      </c>
      <c r="P24" s="240"/>
      <c r="Q24" s="242" t="s">
        <v>722</v>
      </c>
      <c r="R24" s="237" t="s">
        <v>31</v>
      </c>
      <c r="S24" s="237"/>
      <c r="T24" s="235">
        <v>480311</v>
      </c>
      <c r="U24" s="237" t="s">
        <v>31</v>
      </c>
      <c r="V24" s="235">
        <v>21300</v>
      </c>
      <c r="W24" s="237"/>
      <c r="X24" s="235">
        <v>-11924</v>
      </c>
      <c r="Y24" s="238">
        <v>1564</v>
      </c>
      <c r="Z24" s="238">
        <v>350738</v>
      </c>
      <c r="AA24" s="238">
        <v>39714</v>
      </c>
      <c r="AB24" s="238">
        <v>97672</v>
      </c>
      <c r="AC24" s="235">
        <v>33104</v>
      </c>
    </row>
    <row r="25" spans="1:29" ht="24.75" thickBot="1" x14ac:dyDescent="0.3">
      <c r="A25" s="240"/>
      <c r="B25" s="242" t="s">
        <v>50</v>
      </c>
      <c r="C25" s="237" t="s">
        <v>31</v>
      </c>
      <c r="D25" s="237"/>
      <c r="E25" s="258">
        <v>386316</v>
      </c>
      <c r="F25" s="259" t="s">
        <v>31</v>
      </c>
      <c r="G25" s="236" t="s">
        <v>35</v>
      </c>
      <c r="H25" s="237"/>
      <c r="I25" s="235">
        <v>-11037</v>
      </c>
      <c r="J25" s="241">
        <v>920</v>
      </c>
      <c r="K25" s="238">
        <v>328136</v>
      </c>
      <c r="L25" s="238">
        <v>46223</v>
      </c>
      <c r="M25" s="241">
        <v>0</v>
      </c>
      <c r="N25" s="235">
        <v>24418</v>
      </c>
      <c r="P25" s="240"/>
      <c r="Q25" s="242" t="s">
        <v>50</v>
      </c>
      <c r="R25" s="237" t="s">
        <v>31</v>
      </c>
      <c r="S25" s="237"/>
      <c r="T25" s="235">
        <v>370957</v>
      </c>
      <c r="U25" s="237" t="s">
        <v>31</v>
      </c>
      <c r="V25" s="236">
        <v>649</v>
      </c>
      <c r="W25" s="237"/>
      <c r="X25" s="235">
        <v>-11924</v>
      </c>
      <c r="Y25" s="241">
        <v>-747</v>
      </c>
      <c r="Z25" s="238">
        <v>326884</v>
      </c>
      <c r="AA25" s="238">
        <v>33544</v>
      </c>
      <c r="AB25" s="241">
        <v>0</v>
      </c>
      <c r="AC25" s="235">
        <v>23498</v>
      </c>
    </row>
    <row r="26" spans="1:29" ht="36.75" thickBot="1" x14ac:dyDescent="0.3">
      <c r="A26" s="240"/>
      <c r="B26" s="242" t="s">
        <v>723</v>
      </c>
      <c r="C26" s="237" t="s">
        <v>31</v>
      </c>
      <c r="D26" s="237"/>
      <c r="E26" s="258">
        <v>124142</v>
      </c>
      <c r="F26" s="259" t="s">
        <v>31</v>
      </c>
      <c r="G26" s="235">
        <v>22625</v>
      </c>
      <c r="H26" s="237"/>
      <c r="I26" s="236" t="s">
        <v>474</v>
      </c>
      <c r="J26" s="241">
        <v>969</v>
      </c>
      <c r="K26" s="238">
        <v>22033</v>
      </c>
      <c r="L26" s="238">
        <v>4303</v>
      </c>
      <c r="M26" s="238">
        <v>119462</v>
      </c>
      <c r="N26" s="235">
        <v>10575</v>
      </c>
      <c r="P26" s="240"/>
      <c r="Q26" s="242" t="s">
        <v>723</v>
      </c>
      <c r="R26" s="237" t="s">
        <v>31</v>
      </c>
      <c r="S26" s="237"/>
      <c r="T26" s="235">
        <v>109354</v>
      </c>
      <c r="U26" s="237" t="s">
        <v>31</v>
      </c>
      <c r="V26" s="235">
        <v>20651</v>
      </c>
      <c r="W26" s="237"/>
      <c r="X26" s="236" t="s">
        <v>474</v>
      </c>
      <c r="Y26" s="238">
        <v>2310</v>
      </c>
      <c r="Z26" s="238">
        <v>23854</v>
      </c>
      <c r="AA26" s="238">
        <v>6169</v>
      </c>
      <c r="AB26" s="238">
        <v>97672</v>
      </c>
      <c r="AC26" s="235">
        <v>9606</v>
      </c>
    </row>
    <row r="27" spans="1:29" ht="15.75" thickBot="1" x14ac:dyDescent="0.3">
      <c r="A27" s="240"/>
      <c r="B27" s="242" t="s">
        <v>724</v>
      </c>
      <c r="C27" s="237" t="s">
        <v>31</v>
      </c>
      <c r="D27" s="237"/>
      <c r="E27" s="258">
        <v>39795</v>
      </c>
      <c r="F27" s="259" t="s">
        <v>31</v>
      </c>
      <c r="G27" s="235">
        <v>10231</v>
      </c>
      <c r="H27" s="237"/>
      <c r="I27" s="236" t="s">
        <v>35</v>
      </c>
      <c r="J27" s="241">
        <v>-258</v>
      </c>
      <c r="K27" s="238">
        <v>16089</v>
      </c>
      <c r="L27" s="238">
        <v>4303</v>
      </c>
      <c r="M27" s="238">
        <v>29893</v>
      </c>
      <c r="N27" s="235">
        <v>3555</v>
      </c>
      <c r="P27" s="240"/>
      <c r="Q27" s="242" t="s">
        <v>724</v>
      </c>
      <c r="R27" s="237" t="s">
        <v>31</v>
      </c>
      <c r="S27" s="237"/>
      <c r="T27" s="235">
        <v>40401</v>
      </c>
      <c r="U27" s="237" t="s">
        <v>31</v>
      </c>
      <c r="V27" s="235">
        <v>11929</v>
      </c>
      <c r="W27" s="237"/>
      <c r="X27" s="236" t="s">
        <v>35</v>
      </c>
      <c r="Y27" s="241">
        <v>206</v>
      </c>
      <c r="Z27" s="238">
        <v>16977</v>
      </c>
      <c r="AA27" s="238">
        <v>6169</v>
      </c>
      <c r="AB27" s="238">
        <v>28978</v>
      </c>
      <c r="AC27" s="235">
        <v>3813</v>
      </c>
    </row>
    <row r="28" spans="1:29" ht="24.75" thickBot="1" x14ac:dyDescent="0.3">
      <c r="A28" s="240"/>
      <c r="B28" s="242" t="s">
        <v>725</v>
      </c>
      <c r="C28" s="237" t="s">
        <v>31</v>
      </c>
      <c r="D28" s="237"/>
      <c r="E28" s="258">
        <v>76054</v>
      </c>
      <c r="F28" s="259" t="s">
        <v>31</v>
      </c>
      <c r="G28" s="235">
        <v>12394</v>
      </c>
      <c r="H28" s="237"/>
      <c r="I28" s="236" t="s">
        <v>35</v>
      </c>
      <c r="J28" s="238">
        <v>1053</v>
      </c>
      <c r="K28" s="238">
        <v>4037</v>
      </c>
      <c r="L28" s="241" t="s">
        <v>69</v>
      </c>
      <c r="M28" s="238">
        <v>83358</v>
      </c>
      <c r="N28" s="235">
        <v>6531</v>
      </c>
      <c r="P28" s="240"/>
      <c r="Q28" s="242" t="s">
        <v>725</v>
      </c>
      <c r="R28" s="237" t="s">
        <v>31</v>
      </c>
      <c r="S28" s="237"/>
      <c r="T28" s="235">
        <v>61895</v>
      </c>
      <c r="U28" s="237" t="s">
        <v>31</v>
      </c>
      <c r="V28" s="235">
        <v>8622</v>
      </c>
      <c r="W28" s="237"/>
      <c r="X28" s="236" t="s">
        <v>35</v>
      </c>
      <c r="Y28" s="238">
        <v>2072</v>
      </c>
      <c r="Z28" s="238">
        <v>4372</v>
      </c>
      <c r="AA28" s="241" t="s">
        <v>69</v>
      </c>
      <c r="AB28" s="238">
        <v>64073</v>
      </c>
      <c r="AC28" s="235">
        <v>5478</v>
      </c>
    </row>
    <row r="29" spans="1:29" ht="24.75" thickBot="1" x14ac:dyDescent="0.3">
      <c r="A29" s="240"/>
      <c r="B29" s="242" t="s">
        <v>726</v>
      </c>
      <c r="C29" s="237" t="s">
        <v>31</v>
      </c>
      <c r="D29" s="237"/>
      <c r="E29" s="258">
        <v>8293</v>
      </c>
      <c r="F29" s="259" t="s">
        <v>31</v>
      </c>
      <c r="G29" s="236" t="s">
        <v>35</v>
      </c>
      <c r="H29" s="237"/>
      <c r="I29" s="236" t="s">
        <v>35</v>
      </c>
      <c r="J29" s="241">
        <v>174</v>
      </c>
      <c r="K29" s="238">
        <v>1907</v>
      </c>
      <c r="L29" s="241" t="s">
        <v>69</v>
      </c>
      <c r="M29" s="238">
        <v>6211</v>
      </c>
      <c r="N29" s="236">
        <v>489</v>
      </c>
      <c r="P29" s="240"/>
      <c r="Q29" s="242" t="s">
        <v>726</v>
      </c>
      <c r="R29" s="237" t="s">
        <v>31</v>
      </c>
      <c r="S29" s="237"/>
      <c r="T29" s="235">
        <v>7058</v>
      </c>
      <c r="U29" s="237" t="s">
        <v>31</v>
      </c>
      <c r="V29" s="236">
        <v>100</v>
      </c>
      <c r="W29" s="237"/>
      <c r="X29" s="236" t="s">
        <v>35</v>
      </c>
      <c r="Y29" s="241">
        <v>32</v>
      </c>
      <c r="Z29" s="238">
        <v>2505</v>
      </c>
      <c r="AA29" s="241" t="s">
        <v>69</v>
      </c>
      <c r="AB29" s="238">
        <v>4621</v>
      </c>
      <c r="AC29" s="236">
        <v>314</v>
      </c>
    </row>
    <row r="30" spans="1:29" ht="36.75" thickBot="1" x14ac:dyDescent="0.3">
      <c r="A30" s="240"/>
      <c r="B30" s="242" t="s">
        <v>52</v>
      </c>
      <c r="C30" s="237" t="s">
        <v>31</v>
      </c>
      <c r="D30" s="237"/>
      <c r="E30" s="259" t="s">
        <v>31</v>
      </c>
      <c r="F30" s="259" t="s">
        <v>31</v>
      </c>
      <c r="G30" s="236" t="s">
        <v>35</v>
      </c>
      <c r="H30" s="237"/>
      <c r="I30" s="236">
        <v>120</v>
      </c>
      <c r="J30" s="241">
        <v>2</v>
      </c>
      <c r="K30" s="241">
        <v>118</v>
      </c>
      <c r="L30" s="243"/>
      <c r="M30" s="241">
        <v>0</v>
      </c>
      <c r="N30" s="236">
        <v>15</v>
      </c>
      <c r="P30" s="240"/>
      <c r="Q30" s="242" t="s">
        <v>52</v>
      </c>
      <c r="R30" s="237" t="s">
        <v>31</v>
      </c>
      <c r="S30" s="237"/>
      <c r="T30" s="237" t="s">
        <v>31</v>
      </c>
      <c r="U30" s="237" t="s">
        <v>31</v>
      </c>
      <c r="V30" s="236">
        <v>0</v>
      </c>
      <c r="W30" s="237"/>
      <c r="X30" s="236">
        <v>148</v>
      </c>
      <c r="Y30" s="241">
        <v>3</v>
      </c>
      <c r="Z30" s="241">
        <v>145</v>
      </c>
      <c r="AA30" s="243"/>
      <c r="AB30" s="241">
        <v>0</v>
      </c>
      <c r="AC30" s="236">
        <v>13</v>
      </c>
    </row>
    <row r="31" spans="1:29" ht="24.75" thickBot="1" x14ac:dyDescent="0.3">
      <c r="A31" s="240"/>
      <c r="B31" s="242" t="s">
        <v>53</v>
      </c>
      <c r="C31" s="237" t="s">
        <v>31</v>
      </c>
      <c r="D31" s="235">
        <v>-47500</v>
      </c>
      <c r="E31" s="259" t="s">
        <v>31</v>
      </c>
      <c r="F31" s="259" t="s">
        <v>31</v>
      </c>
      <c r="G31" s="235">
        <v>163638</v>
      </c>
      <c r="H31" s="237"/>
      <c r="I31" s="237" t="s">
        <v>31</v>
      </c>
      <c r="J31" s="238">
        <v>-7656</v>
      </c>
      <c r="K31" s="238">
        <v>5556</v>
      </c>
      <c r="L31" s="238">
        <v>118238</v>
      </c>
      <c r="M31" s="241">
        <v>0</v>
      </c>
      <c r="N31" s="235">
        <v>76522</v>
      </c>
      <c r="P31" s="240"/>
      <c r="Q31" s="242" t="s">
        <v>53</v>
      </c>
      <c r="R31" s="237" t="s">
        <v>31</v>
      </c>
      <c r="S31" s="235">
        <v>-43328</v>
      </c>
      <c r="T31" s="237" t="s">
        <v>31</v>
      </c>
      <c r="U31" s="237" t="s">
        <v>31</v>
      </c>
      <c r="V31" s="235">
        <v>195833</v>
      </c>
      <c r="W31" s="237"/>
      <c r="X31" s="237" t="s">
        <v>31</v>
      </c>
      <c r="Y31" s="238">
        <v>-2204</v>
      </c>
      <c r="Z31" s="238">
        <v>44691</v>
      </c>
      <c r="AA31" s="238">
        <v>110018</v>
      </c>
      <c r="AB31" s="241">
        <v>0</v>
      </c>
      <c r="AC31" s="235">
        <v>84178</v>
      </c>
    </row>
    <row r="32" spans="1:29" ht="48.75" thickBot="1" x14ac:dyDescent="0.3">
      <c r="A32" s="240"/>
      <c r="B32" s="242" t="s">
        <v>54</v>
      </c>
      <c r="C32" s="237" t="s">
        <v>31</v>
      </c>
      <c r="D32" s="237"/>
      <c r="E32" s="260">
        <v>-5</v>
      </c>
      <c r="F32" s="259" t="s">
        <v>31</v>
      </c>
      <c r="G32" s="235">
        <v>204188</v>
      </c>
      <c r="H32" s="237"/>
      <c r="I32" s="235">
        <v>3314</v>
      </c>
      <c r="J32" s="241">
        <v>-85</v>
      </c>
      <c r="K32" s="238">
        <v>179410</v>
      </c>
      <c r="L32" s="238">
        <v>28172</v>
      </c>
      <c r="M32" s="241">
        <v>0</v>
      </c>
      <c r="N32" s="235">
        <v>222405</v>
      </c>
      <c r="P32" s="240"/>
      <c r="Q32" s="242" t="s">
        <v>54</v>
      </c>
      <c r="R32" s="237" t="s">
        <v>31</v>
      </c>
      <c r="S32" s="237"/>
      <c r="T32" s="236">
        <v>-8</v>
      </c>
      <c r="U32" s="237" t="s">
        <v>31</v>
      </c>
      <c r="V32" s="235">
        <v>220997</v>
      </c>
      <c r="W32" s="237"/>
      <c r="X32" s="235">
        <v>14329</v>
      </c>
      <c r="Y32" s="238">
        <v>15318</v>
      </c>
      <c r="Z32" s="238">
        <v>189090</v>
      </c>
      <c r="AA32" s="238">
        <v>30911</v>
      </c>
      <c r="AB32" s="241">
        <v>0</v>
      </c>
      <c r="AC32" s="235">
        <v>222490</v>
      </c>
    </row>
    <row r="33" spans="1:29" ht="24.75" thickBot="1" x14ac:dyDescent="0.3">
      <c r="A33" s="240"/>
      <c r="B33" s="242" t="s">
        <v>55</v>
      </c>
      <c r="C33" s="237" t="s">
        <v>31</v>
      </c>
      <c r="D33" s="237"/>
      <c r="E33" s="260">
        <v>-1</v>
      </c>
      <c r="F33" s="259" t="s">
        <v>31</v>
      </c>
      <c r="G33" s="235">
        <v>56108</v>
      </c>
      <c r="H33" s="237"/>
      <c r="I33" s="235">
        <v>132745</v>
      </c>
      <c r="J33" s="238">
        <v>1456</v>
      </c>
      <c r="K33" s="238">
        <v>187319</v>
      </c>
      <c r="L33" s="241">
        <v>77</v>
      </c>
      <c r="M33" s="241">
        <v>0</v>
      </c>
      <c r="N33" s="235">
        <v>51987</v>
      </c>
      <c r="P33" s="240"/>
      <c r="Q33" s="242" t="s">
        <v>55</v>
      </c>
      <c r="R33" s="237" t="s">
        <v>31</v>
      </c>
      <c r="S33" s="237"/>
      <c r="T33" s="236">
        <v>-1</v>
      </c>
      <c r="U33" s="237" t="s">
        <v>31</v>
      </c>
      <c r="V33" s="235">
        <v>51342</v>
      </c>
      <c r="W33" s="237"/>
      <c r="X33" s="235">
        <v>106271</v>
      </c>
      <c r="Y33" s="238">
        <v>2759</v>
      </c>
      <c r="Z33" s="238">
        <v>154511</v>
      </c>
      <c r="AA33" s="241">
        <v>341</v>
      </c>
      <c r="AB33" s="241">
        <v>0</v>
      </c>
      <c r="AC33" s="235">
        <v>50531</v>
      </c>
    </row>
    <row r="34" spans="1:29" ht="24.75" thickBot="1" x14ac:dyDescent="0.3">
      <c r="A34" s="240"/>
      <c r="B34" s="242" t="s">
        <v>56</v>
      </c>
      <c r="C34" s="237" t="s">
        <v>31</v>
      </c>
      <c r="D34" s="237"/>
      <c r="E34" s="260">
        <v>-5</v>
      </c>
      <c r="F34" s="259" t="s">
        <v>31</v>
      </c>
      <c r="G34" s="235">
        <v>148080</v>
      </c>
      <c r="H34" s="237"/>
      <c r="I34" s="235">
        <v>-129431</v>
      </c>
      <c r="J34" s="238">
        <v>-1541</v>
      </c>
      <c r="K34" s="238">
        <v>-7909</v>
      </c>
      <c r="L34" s="238">
        <v>28095</v>
      </c>
      <c r="M34" s="241">
        <v>0</v>
      </c>
      <c r="N34" s="235">
        <v>170417</v>
      </c>
      <c r="P34" s="240"/>
      <c r="Q34" s="242" t="s">
        <v>56</v>
      </c>
      <c r="R34" s="237" t="s">
        <v>31</v>
      </c>
      <c r="S34" s="237"/>
      <c r="T34" s="236">
        <v>-7</v>
      </c>
      <c r="U34" s="237" t="s">
        <v>31</v>
      </c>
      <c r="V34" s="235">
        <v>169655</v>
      </c>
      <c r="W34" s="237"/>
      <c r="X34" s="235">
        <v>-91942</v>
      </c>
      <c r="Y34" s="238">
        <v>12558</v>
      </c>
      <c r="Z34" s="238">
        <v>34579</v>
      </c>
      <c r="AA34" s="238">
        <v>30570</v>
      </c>
      <c r="AB34" s="241">
        <v>0</v>
      </c>
      <c r="AC34" s="235">
        <v>171959</v>
      </c>
    </row>
    <row r="35" spans="1:29" ht="48.75" thickBot="1" x14ac:dyDescent="0.3">
      <c r="A35" s="240"/>
      <c r="B35" s="242" t="s">
        <v>57</v>
      </c>
      <c r="C35" s="237" t="s">
        <v>31</v>
      </c>
      <c r="D35" s="237"/>
      <c r="E35" s="259" t="s">
        <v>31</v>
      </c>
      <c r="F35" s="259" t="s">
        <v>31</v>
      </c>
      <c r="G35" s="236" t="s">
        <v>35</v>
      </c>
      <c r="H35" s="237"/>
      <c r="I35" s="237" t="s">
        <v>31</v>
      </c>
      <c r="J35" s="241">
        <v>10</v>
      </c>
      <c r="K35" s="241">
        <v>195</v>
      </c>
      <c r="L35" s="241" t="s">
        <v>35</v>
      </c>
      <c r="M35" s="241">
        <v>-205</v>
      </c>
      <c r="N35" s="236">
        <v>40</v>
      </c>
      <c r="P35" s="240"/>
      <c r="Q35" s="242" t="s">
        <v>57</v>
      </c>
      <c r="R35" s="237" t="s">
        <v>31</v>
      </c>
      <c r="S35" s="237"/>
      <c r="T35" s="237" t="s">
        <v>31</v>
      </c>
      <c r="U35" s="237" t="s">
        <v>31</v>
      </c>
      <c r="V35" s="236">
        <v>8</v>
      </c>
      <c r="W35" s="237"/>
      <c r="X35" s="237" t="s">
        <v>31</v>
      </c>
      <c r="Y35" s="241">
        <v>-3</v>
      </c>
      <c r="Z35" s="241">
        <v>139</v>
      </c>
      <c r="AA35" s="241" t="s">
        <v>35</v>
      </c>
      <c r="AB35" s="241">
        <v>-128</v>
      </c>
      <c r="AC35" s="236">
        <v>30</v>
      </c>
    </row>
    <row r="36" spans="1:29" ht="36.75" thickBot="1" x14ac:dyDescent="0.3">
      <c r="A36" s="240"/>
      <c r="B36" s="234" t="s">
        <v>58</v>
      </c>
      <c r="C36" s="237" t="s">
        <v>31</v>
      </c>
      <c r="D36" s="237"/>
      <c r="E36" s="258">
        <v>2711</v>
      </c>
      <c r="F36" s="258">
        <v>6934051</v>
      </c>
      <c r="G36" s="235">
        <v>221963</v>
      </c>
      <c r="H36" s="237"/>
      <c r="I36" s="235">
        <v>7724</v>
      </c>
      <c r="J36" s="238">
        <v>1262</v>
      </c>
      <c r="K36" s="243" t="s">
        <v>31</v>
      </c>
      <c r="L36" s="238">
        <v>1164048</v>
      </c>
      <c r="M36" s="238">
        <v>6001139</v>
      </c>
      <c r="N36" s="235">
        <v>263076</v>
      </c>
      <c r="P36" s="240"/>
      <c r="Q36" s="234" t="s">
        <v>58</v>
      </c>
      <c r="R36" s="237" t="s">
        <v>31</v>
      </c>
      <c r="S36" s="237"/>
      <c r="T36" s="235">
        <v>2493</v>
      </c>
      <c r="U36" s="235">
        <v>6872159</v>
      </c>
      <c r="V36" s="235">
        <v>243793</v>
      </c>
      <c r="W36" s="237"/>
      <c r="X36" s="235">
        <v>-2404</v>
      </c>
      <c r="Y36" s="238">
        <v>5611</v>
      </c>
      <c r="Z36" s="243" t="s">
        <v>31</v>
      </c>
      <c r="AA36" s="238">
        <v>1086739</v>
      </c>
      <c r="AB36" s="238">
        <v>6023690</v>
      </c>
      <c r="AC36" s="235">
        <v>261814</v>
      </c>
    </row>
    <row r="37" spans="1:29" ht="36.75" thickBot="1" x14ac:dyDescent="0.3">
      <c r="A37" s="240"/>
      <c r="B37" s="242" t="s">
        <v>59</v>
      </c>
      <c r="C37" s="237" t="s">
        <v>31</v>
      </c>
      <c r="D37" s="237"/>
      <c r="E37" s="258">
        <v>2423</v>
      </c>
      <c r="F37" s="258">
        <v>3520823</v>
      </c>
      <c r="G37" s="235">
        <v>39911</v>
      </c>
      <c r="H37" s="237"/>
      <c r="I37" s="235">
        <v>7724</v>
      </c>
      <c r="J37" s="238">
        <v>-2415</v>
      </c>
      <c r="K37" s="243" t="s">
        <v>31</v>
      </c>
      <c r="L37" s="238">
        <v>291546</v>
      </c>
      <c r="M37" s="238">
        <v>3281750</v>
      </c>
      <c r="N37" s="235">
        <v>15812</v>
      </c>
      <c r="P37" s="240"/>
      <c r="Q37" s="242" t="s">
        <v>59</v>
      </c>
      <c r="R37" s="237" t="s">
        <v>31</v>
      </c>
      <c r="S37" s="237"/>
      <c r="T37" s="235">
        <v>2426</v>
      </c>
      <c r="U37" s="235">
        <v>3520819</v>
      </c>
      <c r="V37" s="235">
        <v>43048</v>
      </c>
      <c r="W37" s="237"/>
      <c r="X37" s="235">
        <v>-2404</v>
      </c>
      <c r="Y37" s="241">
        <v>989</v>
      </c>
      <c r="Z37" s="243" t="s">
        <v>31</v>
      </c>
      <c r="AA37" s="238">
        <v>297981</v>
      </c>
      <c r="AB37" s="238">
        <v>3264918</v>
      </c>
      <c r="AC37" s="235">
        <v>18227</v>
      </c>
    </row>
    <row r="38" spans="1:29" ht="24.75" thickBot="1" x14ac:dyDescent="0.3">
      <c r="A38" s="240"/>
      <c r="B38" s="242" t="s">
        <v>55</v>
      </c>
      <c r="C38" s="237" t="s">
        <v>31</v>
      </c>
      <c r="D38" s="237"/>
      <c r="E38" s="259"/>
      <c r="F38" s="258">
        <v>1112341</v>
      </c>
      <c r="G38" s="236" t="s">
        <v>35</v>
      </c>
      <c r="H38" s="237"/>
      <c r="I38" s="235">
        <v>-99601</v>
      </c>
      <c r="J38" s="241">
        <v>-1</v>
      </c>
      <c r="K38" s="243" t="s">
        <v>31</v>
      </c>
      <c r="L38" s="241" t="s">
        <v>35</v>
      </c>
      <c r="M38" s="238">
        <v>1012741</v>
      </c>
      <c r="N38" s="236">
        <v>21</v>
      </c>
      <c r="P38" s="240"/>
      <c r="Q38" s="242" t="s">
        <v>55</v>
      </c>
      <c r="R38" s="237" t="s">
        <v>31</v>
      </c>
      <c r="S38" s="237"/>
      <c r="T38" s="237"/>
      <c r="U38" s="235">
        <v>1090121</v>
      </c>
      <c r="V38" s="236" t="s">
        <v>35</v>
      </c>
      <c r="W38" s="237"/>
      <c r="X38" s="235">
        <v>-88558</v>
      </c>
      <c r="Y38" s="241">
        <v>2</v>
      </c>
      <c r="Z38" s="243" t="s">
        <v>31</v>
      </c>
      <c r="AA38" s="241" t="s">
        <v>35</v>
      </c>
      <c r="AB38" s="238">
        <v>1001561</v>
      </c>
      <c r="AC38" s="236">
        <v>22</v>
      </c>
    </row>
    <row r="39" spans="1:29" ht="24.75" thickBot="1" x14ac:dyDescent="0.3">
      <c r="A39" s="240"/>
      <c r="B39" s="242" t="s">
        <v>56</v>
      </c>
      <c r="C39" s="237" t="s">
        <v>31</v>
      </c>
      <c r="D39" s="237"/>
      <c r="E39" s="258">
        <v>2423</v>
      </c>
      <c r="F39" s="258">
        <v>2408482</v>
      </c>
      <c r="G39" s="235">
        <v>39911</v>
      </c>
      <c r="H39" s="237"/>
      <c r="I39" s="235">
        <v>107325</v>
      </c>
      <c r="J39" s="238">
        <v>-2414</v>
      </c>
      <c r="K39" s="243" t="s">
        <v>31</v>
      </c>
      <c r="L39" s="238">
        <v>291546</v>
      </c>
      <c r="M39" s="238">
        <v>2269009</v>
      </c>
      <c r="N39" s="235">
        <v>15791</v>
      </c>
      <c r="P39" s="240"/>
      <c r="Q39" s="242" t="s">
        <v>56</v>
      </c>
      <c r="R39" s="237" t="s">
        <v>31</v>
      </c>
      <c r="S39" s="237"/>
      <c r="T39" s="235">
        <v>2426</v>
      </c>
      <c r="U39" s="235">
        <v>2430698</v>
      </c>
      <c r="V39" s="235">
        <v>43048</v>
      </c>
      <c r="W39" s="237"/>
      <c r="X39" s="235">
        <v>86154</v>
      </c>
      <c r="Y39" s="241">
        <v>987</v>
      </c>
      <c r="Z39" s="243" t="s">
        <v>31</v>
      </c>
      <c r="AA39" s="238">
        <v>297981</v>
      </c>
      <c r="AB39" s="238">
        <v>2263357</v>
      </c>
      <c r="AC39" s="235">
        <v>18205</v>
      </c>
    </row>
    <row r="40" spans="1:29" ht="36.75" thickBot="1" x14ac:dyDescent="0.3">
      <c r="A40" s="240"/>
      <c r="B40" s="242" t="s">
        <v>60</v>
      </c>
      <c r="C40" s="237" t="s">
        <v>31</v>
      </c>
      <c r="D40" s="237"/>
      <c r="E40" s="259" t="s">
        <v>31</v>
      </c>
      <c r="F40" s="258">
        <v>4448</v>
      </c>
      <c r="G40" s="236">
        <v>322</v>
      </c>
      <c r="H40" s="237"/>
      <c r="I40" s="237" t="s">
        <v>31</v>
      </c>
      <c r="J40" s="241">
        <v>259</v>
      </c>
      <c r="K40" s="243" t="s">
        <v>31</v>
      </c>
      <c r="L40" s="241" t="s">
        <v>35</v>
      </c>
      <c r="M40" s="238">
        <v>4511</v>
      </c>
      <c r="N40" s="235">
        <v>1460</v>
      </c>
      <c r="P40" s="240"/>
      <c r="Q40" s="242" t="s">
        <v>60</v>
      </c>
      <c r="R40" s="237" t="s">
        <v>31</v>
      </c>
      <c r="S40" s="237"/>
      <c r="T40" s="237" t="s">
        <v>31</v>
      </c>
      <c r="U40" s="235">
        <v>3869</v>
      </c>
      <c r="V40" s="236">
        <v>220</v>
      </c>
      <c r="W40" s="237"/>
      <c r="X40" s="237" t="s">
        <v>31</v>
      </c>
      <c r="Y40" s="241">
        <v>-105</v>
      </c>
      <c r="Z40" s="243" t="s">
        <v>31</v>
      </c>
      <c r="AA40" s="241" t="s">
        <v>35</v>
      </c>
      <c r="AB40" s="238">
        <v>4194</v>
      </c>
      <c r="AC40" s="235">
        <v>1201</v>
      </c>
    </row>
    <row r="41" spans="1:29" ht="36.75" thickBot="1" x14ac:dyDescent="0.3">
      <c r="A41" s="240"/>
      <c r="B41" s="242" t="s">
        <v>61</v>
      </c>
      <c r="C41" s="237" t="s">
        <v>31</v>
      </c>
      <c r="D41" s="237"/>
      <c r="E41" s="260">
        <v>303</v>
      </c>
      <c r="F41" s="258">
        <v>660696</v>
      </c>
      <c r="G41" s="235">
        <v>38442</v>
      </c>
      <c r="H41" s="237"/>
      <c r="I41" s="237" t="s">
        <v>31</v>
      </c>
      <c r="J41" s="238">
        <v>3934</v>
      </c>
      <c r="K41" s="243" t="s">
        <v>31</v>
      </c>
      <c r="L41" s="238">
        <v>76907</v>
      </c>
      <c r="M41" s="238">
        <v>618600</v>
      </c>
      <c r="N41" s="235">
        <v>43711</v>
      </c>
      <c r="P41" s="240"/>
      <c r="Q41" s="242" t="s">
        <v>61</v>
      </c>
      <c r="R41" s="237" t="s">
        <v>31</v>
      </c>
      <c r="S41" s="237"/>
      <c r="T41" s="236">
        <v>78</v>
      </c>
      <c r="U41" s="235">
        <v>624763</v>
      </c>
      <c r="V41" s="235">
        <v>46424</v>
      </c>
      <c r="W41" s="237"/>
      <c r="X41" s="237" t="s">
        <v>31</v>
      </c>
      <c r="Y41" s="238">
        <v>4737</v>
      </c>
      <c r="Z41" s="243" t="s">
        <v>31</v>
      </c>
      <c r="AA41" s="238">
        <v>63085</v>
      </c>
      <c r="AB41" s="238">
        <v>603443</v>
      </c>
      <c r="AC41" s="235">
        <v>39776</v>
      </c>
    </row>
    <row r="42" spans="1:29" ht="15.75" thickBot="1" x14ac:dyDescent="0.3">
      <c r="A42" s="240"/>
      <c r="B42" s="242" t="s">
        <v>62</v>
      </c>
      <c r="C42" s="237" t="s">
        <v>31</v>
      </c>
      <c r="D42" s="237"/>
      <c r="E42" s="260" t="s">
        <v>474</v>
      </c>
      <c r="F42" s="258">
        <v>4539</v>
      </c>
      <c r="G42" s="236">
        <v>15</v>
      </c>
      <c r="H42" s="237"/>
      <c r="I42" s="237" t="s">
        <v>31</v>
      </c>
      <c r="J42" s="241">
        <v>-157</v>
      </c>
      <c r="K42" s="243" t="s">
        <v>31</v>
      </c>
      <c r="L42" s="238">
        <v>1953</v>
      </c>
      <c r="M42" s="238">
        <v>2758</v>
      </c>
      <c r="N42" s="235">
        <v>1781</v>
      </c>
      <c r="P42" s="240"/>
      <c r="Q42" s="242" t="s">
        <v>62</v>
      </c>
      <c r="R42" s="237" t="s">
        <v>31</v>
      </c>
      <c r="S42" s="237"/>
      <c r="T42" s="236" t="s">
        <v>474</v>
      </c>
      <c r="U42" s="235">
        <v>4974</v>
      </c>
      <c r="V42" s="236">
        <v>70</v>
      </c>
      <c r="W42" s="237"/>
      <c r="X42" s="237" t="s">
        <v>31</v>
      </c>
      <c r="Y42" s="241">
        <v>-243</v>
      </c>
      <c r="Z42" s="243" t="s">
        <v>31</v>
      </c>
      <c r="AA42" s="238">
        <v>1430</v>
      </c>
      <c r="AB42" s="238">
        <v>3857</v>
      </c>
      <c r="AC42" s="235">
        <v>1938</v>
      </c>
    </row>
    <row r="43" spans="1:29" ht="24.75" thickBot="1" x14ac:dyDescent="0.3">
      <c r="A43" s="240"/>
      <c r="B43" s="242" t="s">
        <v>63</v>
      </c>
      <c r="C43" s="237" t="s">
        <v>31</v>
      </c>
      <c r="D43" s="237"/>
      <c r="E43" s="260">
        <v>-15</v>
      </c>
      <c r="F43" s="258">
        <v>1806606</v>
      </c>
      <c r="G43" s="235">
        <v>53868</v>
      </c>
      <c r="H43" s="237"/>
      <c r="I43" s="236" t="s">
        <v>474</v>
      </c>
      <c r="J43" s="241">
        <v>-65</v>
      </c>
      <c r="K43" s="243" t="s">
        <v>31</v>
      </c>
      <c r="L43" s="238">
        <v>472631</v>
      </c>
      <c r="M43" s="238">
        <v>1387893</v>
      </c>
      <c r="N43" s="235">
        <v>130421</v>
      </c>
      <c r="P43" s="240"/>
      <c r="Q43" s="242" t="s">
        <v>63</v>
      </c>
      <c r="R43" s="237" t="s">
        <v>31</v>
      </c>
      <c r="S43" s="237"/>
      <c r="T43" s="236">
        <v>-11</v>
      </c>
      <c r="U43" s="235">
        <v>1786552</v>
      </c>
      <c r="V43" s="235">
        <v>61797</v>
      </c>
      <c r="W43" s="237"/>
      <c r="X43" s="236" t="s">
        <v>474</v>
      </c>
      <c r="Y43" s="238">
        <v>11587</v>
      </c>
      <c r="Z43" s="243" t="s">
        <v>31</v>
      </c>
      <c r="AA43" s="238">
        <v>407365</v>
      </c>
      <c r="AB43" s="238">
        <v>1429386</v>
      </c>
      <c r="AC43" s="235">
        <v>130486</v>
      </c>
    </row>
    <row r="44" spans="1:29" ht="36.75" thickBot="1" x14ac:dyDescent="0.3">
      <c r="A44" s="240"/>
      <c r="B44" s="242" t="s">
        <v>64</v>
      </c>
      <c r="C44" s="237" t="s">
        <v>31</v>
      </c>
      <c r="D44" s="237"/>
      <c r="E44" s="260">
        <v>-14</v>
      </c>
      <c r="F44" s="258">
        <v>1744279</v>
      </c>
      <c r="G44" s="235">
        <v>52436</v>
      </c>
      <c r="H44" s="237"/>
      <c r="I44" s="236" t="s">
        <v>474</v>
      </c>
      <c r="J44" s="238">
        <v>-1683</v>
      </c>
      <c r="K44" s="243" t="s">
        <v>31</v>
      </c>
      <c r="L44" s="238">
        <v>413451</v>
      </c>
      <c r="M44" s="238">
        <v>1384933</v>
      </c>
      <c r="N44" s="235">
        <v>120526</v>
      </c>
      <c r="P44" s="240"/>
      <c r="Q44" s="242" t="s">
        <v>64</v>
      </c>
      <c r="R44" s="237" t="s">
        <v>31</v>
      </c>
      <c r="S44" s="237"/>
      <c r="T44" s="236">
        <v>-11</v>
      </c>
      <c r="U44" s="235">
        <v>1719062</v>
      </c>
      <c r="V44" s="235">
        <v>61383</v>
      </c>
      <c r="W44" s="237"/>
      <c r="X44" s="236" t="s">
        <v>474</v>
      </c>
      <c r="Y44" s="238">
        <v>13466</v>
      </c>
      <c r="Z44" s="243" t="s">
        <v>31</v>
      </c>
      <c r="AA44" s="238">
        <v>350623</v>
      </c>
      <c r="AB44" s="238">
        <v>1416346</v>
      </c>
      <c r="AC44" s="235">
        <v>122209</v>
      </c>
    </row>
    <row r="45" spans="1:29" ht="36.75" thickBot="1" x14ac:dyDescent="0.3">
      <c r="A45" s="240"/>
      <c r="B45" s="242" t="s">
        <v>65</v>
      </c>
      <c r="C45" s="237" t="s">
        <v>31</v>
      </c>
      <c r="D45" s="237"/>
      <c r="E45" s="260">
        <v>0</v>
      </c>
      <c r="F45" s="258">
        <v>35948</v>
      </c>
      <c r="G45" s="236">
        <v>428</v>
      </c>
      <c r="H45" s="237"/>
      <c r="I45" s="236" t="s">
        <v>474</v>
      </c>
      <c r="J45" s="241">
        <v>376</v>
      </c>
      <c r="K45" s="243" t="s">
        <v>31</v>
      </c>
      <c r="L45" s="238">
        <v>33888</v>
      </c>
      <c r="M45" s="238">
        <v>2112</v>
      </c>
      <c r="N45" s="235">
        <v>2798</v>
      </c>
      <c r="P45" s="240"/>
      <c r="Q45" s="242" t="s">
        <v>65</v>
      </c>
      <c r="R45" s="237" t="s">
        <v>31</v>
      </c>
      <c r="S45" s="237"/>
      <c r="T45" s="236">
        <v>0</v>
      </c>
      <c r="U45" s="235">
        <v>40044</v>
      </c>
      <c r="V45" s="236">
        <v>144</v>
      </c>
      <c r="W45" s="237"/>
      <c r="X45" s="236" t="s">
        <v>474</v>
      </c>
      <c r="Y45" s="241">
        <v>-77</v>
      </c>
      <c r="Z45" s="243" t="s">
        <v>31</v>
      </c>
      <c r="AA45" s="238">
        <v>35346</v>
      </c>
      <c r="AB45" s="238">
        <v>4918</v>
      </c>
      <c r="AC45" s="235">
        <v>2422</v>
      </c>
    </row>
    <row r="46" spans="1:29" ht="36.75" thickBot="1" x14ac:dyDescent="0.3">
      <c r="A46" s="240"/>
      <c r="B46" s="242" t="s">
        <v>66</v>
      </c>
      <c r="C46" s="237" t="s">
        <v>31</v>
      </c>
      <c r="D46" s="237"/>
      <c r="E46" s="260" t="s">
        <v>474</v>
      </c>
      <c r="F46" s="258">
        <v>26379</v>
      </c>
      <c r="G46" s="235">
        <v>1004</v>
      </c>
      <c r="H46" s="237"/>
      <c r="I46" s="237" t="s">
        <v>31</v>
      </c>
      <c r="J46" s="238">
        <v>1242</v>
      </c>
      <c r="K46" s="243" t="s">
        <v>31</v>
      </c>
      <c r="L46" s="238">
        <v>25292</v>
      </c>
      <c r="M46" s="241">
        <v>849</v>
      </c>
      <c r="N46" s="235">
        <v>7097</v>
      </c>
      <c r="P46" s="240"/>
      <c r="Q46" s="242" t="s">
        <v>66</v>
      </c>
      <c r="R46" s="237" t="s">
        <v>31</v>
      </c>
      <c r="S46" s="237"/>
      <c r="T46" s="236" t="s">
        <v>474</v>
      </c>
      <c r="U46" s="235">
        <v>27446</v>
      </c>
      <c r="V46" s="236">
        <v>270</v>
      </c>
      <c r="W46" s="237"/>
      <c r="X46" s="237" t="s">
        <v>31</v>
      </c>
      <c r="Y46" s="238">
        <v>-1802</v>
      </c>
      <c r="Z46" s="243" t="s">
        <v>31</v>
      </c>
      <c r="AA46" s="238">
        <v>21396</v>
      </c>
      <c r="AB46" s="238">
        <v>8122</v>
      </c>
      <c r="AC46" s="235">
        <v>5855</v>
      </c>
    </row>
    <row r="47" spans="1:29" ht="24.75" thickBot="1" x14ac:dyDescent="0.3">
      <c r="A47" s="240"/>
      <c r="B47" s="242" t="s">
        <v>67</v>
      </c>
      <c r="C47" s="237" t="s">
        <v>31</v>
      </c>
      <c r="D47" s="237" t="s">
        <v>31</v>
      </c>
      <c r="E47" s="259" t="s">
        <v>31</v>
      </c>
      <c r="F47" s="258">
        <v>115747</v>
      </c>
      <c r="G47" s="235">
        <v>40046</v>
      </c>
      <c r="H47" s="237"/>
      <c r="I47" s="237" t="s">
        <v>31</v>
      </c>
      <c r="J47" s="238">
        <v>-1353</v>
      </c>
      <c r="K47" s="243" t="s">
        <v>31</v>
      </c>
      <c r="L47" s="238">
        <v>50003</v>
      </c>
      <c r="M47" s="238">
        <v>107143</v>
      </c>
      <c r="N47" s="235">
        <v>22741</v>
      </c>
      <c r="P47" s="240"/>
      <c r="Q47" s="242" t="s">
        <v>67</v>
      </c>
      <c r="R47" s="237" t="s">
        <v>31</v>
      </c>
      <c r="S47" s="237" t="s">
        <v>31</v>
      </c>
      <c r="T47" s="237" t="s">
        <v>31</v>
      </c>
      <c r="U47" s="235">
        <v>98927</v>
      </c>
      <c r="V47" s="235">
        <v>40184</v>
      </c>
      <c r="W47" s="237"/>
      <c r="X47" s="237" t="s">
        <v>31</v>
      </c>
      <c r="Y47" s="238">
        <v>-6645</v>
      </c>
      <c r="Z47" s="243" t="s">
        <v>31</v>
      </c>
      <c r="AA47" s="238">
        <v>45735</v>
      </c>
      <c r="AB47" s="238">
        <v>100021</v>
      </c>
      <c r="AC47" s="235">
        <v>24094</v>
      </c>
    </row>
    <row r="48" spans="1:29" ht="36.75" thickBot="1" x14ac:dyDescent="0.3">
      <c r="A48" s="240"/>
      <c r="B48" s="242" t="s">
        <v>68</v>
      </c>
      <c r="C48" s="237" t="s">
        <v>31</v>
      </c>
      <c r="D48" s="237" t="s">
        <v>31</v>
      </c>
      <c r="E48" s="259" t="s">
        <v>31</v>
      </c>
      <c r="F48" s="258">
        <v>15982</v>
      </c>
      <c r="G48" s="235">
        <v>2954</v>
      </c>
      <c r="H48" s="237"/>
      <c r="I48" s="237" t="s">
        <v>31</v>
      </c>
      <c r="J48" s="241">
        <v>-337</v>
      </c>
      <c r="K48" s="243" t="s">
        <v>31</v>
      </c>
      <c r="L48" s="243" t="s">
        <v>69</v>
      </c>
      <c r="M48" s="243" t="s">
        <v>69</v>
      </c>
      <c r="N48" s="235">
        <v>2105</v>
      </c>
      <c r="P48" s="240"/>
      <c r="Q48" s="242" t="s">
        <v>68</v>
      </c>
      <c r="R48" s="237" t="s">
        <v>31</v>
      </c>
      <c r="S48" s="237" t="s">
        <v>31</v>
      </c>
      <c r="T48" s="237" t="s">
        <v>31</v>
      </c>
      <c r="U48" s="235">
        <v>13716</v>
      </c>
      <c r="V48" s="235">
        <v>3333</v>
      </c>
      <c r="W48" s="237"/>
      <c r="X48" s="237" t="s">
        <v>31</v>
      </c>
      <c r="Y48" s="241">
        <v>-338</v>
      </c>
      <c r="Z48" s="243" t="s">
        <v>31</v>
      </c>
      <c r="AA48" s="243" t="s">
        <v>69</v>
      </c>
      <c r="AB48" s="243" t="s">
        <v>69</v>
      </c>
      <c r="AC48" s="235">
        <v>2442</v>
      </c>
    </row>
    <row r="49" spans="1:29" ht="36.75" thickBot="1" x14ac:dyDescent="0.3">
      <c r="A49" s="240"/>
      <c r="B49" s="242" t="s">
        <v>70</v>
      </c>
      <c r="C49" s="237" t="s">
        <v>31</v>
      </c>
      <c r="D49" s="237" t="s">
        <v>31</v>
      </c>
      <c r="E49" s="259" t="s">
        <v>31</v>
      </c>
      <c r="F49" s="258">
        <v>31568</v>
      </c>
      <c r="G49" s="235">
        <v>5545</v>
      </c>
      <c r="H49" s="237"/>
      <c r="I49" s="237" t="s">
        <v>31</v>
      </c>
      <c r="J49" s="241">
        <v>-166</v>
      </c>
      <c r="K49" s="243" t="s">
        <v>31</v>
      </c>
      <c r="L49" s="243" t="s">
        <v>69</v>
      </c>
      <c r="M49" s="243" t="s">
        <v>69</v>
      </c>
      <c r="N49" s="235">
        <v>5549</v>
      </c>
      <c r="P49" s="240"/>
      <c r="Q49" s="242" t="s">
        <v>70</v>
      </c>
      <c r="R49" s="237" t="s">
        <v>31</v>
      </c>
      <c r="S49" s="237" t="s">
        <v>31</v>
      </c>
      <c r="T49" s="237" t="s">
        <v>31</v>
      </c>
      <c r="U49" s="235">
        <v>31220</v>
      </c>
      <c r="V49" s="235">
        <v>9179</v>
      </c>
      <c r="W49" s="237"/>
      <c r="X49" s="237" t="s">
        <v>31</v>
      </c>
      <c r="Y49" s="241">
        <v>-456</v>
      </c>
      <c r="Z49" s="243" t="s">
        <v>31</v>
      </c>
      <c r="AA49" s="243" t="s">
        <v>69</v>
      </c>
      <c r="AB49" s="243" t="s">
        <v>69</v>
      </c>
      <c r="AC49" s="235">
        <v>5715</v>
      </c>
    </row>
    <row r="50" spans="1:29" ht="36.75" thickBot="1" x14ac:dyDescent="0.3">
      <c r="A50" s="240"/>
      <c r="B50" s="242" t="s">
        <v>71</v>
      </c>
      <c r="C50" s="237" t="s">
        <v>31</v>
      </c>
      <c r="D50" s="237" t="s">
        <v>31</v>
      </c>
      <c r="E50" s="259" t="s">
        <v>31</v>
      </c>
      <c r="F50" s="258">
        <v>68197</v>
      </c>
      <c r="G50" s="235">
        <v>31547</v>
      </c>
      <c r="H50" s="237"/>
      <c r="I50" s="237" t="s">
        <v>31</v>
      </c>
      <c r="J50" s="241">
        <v>-850</v>
      </c>
      <c r="K50" s="243" t="s">
        <v>31</v>
      </c>
      <c r="L50" s="243" t="s">
        <v>69</v>
      </c>
      <c r="M50" s="243" t="s">
        <v>69</v>
      </c>
      <c r="N50" s="235">
        <v>15087</v>
      </c>
      <c r="P50" s="240"/>
      <c r="Q50" s="242" t="s">
        <v>71</v>
      </c>
      <c r="R50" s="237" t="s">
        <v>31</v>
      </c>
      <c r="S50" s="237" t="s">
        <v>31</v>
      </c>
      <c r="T50" s="237" t="s">
        <v>31</v>
      </c>
      <c r="U50" s="235">
        <v>53991</v>
      </c>
      <c r="V50" s="235">
        <v>27672</v>
      </c>
      <c r="W50" s="237"/>
      <c r="X50" s="237" t="s">
        <v>31</v>
      </c>
      <c r="Y50" s="238">
        <v>-5851</v>
      </c>
      <c r="Z50" s="243" t="s">
        <v>31</v>
      </c>
      <c r="AA50" s="243" t="s">
        <v>69</v>
      </c>
      <c r="AB50" s="243" t="s">
        <v>69</v>
      </c>
      <c r="AC50" s="235">
        <v>15937</v>
      </c>
    </row>
    <row r="51" spans="1:29" ht="36.75" thickBot="1" x14ac:dyDescent="0.3">
      <c r="A51" s="240"/>
      <c r="B51" s="242" t="s">
        <v>72</v>
      </c>
      <c r="C51" s="237" t="s">
        <v>31</v>
      </c>
      <c r="D51" s="237" t="s">
        <v>31</v>
      </c>
      <c r="E51" s="259" t="s">
        <v>31</v>
      </c>
      <c r="F51" s="258">
        <v>73866</v>
      </c>
      <c r="G51" s="235">
        <v>4762</v>
      </c>
      <c r="H51" s="237"/>
      <c r="I51" s="237" t="s">
        <v>31</v>
      </c>
      <c r="J51" s="241">
        <v>7</v>
      </c>
      <c r="K51" s="243" t="s">
        <v>31</v>
      </c>
      <c r="L51" s="238">
        <v>3638</v>
      </c>
      <c r="M51" s="238">
        <v>74983</v>
      </c>
      <c r="N51" s="235">
        <v>2624</v>
      </c>
      <c r="P51" s="240"/>
      <c r="Q51" s="242" t="s">
        <v>72</v>
      </c>
      <c r="R51" s="237" t="s">
        <v>31</v>
      </c>
      <c r="S51" s="237" t="s">
        <v>31</v>
      </c>
      <c r="T51" s="237" t="s">
        <v>31</v>
      </c>
      <c r="U51" s="235">
        <v>80583</v>
      </c>
      <c r="V51" s="235">
        <v>5967</v>
      </c>
      <c r="W51" s="237"/>
      <c r="X51" s="237" t="s">
        <v>31</v>
      </c>
      <c r="Y51" s="241">
        <v>229</v>
      </c>
      <c r="Z51" s="243" t="s">
        <v>31</v>
      </c>
      <c r="AA51" s="238">
        <v>13995</v>
      </c>
      <c r="AB51" s="238">
        <v>72326</v>
      </c>
      <c r="AC51" s="235">
        <v>2617</v>
      </c>
    </row>
    <row r="52" spans="1:29" ht="36.75" thickBot="1" x14ac:dyDescent="0.3">
      <c r="A52" s="240"/>
      <c r="B52" s="242" t="s">
        <v>73</v>
      </c>
      <c r="C52" s="237" t="s">
        <v>31</v>
      </c>
      <c r="D52" s="237" t="s">
        <v>31</v>
      </c>
      <c r="E52" s="259" t="s">
        <v>31</v>
      </c>
      <c r="F52" s="258">
        <v>45038</v>
      </c>
      <c r="G52" s="235">
        <v>3556</v>
      </c>
      <c r="H52" s="237"/>
      <c r="I52" s="237" t="s">
        <v>31</v>
      </c>
      <c r="J52" s="241">
        <v>-23</v>
      </c>
      <c r="K52" s="243" t="s">
        <v>31</v>
      </c>
      <c r="L52" s="241" t="s">
        <v>35</v>
      </c>
      <c r="M52" s="238">
        <v>48617</v>
      </c>
      <c r="N52" s="235">
        <v>1820</v>
      </c>
      <c r="P52" s="240"/>
      <c r="Q52" s="242" t="s">
        <v>73</v>
      </c>
      <c r="R52" s="237" t="s">
        <v>31</v>
      </c>
      <c r="S52" s="237" t="s">
        <v>31</v>
      </c>
      <c r="T52" s="237" t="s">
        <v>31</v>
      </c>
      <c r="U52" s="235">
        <v>47781</v>
      </c>
      <c r="V52" s="235">
        <v>4079</v>
      </c>
      <c r="W52" s="237"/>
      <c r="X52" s="237" t="s">
        <v>31</v>
      </c>
      <c r="Y52" s="241">
        <v>60</v>
      </c>
      <c r="Z52" s="243" t="s">
        <v>31</v>
      </c>
      <c r="AA52" s="241" t="s">
        <v>35</v>
      </c>
      <c r="AB52" s="238">
        <v>51800</v>
      </c>
      <c r="AC52" s="235">
        <v>1843</v>
      </c>
    </row>
    <row r="53" spans="1:29" ht="36.75" thickBot="1" x14ac:dyDescent="0.3">
      <c r="A53" s="240"/>
      <c r="B53" s="242" t="s">
        <v>74</v>
      </c>
      <c r="C53" s="237" t="s">
        <v>31</v>
      </c>
      <c r="D53" s="237" t="s">
        <v>31</v>
      </c>
      <c r="E53" s="259" t="s">
        <v>31</v>
      </c>
      <c r="F53" s="258">
        <v>28828</v>
      </c>
      <c r="G53" s="235">
        <v>1206</v>
      </c>
      <c r="H53" s="237"/>
      <c r="I53" s="237" t="s">
        <v>31</v>
      </c>
      <c r="J53" s="241">
        <v>30</v>
      </c>
      <c r="K53" s="243" t="s">
        <v>31</v>
      </c>
      <c r="L53" s="238">
        <v>3638</v>
      </c>
      <c r="M53" s="238">
        <v>26366</v>
      </c>
      <c r="N53" s="236">
        <v>804</v>
      </c>
      <c r="P53" s="240"/>
      <c r="Q53" s="242" t="s">
        <v>74</v>
      </c>
      <c r="R53" s="237" t="s">
        <v>31</v>
      </c>
      <c r="S53" s="237" t="s">
        <v>31</v>
      </c>
      <c r="T53" s="237" t="s">
        <v>31</v>
      </c>
      <c r="U53" s="235">
        <v>32802</v>
      </c>
      <c r="V53" s="235">
        <v>1888</v>
      </c>
      <c r="W53" s="237"/>
      <c r="X53" s="237" t="s">
        <v>31</v>
      </c>
      <c r="Y53" s="241">
        <v>169</v>
      </c>
      <c r="Z53" s="243" t="s">
        <v>31</v>
      </c>
      <c r="AA53" s="238">
        <v>13995</v>
      </c>
      <c r="AB53" s="238">
        <v>20526</v>
      </c>
      <c r="AC53" s="236">
        <v>774</v>
      </c>
    </row>
    <row r="54" spans="1:29" ht="24.75" thickBot="1" x14ac:dyDescent="0.3">
      <c r="A54" s="240"/>
      <c r="B54" s="242" t="s">
        <v>75</v>
      </c>
      <c r="C54" s="237" t="s">
        <v>31</v>
      </c>
      <c r="D54" s="237" t="s">
        <v>31</v>
      </c>
      <c r="E54" s="259" t="s">
        <v>31</v>
      </c>
      <c r="F54" s="258">
        <v>10700</v>
      </c>
      <c r="G54" s="235">
        <v>4203</v>
      </c>
      <c r="H54" s="237"/>
      <c r="I54" s="237" t="s">
        <v>31</v>
      </c>
      <c r="J54" s="241">
        <v>32</v>
      </c>
      <c r="K54" s="243" t="s">
        <v>31</v>
      </c>
      <c r="L54" s="241" t="s">
        <v>35</v>
      </c>
      <c r="M54" s="238">
        <v>14871</v>
      </c>
      <c r="N54" s="235">
        <v>1161</v>
      </c>
      <c r="P54" s="240"/>
      <c r="Q54" s="242" t="s">
        <v>75</v>
      </c>
      <c r="R54" s="237" t="s">
        <v>31</v>
      </c>
      <c r="S54" s="237" t="s">
        <v>31</v>
      </c>
      <c r="T54" s="237" t="s">
        <v>31</v>
      </c>
      <c r="U54" s="235">
        <v>10574</v>
      </c>
      <c r="V54" s="235">
        <v>6541</v>
      </c>
      <c r="W54" s="237"/>
      <c r="X54" s="237" t="s">
        <v>31</v>
      </c>
      <c r="Y54" s="241">
        <v>110</v>
      </c>
      <c r="Z54" s="243" t="s">
        <v>31</v>
      </c>
      <c r="AA54" s="241" t="s">
        <v>35</v>
      </c>
      <c r="AB54" s="238">
        <v>17005</v>
      </c>
      <c r="AC54" s="235">
        <v>1129</v>
      </c>
    </row>
    <row r="55" spans="1:29" ht="15.75" thickBot="1" x14ac:dyDescent="0.3">
      <c r="A55" s="240"/>
      <c r="B55" s="242" t="s">
        <v>76</v>
      </c>
      <c r="C55" s="237" t="s">
        <v>31</v>
      </c>
      <c r="D55" s="237" t="s">
        <v>31</v>
      </c>
      <c r="E55" s="259" t="s">
        <v>31</v>
      </c>
      <c r="F55" s="258">
        <v>58879</v>
      </c>
      <c r="G55" s="235">
        <v>16113</v>
      </c>
      <c r="H55" s="237"/>
      <c r="I55" s="237" t="s">
        <v>31</v>
      </c>
      <c r="J55" s="241">
        <v>215</v>
      </c>
      <c r="K55" s="243" t="s">
        <v>31</v>
      </c>
      <c r="L55" s="238">
        <v>45968</v>
      </c>
      <c r="M55" s="238">
        <v>28809</v>
      </c>
      <c r="N55" s="235">
        <v>12316</v>
      </c>
      <c r="P55" s="240"/>
      <c r="Q55" s="242" t="s">
        <v>76</v>
      </c>
      <c r="R55" s="237" t="s">
        <v>31</v>
      </c>
      <c r="S55" s="237" t="s">
        <v>31</v>
      </c>
      <c r="T55" s="237" t="s">
        <v>31</v>
      </c>
      <c r="U55" s="235">
        <v>54457</v>
      </c>
      <c r="V55" s="235">
        <v>16303</v>
      </c>
      <c r="W55" s="237"/>
      <c r="X55" s="237" t="s">
        <v>31</v>
      </c>
      <c r="Y55" s="238">
        <v>-1284</v>
      </c>
      <c r="Z55" s="243" t="s">
        <v>31</v>
      </c>
      <c r="AA55" s="238">
        <v>41740</v>
      </c>
      <c r="AB55" s="238">
        <v>30304</v>
      </c>
      <c r="AC55" s="235">
        <v>12101</v>
      </c>
    </row>
    <row r="56" spans="1:29" ht="15.75" thickBot="1" x14ac:dyDescent="0.3">
      <c r="A56" s="240"/>
      <c r="B56" s="242" t="s">
        <v>77</v>
      </c>
      <c r="C56" s="237" t="s">
        <v>31</v>
      </c>
      <c r="D56" s="237" t="s">
        <v>31</v>
      </c>
      <c r="E56" s="259" t="s">
        <v>31</v>
      </c>
      <c r="F56" s="258">
        <v>2159</v>
      </c>
      <c r="G56" s="235">
        <v>1359</v>
      </c>
      <c r="H56" s="237"/>
      <c r="I56" s="237" t="s">
        <v>31</v>
      </c>
      <c r="J56" s="241">
        <v>-34</v>
      </c>
      <c r="K56" s="243" t="s">
        <v>31</v>
      </c>
      <c r="L56" s="238">
        <v>1543</v>
      </c>
      <c r="M56" s="238">
        <v>2009</v>
      </c>
      <c r="N56" s="236">
        <v>622</v>
      </c>
      <c r="P56" s="240"/>
      <c r="Q56" s="242" t="s">
        <v>77</v>
      </c>
      <c r="R56" s="237" t="s">
        <v>31</v>
      </c>
      <c r="S56" s="237" t="s">
        <v>31</v>
      </c>
      <c r="T56" s="237" t="s">
        <v>31</v>
      </c>
      <c r="U56" s="235">
        <v>1723</v>
      </c>
      <c r="V56" s="235">
        <v>1463</v>
      </c>
      <c r="W56" s="237"/>
      <c r="X56" s="237" t="s">
        <v>31</v>
      </c>
      <c r="Y56" s="241">
        <v>55</v>
      </c>
      <c r="Z56" s="243" t="s">
        <v>31</v>
      </c>
      <c r="AA56" s="238">
        <v>1497</v>
      </c>
      <c r="AB56" s="238">
        <v>1634</v>
      </c>
      <c r="AC56" s="236">
        <v>656</v>
      </c>
    </row>
    <row r="57" spans="1:29" ht="24.75" thickBot="1" x14ac:dyDescent="0.3">
      <c r="A57" s="240"/>
      <c r="B57" s="242" t="s">
        <v>78</v>
      </c>
      <c r="C57" s="237" t="s">
        <v>31</v>
      </c>
      <c r="D57" s="237" t="s">
        <v>31</v>
      </c>
      <c r="E57" s="259" t="s">
        <v>31</v>
      </c>
      <c r="F57" s="258">
        <v>287967</v>
      </c>
      <c r="G57" s="235">
        <v>2730</v>
      </c>
      <c r="H57" s="237"/>
      <c r="I57" s="237" t="s">
        <v>31</v>
      </c>
      <c r="J57" s="241">
        <v>-979</v>
      </c>
      <c r="K57" s="243" t="s">
        <v>31</v>
      </c>
      <c r="L57" s="238">
        <v>211131</v>
      </c>
      <c r="M57" s="238">
        <v>80545</v>
      </c>
      <c r="N57" s="235">
        <v>4943</v>
      </c>
      <c r="P57" s="240"/>
      <c r="Q57" s="242" t="s">
        <v>78</v>
      </c>
      <c r="R57" s="237" t="s">
        <v>31</v>
      </c>
      <c r="S57" s="237" t="s">
        <v>31</v>
      </c>
      <c r="T57" s="237" t="s">
        <v>31</v>
      </c>
      <c r="U57" s="235">
        <v>294940</v>
      </c>
      <c r="V57" s="235">
        <v>2776</v>
      </c>
      <c r="W57" s="237"/>
      <c r="X57" s="237" t="s">
        <v>31</v>
      </c>
      <c r="Y57" s="241">
        <v>-952</v>
      </c>
      <c r="Z57" s="243" t="s">
        <v>31</v>
      </c>
      <c r="AA57" s="238">
        <v>206240</v>
      </c>
      <c r="AB57" s="238">
        <v>92428</v>
      </c>
      <c r="AC57" s="235">
        <v>5922</v>
      </c>
    </row>
    <row r="58" spans="1:29" ht="15.75" thickBot="1" x14ac:dyDescent="0.3">
      <c r="A58" s="240"/>
      <c r="B58" s="242" t="s">
        <v>79</v>
      </c>
      <c r="C58" s="237" t="s">
        <v>31</v>
      </c>
      <c r="D58" s="237" t="s">
        <v>31</v>
      </c>
      <c r="E58" s="259" t="s">
        <v>31</v>
      </c>
      <c r="F58" s="258">
        <v>217127</v>
      </c>
      <c r="G58" s="235">
        <v>2730</v>
      </c>
      <c r="H58" s="237"/>
      <c r="I58" s="237" t="s">
        <v>31</v>
      </c>
      <c r="J58" s="241">
        <v>-979</v>
      </c>
      <c r="K58" s="243" t="s">
        <v>31</v>
      </c>
      <c r="L58" s="238">
        <v>211131</v>
      </c>
      <c r="M58" s="238">
        <v>9705</v>
      </c>
      <c r="N58" s="235">
        <v>4943</v>
      </c>
      <c r="P58" s="240"/>
      <c r="Q58" s="242" t="s">
        <v>79</v>
      </c>
      <c r="R58" s="237" t="s">
        <v>31</v>
      </c>
      <c r="S58" s="237" t="s">
        <v>31</v>
      </c>
      <c r="T58" s="237" t="s">
        <v>31</v>
      </c>
      <c r="U58" s="235">
        <v>224358</v>
      </c>
      <c r="V58" s="235">
        <v>2776</v>
      </c>
      <c r="W58" s="237"/>
      <c r="X58" s="237" t="s">
        <v>31</v>
      </c>
      <c r="Y58" s="241">
        <v>-952</v>
      </c>
      <c r="Z58" s="243" t="s">
        <v>31</v>
      </c>
      <c r="AA58" s="238">
        <v>206240</v>
      </c>
      <c r="AB58" s="238">
        <v>21846</v>
      </c>
      <c r="AC58" s="235">
        <v>5922</v>
      </c>
    </row>
    <row r="59" spans="1:29" ht="15.75" thickBot="1" x14ac:dyDescent="0.3">
      <c r="A59" s="240"/>
      <c r="B59" s="242" t="s">
        <v>80</v>
      </c>
      <c r="C59" s="237" t="s">
        <v>31</v>
      </c>
      <c r="D59" s="237" t="s">
        <v>31</v>
      </c>
      <c r="E59" s="259" t="s">
        <v>31</v>
      </c>
      <c r="F59" s="258">
        <v>70840</v>
      </c>
      <c r="G59" s="237" t="s">
        <v>31</v>
      </c>
      <c r="H59" s="237" t="s">
        <v>31</v>
      </c>
      <c r="I59" s="237" t="s">
        <v>31</v>
      </c>
      <c r="J59" s="243" t="s">
        <v>31</v>
      </c>
      <c r="K59" s="243" t="s">
        <v>31</v>
      </c>
      <c r="L59" s="243" t="s">
        <v>31</v>
      </c>
      <c r="M59" s="238">
        <v>70840</v>
      </c>
      <c r="N59" s="237" t="s">
        <v>31</v>
      </c>
      <c r="P59" s="240"/>
      <c r="Q59" s="242" t="s">
        <v>80</v>
      </c>
      <c r="R59" s="237" t="s">
        <v>31</v>
      </c>
      <c r="S59" s="237" t="s">
        <v>31</v>
      </c>
      <c r="T59" s="237" t="s">
        <v>31</v>
      </c>
      <c r="U59" s="235">
        <v>70582</v>
      </c>
      <c r="V59" s="237" t="s">
        <v>31</v>
      </c>
      <c r="W59" s="237" t="s">
        <v>31</v>
      </c>
      <c r="X59" s="237" t="s">
        <v>31</v>
      </c>
      <c r="Y59" s="243" t="s">
        <v>31</v>
      </c>
      <c r="Z59" s="243" t="s">
        <v>31</v>
      </c>
      <c r="AA59" s="243" t="s">
        <v>31</v>
      </c>
      <c r="AB59" s="238">
        <v>70582</v>
      </c>
      <c r="AC59" s="237" t="s">
        <v>31</v>
      </c>
    </row>
    <row r="60" spans="1:29" ht="24.75" thickBot="1" x14ac:dyDescent="0.3">
      <c r="A60" s="240"/>
      <c r="B60" s="242" t="s">
        <v>81</v>
      </c>
      <c r="C60" s="237" t="s">
        <v>31</v>
      </c>
      <c r="D60" s="237" t="s">
        <v>31</v>
      </c>
      <c r="E60" s="259" t="s">
        <v>31</v>
      </c>
      <c r="F60" s="258">
        <v>123534</v>
      </c>
      <c r="G60" s="235">
        <v>20192</v>
      </c>
      <c r="H60" s="237"/>
      <c r="I60" s="237" t="s">
        <v>31</v>
      </c>
      <c r="J60" s="238">
        <v>1723</v>
      </c>
      <c r="K60" s="243" t="s">
        <v>31</v>
      </c>
      <c r="L60" s="238">
        <v>8143</v>
      </c>
      <c r="M60" s="238">
        <v>133860</v>
      </c>
      <c r="N60" s="235">
        <v>24474</v>
      </c>
      <c r="P60" s="240"/>
      <c r="Q60" s="242" t="s">
        <v>81</v>
      </c>
      <c r="R60" s="237" t="s">
        <v>31</v>
      </c>
      <c r="S60" s="237" t="s">
        <v>31</v>
      </c>
      <c r="T60" s="237" t="s">
        <v>31</v>
      </c>
      <c r="U60" s="235">
        <v>119410</v>
      </c>
      <c r="V60" s="235">
        <v>19000</v>
      </c>
      <c r="W60" s="237"/>
      <c r="X60" s="237" t="s">
        <v>31</v>
      </c>
      <c r="Y60" s="238">
        <v>-2781</v>
      </c>
      <c r="Z60" s="243" t="s">
        <v>31</v>
      </c>
      <c r="AA60" s="238">
        <v>6809</v>
      </c>
      <c r="AB60" s="238">
        <v>134382</v>
      </c>
      <c r="AC60" s="235">
        <v>22751</v>
      </c>
    </row>
    <row r="61" spans="1:29" ht="15.75" thickBot="1" x14ac:dyDescent="0.3">
      <c r="A61" s="240"/>
      <c r="B61" s="242" t="s">
        <v>82</v>
      </c>
      <c r="C61" s="237" t="s">
        <v>31</v>
      </c>
      <c r="D61" s="237" t="s">
        <v>31</v>
      </c>
      <c r="E61" s="259" t="s">
        <v>31</v>
      </c>
      <c r="F61" s="258">
        <v>233635</v>
      </c>
      <c r="G61" s="237" t="s">
        <v>31</v>
      </c>
      <c r="H61" s="237" t="s">
        <v>31</v>
      </c>
      <c r="I61" s="237" t="s">
        <v>31</v>
      </c>
      <c r="J61" s="243" t="s">
        <v>31</v>
      </c>
      <c r="K61" s="243" t="s">
        <v>31</v>
      </c>
      <c r="L61" s="243" t="s">
        <v>31</v>
      </c>
      <c r="M61" s="238">
        <v>233635</v>
      </c>
      <c r="N61" s="237" t="s">
        <v>31</v>
      </c>
      <c r="P61" s="240"/>
      <c r="Q61" s="242" t="s">
        <v>82</v>
      </c>
      <c r="R61" s="237" t="s">
        <v>31</v>
      </c>
      <c r="S61" s="237" t="s">
        <v>31</v>
      </c>
      <c r="T61" s="237" t="s">
        <v>31</v>
      </c>
      <c r="U61" s="235">
        <v>239386</v>
      </c>
      <c r="V61" s="237" t="s">
        <v>31</v>
      </c>
      <c r="W61" s="237" t="s">
        <v>31</v>
      </c>
      <c r="X61" s="237" t="s">
        <v>31</v>
      </c>
      <c r="Y61" s="243" t="s">
        <v>31</v>
      </c>
      <c r="Z61" s="243" t="s">
        <v>31</v>
      </c>
      <c r="AA61" s="243" t="s">
        <v>31</v>
      </c>
      <c r="AB61" s="238">
        <v>239386</v>
      </c>
      <c r="AC61" s="237" t="s">
        <v>31</v>
      </c>
    </row>
    <row r="62" spans="1:29" ht="24.75" thickBot="1" x14ac:dyDescent="0.3">
      <c r="A62" s="244"/>
      <c r="B62" s="245" t="s">
        <v>83</v>
      </c>
      <c r="C62" s="246" t="s">
        <v>31</v>
      </c>
      <c r="D62" s="246" t="s">
        <v>31</v>
      </c>
      <c r="E62" s="261" t="s">
        <v>31</v>
      </c>
      <c r="F62" s="262">
        <v>30452</v>
      </c>
      <c r="G62" s="248" t="s">
        <v>35</v>
      </c>
      <c r="H62" s="246"/>
      <c r="I62" s="246" t="s">
        <v>31</v>
      </c>
      <c r="J62" s="249">
        <v>94</v>
      </c>
      <c r="K62" s="250" t="s">
        <v>31</v>
      </c>
      <c r="L62" s="249">
        <v>586</v>
      </c>
      <c r="M62" s="251">
        <v>29772</v>
      </c>
      <c r="N62" s="247">
        <v>1010</v>
      </c>
      <c r="P62" s="244"/>
      <c r="Q62" s="245" t="s">
        <v>83</v>
      </c>
      <c r="R62" s="246" t="s">
        <v>31</v>
      </c>
      <c r="S62" s="246" t="s">
        <v>31</v>
      </c>
      <c r="T62" s="246" t="s">
        <v>31</v>
      </c>
      <c r="U62" s="247">
        <v>31182</v>
      </c>
      <c r="V62" s="248" t="s">
        <v>35</v>
      </c>
      <c r="W62" s="246"/>
      <c r="X62" s="246" t="s">
        <v>31</v>
      </c>
      <c r="Y62" s="249">
        <v>-86</v>
      </c>
      <c r="Z62" s="250" t="s">
        <v>31</v>
      </c>
      <c r="AA62" s="249">
        <v>861</v>
      </c>
      <c r="AB62" s="251">
        <v>30407</v>
      </c>
      <c r="AC62" s="248">
        <v>916</v>
      </c>
    </row>
  </sheetData>
  <mergeCells count="12">
    <mergeCell ref="N1:N4"/>
    <mergeCell ref="A1:B1"/>
    <mergeCell ref="A3:B3"/>
    <mergeCell ref="A4:B4"/>
    <mergeCell ref="C1:I3"/>
    <mergeCell ref="J1:M3"/>
    <mergeCell ref="P1:Q1"/>
    <mergeCell ref="R1:X3"/>
    <mergeCell ref="Y1:AB3"/>
    <mergeCell ref="AC1:AC4"/>
    <mergeCell ref="P3:Q3"/>
    <mergeCell ref="P4:Q4"/>
  </mergeCells>
  <hyperlinks>
    <hyperlink ref="C5" r:id="rId1" display="https://www.eia.gov/dnav/pet/hist/LeafHandler.ashx?n=PET&amp;s=MTTFPUS1&amp;f=A" xr:uid="{E4EAB2D0-4817-4186-993B-B36A643870DB}"/>
    <hyperlink ref="D5" r:id="rId2" display="https://www.eia.gov/dnav/pet/hist/LeafHandler.ashx?n=PET&amp;s=M_EP00_TVP_NUS_MBBL&amp;f=A" xr:uid="{DBC9AE85-B25A-4CA3-BD9E-FF3E700099C7}"/>
    <hyperlink ref="E5" r:id="rId3" display="https://www.eia.gov/dnav/pet/hist/LeafHandler.ashx?n=PET&amp;s=M_EP00_YNP_NUS_MBBL&amp;f=A" xr:uid="{316155D2-9FC3-4287-8AA1-6C82FE1FF65A}"/>
    <hyperlink ref="F5" r:id="rId4" display="https://www.eia.gov/dnav/pet/hist/LeafHandler.ashx?n=PET&amp;s=MTTRPUS1&amp;f=A" xr:uid="{D870CBDF-E07C-4BA5-B596-88359D628CF9}"/>
    <hyperlink ref="G5" r:id="rId5" display="https://www.eia.gov/dnav/pet/hist/LeafHandler.ashx?n=PET&amp;s=MTTIMUS1&amp;f=A" xr:uid="{D1F1D9A1-04E7-4A10-985A-547B384A9A56}"/>
    <hyperlink ref="I5" r:id="rId6" display="https://www.eia.gov/dnav/pet/hist/LeafHandler.ashx?n=PET&amp;s=MTTUA_NUS_1&amp;f=A" xr:uid="{5CBBA9F2-0065-4B3E-BEB2-4E6C72879AB2}"/>
    <hyperlink ref="J5" r:id="rId7" display="https://www.eia.gov/dnav/pet/hist/LeafHandler.ashx?n=PET&amp;s=MTTSCUS1&amp;f=A" xr:uid="{24C794EA-3AFD-47BC-998A-F1F3BC2C059F}"/>
    <hyperlink ref="K5" r:id="rId8" display="https://www.eia.gov/dnav/pet/hist/LeafHandler.ashx?n=PET&amp;s=MTTRIUS1&amp;f=A" xr:uid="{2F951305-CC5D-4857-A0A0-F2D490F88BFD}"/>
    <hyperlink ref="L5" r:id="rId9" display="https://www.eia.gov/dnav/pet/hist/LeafHandler.ashx?n=PET&amp;s=MTTEXUS1&amp;f=A" xr:uid="{191947E3-06D7-45FE-8735-A116DD0F3B97}"/>
    <hyperlink ref="M5" r:id="rId10" display="https://www.eia.gov/dnav/pet/hist/LeafHandler.ashx?n=PET&amp;s=MTTUPUS1&amp;f=A" xr:uid="{6DB1CD8F-9774-48AA-9A43-614955D86A31}"/>
    <hyperlink ref="N5" r:id="rId11" display="https://www.eia.gov/dnav/pet/hist/LeafHandler.ashx?n=PET&amp;s=MTTSTUS1&amp;f=A" xr:uid="{32D76DF6-C26A-4314-8439-5B579B0FF07F}"/>
    <hyperlink ref="C6" r:id="rId12" display="https://www.eia.gov/dnav/pet/hist/LeafHandler.ashx?n=PET&amp;s=MCRFPUS1&amp;f=A" xr:uid="{ED3ADD3A-E886-446E-9671-29018F603D04}"/>
    <hyperlink ref="D6" r:id="rId13" display="https://www.eia.gov/dnav/pet/hist/LeafHandler.ashx?n=PET&amp;s=M_EPC0_TVP_NUS_MBBL&amp;f=A" xr:uid="{FAC0123E-FEAE-4718-A688-E0AAD6300CB5}"/>
    <hyperlink ref="G6" r:id="rId14" display="https://www.eia.gov/dnav/pet/hist/LeafHandler.ashx?n=PET&amp;s=MCRIMUS1&amp;f=A" xr:uid="{A366E461-929D-4449-AD8C-C3353F64010D}"/>
    <hyperlink ref="I6" r:id="rId15" display="https://www.eia.gov/dnav/pet/hist/LeafHandler.ashx?n=PET&amp;s=MCRUA_NUS_1&amp;f=A" xr:uid="{BF067BAF-B00F-43B7-96BB-6D70166CE01F}"/>
    <hyperlink ref="J6" r:id="rId16" display="https://www.eia.gov/dnav/pet/hist/LeafHandler.ashx?n=PET&amp;s=MCRSCUS1&amp;f=A" xr:uid="{6525A45F-D754-4AA0-8D28-2BE002A0975C}"/>
    <hyperlink ref="K6" r:id="rId17" display="https://www.eia.gov/dnav/pet/hist/LeafHandler.ashx?n=PET&amp;s=MCRRIUS1&amp;f=A" xr:uid="{00BF87F3-86AF-4AE1-A151-B55552015E03}"/>
    <hyperlink ref="L6" r:id="rId18" display="https://www.eia.gov/dnav/pet/hist/LeafHandler.ashx?n=PET&amp;s=MCREXUS1&amp;f=A" xr:uid="{D794670E-239A-4FA8-8CEA-CD709BD3FDF9}"/>
    <hyperlink ref="M6" r:id="rId19" display="https://www.eia.gov/dnav/pet/hist/LeafHandler.ashx?n=PET&amp;s=MCRUPUS1&amp;f=A" xr:uid="{56984ACE-8C25-481F-B838-09469B5511FB}"/>
    <hyperlink ref="N6" r:id="rId20" display="https://www.eia.gov/dnav/pet/hist/LeafHandler.ashx?n=PET&amp;s=MCRSTUS1&amp;f=A" xr:uid="{F4509BA7-1903-47B0-828E-610BAC344D6C}"/>
    <hyperlink ref="C7" r:id="rId21" display="https://www.eia.gov/dnav/pet/hist/LeafHandler.ashx?n=PET&amp;s=MNGFPUS1&amp;f=A" xr:uid="{22FCBE07-B4DF-47A5-907F-242D8C2F1CB3}"/>
    <hyperlink ref="D7" r:id="rId22" display="https://www.eia.gov/dnav/pet/hist/LeafHandler.ashx?n=PET&amp;s=M_EPL0_TVP_NUS_MBBL&amp;f=A" xr:uid="{7F91BC98-140A-48AA-BC53-D30D2401C5BB}"/>
    <hyperlink ref="E7" r:id="rId23" display="https://www.eia.gov/dnav/pet/hist/LeafHandler.ashx?n=PET&amp;s=M_EPL0_YNP_NUS_MBBL&amp;f=A" xr:uid="{E692CACC-A281-4A7B-B433-FAA42C33CE2B}"/>
    <hyperlink ref="F7" r:id="rId24" display="https://www.eia.gov/dnav/pet/hist/LeafHandler.ashx?n=PET&amp;s=MNGRPUS1&amp;f=A" xr:uid="{F1ABA617-8BAC-4D58-8858-EE4DC6CF33F1}"/>
    <hyperlink ref="G7" r:id="rId25" display="https://www.eia.gov/dnav/pet/hist/LeafHandler.ashx?n=PET&amp;s=MNGIMUS1&amp;f=A" xr:uid="{2E5495C7-7664-46D6-B60F-003D030B7CF8}"/>
    <hyperlink ref="J7" r:id="rId26" display="https://www.eia.gov/dnav/pet/hist/LeafHandler.ashx?n=PET&amp;s=MNGSCUS1&amp;f=A" xr:uid="{A65FF967-8BCB-49C9-9401-69CA4B365800}"/>
    <hyperlink ref="K7" r:id="rId27" display="https://www.eia.gov/dnav/pet/hist/LeafHandler.ashx?n=PET&amp;s=MNGRIUS1&amp;f=A" xr:uid="{046E3F7A-8CE5-4A5B-A4BE-5E70D6186AC7}"/>
    <hyperlink ref="L7" r:id="rId28" display="https://www.eia.gov/dnav/pet/hist/LeafHandler.ashx?n=PET&amp;s=MNGEXUS1&amp;f=A" xr:uid="{D31D9670-F101-4A8C-97E4-1319C604DB47}"/>
    <hyperlink ref="M7" r:id="rId29" display="https://www.eia.gov/dnav/pet/hist/LeafHandler.ashx?n=PET&amp;s=MNGUPUS1&amp;f=A" xr:uid="{1167DAD0-9283-4DEF-9CEB-A93243E8F7B9}"/>
    <hyperlink ref="N7" r:id="rId30" display="https://www.eia.gov/dnav/pet/hist/LeafHandler.ashx?n=PET&amp;s=MNGSTUS1&amp;f=A" xr:uid="{51A660F5-21C5-491A-92E9-0D67C35C46FF}"/>
    <hyperlink ref="C8" r:id="rId31" display="https://www.eia.gov/dnav/pet/hist/LeafHandler.ashx?n=PET&amp;s=M_EPL2_FPF_NUS_MBBL&amp;f=A" xr:uid="{F2102682-5CFA-4B95-BFA5-4D25D3FB741C}"/>
    <hyperlink ref="D8" r:id="rId32" display="https://www.eia.gov/dnav/pet/hist/LeafHandler.ashx?n=PET&amp;s=M_EPL2_TVP_NUS_MBBL&amp;f=A" xr:uid="{A5692C49-6CCE-48A7-9AD5-D510B52DC97E}"/>
    <hyperlink ref="E8" r:id="rId33" display="https://www.eia.gov/dnav/pet/hist/LeafHandler.ashx?n=PET&amp;s=M_EPL2_YNP_NUS_MBBL&amp;f=A" xr:uid="{418AE5BF-ABE3-458C-B0E2-8FA13A91B887}"/>
    <hyperlink ref="F8" r:id="rId34" display="https://www.eia.gov/dnav/pet/hist/LeafHandler.ashx?n=PET&amp;s=M_EPL2_YPR_NUS_MBBL&amp;f=A" xr:uid="{1E7A6C99-47BA-453D-BF45-BA2B328A9A4B}"/>
    <hyperlink ref="G8" r:id="rId35" display="https://www.eia.gov/dnav/pet/hist/LeafHandler.ashx?n=PET&amp;s=M_EPL2_IM0_NUS-Z00_MBBL&amp;f=A" xr:uid="{83CE17EF-A815-4BA8-9A23-0256BE64C42A}"/>
    <hyperlink ref="J8" r:id="rId36" display="https://www.eia.gov/dnav/pet/hist/LeafHandler.ashx?n=PET&amp;s=M_EPL2_SCG_NUS_MBBL&amp;f=A" xr:uid="{D99C574B-8ACA-46C5-9DF7-B2C3CA1A307C}"/>
    <hyperlink ref="K8" r:id="rId37" display="https://www.eia.gov/dnav/pet/hist/LeafHandler.ashx?n=PET&amp;s=M_EPL2_YIR_NUS_MBBL&amp;f=A" xr:uid="{8024726A-A278-4B8D-A01B-AE1BB796E035}"/>
    <hyperlink ref="L8" r:id="rId38" display="https://www.eia.gov/dnav/pet/hist/LeafHandler.ashx?n=PET&amp;s=M_EPL2_EEX_NUS-Z00_MBBL&amp;f=A" xr:uid="{893B630C-3799-49BA-918A-152A18283718}"/>
    <hyperlink ref="M8" r:id="rId39" display="https://www.eia.gov/dnav/pet/hist/LeafHandler.ashx?n=PET&amp;s=M_EPL2_VPP_NUS_MBBL&amp;f=A" xr:uid="{1A976AA6-6D11-4984-B64E-A3BA08B294AA}"/>
    <hyperlink ref="N8" r:id="rId40" display="https://www.eia.gov/dnav/pet/hist/LeafHandler.ashx?n=PET&amp;s=M_EPL2_SAE_NUS_MBBL&amp;f=A" xr:uid="{F7F9D542-8765-4896-AB8A-E4A34263B44E}"/>
    <hyperlink ref="C9" r:id="rId41" display="https://www.eia.gov/dnav/pet/hist/LeafHandler.ashx?n=PET&amp;s=M_EPLLEA_FPF_NUS_MBBL&amp;f=A" xr:uid="{263DF4BE-703E-4DA7-9E80-64591CFD3CDB}"/>
    <hyperlink ref="F9" r:id="rId42" display="https://www.eia.gov/dnav/pet/hist/LeafHandler.ashx?n=PET&amp;s=MENRPUS1&amp;f=A" xr:uid="{FD823095-02D2-4DB2-8C55-33A605F5638B}"/>
    <hyperlink ref="G9" r:id="rId43" display="https://www.eia.gov/dnav/pet/hist/LeafHandler.ashx?n=PET&amp;s=MENIMUS1&amp;f=A" xr:uid="{EE5A79A4-B2EB-4CB3-8050-B5AB28E30357}"/>
    <hyperlink ref="J9" r:id="rId44" display="https://www.eia.gov/dnav/pet/hist/LeafHandler.ashx?n=PET&amp;s=M_EPLLEA_SCG_NUS_MBBL&amp;f=A" xr:uid="{6B4B7A4F-B0F8-489B-B394-CF7E96A7F56E}"/>
    <hyperlink ref="L9" r:id="rId45" display="https://www.eia.gov/dnav/pet/hist/LeafHandler.ashx?n=PET&amp;s=M_EPLLEA_EEX_NUS-Z00_1&amp;f=A" xr:uid="{9E912817-733E-4202-A111-CBF000FAEE94}"/>
    <hyperlink ref="M9" r:id="rId46" display="https://www.eia.gov/dnav/pet/hist/LeafHandler.ashx?n=PET&amp;s=M_EPLLEA_VPP_NUS_MBBL&amp;f=A" xr:uid="{CBF620DD-1FF1-4C87-B35D-0A1E7C90DF55}"/>
    <hyperlink ref="N9" r:id="rId47" display="https://www.eia.gov/dnav/pet/hist/LeafHandler.ashx?n=PET&amp;s=M_EPLLEA_SAE_NUS_MBBL&amp;f=A" xr:uid="{1CD66BC3-8B53-4CDB-A8A1-AF12CBB23306}"/>
    <hyperlink ref="C10" r:id="rId48" display="https://www.eia.gov/dnav/pet/hist/LeafHandler.ashx?n=PET&amp;s=M_EPLLPA_FPF_NUS_MBBL&amp;f=A" xr:uid="{CAE8E765-5663-46E2-B1D8-FF4F10AA4318}"/>
    <hyperlink ref="D10" r:id="rId49" display="https://www.eia.gov/dnav/pet/hist/LeafHandler.ashx?n=PET&amp;s=M_EPLLPA_TVP_NUS_MBBL&amp;f=A" xr:uid="{86BFF5B5-3D44-4B42-A48C-AD5D26A22AB3}"/>
    <hyperlink ref="F10" r:id="rId50" display="https://www.eia.gov/dnav/pet/hist/LeafHandler.ashx?n=PET&amp;s=MPARP_NUS_1&amp;f=A" xr:uid="{5FE9B62B-0E45-40C6-BF17-78FED39D9386}"/>
    <hyperlink ref="G10" r:id="rId51" display="https://www.eia.gov/dnav/pet/hist/LeafHandler.ashx?n=PET&amp;s=MPAIM_NUS-Z00_1&amp;f=A" xr:uid="{9A8A5BCB-337E-4CB1-BCE2-7224015797BC}"/>
    <hyperlink ref="J10" r:id="rId52" display="https://www.eia.gov/dnav/pet/hist/LeafHandler.ashx?n=PET&amp;s=M_EPLLPA_SCG_NUS_MBBL&amp;f=A" xr:uid="{0A485CB2-941F-4599-854C-AA476664FF9E}"/>
    <hyperlink ref="L10" r:id="rId53" display="https://www.eia.gov/dnav/pet/hist/LeafHandler.ashx?n=PET&amp;s=MPAEX_NUS-Z00_1&amp;f=A" xr:uid="{40A63D82-D4B5-4FC4-AB5F-2992A7B163CE}"/>
    <hyperlink ref="M10" r:id="rId54" display="https://www.eia.gov/dnav/pet/hist/LeafHandler.ashx?n=PET&amp;s=M_EPLLPA_VPP_NUS_MBBL&amp;f=A" xr:uid="{0F3192D4-122A-4018-978C-EBCFAB6B70C0}"/>
    <hyperlink ref="N10" r:id="rId55" display="https://www.eia.gov/dnav/pet/hist/LeafHandler.ashx?n=PET&amp;s=M_EPLLPA_SAE_NUS_MBBL&amp;f=A" xr:uid="{BE2FB890-CE8D-4FE5-AE3F-D081C5A5AC9D}"/>
    <hyperlink ref="C11" r:id="rId56" display="https://www.eia.gov/dnav/pet/hist/LeafHandler.ashx?n=PET&amp;s=M_EPLLBAN_FPF_NUS_MBBL&amp;f=A" xr:uid="{339FCC8D-0F99-4025-8D58-C04B329272FA}"/>
    <hyperlink ref="D11" r:id="rId57" display="https://www.eia.gov/dnav/pet/hist/LeafHandler.ashx?n=PET&amp;s=M_EPLLBAN_TVP_NUS_MBBL&amp;f=A" xr:uid="{2EF2B98C-8EDD-470F-9B53-0BFC9E88D4CC}"/>
    <hyperlink ref="E11" r:id="rId58" display="https://www.eia.gov/dnav/pet/hist/LeafHandler.ashx?n=PET&amp;s=M_EPLLBAN_YNP_NUS_MBBL&amp;f=A" xr:uid="{FB14A789-A17F-4A87-8E22-F0579434A031}"/>
    <hyperlink ref="F11" r:id="rId59" display="https://www.eia.gov/dnav/pet/hist/LeafHandler.ashx?n=PET&amp;s=MBURPUS1&amp;f=A" xr:uid="{2B9F911C-BC54-4DA7-8435-07DAF03EDA23}"/>
    <hyperlink ref="G11" r:id="rId60" display="https://www.eia.gov/dnav/pet/hist/LeafHandler.ashx?n=PET&amp;s=MBUIM_NUS-Z00_1&amp;f=A" xr:uid="{03603410-2E77-43FC-AB98-F93F9AA368F4}"/>
    <hyperlink ref="J11" r:id="rId61" display="https://www.eia.gov/dnav/pet/hist/LeafHandler.ashx?n=PET&amp;s=M_EPLLBAN_SCG_NUS_MBBL&amp;f=A" xr:uid="{49B29BF4-653C-4736-AAC7-009E1862A497}"/>
    <hyperlink ref="K11" r:id="rId62" display="https://www.eia.gov/dnav/pet/hist/LeafHandler.ashx?n=PET&amp;s=M_EPLLBAN_YIR_NUS_MBBL&amp;f=A" xr:uid="{F262A168-E777-4085-A09B-855E286CD1E0}"/>
    <hyperlink ref="L11" r:id="rId63" display="https://www.eia.gov/dnav/pet/hist/LeafHandler.ashx?n=PET&amp;s=MBUEX_NUS-Z00_1&amp;f=A" xr:uid="{6286DBDA-FC1F-44AA-8A1B-C3C099582C93}"/>
    <hyperlink ref="M11" r:id="rId64" display="https://www.eia.gov/dnav/pet/hist/LeafHandler.ashx?n=PET&amp;s=M_EPLLBAN_VPP_NUS_MBBL&amp;f=A" xr:uid="{D1179360-B712-4FCF-B640-D143A872E34C}"/>
    <hyperlink ref="N11" r:id="rId65" display="https://www.eia.gov/dnav/pet/hist/LeafHandler.ashx?n=PET&amp;s=M_EPLLBAN_SAE_NUS_MBBL&amp;f=A" xr:uid="{16B4D2EA-A0AA-42D4-A5DF-213206195F1D}"/>
    <hyperlink ref="C12" r:id="rId66" display="https://www.eia.gov/dnav/pet/hist/LeafHandler.ashx?n=PET&amp;s=M_EPLLBAI_FPF_NUS_MBBL&amp;f=A" xr:uid="{0C1A519E-46E6-40FA-AF72-606F2C0E074E}"/>
    <hyperlink ref="D12" r:id="rId67" display="https://www.eia.gov/dnav/pet/hist/LeafHandler.ashx?n=PET&amp;s=M_EPLLBAI_TVP_NUS_MBBL&amp;f=A" xr:uid="{43539209-626F-4721-BFB9-2C4BC408D822}"/>
    <hyperlink ref="E12" r:id="rId68" display="https://www.eia.gov/dnav/pet/hist/LeafHandler.ashx?n=PET&amp;s=M_EPLLBAI_YNP_NUS_MBBL&amp;f=A" xr:uid="{996BB287-B944-4D43-B71E-25ACB372201B}"/>
    <hyperlink ref="F12" r:id="rId69" display="https://www.eia.gov/dnav/pet/hist/LeafHandler.ashx?n=PET&amp;s=MIIRPUS1&amp;f=A" xr:uid="{3473387F-310E-4A44-8B00-00C56751EA33}"/>
    <hyperlink ref="G12" r:id="rId70" display="https://www.eia.gov/dnav/pet/hist/LeafHandler.ashx?n=PET&amp;s=MIIIM_NUS-Z00_1&amp;f=A" xr:uid="{64EE3DDB-6232-4044-8737-C5834EE06131}"/>
    <hyperlink ref="J12" r:id="rId71" display="https://www.eia.gov/dnav/pet/hist/LeafHandler.ashx?n=PET&amp;s=M_EPLLBAI_SCG_NUS_MBBL&amp;f=A" xr:uid="{80C06AE9-BA7D-424F-A9F4-E8309DEE20B9}"/>
    <hyperlink ref="K12" r:id="rId72" display="https://www.eia.gov/dnav/pet/hist/LeafHandler.ashx?n=PET&amp;s=M_EPLLBAI_YIR_NUS_MBBL&amp;f=A" xr:uid="{A78B63E4-BDE5-417A-9992-768B64713A9D}"/>
    <hyperlink ref="L12" r:id="rId73" display="https://www.eia.gov/dnav/pet/hist/LeafHandler.ashx?n=PET&amp;s=M_EPLLBAI_EEX_NUS-Z00_1&amp;f=A" xr:uid="{2941F4C9-13E5-45CC-AE58-2ED0BBE38C53}"/>
    <hyperlink ref="M12" r:id="rId74" display="https://www.eia.gov/dnav/pet/hist/LeafHandler.ashx?n=PET&amp;s=M_EPLLBAI_VPP_NUS_MBBL&amp;f=A" xr:uid="{3C7CDA79-36A2-43C1-9071-76E1467A4F50}"/>
    <hyperlink ref="N12" r:id="rId75" display="https://www.eia.gov/dnav/pet/hist/LeafHandler.ashx?n=PET&amp;s=M_EPLLBAI_SAE_NUS_MBBL&amp;f=A" xr:uid="{D62A0CBF-2D02-4CDF-AF38-4EF21736B390}"/>
    <hyperlink ref="C13" r:id="rId76" display="https://www.eia.gov/dnav/pet/hist/LeafHandler.ashx?n=PET&amp;s=M_EPLLNG_FPF_NUS_MBBL&amp;f=A" xr:uid="{01B4C261-D2BE-4606-ABB0-A94CF432E398}"/>
    <hyperlink ref="D13" r:id="rId77" display="https://www.eia.gov/dnav/pet/hist/LeafHandler.ashx?n=PET&amp;s=M_EPLLNG_TVP_NUS_MBBL&amp;f=A" xr:uid="{089F2A1A-A61C-4E6C-A305-2A367378527C}"/>
    <hyperlink ref="E13" r:id="rId78" display="https://www.eia.gov/dnav/pet/hist/LeafHandler.ashx?n=PET&amp;s=M_EPLLNG_YNP_NUS_MBBL&amp;f=A" xr:uid="{1B1248BE-713F-4954-9FAB-929456F6A27B}"/>
    <hyperlink ref="G13" r:id="rId79" display="https://www.eia.gov/dnav/pet/hist/LeafHandler.ashx?n=PET&amp;s=M_EPLLNG_IM0_NUS-Z00_MBBL&amp;f=A" xr:uid="{E53F1154-3B58-4CEA-B043-85241F79A6ED}"/>
    <hyperlink ref="J13" r:id="rId80" display="https://www.eia.gov/dnav/pet/hist/LeafHandler.ashx?n=PET&amp;s=M_EPLLNG_SCG_NUS_MBBL&amp;f=A" xr:uid="{8B3E6CD9-9976-414A-A770-98801E224E24}"/>
    <hyperlink ref="K13" r:id="rId81" display="https://www.eia.gov/dnav/pet/hist/LeafHandler.ashx?n=PET&amp;s=M_EPLLNG_YIR_NUS_MBBL&amp;f=A" xr:uid="{563DEF86-8B1B-4353-960E-73B7FD42D795}"/>
    <hyperlink ref="L13" r:id="rId82" display="https://www.eia.gov/dnav/pet/hist/LeafHandler.ashx?n=PET&amp;s=M_EPLLNG_EEX_NUS-Z00_MBBL&amp;f=A" xr:uid="{29D672AB-9D67-4BA2-B0DD-A8F431ACD95B}"/>
    <hyperlink ref="M13" r:id="rId83" display="https://www.eia.gov/dnav/pet/hist/LeafHandler.ashx?n=PET&amp;s=M_EPLLNG_VPP_NUS_MBBL&amp;f=A" xr:uid="{F7994F73-90DC-459C-83EA-22896F96F53C}"/>
    <hyperlink ref="N13" r:id="rId84" display="https://www.eia.gov/dnav/pet/hist/LeafHandler.ashx?n=PET&amp;s=M_EPLLNG_SAE_NUS_MBBL&amp;f=A" xr:uid="{7B9B8B5D-6A1B-4482-A919-50A077ADFA43}"/>
    <hyperlink ref="C14" r:id="rId85" display="https://www.eia.gov/dnav/pet/hist/LeafHandler.ashx?n=PET&amp;s=M_EPLLCS_FPF_NUS_MBBL&amp;f=A" xr:uid="{ABA2184F-B625-436D-A4AA-1A08C567F7EA}"/>
    <hyperlink ref="D14" r:id="rId86" display="https://www.eia.gov/dnav/pet/hist/LeafHandler.ashx?n=PET&amp;s=M_EPLLCS_TVP_NUS_MBBL&amp;f=A" xr:uid="{F7E236E8-7D65-4294-A407-767274A65EA7}"/>
    <hyperlink ref="J14" r:id="rId87" display="https://www.eia.gov/dnav/pet/hist/LeafHandler.ashx?n=PET&amp;s=M_EPLLCS_SCG_NUS_MBBL&amp;f=A" xr:uid="{CCB42C42-E3DF-4BBB-B91F-27D0707AFB2D}"/>
    <hyperlink ref="M14" r:id="rId88" display="https://www.eia.gov/dnav/pet/hist/LeafHandler.ashx?n=PET&amp;s=M_EPLLCS_VPP_NUS_MBBL&amp;f=A" xr:uid="{2C685F45-D26C-499D-80F3-0AC6B4B39087}"/>
    <hyperlink ref="N14" r:id="rId89" display="https://www.eia.gov/dnav/pet/hist/LeafHandler.ashx?n=PET&amp;s=M_EPLLCS_SAE_NUS_MBBL&amp;f=A" xr:uid="{184323C7-FBE3-48AB-BC2F-B86159769A77}"/>
    <hyperlink ref="F15" r:id="rId90" display="https://www.eia.gov/dnav/pet/hist/LeafHandler.ashx?n=PET&amp;s=M_EPLOLE_YPR_NUS_MBBL&amp;f=A" xr:uid="{73A9CBCD-ECCC-4FBE-9351-AA83D90906FC}"/>
    <hyperlink ref="G15" r:id="rId91" display="https://www.eia.gov/dnav/pet/hist/LeafHandler.ashx?n=PET&amp;s=M_EPLOLE_IM0_NUS-Z00_MBBL&amp;f=A" xr:uid="{F2593B88-6278-4E6B-9EBA-7B5350DB970D}"/>
    <hyperlink ref="J15" r:id="rId92" display="https://www.eia.gov/dnav/pet/hist/LeafHandler.ashx?n=PET&amp;s=M_EPLOLE_SCG_NUS_MBBL&amp;f=A" xr:uid="{386F9979-3837-4ABB-A2DB-165C62C0DF04}"/>
    <hyperlink ref="M15" r:id="rId93" display="https://www.eia.gov/dnav/pet/hist/LeafHandler.ashx?n=PET&amp;s=M_EPLOLE_VPP_NUS_MBBL&amp;f=A" xr:uid="{4E3FC147-C18B-4855-8D8F-B957FA4BC593}"/>
    <hyperlink ref="N15" r:id="rId94" display="https://www.eia.gov/dnav/pet/hist/LeafHandler.ashx?n=PET&amp;s=M_EPLOLE_SAE_NUS_MBBL&amp;f=A" xr:uid="{70653D32-0DE2-4B63-A854-E8E458A33DC6}"/>
    <hyperlink ref="F16" r:id="rId95" display="https://www.eia.gov/dnav/pet/hist/LeafHandler.ashx?n=PET&amp;s=MEYRPUS1&amp;f=A" xr:uid="{AF36D751-9DCB-4635-905D-A111C8EA0C0E}"/>
    <hyperlink ref="G16" r:id="rId96" display="https://www.eia.gov/dnav/pet/hist/LeafHandler.ashx?n=PET&amp;s=MEYIMUS1&amp;f=A" xr:uid="{B482F6D2-20FA-44A0-9119-DB3A8CC96D4F}"/>
    <hyperlink ref="J16" r:id="rId97" display="https://www.eia.gov/dnav/pet/hist/LeafHandler.ashx?n=PET&amp;s=M_EPLLEY_SCG_NUS_MBBL&amp;f=A" xr:uid="{350AA20C-6DBE-4563-BD8B-992CEE687171}"/>
    <hyperlink ref="M16" r:id="rId98" display="https://www.eia.gov/dnav/pet/hist/LeafHandler.ashx?n=PET&amp;s=M_EPLLEY_VPP_NUS_MBBL&amp;f=A" xr:uid="{4CB1F09E-A7B0-45E5-8DE0-AD31FBBFC3C6}"/>
    <hyperlink ref="N16" r:id="rId99" display="https://www.eia.gov/dnav/pet/hist/LeafHandler.ashx?n=PET&amp;s=M_EPLLEY_SAE_NUS_MBBL&amp;f=A" xr:uid="{905E1282-9E35-4BFC-9655-B69650C98D75}"/>
    <hyperlink ref="F17" r:id="rId100" display="https://www.eia.gov/dnav/pet/hist/LeafHandler.ashx?n=PET&amp;s=MPLRPUS1&amp;f=A" xr:uid="{13706F04-83A6-4617-94C1-8BC2E1DE2FF6}"/>
    <hyperlink ref="G17" r:id="rId101" display="https://www.eia.gov/dnav/pet/hist/LeafHandler.ashx?n=PET&amp;s=MPLIMUS1&amp;f=A" xr:uid="{81A50D00-3B41-4E06-9D78-9E604C6E5A6B}"/>
    <hyperlink ref="J17" r:id="rId102" display="https://www.eia.gov/dnav/pet/hist/LeafHandler.ashx?n=PET&amp;s=M_EPLLPY_SCG_NUS_MBBL&amp;f=A" xr:uid="{DF9DE4E1-C5AF-4CF6-8F93-69BD389EBFCE}"/>
    <hyperlink ref="M17" r:id="rId103" display="https://www.eia.gov/dnav/pet/hist/LeafHandler.ashx?n=PET&amp;s=M_EPLLPY_VPP_NUS_MBBL&amp;f=A" xr:uid="{F1849214-8E9F-46A3-9D64-E7710FCF7A98}"/>
    <hyperlink ref="N17" r:id="rId104" display="https://www.eia.gov/dnav/pet/hist/LeafHandler.ashx?n=PET&amp;s=M_EPLLPY_SAE_NUS_MBBL&amp;f=A" xr:uid="{D6C93732-E511-460D-81F0-7F757F557CDD}"/>
    <hyperlink ref="F18" r:id="rId105" display="https://www.eia.gov/dnav/pet/hist/LeafHandler.ashx?n=PET&amp;s=MBYRPUS1&amp;f=A" xr:uid="{2D089EDD-05AA-4AF1-BDE6-3DCA4E6A84E0}"/>
    <hyperlink ref="G18" r:id="rId106" display="https://www.eia.gov/dnav/pet/hist/LeafHandler.ashx?n=PET&amp;s=MBYIMUS1&amp;f=A" xr:uid="{32476C74-BF73-47DA-A88F-B2CC19DB30C3}"/>
    <hyperlink ref="J18" r:id="rId107" display="https://www.eia.gov/dnav/pet/hist/LeafHandler.ashx?n=PET&amp;s=M_EPLLBYN_SCG_NUS_MBBL&amp;f=A" xr:uid="{D3985ABF-B8D2-451D-9520-10A9DD19C924}"/>
    <hyperlink ref="M18" r:id="rId108" display="https://www.eia.gov/dnav/pet/hist/LeafHandler.ashx?n=PET&amp;s=M_EPLLBYN_VPP_NUS_MBBL&amp;f=A" xr:uid="{1796CB34-CF47-4B9A-BDFD-B83AB0A08CE6}"/>
    <hyperlink ref="N18" r:id="rId109" display="https://www.eia.gov/dnav/pet/hist/LeafHandler.ashx?n=PET&amp;s=M_EPLLBYN_SAE_NUS_MBBL&amp;f=A" xr:uid="{31C8EA67-25EB-4ADB-9EE0-BA11067D5714}"/>
    <hyperlink ref="F19" r:id="rId110" display="https://www.eia.gov/dnav/pet/hist/LeafHandler.ashx?n=PET&amp;s=MIYRPUS1&amp;f=A" xr:uid="{435529FE-F4C4-4D0D-A3C9-B6C89948D8ED}"/>
    <hyperlink ref="G19" r:id="rId111" display="https://www.eia.gov/dnav/pet/hist/LeafHandler.ashx?n=PET&amp;s=MIYIMUS1&amp;f=A" xr:uid="{B057C061-A874-47C8-A30C-29B42F31CAFB}"/>
    <hyperlink ref="J19" r:id="rId112" display="https://www.eia.gov/dnav/pet/hist/LeafHandler.ashx?n=PET&amp;s=M_EPLLBYI_SCG_NUS_MBBL&amp;f=A" xr:uid="{93592BFB-1C7E-4B39-B0A3-99DC4FC9582D}"/>
    <hyperlink ref="M19" r:id="rId113" display="https://www.eia.gov/dnav/pet/hist/LeafHandler.ashx?n=PET&amp;s=M_EPLLBYI_VPP_NUS_MBBL&amp;f=A" xr:uid="{22C28391-BD60-4BDC-B614-66A143F664F5}"/>
    <hyperlink ref="N19" r:id="rId114" display="https://www.eia.gov/dnav/pet/hist/LeafHandler.ashx?n=PET&amp;s=M_EPLLBYI_SAE_NUS_MBBL&amp;f=A" xr:uid="{F0CEC1E2-C800-4F6C-9520-8E33327171D1}"/>
    <hyperlink ref="D20" r:id="rId115" display="https://www.eia.gov/dnav/pet/hist/LeafHandler.ashx?n=PET&amp;s=M_EPOL_TVP_NUS_MBBL&amp;f=A" xr:uid="{B3D94CE6-D41F-42A7-B032-6E638F9AC579}"/>
    <hyperlink ref="E20" r:id="rId116" display="https://www.eia.gov/dnav/pet/hist/LeafHandler.ashx?n=PET&amp;s=M_EPOL_YNP_NUS_MBBL&amp;f=A" xr:uid="{5ACBBEB3-81F5-4FDF-B905-8C71A52B81E4}"/>
    <hyperlink ref="G20" r:id="rId117" display="https://www.eia.gov/dnav/pet/hist/LeafHandler.ashx?n=PET&amp;s=MOLIMUS1&amp;f=A" xr:uid="{2DC6008D-B0D9-422C-B04C-75FBEDA22C26}"/>
    <hyperlink ref="I20" r:id="rId118" display="https://www.eia.gov/dnav/pet/hist/LeafHandler.ashx?n=PET&amp;s=MOLUA_NUS_1&amp;f=A" xr:uid="{25EE8D95-1374-4D3C-B619-5CA85FE1ADAA}"/>
    <hyperlink ref="J20" r:id="rId119" display="https://www.eia.gov/dnav/pet/hist/LeafHandler.ashx?n=PET&amp;s=MOLSCUS1&amp;f=A" xr:uid="{B72300B9-59FF-4100-A2CA-DB71D4715E83}"/>
    <hyperlink ref="K20" r:id="rId120" display="https://www.eia.gov/dnav/pet/hist/LeafHandler.ashx?n=PET&amp;s=MOLRIUS1&amp;f=A" xr:uid="{1AF9FBA8-1A4A-4DC9-B514-8110382E4DB2}"/>
    <hyperlink ref="L20" r:id="rId121" display="https://www.eia.gov/dnav/pet/hist/LeafHandler.ashx?n=PET&amp;s=MOLEXUS1&amp;f=A" xr:uid="{A6FF350D-D88D-404F-8D29-3D2F3A9A6DB1}"/>
    <hyperlink ref="M20" r:id="rId122" display="https://www.eia.gov/dnav/pet/hist/LeafHandler.ashx?n=PET&amp;s=MOLUPUS1&amp;f=A" xr:uid="{A97AC727-A2F8-4C23-805C-D0C909BA309B}"/>
    <hyperlink ref="N20" r:id="rId123" display="https://www.eia.gov/dnav/pet/hist/LeafHandler.ashx?n=PET&amp;s=MOLSTUS1&amp;f=A" xr:uid="{56B93890-A486-4F13-B18F-CB8C90B81FCD}"/>
    <hyperlink ref="E21" r:id="rId124" display="https://www.eia.gov/dnav/pet/hist/LeafHandler.ashx?n=PET&amp;s=M_EPOO_YNP_NUS_MBBL&amp;f=A" xr:uid="{7EF2D056-3B08-43AC-8F9A-89D0E48E0777}"/>
    <hyperlink ref="G21" r:id="rId125" display="https://www.eia.gov/dnav/pet/hist/LeafHandler.ashx?n=PET&amp;s=MOHIMUS1&amp;f=A" xr:uid="{A7243F25-3A20-4D75-9C47-1A5135DD8384}"/>
    <hyperlink ref="I21" r:id="rId126" display="https://www.eia.gov/dnav/pet/hist/LeafHandler.ashx?n=PET&amp;s=MOHUA_NUS_1&amp;f=A" xr:uid="{CA0C7016-11C4-4416-946D-436F39F728F5}"/>
    <hyperlink ref="J21" r:id="rId127" display="https://www.eia.gov/dnav/pet/hist/LeafHandler.ashx?n=PET&amp;s=MOHSCUS1&amp;f=A" xr:uid="{75276620-29C5-4158-8AAE-4A1639993052}"/>
    <hyperlink ref="K21" r:id="rId128" display="https://www.eia.gov/dnav/pet/hist/LeafHandler.ashx?n=PET&amp;s=MOHRIUS1&amp;f=A" xr:uid="{6B10FC3C-09D1-4AF2-8A65-EBA8F7510BAD}"/>
    <hyperlink ref="L21" r:id="rId129" display="https://www.eia.gov/dnav/pet/hist/LeafHandler.ashx?n=PET&amp;s=MOHEXUS1&amp;f=A" xr:uid="{714CAB13-9A66-4653-BBC6-027597C0EB16}"/>
    <hyperlink ref="M21" r:id="rId130" display="https://www.eia.gov/dnav/pet/hist/LeafHandler.ashx?n=PET&amp;s=MOHUPUS1&amp;f=A" xr:uid="{E4D74025-F416-4F6E-9E5C-8E6611F16DEB}"/>
    <hyperlink ref="N21" r:id="rId131" display="https://www.eia.gov/dnav/pet/hist/LeafHandler.ashx?n=PET&amp;s=MOHSTUS1&amp;f=A" xr:uid="{22D91DF7-B6AF-4759-A2B3-4A52CAC25DFF}"/>
    <hyperlink ref="I22" r:id="rId132" display="https://www.eia.gov/dnav/pet/hist/LeafHandler.ashx?n=PET&amp;s=M_EPOOOH_VUA_NUS_MBBL&amp;f=A" xr:uid="{0931B277-E495-4D1F-8470-83BCF8477E31}"/>
    <hyperlink ref="K22" r:id="rId133" display="https://www.eia.gov/dnav/pet/hist/LeafHandler.ashx?n=PET&amp;s=M_EPOOOH_YIR_NUS_MBBL&amp;f=A" xr:uid="{F1D0B81A-0315-4539-9B0B-9ACB73FBE80B}"/>
    <hyperlink ref="M22" r:id="rId134" display="https://www.eia.gov/dnav/pet/hist/LeafHandler.ashx?n=PET&amp;s=M_EPOOOH_VPP_NUS_MBBL&amp;f=A" xr:uid="{92C0C843-808E-4CD1-841B-70832E30F9B6}"/>
    <hyperlink ref="E23" r:id="rId135" display="https://www.eia.gov/dnav/pet/hist/LeafHandler.ashx?n=PET&amp;s=M_EPOOXXFE_YNP_NUS_MBBL&amp;f=A" xr:uid="{793B72EE-FB10-4C4C-8B31-DA5B5494BCE6}"/>
    <hyperlink ref="G23" r:id="rId136" display="https://www.eia.gov/dnav/pet/hist/LeafHandler.ashx?n=PET&amp;s=M_EPOOXXFE_IM0_NUS-Z00_MBBL&amp;f=A" xr:uid="{AC38D76D-233C-480C-9AF4-385EBD7B16CC}"/>
    <hyperlink ref="I23" r:id="rId137" display="https://www.eia.gov/dnav/pet/hist/LeafHandler.ashx?n=PET&amp;s=M_EPOOXXFE_VUA_NUS_MBBL&amp;f=A" xr:uid="{4B470593-2405-4C68-9C9F-D9564C821476}"/>
    <hyperlink ref="J23" r:id="rId138" display="https://www.eia.gov/dnav/pet/hist/LeafHandler.ashx?n=PET&amp;s=M_EPOOXXFE_SCG_NUS_MBBL&amp;f=A" xr:uid="{07C0D8AF-7AF0-4D98-92DF-0EFB2D0A0BA5}"/>
    <hyperlink ref="K23" r:id="rId139" display="https://www.eia.gov/dnav/pet/hist/LeafHandler.ashx?n=PET&amp;s=M_EPOOXXFE_YIR_NUS_MBBL&amp;f=A" xr:uid="{36045264-8A2C-4718-AE9B-FB3F41D41472}"/>
    <hyperlink ref="L23" r:id="rId140" display="https://www.eia.gov/dnav/pet/hist/LeafHandler.ashx?n=PET&amp;s=M_EPOOXXFE_EEX_NUS-Z00_MBBL&amp;f=A" xr:uid="{47765BD6-34F4-4BFB-AEC3-C4EAF248F4AD}"/>
    <hyperlink ref="M23" r:id="rId141" display="https://www.eia.gov/dnav/pet/hist/LeafHandler.ashx?n=PET&amp;s=M_EPOOXXFE_VPP_NUS_MBBL&amp;f=A" xr:uid="{D0132C8B-7E82-4195-ABCB-D41E602A28CE}"/>
    <hyperlink ref="N23" r:id="rId142" display="https://www.eia.gov/dnav/pet/hist/LeafHandler.ashx?n=PET&amp;s=M_EPOOXXFE_SAE_NUS_MBBL&amp;f=A" xr:uid="{A824197F-3D4C-4C31-B84B-1B8AB8FE3B0B}"/>
    <hyperlink ref="E24" r:id="rId143" display="https://www.eia.gov/dnav/pet/hist/LeafHandler.ashx?n=PET&amp;s=M_EPOOR_YNP_NUS_MBBL&amp;f=A" xr:uid="{EE95750B-E1A6-4195-B03B-A2F1C6BD0C10}"/>
    <hyperlink ref="G24" r:id="rId144" display="https://www.eia.gov/dnav/pet/hist/LeafHandler.ashx?n=PET&amp;s=M_EPOOR_IM0_NUS-Z00_MBBL&amp;f=A" xr:uid="{185C825B-12E4-434B-B292-BEB70D69E5FB}"/>
    <hyperlink ref="I24" r:id="rId145" display="https://www.eia.gov/dnav/pet/hist/LeafHandler.ashx?n=PET&amp;s=M_EPOOR_VUA_NUS_MBBL&amp;f=A" xr:uid="{D3D2DA12-FF3F-464C-B3FF-B81D5B8ECFFD}"/>
    <hyperlink ref="J24" r:id="rId146" display="https://www.eia.gov/dnav/pet/hist/LeafHandler.ashx?n=PET&amp;s=M_EPOOR_SCG_NUS_MBBL&amp;f=A" xr:uid="{F4B3E348-0BD3-4420-9915-E829BFEA2F63}"/>
    <hyperlink ref="K24" r:id="rId147" display="https://www.eia.gov/dnav/pet/hist/LeafHandler.ashx?n=PET&amp;s=M_EPOOR_YIR_NUS_MBBL&amp;f=A" xr:uid="{BDE3D1D0-95B4-4E0B-91BA-9E84BB52617F}"/>
    <hyperlink ref="L24" r:id="rId148" display="https://www.eia.gov/dnav/pet/hist/LeafHandler.ashx?n=PET&amp;s=M_EPOOR_EEX_NUS-Z00_MBBL&amp;f=A" xr:uid="{F1257C9C-7D3D-4940-8552-09E8B793B0B6}"/>
    <hyperlink ref="M24" r:id="rId149" display="https://www.eia.gov/dnav/pet/hist/LeafHandler.ashx?n=PET&amp;s=M_EPOOR_VPP_NUS_MBBL&amp;f=A" xr:uid="{7AB4ECE6-B8EC-4ED6-9082-B2E8DBC6D2D3}"/>
    <hyperlink ref="N24" r:id="rId150" display="https://www.eia.gov/dnav/pet/hist/LeafHandler.ashx?n=PET&amp;s=M_EPOOR_SAE_NUS_MBBL&amp;f=A" xr:uid="{479827D7-3BBE-47AB-8A1B-F8F58B435E50}"/>
    <hyperlink ref="E25" r:id="rId151" display="https://www.eia.gov/dnav/pet/hist/LeafHandler.ashx?n=PET&amp;s=M_EPOOXE_YNP_NUS_MBBL&amp;f=A" xr:uid="{091B3AF2-0FCB-41B1-BFFC-442E3E553A31}"/>
    <hyperlink ref="G25" r:id="rId152" display="https://www.eia.gov/dnav/pet/hist/LeafHandler.ashx?n=PET&amp;s=MFEIMUS1&amp;f=A" xr:uid="{57ADEF34-59EA-4E3C-9326-F8518C8D92EA}"/>
    <hyperlink ref="I25" r:id="rId153" display="https://www.eia.gov/dnav/pet/hist/LeafHandler.ashx?n=PET&amp;s=M_EPOOXE_VUA_NUS_MBBL&amp;f=A" xr:uid="{032FFA2B-8B69-4AC0-8B4D-26BC1387F915}"/>
    <hyperlink ref="J25" r:id="rId154" display="https://www.eia.gov/dnav/pet/hist/LeafHandler.ashx?n=PET&amp;s=M_EPOOXE_SCG_NUS_MBBL&amp;f=A" xr:uid="{FB5A4DC8-7FE3-4D2A-B789-F7D225F73E1D}"/>
    <hyperlink ref="K25" r:id="rId155" display="https://www.eia.gov/dnav/pet/hist/LeafHandler.ashx?n=PET&amp;s=MFERIUS1&amp;f=A" xr:uid="{4AE0DDD2-F02A-4343-B26C-69061A4C81C2}"/>
    <hyperlink ref="L25" r:id="rId156" display="https://www.eia.gov/dnav/pet/hist/LeafHandler.ashx?n=PET&amp;s=M_EPOOXE_EEX_NUS-Z00_MBBL&amp;f=A" xr:uid="{FECDCAEB-1EDF-4244-BC88-0273A08CD569}"/>
    <hyperlink ref="M25" r:id="rId157" display="https://www.eia.gov/dnav/pet/hist/LeafHandler.ashx?n=PET&amp;s=M_EPOOXE_VPP_NUS_MBBL&amp;f=A" xr:uid="{32F7C8E1-7793-41E3-894D-66FED0A77320}"/>
    <hyperlink ref="N25" r:id="rId158" display="https://www.eia.gov/dnav/pet/hist/LeafHandler.ashx?n=PET&amp;s=MFESTUS1&amp;f=A" xr:uid="{874C1696-EFCF-49F0-8F1A-FFD1EC6F5563}"/>
    <hyperlink ref="E26" r:id="rId159" display="https://www.eia.gov/dnav/pet/hist/LeafHandler.ashx?n=PET&amp;s=M_EPOORXFE_YNP_NUS_MBBL&amp;f=A" xr:uid="{5C3F8F9A-B04E-4770-A277-3473D63F5CA3}"/>
    <hyperlink ref="G26" r:id="rId160" display="https://www.eia.gov/dnav/pet/hist/LeafHandler.ashx?n=PET&amp;s=M_EPOORXFE_IM0_NUS-Z00_MBBL&amp;f=A" xr:uid="{1A5ADA07-E627-4675-A5E8-848EB45E6781}"/>
    <hyperlink ref="I26" r:id="rId161" display="https://www.eia.gov/dnav/pet/hist/LeafHandler.ashx?n=PET&amp;s=M_EPOORXFE_VUA_NUS_MBBL&amp;f=A" xr:uid="{0E98DEC7-CD34-444E-BBF3-42D07E4A936F}"/>
    <hyperlink ref="J26" r:id="rId162" display="https://www.eia.gov/dnav/pet/hist/LeafHandler.ashx?n=PET&amp;s=M_EPOORXFE_SCG_NUS_MBBL&amp;f=A" xr:uid="{A253A96E-7CDB-4947-BD91-47520DC3B2E3}"/>
    <hyperlink ref="K26" r:id="rId163" display="https://www.eia.gov/dnav/pet/hist/LeafHandler.ashx?n=PET&amp;s=M_EPOORXFE_YIR_NUS_MBBL&amp;f=A" xr:uid="{01D28B7C-1281-401C-A533-71689A55D608}"/>
    <hyperlink ref="L26" r:id="rId164" display="https://www.eia.gov/dnav/pet/hist/LeafHandler.ashx?n=PET&amp;s=M_EPOORXFE_EEX_NUS-Z00_MBBL&amp;f=A" xr:uid="{104A00D5-F55B-4730-9BCD-4017FDD4EAD3}"/>
    <hyperlink ref="M26" r:id="rId165" display="https://www.eia.gov/dnav/pet/hist/LeafHandler.ashx?n=PET&amp;s=M_EPOORXFE_VPP_NUS_MBBL&amp;f=A" xr:uid="{E7D69333-218E-4C53-9E74-4087B9ACD781}"/>
    <hyperlink ref="N26" r:id="rId166" display="https://www.eia.gov/dnav/pet/hist/LeafHandler.ashx?n=PET&amp;s=M_EPOORXFE_SAE_NUS_MBBL&amp;f=A" xr:uid="{8216E2EC-AC97-4D94-8433-E24BB4CF1D86}"/>
    <hyperlink ref="E27" r:id="rId167" display="https://www.eia.gov/dnav/pet/hist/LeafHandler.ashx?n=PET&amp;s=M_EPOORDB_YNP_NUS_MBBL&amp;f=A" xr:uid="{8E0A4915-7393-43EB-9C0B-2EA38BB453B6}"/>
    <hyperlink ref="G27" r:id="rId168" display="https://www.eia.gov/dnav/pet/hist/LeafHandler.ashx?n=PET&amp;s=M_EPOORDB_IM0_NUS-Z00_MBBL&amp;f=A" xr:uid="{DEFEDEDA-0A7B-4E68-BA54-0E1DCB89107A}"/>
    <hyperlink ref="I27" r:id="rId169" display="https://www.eia.gov/dnav/pet/hist/LeafHandler.ashx?n=PET&amp;s=M_EPOORDB_VUA_NUS_MBBL&amp;f=A" xr:uid="{7FBBD1C9-6BDA-43A4-838E-8DCCA55EB218}"/>
    <hyperlink ref="J27" r:id="rId170" display="https://www.eia.gov/dnav/pet/hist/LeafHandler.ashx?n=PET&amp;s=M_EPOORDB_SCG_NUS_MBBL&amp;f=A" xr:uid="{22E99BCB-5542-4FEF-B9FB-30F17F651104}"/>
    <hyperlink ref="K27" r:id="rId171" display="https://www.eia.gov/dnav/pet/hist/LeafHandler.ashx?n=PET&amp;s=M_EPOORDB_YIR_NUS_MBBL&amp;f=A" xr:uid="{5A54FF12-4709-4FC6-932D-7037DEB89A3E}"/>
    <hyperlink ref="L27" r:id="rId172" display="https://www.eia.gov/dnav/pet/hist/LeafHandler.ashx?n=PET&amp;s=M_EPOORDB_EEX_NUS-Z00_MBBL&amp;f=A" xr:uid="{348BFD6C-A108-4C97-BADE-DB7734B17857}"/>
    <hyperlink ref="M27" r:id="rId173" display="https://www.eia.gov/dnav/pet/hist/LeafHandler.ashx?n=PET&amp;s=M_EPOORDB_VPP_NUS_MBBL&amp;f=A" xr:uid="{93BE9E33-956B-4115-8D21-FE0959268E09}"/>
    <hyperlink ref="N27" r:id="rId174" display="https://www.eia.gov/dnav/pet/hist/LeafHandler.ashx?n=PET&amp;s=M_EPOORDB_SAE_NUS_MBBL&amp;f=A" xr:uid="{9BE6A749-BA2C-4FDB-ADE1-974C3279BF43}"/>
    <hyperlink ref="E28" r:id="rId175" display="https://www.eia.gov/dnav/pet/hist/LeafHandler.ashx?n=PET&amp;s=M_EPOORDO_YNP_NUS_MBBL&amp;f=A" xr:uid="{B463912A-C836-4CE5-9B1C-C3582B91EF85}"/>
    <hyperlink ref="G28" r:id="rId176" display="https://www.eia.gov/dnav/pet/hist/LeafHandler.ashx?n=PET&amp;s=M_EPOORDO_IM0_NUS-Z00_MBBL&amp;f=A" xr:uid="{A0424EEC-B47F-448A-BE02-B807FB1C9047}"/>
    <hyperlink ref="I28" r:id="rId177" display="https://www.eia.gov/dnav/pet/hist/LeafHandler.ashx?n=PET&amp;s=M_EPOORDO_VUA_NUS_MBBL&amp;f=A" xr:uid="{47C36C93-9A08-4DB4-82B6-3CD57BFE0542}"/>
    <hyperlink ref="J28" r:id="rId178" display="https://www.eia.gov/dnav/pet/hist/LeafHandler.ashx?n=PET&amp;s=M_EPOORDO_SCG_NUS_MBBL&amp;f=A" xr:uid="{948237FE-417E-410A-8F38-C2E3CD287E1B}"/>
    <hyperlink ref="K28" r:id="rId179" display="https://www.eia.gov/dnav/pet/hist/LeafHandler.ashx?n=PET&amp;s=M_EPOORDO_YIR_NUS_MBBL&amp;f=A" xr:uid="{AC9D0F12-3602-4B06-AAD4-2B0A8988CE06}"/>
    <hyperlink ref="L28" r:id="rId180" display="https://www.eia.gov/dnav/pet/hist/LeafHandler.ashx?n=PET&amp;s=M_EPOORDO_EEX_NUS-Z00_MBBL&amp;f=A" xr:uid="{B212C33E-7B45-4CF1-BC3E-341B20C91DCD}"/>
    <hyperlink ref="M28" r:id="rId181" display="https://www.eia.gov/dnav/pet/hist/LeafHandler.ashx?n=PET&amp;s=M_EPOORDO_VPP_NUS_MBBL&amp;f=A" xr:uid="{F3CD209D-3BE2-4C59-BBE8-E4BB8DB86800}"/>
    <hyperlink ref="N28" r:id="rId182" display="https://www.eia.gov/dnav/pet/hist/LeafHandler.ashx?n=PET&amp;s=M_EPOORDO_SAE_NUS_MBBL&amp;f=A" xr:uid="{7CBDCD4E-3E4E-40CA-8585-6438B044089F}"/>
    <hyperlink ref="E29" r:id="rId183" display="https://www.eia.gov/dnav/pet/hist/LeafHandler.ashx?n=PET&amp;s=M_EPOORO_YNP_NUS_MBBL&amp;f=A" xr:uid="{B7632EF0-B952-4AF7-AF20-3E2B3EEC4F24}"/>
    <hyperlink ref="G29" r:id="rId184" display="https://www.eia.gov/dnav/pet/hist/LeafHandler.ashx?n=PET&amp;s=M_EPOORO_IM0_NUS-Z00_MBBL&amp;f=A" xr:uid="{9158370B-0A5F-4B92-B909-AB352D8A2650}"/>
    <hyperlink ref="I29" r:id="rId185" display="https://www.eia.gov/dnav/pet/hist/LeafHandler.ashx?n=PET&amp;s=M_EPOORO_VUA_NUS_MBBL&amp;f=A" xr:uid="{B91A9DFE-DC7A-4125-B341-0245A3CE9865}"/>
    <hyperlink ref="J29" r:id="rId186" display="https://www.eia.gov/dnav/pet/hist/LeafHandler.ashx?n=PET&amp;s=M_EPOORO_SCG_NUS_MBBL&amp;f=A" xr:uid="{FB390032-F48F-4827-8C7D-FF6F7CD7F0A3}"/>
    <hyperlink ref="K29" r:id="rId187" display="https://www.eia.gov/dnav/pet/hist/LeafHandler.ashx?n=PET&amp;s=M_EPOORO_YIR_NUS_MBBL&amp;f=A" xr:uid="{8F73B504-0E5D-4524-AB3F-A7FAF9FF5F90}"/>
    <hyperlink ref="L29" r:id="rId188" display="https://www.eia.gov/dnav/pet/hist/LeafHandler.ashx?n=PET&amp;s=M_EPOORO_EEX_NUS-Z00_MBBL&amp;f=A" xr:uid="{5CBF6BC9-EE1A-45B1-B34F-4E38C436C32D}"/>
    <hyperlink ref="M29" r:id="rId189" display="https://www.eia.gov/dnav/pet/hist/LeafHandler.ashx?n=PET&amp;s=M_EPOORO_VPP_NUS_MBBL&amp;f=A" xr:uid="{45CA182B-9CC3-446E-A365-945D1974F9BD}"/>
    <hyperlink ref="N29" r:id="rId190" display="https://www.eia.gov/dnav/pet/hist/LeafHandler.ashx?n=PET&amp;s=M_EPOORO_SAE_NUS_MBBL&amp;f=A" xr:uid="{25A9FFE3-1F4F-4141-89F4-8A82F530331B}"/>
    <hyperlink ref="G30" r:id="rId191" display="https://www.eia.gov/dnav/pet/hist/LeafHandler.ashx?n=PET&amp;s=M_EPOOOXH_IM0_NUS-Z00_MBBL&amp;f=A" xr:uid="{B0DF1709-9B4C-439A-83FB-47ED67E0559D}"/>
    <hyperlink ref="I30" r:id="rId192" display="https://www.eia.gov/dnav/pet/hist/LeafHandler.ashx?n=PET&amp;s=M_EPOOOXH_VUA_NUS_MBBL&amp;f=A" xr:uid="{6431A390-1927-40DE-BB03-93DAC700F7A3}"/>
    <hyperlink ref="J30" r:id="rId193" display="https://www.eia.gov/dnav/pet/hist/LeafHandler.ashx?n=PET&amp;s=M_EPOOOXH_SCG_NUS_MBBL&amp;f=A" xr:uid="{21F99146-C712-4517-A995-5B71AC37F810}"/>
    <hyperlink ref="K30" r:id="rId194" display="https://www.eia.gov/dnav/pet/hist/LeafHandler.ashx?n=PET&amp;s=M_EPOOOXH_YIR_NUS_MBBL&amp;f=A" xr:uid="{04A4B0AB-E45C-4144-BBAE-E48ED8D3D82C}"/>
    <hyperlink ref="M30" r:id="rId195" display="https://www.eia.gov/dnav/pet/hist/LeafHandler.ashx?n=PET&amp;s=M_EPOOOXH_VPP_NUS_MBBL&amp;f=A" xr:uid="{47DAAEE0-186F-4A3D-9384-17DC3A5D14E8}"/>
    <hyperlink ref="N30" r:id="rId196" display="https://www.eia.gov/dnav/pet/hist/LeafHandler.ashx?n=PET&amp;s=M_EPOOOXH_SAE_NUS_MBBL&amp;f=A" xr:uid="{A8E223D0-9E9E-48BA-BD01-848D5C4400AC}"/>
    <hyperlink ref="D31" r:id="rId197" display="https://www.eia.gov/dnav/pet/hist/LeafHandler.ashx?n=PET&amp;s=M_EPPU_TVP_NUS_MBBL&amp;f=A" xr:uid="{8FEDAB77-A392-4699-8B4C-00896B690120}"/>
    <hyperlink ref="G31" r:id="rId198" display="https://www.eia.gov/dnav/pet/hist/LeafHandler.ashx?n=PET&amp;s=MUOIMUS1&amp;f=A" xr:uid="{90925BB1-7F09-4190-A42A-41E2CB674320}"/>
    <hyperlink ref="J31" r:id="rId199" display="https://www.eia.gov/dnav/pet/hist/LeafHandler.ashx?n=PET&amp;s=MUOSCUS1&amp;f=A" xr:uid="{19FEBDD6-7F2A-40ED-904D-C57708441F3A}"/>
    <hyperlink ref="K31" r:id="rId200" display="https://www.eia.gov/dnav/pet/hist/LeafHandler.ashx?n=PET&amp;s=MUORIUS1&amp;f=A" xr:uid="{26A8127D-6B0C-486F-8A32-A5528053BB1A}"/>
    <hyperlink ref="L31" r:id="rId201" display="https://www.eia.gov/dnav/pet/hist/LeafHandler.ashx?n=PET&amp;s=MUOEXUS1&amp;f=A" xr:uid="{6E741045-4860-4DD6-A28D-7B3E8F98E572}"/>
    <hyperlink ref="M31" r:id="rId202" display="https://www.eia.gov/dnav/pet/hist/LeafHandler.ashx?n=PET&amp;s=MUOUPUS1&amp;f=A" xr:uid="{9EBCB558-0FDD-4EB3-8002-56A9C5406A13}"/>
    <hyperlink ref="N31" r:id="rId203" display="https://www.eia.gov/dnav/pet/hist/LeafHandler.ashx?n=PET&amp;s=MUOSTUS1&amp;f=A" xr:uid="{369B09E7-6989-4C44-A8A5-0E9F6C7D0BC5}"/>
    <hyperlink ref="E32" r:id="rId204" display="https://www.eia.gov/dnav/pet/hist/LeafHandler.ashx?n=PET&amp;s=M_EPOBG_YNP_NUS_MBBL&amp;f=A" xr:uid="{35C2747F-DCA3-4CF7-8A8B-847D44103E2D}"/>
    <hyperlink ref="G32" r:id="rId205" display="https://www.eia.gov/dnav/pet/hist/LeafHandler.ashx?n=PET&amp;s=MBCIMUS1&amp;f=A" xr:uid="{331D9BBB-0D97-4E6C-AC55-2A6D9B0AAAEC}"/>
    <hyperlink ref="I32" r:id="rId206" display="https://www.eia.gov/dnav/pet/hist/LeafHandler.ashx?n=PET&amp;s=MBCUA_NUS_1&amp;f=A" xr:uid="{3B615157-B1FB-43ED-BC22-F6C6743EAA98}"/>
    <hyperlink ref="J32" r:id="rId207" display="https://www.eia.gov/dnav/pet/hist/LeafHandler.ashx?n=PET&amp;s=MBCSCUS1&amp;f=A" xr:uid="{307B0D58-1062-4375-B5A6-7D0A2ADB9561}"/>
    <hyperlink ref="K32" r:id="rId208" display="https://www.eia.gov/dnav/pet/hist/LeafHandler.ashx?n=PET&amp;s=MBCRIUS1&amp;f=A" xr:uid="{F9ED7FC8-DF50-4EC1-BFC6-8DDDAAFE5A4A}"/>
    <hyperlink ref="L32" r:id="rId209" display="https://www.eia.gov/dnav/pet/hist/LeafHandler.ashx?n=PET&amp;s=MBCEXUS1&amp;f=A" xr:uid="{3066166F-AF14-49F5-B417-E693C33DDB2C}"/>
    <hyperlink ref="M32" r:id="rId210" display="https://www.eia.gov/dnav/pet/hist/LeafHandler.ashx?n=PET&amp;s=MBCUPUS1&amp;f=A" xr:uid="{CAAC074F-F01A-4B08-9659-A6B439ACC864}"/>
    <hyperlink ref="N32" r:id="rId211" display="https://www.eia.gov/dnav/pet/hist/LeafHandler.ashx?n=PET&amp;s=MBCSTUS1&amp;f=A" xr:uid="{928A1EEA-FDC5-4F1D-9C44-72A44702FF68}"/>
    <hyperlink ref="E33" r:id="rId212" display="https://www.eia.gov/dnav/pet/hist/LeafHandler.ashx?n=PET&amp;s=M_EPOBGR0_YNP_NUS_MBBL&amp;f=A" xr:uid="{398E1929-CCA0-4A5D-8813-30EB29F4482D}"/>
    <hyperlink ref="G33" r:id="rId213" display="https://www.eia.gov/dnav/pet/hist/LeafHandler.ashx?n=PET&amp;s=MO1IM_NUS-Z00_1&amp;f=A" xr:uid="{696059C5-EA68-4B10-B095-63ACACE11DD7}"/>
    <hyperlink ref="I33" r:id="rId214" display="https://www.eia.gov/dnav/pet/hist/LeafHandler.ashx?n=PET&amp;s=MO1UA_NUS_1&amp;f=A" xr:uid="{541857D2-2E10-4D76-95C9-3A0CDBAFF859}"/>
    <hyperlink ref="J33" r:id="rId215" display="https://www.eia.gov/dnav/pet/hist/LeafHandler.ashx?n=PET&amp;s=MO1SC_NUS_1&amp;f=A" xr:uid="{8F4F4F52-9AA0-451A-82F8-E39EE6E2694D}"/>
    <hyperlink ref="K33" r:id="rId216" display="https://www.eia.gov/dnav/pet/hist/LeafHandler.ashx?n=PET&amp;s=MO1RI_NUS_1&amp;f=A" xr:uid="{A72908CC-B900-4140-8AC1-5E196FCBE457}"/>
    <hyperlink ref="L33" r:id="rId217" display="https://www.eia.gov/dnav/pet/hist/LeafHandler.ashx?n=PET&amp;s=MO1EX_NUS-Z00_1&amp;f=A" xr:uid="{DB94D363-3C4D-4DEC-BA09-D6912A82247F}"/>
    <hyperlink ref="M33" r:id="rId218" display="https://www.eia.gov/dnav/pet/hist/LeafHandler.ashx?n=PET&amp;s=MO1UP_NUS_1&amp;f=A" xr:uid="{EBD34C99-E202-448C-973C-D1A8FFCB6BE7}"/>
    <hyperlink ref="N33" r:id="rId219" display="https://www.eia.gov/dnav/pet/hist/LeafHandler.ashx?n=PET&amp;s=MO1ST_NUS_1&amp;f=A" xr:uid="{F6A02EDA-A184-4864-BAED-D85FF9743A96}"/>
    <hyperlink ref="E34" r:id="rId220" display="https://www.eia.gov/dnav/pet/hist/LeafHandler.ashx?n=PET&amp;s=M_EPOBGC0_YNP_NUS_MBBL&amp;f=A" xr:uid="{17769DF9-32CB-49C9-B6E9-A28E6F2738DC}"/>
    <hyperlink ref="G34" r:id="rId221" display="https://www.eia.gov/dnav/pet/hist/LeafHandler.ashx?n=PET&amp;s=MO5IM_NUS-Z00_1&amp;f=A" xr:uid="{9D35AFEC-49AC-4876-BEAF-B35126A8758F}"/>
    <hyperlink ref="I34" r:id="rId222" display="https://www.eia.gov/dnav/pet/hist/LeafHandler.ashx?n=PET&amp;s=MO5UA_NUS_1&amp;f=A" xr:uid="{9CF2FF2F-11CD-499D-A5AC-6649E7E3B4CE}"/>
    <hyperlink ref="J34" r:id="rId223" display="https://www.eia.gov/dnav/pet/hist/LeafHandler.ashx?n=PET&amp;s=MO5SC_NUS_1&amp;f=A" xr:uid="{06148484-3AE5-450C-B170-4A1AA3C65577}"/>
    <hyperlink ref="K34" r:id="rId224" display="https://www.eia.gov/dnav/pet/hist/LeafHandler.ashx?n=PET&amp;s=MO5RI_NUS_1&amp;f=A" xr:uid="{9DE41BC0-E040-476C-9FD0-44DD7BE81468}"/>
    <hyperlink ref="L34" r:id="rId225" display="https://www.eia.gov/dnav/pet/hist/LeafHandler.ashx?n=PET&amp;s=MO5EX_NUS-Z00_1&amp;f=A" xr:uid="{33208F03-97FA-4074-A3AE-C4DC618DC392}"/>
    <hyperlink ref="M34" r:id="rId226" display="https://www.eia.gov/dnav/pet/hist/LeafHandler.ashx?n=PET&amp;s=MO5UP_NUS_1&amp;f=A" xr:uid="{256523CD-328B-4340-8010-4710F071B3F8}"/>
    <hyperlink ref="N34" r:id="rId227" display="https://www.eia.gov/dnav/pet/hist/LeafHandler.ashx?n=PET&amp;s=MO5ST_NUS_1&amp;f=A" xr:uid="{11EDA33A-0C66-4A7F-85D2-AEB307CACDCB}"/>
    <hyperlink ref="G35" r:id="rId228" display="https://www.eia.gov/dnav/pet/hist/LeafHandler.ashx?n=PET&amp;s=MBAIMUS1&amp;f=A" xr:uid="{506BCC51-C795-4278-83C0-3C15BB47AD4C}"/>
    <hyperlink ref="J35" r:id="rId229" display="https://www.eia.gov/dnav/pet/hist/LeafHandler.ashx?n=PET&amp;s=MBASCUS1&amp;f=A" xr:uid="{AEC84D74-9E5D-4C94-8B31-0C97AAEBAD45}"/>
    <hyperlink ref="K35" r:id="rId230" display="https://www.eia.gov/dnav/pet/hist/LeafHandler.ashx?n=PET&amp;s=MBARIUS1&amp;f=A" xr:uid="{E66CA329-6846-499E-B2AC-51963070AAFE}"/>
    <hyperlink ref="L35" r:id="rId231" display="https://www.eia.gov/dnav/pet/hist/LeafHandler.ashx?n=PET&amp;s=MBAEXUS1&amp;f=A" xr:uid="{93BE2C3B-FF67-4EE9-A6A6-1B872E428D5B}"/>
    <hyperlink ref="M35" r:id="rId232" display="https://www.eia.gov/dnav/pet/hist/LeafHandler.ashx?n=PET&amp;s=MBAUPUS1&amp;f=A" xr:uid="{FCDAA701-0224-4898-8348-7EBFABD94C38}"/>
    <hyperlink ref="N35" r:id="rId233" display="https://www.eia.gov/dnav/pet/hist/LeafHandler.ashx?n=PET&amp;s=MBASTUS1&amp;f=A" xr:uid="{92250B88-05F7-4B48-889E-A1D40748ADDC}"/>
    <hyperlink ref="E36" r:id="rId234" display="https://www.eia.gov/dnav/pet/hist/LeafHandler.ashx?n=PET&amp;s=M_EPP2_YNP_NUS_MBBL&amp;f=A" xr:uid="{CB23075A-EB9A-49B5-9668-9A46046BF5E7}"/>
    <hyperlink ref="F36" r:id="rId235" display="https://www.eia.gov/dnav/pet/hist/LeafHandler.ashx?n=PET&amp;s=MTPRPUS1&amp;f=A" xr:uid="{D48F8F20-CE04-44EF-A096-EAB99A816F80}"/>
    <hyperlink ref="G36" r:id="rId236" display="https://www.eia.gov/dnav/pet/hist/LeafHandler.ashx?n=PET&amp;s=MTPIMUS1&amp;f=A" xr:uid="{E6FDAC78-A2D4-4621-8BF0-2786568E08A5}"/>
    <hyperlink ref="I36" r:id="rId237" display="https://www.eia.gov/dnav/pet/hist/LeafHandler.ashx?n=PET&amp;s=MTPUA_NUS_1&amp;f=A" xr:uid="{A7E00F0F-0D5D-4EB8-88AF-20701B37D86F}"/>
    <hyperlink ref="J36" r:id="rId238" display="https://www.eia.gov/dnav/pet/hist/LeafHandler.ashx?n=PET&amp;s=MTPSCUS1&amp;f=A" xr:uid="{56A69719-8F11-4765-A47A-A2ACECD7F42A}"/>
    <hyperlink ref="L36" r:id="rId239" display="https://www.eia.gov/dnav/pet/hist/LeafHandler.ashx?n=PET&amp;s=MTPEXUS1&amp;f=A" xr:uid="{289D0D67-35A9-4B15-BDA0-E72AF762A5F1}"/>
    <hyperlink ref="M36" r:id="rId240" display="https://www.eia.gov/dnav/pet/hist/LeafHandler.ashx?n=PET&amp;s=MTPUPUS1&amp;f=A" xr:uid="{E598CAE8-D809-48A0-BE6F-EB07A76B87C4}"/>
    <hyperlink ref="N36" r:id="rId241" display="https://www.eia.gov/dnav/pet/hist/LeafHandler.ashx?n=PET&amp;s=MTPSTUS1&amp;f=A" xr:uid="{AB9BC409-05B9-4C8D-B190-ADEF036AD444}"/>
    <hyperlink ref="E37" r:id="rId242" display="https://www.eia.gov/dnav/pet/hist/LeafHandler.ashx?n=PET&amp;s=M_EPM0F_YNP_NUS_MBBL&amp;f=A" xr:uid="{B3478053-7330-460D-95F8-B6F31A380E03}"/>
    <hyperlink ref="F37" r:id="rId243" display="https://www.eia.gov/dnav/pet/hist/LeafHandler.ashx?n=PET&amp;s=MGFRPUS1&amp;f=A" xr:uid="{93CFAE00-7C36-46EC-A943-FE1A371285E7}"/>
    <hyperlink ref="G37" r:id="rId244" display="https://www.eia.gov/dnav/pet/hist/LeafHandler.ashx?n=PET&amp;s=MGFIMUS1&amp;f=A" xr:uid="{DAC9D738-9D9B-4FE2-9833-1C0BEED684F8}"/>
    <hyperlink ref="I37" r:id="rId245" display="https://www.eia.gov/dnav/pet/hist/LeafHandler.ashx?n=PET&amp;s=MGFUA_NUS_1&amp;f=A" xr:uid="{DE38ADE6-FFD7-4942-8137-37516DCE38AF}"/>
    <hyperlink ref="J37" r:id="rId246" display="https://www.eia.gov/dnav/pet/hist/LeafHandler.ashx?n=PET&amp;s=MGFSCUS1&amp;f=A" xr:uid="{296D2726-7651-467B-B9C1-B76E8977C28C}"/>
    <hyperlink ref="L37" r:id="rId247" display="https://www.eia.gov/dnav/pet/hist/LeafHandler.ashx?n=PET&amp;s=MGFEXUS1&amp;f=A" xr:uid="{AACB0182-D6AB-4097-8B50-54C09D9769C1}"/>
    <hyperlink ref="M37" r:id="rId248" display="https://www.eia.gov/dnav/pet/hist/LeafHandler.ashx?n=PET&amp;s=MGFUPUS1&amp;f=A" xr:uid="{636ED5A8-06D6-4FF8-87FC-D32E258A45AD}"/>
    <hyperlink ref="N37" r:id="rId249" display="https://www.eia.gov/dnav/pet/hist/LeafHandler.ashx?n=PET&amp;s=MGFSTUS1&amp;f=A" xr:uid="{EF22750E-4ED1-4EB1-9D06-8555D3411C01}"/>
    <hyperlink ref="F38" r:id="rId250" display="https://www.eia.gov/dnav/pet/hist/LeafHandler.ashx?n=PET&amp;s=MGRRPUS1&amp;f=A" xr:uid="{D4EFBB4F-3372-4FDD-A44C-3520BAF746E0}"/>
    <hyperlink ref="G38" r:id="rId251" display="https://www.eia.gov/dnav/pet/hist/LeafHandler.ashx?n=PET&amp;s=MGRIMUS1&amp;f=A" xr:uid="{5C54AD52-E925-42D7-A292-7319DE6E782A}"/>
    <hyperlink ref="I38" r:id="rId252" display="https://www.eia.gov/dnav/pet/hist/LeafHandler.ashx?n=PET&amp;s=MGRUA_NUS_1&amp;f=A" xr:uid="{DA115854-C53E-4EA7-9E49-0F21879C56D5}"/>
    <hyperlink ref="J38" r:id="rId253" display="https://www.eia.gov/dnav/pet/hist/LeafHandler.ashx?n=PET&amp;s=MGRSCUS1&amp;f=A" xr:uid="{2EFB66A1-6F87-4CAE-AC2B-9FCDC0E0CCA5}"/>
    <hyperlink ref="L38" r:id="rId254" display="https://www.eia.gov/dnav/pet/hist/LeafHandler.ashx?n=PET&amp;s=MGREXUS1&amp;f=A" xr:uid="{7AC30D30-27D1-4B51-BA37-68F9AA3D2512}"/>
    <hyperlink ref="M38" r:id="rId255" display="https://www.eia.gov/dnav/pet/hist/LeafHandler.ashx?n=PET&amp;s=MGRUPUS1&amp;f=A" xr:uid="{C23ABCEB-AD38-43A6-BA7A-55F90D93C49B}"/>
    <hyperlink ref="N38" r:id="rId256" display="https://www.eia.gov/dnav/pet/hist/LeafHandler.ashx?n=PET&amp;s=MGRSTUS1&amp;f=A" xr:uid="{0175B0D4-4355-4A0F-9D35-E7FFFD1907E8}"/>
    <hyperlink ref="E39" r:id="rId257" display="https://www.eia.gov/dnav/pet/hist/LeafHandler.ashx?n=PET&amp;s=M_EPM0C_YNP_NUS_MBBL&amp;f=A" xr:uid="{4B0CAA39-9A4D-4D12-9F6E-03C1B0C8BA52}"/>
    <hyperlink ref="F39" r:id="rId258" display="https://www.eia.gov/dnav/pet/hist/LeafHandler.ashx?n=PET&amp;s=MG4RP_NUS_1&amp;f=A" xr:uid="{EB31B62B-4360-4DE1-BD6E-B0E078321DCB}"/>
    <hyperlink ref="G39" r:id="rId259" display="https://www.eia.gov/dnav/pet/hist/LeafHandler.ashx?n=PET&amp;s=MG4IM_NUS-Z00_1&amp;f=A" xr:uid="{C9575742-AA45-4EFA-AE79-030049FEDBE5}"/>
    <hyperlink ref="I39" r:id="rId260" display="https://www.eia.gov/dnav/pet/hist/LeafHandler.ashx?n=PET&amp;s=MG4UA_NUS_1&amp;f=A" xr:uid="{CA35F57A-9159-49A6-BBD4-550F7B1B3812}"/>
    <hyperlink ref="J39" r:id="rId261" display="https://www.eia.gov/dnav/pet/hist/LeafHandler.ashx?n=PET&amp;s=MG4SC_NUS_1&amp;f=A" xr:uid="{E58ACEC3-4328-4E73-BB7B-6E81B49AFBE4}"/>
    <hyperlink ref="L39" r:id="rId262" display="https://www.eia.gov/dnav/pet/hist/LeafHandler.ashx?n=PET&amp;s=MG4EX_NUS-Z00_1&amp;f=A" xr:uid="{79660A39-A78F-4DF2-8635-33ECC4269AB0}"/>
    <hyperlink ref="M39" r:id="rId263" display="https://www.eia.gov/dnav/pet/hist/LeafHandler.ashx?n=PET&amp;s=MG4UP_NUS_1&amp;f=A" xr:uid="{7D6F041A-2A2F-42CC-965E-72F9BC3E36CF}"/>
    <hyperlink ref="N39" r:id="rId264" display="https://www.eia.gov/dnav/pet/hist/LeafHandler.ashx?n=PET&amp;s=MG4ST_NUS_1&amp;f=A" xr:uid="{E11F18A5-8380-4B77-92E1-934CE7BAB6E5}"/>
    <hyperlink ref="F40" r:id="rId265" display="https://www.eia.gov/dnav/pet/hist/LeafHandler.ashx?n=PET&amp;s=MGARPUS1&amp;f=A" xr:uid="{AAD8CDD3-9B0D-46F0-AC2F-172145296ECC}"/>
    <hyperlink ref="G40" r:id="rId266" display="https://www.eia.gov/dnav/pet/hist/LeafHandler.ashx?n=PET&amp;s=MGAIMUS1&amp;f=A" xr:uid="{41D8243D-9906-461C-A982-DFC0C4B0DB49}"/>
    <hyperlink ref="J40" r:id="rId267" display="https://www.eia.gov/dnav/pet/hist/LeafHandler.ashx?n=PET&amp;s=MGASCUS1&amp;f=A" xr:uid="{A332C44F-D07D-4781-9A15-1F0C8FDA5885}"/>
    <hyperlink ref="L40" r:id="rId268" display="https://www.eia.gov/dnav/pet/hist/LeafHandler.ashx?n=PET&amp;s=MGAEXUS1&amp;f=A" xr:uid="{EF307037-5B41-48A3-BBF8-E4138E9E15A1}"/>
    <hyperlink ref="M40" r:id="rId269" display="https://www.eia.gov/dnav/pet/hist/LeafHandler.ashx?n=PET&amp;s=MGAUPUS1&amp;f=A" xr:uid="{BB73D77A-2354-41F0-A6BB-8CF4E9BA0989}"/>
    <hyperlink ref="N40" r:id="rId270" display="https://www.eia.gov/dnav/pet/hist/LeafHandler.ashx?n=PET&amp;s=MGASTUS1&amp;f=A" xr:uid="{0A671BA9-33CA-4CAA-BC4F-004315ED02A0}"/>
    <hyperlink ref="E41" r:id="rId271" display="https://www.eia.gov/dnav/pet/hist/LeafHandler.ashx?n=PET&amp;s=M_EPJK_YNP_NUS_MBBL&amp;f=A" xr:uid="{6C8505C4-15B0-4224-B290-AA93EAF7C52C}"/>
    <hyperlink ref="F41" r:id="rId272" display="https://www.eia.gov/dnav/pet/hist/LeafHandler.ashx?n=PET&amp;s=MKJRPUS1&amp;f=A" xr:uid="{5E70EC20-B8C5-4659-B8E0-9189920E1738}"/>
    <hyperlink ref="G41" r:id="rId273" display="https://www.eia.gov/dnav/pet/hist/LeafHandler.ashx?n=PET&amp;s=MKJIMUS1&amp;f=A" xr:uid="{A36715CC-5A10-441C-A026-C6274DDBA1C2}"/>
    <hyperlink ref="J41" r:id="rId274" display="https://www.eia.gov/dnav/pet/hist/LeafHandler.ashx?n=PET&amp;s=MKJSCUS1&amp;f=A" xr:uid="{F962F1D3-984B-4C38-8D61-3E2F1D9D30B5}"/>
    <hyperlink ref="L41" r:id="rId275" display="https://www.eia.gov/dnav/pet/hist/LeafHandler.ashx?n=PET&amp;s=MKJEXUS1&amp;f=A" xr:uid="{F34EC92F-6340-44D2-B16E-CF188851212F}"/>
    <hyperlink ref="M41" r:id="rId276" display="https://www.eia.gov/dnav/pet/hist/LeafHandler.ashx?n=PET&amp;s=MKJUPUS1&amp;f=A" xr:uid="{C8ED2AE8-EBE6-40DD-A69E-4835218868D3}"/>
    <hyperlink ref="N41" r:id="rId277" display="https://www.eia.gov/dnav/pet/hist/LeafHandler.ashx?n=PET&amp;s=MKJSTUS1&amp;f=A" xr:uid="{2A8B4A00-D239-4476-88AF-7D4D06A877E4}"/>
    <hyperlink ref="E42" r:id="rId278" display="https://www.eia.gov/dnav/pet/hist/LeafHandler.ashx?n=PET&amp;s=M_EPPK_YNP_NUS_MBBL&amp;f=A" xr:uid="{FF15B995-6A70-4B99-A0D2-163668285630}"/>
    <hyperlink ref="F42" r:id="rId279" display="https://www.eia.gov/dnav/pet/hist/LeafHandler.ashx?n=PET&amp;s=MKERPUS1&amp;f=A" xr:uid="{9FF46D03-9E05-47D2-B812-E966A9C753AD}"/>
    <hyperlink ref="G42" r:id="rId280" display="https://www.eia.gov/dnav/pet/hist/LeafHandler.ashx?n=PET&amp;s=MKEIMUS1&amp;f=A" xr:uid="{B6716C2F-FB29-4BEE-AE22-44B35266CF1E}"/>
    <hyperlink ref="J42" r:id="rId281" display="https://www.eia.gov/dnav/pet/hist/LeafHandler.ashx?n=PET&amp;s=MKESCUS1&amp;f=A" xr:uid="{49306ADB-1048-413D-8A23-75CDE22EF0BD}"/>
    <hyperlink ref="L42" r:id="rId282" display="https://www.eia.gov/dnav/pet/hist/LeafHandler.ashx?n=PET&amp;s=MKEEXUS1&amp;f=A" xr:uid="{9E69AFB9-6513-43ED-B6CB-066876F0F4CC}"/>
    <hyperlink ref="M42" r:id="rId283" display="https://www.eia.gov/dnav/pet/hist/LeafHandler.ashx?n=PET&amp;s=MKEUPUS1&amp;f=A" xr:uid="{39178330-AC13-4B3B-83CF-E2A64B1794C2}"/>
    <hyperlink ref="N42" r:id="rId284" display="https://www.eia.gov/dnav/pet/hist/LeafHandler.ashx?n=PET&amp;s=MKESTUS1&amp;f=A" xr:uid="{48790319-610E-459B-821D-9F6A372E50F1}"/>
    <hyperlink ref="E43" r:id="rId285" display="https://www.eia.gov/dnav/pet/hist/LeafHandler.ashx?n=PET&amp;s=M_EPD0_YNP_NUS_MBBL&amp;f=A" xr:uid="{35C59B30-4F96-47B2-B60E-7C8465D1659F}"/>
    <hyperlink ref="F43" r:id="rId286" display="https://www.eia.gov/dnav/pet/hist/LeafHandler.ashx?n=PET&amp;s=MDIRPUS1&amp;f=A" xr:uid="{C26C2DD7-C356-4F65-AEF9-1691FC45A163}"/>
    <hyperlink ref="G43" r:id="rId287" display="https://www.eia.gov/dnav/pet/hist/LeafHandler.ashx?n=PET&amp;s=MDIIMUS1&amp;f=A" xr:uid="{88C085DD-B257-43D6-8BF4-B759BE88E61D}"/>
    <hyperlink ref="I43" r:id="rId288" display="https://www.eia.gov/dnav/pet/hist/LeafHandler.ashx?n=PET&amp;s=M_EPD0_VUA_NUS_1&amp;f=A" xr:uid="{0D2BC35E-89E4-428D-A6C0-45058ABBC745}"/>
    <hyperlink ref="J43" r:id="rId289" display="https://www.eia.gov/dnav/pet/hist/LeafHandler.ashx?n=PET&amp;s=MDISCUS1&amp;f=A" xr:uid="{B693F814-B649-44A7-B394-B0EECDB0868C}"/>
    <hyperlink ref="L43" r:id="rId290" display="https://www.eia.gov/dnav/pet/hist/LeafHandler.ashx?n=PET&amp;s=MDIEXUS1&amp;f=A" xr:uid="{C1F21408-E291-4BD5-8094-512481C93B8A}"/>
    <hyperlink ref="M43" r:id="rId291" display="https://www.eia.gov/dnav/pet/hist/LeafHandler.ashx?n=PET&amp;s=MDIUPUS1&amp;f=A" xr:uid="{E5DD2F30-490C-4240-A313-05B93D2F8F2E}"/>
    <hyperlink ref="N43" r:id="rId292" display="https://www.eia.gov/dnav/pet/hist/LeafHandler.ashx?n=PET&amp;s=MDISTUS1&amp;f=A" xr:uid="{A55CE58D-864A-4708-844E-C644180546F4}"/>
    <hyperlink ref="E44" r:id="rId293" display="https://www.eia.gov/dnav/pet/hist/LeafHandler.ashx?n=PET&amp;s=M_EPDXL0_YNP_NUS_MBBL&amp;f=A" xr:uid="{37ACC9C6-484A-4684-9882-8C27C514A718}"/>
    <hyperlink ref="F44" r:id="rId294" display="https://www.eia.gov/dnav/pet/hist/LeafHandler.ashx?n=PET&amp;s=MD0RP_NUS_1&amp;f=A" xr:uid="{352595FF-D63E-42E1-BB45-8B9366735BE5}"/>
    <hyperlink ref="G44" r:id="rId295" display="https://www.eia.gov/dnav/pet/hist/LeafHandler.ashx?n=PET&amp;s=MD0IM_NUS-Z00_1&amp;f=A" xr:uid="{69A62746-94F8-46B9-BF86-8C78B960871B}"/>
    <hyperlink ref="I44" r:id="rId296" display="https://www.eia.gov/dnav/pet/hist/LeafHandler.ashx?n=PET&amp;s=M_EPDXL0_VUA_NUS_1&amp;f=A" xr:uid="{1B226513-D4EF-4679-B6A3-5801896D6A1F}"/>
    <hyperlink ref="J44" r:id="rId297" display="https://www.eia.gov/dnav/pet/hist/LeafHandler.ashx?n=PET&amp;s=MD0SC_NUS_1&amp;f=A" xr:uid="{A0B5112A-E58A-442E-99DA-79DC79B9FDE8}"/>
    <hyperlink ref="L44" r:id="rId298" display="https://www.eia.gov/dnav/pet/hist/LeafHandler.ashx?n=PET&amp;s=M_EPDXL0_EEX_NUS-Z00_MBBL&amp;f=A" xr:uid="{2CFDF75A-8063-499B-8E0F-74CE5D28291A}"/>
    <hyperlink ref="M44" r:id="rId299" display="https://www.eia.gov/dnav/pet/hist/LeafHandler.ashx?n=PET&amp;s=MD0UP_NUS_1&amp;f=A" xr:uid="{D33A1B3D-442D-4792-BBD2-C8719D620286}"/>
    <hyperlink ref="N44" r:id="rId300" display="https://www.eia.gov/dnav/pet/hist/LeafHandler.ashx?n=PET&amp;s=MD0ST_NUS_1&amp;f=A" xr:uid="{2DA11366-8433-4E9C-8F59-31AC390FA6BE}"/>
    <hyperlink ref="E45" r:id="rId301" display="https://www.eia.gov/dnav/pet/hist/LeafHandler.ashx?n=PET&amp;s=M_EPDM10_YNP_NUS_MBBL&amp;f=A" xr:uid="{FC06A968-6D2A-40D7-8BEC-A430F23429B6}"/>
    <hyperlink ref="F45" r:id="rId302" display="https://www.eia.gov/dnav/pet/hist/LeafHandler.ashx?n=PET&amp;s=MD1RP_NUS_1&amp;f=A" xr:uid="{FF1E8889-5337-4677-B09C-A445C4B7469D}"/>
    <hyperlink ref="G45" r:id="rId303" display="https://www.eia.gov/dnav/pet/hist/LeafHandler.ashx?n=PET&amp;s=MD1IM_NUS-Z00_1&amp;f=A" xr:uid="{F81B6AD4-9557-40A4-AD9A-DCAC6F7C4F17}"/>
    <hyperlink ref="I45" r:id="rId304" display="https://www.eia.gov/dnav/pet/hist/LeafHandler.ashx?n=PET&amp;s=M_EPDM10_VUA_NUS_1&amp;f=A" xr:uid="{C91B725C-6382-4FB5-B97C-1FD62138B75A}"/>
    <hyperlink ref="J45" r:id="rId305" display="https://www.eia.gov/dnav/pet/hist/LeafHandler.ashx?n=PET&amp;s=MD1SC_NUS_1&amp;f=A" xr:uid="{C2441867-BEAA-4F18-811E-5F52D73999EF}"/>
    <hyperlink ref="L45" r:id="rId306" display="https://www.eia.gov/dnav/pet/hist/LeafHandler.ashx?n=PET&amp;s=MD1EX_NUS-Z00_1&amp;f=A" xr:uid="{566486BC-D3ED-4E2B-8CB9-24DF0EDA101F}"/>
    <hyperlink ref="M45" r:id="rId307" display="https://www.eia.gov/dnav/pet/hist/LeafHandler.ashx?n=PET&amp;s=MD1UP_NUS_1&amp;f=A" xr:uid="{75257B2F-054B-46CC-BACA-1BB82AD98227}"/>
    <hyperlink ref="N45" r:id="rId308" display="https://www.eia.gov/dnav/pet/hist/LeafHandler.ashx?n=PET&amp;s=MD1ST_NUS_1&amp;f=A" xr:uid="{1685AE61-BFDA-47EE-9540-46DA8757B51A}"/>
    <hyperlink ref="E46" r:id="rId309" display="https://www.eia.gov/dnav/pet/hist/LeafHandler.ashx?n=PET&amp;s=M_EPD00H_YNP_NUS_MBBL&amp;f=A" xr:uid="{07EAEDFB-AEAC-4FEF-AFD5-7B957743DEC3}"/>
    <hyperlink ref="F46" r:id="rId310" display="https://www.eia.gov/dnav/pet/hist/LeafHandler.ashx?n=PET&amp;s=MDGRPUS1&amp;f=A" xr:uid="{74F1AE68-347A-4A28-92D7-8CEBBA3E8E25}"/>
    <hyperlink ref="G46" r:id="rId311" display="https://www.eia.gov/dnav/pet/hist/LeafHandler.ashx?n=PET&amp;s=MDGIMUS1&amp;f=A" xr:uid="{E2B5A0EA-04C5-4325-8BBF-C60FAE885BCB}"/>
    <hyperlink ref="J46" r:id="rId312" display="https://www.eia.gov/dnav/pet/hist/LeafHandler.ashx?n=PET&amp;s=MDGSCUS1&amp;f=A" xr:uid="{2BA64557-5DD6-4FF3-8453-35A4ACE3729D}"/>
    <hyperlink ref="L46" r:id="rId313" display="https://www.eia.gov/dnav/pet/hist/LeafHandler.ashx?n=PET&amp;s=MDGEXUS1&amp;f=A" xr:uid="{BB0B7D35-6DDC-4BC6-90FA-CB9A0D72CE50}"/>
    <hyperlink ref="M46" r:id="rId314" display="https://www.eia.gov/dnav/pet/hist/LeafHandler.ashx?n=PET&amp;s=MDGUPUS1&amp;f=A" xr:uid="{2B66B87E-36B3-424F-BDEB-53B754004DEF}"/>
    <hyperlink ref="N46" r:id="rId315" display="https://www.eia.gov/dnav/pet/hist/LeafHandler.ashx?n=PET&amp;s=MDGSTUS1&amp;f=A" xr:uid="{D3F344B1-24B1-499D-AC76-405FADC3DEF2}"/>
    <hyperlink ref="F47" r:id="rId316" display="https://www.eia.gov/dnav/pet/hist/LeafHandler.ashx?n=PET&amp;s=MRERPUS1&amp;f=A" xr:uid="{73A5DF17-BAFD-42A4-94CD-549FA6B34158}"/>
    <hyperlink ref="G47" r:id="rId317" display="https://www.eia.gov/dnav/pet/hist/LeafHandler.ashx?n=PET&amp;s=MREIMUS1&amp;f=A" xr:uid="{508AF39D-0876-4C20-A5ED-040D4AFC725F}"/>
    <hyperlink ref="J47" r:id="rId318" display="https://www.eia.gov/dnav/pet/hist/LeafHandler.ashx?n=PET&amp;s=MRESCUS1&amp;f=A" xr:uid="{6A087D5B-0653-45EC-8039-32B11195E71B}"/>
    <hyperlink ref="L47" r:id="rId319" display="https://www.eia.gov/dnav/pet/hist/LeafHandler.ashx?n=PET&amp;s=MREEXUS1&amp;f=A" xr:uid="{4991E8DE-9DE9-4C8A-99CF-22C7A5AD72B3}"/>
    <hyperlink ref="M47" r:id="rId320" display="https://www.eia.gov/dnav/pet/hist/LeafHandler.ashx?n=PET&amp;s=MREUPUS1&amp;f=A" xr:uid="{FF1B5886-AF48-4026-9465-02FD257AD95A}"/>
    <hyperlink ref="N47" r:id="rId321" display="https://www.eia.gov/dnav/pet/hist/LeafHandler.ashx?n=PET&amp;s=MRESTUS1&amp;f=A" xr:uid="{FF993927-3AC2-49F8-83FC-A5801737B6B8}"/>
    <hyperlink ref="F48" r:id="rId322" display="https://www.eia.gov/dnav/pet/hist/LeafHandler.ashx?n=PET&amp;s=MRLRPUS1&amp;f=A" xr:uid="{7EABEF22-C300-4093-BCAD-C28D9EDDB2DF}"/>
    <hyperlink ref="G48" r:id="rId323" display="https://www.eia.gov/dnav/pet/hist/LeafHandler.ashx?n=PET&amp;s=MRXIMUS1&amp;f=A" xr:uid="{4276F20E-64DF-46FB-917D-E05BEE565558}"/>
    <hyperlink ref="J48" r:id="rId324" display="https://www.eia.gov/dnav/pet/hist/LeafHandler.ashx?n=PET&amp;s=MRXSC_NUS_1&amp;f=A" xr:uid="{D680477B-95EB-4F73-ADE8-794F8FA74A34}"/>
    <hyperlink ref="N48" r:id="rId325" display="https://www.eia.gov/dnav/pet/hist/LeafHandler.ashx?n=PET&amp;s=MRLSTUS1&amp;f=A" xr:uid="{3495D0D9-CADD-4366-A922-CDC0CC5745A8}"/>
    <hyperlink ref="F49" r:id="rId326" display="https://www.eia.gov/dnav/pet/hist/LeafHandler.ashx?n=PET&amp;s=MRMRPUS1&amp;f=A" xr:uid="{12008679-D027-47BC-A22C-D235FF30CE7A}"/>
    <hyperlink ref="G49" r:id="rId327" display="https://www.eia.gov/dnav/pet/hist/LeafHandler.ashx?n=PET&amp;s=MRYIMUS1&amp;f=A" xr:uid="{999A92B0-0434-4F95-93CF-326D1AB5866A}"/>
    <hyperlink ref="J49" r:id="rId328" display="https://www.eia.gov/dnav/pet/hist/LeafHandler.ashx?n=PET&amp;s=MRYSC_NUS_1&amp;f=A" xr:uid="{03FD5F8A-3DC4-49F5-BD1A-CB821117ED9F}"/>
    <hyperlink ref="N49" r:id="rId329" display="https://www.eia.gov/dnav/pet/hist/LeafHandler.ashx?n=PET&amp;s=MRMSTUS1&amp;f=A" xr:uid="{C8BE171B-214B-4448-9B3F-1143E51C2216}"/>
    <hyperlink ref="F50" r:id="rId330" display="https://www.eia.gov/dnav/pet/hist/LeafHandler.ashx?n=PET&amp;s=MRGRPUS1&amp;f=A" xr:uid="{1131CF31-80C8-4576-9672-D15B07E70E0A}"/>
    <hyperlink ref="G50" r:id="rId331" display="https://www.eia.gov/dnav/pet/hist/LeafHandler.ashx?n=PET&amp;s=MRZIMUS1&amp;f=A" xr:uid="{A6CF5487-2B7D-4A6C-85AA-812F01C00DD0}"/>
    <hyperlink ref="J50" r:id="rId332" display="https://www.eia.gov/dnav/pet/hist/LeafHandler.ashx?n=PET&amp;s=MRZSC_NUS_1&amp;f=A" xr:uid="{FAF054AB-6828-4373-8E09-DC97DBDC91A5}"/>
    <hyperlink ref="N50" r:id="rId333" display="https://www.eia.gov/dnav/pet/hist/LeafHandler.ashx?n=PET&amp;s=MRGSTUS1&amp;f=A" xr:uid="{21D670FD-78A6-4DA2-A3A4-8A5553EA4795}"/>
    <hyperlink ref="F51" r:id="rId334" display="https://www.eia.gov/dnav/pet/hist/LeafHandler.ashx?n=PET&amp;s=MPCRPUS1&amp;f=A" xr:uid="{F135604B-F551-410D-BF11-673CFF5F68DE}"/>
    <hyperlink ref="G51" r:id="rId335" display="https://www.eia.gov/dnav/pet/hist/LeafHandler.ashx?n=PET&amp;s=MPFIM_NUS-Z00_1&amp;f=A" xr:uid="{1341E889-53DA-4C34-8247-27557BB881AF}"/>
    <hyperlink ref="J51" r:id="rId336" display="https://www.eia.gov/dnav/pet/hist/LeafHandler.ashx?n=PET&amp;s=MPCSC_NUS_1&amp;f=A" xr:uid="{52CC4BBA-1872-4F46-8ED9-1E2306E9F9F7}"/>
    <hyperlink ref="L51" r:id="rId337" display="https://www.eia.gov/dnav/pet/hist/LeafHandler.ashx?n=PET&amp;s=MPCEX_NUS-Z00_1&amp;f=A" xr:uid="{6DC18B07-7677-471A-92A7-5F01BAEDB258}"/>
    <hyperlink ref="M51" r:id="rId338" display="https://www.eia.gov/dnav/pet/hist/LeafHandler.ashx?n=PET&amp;s=MPCUP_NUS_1&amp;f=A" xr:uid="{98FDCF5D-3071-4302-AE64-3AB896610A82}"/>
    <hyperlink ref="N51" r:id="rId339" display="https://www.eia.gov/dnav/pet/hist/LeafHandler.ashx?n=PET&amp;s=MPCST_NUS_1&amp;f=A" xr:uid="{0383CD90-6976-4CFD-8BA2-164476ADC2AC}"/>
    <hyperlink ref="F52" r:id="rId340" display="https://www.eia.gov/dnav/pet/hist/LeafHandler.ashx?n=PET&amp;s=MNFRPUS1&amp;f=A" xr:uid="{8C9423AD-DCC5-47D2-8FBD-762D7777C948}"/>
    <hyperlink ref="G52" r:id="rId341" display="https://www.eia.gov/dnav/pet/hist/LeafHandler.ashx?n=PET&amp;s=MNFIMUS1&amp;f=A" xr:uid="{C64B48B1-9DE1-45F7-A341-FFF308D77987}"/>
    <hyperlink ref="J52" r:id="rId342" display="https://www.eia.gov/dnav/pet/hist/LeafHandler.ashx?n=PET&amp;s=MNFSCUS1&amp;f=A" xr:uid="{A4798FA3-C350-4EF0-93A4-0CB283EF2721}"/>
    <hyperlink ref="L52" r:id="rId343" display="https://www.eia.gov/dnav/pet/hist/LeafHandler.ashx?n=PET&amp;s=MNFEXUS1&amp;f=A" xr:uid="{4A167429-8A2A-44F2-B665-243A1870C6EC}"/>
    <hyperlink ref="M52" r:id="rId344" display="https://www.eia.gov/dnav/pet/hist/LeafHandler.ashx?n=PET&amp;s=MNFUPUS1&amp;f=A" xr:uid="{AB2F28FD-6483-4399-838C-DEB00DFCCCF0}"/>
    <hyperlink ref="N52" r:id="rId345" display="https://www.eia.gov/dnav/pet/hist/LeafHandler.ashx?n=PET&amp;s=MNFSTUS1&amp;f=A" xr:uid="{86E3E602-A190-4E3D-82EC-5146575ED198}"/>
    <hyperlink ref="F53" r:id="rId346" display="https://www.eia.gov/dnav/pet/hist/LeafHandler.ashx?n=PET&amp;s=MOTRPUS1&amp;f=A" xr:uid="{42393DA8-B101-4874-BF0F-22341EE7C479}"/>
    <hyperlink ref="G53" r:id="rId347" display="https://www.eia.gov/dnav/pet/hist/LeafHandler.ashx?n=PET&amp;s=MOTIMUS1&amp;f=A" xr:uid="{21DF5BB0-6404-4F08-A0EB-3124A105A1E2}"/>
    <hyperlink ref="J53" r:id="rId348" display="https://www.eia.gov/dnav/pet/hist/LeafHandler.ashx?n=PET&amp;s=MOTSCUS1&amp;f=A" xr:uid="{0CF4CB43-A613-482E-90C6-ED15D5138662}"/>
    <hyperlink ref="L53" r:id="rId349" display="https://www.eia.gov/dnav/pet/hist/LeafHandler.ashx?n=PET&amp;s=MOTEXUS1&amp;f=A" xr:uid="{0A6A9E05-611F-413E-886D-81698A7072B4}"/>
    <hyperlink ref="M53" r:id="rId350" display="https://www.eia.gov/dnav/pet/hist/LeafHandler.ashx?n=PET&amp;s=MOTUPUS1&amp;f=A" xr:uid="{7F7DDF7F-E2D2-48B5-A423-79FE3C8EEE9B}"/>
    <hyperlink ref="N53" r:id="rId351" display="https://www.eia.gov/dnav/pet/hist/LeafHandler.ashx?n=PET&amp;s=MOTSTUS1&amp;f=A" xr:uid="{F441EA26-E03F-4989-91E3-9B9F0781DB5B}"/>
    <hyperlink ref="F54" r:id="rId352" display="https://www.eia.gov/dnav/pet/hist/LeafHandler.ashx?n=PET&amp;s=MNSRPUS1&amp;f=A" xr:uid="{38C7E8D7-2EE0-44BE-8895-61503B0F7B31}"/>
    <hyperlink ref="G54" r:id="rId353" display="https://www.eia.gov/dnav/pet/hist/LeafHandler.ashx?n=PET&amp;s=MNSIMUS1&amp;f=A" xr:uid="{4595FE36-0D0B-43F4-AA1A-82B590ED217C}"/>
    <hyperlink ref="J54" r:id="rId354" display="https://www.eia.gov/dnav/pet/hist/LeafHandler.ashx?n=PET&amp;s=MNSSCUS1&amp;f=A" xr:uid="{B63A0BFA-696A-45C8-9DB3-57ABDB4117EA}"/>
    <hyperlink ref="L54" r:id="rId355" display="https://www.eia.gov/dnav/pet/hist/LeafHandler.ashx?n=PET&amp;s=MNSEXUS1&amp;f=A" xr:uid="{715E7BC0-8742-4BCF-97A7-219C09B1B69D}"/>
    <hyperlink ref="M54" r:id="rId356" display="https://www.eia.gov/dnav/pet/hist/LeafHandler.ashx?n=PET&amp;s=MNSUPUS1&amp;f=A" xr:uid="{9B388BC1-D9A0-4C32-A2CD-4BCA0C1896EA}"/>
    <hyperlink ref="N54" r:id="rId357" display="https://www.eia.gov/dnav/pet/hist/LeafHandler.ashx?n=PET&amp;s=MNSSTUS1&amp;f=A" xr:uid="{B6694B2C-B7C9-4E08-A277-F43FD8D4743E}"/>
    <hyperlink ref="F55" r:id="rId358" display="https://www.eia.gov/dnav/pet/hist/LeafHandler.ashx?n=PET&amp;s=MLURPUS1&amp;f=A" xr:uid="{172343BC-62D0-480E-9603-8B962DC69D53}"/>
    <hyperlink ref="G55" r:id="rId359" display="https://www.eia.gov/dnav/pet/hist/LeafHandler.ashx?n=PET&amp;s=MLUIMUS1&amp;f=A" xr:uid="{585FB62C-8195-44A5-A1EE-BE25151F3A98}"/>
    <hyperlink ref="J55" r:id="rId360" display="https://www.eia.gov/dnav/pet/hist/LeafHandler.ashx?n=PET&amp;s=MLUSCUS1&amp;f=A" xr:uid="{53533D71-FD1B-454B-A37A-E1AC284CC6E2}"/>
    <hyperlink ref="L55" r:id="rId361" display="https://www.eia.gov/dnav/pet/hist/LeafHandler.ashx?n=PET&amp;s=MLUEXUS1&amp;f=A" xr:uid="{A060BE67-91F9-44AD-9040-4AB2B4F21AFA}"/>
    <hyperlink ref="M55" r:id="rId362" display="https://www.eia.gov/dnav/pet/hist/LeafHandler.ashx?n=PET&amp;s=MLUUPUS1&amp;f=A" xr:uid="{A4901194-58D8-4266-96A8-1260DB3CFA93}"/>
    <hyperlink ref="N55" r:id="rId363" display="https://www.eia.gov/dnav/pet/hist/LeafHandler.ashx?n=PET&amp;s=MLUSTUS1&amp;f=A" xr:uid="{18018135-F93A-41F5-AA87-53104F99CC50}"/>
    <hyperlink ref="F56" r:id="rId364" display="https://www.eia.gov/dnav/pet/hist/LeafHandler.ashx?n=PET&amp;s=MWXRPUS1&amp;f=A" xr:uid="{B4E33E7B-78C4-4287-9353-CDB738260EE8}"/>
    <hyperlink ref="G56" r:id="rId365" display="https://www.eia.gov/dnav/pet/hist/LeafHandler.ashx?n=PET&amp;s=MWXIMUS1&amp;f=A" xr:uid="{F584207C-0380-4357-B751-5164979111FA}"/>
    <hyperlink ref="J56" r:id="rId366" display="https://www.eia.gov/dnav/pet/hist/LeafHandler.ashx?n=PET&amp;s=MWXSCUS1&amp;f=A" xr:uid="{6144F0E9-266D-43C3-B3E5-9FB990F488AD}"/>
    <hyperlink ref="L56" r:id="rId367" display="https://www.eia.gov/dnav/pet/hist/LeafHandler.ashx?n=PET&amp;s=MWXEXUS1&amp;f=A" xr:uid="{76CF0A32-3CC3-491B-A7F8-1F93BDC2C540}"/>
    <hyperlink ref="M56" r:id="rId368" display="https://www.eia.gov/dnav/pet/hist/LeafHandler.ashx?n=PET&amp;s=MWXUPUS1&amp;f=A" xr:uid="{3DEFEA0E-B62F-4E25-A109-BA8073CD4909}"/>
    <hyperlink ref="N56" r:id="rId369" display="https://www.eia.gov/dnav/pet/hist/LeafHandler.ashx?n=PET&amp;s=MWXSTUS1&amp;f=A" xr:uid="{F328D55E-CA0F-49A5-9BFB-1D66D1134410}"/>
    <hyperlink ref="F57" r:id="rId370" display="https://www.eia.gov/dnav/pet/hist/LeafHandler.ashx?n=PET&amp;s=MCKRPUS1&amp;f=A" xr:uid="{8AF27E8F-38A5-4B93-B893-E20721239546}"/>
    <hyperlink ref="G57" r:id="rId371" display="https://www.eia.gov/dnav/pet/hist/LeafHandler.ashx?n=PET&amp;s=MCKIMUS1&amp;f=A" xr:uid="{34E5043E-5209-47DA-A604-A4E6692E3DEF}"/>
    <hyperlink ref="J57" r:id="rId372" display="https://www.eia.gov/dnav/pet/hist/LeafHandler.ashx?n=PET&amp;s=MCKSCUS1&amp;f=A" xr:uid="{50D5BFC5-E686-4874-A240-B9087E015CE5}"/>
    <hyperlink ref="L57" r:id="rId373" display="https://www.eia.gov/dnav/pet/hist/LeafHandler.ashx?n=PET&amp;s=MCKEXUS1&amp;f=A" xr:uid="{08A2A409-D592-4297-8937-0B3C9D8581BB}"/>
    <hyperlink ref="M57" r:id="rId374" display="https://www.eia.gov/dnav/pet/hist/LeafHandler.ashx?n=PET&amp;s=MCKUPUS1&amp;f=A" xr:uid="{F5E2D5E3-902A-4B71-B091-AB1E74FC68F5}"/>
    <hyperlink ref="N57" r:id="rId375" display="https://www.eia.gov/dnav/pet/hist/LeafHandler.ashx?n=PET&amp;s=MCKSTUS1&amp;f=A" xr:uid="{807D4C24-9871-4246-86D7-E1AAB12384AA}"/>
    <hyperlink ref="F58" r:id="rId376" display="https://www.eia.gov/dnav/pet/hist/LeafHandler.ashx?n=PET&amp;s=MCMRPUS1&amp;f=A" xr:uid="{F97ACFDC-1B83-40BE-9DB7-65C6311A14DB}"/>
    <hyperlink ref="G58" r:id="rId377" display="https://www.eia.gov/dnav/pet/hist/LeafHandler.ashx?n=PET&amp;s=MCMIM_NUS-Z00_1&amp;f=A" xr:uid="{5CE63EFB-A28C-4D6A-9CE2-D2AF104CCF8D}"/>
    <hyperlink ref="J58" r:id="rId378" display="https://www.eia.gov/dnav/pet/hist/LeafHandler.ashx?n=PET&amp;s=MCMSC_NUS_1&amp;f=A" xr:uid="{12E59C87-0675-4543-89D5-DFA79EA5992B}"/>
    <hyperlink ref="L58" r:id="rId379" display="https://www.eia.gov/dnav/pet/hist/LeafHandler.ashx?n=PET&amp;s=MCMEX_NUS-Z00_1&amp;f=A" xr:uid="{5F84C490-9815-458D-96CF-0D361B3FADA5}"/>
    <hyperlink ref="M58" r:id="rId380" display="https://www.eia.gov/dnav/pet/hist/LeafHandler.ashx?n=PET&amp;s=MCMUP_NUS_1&amp;f=A" xr:uid="{24CF97D1-EBA1-4B87-A4CE-BC05B0C25DF4}"/>
    <hyperlink ref="N58" r:id="rId381" display="https://www.eia.gov/dnav/pet/hist/LeafHandler.ashx?n=PET&amp;s=MCMST_NUS_1&amp;f=A" xr:uid="{7B7D61C5-7340-443F-B96A-6581A38BB215}"/>
    <hyperlink ref="F59" r:id="rId382" display="https://www.eia.gov/dnav/pet/hist/LeafHandler.ashx?n=PET&amp;s=MCORPUS1&amp;f=A" xr:uid="{0044AF95-35D7-4A8E-A258-3A04C5848A96}"/>
    <hyperlink ref="M59" r:id="rId383" display="https://www.eia.gov/dnav/pet/hist/LeafHandler.ashx?n=PET&amp;s=MCOUP_NUS_1&amp;f=A" xr:uid="{AFC58811-6C4D-4E11-976F-712AB2ADB646}"/>
    <hyperlink ref="F60" r:id="rId384" display="https://www.eia.gov/dnav/pet/hist/LeafHandler.ashx?n=PET&amp;s=MAPRPUS1&amp;f=A" xr:uid="{5E1D0670-852B-409D-A1C3-E4821727AC0F}"/>
    <hyperlink ref="G60" r:id="rId385" display="https://www.eia.gov/dnav/pet/hist/LeafHandler.ashx?n=PET&amp;s=MAPIMUS1&amp;f=A" xr:uid="{61460189-3FEE-4DAB-90F9-78D4BE2E6DC3}"/>
    <hyperlink ref="J60" r:id="rId386" display="https://www.eia.gov/dnav/pet/hist/LeafHandler.ashx?n=PET&amp;s=MAPSCUS1&amp;f=A" xr:uid="{52D45E3B-1F58-4418-AFA9-6A10FCDC2582}"/>
    <hyperlink ref="L60" r:id="rId387" display="https://www.eia.gov/dnav/pet/hist/LeafHandler.ashx?n=PET&amp;s=MAPEXUS1&amp;f=A" xr:uid="{A9367C77-5D8E-4C4D-A974-3755E352F9C2}"/>
    <hyperlink ref="M60" r:id="rId388" display="https://www.eia.gov/dnav/pet/hist/LeafHandler.ashx?n=PET&amp;s=MAPUPUS1&amp;f=A" xr:uid="{37C6FB19-0F16-4952-9326-71D305E80A3A}"/>
    <hyperlink ref="N60" r:id="rId389" display="https://www.eia.gov/dnav/pet/hist/LeafHandler.ashx?n=PET&amp;s=MAPSTUS1&amp;f=A" xr:uid="{82F5F00E-EB6C-46CA-9FB2-2D83F7B60839}"/>
    <hyperlink ref="F61" r:id="rId390" display="https://www.eia.gov/dnav/pet/hist/LeafHandler.ashx?n=PET&amp;s=MSGRPUS1&amp;f=A" xr:uid="{D8743CD3-A637-4F27-B9C8-0DEA58DAB17F}"/>
    <hyperlink ref="M61" r:id="rId391" display="https://www.eia.gov/dnav/pet/hist/LeafHandler.ashx?n=PET&amp;s=MSGUPUS1&amp;f=A" xr:uid="{4AA5F2AD-B3FF-4A5B-9056-E8225AC89D0A}"/>
    <hyperlink ref="F62" r:id="rId392" display="https://www.eia.gov/dnav/pet/hist/LeafHandler.ashx?n=PET&amp;s=MMSRPUS1&amp;f=A" xr:uid="{AD0B1573-2EB4-4813-8915-EDFF26563850}"/>
    <hyperlink ref="G62" r:id="rId393" display="https://www.eia.gov/dnav/pet/hist/LeafHandler.ashx?n=PET&amp;s=MMSIMUS1&amp;f=A" xr:uid="{5B248782-28F3-4DEC-BA57-00C231FFB0C2}"/>
    <hyperlink ref="J62" r:id="rId394" display="https://www.eia.gov/dnav/pet/hist/LeafHandler.ashx?n=PET&amp;s=MMSSCUS1&amp;f=A" xr:uid="{93B44302-0A87-48AD-9D2C-AAD0C211C525}"/>
    <hyperlink ref="L62" r:id="rId395" display="https://www.eia.gov/dnav/pet/hist/LeafHandler.ashx?n=PET&amp;s=MMSEXUS1&amp;f=A" xr:uid="{F6FC4F11-A22F-4536-84B9-CC9607A79086}"/>
    <hyperlink ref="M62" r:id="rId396" display="https://www.eia.gov/dnav/pet/hist/LeafHandler.ashx?n=PET&amp;s=MMSUPUS1&amp;f=A" xr:uid="{1290AF57-D5B5-4ED5-B4CF-8324E1A27A62}"/>
    <hyperlink ref="N62" r:id="rId397" display="https://www.eia.gov/dnav/pet/hist/LeafHandler.ashx?n=PET&amp;s=MMSSTUS1&amp;f=A" xr:uid="{A815AEA9-AE66-4659-971A-E1695660444A}"/>
    <hyperlink ref="R5" r:id="rId398" display="https://www.eia.gov/dnav/pet/hist/LeafHandler.ashx?n=PET&amp;s=MTTFPUS1&amp;f=A" xr:uid="{51AC379E-9675-4686-92D5-FD34D1508DF0}"/>
    <hyperlink ref="S5" r:id="rId399" display="https://www.eia.gov/dnav/pet/hist/LeafHandler.ashx?n=PET&amp;s=M_EP00_TVP_NUS_MBBL&amp;f=A" xr:uid="{26707A2C-EB8D-4640-9BD4-BE1F03B369BA}"/>
    <hyperlink ref="T5" r:id="rId400" display="https://www.eia.gov/dnav/pet/hist/LeafHandler.ashx?n=PET&amp;s=M_EP00_YNP_NUS_MBBL&amp;f=A" xr:uid="{1F3960E1-E062-478B-B91F-A343587A96B7}"/>
    <hyperlink ref="U5" r:id="rId401" display="https://www.eia.gov/dnav/pet/hist/LeafHandler.ashx?n=PET&amp;s=MTTRPUS1&amp;f=A" xr:uid="{E5A0FD51-DAE7-4683-8442-AB4B2792AC63}"/>
    <hyperlink ref="V5" r:id="rId402" display="https://www.eia.gov/dnav/pet/hist/LeafHandler.ashx?n=PET&amp;s=MTTIMUS1&amp;f=A" xr:uid="{3FEAD559-BA46-4E95-A044-F12CE87D6F16}"/>
    <hyperlink ref="X5" r:id="rId403" display="https://www.eia.gov/dnav/pet/hist/LeafHandler.ashx?n=PET&amp;s=MTTUA_NUS_1&amp;f=A" xr:uid="{96E1D2AE-7063-4F28-BA6F-242DCB54B9C1}"/>
    <hyperlink ref="Y5" r:id="rId404" display="https://www.eia.gov/dnav/pet/hist/LeafHandler.ashx?n=PET&amp;s=MTTSCUS1&amp;f=A" xr:uid="{1094DB93-4D5E-4206-BB82-DFA07ACF8340}"/>
    <hyperlink ref="Z5" r:id="rId405" display="https://www.eia.gov/dnav/pet/hist/LeafHandler.ashx?n=PET&amp;s=MTTRIUS1&amp;f=A" xr:uid="{D939B4ED-3455-47C8-BB93-7343404E05E0}"/>
    <hyperlink ref="AA5" r:id="rId406" display="https://www.eia.gov/dnav/pet/hist/LeafHandler.ashx?n=PET&amp;s=MTTEXUS1&amp;f=A" xr:uid="{CC08039C-18EB-4FE7-90B7-C26F14B85C37}"/>
    <hyperlink ref="AB5" r:id="rId407" display="https://www.eia.gov/dnav/pet/hist/LeafHandler.ashx?n=PET&amp;s=MTTUPUS1&amp;f=A" xr:uid="{D0F5C9C8-986C-4746-B886-209947746B4C}"/>
    <hyperlink ref="AC5" r:id="rId408" display="https://www.eia.gov/dnav/pet/hist/LeafHandler.ashx?n=PET&amp;s=MTTSTUS1&amp;f=A" xr:uid="{DF4CB16E-0182-4918-A3FD-36152A3BCEB1}"/>
    <hyperlink ref="R6" r:id="rId409" display="https://www.eia.gov/dnav/pet/hist/LeafHandler.ashx?n=PET&amp;s=MCRFPUS1&amp;f=A" xr:uid="{BBC78863-616A-443E-BE0F-D69002EEA2B7}"/>
    <hyperlink ref="S6" r:id="rId410" display="https://www.eia.gov/dnav/pet/hist/LeafHandler.ashx?n=PET&amp;s=M_EPC0_TVP_NUS_MBBL&amp;f=A" xr:uid="{A263AD6C-D0A5-40F0-85E1-2282FE5894A7}"/>
    <hyperlink ref="V6" r:id="rId411" display="https://www.eia.gov/dnav/pet/hist/LeafHandler.ashx?n=PET&amp;s=MCRIMUS1&amp;f=A" xr:uid="{6415D96B-416C-45C4-8D48-8325CA545887}"/>
    <hyperlink ref="X6" r:id="rId412" display="https://www.eia.gov/dnav/pet/hist/LeafHandler.ashx?n=PET&amp;s=MCRUA_NUS_1&amp;f=A" xr:uid="{E756684D-3E7C-4AF0-870F-916B8826B66D}"/>
    <hyperlink ref="Y6" r:id="rId413" display="https://www.eia.gov/dnav/pet/hist/LeafHandler.ashx?n=PET&amp;s=MCRSCUS1&amp;f=A" xr:uid="{D151B715-7A49-4913-B7D0-334E78F0FC94}"/>
    <hyperlink ref="Z6" r:id="rId414" display="https://www.eia.gov/dnav/pet/hist/LeafHandler.ashx?n=PET&amp;s=MCRRIUS1&amp;f=A" xr:uid="{FDF44265-2644-4FA0-BD7A-4DB06D2E89B2}"/>
    <hyperlink ref="AA6" r:id="rId415" display="https://www.eia.gov/dnav/pet/hist/LeafHandler.ashx?n=PET&amp;s=MCREXUS1&amp;f=A" xr:uid="{A6CBDB0B-5A87-4713-BD86-D11DF0EFB6F6}"/>
    <hyperlink ref="AB6" r:id="rId416" display="https://www.eia.gov/dnav/pet/hist/LeafHandler.ashx?n=PET&amp;s=MCRUPUS1&amp;f=A" xr:uid="{C19DFDFE-CF60-4C4C-95A9-564DFB0051B3}"/>
    <hyperlink ref="AC6" r:id="rId417" display="https://www.eia.gov/dnav/pet/hist/LeafHandler.ashx?n=PET&amp;s=MCRSTUS1&amp;f=A" xr:uid="{4C1577A3-A050-41CD-B82A-BF674444B525}"/>
    <hyperlink ref="R7" r:id="rId418" display="https://www.eia.gov/dnav/pet/hist/LeafHandler.ashx?n=PET&amp;s=MNGFPUS1&amp;f=A" xr:uid="{B33AD6B1-6716-4A95-BDC1-4DF91B22A1AA}"/>
    <hyperlink ref="S7" r:id="rId419" display="https://www.eia.gov/dnav/pet/hist/LeafHandler.ashx?n=PET&amp;s=M_EPL0_TVP_NUS_MBBL&amp;f=A" xr:uid="{DC077DC1-B0D4-424B-AF70-87952902C603}"/>
    <hyperlink ref="T7" r:id="rId420" display="https://www.eia.gov/dnav/pet/hist/LeafHandler.ashx?n=PET&amp;s=M_EPL0_YNP_NUS_MBBL&amp;f=A" xr:uid="{02306443-59DE-4A3C-BC79-6A42110551C3}"/>
    <hyperlink ref="U7" r:id="rId421" display="https://www.eia.gov/dnav/pet/hist/LeafHandler.ashx?n=PET&amp;s=MNGRPUS1&amp;f=A" xr:uid="{65F018ED-AAF4-4E40-AFD5-6F3F38EDB72A}"/>
    <hyperlink ref="V7" r:id="rId422" display="https://www.eia.gov/dnav/pet/hist/LeafHandler.ashx?n=PET&amp;s=MNGIMUS1&amp;f=A" xr:uid="{10BBD3FB-21E4-4E92-8A59-0D827B72D787}"/>
    <hyperlink ref="Y7" r:id="rId423" display="https://www.eia.gov/dnav/pet/hist/LeafHandler.ashx?n=PET&amp;s=MNGSCUS1&amp;f=A" xr:uid="{DA48918B-7AE5-44BF-8E4A-ADEF85A46044}"/>
    <hyperlink ref="Z7" r:id="rId424" display="https://www.eia.gov/dnav/pet/hist/LeafHandler.ashx?n=PET&amp;s=MNGRIUS1&amp;f=A" xr:uid="{2FA10967-8CAE-4193-B9EA-C2C510062386}"/>
    <hyperlink ref="AA7" r:id="rId425" display="https://www.eia.gov/dnav/pet/hist/LeafHandler.ashx?n=PET&amp;s=MNGEXUS1&amp;f=A" xr:uid="{BA068519-E415-486C-A2C6-50BF67DFE218}"/>
    <hyperlink ref="AB7" r:id="rId426" display="https://www.eia.gov/dnav/pet/hist/LeafHandler.ashx?n=PET&amp;s=MNGUPUS1&amp;f=A" xr:uid="{A4E03DB1-287A-49F1-B2AE-1FED0B92F5BE}"/>
    <hyperlink ref="AC7" r:id="rId427" display="https://www.eia.gov/dnav/pet/hist/LeafHandler.ashx?n=PET&amp;s=MNGSTUS1&amp;f=A" xr:uid="{0F488447-8D93-4313-AF17-195CDDB18985}"/>
    <hyperlink ref="R8" r:id="rId428" display="https://www.eia.gov/dnav/pet/hist/LeafHandler.ashx?n=PET&amp;s=M_EPL2_FPF_NUS_MBBL&amp;f=A" xr:uid="{E75D1CCD-A463-4E63-9508-26C913D0244A}"/>
    <hyperlink ref="S8" r:id="rId429" display="https://www.eia.gov/dnav/pet/hist/LeafHandler.ashx?n=PET&amp;s=M_EPL2_TVP_NUS_MBBL&amp;f=A" xr:uid="{3EFB88F3-79EF-4E60-9F9A-977C8D47B875}"/>
    <hyperlink ref="T8" r:id="rId430" display="https://www.eia.gov/dnav/pet/hist/LeafHandler.ashx?n=PET&amp;s=M_EPL2_YNP_NUS_MBBL&amp;f=A" xr:uid="{DCDD85DE-2891-4D51-B718-F637AB4B6350}"/>
    <hyperlink ref="U8" r:id="rId431" display="https://www.eia.gov/dnav/pet/hist/LeafHandler.ashx?n=PET&amp;s=M_EPL2_YPR_NUS_MBBL&amp;f=A" xr:uid="{06A35EC6-E5DF-437D-BA70-AFE355A6B922}"/>
    <hyperlink ref="V8" r:id="rId432" display="https://www.eia.gov/dnav/pet/hist/LeafHandler.ashx?n=PET&amp;s=M_EPL2_IM0_NUS-Z00_MBBL&amp;f=A" xr:uid="{43AE0870-EB3E-404E-9F85-D2150BBBCFBD}"/>
    <hyperlink ref="Y8" r:id="rId433" display="https://www.eia.gov/dnav/pet/hist/LeafHandler.ashx?n=PET&amp;s=M_EPL2_SCG_NUS_MBBL&amp;f=A" xr:uid="{8B285B14-B3D9-487C-B2EA-A68A827FD404}"/>
    <hyperlink ref="Z8" r:id="rId434" display="https://www.eia.gov/dnav/pet/hist/LeafHandler.ashx?n=PET&amp;s=M_EPL2_YIR_NUS_MBBL&amp;f=A" xr:uid="{28AB43E8-DA1D-49C4-9E7B-E886CC77934B}"/>
    <hyperlink ref="AA8" r:id="rId435" display="https://www.eia.gov/dnav/pet/hist/LeafHandler.ashx?n=PET&amp;s=M_EPL2_EEX_NUS-Z00_MBBL&amp;f=A" xr:uid="{5C2487C7-56E3-4428-BC0D-E5CFACA1FD85}"/>
    <hyperlink ref="AB8" r:id="rId436" display="https://www.eia.gov/dnav/pet/hist/LeafHandler.ashx?n=PET&amp;s=M_EPL2_VPP_NUS_MBBL&amp;f=A" xr:uid="{851EAF87-5F85-45BB-AA03-7D8609C8F05E}"/>
    <hyperlink ref="AC8" r:id="rId437" display="https://www.eia.gov/dnav/pet/hist/LeafHandler.ashx?n=PET&amp;s=M_EPL2_SAE_NUS_MBBL&amp;f=A" xr:uid="{D4123037-E3CE-47D6-A554-F7ED983D11A6}"/>
    <hyperlink ref="R9" r:id="rId438" display="https://www.eia.gov/dnav/pet/hist/LeafHandler.ashx?n=PET&amp;s=M_EPLLEA_FPF_NUS_MBBL&amp;f=A" xr:uid="{8BBAEAEF-5FD7-4324-9AA4-9EB9C4318877}"/>
    <hyperlink ref="U9" r:id="rId439" display="https://www.eia.gov/dnav/pet/hist/LeafHandler.ashx?n=PET&amp;s=MENRPUS1&amp;f=A" xr:uid="{D34C0EFE-A1BA-43FE-A642-FCB4240F61D8}"/>
    <hyperlink ref="V9" r:id="rId440" display="https://www.eia.gov/dnav/pet/hist/LeafHandler.ashx?n=PET&amp;s=MENIMUS1&amp;f=A" xr:uid="{381BB444-0E3B-42B0-AAEB-C6519441D5ED}"/>
    <hyperlink ref="Y9" r:id="rId441" display="https://www.eia.gov/dnav/pet/hist/LeafHandler.ashx?n=PET&amp;s=M_EPLLEA_SCG_NUS_MBBL&amp;f=A" xr:uid="{3AA81F47-481D-47C9-BAF4-1E96C30E1961}"/>
    <hyperlink ref="AA9" r:id="rId442" display="https://www.eia.gov/dnav/pet/hist/LeafHandler.ashx?n=PET&amp;s=M_EPLLEA_EEX_NUS-Z00_1&amp;f=A" xr:uid="{AE9B2313-A1E4-4E38-AF8E-3426E099F5C9}"/>
    <hyperlink ref="AB9" r:id="rId443" display="https://www.eia.gov/dnav/pet/hist/LeafHandler.ashx?n=PET&amp;s=M_EPLLEA_VPP_NUS_MBBL&amp;f=A" xr:uid="{7D492CF1-67DF-468B-B09F-6DA5DAAC20E7}"/>
    <hyperlink ref="AC9" r:id="rId444" display="https://www.eia.gov/dnav/pet/hist/LeafHandler.ashx?n=PET&amp;s=M_EPLLEA_SAE_NUS_MBBL&amp;f=A" xr:uid="{47AC778A-4B37-4B32-8149-090B783C2736}"/>
    <hyperlink ref="R10" r:id="rId445" display="https://www.eia.gov/dnav/pet/hist/LeafHandler.ashx?n=PET&amp;s=M_EPLLPA_FPF_NUS_MBBL&amp;f=A" xr:uid="{A094266E-0C9C-4F19-8EDB-D16AA832501E}"/>
    <hyperlink ref="S10" r:id="rId446" display="https://www.eia.gov/dnav/pet/hist/LeafHandler.ashx?n=PET&amp;s=M_EPLLPA_TVP_NUS_MBBL&amp;f=A" xr:uid="{1F2B7258-C262-465E-BB51-CEC69D5568EE}"/>
    <hyperlink ref="U10" r:id="rId447" display="https://www.eia.gov/dnav/pet/hist/LeafHandler.ashx?n=PET&amp;s=MPARP_NUS_1&amp;f=A" xr:uid="{3BCA8D3C-C717-4DE4-BC6E-0CAF27690564}"/>
    <hyperlink ref="V10" r:id="rId448" display="https://www.eia.gov/dnav/pet/hist/LeafHandler.ashx?n=PET&amp;s=MPAIM_NUS-Z00_1&amp;f=A" xr:uid="{3ADE2CD9-65E2-46BC-80DB-178812BCB4C7}"/>
    <hyperlink ref="Y10" r:id="rId449" display="https://www.eia.gov/dnav/pet/hist/LeafHandler.ashx?n=PET&amp;s=M_EPLLPA_SCG_NUS_MBBL&amp;f=A" xr:uid="{679D0544-B715-494A-8DF7-300F1A3270BC}"/>
    <hyperlink ref="AA10" r:id="rId450" display="https://www.eia.gov/dnav/pet/hist/LeafHandler.ashx?n=PET&amp;s=MPAEX_NUS-Z00_1&amp;f=A" xr:uid="{AAEB31BA-F2FC-43A0-B89B-0F4747A847DB}"/>
    <hyperlink ref="AB10" r:id="rId451" display="https://www.eia.gov/dnav/pet/hist/LeafHandler.ashx?n=PET&amp;s=M_EPLLPA_VPP_NUS_MBBL&amp;f=A" xr:uid="{96205F0F-2FF7-4EAD-808D-0558371F806B}"/>
    <hyperlink ref="AC10" r:id="rId452" display="https://www.eia.gov/dnav/pet/hist/LeafHandler.ashx?n=PET&amp;s=M_EPLLPA_SAE_NUS_MBBL&amp;f=A" xr:uid="{9E68ED0C-6473-4032-8806-8AEA4AF8D086}"/>
    <hyperlink ref="R11" r:id="rId453" display="https://www.eia.gov/dnav/pet/hist/LeafHandler.ashx?n=PET&amp;s=M_EPLLBAN_FPF_NUS_MBBL&amp;f=A" xr:uid="{D4436CDA-77C1-4BA4-886E-A21B5006B55F}"/>
    <hyperlink ref="S11" r:id="rId454" display="https://www.eia.gov/dnav/pet/hist/LeafHandler.ashx?n=PET&amp;s=M_EPLLBAN_TVP_NUS_MBBL&amp;f=A" xr:uid="{91C4369E-023B-475F-9B5D-5FEADA69310D}"/>
    <hyperlink ref="T11" r:id="rId455" display="https://www.eia.gov/dnav/pet/hist/LeafHandler.ashx?n=PET&amp;s=M_EPLLBAN_YNP_NUS_MBBL&amp;f=A" xr:uid="{98F40446-8DE3-4830-8B27-6E0BF4962287}"/>
    <hyperlink ref="U11" r:id="rId456" display="https://www.eia.gov/dnav/pet/hist/LeafHandler.ashx?n=PET&amp;s=MBURPUS1&amp;f=A" xr:uid="{7B6F4D56-3DE6-4A73-B1D2-DE683248706B}"/>
    <hyperlink ref="V11" r:id="rId457" display="https://www.eia.gov/dnav/pet/hist/LeafHandler.ashx?n=PET&amp;s=MBUIM_NUS-Z00_1&amp;f=A" xr:uid="{A53B2AFF-D904-48CE-82DE-8536EEAA1B21}"/>
    <hyperlink ref="Y11" r:id="rId458" display="https://www.eia.gov/dnav/pet/hist/LeafHandler.ashx?n=PET&amp;s=M_EPLLBAN_SCG_NUS_MBBL&amp;f=A" xr:uid="{C24237C5-01FA-4EF4-BB25-9C34CA8DFFF6}"/>
    <hyperlink ref="Z11" r:id="rId459" display="https://www.eia.gov/dnav/pet/hist/LeafHandler.ashx?n=PET&amp;s=M_EPLLBAN_YIR_NUS_MBBL&amp;f=A" xr:uid="{E2A768E3-4390-4744-9407-CAEFBFADA3A2}"/>
    <hyperlink ref="AA11" r:id="rId460" display="https://www.eia.gov/dnav/pet/hist/LeafHandler.ashx?n=PET&amp;s=MBUEX_NUS-Z00_1&amp;f=A" xr:uid="{7632DE2D-CC07-4CF8-84F5-9D492C4575DE}"/>
    <hyperlink ref="AB11" r:id="rId461" display="https://www.eia.gov/dnav/pet/hist/LeafHandler.ashx?n=PET&amp;s=M_EPLLBAN_VPP_NUS_MBBL&amp;f=A" xr:uid="{2B185224-738B-4B73-A378-A4BF8265D457}"/>
    <hyperlink ref="AC11" r:id="rId462" display="https://www.eia.gov/dnav/pet/hist/LeafHandler.ashx?n=PET&amp;s=M_EPLLBAN_SAE_NUS_MBBL&amp;f=A" xr:uid="{4D1EB2EF-5D45-4E5B-AB6E-FB81D479B8F3}"/>
    <hyperlink ref="R12" r:id="rId463" display="https://www.eia.gov/dnav/pet/hist/LeafHandler.ashx?n=PET&amp;s=M_EPLLBAI_FPF_NUS_MBBL&amp;f=A" xr:uid="{8DD46D4E-D3B8-4927-AA7E-170E13E56DF9}"/>
    <hyperlink ref="S12" r:id="rId464" display="https://www.eia.gov/dnav/pet/hist/LeafHandler.ashx?n=PET&amp;s=M_EPLLBAI_TVP_NUS_MBBL&amp;f=A" xr:uid="{05C434A7-65CD-434E-B70C-B2DABF2786E8}"/>
    <hyperlink ref="T12" r:id="rId465" display="https://www.eia.gov/dnav/pet/hist/LeafHandler.ashx?n=PET&amp;s=M_EPLLBAI_YNP_NUS_MBBL&amp;f=A" xr:uid="{EDF71628-4FD5-4FDB-BB9C-42BBC3157201}"/>
    <hyperlink ref="U12" r:id="rId466" display="https://www.eia.gov/dnav/pet/hist/LeafHandler.ashx?n=PET&amp;s=MIIRPUS1&amp;f=A" xr:uid="{9F25BC8B-AD45-436C-BF27-69527E7F08D6}"/>
    <hyperlink ref="V12" r:id="rId467" display="https://www.eia.gov/dnav/pet/hist/LeafHandler.ashx?n=PET&amp;s=MIIIM_NUS-Z00_1&amp;f=A" xr:uid="{37B76B6B-2944-445E-BDD3-47AD0B277DBB}"/>
    <hyperlink ref="Y12" r:id="rId468" display="https://www.eia.gov/dnav/pet/hist/LeafHandler.ashx?n=PET&amp;s=M_EPLLBAI_SCG_NUS_MBBL&amp;f=A" xr:uid="{58C38706-F14D-4932-B856-541C9C15239A}"/>
    <hyperlink ref="Z12" r:id="rId469" display="https://www.eia.gov/dnav/pet/hist/LeafHandler.ashx?n=PET&amp;s=M_EPLLBAI_YIR_NUS_MBBL&amp;f=A" xr:uid="{C66140F8-10A7-41BE-A85B-1AB78A1F9E62}"/>
    <hyperlink ref="AA12" r:id="rId470" display="https://www.eia.gov/dnav/pet/hist/LeafHandler.ashx?n=PET&amp;s=M_EPLLBAI_EEX_NUS-Z00_1&amp;f=A" xr:uid="{CD56365F-0D3F-46B3-8098-7F30AFA0ADBA}"/>
    <hyperlink ref="AB12" r:id="rId471" display="https://www.eia.gov/dnav/pet/hist/LeafHandler.ashx?n=PET&amp;s=M_EPLLBAI_VPP_NUS_MBBL&amp;f=A" xr:uid="{8FF918E6-D3B3-47E4-B809-70351C259602}"/>
    <hyperlink ref="AC12" r:id="rId472" display="https://www.eia.gov/dnav/pet/hist/LeafHandler.ashx?n=PET&amp;s=M_EPLLBAI_SAE_NUS_MBBL&amp;f=A" xr:uid="{256F163F-41B8-4CD5-ADF1-3D23AF253DEA}"/>
    <hyperlink ref="R13" r:id="rId473" display="https://www.eia.gov/dnav/pet/hist/LeafHandler.ashx?n=PET&amp;s=M_EPLLNG_FPF_NUS_MBBL&amp;f=A" xr:uid="{9F8DE1AA-BCD0-459F-A7BC-1647B477F02B}"/>
    <hyperlink ref="S13" r:id="rId474" display="https://www.eia.gov/dnav/pet/hist/LeafHandler.ashx?n=PET&amp;s=M_EPLLNG_TVP_NUS_MBBL&amp;f=A" xr:uid="{1307414A-FEA2-43EC-8823-CD189010ECB3}"/>
    <hyperlink ref="T13" r:id="rId475" display="https://www.eia.gov/dnav/pet/hist/LeafHandler.ashx?n=PET&amp;s=M_EPLLNG_YNP_NUS_MBBL&amp;f=A" xr:uid="{408163AF-1EB8-4F00-B171-18D9D89F3CAB}"/>
    <hyperlink ref="V13" r:id="rId476" display="https://www.eia.gov/dnav/pet/hist/LeafHandler.ashx?n=PET&amp;s=M_EPLLNG_IM0_NUS-Z00_MBBL&amp;f=A" xr:uid="{3315D1A7-5510-40D9-9C18-E5660687083F}"/>
    <hyperlink ref="Y13" r:id="rId477" display="https://www.eia.gov/dnav/pet/hist/LeafHandler.ashx?n=PET&amp;s=M_EPLLNG_SCG_NUS_MBBL&amp;f=A" xr:uid="{EAD660A5-8AC5-46F9-9A79-A431E05E7DB6}"/>
    <hyperlink ref="Z13" r:id="rId478" display="https://www.eia.gov/dnav/pet/hist/LeafHandler.ashx?n=PET&amp;s=M_EPLLNG_YIR_NUS_MBBL&amp;f=A" xr:uid="{589DA82A-941D-4000-A3B7-01CD14A96857}"/>
    <hyperlink ref="AA13" r:id="rId479" display="https://www.eia.gov/dnav/pet/hist/LeafHandler.ashx?n=PET&amp;s=M_EPLLNG_EEX_NUS-Z00_MBBL&amp;f=A" xr:uid="{C32F7B0D-5204-40C5-908F-B3DD072A2C66}"/>
    <hyperlink ref="AB13" r:id="rId480" display="https://www.eia.gov/dnav/pet/hist/LeafHandler.ashx?n=PET&amp;s=M_EPLLNG_VPP_NUS_MBBL&amp;f=A" xr:uid="{F4C4BA8E-79C5-4093-AB07-2374214A4558}"/>
    <hyperlink ref="AC13" r:id="rId481" display="https://www.eia.gov/dnav/pet/hist/LeafHandler.ashx?n=PET&amp;s=M_EPLLNG_SAE_NUS_MBBL&amp;f=A" xr:uid="{A3616144-FC86-41F1-87C6-F488BF09ABA5}"/>
    <hyperlink ref="R14" r:id="rId482" display="https://www.eia.gov/dnav/pet/hist/LeafHandler.ashx?n=PET&amp;s=M_EPLLCS_FPF_NUS_MBBL&amp;f=A" xr:uid="{8B78C45C-C5FF-48C2-B098-9B1362106665}"/>
    <hyperlink ref="S14" r:id="rId483" display="https://www.eia.gov/dnav/pet/hist/LeafHandler.ashx?n=PET&amp;s=M_EPLLCS_TVP_NUS_MBBL&amp;f=A" xr:uid="{BEE3E616-4679-4F02-B7A2-46289DF8C4F7}"/>
    <hyperlink ref="Y14" r:id="rId484" display="https://www.eia.gov/dnav/pet/hist/LeafHandler.ashx?n=PET&amp;s=M_EPLLCS_SCG_NUS_MBBL&amp;f=A" xr:uid="{F1AFBE41-F220-4BAE-AAF5-B1D7D49A9FF0}"/>
    <hyperlink ref="AB14" r:id="rId485" display="https://www.eia.gov/dnav/pet/hist/LeafHandler.ashx?n=PET&amp;s=M_EPLLCS_VPP_NUS_MBBL&amp;f=A" xr:uid="{2DC59257-67D3-4F92-A253-EFA9732FE8AA}"/>
    <hyperlink ref="AC14" r:id="rId486" display="https://www.eia.gov/dnav/pet/hist/LeafHandler.ashx?n=PET&amp;s=M_EPLLCS_SAE_NUS_MBBL&amp;f=A" xr:uid="{BC2B258E-2EAD-4A65-BE6F-D73AC42D9E64}"/>
    <hyperlink ref="U15" r:id="rId487" display="https://www.eia.gov/dnav/pet/hist/LeafHandler.ashx?n=PET&amp;s=M_EPLOLE_YPR_NUS_MBBL&amp;f=A" xr:uid="{324C025B-A94D-42C2-9AFF-6397D651A420}"/>
    <hyperlink ref="V15" r:id="rId488" display="https://www.eia.gov/dnav/pet/hist/LeafHandler.ashx?n=PET&amp;s=M_EPLOLE_IM0_NUS-Z00_MBBL&amp;f=A" xr:uid="{10C4D6ED-E5BA-4EB8-B107-5E063E93B5BF}"/>
    <hyperlink ref="Y15" r:id="rId489" display="https://www.eia.gov/dnav/pet/hist/LeafHandler.ashx?n=PET&amp;s=M_EPLOLE_SCG_NUS_MBBL&amp;f=A" xr:uid="{9A5A54E5-660A-4FA6-9384-87AD602D5ED1}"/>
    <hyperlink ref="AB15" r:id="rId490" display="https://www.eia.gov/dnav/pet/hist/LeafHandler.ashx?n=PET&amp;s=M_EPLOLE_VPP_NUS_MBBL&amp;f=A" xr:uid="{9C941455-D40E-4196-AE88-00B96640E517}"/>
    <hyperlink ref="AC15" r:id="rId491" display="https://www.eia.gov/dnav/pet/hist/LeafHandler.ashx?n=PET&amp;s=M_EPLOLE_SAE_NUS_MBBL&amp;f=A" xr:uid="{28CDB749-99B2-422D-B7CB-F3B8D3475000}"/>
    <hyperlink ref="U16" r:id="rId492" display="https://www.eia.gov/dnav/pet/hist/LeafHandler.ashx?n=PET&amp;s=MEYRPUS1&amp;f=A" xr:uid="{3A988732-F687-4BE6-8110-D921C6B9E237}"/>
    <hyperlink ref="V16" r:id="rId493" display="https://www.eia.gov/dnav/pet/hist/LeafHandler.ashx?n=PET&amp;s=MEYIMUS1&amp;f=A" xr:uid="{5569FD85-003A-41C5-B3EC-35FCA5EFCC4A}"/>
    <hyperlink ref="Y16" r:id="rId494" display="https://www.eia.gov/dnav/pet/hist/LeafHandler.ashx?n=PET&amp;s=M_EPLLEY_SCG_NUS_MBBL&amp;f=A" xr:uid="{21F31508-E1C8-46B9-B08C-BEF27704AB3F}"/>
    <hyperlink ref="AB16" r:id="rId495" display="https://www.eia.gov/dnav/pet/hist/LeafHandler.ashx?n=PET&amp;s=M_EPLLEY_VPP_NUS_MBBL&amp;f=A" xr:uid="{F7130161-16CC-4FD5-90BA-9D5C7E105511}"/>
    <hyperlink ref="AC16" r:id="rId496" display="https://www.eia.gov/dnav/pet/hist/LeafHandler.ashx?n=PET&amp;s=M_EPLLEY_SAE_NUS_MBBL&amp;f=A" xr:uid="{FEFC292D-7AFF-418C-A0DC-1FE3BEC16C31}"/>
    <hyperlink ref="U17" r:id="rId497" display="https://www.eia.gov/dnav/pet/hist/LeafHandler.ashx?n=PET&amp;s=MPLRPUS1&amp;f=A" xr:uid="{83F9896F-3BBA-42C6-AB0B-FFD02E9B35AC}"/>
    <hyperlink ref="V17" r:id="rId498" display="https://www.eia.gov/dnav/pet/hist/LeafHandler.ashx?n=PET&amp;s=MPLIMUS1&amp;f=A" xr:uid="{4BDE4EAE-27D9-471D-8CB8-7A96FE40B23D}"/>
    <hyperlink ref="Y17" r:id="rId499" display="https://www.eia.gov/dnav/pet/hist/LeafHandler.ashx?n=PET&amp;s=M_EPLLPY_SCG_NUS_MBBL&amp;f=A" xr:uid="{C895614B-1016-437B-A884-3AB1153DF053}"/>
    <hyperlink ref="AB17" r:id="rId500" display="https://www.eia.gov/dnav/pet/hist/LeafHandler.ashx?n=PET&amp;s=M_EPLLPY_VPP_NUS_MBBL&amp;f=A" xr:uid="{7B58135E-9301-4CD1-8440-E34AB1CA55AA}"/>
    <hyperlink ref="AC17" r:id="rId501" display="https://www.eia.gov/dnav/pet/hist/LeafHandler.ashx?n=PET&amp;s=M_EPLLPY_SAE_NUS_MBBL&amp;f=A" xr:uid="{CFC563DB-C629-4BE4-BD23-9E2ADA11F8AC}"/>
    <hyperlink ref="U18" r:id="rId502" display="https://www.eia.gov/dnav/pet/hist/LeafHandler.ashx?n=PET&amp;s=MBYRPUS1&amp;f=A" xr:uid="{80649D2C-14AA-474F-8B06-69638046C5F6}"/>
    <hyperlink ref="V18" r:id="rId503" display="https://www.eia.gov/dnav/pet/hist/LeafHandler.ashx?n=PET&amp;s=MBYIMUS1&amp;f=A" xr:uid="{7002D9F6-47A6-4B86-BD83-EEEEFBD689C8}"/>
    <hyperlink ref="Y18" r:id="rId504" display="https://www.eia.gov/dnav/pet/hist/LeafHandler.ashx?n=PET&amp;s=M_EPLLBYN_SCG_NUS_MBBL&amp;f=A" xr:uid="{BC61B911-F458-45B9-AA60-1488412DAB54}"/>
    <hyperlink ref="AB18" r:id="rId505" display="https://www.eia.gov/dnav/pet/hist/LeafHandler.ashx?n=PET&amp;s=M_EPLLBYN_VPP_NUS_MBBL&amp;f=A" xr:uid="{F38901B1-7B9C-42C8-9094-7871E94F2C10}"/>
    <hyperlink ref="AC18" r:id="rId506" display="https://www.eia.gov/dnav/pet/hist/LeafHandler.ashx?n=PET&amp;s=M_EPLLBYN_SAE_NUS_MBBL&amp;f=A" xr:uid="{4CB2B0B3-7998-414A-BAEF-3FE434284EED}"/>
    <hyperlink ref="U19" r:id="rId507" display="https://www.eia.gov/dnav/pet/hist/LeafHandler.ashx?n=PET&amp;s=MIYRPUS1&amp;f=A" xr:uid="{7DF205FB-FF2A-4943-BCF5-98D48A0F862C}"/>
    <hyperlink ref="V19" r:id="rId508" display="https://www.eia.gov/dnav/pet/hist/LeafHandler.ashx?n=PET&amp;s=MIYIMUS1&amp;f=A" xr:uid="{B8C47B9B-8F17-40DB-B5DE-7AAA80E0104D}"/>
    <hyperlink ref="Y19" r:id="rId509" display="https://www.eia.gov/dnav/pet/hist/LeafHandler.ashx?n=PET&amp;s=M_EPLLBYI_SCG_NUS_MBBL&amp;f=A" xr:uid="{ECC65222-8AC9-48F9-87F6-D1BCF10F53CA}"/>
    <hyperlink ref="AB19" r:id="rId510" display="https://www.eia.gov/dnav/pet/hist/LeafHandler.ashx?n=PET&amp;s=M_EPLLBYI_VPP_NUS_MBBL&amp;f=A" xr:uid="{96FB4B3D-5E6E-4550-965F-2C229E5E563E}"/>
    <hyperlink ref="AC19" r:id="rId511" display="https://www.eia.gov/dnav/pet/hist/LeafHandler.ashx?n=PET&amp;s=M_EPLLBYI_SAE_NUS_MBBL&amp;f=A" xr:uid="{26498D5B-98D5-4C26-B82B-449018E554A3}"/>
    <hyperlink ref="S20" r:id="rId512" display="https://www.eia.gov/dnav/pet/hist/LeafHandler.ashx?n=PET&amp;s=M_EPOL_TVP_NUS_MBBL&amp;f=A" xr:uid="{8ED9D872-F21B-48BA-A3B2-AC002A8F86CB}"/>
    <hyperlink ref="T20" r:id="rId513" display="https://www.eia.gov/dnav/pet/hist/LeafHandler.ashx?n=PET&amp;s=M_EPOL_YNP_NUS_MBBL&amp;f=A" xr:uid="{5D3449CD-2AFA-48CD-B717-AAAEDCFD73EE}"/>
    <hyperlink ref="V20" r:id="rId514" display="https://www.eia.gov/dnav/pet/hist/LeafHandler.ashx?n=PET&amp;s=MOLIMUS1&amp;f=A" xr:uid="{A6641AD8-05C4-48EA-A8A8-12581659EF34}"/>
    <hyperlink ref="X20" r:id="rId515" display="https://www.eia.gov/dnav/pet/hist/LeafHandler.ashx?n=PET&amp;s=MOLUA_NUS_1&amp;f=A" xr:uid="{4D7BB1B5-8393-4E53-AB01-3F3659AD0E06}"/>
    <hyperlink ref="Y20" r:id="rId516" display="https://www.eia.gov/dnav/pet/hist/LeafHandler.ashx?n=PET&amp;s=MOLSCUS1&amp;f=A" xr:uid="{D24E3FAA-8E3B-420F-BFC6-A08745F3147B}"/>
    <hyperlink ref="Z20" r:id="rId517" display="https://www.eia.gov/dnav/pet/hist/LeafHandler.ashx?n=PET&amp;s=MOLRIUS1&amp;f=A" xr:uid="{18DA5174-9614-46F0-8804-CB92EF17F261}"/>
    <hyperlink ref="AA20" r:id="rId518" display="https://www.eia.gov/dnav/pet/hist/LeafHandler.ashx?n=PET&amp;s=MOLEXUS1&amp;f=A" xr:uid="{FAD34DF2-85AC-4203-9780-5A55DD70DFEA}"/>
    <hyperlink ref="AB20" r:id="rId519" display="https://www.eia.gov/dnav/pet/hist/LeafHandler.ashx?n=PET&amp;s=MOLUPUS1&amp;f=A" xr:uid="{DD695FC9-9F99-4E2A-B565-F32CECC8CFC6}"/>
    <hyperlink ref="AC20" r:id="rId520" display="https://www.eia.gov/dnav/pet/hist/LeafHandler.ashx?n=PET&amp;s=MOLSTUS1&amp;f=A" xr:uid="{15D65802-BF88-49C2-95DA-4E0E62CF0CF5}"/>
    <hyperlink ref="T21" r:id="rId521" display="https://www.eia.gov/dnav/pet/hist/LeafHandler.ashx?n=PET&amp;s=M_EPOO_YNP_NUS_MBBL&amp;f=A" xr:uid="{43B16767-468A-4517-A742-E6F4BDD28490}"/>
    <hyperlink ref="V21" r:id="rId522" display="https://www.eia.gov/dnav/pet/hist/LeafHandler.ashx?n=PET&amp;s=MOHIMUS1&amp;f=A" xr:uid="{7ED19157-E504-48C0-9189-4D9B147D390B}"/>
    <hyperlink ref="X21" r:id="rId523" display="https://www.eia.gov/dnav/pet/hist/LeafHandler.ashx?n=PET&amp;s=MOHUA_NUS_1&amp;f=A" xr:uid="{F2C5CD1F-E3BC-428A-B8E6-1B1ABDE1FFC1}"/>
    <hyperlink ref="Y21" r:id="rId524" display="https://www.eia.gov/dnav/pet/hist/LeafHandler.ashx?n=PET&amp;s=MOHSCUS1&amp;f=A" xr:uid="{43F05C5D-E55A-4DB4-865A-8E0CF9FB45CC}"/>
    <hyperlink ref="Z21" r:id="rId525" display="https://www.eia.gov/dnav/pet/hist/LeafHandler.ashx?n=PET&amp;s=MOHRIUS1&amp;f=A" xr:uid="{0B23A9DE-9C3D-4ACF-B9E6-8356C0066114}"/>
    <hyperlink ref="AA21" r:id="rId526" display="https://www.eia.gov/dnav/pet/hist/LeafHandler.ashx?n=PET&amp;s=MOHEXUS1&amp;f=A" xr:uid="{B3956C5C-B6C0-4824-B968-8977948B13B6}"/>
    <hyperlink ref="AB21" r:id="rId527" display="https://www.eia.gov/dnav/pet/hist/LeafHandler.ashx?n=PET&amp;s=MOHUPUS1&amp;f=A" xr:uid="{8181E3D2-112E-4AAC-BB6A-64F27A843AE7}"/>
    <hyperlink ref="AC21" r:id="rId528" display="https://www.eia.gov/dnav/pet/hist/LeafHandler.ashx?n=PET&amp;s=MOHSTUS1&amp;f=A" xr:uid="{5393FC26-3601-45DB-9639-A1113BA6E8CC}"/>
    <hyperlink ref="X22" r:id="rId529" display="https://www.eia.gov/dnav/pet/hist/LeafHandler.ashx?n=PET&amp;s=M_EPOOOH_VUA_NUS_MBBL&amp;f=A" xr:uid="{3769953B-0516-4A76-AFB6-DB209345448D}"/>
    <hyperlink ref="Z22" r:id="rId530" display="https://www.eia.gov/dnav/pet/hist/LeafHandler.ashx?n=PET&amp;s=M_EPOOOH_YIR_NUS_MBBL&amp;f=A" xr:uid="{2BC47233-E9BA-431F-BFA3-DB8C9F013801}"/>
    <hyperlink ref="AB22" r:id="rId531" display="https://www.eia.gov/dnav/pet/hist/LeafHandler.ashx?n=PET&amp;s=M_EPOOOH_VPP_NUS_MBBL&amp;f=A" xr:uid="{97D0A7EF-15D5-40C8-B53F-A7FFDF695375}"/>
    <hyperlink ref="T23" r:id="rId532" display="https://www.eia.gov/dnav/pet/hist/LeafHandler.ashx?n=PET&amp;s=M_EPOOXXFE_YNP_NUS_MBBL&amp;f=A" xr:uid="{805F7BEF-58D7-4200-A8DC-A7B80AF41126}"/>
    <hyperlink ref="V23" r:id="rId533" display="https://www.eia.gov/dnav/pet/hist/LeafHandler.ashx?n=PET&amp;s=M_EPOOXXFE_IM0_NUS-Z00_MBBL&amp;f=A" xr:uid="{ED1ED778-A415-431A-866B-89844EFE9DD4}"/>
    <hyperlink ref="X23" r:id="rId534" display="https://www.eia.gov/dnav/pet/hist/LeafHandler.ashx?n=PET&amp;s=M_EPOOXXFE_VUA_NUS_MBBL&amp;f=A" xr:uid="{E7AF112E-92A2-4D04-B9BD-4D24A684B839}"/>
    <hyperlink ref="Y23" r:id="rId535" display="https://www.eia.gov/dnav/pet/hist/LeafHandler.ashx?n=PET&amp;s=M_EPOOXXFE_SCG_NUS_MBBL&amp;f=A" xr:uid="{54F31174-2070-4CE1-B8C4-0C0D60FA223D}"/>
    <hyperlink ref="Z23" r:id="rId536" display="https://www.eia.gov/dnav/pet/hist/LeafHandler.ashx?n=PET&amp;s=M_EPOOXXFE_YIR_NUS_MBBL&amp;f=A" xr:uid="{0244D2B3-2FB5-4038-8F88-6F70629EBFBD}"/>
    <hyperlink ref="AA23" r:id="rId537" display="https://www.eia.gov/dnav/pet/hist/LeafHandler.ashx?n=PET&amp;s=M_EPOOXXFE_EEX_NUS-Z00_MBBL&amp;f=A" xr:uid="{E7991BD4-ED78-4A93-83E3-7EF94B2D435B}"/>
    <hyperlink ref="AB23" r:id="rId538" display="https://www.eia.gov/dnav/pet/hist/LeafHandler.ashx?n=PET&amp;s=M_EPOOXXFE_VPP_NUS_MBBL&amp;f=A" xr:uid="{C5DA1561-AF67-4B4E-8517-F8509C7EBF2F}"/>
    <hyperlink ref="AC23" r:id="rId539" display="https://www.eia.gov/dnav/pet/hist/LeafHandler.ashx?n=PET&amp;s=M_EPOOXXFE_SAE_NUS_MBBL&amp;f=A" xr:uid="{AA9A600B-6BCC-407B-B095-35DA483DAA91}"/>
    <hyperlink ref="T24" r:id="rId540" display="https://www.eia.gov/dnav/pet/hist/LeafHandler.ashx?n=PET&amp;s=M_EPOOR_YNP_NUS_MBBL&amp;f=A" xr:uid="{68737832-00B3-4CF8-92DF-C9BF7D872E41}"/>
    <hyperlink ref="V24" r:id="rId541" display="https://www.eia.gov/dnav/pet/hist/LeafHandler.ashx?n=PET&amp;s=M_EPOOR_IM0_NUS-Z00_MBBL&amp;f=A" xr:uid="{36AFDE5B-7BC5-47AA-8B01-09651C6E204D}"/>
    <hyperlink ref="X24" r:id="rId542" display="https://www.eia.gov/dnav/pet/hist/LeafHandler.ashx?n=PET&amp;s=M_EPOOR_VUA_NUS_MBBL&amp;f=A" xr:uid="{3CD8C4A7-C261-4204-B385-B16F797B5B64}"/>
    <hyperlink ref="Y24" r:id="rId543" display="https://www.eia.gov/dnav/pet/hist/LeafHandler.ashx?n=PET&amp;s=M_EPOOR_SCG_NUS_MBBL&amp;f=A" xr:uid="{88215EC3-8F28-4938-A91A-43FE7C0E81E0}"/>
    <hyperlink ref="Z24" r:id="rId544" display="https://www.eia.gov/dnav/pet/hist/LeafHandler.ashx?n=PET&amp;s=M_EPOOR_YIR_NUS_MBBL&amp;f=A" xr:uid="{33781CF2-9317-4EAB-ABF3-AA0A9AE8CAD0}"/>
    <hyperlink ref="AA24" r:id="rId545" display="https://www.eia.gov/dnav/pet/hist/LeafHandler.ashx?n=PET&amp;s=M_EPOOR_EEX_NUS-Z00_MBBL&amp;f=A" xr:uid="{EAA029A8-E4AA-4CEC-BDD7-069942600740}"/>
    <hyperlink ref="AB24" r:id="rId546" display="https://www.eia.gov/dnav/pet/hist/LeafHandler.ashx?n=PET&amp;s=M_EPOOR_VPP_NUS_MBBL&amp;f=A" xr:uid="{D8D7988B-F049-450A-97E1-F933C2E3CBFE}"/>
    <hyperlink ref="AC24" r:id="rId547" display="https://www.eia.gov/dnav/pet/hist/LeafHandler.ashx?n=PET&amp;s=M_EPOOR_SAE_NUS_MBBL&amp;f=A" xr:uid="{6F0E54DF-72E8-43C5-AE61-AF127AF74EAF}"/>
    <hyperlink ref="T25" r:id="rId548" display="https://www.eia.gov/dnav/pet/hist/LeafHandler.ashx?n=PET&amp;s=M_EPOOXE_YNP_NUS_MBBL&amp;f=A" xr:uid="{769D0102-BED0-49BC-82FB-29C078020F11}"/>
    <hyperlink ref="V25" r:id="rId549" display="https://www.eia.gov/dnav/pet/hist/LeafHandler.ashx?n=PET&amp;s=MFEIMUS1&amp;f=A" xr:uid="{AB40D96B-7940-4F53-92FE-C6D2B308A083}"/>
    <hyperlink ref="X25" r:id="rId550" display="https://www.eia.gov/dnav/pet/hist/LeafHandler.ashx?n=PET&amp;s=M_EPOOXE_VUA_NUS_MBBL&amp;f=A" xr:uid="{C49844A5-C2AD-4161-A4B3-8377244BAB04}"/>
    <hyperlink ref="Y25" r:id="rId551" display="https://www.eia.gov/dnav/pet/hist/LeafHandler.ashx?n=PET&amp;s=M_EPOOXE_SCG_NUS_MBBL&amp;f=A" xr:uid="{6928FAB7-6EB6-4CB7-B8D0-D814AF1D293E}"/>
    <hyperlink ref="Z25" r:id="rId552" display="https://www.eia.gov/dnav/pet/hist/LeafHandler.ashx?n=PET&amp;s=MFERIUS1&amp;f=A" xr:uid="{C0AF84D5-86E6-460D-98B8-C8AAC288BC39}"/>
    <hyperlink ref="AA25" r:id="rId553" display="https://www.eia.gov/dnav/pet/hist/LeafHandler.ashx?n=PET&amp;s=M_EPOOXE_EEX_NUS-Z00_MBBL&amp;f=A" xr:uid="{2BE060EB-6BFE-4995-82DC-454832886D1A}"/>
    <hyperlink ref="AB25" r:id="rId554" display="https://www.eia.gov/dnav/pet/hist/LeafHandler.ashx?n=PET&amp;s=M_EPOOXE_VPP_NUS_MBBL&amp;f=A" xr:uid="{3C81B34A-0D87-4741-9237-7B18C29A43E3}"/>
    <hyperlink ref="AC25" r:id="rId555" display="https://www.eia.gov/dnav/pet/hist/LeafHandler.ashx?n=PET&amp;s=MFESTUS1&amp;f=A" xr:uid="{D894FB26-47A9-4070-8A1E-E3DCCC8F40D8}"/>
    <hyperlink ref="T26" r:id="rId556" display="https://www.eia.gov/dnav/pet/hist/LeafHandler.ashx?n=PET&amp;s=M_EPOORXFE_YNP_NUS_MBBL&amp;f=A" xr:uid="{65442257-4EB4-4C04-B586-8AB83F76071F}"/>
    <hyperlink ref="V26" r:id="rId557" display="https://www.eia.gov/dnav/pet/hist/LeafHandler.ashx?n=PET&amp;s=M_EPOORXFE_IM0_NUS-Z00_MBBL&amp;f=A" xr:uid="{61A1A6C1-C97F-4964-B5AF-BC1BFBF5C833}"/>
    <hyperlink ref="X26" r:id="rId558" display="https://www.eia.gov/dnav/pet/hist/LeafHandler.ashx?n=PET&amp;s=M_EPOORXFE_VUA_NUS_MBBL&amp;f=A" xr:uid="{3ACB7C0C-89EC-4ACD-BA07-17C637335FF6}"/>
    <hyperlink ref="Y26" r:id="rId559" display="https://www.eia.gov/dnav/pet/hist/LeafHandler.ashx?n=PET&amp;s=M_EPOORXFE_SCG_NUS_MBBL&amp;f=A" xr:uid="{DF0E16ED-E40E-4339-BF77-FE407645AD91}"/>
    <hyperlink ref="Z26" r:id="rId560" display="https://www.eia.gov/dnav/pet/hist/LeafHandler.ashx?n=PET&amp;s=M_EPOORXFE_YIR_NUS_MBBL&amp;f=A" xr:uid="{59052A83-F5C0-4D6E-970A-E2FBADE84643}"/>
    <hyperlink ref="AA26" r:id="rId561" display="https://www.eia.gov/dnav/pet/hist/LeafHandler.ashx?n=PET&amp;s=M_EPOORXFE_EEX_NUS-Z00_MBBL&amp;f=A" xr:uid="{8CDE3630-3DBD-4285-93F0-463940414880}"/>
    <hyperlink ref="AB26" r:id="rId562" display="https://www.eia.gov/dnav/pet/hist/LeafHandler.ashx?n=PET&amp;s=M_EPOORXFE_VPP_NUS_MBBL&amp;f=A" xr:uid="{F1727329-5DE3-4D5D-A0AD-BE4DA2D88CB1}"/>
    <hyperlink ref="AC26" r:id="rId563" display="https://www.eia.gov/dnav/pet/hist/LeafHandler.ashx?n=PET&amp;s=M_EPOORXFE_SAE_NUS_MBBL&amp;f=A" xr:uid="{CDD1CE3F-1F2C-4000-AE2A-3B638BF191BB}"/>
    <hyperlink ref="T27" r:id="rId564" display="https://www.eia.gov/dnav/pet/hist/LeafHandler.ashx?n=PET&amp;s=M_EPOORDB_YNP_NUS_MBBL&amp;f=A" xr:uid="{3F27AD66-8936-4708-AC13-31D6EAD545FE}"/>
    <hyperlink ref="V27" r:id="rId565" display="https://www.eia.gov/dnav/pet/hist/LeafHandler.ashx?n=PET&amp;s=M_EPOORDB_IM0_NUS-Z00_MBBL&amp;f=A" xr:uid="{6BB5461E-A3D1-4536-836E-CFBBDB056475}"/>
    <hyperlink ref="X27" r:id="rId566" display="https://www.eia.gov/dnav/pet/hist/LeafHandler.ashx?n=PET&amp;s=M_EPOORDB_VUA_NUS_MBBL&amp;f=A" xr:uid="{1330C86D-67C3-40DA-AA89-94BCB7D7DDF1}"/>
    <hyperlink ref="Y27" r:id="rId567" display="https://www.eia.gov/dnav/pet/hist/LeafHandler.ashx?n=PET&amp;s=M_EPOORDB_SCG_NUS_MBBL&amp;f=A" xr:uid="{D56D07CF-2216-480C-A24D-89A59649C8EF}"/>
    <hyperlink ref="Z27" r:id="rId568" display="https://www.eia.gov/dnav/pet/hist/LeafHandler.ashx?n=PET&amp;s=M_EPOORDB_YIR_NUS_MBBL&amp;f=A" xr:uid="{6E6EEE53-5BA6-4AC8-93B7-E383B549200A}"/>
    <hyperlink ref="AA27" r:id="rId569" display="https://www.eia.gov/dnav/pet/hist/LeafHandler.ashx?n=PET&amp;s=M_EPOORDB_EEX_NUS-Z00_MBBL&amp;f=A" xr:uid="{7869779C-1C2E-4354-BF98-0AC3D7E25E62}"/>
    <hyperlink ref="AB27" r:id="rId570" display="https://www.eia.gov/dnav/pet/hist/LeafHandler.ashx?n=PET&amp;s=M_EPOORDB_VPP_NUS_MBBL&amp;f=A" xr:uid="{73A6C137-2CF4-4B03-9A6F-4096CF0F7E20}"/>
    <hyperlink ref="AC27" r:id="rId571" display="https://www.eia.gov/dnav/pet/hist/LeafHandler.ashx?n=PET&amp;s=M_EPOORDB_SAE_NUS_MBBL&amp;f=A" xr:uid="{E49ECEE7-5E39-4C4E-BD71-E4B47C67B827}"/>
    <hyperlink ref="T28" r:id="rId572" display="https://www.eia.gov/dnav/pet/hist/LeafHandler.ashx?n=PET&amp;s=M_EPOORDO_YNP_NUS_MBBL&amp;f=A" xr:uid="{F12CE38A-B47E-4038-983C-206EA83C9EF5}"/>
    <hyperlink ref="V28" r:id="rId573" display="https://www.eia.gov/dnav/pet/hist/LeafHandler.ashx?n=PET&amp;s=M_EPOORDO_IM0_NUS-Z00_MBBL&amp;f=A" xr:uid="{E4BEB610-1939-4A7C-A102-4BCDDA4D933A}"/>
    <hyperlink ref="X28" r:id="rId574" display="https://www.eia.gov/dnav/pet/hist/LeafHandler.ashx?n=PET&amp;s=M_EPOORDO_VUA_NUS_MBBL&amp;f=A" xr:uid="{EABB4C94-F273-488C-AA5E-6C840DABA8A1}"/>
    <hyperlink ref="Y28" r:id="rId575" display="https://www.eia.gov/dnav/pet/hist/LeafHandler.ashx?n=PET&amp;s=M_EPOORDO_SCG_NUS_MBBL&amp;f=A" xr:uid="{7EA3EACD-1D13-4564-B312-8DEA254CDEFE}"/>
    <hyperlink ref="Z28" r:id="rId576" display="https://www.eia.gov/dnav/pet/hist/LeafHandler.ashx?n=PET&amp;s=M_EPOORDO_YIR_NUS_MBBL&amp;f=A" xr:uid="{65AF5249-B13B-4C7A-92F7-0E9D748E7B72}"/>
    <hyperlink ref="AA28" r:id="rId577" display="https://www.eia.gov/dnav/pet/hist/LeafHandler.ashx?n=PET&amp;s=M_EPOORDO_EEX_NUS-Z00_MBBL&amp;f=A" xr:uid="{30320387-C6E8-4DCC-9015-57EE013BCB26}"/>
    <hyperlink ref="AB28" r:id="rId578" display="https://www.eia.gov/dnav/pet/hist/LeafHandler.ashx?n=PET&amp;s=M_EPOORDO_VPP_NUS_MBBL&amp;f=A" xr:uid="{BEF23240-AB8A-40DE-95CE-B52E97BDAE58}"/>
    <hyperlink ref="AC28" r:id="rId579" display="https://www.eia.gov/dnav/pet/hist/LeafHandler.ashx?n=PET&amp;s=M_EPOORDO_SAE_NUS_MBBL&amp;f=A" xr:uid="{65ED7B2E-892E-4DDD-BAB1-0220013235BE}"/>
    <hyperlink ref="T29" r:id="rId580" display="https://www.eia.gov/dnav/pet/hist/LeafHandler.ashx?n=PET&amp;s=M_EPOORO_YNP_NUS_MBBL&amp;f=A" xr:uid="{EDBFEBD5-B123-4F63-BF9E-133D7ED249A2}"/>
    <hyperlink ref="V29" r:id="rId581" display="https://www.eia.gov/dnav/pet/hist/LeafHandler.ashx?n=PET&amp;s=M_EPOORO_IM0_NUS-Z00_MBBL&amp;f=A" xr:uid="{F98C0B32-B7A5-4772-BCAE-86FFEE17ECE0}"/>
    <hyperlink ref="X29" r:id="rId582" display="https://www.eia.gov/dnav/pet/hist/LeafHandler.ashx?n=PET&amp;s=M_EPOORO_VUA_NUS_MBBL&amp;f=A" xr:uid="{E81776D6-F3AD-4241-8C79-97D8CB34AAD7}"/>
    <hyperlink ref="Y29" r:id="rId583" display="https://www.eia.gov/dnav/pet/hist/LeafHandler.ashx?n=PET&amp;s=M_EPOORO_SCG_NUS_MBBL&amp;f=A" xr:uid="{A1C68B9C-62DE-4264-851C-F53EA181CEA7}"/>
    <hyperlink ref="Z29" r:id="rId584" display="https://www.eia.gov/dnav/pet/hist/LeafHandler.ashx?n=PET&amp;s=M_EPOORO_YIR_NUS_MBBL&amp;f=A" xr:uid="{9CA5B057-FD7B-46A3-BA24-7C49AE8C4AED}"/>
    <hyperlink ref="AA29" r:id="rId585" display="https://www.eia.gov/dnav/pet/hist/LeafHandler.ashx?n=PET&amp;s=M_EPOORO_EEX_NUS-Z00_MBBL&amp;f=A" xr:uid="{532EFC45-AF84-4150-A024-D90DDEFA9387}"/>
    <hyperlink ref="AB29" r:id="rId586" display="https://www.eia.gov/dnav/pet/hist/LeafHandler.ashx?n=PET&amp;s=M_EPOORO_VPP_NUS_MBBL&amp;f=A" xr:uid="{18197295-778A-4B98-9277-1CF5A46E507E}"/>
    <hyperlink ref="AC29" r:id="rId587" display="https://www.eia.gov/dnav/pet/hist/LeafHandler.ashx?n=PET&amp;s=M_EPOORO_SAE_NUS_MBBL&amp;f=A" xr:uid="{6C869A85-4D70-4379-A459-348CDE860BE3}"/>
    <hyperlink ref="V30" r:id="rId588" display="https://www.eia.gov/dnav/pet/hist/LeafHandler.ashx?n=PET&amp;s=M_EPOOOXH_IM0_NUS-Z00_MBBL&amp;f=A" xr:uid="{1639F4FE-317F-4B19-ABDA-93DE6D40AEB9}"/>
    <hyperlink ref="X30" r:id="rId589" display="https://www.eia.gov/dnav/pet/hist/LeafHandler.ashx?n=PET&amp;s=M_EPOOOXH_VUA_NUS_MBBL&amp;f=A" xr:uid="{0854CB7D-59F7-40CA-A99A-D35EEDCC8D1F}"/>
    <hyperlink ref="Y30" r:id="rId590" display="https://www.eia.gov/dnav/pet/hist/LeafHandler.ashx?n=PET&amp;s=M_EPOOOXH_SCG_NUS_MBBL&amp;f=A" xr:uid="{136BDCE6-06CF-4A8E-9989-5B656AF086D4}"/>
    <hyperlink ref="Z30" r:id="rId591" display="https://www.eia.gov/dnav/pet/hist/LeafHandler.ashx?n=PET&amp;s=M_EPOOOXH_YIR_NUS_MBBL&amp;f=A" xr:uid="{63D742CA-1CDE-4BAD-8CCF-198E1A18AE00}"/>
    <hyperlink ref="AB30" r:id="rId592" display="https://www.eia.gov/dnav/pet/hist/LeafHandler.ashx?n=PET&amp;s=M_EPOOOXH_VPP_NUS_MBBL&amp;f=A" xr:uid="{F4C5E2D7-CB7A-438B-9B98-571850884059}"/>
    <hyperlink ref="AC30" r:id="rId593" display="https://www.eia.gov/dnav/pet/hist/LeafHandler.ashx?n=PET&amp;s=M_EPOOOXH_SAE_NUS_MBBL&amp;f=A" xr:uid="{C96AEB65-8EB6-4A73-A3F8-42DFAD469847}"/>
    <hyperlink ref="S31" r:id="rId594" display="https://www.eia.gov/dnav/pet/hist/LeafHandler.ashx?n=PET&amp;s=M_EPPU_TVP_NUS_MBBL&amp;f=A" xr:uid="{E912FADD-12D0-42E1-8BD3-122B40941DDA}"/>
    <hyperlink ref="V31" r:id="rId595" display="https://www.eia.gov/dnav/pet/hist/LeafHandler.ashx?n=PET&amp;s=MUOIMUS1&amp;f=A" xr:uid="{89BFB3A5-38E1-49DB-AE8D-BB139C4AF5A0}"/>
    <hyperlink ref="Y31" r:id="rId596" display="https://www.eia.gov/dnav/pet/hist/LeafHandler.ashx?n=PET&amp;s=MUOSCUS1&amp;f=A" xr:uid="{C06E1667-DAF8-4B6B-AB53-D00EECB243CB}"/>
    <hyperlink ref="Z31" r:id="rId597" display="https://www.eia.gov/dnav/pet/hist/LeafHandler.ashx?n=PET&amp;s=MUORIUS1&amp;f=A" xr:uid="{2F2E3105-2081-4887-8C59-4426CAC19B73}"/>
    <hyperlink ref="AA31" r:id="rId598" display="https://www.eia.gov/dnav/pet/hist/LeafHandler.ashx?n=PET&amp;s=MUOEXUS1&amp;f=A" xr:uid="{BF1AF844-E316-44CC-9B54-6FE8923FB512}"/>
    <hyperlink ref="AB31" r:id="rId599" display="https://www.eia.gov/dnav/pet/hist/LeafHandler.ashx?n=PET&amp;s=MUOUPUS1&amp;f=A" xr:uid="{CC8CEFE7-8978-4079-AD5C-BF01378E884A}"/>
    <hyperlink ref="AC31" r:id="rId600" display="https://www.eia.gov/dnav/pet/hist/LeafHandler.ashx?n=PET&amp;s=MUOSTUS1&amp;f=A" xr:uid="{7F072D96-FCF6-47DD-8C16-98EE8592DCD4}"/>
    <hyperlink ref="T32" r:id="rId601" display="https://www.eia.gov/dnav/pet/hist/LeafHandler.ashx?n=PET&amp;s=M_EPOBG_YNP_NUS_MBBL&amp;f=A" xr:uid="{548CFAF4-20E4-4D9C-B5F1-92FA5FEC355D}"/>
    <hyperlink ref="V32" r:id="rId602" display="https://www.eia.gov/dnav/pet/hist/LeafHandler.ashx?n=PET&amp;s=MBCIMUS1&amp;f=A" xr:uid="{DED49F56-87B3-4700-BE11-2321DC85D1E2}"/>
    <hyperlink ref="X32" r:id="rId603" display="https://www.eia.gov/dnav/pet/hist/LeafHandler.ashx?n=PET&amp;s=MBCUA_NUS_1&amp;f=A" xr:uid="{DD32E3FE-B4C4-46B2-B529-D9C9D39FF11B}"/>
    <hyperlink ref="Y32" r:id="rId604" display="https://www.eia.gov/dnav/pet/hist/LeafHandler.ashx?n=PET&amp;s=MBCSCUS1&amp;f=A" xr:uid="{E389873F-3528-4017-A60F-DA443B91128D}"/>
    <hyperlink ref="Z32" r:id="rId605" display="https://www.eia.gov/dnav/pet/hist/LeafHandler.ashx?n=PET&amp;s=MBCRIUS1&amp;f=A" xr:uid="{5F0A6AE8-E3A6-4E1F-9D21-7A6BABD45EB9}"/>
    <hyperlink ref="AA32" r:id="rId606" display="https://www.eia.gov/dnav/pet/hist/LeafHandler.ashx?n=PET&amp;s=MBCEXUS1&amp;f=A" xr:uid="{56DFDD28-D078-4558-AEE6-F04E3F7B754D}"/>
    <hyperlink ref="AB32" r:id="rId607" display="https://www.eia.gov/dnav/pet/hist/LeafHandler.ashx?n=PET&amp;s=MBCUPUS1&amp;f=A" xr:uid="{72C52C1A-32DE-411F-98E8-EDDF5442930E}"/>
    <hyperlink ref="AC32" r:id="rId608" display="https://www.eia.gov/dnav/pet/hist/LeafHandler.ashx?n=PET&amp;s=MBCSTUS1&amp;f=A" xr:uid="{F96B9C2F-540E-4F06-A763-F7CCEFF29F64}"/>
    <hyperlink ref="T33" r:id="rId609" display="https://www.eia.gov/dnav/pet/hist/LeafHandler.ashx?n=PET&amp;s=M_EPOBGR0_YNP_NUS_MBBL&amp;f=A" xr:uid="{4437355D-D49C-4CDD-AABC-D0E205706796}"/>
    <hyperlink ref="V33" r:id="rId610" display="https://www.eia.gov/dnav/pet/hist/LeafHandler.ashx?n=PET&amp;s=MO1IM_NUS-Z00_1&amp;f=A" xr:uid="{4BF44D21-CD2E-433F-9DBF-01D5AA16C8A2}"/>
    <hyperlink ref="X33" r:id="rId611" display="https://www.eia.gov/dnav/pet/hist/LeafHandler.ashx?n=PET&amp;s=MO1UA_NUS_1&amp;f=A" xr:uid="{746C4F0A-DAD0-4D31-825C-92A9347244BF}"/>
    <hyperlink ref="Y33" r:id="rId612" display="https://www.eia.gov/dnav/pet/hist/LeafHandler.ashx?n=PET&amp;s=MO1SC_NUS_1&amp;f=A" xr:uid="{8850DCB9-E78E-4171-A3DE-049E86EA23E4}"/>
    <hyperlink ref="Z33" r:id="rId613" display="https://www.eia.gov/dnav/pet/hist/LeafHandler.ashx?n=PET&amp;s=MO1RI_NUS_1&amp;f=A" xr:uid="{5CCF6FF9-4D08-4BD9-AABB-7DA1D11A2FF8}"/>
    <hyperlink ref="AA33" r:id="rId614" display="https://www.eia.gov/dnav/pet/hist/LeafHandler.ashx?n=PET&amp;s=MO1EX_NUS-Z00_1&amp;f=A" xr:uid="{05BDAF75-34B0-4848-B271-CC25B9FA080A}"/>
    <hyperlink ref="AB33" r:id="rId615" display="https://www.eia.gov/dnav/pet/hist/LeafHandler.ashx?n=PET&amp;s=MO1UP_NUS_1&amp;f=A" xr:uid="{1734C30F-3A67-48E7-A2FA-2FD51A76EB5F}"/>
    <hyperlink ref="AC33" r:id="rId616" display="https://www.eia.gov/dnav/pet/hist/LeafHandler.ashx?n=PET&amp;s=MO1ST_NUS_1&amp;f=A" xr:uid="{B5A328BC-CEF5-4561-A6C6-C27EDC09544A}"/>
    <hyperlink ref="T34" r:id="rId617" display="https://www.eia.gov/dnav/pet/hist/LeafHandler.ashx?n=PET&amp;s=M_EPOBGC0_YNP_NUS_MBBL&amp;f=A" xr:uid="{0AF8B205-3135-4BB8-BB32-66EC7A757D35}"/>
    <hyperlink ref="V34" r:id="rId618" display="https://www.eia.gov/dnav/pet/hist/LeafHandler.ashx?n=PET&amp;s=MO5IM_NUS-Z00_1&amp;f=A" xr:uid="{A5349E1E-1F4F-4F55-B37C-3F00D1DDA56E}"/>
    <hyperlink ref="X34" r:id="rId619" display="https://www.eia.gov/dnav/pet/hist/LeafHandler.ashx?n=PET&amp;s=MO5UA_NUS_1&amp;f=A" xr:uid="{309DF0A1-9F78-4FE9-9036-B133C29E1CCD}"/>
    <hyperlink ref="Y34" r:id="rId620" display="https://www.eia.gov/dnav/pet/hist/LeafHandler.ashx?n=PET&amp;s=MO5SC_NUS_1&amp;f=A" xr:uid="{9DB474FE-8C5F-4BC5-871A-5B85104DD625}"/>
    <hyperlink ref="Z34" r:id="rId621" display="https://www.eia.gov/dnav/pet/hist/LeafHandler.ashx?n=PET&amp;s=MO5RI_NUS_1&amp;f=A" xr:uid="{8667F685-00A4-4A0F-ACB4-AF4322351ACB}"/>
    <hyperlink ref="AA34" r:id="rId622" display="https://www.eia.gov/dnav/pet/hist/LeafHandler.ashx?n=PET&amp;s=MO5EX_NUS-Z00_1&amp;f=A" xr:uid="{12D71995-B964-4B5A-9C45-D47CFF39AEDA}"/>
    <hyperlink ref="AB34" r:id="rId623" display="https://www.eia.gov/dnav/pet/hist/LeafHandler.ashx?n=PET&amp;s=MO5UP_NUS_1&amp;f=A" xr:uid="{5E32A6B8-379B-410B-A9E3-39AD64710F63}"/>
    <hyperlink ref="AC34" r:id="rId624" display="https://www.eia.gov/dnav/pet/hist/LeafHandler.ashx?n=PET&amp;s=MO5ST_NUS_1&amp;f=A" xr:uid="{0BD6619F-102B-4A39-9854-468601C725F0}"/>
    <hyperlink ref="V35" r:id="rId625" display="https://www.eia.gov/dnav/pet/hist/LeafHandler.ashx?n=PET&amp;s=MBAIMUS1&amp;f=A" xr:uid="{4738D022-390F-4D06-A27C-2A501D4417DD}"/>
    <hyperlink ref="Y35" r:id="rId626" display="https://www.eia.gov/dnav/pet/hist/LeafHandler.ashx?n=PET&amp;s=MBASCUS1&amp;f=A" xr:uid="{07FE0089-6651-400A-9BC1-BA1D29F04B2F}"/>
    <hyperlink ref="Z35" r:id="rId627" display="https://www.eia.gov/dnav/pet/hist/LeafHandler.ashx?n=PET&amp;s=MBARIUS1&amp;f=A" xr:uid="{83FE1152-BD9A-41D7-BC96-53D13CF4FCD2}"/>
    <hyperlink ref="AA35" r:id="rId628" display="https://www.eia.gov/dnav/pet/hist/LeafHandler.ashx?n=PET&amp;s=MBAEXUS1&amp;f=A" xr:uid="{ADC3C3B2-E2BB-4135-B236-360594C9C64F}"/>
    <hyperlink ref="AB35" r:id="rId629" display="https://www.eia.gov/dnav/pet/hist/LeafHandler.ashx?n=PET&amp;s=MBAUPUS1&amp;f=A" xr:uid="{8BDBD4BF-1651-48C9-B56E-08C476DF9664}"/>
    <hyperlink ref="AC35" r:id="rId630" display="https://www.eia.gov/dnav/pet/hist/LeafHandler.ashx?n=PET&amp;s=MBASTUS1&amp;f=A" xr:uid="{9DE96E24-004F-41EC-9476-B3D468EDDD00}"/>
    <hyperlink ref="T36" r:id="rId631" display="https://www.eia.gov/dnav/pet/hist/LeafHandler.ashx?n=PET&amp;s=M_EPP2_YNP_NUS_MBBL&amp;f=A" xr:uid="{8708160B-2EA0-4CAB-BD14-97CCBCE9E1A0}"/>
    <hyperlink ref="U36" r:id="rId632" display="https://www.eia.gov/dnav/pet/hist/LeafHandler.ashx?n=PET&amp;s=MTPRPUS1&amp;f=A" xr:uid="{CF4D21D0-5674-4504-AC1D-2D39A33EAC89}"/>
    <hyperlink ref="V36" r:id="rId633" display="https://www.eia.gov/dnav/pet/hist/LeafHandler.ashx?n=PET&amp;s=MTPIMUS1&amp;f=A" xr:uid="{052281F5-4464-4774-9872-983168576190}"/>
    <hyperlink ref="X36" r:id="rId634" display="https://www.eia.gov/dnav/pet/hist/LeafHandler.ashx?n=PET&amp;s=MTPUA_NUS_1&amp;f=A" xr:uid="{8D3BDD1E-EC6E-4C53-A6B7-5B680D12E9E9}"/>
    <hyperlink ref="Y36" r:id="rId635" display="https://www.eia.gov/dnav/pet/hist/LeafHandler.ashx?n=PET&amp;s=MTPSCUS1&amp;f=A" xr:uid="{2DCB5FD5-3925-4DF5-943E-4BD033544EFA}"/>
    <hyperlink ref="AA36" r:id="rId636" display="https://www.eia.gov/dnav/pet/hist/LeafHandler.ashx?n=PET&amp;s=MTPEXUS1&amp;f=A" xr:uid="{7D4260EF-3A92-46AC-A466-F19B3DAC60F8}"/>
    <hyperlink ref="AB36" r:id="rId637" display="https://www.eia.gov/dnav/pet/hist/LeafHandler.ashx?n=PET&amp;s=MTPUPUS1&amp;f=A" xr:uid="{A87055C1-9062-4896-872C-5A040B6C044A}"/>
    <hyperlink ref="AC36" r:id="rId638" display="https://www.eia.gov/dnav/pet/hist/LeafHandler.ashx?n=PET&amp;s=MTPSTUS1&amp;f=A" xr:uid="{B15B41A4-7172-4925-A230-A88F6E31330A}"/>
    <hyperlink ref="T37" r:id="rId639" display="https://www.eia.gov/dnav/pet/hist/LeafHandler.ashx?n=PET&amp;s=M_EPM0F_YNP_NUS_MBBL&amp;f=A" xr:uid="{D14B7F2B-4894-4321-9E2E-F956B8F7440A}"/>
    <hyperlink ref="U37" r:id="rId640" display="https://www.eia.gov/dnav/pet/hist/LeafHandler.ashx?n=PET&amp;s=MGFRPUS1&amp;f=A" xr:uid="{373B4A48-7BE4-4A0C-9832-36EBC11F0381}"/>
    <hyperlink ref="V37" r:id="rId641" display="https://www.eia.gov/dnav/pet/hist/LeafHandler.ashx?n=PET&amp;s=MGFIMUS1&amp;f=A" xr:uid="{8FC9D4D6-6CF3-48C3-946D-6BD8CF555F8B}"/>
    <hyperlink ref="X37" r:id="rId642" display="https://www.eia.gov/dnav/pet/hist/LeafHandler.ashx?n=PET&amp;s=MGFUA_NUS_1&amp;f=A" xr:uid="{B61EA660-BE57-4709-9463-1B9B46F306E0}"/>
    <hyperlink ref="Y37" r:id="rId643" display="https://www.eia.gov/dnav/pet/hist/LeafHandler.ashx?n=PET&amp;s=MGFSCUS1&amp;f=A" xr:uid="{DC0A9F4A-D1A5-433D-B6C0-3D1F4E613849}"/>
    <hyperlink ref="AA37" r:id="rId644" display="https://www.eia.gov/dnav/pet/hist/LeafHandler.ashx?n=PET&amp;s=MGFEXUS1&amp;f=A" xr:uid="{A8EF5F30-D86B-4A4D-B0C6-983851AEC4DD}"/>
    <hyperlink ref="AB37" r:id="rId645" display="https://www.eia.gov/dnav/pet/hist/LeafHandler.ashx?n=PET&amp;s=MGFUPUS1&amp;f=A" xr:uid="{CB4C9D50-2F55-49D4-8966-105256E4D4F1}"/>
    <hyperlink ref="AC37" r:id="rId646" display="https://www.eia.gov/dnav/pet/hist/LeafHandler.ashx?n=PET&amp;s=MGFSTUS1&amp;f=A" xr:uid="{AD51B148-75F6-4D22-8891-FD966294FC88}"/>
    <hyperlink ref="U38" r:id="rId647" display="https://www.eia.gov/dnav/pet/hist/LeafHandler.ashx?n=PET&amp;s=MGRRPUS1&amp;f=A" xr:uid="{817B3307-DF81-47BA-A904-9E8ADA64D4B2}"/>
    <hyperlink ref="V38" r:id="rId648" display="https://www.eia.gov/dnav/pet/hist/LeafHandler.ashx?n=PET&amp;s=MGRIMUS1&amp;f=A" xr:uid="{F5C758DD-03F9-4252-8C34-CA36E984A5A6}"/>
    <hyperlink ref="X38" r:id="rId649" display="https://www.eia.gov/dnav/pet/hist/LeafHandler.ashx?n=PET&amp;s=MGRUA_NUS_1&amp;f=A" xr:uid="{7AA4BA9B-1E74-4741-80EF-98FF71B481DC}"/>
    <hyperlink ref="Y38" r:id="rId650" display="https://www.eia.gov/dnav/pet/hist/LeafHandler.ashx?n=PET&amp;s=MGRSCUS1&amp;f=A" xr:uid="{F2C046B8-0DFF-4155-B96E-92C11561DB28}"/>
    <hyperlink ref="AA38" r:id="rId651" display="https://www.eia.gov/dnav/pet/hist/LeafHandler.ashx?n=PET&amp;s=MGREXUS1&amp;f=A" xr:uid="{37542D65-3EC6-4DFE-9F03-FDE94C102F94}"/>
    <hyperlink ref="AB38" r:id="rId652" display="https://www.eia.gov/dnav/pet/hist/LeafHandler.ashx?n=PET&amp;s=MGRUPUS1&amp;f=A" xr:uid="{C5854C0F-AA12-409E-A351-218195A63AFC}"/>
    <hyperlink ref="AC38" r:id="rId653" display="https://www.eia.gov/dnav/pet/hist/LeafHandler.ashx?n=PET&amp;s=MGRSTUS1&amp;f=A" xr:uid="{30D10779-0B6B-448B-8F22-8179307FBA98}"/>
    <hyperlink ref="T39" r:id="rId654" display="https://www.eia.gov/dnav/pet/hist/LeafHandler.ashx?n=PET&amp;s=M_EPM0C_YNP_NUS_MBBL&amp;f=A" xr:uid="{C5DBBC39-D003-4473-A907-680CC0C2615C}"/>
    <hyperlink ref="U39" r:id="rId655" display="https://www.eia.gov/dnav/pet/hist/LeafHandler.ashx?n=PET&amp;s=MG4RP_NUS_1&amp;f=A" xr:uid="{DF87BF7A-F45B-4372-BB02-18EB99BD3ADB}"/>
    <hyperlink ref="V39" r:id="rId656" display="https://www.eia.gov/dnav/pet/hist/LeafHandler.ashx?n=PET&amp;s=MG4IM_NUS-Z00_1&amp;f=A" xr:uid="{88B63E57-7428-4D0A-A42E-7E7B60711B6C}"/>
    <hyperlink ref="X39" r:id="rId657" display="https://www.eia.gov/dnav/pet/hist/LeafHandler.ashx?n=PET&amp;s=MG4UA_NUS_1&amp;f=A" xr:uid="{6A95FAA6-F460-499F-ADD7-C11E434AD92E}"/>
    <hyperlink ref="Y39" r:id="rId658" display="https://www.eia.gov/dnav/pet/hist/LeafHandler.ashx?n=PET&amp;s=MG4SC_NUS_1&amp;f=A" xr:uid="{7BDBEA36-A2E5-4CDB-962C-F63BBE9196F2}"/>
    <hyperlink ref="AA39" r:id="rId659" display="https://www.eia.gov/dnav/pet/hist/LeafHandler.ashx?n=PET&amp;s=MG4EX_NUS-Z00_1&amp;f=A" xr:uid="{E3507378-BB4A-46F6-870E-9E108E8C0C50}"/>
    <hyperlink ref="AB39" r:id="rId660" display="https://www.eia.gov/dnav/pet/hist/LeafHandler.ashx?n=PET&amp;s=MG4UP_NUS_1&amp;f=A" xr:uid="{D9D295DC-13A4-45DF-A371-81F8FC22064A}"/>
    <hyperlink ref="AC39" r:id="rId661" display="https://www.eia.gov/dnav/pet/hist/LeafHandler.ashx?n=PET&amp;s=MG4ST_NUS_1&amp;f=A" xr:uid="{76F39002-34A6-44AF-B4BF-84EAA01CF668}"/>
    <hyperlink ref="U40" r:id="rId662" display="https://www.eia.gov/dnav/pet/hist/LeafHandler.ashx?n=PET&amp;s=MGARPUS1&amp;f=A" xr:uid="{4580F249-C01E-4E2F-B8C1-845483F7F107}"/>
    <hyperlink ref="V40" r:id="rId663" display="https://www.eia.gov/dnav/pet/hist/LeafHandler.ashx?n=PET&amp;s=MGAIMUS1&amp;f=A" xr:uid="{84D27E8B-3706-4120-AE52-F6E5B7409178}"/>
    <hyperlink ref="Y40" r:id="rId664" display="https://www.eia.gov/dnav/pet/hist/LeafHandler.ashx?n=PET&amp;s=MGASCUS1&amp;f=A" xr:uid="{6B912E97-A5FD-441B-81FC-924FA56175CA}"/>
    <hyperlink ref="AA40" r:id="rId665" display="https://www.eia.gov/dnav/pet/hist/LeafHandler.ashx?n=PET&amp;s=MGAEXUS1&amp;f=A" xr:uid="{2D82AE7E-D250-4C29-A79E-A10E9CAB9CEC}"/>
    <hyperlink ref="AB40" r:id="rId666" display="https://www.eia.gov/dnav/pet/hist/LeafHandler.ashx?n=PET&amp;s=MGAUPUS1&amp;f=A" xr:uid="{88DF8870-2FEE-4D5D-8B4B-458CEC5ACFF2}"/>
    <hyperlink ref="AC40" r:id="rId667" display="https://www.eia.gov/dnav/pet/hist/LeafHandler.ashx?n=PET&amp;s=MGASTUS1&amp;f=A" xr:uid="{03F8161B-D5AE-4B24-B33D-975C944B3E66}"/>
    <hyperlink ref="T41" r:id="rId668" display="https://www.eia.gov/dnav/pet/hist/LeafHandler.ashx?n=PET&amp;s=M_EPJK_YNP_NUS_MBBL&amp;f=A" xr:uid="{366C6C74-0120-4CFA-9B49-200EFA36ABEC}"/>
    <hyperlink ref="U41" r:id="rId669" display="https://www.eia.gov/dnav/pet/hist/LeafHandler.ashx?n=PET&amp;s=MKJRPUS1&amp;f=A" xr:uid="{057A16B6-68C6-4DEE-9E5E-BF3C9DDE0A54}"/>
    <hyperlink ref="V41" r:id="rId670" display="https://www.eia.gov/dnav/pet/hist/LeafHandler.ashx?n=PET&amp;s=MKJIMUS1&amp;f=A" xr:uid="{F5057876-0569-45F2-A9C6-089C1F2A45F7}"/>
    <hyperlink ref="Y41" r:id="rId671" display="https://www.eia.gov/dnav/pet/hist/LeafHandler.ashx?n=PET&amp;s=MKJSCUS1&amp;f=A" xr:uid="{A3E412C4-3A85-498D-8C12-0B2FE6221C89}"/>
    <hyperlink ref="AA41" r:id="rId672" display="https://www.eia.gov/dnav/pet/hist/LeafHandler.ashx?n=PET&amp;s=MKJEXUS1&amp;f=A" xr:uid="{E38AAD66-419F-459E-A570-B25042172777}"/>
    <hyperlink ref="AB41" r:id="rId673" display="https://www.eia.gov/dnav/pet/hist/LeafHandler.ashx?n=PET&amp;s=MKJUPUS1&amp;f=A" xr:uid="{92184E74-E739-4184-B182-BA4997E25A4F}"/>
    <hyperlink ref="AC41" r:id="rId674" display="https://www.eia.gov/dnav/pet/hist/LeafHandler.ashx?n=PET&amp;s=MKJSTUS1&amp;f=A" xr:uid="{3FA24372-D437-4B32-88F2-233798CC9259}"/>
    <hyperlink ref="T42" r:id="rId675" display="https://www.eia.gov/dnav/pet/hist/LeafHandler.ashx?n=PET&amp;s=M_EPPK_YNP_NUS_MBBL&amp;f=A" xr:uid="{59D7EAE6-66C9-48B7-95B4-D20BAFC12BC0}"/>
    <hyperlink ref="U42" r:id="rId676" display="https://www.eia.gov/dnav/pet/hist/LeafHandler.ashx?n=PET&amp;s=MKERPUS1&amp;f=A" xr:uid="{7C836CC0-76FC-4148-B604-ECA7480B3F78}"/>
    <hyperlink ref="V42" r:id="rId677" display="https://www.eia.gov/dnav/pet/hist/LeafHandler.ashx?n=PET&amp;s=MKEIMUS1&amp;f=A" xr:uid="{A51998C2-0D7F-4C2B-A430-AAF505AF4499}"/>
    <hyperlink ref="Y42" r:id="rId678" display="https://www.eia.gov/dnav/pet/hist/LeafHandler.ashx?n=PET&amp;s=MKESCUS1&amp;f=A" xr:uid="{F510A348-8569-478E-96C7-1DE79B3C09AB}"/>
    <hyperlink ref="AA42" r:id="rId679" display="https://www.eia.gov/dnav/pet/hist/LeafHandler.ashx?n=PET&amp;s=MKEEXUS1&amp;f=A" xr:uid="{11A0827D-E043-43E7-8060-11A5AFFCFE49}"/>
    <hyperlink ref="AB42" r:id="rId680" display="https://www.eia.gov/dnav/pet/hist/LeafHandler.ashx?n=PET&amp;s=MKEUPUS1&amp;f=A" xr:uid="{5147BB24-6A06-4546-B2F9-F8125F515E01}"/>
    <hyperlink ref="AC42" r:id="rId681" display="https://www.eia.gov/dnav/pet/hist/LeafHandler.ashx?n=PET&amp;s=MKESTUS1&amp;f=A" xr:uid="{4D94420C-4B70-43E6-8403-8DA4BEB96DF4}"/>
    <hyperlink ref="T43" r:id="rId682" display="https://www.eia.gov/dnav/pet/hist/LeafHandler.ashx?n=PET&amp;s=M_EPD0_YNP_NUS_MBBL&amp;f=A" xr:uid="{89B72D32-C2F2-44CE-9699-804331C78F91}"/>
    <hyperlink ref="U43" r:id="rId683" display="https://www.eia.gov/dnav/pet/hist/LeafHandler.ashx?n=PET&amp;s=MDIRPUS1&amp;f=A" xr:uid="{81F001F8-D2A0-464E-B065-02F9650DE00B}"/>
    <hyperlink ref="V43" r:id="rId684" display="https://www.eia.gov/dnav/pet/hist/LeafHandler.ashx?n=PET&amp;s=MDIIMUS1&amp;f=A" xr:uid="{DF0A451E-58BA-4F6C-9CD0-DA231EFC39EF}"/>
    <hyperlink ref="X43" r:id="rId685" display="https://www.eia.gov/dnav/pet/hist/LeafHandler.ashx?n=PET&amp;s=M_EPD0_VUA_NUS_1&amp;f=A" xr:uid="{F632A5C1-32E8-466A-9EA5-BC0ADB5BB8BE}"/>
    <hyperlink ref="Y43" r:id="rId686" display="https://www.eia.gov/dnav/pet/hist/LeafHandler.ashx?n=PET&amp;s=MDISCUS1&amp;f=A" xr:uid="{5A098090-7A86-425F-9B05-3DD96293E3F8}"/>
    <hyperlink ref="AA43" r:id="rId687" display="https://www.eia.gov/dnav/pet/hist/LeafHandler.ashx?n=PET&amp;s=MDIEXUS1&amp;f=A" xr:uid="{4841D2D8-4758-4122-8255-D9CFC8CBDE05}"/>
    <hyperlink ref="AB43" r:id="rId688" display="https://www.eia.gov/dnav/pet/hist/LeafHandler.ashx?n=PET&amp;s=MDIUPUS1&amp;f=A" xr:uid="{310419DC-F1D6-4B5A-9157-A18082B5229C}"/>
    <hyperlink ref="AC43" r:id="rId689" display="https://www.eia.gov/dnav/pet/hist/LeafHandler.ashx?n=PET&amp;s=MDISTUS1&amp;f=A" xr:uid="{2781B571-BC4C-40A1-B628-4BB46658C960}"/>
    <hyperlink ref="T44" r:id="rId690" display="https://www.eia.gov/dnav/pet/hist/LeafHandler.ashx?n=PET&amp;s=M_EPDXL0_YNP_NUS_MBBL&amp;f=A" xr:uid="{6BB19234-65F7-4AC6-A8A1-DA1B64759792}"/>
    <hyperlink ref="U44" r:id="rId691" display="https://www.eia.gov/dnav/pet/hist/LeafHandler.ashx?n=PET&amp;s=MD0RP_NUS_1&amp;f=A" xr:uid="{B0F415C7-52DC-499F-8E61-361A55B6A9B7}"/>
    <hyperlink ref="V44" r:id="rId692" display="https://www.eia.gov/dnav/pet/hist/LeafHandler.ashx?n=PET&amp;s=MD0IM_NUS-Z00_1&amp;f=A" xr:uid="{764AA8CC-6A02-4785-BE6B-FBB1FC48EA83}"/>
    <hyperlink ref="X44" r:id="rId693" display="https://www.eia.gov/dnav/pet/hist/LeafHandler.ashx?n=PET&amp;s=M_EPDXL0_VUA_NUS_1&amp;f=A" xr:uid="{428C21E3-B8AB-4B4A-8F96-5DAC2FCCBAAE}"/>
    <hyperlink ref="Y44" r:id="rId694" display="https://www.eia.gov/dnav/pet/hist/LeafHandler.ashx?n=PET&amp;s=MD0SC_NUS_1&amp;f=A" xr:uid="{7BAC2A8D-51C5-4ADD-A470-072BDF493115}"/>
    <hyperlink ref="AA44" r:id="rId695" display="https://www.eia.gov/dnav/pet/hist/LeafHandler.ashx?n=PET&amp;s=M_EPDXL0_EEX_NUS-Z00_MBBL&amp;f=A" xr:uid="{BB4D649C-6EC0-405D-AD2E-9A5C58035494}"/>
    <hyperlink ref="AB44" r:id="rId696" display="https://www.eia.gov/dnav/pet/hist/LeafHandler.ashx?n=PET&amp;s=MD0UP_NUS_1&amp;f=A" xr:uid="{747DA8FD-7F41-4BC9-93DB-5CB9ECC566CC}"/>
    <hyperlink ref="AC44" r:id="rId697" display="https://www.eia.gov/dnav/pet/hist/LeafHandler.ashx?n=PET&amp;s=MD0ST_NUS_1&amp;f=A" xr:uid="{1DA5B5C2-EFFB-46CE-A980-D0F898892CA7}"/>
    <hyperlink ref="T45" r:id="rId698" display="https://www.eia.gov/dnav/pet/hist/LeafHandler.ashx?n=PET&amp;s=M_EPDM10_YNP_NUS_MBBL&amp;f=A" xr:uid="{3112267A-C79C-4236-BDB3-EA52B1CC27EB}"/>
    <hyperlink ref="U45" r:id="rId699" display="https://www.eia.gov/dnav/pet/hist/LeafHandler.ashx?n=PET&amp;s=MD1RP_NUS_1&amp;f=A" xr:uid="{B9A0C5AE-C532-4487-8921-B20AA167C2B5}"/>
    <hyperlink ref="V45" r:id="rId700" display="https://www.eia.gov/dnav/pet/hist/LeafHandler.ashx?n=PET&amp;s=MD1IM_NUS-Z00_1&amp;f=A" xr:uid="{73E327EA-0C48-4054-B179-7C93B1C8FA69}"/>
    <hyperlink ref="X45" r:id="rId701" display="https://www.eia.gov/dnav/pet/hist/LeafHandler.ashx?n=PET&amp;s=M_EPDM10_VUA_NUS_1&amp;f=A" xr:uid="{D87DE43D-1064-44A9-8F2D-B9A1401BD52D}"/>
    <hyperlink ref="Y45" r:id="rId702" display="https://www.eia.gov/dnav/pet/hist/LeafHandler.ashx?n=PET&amp;s=MD1SC_NUS_1&amp;f=A" xr:uid="{67E6D612-DAC8-4709-AD64-53C171BD6D9B}"/>
    <hyperlink ref="AA45" r:id="rId703" display="https://www.eia.gov/dnav/pet/hist/LeafHandler.ashx?n=PET&amp;s=MD1EX_NUS-Z00_1&amp;f=A" xr:uid="{9C200EF3-DF31-4EEF-B461-62864CC79CFF}"/>
    <hyperlink ref="AB45" r:id="rId704" display="https://www.eia.gov/dnav/pet/hist/LeafHandler.ashx?n=PET&amp;s=MD1UP_NUS_1&amp;f=A" xr:uid="{1FD34016-7FF9-4705-BBF3-33519AEDDC56}"/>
    <hyperlink ref="AC45" r:id="rId705" display="https://www.eia.gov/dnav/pet/hist/LeafHandler.ashx?n=PET&amp;s=MD1ST_NUS_1&amp;f=A" xr:uid="{832ADD46-13D3-497D-B3AD-CDEB83164036}"/>
    <hyperlink ref="T46" r:id="rId706" display="https://www.eia.gov/dnav/pet/hist/LeafHandler.ashx?n=PET&amp;s=M_EPD00H_YNP_NUS_MBBL&amp;f=A" xr:uid="{54F52E3C-7A93-4979-A162-DB1E1B3B3127}"/>
    <hyperlink ref="U46" r:id="rId707" display="https://www.eia.gov/dnav/pet/hist/LeafHandler.ashx?n=PET&amp;s=MDGRPUS1&amp;f=A" xr:uid="{6F7A6FCC-D617-4A72-B64C-D7E942BD8CB7}"/>
    <hyperlink ref="V46" r:id="rId708" display="https://www.eia.gov/dnav/pet/hist/LeafHandler.ashx?n=PET&amp;s=MDGIMUS1&amp;f=A" xr:uid="{8193130A-FC01-4BE7-92B1-A542C4CC92FF}"/>
    <hyperlink ref="Y46" r:id="rId709" display="https://www.eia.gov/dnav/pet/hist/LeafHandler.ashx?n=PET&amp;s=MDGSCUS1&amp;f=A" xr:uid="{5E50D284-D9C2-4C65-83DE-DBBC47C2A80A}"/>
    <hyperlink ref="AA46" r:id="rId710" display="https://www.eia.gov/dnav/pet/hist/LeafHandler.ashx?n=PET&amp;s=MDGEXUS1&amp;f=A" xr:uid="{2DA8EBAE-200E-4B28-9573-1ED90DFD917E}"/>
    <hyperlink ref="AB46" r:id="rId711" display="https://www.eia.gov/dnav/pet/hist/LeafHandler.ashx?n=PET&amp;s=MDGUPUS1&amp;f=A" xr:uid="{794C3586-D5A1-4EB7-A2F6-BFBF19D51F63}"/>
    <hyperlink ref="AC46" r:id="rId712" display="https://www.eia.gov/dnav/pet/hist/LeafHandler.ashx?n=PET&amp;s=MDGSTUS1&amp;f=A" xr:uid="{C80296E9-2E5A-4E5A-9BCE-9440C135A23E}"/>
    <hyperlink ref="U47" r:id="rId713" display="https://www.eia.gov/dnav/pet/hist/LeafHandler.ashx?n=PET&amp;s=MRERPUS1&amp;f=A" xr:uid="{FF5686F2-A203-4C25-BC33-FDFD612E158A}"/>
    <hyperlink ref="V47" r:id="rId714" display="https://www.eia.gov/dnav/pet/hist/LeafHandler.ashx?n=PET&amp;s=MREIMUS1&amp;f=A" xr:uid="{7BEB30CC-5E9A-4F04-80AC-75B6AA450D7A}"/>
    <hyperlink ref="Y47" r:id="rId715" display="https://www.eia.gov/dnav/pet/hist/LeafHandler.ashx?n=PET&amp;s=MRESCUS1&amp;f=A" xr:uid="{013FE7A1-7F2C-4256-9805-5C42B49C0B97}"/>
    <hyperlink ref="AA47" r:id="rId716" display="https://www.eia.gov/dnav/pet/hist/LeafHandler.ashx?n=PET&amp;s=MREEXUS1&amp;f=A" xr:uid="{5BB61112-5170-4BF2-A5F3-2490D4879B56}"/>
    <hyperlink ref="AB47" r:id="rId717" display="https://www.eia.gov/dnav/pet/hist/LeafHandler.ashx?n=PET&amp;s=MREUPUS1&amp;f=A" xr:uid="{99275C7C-D8CC-4E77-A2F8-5D27AC415B34}"/>
    <hyperlink ref="AC47" r:id="rId718" display="https://www.eia.gov/dnav/pet/hist/LeafHandler.ashx?n=PET&amp;s=MRESTUS1&amp;f=A" xr:uid="{547D1557-DC47-45FE-A3FD-9B3C28E47DEC}"/>
    <hyperlink ref="U48" r:id="rId719" display="https://www.eia.gov/dnav/pet/hist/LeafHandler.ashx?n=PET&amp;s=MRLRPUS1&amp;f=A" xr:uid="{4BA5630D-349B-482E-9707-F0DF088E86A5}"/>
    <hyperlink ref="V48" r:id="rId720" display="https://www.eia.gov/dnav/pet/hist/LeafHandler.ashx?n=PET&amp;s=MRXIMUS1&amp;f=A" xr:uid="{B159C5D2-52FF-4D19-A36B-ACEEF36207FB}"/>
    <hyperlink ref="Y48" r:id="rId721" display="https://www.eia.gov/dnav/pet/hist/LeafHandler.ashx?n=PET&amp;s=MRXSC_NUS_1&amp;f=A" xr:uid="{0C4F2E54-391E-41F0-8296-87A6612A9CBC}"/>
    <hyperlink ref="AC48" r:id="rId722" display="https://www.eia.gov/dnav/pet/hist/LeafHandler.ashx?n=PET&amp;s=MRLSTUS1&amp;f=A" xr:uid="{35F671D7-FAE2-4B4C-9D95-EFB0C0547765}"/>
    <hyperlink ref="U49" r:id="rId723" display="https://www.eia.gov/dnav/pet/hist/LeafHandler.ashx?n=PET&amp;s=MRMRPUS1&amp;f=A" xr:uid="{3BB2C6ED-AC60-4CB0-811E-2DC38F7B638F}"/>
    <hyperlink ref="V49" r:id="rId724" display="https://www.eia.gov/dnav/pet/hist/LeafHandler.ashx?n=PET&amp;s=MRYIMUS1&amp;f=A" xr:uid="{E1EC6A8D-0529-4E6D-AFB2-D0BE8E9C7BE1}"/>
    <hyperlink ref="Y49" r:id="rId725" display="https://www.eia.gov/dnav/pet/hist/LeafHandler.ashx?n=PET&amp;s=MRYSC_NUS_1&amp;f=A" xr:uid="{5F610CAB-E2EE-434C-84DC-D736BE66613E}"/>
    <hyperlink ref="AC49" r:id="rId726" display="https://www.eia.gov/dnav/pet/hist/LeafHandler.ashx?n=PET&amp;s=MRMSTUS1&amp;f=A" xr:uid="{4B3260EB-CA35-4F35-9874-2586A4D711EE}"/>
    <hyperlink ref="U50" r:id="rId727" display="https://www.eia.gov/dnav/pet/hist/LeafHandler.ashx?n=PET&amp;s=MRGRPUS1&amp;f=A" xr:uid="{ECD909AD-4E34-4F9E-8BFB-F042BF4AED71}"/>
    <hyperlink ref="V50" r:id="rId728" display="https://www.eia.gov/dnav/pet/hist/LeafHandler.ashx?n=PET&amp;s=MRZIMUS1&amp;f=A" xr:uid="{411A546D-CDCA-4B31-8805-26792F5201C3}"/>
    <hyperlink ref="Y50" r:id="rId729" display="https://www.eia.gov/dnav/pet/hist/LeafHandler.ashx?n=PET&amp;s=MRZSC_NUS_1&amp;f=A" xr:uid="{45088B63-C4CA-4954-8567-22AE25672E7B}"/>
    <hyperlink ref="AC50" r:id="rId730" display="https://www.eia.gov/dnav/pet/hist/LeafHandler.ashx?n=PET&amp;s=MRGSTUS1&amp;f=A" xr:uid="{4EF7E79B-A36F-45AD-B8F4-F75E21E0929E}"/>
    <hyperlink ref="U51" r:id="rId731" display="https://www.eia.gov/dnav/pet/hist/LeafHandler.ashx?n=PET&amp;s=MPCRPUS1&amp;f=A" xr:uid="{59A7ABD5-B7AB-4BB4-99F8-C02E4D049466}"/>
    <hyperlink ref="V51" r:id="rId732" display="https://www.eia.gov/dnav/pet/hist/LeafHandler.ashx?n=PET&amp;s=MPFIM_NUS-Z00_1&amp;f=A" xr:uid="{886768CF-F3D5-4DF5-9346-16482D9972F9}"/>
    <hyperlink ref="Y51" r:id="rId733" display="https://www.eia.gov/dnav/pet/hist/LeafHandler.ashx?n=PET&amp;s=MPCSC_NUS_1&amp;f=A" xr:uid="{F30CD41E-6103-4993-B406-A3ADB1FCBA2D}"/>
    <hyperlink ref="AA51" r:id="rId734" display="https://www.eia.gov/dnav/pet/hist/LeafHandler.ashx?n=PET&amp;s=MPCEX_NUS-Z00_1&amp;f=A" xr:uid="{347A58D9-53A8-4DBE-B289-83882D86CF96}"/>
    <hyperlink ref="AB51" r:id="rId735" display="https://www.eia.gov/dnav/pet/hist/LeafHandler.ashx?n=PET&amp;s=MPCUP_NUS_1&amp;f=A" xr:uid="{D07D71AA-77D8-4719-8D3C-45415E789513}"/>
    <hyperlink ref="AC51" r:id="rId736" display="https://www.eia.gov/dnav/pet/hist/LeafHandler.ashx?n=PET&amp;s=MPCST_NUS_1&amp;f=A" xr:uid="{5750D0CA-B12D-4B7E-AB19-C78E4A060697}"/>
    <hyperlink ref="U52" r:id="rId737" display="https://www.eia.gov/dnav/pet/hist/LeafHandler.ashx?n=PET&amp;s=MNFRPUS1&amp;f=A" xr:uid="{D706B164-FB0C-4A47-AD7B-7E16017D317A}"/>
    <hyperlink ref="V52" r:id="rId738" display="https://www.eia.gov/dnav/pet/hist/LeafHandler.ashx?n=PET&amp;s=MNFIMUS1&amp;f=A" xr:uid="{2F65269F-DF6B-4193-9FED-422EA8A03912}"/>
    <hyperlink ref="Y52" r:id="rId739" display="https://www.eia.gov/dnav/pet/hist/LeafHandler.ashx?n=PET&amp;s=MNFSCUS1&amp;f=A" xr:uid="{1B43312C-20BE-4300-A482-3256CFB2F4EB}"/>
    <hyperlink ref="AA52" r:id="rId740" display="https://www.eia.gov/dnav/pet/hist/LeafHandler.ashx?n=PET&amp;s=MNFEXUS1&amp;f=A" xr:uid="{64B5D7FA-61DA-4D3C-9739-2C3892044FA3}"/>
    <hyperlink ref="AB52" r:id="rId741" display="https://www.eia.gov/dnav/pet/hist/LeafHandler.ashx?n=PET&amp;s=MNFUPUS1&amp;f=A" xr:uid="{1AA27761-5CE8-4317-8547-EF39BF128D75}"/>
    <hyperlink ref="AC52" r:id="rId742" display="https://www.eia.gov/dnav/pet/hist/LeafHandler.ashx?n=PET&amp;s=MNFSTUS1&amp;f=A" xr:uid="{8D70ADAC-D993-4E46-997B-AE5CFE6B7AA1}"/>
    <hyperlink ref="U53" r:id="rId743" display="https://www.eia.gov/dnav/pet/hist/LeafHandler.ashx?n=PET&amp;s=MOTRPUS1&amp;f=A" xr:uid="{34073D7C-ADD9-46A7-BA02-4B40DDB3ABB7}"/>
    <hyperlink ref="V53" r:id="rId744" display="https://www.eia.gov/dnav/pet/hist/LeafHandler.ashx?n=PET&amp;s=MOTIMUS1&amp;f=A" xr:uid="{584AA07B-96DD-4DEA-B4E8-FA34D791B65B}"/>
    <hyperlink ref="Y53" r:id="rId745" display="https://www.eia.gov/dnav/pet/hist/LeafHandler.ashx?n=PET&amp;s=MOTSCUS1&amp;f=A" xr:uid="{A70DDAD6-8003-4AF3-99D5-1910F773BB9D}"/>
    <hyperlink ref="AA53" r:id="rId746" display="https://www.eia.gov/dnav/pet/hist/LeafHandler.ashx?n=PET&amp;s=MOTEXUS1&amp;f=A" xr:uid="{CA12B64B-E574-4C47-91F2-A205702B847B}"/>
    <hyperlink ref="AB53" r:id="rId747" display="https://www.eia.gov/dnav/pet/hist/LeafHandler.ashx?n=PET&amp;s=MOTUPUS1&amp;f=A" xr:uid="{A8337DA5-BA2D-40BC-BE1C-E9C59FECD55A}"/>
    <hyperlink ref="AC53" r:id="rId748" display="https://www.eia.gov/dnav/pet/hist/LeafHandler.ashx?n=PET&amp;s=MOTSTUS1&amp;f=A" xr:uid="{670FCF61-EF11-4D08-B589-C32A7C2B928C}"/>
    <hyperlink ref="U54" r:id="rId749" display="https://www.eia.gov/dnav/pet/hist/LeafHandler.ashx?n=PET&amp;s=MNSRPUS1&amp;f=A" xr:uid="{E86F598E-CDC7-4D7F-B8D0-F15F0BD47A1A}"/>
    <hyperlink ref="V54" r:id="rId750" display="https://www.eia.gov/dnav/pet/hist/LeafHandler.ashx?n=PET&amp;s=MNSIMUS1&amp;f=A" xr:uid="{86ADDEA9-6A79-422A-BB14-16404312F903}"/>
    <hyperlink ref="Y54" r:id="rId751" display="https://www.eia.gov/dnav/pet/hist/LeafHandler.ashx?n=PET&amp;s=MNSSCUS1&amp;f=A" xr:uid="{998EF4CE-BDE1-4843-ABC3-E83644180F18}"/>
    <hyperlink ref="AA54" r:id="rId752" display="https://www.eia.gov/dnav/pet/hist/LeafHandler.ashx?n=PET&amp;s=MNSEXUS1&amp;f=A" xr:uid="{5AFEDA83-40D2-4596-B3DB-735414E09D63}"/>
    <hyperlink ref="AB54" r:id="rId753" display="https://www.eia.gov/dnav/pet/hist/LeafHandler.ashx?n=PET&amp;s=MNSUPUS1&amp;f=A" xr:uid="{0D850881-165C-4A68-A3F6-A6FF5C78E7DE}"/>
    <hyperlink ref="AC54" r:id="rId754" display="https://www.eia.gov/dnav/pet/hist/LeafHandler.ashx?n=PET&amp;s=MNSSTUS1&amp;f=A" xr:uid="{9A91E4B8-883A-40BC-946F-321479D9D670}"/>
    <hyperlink ref="U55" r:id="rId755" display="https://www.eia.gov/dnav/pet/hist/LeafHandler.ashx?n=PET&amp;s=MLURPUS1&amp;f=A" xr:uid="{C68C1C98-277C-4BA9-917F-A8ED5696B493}"/>
    <hyperlink ref="V55" r:id="rId756" display="https://www.eia.gov/dnav/pet/hist/LeafHandler.ashx?n=PET&amp;s=MLUIMUS1&amp;f=A" xr:uid="{259AAECA-0BB4-4CC2-A512-73B4972ACF2E}"/>
    <hyperlink ref="Y55" r:id="rId757" display="https://www.eia.gov/dnav/pet/hist/LeafHandler.ashx?n=PET&amp;s=MLUSCUS1&amp;f=A" xr:uid="{8D2A4178-DB59-47BE-818F-844054AD9F0A}"/>
    <hyperlink ref="AA55" r:id="rId758" display="https://www.eia.gov/dnav/pet/hist/LeafHandler.ashx?n=PET&amp;s=MLUEXUS1&amp;f=A" xr:uid="{549318D0-9ACB-4728-BF8A-C1A0D2C882EC}"/>
    <hyperlink ref="AB55" r:id="rId759" display="https://www.eia.gov/dnav/pet/hist/LeafHandler.ashx?n=PET&amp;s=MLUUPUS1&amp;f=A" xr:uid="{EF059C35-2EA9-403C-AA3D-992F5967EB62}"/>
    <hyperlink ref="AC55" r:id="rId760" display="https://www.eia.gov/dnav/pet/hist/LeafHandler.ashx?n=PET&amp;s=MLUSTUS1&amp;f=A" xr:uid="{FE5C7651-17F8-4BDB-BCC4-EF9AB47598DA}"/>
    <hyperlink ref="U56" r:id="rId761" display="https://www.eia.gov/dnav/pet/hist/LeafHandler.ashx?n=PET&amp;s=MWXRPUS1&amp;f=A" xr:uid="{C8A734CD-B291-49FF-941C-2FC7F4BF7B63}"/>
    <hyperlink ref="V56" r:id="rId762" display="https://www.eia.gov/dnav/pet/hist/LeafHandler.ashx?n=PET&amp;s=MWXIMUS1&amp;f=A" xr:uid="{E70B682B-79E3-498E-A11F-10EEA8445A7B}"/>
    <hyperlink ref="Y56" r:id="rId763" display="https://www.eia.gov/dnav/pet/hist/LeafHandler.ashx?n=PET&amp;s=MWXSCUS1&amp;f=A" xr:uid="{481A0296-AF1B-4E15-BD3F-5CD5A96E5A8E}"/>
    <hyperlink ref="AA56" r:id="rId764" display="https://www.eia.gov/dnav/pet/hist/LeafHandler.ashx?n=PET&amp;s=MWXEXUS1&amp;f=A" xr:uid="{03E633DF-93DF-4C65-BCC8-4FF819855F27}"/>
    <hyperlink ref="AB56" r:id="rId765" display="https://www.eia.gov/dnav/pet/hist/LeafHandler.ashx?n=PET&amp;s=MWXUPUS1&amp;f=A" xr:uid="{A05FF103-F989-4B96-A2A3-F6F9ED872642}"/>
    <hyperlink ref="AC56" r:id="rId766" display="https://www.eia.gov/dnav/pet/hist/LeafHandler.ashx?n=PET&amp;s=MWXSTUS1&amp;f=A" xr:uid="{1E06F52E-ED7D-4686-92B5-E5A443C103F4}"/>
    <hyperlink ref="U57" r:id="rId767" display="https://www.eia.gov/dnav/pet/hist/LeafHandler.ashx?n=PET&amp;s=MCKRPUS1&amp;f=A" xr:uid="{05D1DA3E-EDF1-4A0E-ACDB-F96BA3459097}"/>
    <hyperlink ref="V57" r:id="rId768" display="https://www.eia.gov/dnav/pet/hist/LeafHandler.ashx?n=PET&amp;s=MCKIMUS1&amp;f=A" xr:uid="{DC835BCD-8770-4B19-BE47-7D905EAE5E3C}"/>
    <hyperlink ref="Y57" r:id="rId769" display="https://www.eia.gov/dnav/pet/hist/LeafHandler.ashx?n=PET&amp;s=MCKSCUS1&amp;f=A" xr:uid="{08CF5416-B834-4E91-A963-DA88639BF1F6}"/>
    <hyperlink ref="AA57" r:id="rId770" display="https://www.eia.gov/dnav/pet/hist/LeafHandler.ashx?n=PET&amp;s=MCKEXUS1&amp;f=A" xr:uid="{525E5542-70BB-4055-982A-2C21DE9483DA}"/>
    <hyperlink ref="AB57" r:id="rId771" display="https://www.eia.gov/dnav/pet/hist/LeafHandler.ashx?n=PET&amp;s=MCKUPUS1&amp;f=A" xr:uid="{BF5A42C3-CFB8-4AD2-8C81-DF753F768C88}"/>
    <hyperlink ref="AC57" r:id="rId772" display="https://www.eia.gov/dnav/pet/hist/LeafHandler.ashx?n=PET&amp;s=MCKSTUS1&amp;f=A" xr:uid="{DFC3337A-EF92-4DC3-B243-EAA75CEBE22B}"/>
    <hyperlink ref="U58" r:id="rId773" display="https://www.eia.gov/dnav/pet/hist/LeafHandler.ashx?n=PET&amp;s=MCMRPUS1&amp;f=A" xr:uid="{23D83FE1-735C-42E6-8FEA-BF92418E1629}"/>
    <hyperlink ref="V58" r:id="rId774" display="https://www.eia.gov/dnav/pet/hist/LeafHandler.ashx?n=PET&amp;s=MCMIM_NUS-Z00_1&amp;f=A" xr:uid="{DD644326-1E8C-400C-A72F-C19DA790B993}"/>
    <hyperlink ref="Y58" r:id="rId775" display="https://www.eia.gov/dnav/pet/hist/LeafHandler.ashx?n=PET&amp;s=MCMSC_NUS_1&amp;f=A" xr:uid="{4A81F2DF-404E-4137-BAF2-28E8BB41A2C8}"/>
    <hyperlink ref="AA58" r:id="rId776" display="https://www.eia.gov/dnav/pet/hist/LeafHandler.ashx?n=PET&amp;s=MCMEX_NUS-Z00_1&amp;f=A" xr:uid="{7BAEEF9F-A8AF-46FC-A16D-5AFDE7CB2A0F}"/>
    <hyperlink ref="AB58" r:id="rId777" display="https://www.eia.gov/dnav/pet/hist/LeafHandler.ashx?n=PET&amp;s=MCMUP_NUS_1&amp;f=A" xr:uid="{F0D3A3D8-82BA-405B-B301-412E4AF12250}"/>
    <hyperlink ref="AC58" r:id="rId778" display="https://www.eia.gov/dnav/pet/hist/LeafHandler.ashx?n=PET&amp;s=MCMST_NUS_1&amp;f=A" xr:uid="{7BDB35C5-4CB9-418F-BCA4-F64FB74565A4}"/>
    <hyperlink ref="U59" r:id="rId779" display="https://www.eia.gov/dnav/pet/hist/LeafHandler.ashx?n=PET&amp;s=MCORPUS1&amp;f=A" xr:uid="{226DFD89-D37C-4CC2-825F-875A182A9A94}"/>
    <hyperlink ref="AB59" r:id="rId780" display="https://www.eia.gov/dnav/pet/hist/LeafHandler.ashx?n=PET&amp;s=MCOUP_NUS_1&amp;f=A" xr:uid="{12F98039-9F80-4BA7-995F-CEC5EECB8BB2}"/>
    <hyperlink ref="U60" r:id="rId781" display="https://www.eia.gov/dnav/pet/hist/LeafHandler.ashx?n=PET&amp;s=MAPRPUS1&amp;f=A" xr:uid="{A6805471-2642-4403-99C2-8975E6DCA440}"/>
    <hyperlink ref="V60" r:id="rId782" display="https://www.eia.gov/dnav/pet/hist/LeafHandler.ashx?n=PET&amp;s=MAPIMUS1&amp;f=A" xr:uid="{56EDE491-A994-409C-9BCC-29E932C1656F}"/>
    <hyperlink ref="Y60" r:id="rId783" display="https://www.eia.gov/dnav/pet/hist/LeafHandler.ashx?n=PET&amp;s=MAPSCUS1&amp;f=A" xr:uid="{F259FADA-266E-4FF9-A6DA-65096D8160DF}"/>
    <hyperlink ref="AA60" r:id="rId784" display="https://www.eia.gov/dnav/pet/hist/LeafHandler.ashx?n=PET&amp;s=MAPEXUS1&amp;f=A" xr:uid="{4CF77245-9304-4B68-AD84-AEDB6B3B20A0}"/>
    <hyperlink ref="AB60" r:id="rId785" display="https://www.eia.gov/dnav/pet/hist/LeafHandler.ashx?n=PET&amp;s=MAPUPUS1&amp;f=A" xr:uid="{96E72853-8E70-431D-B503-93795628C21F}"/>
    <hyperlink ref="AC60" r:id="rId786" display="https://www.eia.gov/dnav/pet/hist/LeafHandler.ashx?n=PET&amp;s=MAPSTUS1&amp;f=A" xr:uid="{41CF0095-3751-46CF-9D4E-03CE4B13D105}"/>
    <hyperlink ref="U61" r:id="rId787" display="https://www.eia.gov/dnav/pet/hist/LeafHandler.ashx?n=PET&amp;s=MSGRPUS1&amp;f=A" xr:uid="{1921EA04-5367-4117-890A-DF481A583B67}"/>
    <hyperlink ref="AB61" r:id="rId788" display="https://www.eia.gov/dnav/pet/hist/LeafHandler.ashx?n=PET&amp;s=MSGUPUS1&amp;f=A" xr:uid="{B2EFC5AE-8659-44BC-8C86-0413A052DB57}"/>
    <hyperlink ref="U62" r:id="rId789" display="https://www.eia.gov/dnav/pet/hist/LeafHandler.ashx?n=PET&amp;s=MMSRPUS1&amp;f=A" xr:uid="{A2E83B0C-2E7C-492E-9F71-8CECF8036538}"/>
    <hyperlink ref="V62" r:id="rId790" display="https://www.eia.gov/dnav/pet/hist/LeafHandler.ashx?n=PET&amp;s=MMSIMUS1&amp;f=A" xr:uid="{BAA67C7E-167A-4A74-8A07-37979154CB53}"/>
    <hyperlink ref="Y62" r:id="rId791" display="https://www.eia.gov/dnav/pet/hist/LeafHandler.ashx?n=PET&amp;s=MMSSCUS1&amp;f=A" xr:uid="{167AD4ED-8E42-48E9-8C7F-38B27D5F8304}"/>
    <hyperlink ref="AA62" r:id="rId792" display="https://www.eia.gov/dnav/pet/hist/LeafHandler.ashx?n=PET&amp;s=MMSEXUS1&amp;f=A" xr:uid="{D88E80D4-4555-49AA-83D0-698AF63C77DE}"/>
    <hyperlink ref="AB62" r:id="rId793" display="https://www.eia.gov/dnav/pet/hist/LeafHandler.ashx?n=PET&amp;s=MMSUPUS1&amp;f=A" xr:uid="{C95BAAF5-8C61-4B3B-8CCA-0D50398BE4EA}"/>
    <hyperlink ref="AC62" r:id="rId794" display="https://www.eia.gov/dnav/pet/hist/LeafHandler.ashx?n=PET&amp;s=MMSSTUS1&amp;f=A" xr:uid="{44682329-156D-4A45-8FC5-D3245109ECE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H45"/>
  <sheetViews>
    <sheetView topLeftCell="A7" workbookViewId="0">
      <selection activeCell="A36" sqref="A36"/>
    </sheetView>
  </sheetViews>
  <sheetFormatPr defaultRowHeight="15" x14ac:dyDescent="0.25"/>
  <cols>
    <col min="2" max="2" width="18" customWidth="1"/>
    <col min="3" max="3" width="29" customWidth="1"/>
    <col min="4" max="4" width="36" customWidth="1"/>
    <col min="5" max="5" width="22" customWidth="1"/>
    <col min="6" max="6" width="29.7109375" customWidth="1"/>
    <col min="10" max="10" width="29.85546875" bestFit="1" customWidth="1"/>
    <col min="11" max="11" width="18.140625" bestFit="1" customWidth="1"/>
  </cols>
  <sheetData>
    <row r="2" spans="1:8" x14ac:dyDescent="0.25">
      <c r="A2" s="1" t="s">
        <v>946</v>
      </c>
    </row>
    <row r="3" spans="1:8" x14ac:dyDescent="0.25">
      <c r="A3" t="s">
        <v>84</v>
      </c>
      <c r="B3" s="18" t="s">
        <v>85</v>
      </c>
      <c r="C3" s="18" t="s">
        <v>86</v>
      </c>
    </row>
    <row r="4" spans="1:8" x14ac:dyDescent="0.25">
      <c r="A4">
        <v>1</v>
      </c>
      <c r="B4">
        <v>516492</v>
      </c>
      <c r="C4">
        <v>198.29</v>
      </c>
    </row>
    <row r="5" spans="1:8" x14ac:dyDescent="0.25">
      <c r="A5">
        <v>2</v>
      </c>
      <c r="B5">
        <v>749693</v>
      </c>
      <c r="C5">
        <v>196.77</v>
      </c>
    </row>
    <row r="6" spans="1:8" x14ac:dyDescent="0.25">
      <c r="A6">
        <v>3</v>
      </c>
      <c r="B6">
        <v>828225</v>
      </c>
      <c r="C6">
        <v>201.45</v>
      </c>
    </row>
    <row r="7" spans="1:8" x14ac:dyDescent="0.25">
      <c r="A7">
        <v>4</v>
      </c>
      <c r="B7">
        <v>714829</v>
      </c>
      <c r="C7">
        <v>193.58</v>
      </c>
    </row>
    <row r="8" spans="1:8" x14ac:dyDescent="0.25">
      <c r="A8">
        <v>5</v>
      </c>
      <c r="B8">
        <v>747809</v>
      </c>
      <c r="C8">
        <v>187.71</v>
      </c>
    </row>
    <row r="9" spans="1:8" x14ac:dyDescent="0.25">
      <c r="A9">
        <v>6</v>
      </c>
      <c r="B9">
        <v>734710</v>
      </c>
      <c r="C9">
        <v>193.92</v>
      </c>
    </row>
    <row r="10" spans="1:8" x14ac:dyDescent="0.25">
      <c r="A10">
        <v>7</v>
      </c>
      <c r="B10">
        <v>826189</v>
      </c>
      <c r="C10">
        <v>183.46</v>
      </c>
    </row>
    <row r="11" spans="1:8" x14ac:dyDescent="0.25">
      <c r="A11">
        <v>8</v>
      </c>
      <c r="B11">
        <v>739552</v>
      </c>
      <c r="C11">
        <v>187.41</v>
      </c>
    </row>
    <row r="12" spans="1:8" x14ac:dyDescent="0.25">
      <c r="A12">
        <v>9</v>
      </c>
      <c r="B12">
        <v>738479</v>
      </c>
      <c r="C12">
        <v>198.67</v>
      </c>
    </row>
    <row r="13" spans="1:8" x14ac:dyDescent="0.25">
      <c r="A13">
        <v>10</v>
      </c>
      <c r="B13">
        <v>757813</v>
      </c>
      <c r="C13">
        <v>204.22</v>
      </c>
      <c r="F13" s="263"/>
      <c r="G13" s="264"/>
      <c r="H13" s="265"/>
    </row>
    <row r="14" spans="1:8" x14ac:dyDescent="0.25">
      <c r="A14">
        <v>11</v>
      </c>
      <c r="B14">
        <v>738409</v>
      </c>
      <c r="C14">
        <v>202.24</v>
      </c>
    </row>
    <row r="15" spans="1:8" x14ac:dyDescent="0.25">
      <c r="A15">
        <v>12</v>
      </c>
      <c r="B15">
        <v>779012</v>
      </c>
      <c r="C15">
        <v>196.75</v>
      </c>
    </row>
    <row r="17" spans="1:5" x14ac:dyDescent="0.25">
      <c r="A17" s="1" t="s">
        <v>945</v>
      </c>
      <c r="E17" s="1" t="s">
        <v>947</v>
      </c>
    </row>
    <row r="18" spans="1:5" x14ac:dyDescent="0.25">
      <c r="A18" t="s">
        <v>84</v>
      </c>
      <c r="B18" s="18" t="s">
        <v>85</v>
      </c>
      <c r="C18" s="18" t="s">
        <v>86</v>
      </c>
      <c r="E18" t="s">
        <v>948</v>
      </c>
    </row>
    <row r="19" spans="1:5" x14ac:dyDescent="0.25">
      <c r="A19">
        <v>1</v>
      </c>
      <c r="B19">
        <v>518747</v>
      </c>
      <c r="C19">
        <v>190.04</v>
      </c>
      <c r="E19">
        <v>13054197</v>
      </c>
    </row>
    <row r="20" spans="1:5" x14ac:dyDescent="0.25">
      <c r="A20">
        <v>2</v>
      </c>
      <c r="B20">
        <v>529418</v>
      </c>
      <c r="C20">
        <v>192.98</v>
      </c>
      <c r="E20">
        <v>13024197</v>
      </c>
    </row>
    <row r="21" spans="1:5" x14ac:dyDescent="0.25">
      <c r="A21">
        <v>3</v>
      </c>
      <c r="B21">
        <v>943200</v>
      </c>
      <c r="C21">
        <v>186.96</v>
      </c>
      <c r="E21">
        <v>12924197</v>
      </c>
    </row>
    <row r="22" spans="1:5" x14ac:dyDescent="0.25">
      <c r="A22">
        <v>4</v>
      </c>
      <c r="B22">
        <v>506278</v>
      </c>
      <c r="C22">
        <v>190.52</v>
      </c>
      <c r="E22">
        <v>12924197</v>
      </c>
    </row>
    <row r="23" spans="1:5" x14ac:dyDescent="0.25">
      <c r="A23">
        <v>5</v>
      </c>
      <c r="B23">
        <v>826442</v>
      </c>
      <c r="C23">
        <v>191.72</v>
      </c>
      <c r="E23">
        <v>12605012</v>
      </c>
    </row>
    <row r="24" spans="1:5" x14ac:dyDescent="0.25">
      <c r="A24">
        <v>6</v>
      </c>
      <c r="B24">
        <v>734233</v>
      </c>
      <c r="C24">
        <v>206.5</v>
      </c>
      <c r="E24">
        <v>12603192</v>
      </c>
    </row>
    <row r="25" spans="1:5" x14ac:dyDescent="0.25">
      <c r="A25">
        <v>7</v>
      </c>
      <c r="B25">
        <v>639345</v>
      </c>
      <c r="C25">
        <v>182.28</v>
      </c>
      <c r="E25">
        <v>12603192</v>
      </c>
    </row>
    <row r="26" spans="1:5" x14ac:dyDescent="0.25">
      <c r="A26">
        <v>8</v>
      </c>
      <c r="B26">
        <v>874384</v>
      </c>
      <c r="C26">
        <v>194.63</v>
      </c>
      <c r="E26">
        <v>12603192</v>
      </c>
    </row>
    <row r="27" spans="1:5" x14ac:dyDescent="0.25">
      <c r="A27">
        <v>9</v>
      </c>
      <c r="B27">
        <v>851140</v>
      </c>
      <c r="C27">
        <v>196.81</v>
      </c>
      <c r="E27">
        <v>12603192</v>
      </c>
    </row>
    <row r="28" spans="1:5" x14ac:dyDescent="0.25">
      <c r="A28">
        <v>10</v>
      </c>
      <c r="B28">
        <v>730557</v>
      </c>
      <c r="C28">
        <v>188.83</v>
      </c>
      <c r="E28">
        <v>12603192</v>
      </c>
    </row>
    <row r="29" spans="1:5" x14ac:dyDescent="0.25">
      <c r="A29">
        <v>11</v>
      </c>
      <c r="B29">
        <v>615010</v>
      </c>
      <c r="C29">
        <v>189.23</v>
      </c>
      <c r="E29">
        <v>12956376</v>
      </c>
    </row>
    <row r="30" spans="1:5" x14ac:dyDescent="0.25">
      <c r="A30">
        <v>12</v>
      </c>
      <c r="B30">
        <v>813995</v>
      </c>
      <c r="C30">
        <v>184.18</v>
      </c>
      <c r="E30">
        <v>12958278</v>
      </c>
    </row>
    <row r="34" spans="1:3" x14ac:dyDescent="0.25">
      <c r="A34" s="1" t="s">
        <v>748</v>
      </c>
    </row>
    <row r="35" spans="1:3" x14ac:dyDescent="0.25">
      <c r="A35" s="5">
        <v>13341865</v>
      </c>
      <c r="B35" t="s">
        <v>87</v>
      </c>
      <c r="C35">
        <v>2024</v>
      </c>
    </row>
    <row r="36" spans="1:3" x14ac:dyDescent="0.25">
      <c r="A36" s="5">
        <f>AVERAGE(E19:E30)</f>
        <v>12788534.5</v>
      </c>
      <c r="B36" t="s">
        <v>87</v>
      </c>
      <c r="C36">
        <v>2023</v>
      </c>
    </row>
    <row r="38" spans="1:3" x14ac:dyDescent="0.25">
      <c r="A38" s="1" t="s">
        <v>88</v>
      </c>
    </row>
    <row r="39" spans="1:3" x14ac:dyDescent="0.25">
      <c r="A39" s="5">
        <f>SUM(B4:B15)</f>
        <v>8871212</v>
      </c>
      <c r="B39" t="s">
        <v>87</v>
      </c>
      <c r="C39">
        <v>2024</v>
      </c>
    </row>
    <row r="40" spans="1:3" x14ac:dyDescent="0.25">
      <c r="A40" s="5">
        <f>SUM(B19:B30)</f>
        <v>8582749</v>
      </c>
      <c r="B40" t="s">
        <v>87</v>
      </c>
      <c r="C40">
        <v>2023</v>
      </c>
    </row>
    <row r="42" spans="1:3" x14ac:dyDescent="0.25">
      <c r="A42" t="s">
        <v>747</v>
      </c>
    </row>
    <row r="44" spans="1:3" x14ac:dyDescent="0.25">
      <c r="A44" s="1" t="s">
        <v>91</v>
      </c>
    </row>
    <row r="45" spans="1:3" x14ac:dyDescent="0.25">
      <c r="A45" s="19">
        <v>0</v>
      </c>
      <c r="B45" t="s">
        <v>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3"/>
  <sheetViews>
    <sheetView topLeftCell="A13" workbookViewId="0">
      <selection activeCell="A38" sqref="A38"/>
    </sheetView>
  </sheetViews>
  <sheetFormatPr defaultRowHeight="15" x14ac:dyDescent="0.25"/>
  <cols>
    <col min="1" max="1" width="10.5703125" customWidth="1"/>
    <col min="2" max="4" width="11.7109375" customWidth="1"/>
    <col min="5" max="5" width="23.28515625" customWidth="1"/>
  </cols>
  <sheetData>
    <row r="1" spans="1:6" x14ac:dyDescent="0.25">
      <c r="A1" s="2" t="s">
        <v>100</v>
      </c>
      <c r="B1" s="7"/>
      <c r="C1" s="7"/>
      <c r="D1" s="7"/>
      <c r="E1" s="7"/>
      <c r="F1" s="7"/>
    </row>
    <row r="2" spans="1:6" x14ac:dyDescent="0.25">
      <c r="B2" t="s">
        <v>96</v>
      </c>
      <c r="C2" t="s">
        <v>22</v>
      </c>
      <c r="D2" t="s">
        <v>27</v>
      </c>
      <c r="E2" t="s">
        <v>732</v>
      </c>
      <c r="F2" t="s">
        <v>89</v>
      </c>
    </row>
    <row r="3" spans="1:6" x14ac:dyDescent="0.25">
      <c r="A3">
        <v>2024</v>
      </c>
      <c r="B3">
        <f>677/1000</f>
        <v>0.67700000000000005</v>
      </c>
      <c r="C3">
        <f>E3-B3</f>
        <v>55.222999999999999</v>
      </c>
      <c r="D3">
        <v>0</v>
      </c>
      <c r="E3">
        <v>55.9</v>
      </c>
      <c r="F3" t="s">
        <v>101</v>
      </c>
    </row>
    <row r="4" spans="1:6" x14ac:dyDescent="0.25">
      <c r="A4">
        <v>2023</v>
      </c>
      <c r="B4">
        <v>0.05</v>
      </c>
      <c r="C4">
        <f>E4-B4</f>
        <v>51.550000000000004</v>
      </c>
      <c r="D4">
        <v>0</v>
      </c>
      <c r="E4">
        <v>51.6</v>
      </c>
      <c r="F4" t="s">
        <v>101</v>
      </c>
    </row>
    <row r="6" spans="1:6" x14ac:dyDescent="0.25">
      <c r="A6" s="2" t="s">
        <v>132</v>
      </c>
      <c r="B6" s="7"/>
      <c r="C6" s="7"/>
      <c r="D6" s="7"/>
      <c r="E6" s="7"/>
    </row>
    <row r="7" spans="1:6" x14ac:dyDescent="0.25">
      <c r="A7" s="26">
        <v>40.016958000000002</v>
      </c>
      <c r="B7" t="s">
        <v>744</v>
      </c>
      <c r="F7" t="s">
        <v>745</v>
      </c>
    </row>
    <row r="8" spans="1:6" x14ac:dyDescent="0.25">
      <c r="A8" s="26">
        <v>512.54032400000006</v>
      </c>
      <c r="B8" t="s">
        <v>739</v>
      </c>
      <c r="F8" t="s">
        <v>738</v>
      </c>
    </row>
    <row r="9" spans="1:6" x14ac:dyDescent="0.25">
      <c r="A9" s="26">
        <v>108.32638300000001</v>
      </c>
      <c r="B9" t="s">
        <v>742</v>
      </c>
      <c r="F9" t="s">
        <v>740</v>
      </c>
    </row>
    <row r="10" spans="1:6" x14ac:dyDescent="0.25">
      <c r="A10" s="26">
        <v>1.997711</v>
      </c>
      <c r="B10" t="s">
        <v>743</v>
      </c>
      <c r="F10" t="s">
        <v>741</v>
      </c>
    </row>
    <row r="11" spans="1:6" x14ac:dyDescent="0.25">
      <c r="A11" s="26">
        <v>40.875506999999999</v>
      </c>
      <c r="B11" t="s">
        <v>843</v>
      </c>
    </row>
    <row r="12" spans="1:6" x14ac:dyDescent="0.25">
      <c r="A12" s="26">
        <v>577.95401700000002</v>
      </c>
      <c r="B12" t="s">
        <v>844</v>
      </c>
    </row>
    <row r="13" spans="1:6" x14ac:dyDescent="0.25">
      <c r="A13" s="26">
        <v>100.208063</v>
      </c>
      <c r="B13" t="s">
        <v>845</v>
      </c>
    </row>
    <row r="14" spans="1:6" x14ac:dyDescent="0.25">
      <c r="A14" s="26">
        <v>4.0101240000000002</v>
      </c>
      <c r="B14" t="s">
        <v>846</v>
      </c>
    </row>
    <row r="15" spans="1:6" x14ac:dyDescent="0.25">
      <c r="A15" s="20" t="s">
        <v>133</v>
      </c>
    </row>
    <row r="17" spans="1:6" x14ac:dyDescent="0.25">
      <c r="B17" t="s">
        <v>96</v>
      </c>
      <c r="C17" t="s">
        <v>22</v>
      </c>
      <c r="D17" t="s">
        <v>27</v>
      </c>
      <c r="E17" t="s">
        <v>89</v>
      </c>
    </row>
    <row r="18" spans="1:6" x14ac:dyDescent="0.25">
      <c r="A18" t="s">
        <v>131</v>
      </c>
      <c r="B18" s="25">
        <f>A8-A7</f>
        <v>472.52336600000007</v>
      </c>
      <c r="C18">
        <f>A10</f>
        <v>1.997711</v>
      </c>
      <c r="D18">
        <f>A9</f>
        <v>108.32638300000001</v>
      </c>
      <c r="E18" t="s">
        <v>102</v>
      </c>
      <c r="F18">
        <v>2024</v>
      </c>
    </row>
    <row r="19" spans="1:6" x14ac:dyDescent="0.25">
      <c r="A19" t="s">
        <v>134</v>
      </c>
      <c r="B19" s="25">
        <f>A7</f>
        <v>40.016958000000002</v>
      </c>
      <c r="C19">
        <v>0</v>
      </c>
      <c r="D19">
        <v>0</v>
      </c>
      <c r="E19" t="s">
        <v>102</v>
      </c>
      <c r="F19">
        <v>2024</v>
      </c>
    </row>
    <row r="20" spans="1:6" x14ac:dyDescent="0.25">
      <c r="A20" t="s">
        <v>131</v>
      </c>
      <c r="B20" s="25">
        <f>A12-A11</f>
        <v>537.07851000000005</v>
      </c>
      <c r="C20" s="26">
        <f>A14</f>
        <v>4.0101240000000002</v>
      </c>
      <c r="D20" s="26">
        <f>A13</f>
        <v>100.208063</v>
      </c>
      <c r="E20" t="s">
        <v>102</v>
      </c>
      <c r="F20">
        <v>2023</v>
      </c>
    </row>
    <row r="21" spans="1:6" x14ac:dyDescent="0.25">
      <c r="A21" t="s">
        <v>134</v>
      </c>
      <c r="B21" s="25">
        <f>A11</f>
        <v>40.875506999999999</v>
      </c>
      <c r="C21">
        <v>0</v>
      </c>
      <c r="D21">
        <v>0</v>
      </c>
      <c r="E21" t="s">
        <v>102</v>
      </c>
      <c r="F21">
        <v>2023</v>
      </c>
    </row>
    <row r="23" spans="1:6" x14ac:dyDescent="0.25">
      <c r="A23" s="2" t="s">
        <v>135</v>
      </c>
      <c r="B23" s="7"/>
      <c r="C23" s="7"/>
      <c r="D23" s="7"/>
      <c r="E23" s="7"/>
    </row>
    <row r="24" spans="1:6" x14ac:dyDescent="0.25">
      <c r="A24" s="1" t="s">
        <v>136</v>
      </c>
    </row>
    <row r="25" spans="1:6" x14ac:dyDescent="0.25">
      <c r="A25" s="26">
        <v>292</v>
      </c>
      <c r="B25" t="s">
        <v>137</v>
      </c>
    </row>
    <row r="27" spans="1:6" x14ac:dyDescent="0.25">
      <c r="A27" s="27" t="s">
        <v>138</v>
      </c>
    </row>
    <row r="28" spans="1:6" x14ac:dyDescent="0.25">
      <c r="A28" t="s">
        <v>139</v>
      </c>
    </row>
    <row r="29" spans="1:6" x14ac:dyDescent="0.25">
      <c r="A29" t="s">
        <v>145</v>
      </c>
    </row>
    <row r="30" spans="1:6" x14ac:dyDescent="0.25">
      <c r="A30" s="3" t="s">
        <v>146</v>
      </c>
      <c r="D30" t="s">
        <v>144</v>
      </c>
    </row>
    <row r="31" spans="1:6" x14ac:dyDescent="0.25">
      <c r="E31" s="4"/>
    </row>
    <row r="33" spans="1:5" x14ac:dyDescent="0.25">
      <c r="A33" t="s">
        <v>140</v>
      </c>
    </row>
    <row r="34" spans="1:5" x14ac:dyDescent="0.25">
      <c r="A34" t="s">
        <v>141</v>
      </c>
    </row>
    <row r="35" spans="1:5" x14ac:dyDescent="0.25">
      <c r="A35" t="s">
        <v>142</v>
      </c>
    </row>
    <row r="37" spans="1:5" x14ac:dyDescent="0.25">
      <c r="A37" s="2" t="s">
        <v>47</v>
      </c>
      <c r="B37" s="7"/>
      <c r="C37" s="7"/>
      <c r="D37" s="7"/>
      <c r="E37" s="7"/>
    </row>
    <row r="38" spans="1:5" x14ac:dyDescent="0.25">
      <c r="A38">
        <f>5.51+0.23</f>
        <v>5.74</v>
      </c>
      <c r="B38" t="s">
        <v>143</v>
      </c>
    </row>
    <row r="39" spans="1:5" x14ac:dyDescent="0.25">
      <c r="A39" t="s">
        <v>752</v>
      </c>
    </row>
    <row r="43" spans="1:5" x14ac:dyDescent="0.25">
      <c r="A43" t="s">
        <v>147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023D5-0A27-4AB2-9B64-E153FAB9F726}">
  <dimension ref="A1:AJ54"/>
  <sheetViews>
    <sheetView workbookViewId="0">
      <selection activeCell="B1" sqref="B1"/>
    </sheetView>
  </sheetViews>
  <sheetFormatPr defaultRowHeight="15" x14ac:dyDescent="0.25"/>
  <cols>
    <col min="1" max="1" width="22.42578125" customWidth="1"/>
  </cols>
  <sheetData>
    <row r="1" spans="1:35" x14ac:dyDescent="0.25">
      <c r="A1" t="s">
        <v>631</v>
      </c>
    </row>
    <row r="2" spans="1:35" x14ac:dyDescent="0.25">
      <c r="A2" t="s">
        <v>944</v>
      </c>
    </row>
    <row r="3" spans="1:35" x14ac:dyDescent="0.25">
      <c r="A3" t="s">
        <v>943</v>
      </c>
    </row>
    <row r="4" spans="1:35" x14ac:dyDescent="0.25">
      <c r="A4" t="s">
        <v>480</v>
      </c>
    </row>
    <row r="5" spans="1:35" x14ac:dyDescent="0.25">
      <c r="B5" t="s">
        <v>481</v>
      </c>
      <c r="C5" t="s">
        <v>482</v>
      </c>
      <c r="D5" t="s">
        <v>483</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942</v>
      </c>
    </row>
    <row r="6" spans="1:35" x14ac:dyDescent="0.25">
      <c r="A6" t="s">
        <v>96</v>
      </c>
    </row>
    <row r="7" spans="1:35" x14ac:dyDescent="0.25">
      <c r="A7" t="s">
        <v>628</v>
      </c>
      <c r="B7" t="s">
        <v>941</v>
      </c>
      <c r="C7" t="s">
        <v>940</v>
      </c>
      <c r="D7" t="s">
        <v>107</v>
      </c>
      <c r="F7">
        <v>24.586991999999999</v>
      </c>
      <c r="G7">
        <v>25.571161</v>
      </c>
      <c r="H7">
        <v>26.285039999999999</v>
      </c>
      <c r="I7">
        <v>26.689157000000002</v>
      </c>
      <c r="J7">
        <v>27.061613000000001</v>
      </c>
      <c r="K7">
        <v>27.276854</v>
      </c>
      <c r="L7">
        <v>27.645002000000002</v>
      </c>
      <c r="M7">
        <v>27.607613000000001</v>
      </c>
      <c r="N7">
        <v>27.657637000000001</v>
      </c>
      <c r="O7">
        <v>27.504726000000002</v>
      </c>
      <c r="P7">
        <v>27.566185000000001</v>
      </c>
      <c r="Q7">
        <v>27.626515999999999</v>
      </c>
      <c r="R7">
        <v>27.525274</v>
      </c>
      <c r="S7">
        <v>27.454478999999999</v>
      </c>
      <c r="T7">
        <v>27.324805999999999</v>
      </c>
      <c r="U7">
        <v>27.286284999999999</v>
      </c>
      <c r="V7">
        <v>27.180133999999999</v>
      </c>
      <c r="W7">
        <v>27.06955</v>
      </c>
      <c r="X7">
        <v>26.857201</v>
      </c>
      <c r="Y7">
        <v>26.565493</v>
      </c>
      <c r="Z7">
        <v>26.618496</v>
      </c>
      <c r="AA7">
        <v>26.762219999999999</v>
      </c>
      <c r="AB7">
        <v>27.042204000000002</v>
      </c>
      <c r="AC7">
        <v>27.108968999999998</v>
      </c>
      <c r="AD7">
        <v>27.167717</v>
      </c>
      <c r="AE7">
        <v>26.948446000000001</v>
      </c>
      <c r="AF7">
        <v>27.031092000000001</v>
      </c>
      <c r="AG7">
        <v>27.320032000000001</v>
      </c>
      <c r="AH7">
        <v>27.390823000000001</v>
      </c>
      <c r="AI7" s="97">
        <v>4.0000000000000001E-3</v>
      </c>
    </row>
    <row r="8" spans="1:35" x14ac:dyDescent="0.25">
      <c r="A8" t="s">
        <v>625</v>
      </c>
      <c r="B8" t="s">
        <v>939</v>
      </c>
      <c r="C8" t="s">
        <v>938</v>
      </c>
      <c r="D8" t="s">
        <v>107</v>
      </c>
      <c r="F8">
        <v>7.7684930000000003</v>
      </c>
      <c r="G8">
        <v>8.1696559999999998</v>
      </c>
      <c r="H8">
        <v>8.3321199999999997</v>
      </c>
      <c r="I8">
        <v>8.3111510000000006</v>
      </c>
      <c r="J8">
        <v>8.4723849999999992</v>
      </c>
      <c r="K8">
        <v>8.3399160000000006</v>
      </c>
      <c r="L8">
        <v>8.2286289999999997</v>
      </c>
      <c r="M8">
        <v>8.1261060000000001</v>
      </c>
      <c r="N8">
        <v>8.0590299999999999</v>
      </c>
      <c r="O8">
        <v>8.0406610000000001</v>
      </c>
      <c r="P8">
        <v>8.1131670000000007</v>
      </c>
      <c r="Q8">
        <v>8.1678940000000004</v>
      </c>
      <c r="R8">
        <v>8.2807069999999996</v>
      </c>
      <c r="S8">
        <v>8.3397360000000003</v>
      </c>
      <c r="T8">
        <v>8.4637619999999991</v>
      </c>
      <c r="U8">
        <v>8.5171729999999997</v>
      </c>
      <c r="V8">
        <v>8.5180530000000001</v>
      </c>
      <c r="W8">
        <v>8.6456610000000005</v>
      </c>
      <c r="X8">
        <v>8.6326029999999996</v>
      </c>
      <c r="Y8">
        <v>8.6911459999999998</v>
      </c>
      <c r="Z8">
        <v>8.8430959999999992</v>
      </c>
      <c r="AA8">
        <v>8.9670079999999999</v>
      </c>
      <c r="AB8">
        <v>9.0321160000000003</v>
      </c>
      <c r="AC8">
        <v>9.0799719999999997</v>
      </c>
      <c r="AD8">
        <v>9.1438089999999992</v>
      </c>
      <c r="AE8">
        <v>9.1952099999999994</v>
      </c>
      <c r="AF8">
        <v>9.2360419999999994</v>
      </c>
      <c r="AG8">
        <v>9.2827359999999999</v>
      </c>
      <c r="AH8">
        <v>9.3104460000000007</v>
      </c>
      <c r="AI8" s="97">
        <v>6.0000000000000001E-3</v>
      </c>
    </row>
    <row r="9" spans="1:35" x14ac:dyDescent="0.25">
      <c r="A9" t="s">
        <v>622</v>
      </c>
      <c r="B9" t="s">
        <v>937</v>
      </c>
      <c r="C9" t="s">
        <v>936</v>
      </c>
      <c r="D9" t="s">
        <v>107</v>
      </c>
      <c r="F9">
        <v>37.814273999999997</v>
      </c>
      <c r="G9">
        <v>37.835822999999998</v>
      </c>
      <c r="H9">
        <v>36.882995999999999</v>
      </c>
      <c r="I9">
        <v>37.047317999999997</v>
      </c>
      <c r="J9">
        <v>37.522250999999997</v>
      </c>
      <c r="K9">
        <v>37.473185999999998</v>
      </c>
      <c r="L9">
        <v>37.786017999999999</v>
      </c>
      <c r="M9">
        <v>38.036835000000004</v>
      </c>
      <c r="N9">
        <v>38.406055000000002</v>
      </c>
      <c r="O9">
        <v>38.853167999999997</v>
      </c>
      <c r="P9">
        <v>39.378104999999998</v>
      </c>
      <c r="Q9">
        <v>39.977421</v>
      </c>
      <c r="R9">
        <v>40.490608000000002</v>
      </c>
      <c r="S9">
        <v>40.958793999999997</v>
      </c>
      <c r="T9">
        <v>41.332081000000002</v>
      </c>
      <c r="U9">
        <v>41.707431999999997</v>
      </c>
      <c r="V9">
        <v>41.989215999999999</v>
      </c>
      <c r="W9">
        <v>42.240600999999998</v>
      </c>
      <c r="X9">
        <v>42.383110000000002</v>
      </c>
      <c r="Y9">
        <v>42.506450999999998</v>
      </c>
      <c r="Z9">
        <v>42.687958000000002</v>
      </c>
      <c r="AA9">
        <v>42.804451</v>
      </c>
      <c r="AB9">
        <v>42.884608999999998</v>
      </c>
      <c r="AC9">
        <v>43.041491999999998</v>
      </c>
      <c r="AD9">
        <v>42.870251000000003</v>
      </c>
      <c r="AE9">
        <v>43.082157000000002</v>
      </c>
      <c r="AF9">
        <v>43.152934999999999</v>
      </c>
      <c r="AG9">
        <v>43.235588</v>
      </c>
      <c r="AH9">
        <v>43.621796000000003</v>
      </c>
      <c r="AI9" s="97">
        <v>5.0000000000000001E-3</v>
      </c>
    </row>
    <row r="10" spans="1:35" x14ac:dyDescent="0.25">
      <c r="A10" t="s">
        <v>517</v>
      </c>
      <c r="B10" t="s">
        <v>935</v>
      </c>
      <c r="C10" t="s">
        <v>934</v>
      </c>
      <c r="D10" t="s">
        <v>107</v>
      </c>
      <c r="F10">
        <v>11.789562999999999</v>
      </c>
      <c r="G10">
        <v>11.071955000000001</v>
      </c>
      <c r="H10">
        <v>12.067057</v>
      </c>
      <c r="I10">
        <v>11.332017</v>
      </c>
      <c r="J10">
        <v>10.370732</v>
      </c>
      <c r="K10">
        <v>9.3035239999999995</v>
      </c>
      <c r="L10">
        <v>8.3554209999999998</v>
      </c>
      <c r="M10">
        <v>7.4639850000000001</v>
      </c>
      <c r="N10">
        <v>7.0948640000000003</v>
      </c>
      <c r="O10">
        <v>7.0633650000000001</v>
      </c>
      <c r="P10">
        <v>7.1134110000000002</v>
      </c>
      <c r="Q10">
        <v>7.082268</v>
      </c>
      <c r="R10">
        <v>7.0169699999999997</v>
      </c>
      <c r="S10">
        <v>7.0687850000000001</v>
      </c>
      <c r="T10">
        <v>6.9859330000000002</v>
      </c>
      <c r="U10">
        <v>6.8019679999999996</v>
      </c>
      <c r="V10">
        <v>6.6920120000000001</v>
      </c>
      <c r="W10">
        <v>6.5331130000000002</v>
      </c>
      <c r="X10">
        <v>6.4377589999999998</v>
      </c>
      <c r="Y10">
        <v>6.4426389999999998</v>
      </c>
      <c r="Z10">
        <v>6.4541219999999999</v>
      </c>
      <c r="AA10">
        <v>6.3639700000000001</v>
      </c>
      <c r="AB10">
        <v>6.2625320000000002</v>
      </c>
      <c r="AC10">
        <v>6.1887549999999996</v>
      </c>
      <c r="AD10">
        <v>6.1198709999999998</v>
      </c>
      <c r="AE10">
        <v>6.0876130000000002</v>
      </c>
      <c r="AF10">
        <v>6.0698829999999999</v>
      </c>
      <c r="AG10">
        <v>6.0320450000000001</v>
      </c>
      <c r="AH10">
        <v>5.9455960000000001</v>
      </c>
      <c r="AI10" s="97">
        <v>-2.4E-2</v>
      </c>
    </row>
    <row r="11" spans="1:35" x14ac:dyDescent="0.25">
      <c r="A11" t="s">
        <v>578</v>
      </c>
      <c r="B11" t="s">
        <v>933</v>
      </c>
      <c r="C11" t="s">
        <v>932</v>
      </c>
      <c r="D11" t="s">
        <v>107</v>
      </c>
      <c r="F11">
        <v>8.0646540000000009</v>
      </c>
      <c r="G11">
        <v>8.1872109999999996</v>
      </c>
      <c r="H11">
        <v>8.2466290000000004</v>
      </c>
      <c r="I11">
        <v>8.1719659999999994</v>
      </c>
      <c r="J11">
        <v>8.0928570000000004</v>
      </c>
      <c r="K11">
        <v>8.0927190000000007</v>
      </c>
      <c r="L11">
        <v>7.9974689999999997</v>
      </c>
      <c r="M11">
        <v>7.9973400000000003</v>
      </c>
      <c r="N11">
        <v>7.9187440000000002</v>
      </c>
      <c r="O11">
        <v>7.9187969999999996</v>
      </c>
      <c r="P11">
        <v>7.9188850000000004</v>
      </c>
      <c r="Q11">
        <v>7.47281</v>
      </c>
      <c r="R11">
        <v>7.4032179999999999</v>
      </c>
      <c r="S11">
        <v>7.3139329999999996</v>
      </c>
      <c r="T11">
        <v>7.1458170000000001</v>
      </c>
      <c r="U11">
        <v>7.0316359999999998</v>
      </c>
      <c r="V11">
        <v>6.8371979999999999</v>
      </c>
      <c r="W11">
        <v>6.734248</v>
      </c>
      <c r="X11">
        <v>6.5336410000000003</v>
      </c>
      <c r="Y11">
        <v>6.5354080000000003</v>
      </c>
      <c r="Z11">
        <v>6.5385289999999996</v>
      </c>
      <c r="AA11">
        <v>6.5412020000000002</v>
      </c>
      <c r="AB11">
        <v>6.5441659999999997</v>
      </c>
      <c r="AC11">
        <v>6.5441919999999998</v>
      </c>
      <c r="AD11">
        <v>6.5416629999999998</v>
      </c>
      <c r="AE11">
        <v>6.5396289999999997</v>
      </c>
      <c r="AF11">
        <v>6.5306360000000003</v>
      </c>
      <c r="AG11">
        <v>6.5318709999999998</v>
      </c>
      <c r="AH11">
        <v>6.5277070000000004</v>
      </c>
      <c r="AI11" s="97">
        <v>-8.0000000000000002E-3</v>
      </c>
    </row>
    <row r="12" spans="1:35" x14ac:dyDescent="0.25">
      <c r="A12" t="s">
        <v>575</v>
      </c>
      <c r="B12" t="s">
        <v>931</v>
      </c>
      <c r="C12" t="s">
        <v>930</v>
      </c>
      <c r="D12" t="s">
        <v>107</v>
      </c>
      <c r="F12">
        <v>2.4534539999999998</v>
      </c>
      <c r="G12">
        <v>2.4584619999999999</v>
      </c>
      <c r="H12">
        <v>2.5025629999999999</v>
      </c>
      <c r="I12">
        <v>2.5886840000000002</v>
      </c>
      <c r="J12">
        <v>2.579723</v>
      </c>
      <c r="K12">
        <v>2.556826</v>
      </c>
      <c r="L12">
        <v>2.5153810000000001</v>
      </c>
      <c r="M12">
        <v>2.4861960000000001</v>
      </c>
      <c r="N12">
        <v>2.4574240000000001</v>
      </c>
      <c r="O12">
        <v>2.4364599999999998</v>
      </c>
      <c r="P12">
        <v>2.4196759999999999</v>
      </c>
      <c r="Q12">
        <v>2.4223810000000001</v>
      </c>
      <c r="R12">
        <v>2.4264060000000001</v>
      </c>
      <c r="S12">
        <v>2.4299979999999999</v>
      </c>
      <c r="T12">
        <v>2.4353150000000001</v>
      </c>
      <c r="U12">
        <v>2.4235120000000001</v>
      </c>
      <c r="V12">
        <v>2.4101499999999998</v>
      </c>
      <c r="W12">
        <v>2.3862079999999999</v>
      </c>
      <c r="X12">
        <v>2.381421</v>
      </c>
      <c r="Y12">
        <v>2.3661409999999998</v>
      </c>
      <c r="Z12">
        <v>2.3694090000000001</v>
      </c>
      <c r="AA12">
        <v>2.3626369999999999</v>
      </c>
      <c r="AB12">
        <v>2.357599</v>
      </c>
      <c r="AC12">
        <v>2.3544640000000001</v>
      </c>
      <c r="AD12">
        <v>2.343242</v>
      </c>
      <c r="AE12">
        <v>2.336414</v>
      </c>
      <c r="AF12">
        <v>2.3340749999999999</v>
      </c>
      <c r="AG12">
        <v>2.3209420000000001</v>
      </c>
      <c r="AH12">
        <v>2.309024</v>
      </c>
      <c r="AI12" s="97">
        <v>-2E-3</v>
      </c>
    </row>
    <row r="13" spans="1:35" x14ac:dyDescent="0.25">
      <c r="A13" t="s">
        <v>572</v>
      </c>
      <c r="B13" t="s">
        <v>929</v>
      </c>
      <c r="C13" t="s">
        <v>928</v>
      </c>
      <c r="D13" t="s">
        <v>107</v>
      </c>
      <c r="F13">
        <v>4.8388049999999998</v>
      </c>
      <c r="G13">
        <v>5.0327409999999997</v>
      </c>
      <c r="H13">
        <v>4.9642150000000003</v>
      </c>
      <c r="I13">
        <v>4.9121420000000002</v>
      </c>
      <c r="J13">
        <v>4.8860520000000003</v>
      </c>
      <c r="K13">
        <v>4.8757210000000004</v>
      </c>
      <c r="L13">
        <v>4.7697370000000001</v>
      </c>
      <c r="M13">
        <v>4.7670009999999996</v>
      </c>
      <c r="N13">
        <v>4.7650350000000001</v>
      </c>
      <c r="O13">
        <v>4.7679150000000003</v>
      </c>
      <c r="P13">
        <v>4.7730139999999999</v>
      </c>
      <c r="Q13">
        <v>4.7829480000000002</v>
      </c>
      <c r="R13">
        <v>4.7930339999999996</v>
      </c>
      <c r="S13">
        <v>4.8174720000000004</v>
      </c>
      <c r="T13">
        <v>4.8185589999999996</v>
      </c>
      <c r="U13">
        <v>4.8266150000000003</v>
      </c>
      <c r="V13">
        <v>4.8344180000000003</v>
      </c>
      <c r="W13">
        <v>4.8440789999999998</v>
      </c>
      <c r="X13">
        <v>4.8579749999999997</v>
      </c>
      <c r="Y13">
        <v>4.8927779999999998</v>
      </c>
      <c r="Z13">
        <v>4.909179</v>
      </c>
      <c r="AA13">
        <v>4.9259300000000001</v>
      </c>
      <c r="AB13">
        <v>4.9240259999999996</v>
      </c>
      <c r="AC13">
        <v>4.9320199999999996</v>
      </c>
      <c r="AD13">
        <v>4.970815</v>
      </c>
      <c r="AE13">
        <v>5.0192649999999999</v>
      </c>
      <c r="AF13">
        <v>5.1055200000000003</v>
      </c>
      <c r="AG13">
        <v>5.1544549999999996</v>
      </c>
      <c r="AH13">
        <v>5.1889159999999999</v>
      </c>
      <c r="AI13" s="97">
        <v>2E-3</v>
      </c>
    </row>
    <row r="14" spans="1:35" x14ac:dyDescent="0.25">
      <c r="A14" t="s">
        <v>569</v>
      </c>
      <c r="B14" t="s">
        <v>927</v>
      </c>
      <c r="C14" t="s">
        <v>926</v>
      </c>
      <c r="D14" t="s">
        <v>107</v>
      </c>
      <c r="F14">
        <v>5.6228480000000003</v>
      </c>
      <c r="G14">
        <v>6.1255499999999996</v>
      </c>
      <c r="H14">
        <v>6.742159</v>
      </c>
      <c r="I14">
        <v>8.1732440000000004</v>
      </c>
      <c r="J14">
        <v>9.9076740000000001</v>
      </c>
      <c r="K14">
        <v>11.653165</v>
      </c>
      <c r="L14">
        <v>13.154488000000001</v>
      </c>
      <c r="M14">
        <v>14.209771999999999</v>
      </c>
      <c r="N14">
        <v>15.128234000000001</v>
      </c>
      <c r="O14">
        <v>15.78889</v>
      </c>
      <c r="P14">
        <v>16.442295000000001</v>
      </c>
      <c r="Q14">
        <v>17.189572999999999</v>
      </c>
      <c r="R14">
        <v>17.791294000000001</v>
      </c>
      <c r="S14">
        <v>18.262888</v>
      </c>
      <c r="T14">
        <v>18.746867999999999</v>
      </c>
      <c r="U14">
        <v>19.110621999999999</v>
      </c>
      <c r="V14">
        <v>19.414563999999999</v>
      </c>
      <c r="W14">
        <v>19.609310000000001</v>
      </c>
      <c r="X14">
        <v>19.90523</v>
      </c>
      <c r="Y14">
        <v>20.063116000000001</v>
      </c>
      <c r="Z14">
        <v>20.302187</v>
      </c>
      <c r="AA14">
        <v>20.584305000000001</v>
      </c>
      <c r="AB14">
        <v>20.993839000000001</v>
      </c>
      <c r="AC14">
        <v>21.370591999999998</v>
      </c>
      <c r="AD14">
        <v>21.805226999999999</v>
      </c>
      <c r="AE14">
        <v>22.17202</v>
      </c>
      <c r="AF14">
        <v>22.539532000000001</v>
      </c>
      <c r="AG14">
        <v>22.840260000000001</v>
      </c>
      <c r="AH14">
        <v>23.283978999999999</v>
      </c>
      <c r="AI14" s="97">
        <v>5.1999999999999998E-2</v>
      </c>
    </row>
    <row r="15" spans="1:35" x14ac:dyDescent="0.25">
      <c r="A15" t="s">
        <v>566</v>
      </c>
      <c r="B15" t="s">
        <v>925</v>
      </c>
      <c r="C15" t="s">
        <v>924</v>
      </c>
      <c r="D15" t="s">
        <v>107</v>
      </c>
      <c r="F15">
        <v>1.8251299999999999</v>
      </c>
      <c r="G15">
        <v>1.2340370000000001</v>
      </c>
      <c r="H15">
        <v>0.92866899999999997</v>
      </c>
      <c r="I15">
        <v>0.80385700000000004</v>
      </c>
      <c r="J15">
        <v>0.90989799999999998</v>
      </c>
      <c r="K15">
        <v>0.90237000000000001</v>
      </c>
      <c r="L15">
        <v>0.84100299999999995</v>
      </c>
      <c r="M15">
        <v>0.82840100000000005</v>
      </c>
      <c r="N15">
        <v>0.83663500000000002</v>
      </c>
      <c r="O15">
        <v>0.83752599999999999</v>
      </c>
      <c r="P15">
        <v>0.71289000000000002</v>
      </c>
      <c r="Q15">
        <v>0.708538</v>
      </c>
      <c r="R15">
        <v>0.71509</v>
      </c>
      <c r="S15">
        <v>0.70965400000000001</v>
      </c>
      <c r="T15">
        <v>0.706237</v>
      </c>
      <c r="U15">
        <v>0.70395200000000002</v>
      </c>
      <c r="V15">
        <v>0.70483799999999996</v>
      </c>
      <c r="W15">
        <v>0.704036</v>
      </c>
      <c r="X15">
        <v>0.700627</v>
      </c>
      <c r="Y15">
        <v>0.70272699999999999</v>
      </c>
      <c r="Z15">
        <v>0.70044499999999998</v>
      </c>
      <c r="AA15">
        <v>0.69992600000000005</v>
      </c>
      <c r="AB15">
        <v>0.70078099999999999</v>
      </c>
      <c r="AC15">
        <v>0.70064499999999996</v>
      </c>
      <c r="AD15">
        <v>0.67757400000000001</v>
      </c>
      <c r="AE15">
        <v>0.67462100000000003</v>
      </c>
      <c r="AF15">
        <v>0.67769199999999996</v>
      </c>
      <c r="AG15">
        <v>0.67827199999999999</v>
      </c>
      <c r="AH15">
        <v>0.67577299999999996</v>
      </c>
      <c r="AI15" s="97">
        <v>-3.5000000000000003E-2</v>
      </c>
    </row>
    <row r="16" spans="1:35" x14ac:dyDescent="0.25">
      <c r="A16" t="s">
        <v>516</v>
      </c>
      <c r="B16" t="s">
        <v>923</v>
      </c>
      <c r="C16" t="s">
        <v>922</v>
      </c>
      <c r="D16" t="s">
        <v>107</v>
      </c>
      <c r="F16">
        <v>104.764206</v>
      </c>
      <c r="G16">
        <v>105.6866</v>
      </c>
      <c r="H16">
        <v>106.951447</v>
      </c>
      <c r="I16">
        <v>108.029526</v>
      </c>
      <c r="J16">
        <v>109.803185</v>
      </c>
      <c r="K16">
        <v>110.474281</v>
      </c>
      <c r="L16">
        <v>111.29315200000001</v>
      </c>
      <c r="M16">
        <v>111.523239</v>
      </c>
      <c r="N16">
        <v>112.323662</v>
      </c>
      <c r="O16">
        <v>113.21151</v>
      </c>
      <c r="P16">
        <v>114.437622</v>
      </c>
      <c r="Q16">
        <v>115.430359</v>
      </c>
      <c r="R16">
        <v>116.44259599999999</v>
      </c>
      <c r="S16">
        <v>117.35573599999999</v>
      </c>
      <c r="T16">
        <v>117.95938099999999</v>
      </c>
      <c r="U16">
        <v>118.40920300000001</v>
      </c>
      <c r="V16">
        <v>118.580589</v>
      </c>
      <c r="W16">
        <v>118.766792</v>
      </c>
      <c r="X16">
        <v>118.68956</v>
      </c>
      <c r="Y16">
        <v>118.765907</v>
      </c>
      <c r="Z16">
        <v>119.423424</v>
      </c>
      <c r="AA16">
        <v>120.01164199999999</v>
      </c>
      <c r="AB16">
        <v>120.741867</v>
      </c>
      <c r="AC16">
        <v>121.32109800000001</v>
      </c>
      <c r="AD16">
        <v>121.640175</v>
      </c>
      <c r="AE16">
        <v>122.05538199999999</v>
      </c>
      <c r="AF16">
        <v>122.67742200000001</v>
      </c>
      <c r="AG16">
        <v>123.396187</v>
      </c>
      <c r="AH16">
        <v>124.25406599999999</v>
      </c>
      <c r="AI16" s="97">
        <v>6.0000000000000001E-3</v>
      </c>
    </row>
    <row r="17" spans="1:35" x14ac:dyDescent="0.25">
      <c r="A17" t="s">
        <v>22</v>
      </c>
    </row>
    <row r="18" spans="1:35" x14ac:dyDescent="0.25">
      <c r="A18" t="s">
        <v>30</v>
      </c>
      <c r="B18" t="s">
        <v>921</v>
      </c>
      <c r="C18" t="s">
        <v>920</v>
      </c>
      <c r="D18" t="s">
        <v>107</v>
      </c>
      <c r="F18">
        <v>13.824968</v>
      </c>
      <c r="G18">
        <v>14.777424999999999</v>
      </c>
      <c r="H18">
        <v>15.446031</v>
      </c>
      <c r="I18">
        <v>15.30518</v>
      </c>
      <c r="J18">
        <v>15.0045</v>
      </c>
      <c r="K18">
        <v>15.261106</v>
      </c>
      <c r="L18">
        <v>15.230433</v>
      </c>
      <c r="M18">
        <v>15.491680000000001</v>
      </c>
      <c r="N18">
        <v>15.589062999999999</v>
      </c>
      <c r="O18">
        <v>15.686406</v>
      </c>
      <c r="P18">
        <v>15.720078000000001</v>
      </c>
      <c r="Q18">
        <v>15.538974</v>
      </c>
      <c r="R18">
        <v>15.709466000000001</v>
      </c>
      <c r="S18">
        <v>15.851457</v>
      </c>
      <c r="T18">
        <v>15.843707</v>
      </c>
      <c r="U18">
        <v>15.807153</v>
      </c>
      <c r="V18">
        <v>15.874155999999999</v>
      </c>
      <c r="W18">
        <v>15.984639</v>
      </c>
      <c r="X18">
        <v>16.045517</v>
      </c>
      <c r="Y18">
        <v>16.390509000000002</v>
      </c>
      <c r="Z18">
        <v>16.327881000000001</v>
      </c>
      <c r="AA18">
        <v>16.155360999999999</v>
      </c>
      <c r="AB18">
        <v>15.890744</v>
      </c>
      <c r="AC18">
        <v>15.766374000000001</v>
      </c>
      <c r="AD18">
        <v>15.490686</v>
      </c>
      <c r="AE18">
        <v>15.523277999999999</v>
      </c>
      <c r="AF18">
        <v>15.392778</v>
      </c>
      <c r="AG18">
        <v>15.059613000000001</v>
      </c>
      <c r="AH18">
        <v>14.806977</v>
      </c>
      <c r="AI18" s="97">
        <v>2E-3</v>
      </c>
    </row>
    <row r="19" spans="1:35" x14ac:dyDescent="0.25">
      <c r="A19" t="s">
        <v>150</v>
      </c>
      <c r="B19" t="s">
        <v>919</v>
      </c>
      <c r="C19" t="s">
        <v>918</v>
      </c>
      <c r="D19" t="s">
        <v>107</v>
      </c>
      <c r="F19">
        <v>4.758858</v>
      </c>
      <c r="G19">
        <v>4.8393420000000003</v>
      </c>
      <c r="H19">
        <v>4.0300890000000003</v>
      </c>
      <c r="I19">
        <v>4.0340949999999998</v>
      </c>
      <c r="J19">
        <v>4.0358739999999997</v>
      </c>
      <c r="K19">
        <v>3.9928560000000002</v>
      </c>
      <c r="L19">
        <v>3.9138630000000001</v>
      </c>
      <c r="M19">
        <v>3.8377659999999998</v>
      </c>
      <c r="N19">
        <v>3.8044229999999999</v>
      </c>
      <c r="O19">
        <v>3.8062960000000001</v>
      </c>
      <c r="P19">
        <v>3.7409319999999999</v>
      </c>
      <c r="Q19">
        <v>3.7181160000000002</v>
      </c>
      <c r="R19">
        <v>3.6847699999999999</v>
      </c>
      <c r="S19">
        <v>3.6818710000000001</v>
      </c>
      <c r="T19">
        <v>3.6705369999999999</v>
      </c>
      <c r="U19">
        <v>3.6813039999999999</v>
      </c>
      <c r="V19">
        <v>3.6850719999999999</v>
      </c>
      <c r="W19">
        <v>3.6928719999999999</v>
      </c>
      <c r="X19">
        <v>3.7024089999999998</v>
      </c>
      <c r="Y19">
        <v>3.7233679999999998</v>
      </c>
      <c r="Z19">
        <v>3.7186750000000002</v>
      </c>
      <c r="AA19">
        <v>3.7253620000000001</v>
      </c>
      <c r="AB19">
        <v>3.7171259999999999</v>
      </c>
      <c r="AC19">
        <v>3.7475429999999998</v>
      </c>
      <c r="AD19">
        <v>3.7224379999999999</v>
      </c>
      <c r="AE19">
        <v>3.7441249999999999</v>
      </c>
      <c r="AF19">
        <v>3.8167680000000002</v>
      </c>
      <c r="AG19">
        <v>3.836668</v>
      </c>
      <c r="AH19">
        <v>3.7676440000000002</v>
      </c>
      <c r="AI19" s="97">
        <v>-8.0000000000000002E-3</v>
      </c>
    </row>
    <row r="20" spans="1:35" x14ac:dyDescent="0.25">
      <c r="A20" t="s">
        <v>518</v>
      </c>
      <c r="B20" t="s">
        <v>917</v>
      </c>
      <c r="C20" t="s">
        <v>916</v>
      </c>
      <c r="D20" t="s">
        <v>107</v>
      </c>
      <c r="F20">
        <v>2.981649</v>
      </c>
      <c r="G20">
        <v>2.8084820000000001</v>
      </c>
      <c r="H20">
        <v>2.4610690000000002</v>
      </c>
      <c r="I20">
        <v>2.35087</v>
      </c>
      <c r="J20">
        <v>2.2521100000000001</v>
      </c>
      <c r="K20">
        <v>2.1840480000000002</v>
      </c>
      <c r="L20">
        <v>2.0737390000000002</v>
      </c>
      <c r="M20">
        <v>2.0405530000000001</v>
      </c>
      <c r="N20">
        <v>2.0728650000000002</v>
      </c>
      <c r="O20">
        <v>2.0679400000000001</v>
      </c>
      <c r="P20">
        <v>2.1186799999999999</v>
      </c>
      <c r="Q20">
        <v>2.137902</v>
      </c>
      <c r="R20">
        <v>2.141702</v>
      </c>
      <c r="S20">
        <v>2.125696</v>
      </c>
      <c r="T20">
        <v>2.080384</v>
      </c>
      <c r="U20">
        <v>2.0793509999999999</v>
      </c>
      <c r="V20">
        <v>2.1369690000000001</v>
      </c>
      <c r="W20">
        <v>2.1100599999999998</v>
      </c>
      <c r="X20">
        <v>2.231398</v>
      </c>
      <c r="Y20">
        <v>2.2567810000000001</v>
      </c>
      <c r="Z20">
        <v>2.2697090000000002</v>
      </c>
      <c r="AA20">
        <v>2.3180019999999999</v>
      </c>
      <c r="AB20">
        <v>2.4019599999999999</v>
      </c>
      <c r="AC20">
        <v>2.477401</v>
      </c>
      <c r="AD20">
        <v>2.5080589999999998</v>
      </c>
      <c r="AE20">
        <v>2.53545</v>
      </c>
      <c r="AF20">
        <v>2.5825819999999999</v>
      </c>
      <c r="AG20">
        <v>2.5992690000000001</v>
      </c>
      <c r="AH20">
        <v>2.6272039999999999</v>
      </c>
      <c r="AI20" s="97">
        <v>-5.0000000000000001E-3</v>
      </c>
    </row>
    <row r="21" spans="1:35" x14ac:dyDescent="0.25">
      <c r="A21" t="s">
        <v>566</v>
      </c>
      <c r="B21" t="s">
        <v>915</v>
      </c>
      <c r="C21" t="s">
        <v>914</v>
      </c>
      <c r="D21" t="s">
        <v>107</v>
      </c>
      <c r="F21">
        <v>0.25367000000000001</v>
      </c>
      <c r="G21">
        <v>0.337121</v>
      </c>
      <c r="H21">
        <v>0.14549000000000001</v>
      </c>
      <c r="I21">
        <v>0.13084100000000001</v>
      </c>
      <c r="J21">
        <v>0.141319</v>
      </c>
      <c r="K21">
        <v>0.155275</v>
      </c>
      <c r="L21">
        <v>0.17730299999999999</v>
      </c>
      <c r="M21">
        <v>0.16914799999999999</v>
      </c>
      <c r="N21">
        <v>0.176284</v>
      </c>
      <c r="O21">
        <v>0.166932</v>
      </c>
      <c r="P21">
        <v>0.17031399999999999</v>
      </c>
      <c r="Q21">
        <v>0.16933599999999999</v>
      </c>
      <c r="R21">
        <v>0.17039799999999999</v>
      </c>
      <c r="S21">
        <v>0.16594200000000001</v>
      </c>
      <c r="T21">
        <v>0.16400500000000001</v>
      </c>
      <c r="U21">
        <v>0.163859</v>
      </c>
      <c r="V21">
        <v>0.167017</v>
      </c>
      <c r="W21">
        <v>0.16908000000000001</v>
      </c>
      <c r="X21">
        <v>0.17061399999999999</v>
      </c>
      <c r="Y21">
        <v>0.166044</v>
      </c>
      <c r="Z21">
        <v>0.16572100000000001</v>
      </c>
      <c r="AA21">
        <v>0.16325200000000001</v>
      </c>
      <c r="AB21">
        <v>0.161465</v>
      </c>
      <c r="AC21">
        <v>0.15851699999999999</v>
      </c>
      <c r="AD21">
        <v>0.155057</v>
      </c>
      <c r="AE21">
        <v>0.154695</v>
      </c>
      <c r="AF21">
        <v>0.15764900000000001</v>
      </c>
      <c r="AG21">
        <v>0.15917999999999999</v>
      </c>
      <c r="AH21">
        <v>0.15726100000000001</v>
      </c>
      <c r="AI21" s="97">
        <v>-1.7000000000000001E-2</v>
      </c>
    </row>
    <row r="22" spans="1:35" x14ac:dyDescent="0.25">
      <c r="A22" t="s">
        <v>516</v>
      </c>
      <c r="B22" t="s">
        <v>913</v>
      </c>
      <c r="C22" t="s">
        <v>912</v>
      </c>
      <c r="D22" t="s">
        <v>107</v>
      </c>
      <c r="F22">
        <v>21.819144999999999</v>
      </c>
      <c r="G22">
        <v>22.762371000000002</v>
      </c>
      <c r="H22">
        <v>22.08268</v>
      </c>
      <c r="I22">
        <v>21.820986000000001</v>
      </c>
      <c r="J22">
        <v>21.433803999999999</v>
      </c>
      <c r="K22">
        <v>21.593285000000002</v>
      </c>
      <c r="L22">
        <v>21.395336</v>
      </c>
      <c r="M22">
        <v>21.539145999999999</v>
      </c>
      <c r="N22">
        <v>21.642633</v>
      </c>
      <c r="O22">
        <v>21.727573</v>
      </c>
      <c r="P22">
        <v>21.750001999999999</v>
      </c>
      <c r="Q22">
        <v>21.564329000000001</v>
      </c>
      <c r="R22">
        <v>21.706337000000001</v>
      </c>
      <c r="S22">
        <v>21.824964999999999</v>
      </c>
      <c r="T22">
        <v>21.758633</v>
      </c>
      <c r="U22">
        <v>21.731667000000002</v>
      </c>
      <c r="V22">
        <v>21.863212999999998</v>
      </c>
      <c r="W22">
        <v>21.956651999999998</v>
      </c>
      <c r="X22">
        <v>22.149939</v>
      </c>
      <c r="Y22">
        <v>22.536701000000001</v>
      </c>
      <c r="Z22">
        <v>22.481985000000002</v>
      </c>
      <c r="AA22">
        <v>22.361977</v>
      </c>
      <c r="AB22">
        <v>22.171295000000001</v>
      </c>
      <c r="AC22">
        <v>22.149836000000001</v>
      </c>
      <c r="AD22">
        <v>21.876242000000001</v>
      </c>
      <c r="AE22">
        <v>21.957547999999999</v>
      </c>
      <c r="AF22">
        <v>21.949777999999998</v>
      </c>
      <c r="AG22">
        <v>21.654731999999999</v>
      </c>
      <c r="AH22">
        <v>21.359085</v>
      </c>
      <c r="AI22" s="97">
        <v>-1E-3</v>
      </c>
    </row>
    <row r="23" spans="1:35" x14ac:dyDescent="0.25">
      <c r="A23" t="s">
        <v>27</v>
      </c>
    </row>
    <row r="24" spans="1:35" x14ac:dyDescent="0.25">
      <c r="A24" t="s">
        <v>150</v>
      </c>
      <c r="B24" t="s">
        <v>911</v>
      </c>
      <c r="C24" t="s">
        <v>910</v>
      </c>
      <c r="D24" t="s">
        <v>107</v>
      </c>
      <c r="F24">
        <v>18.536159999999999</v>
      </c>
      <c r="G24">
        <v>19.040469999999999</v>
      </c>
      <c r="H24">
        <v>20.328047000000002</v>
      </c>
      <c r="I24">
        <v>20.579879999999999</v>
      </c>
      <c r="J24">
        <v>21.071783</v>
      </c>
      <c r="K24">
        <v>21.489708</v>
      </c>
      <c r="L24">
        <v>21.636562000000001</v>
      </c>
      <c r="M24">
        <v>21.880472000000001</v>
      </c>
      <c r="N24">
        <v>22.202881000000001</v>
      </c>
      <c r="O24">
        <v>22.327625000000001</v>
      </c>
      <c r="P24">
        <v>22.464676000000001</v>
      </c>
      <c r="Q24">
        <v>22.515352</v>
      </c>
      <c r="R24">
        <v>22.756022999999999</v>
      </c>
      <c r="S24">
        <v>22.978777000000001</v>
      </c>
      <c r="T24">
        <v>23.076605000000001</v>
      </c>
      <c r="U24">
        <v>23.112068000000001</v>
      </c>
      <c r="V24">
        <v>23.121672</v>
      </c>
      <c r="W24">
        <v>23.267797000000002</v>
      </c>
      <c r="X24">
        <v>23.053844000000002</v>
      </c>
      <c r="Y24">
        <v>23.139195999999998</v>
      </c>
      <c r="Z24">
        <v>23.210156999999999</v>
      </c>
      <c r="AA24">
        <v>23.236941999999999</v>
      </c>
      <c r="AB24">
        <v>23.218385999999999</v>
      </c>
      <c r="AC24">
        <v>23.136253</v>
      </c>
      <c r="AD24">
        <v>22.799206000000002</v>
      </c>
      <c r="AE24">
        <v>22.530909999999999</v>
      </c>
      <c r="AF24">
        <v>22.513947999999999</v>
      </c>
      <c r="AG24">
        <v>22.402639000000001</v>
      </c>
      <c r="AH24">
        <v>21.931286</v>
      </c>
      <c r="AI24" s="97">
        <v>6.0000000000000001E-3</v>
      </c>
    </row>
    <row r="25" spans="1:35" x14ac:dyDescent="0.25">
      <c r="A25" t="s">
        <v>518</v>
      </c>
      <c r="B25" t="s">
        <v>909</v>
      </c>
      <c r="C25" t="s">
        <v>908</v>
      </c>
      <c r="D25" t="s">
        <v>107</v>
      </c>
      <c r="F25">
        <v>7.1570140000000002</v>
      </c>
      <c r="G25">
        <v>7.945881</v>
      </c>
      <c r="H25">
        <v>7.9438149999999998</v>
      </c>
      <c r="I25">
        <v>8.3370300000000004</v>
      </c>
      <c r="J25">
        <v>8.8427430000000005</v>
      </c>
      <c r="K25">
        <v>9.2638459999999991</v>
      </c>
      <c r="L25">
        <v>9.6647580000000008</v>
      </c>
      <c r="M25">
        <v>10.022475999999999</v>
      </c>
      <c r="N25">
        <v>10.671082</v>
      </c>
      <c r="O25">
        <v>11.372363</v>
      </c>
      <c r="P25">
        <v>12.069704</v>
      </c>
      <c r="Q25">
        <v>12.747916999999999</v>
      </c>
      <c r="R25">
        <v>13.325286999999999</v>
      </c>
      <c r="S25">
        <v>13.720262999999999</v>
      </c>
      <c r="T25">
        <v>13.973807000000001</v>
      </c>
      <c r="U25">
        <v>14.186524</v>
      </c>
      <c r="V25">
        <v>14.301539</v>
      </c>
      <c r="W25">
        <v>14.335634000000001</v>
      </c>
      <c r="X25">
        <v>14.360343</v>
      </c>
      <c r="Y25">
        <v>14.349729</v>
      </c>
      <c r="Z25">
        <v>14.358644</v>
      </c>
      <c r="AA25">
        <v>14.365799000000001</v>
      </c>
      <c r="AB25">
        <v>14.408306</v>
      </c>
      <c r="AC25">
        <v>14.392715000000001</v>
      </c>
      <c r="AD25">
        <v>14.375298000000001</v>
      </c>
      <c r="AE25">
        <v>14.355017999999999</v>
      </c>
      <c r="AF25">
        <v>14.358720999999999</v>
      </c>
      <c r="AG25">
        <v>14.323404</v>
      </c>
      <c r="AH25">
        <v>14.304577</v>
      </c>
      <c r="AI25" s="97">
        <v>2.5000000000000001E-2</v>
      </c>
    </row>
    <row r="26" spans="1:35" x14ac:dyDescent="0.25">
      <c r="A26" t="s">
        <v>517</v>
      </c>
      <c r="B26" t="s">
        <v>907</v>
      </c>
      <c r="C26" t="s">
        <v>906</v>
      </c>
      <c r="D26" t="s">
        <v>107</v>
      </c>
      <c r="F26">
        <v>2.1545730000000001</v>
      </c>
      <c r="G26">
        <v>2.1435559999999998</v>
      </c>
      <c r="H26">
        <v>2.7799659999999999</v>
      </c>
      <c r="I26">
        <v>2.7159759999999999</v>
      </c>
      <c r="J26">
        <v>2.8481350000000001</v>
      </c>
      <c r="K26">
        <v>2.8107069999999998</v>
      </c>
      <c r="L26">
        <v>2.8227359999999999</v>
      </c>
      <c r="M26">
        <v>2.8087870000000001</v>
      </c>
      <c r="N26">
        <v>2.8101069999999999</v>
      </c>
      <c r="O26">
        <v>2.838428</v>
      </c>
      <c r="P26">
        <v>2.8912900000000001</v>
      </c>
      <c r="Q26">
        <v>2.8190089999999999</v>
      </c>
      <c r="R26">
        <v>2.7945600000000002</v>
      </c>
      <c r="S26">
        <v>2.8213910000000002</v>
      </c>
      <c r="T26">
        <v>2.7845870000000001</v>
      </c>
      <c r="U26">
        <v>2.726998</v>
      </c>
      <c r="V26">
        <v>2.7707769999999998</v>
      </c>
      <c r="W26">
        <v>2.712615</v>
      </c>
      <c r="X26">
        <v>2.7229890000000001</v>
      </c>
      <c r="Y26">
        <v>2.7082160000000002</v>
      </c>
      <c r="Z26">
        <v>2.723382</v>
      </c>
      <c r="AA26">
        <v>2.6906240000000001</v>
      </c>
      <c r="AB26">
        <v>2.6948310000000002</v>
      </c>
      <c r="AC26">
        <v>2.703859</v>
      </c>
      <c r="AD26">
        <v>2.6886749999999999</v>
      </c>
      <c r="AE26">
        <v>2.682404</v>
      </c>
      <c r="AF26">
        <v>2.7056499999999999</v>
      </c>
      <c r="AG26">
        <v>2.707865</v>
      </c>
      <c r="AH26">
        <v>2.7239949999999999</v>
      </c>
      <c r="AI26" s="97">
        <v>8.0000000000000002E-3</v>
      </c>
    </row>
    <row r="27" spans="1:35" x14ac:dyDescent="0.25">
      <c r="A27" t="s">
        <v>516</v>
      </c>
      <c r="B27" t="s">
        <v>905</v>
      </c>
      <c r="C27" t="s">
        <v>904</v>
      </c>
      <c r="D27" t="s">
        <v>107</v>
      </c>
      <c r="F27">
        <v>27.847746000000001</v>
      </c>
      <c r="G27">
        <v>29.129908</v>
      </c>
      <c r="H27">
        <v>31.051828</v>
      </c>
      <c r="I27">
        <v>31.632887</v>
      </c>
      <c r="J27">
        <v>32.762661000000001</v>
      </c>
      <c r="K27">
        <v>33.564261999999999</v>
      </c>
      <c r="L27">
        <v>34.124054000000001</v>
      </c>
      <c r="M27">
        <v>34.711734999999997</v>
      </c>
      <c r="N27">
        <v>35.684071000000003</v>
      </c>
      <c r="O27">
        <v>36.538418</v>
      </c>
      <c r="P27">
        <v>37.425666999999997</v>
      </c>
      <c r="Q27">
        <v>38.082275000000003</v>
      </c>
      <c r="R27">
        <v>38.875869999999999</v>
      </c>
      <c r="S27">
        <v>39.520432</v>
      </c>
      <c r="T27">
        <v>39.834999000000003</v>
      </c>
      <c r="U27">
        <v>40.025588999999997</v>
      </c>
      <c r="V27">
        <v>40.193984999999998</v>
      </c>
      <c r="W27">
        <v>40.316048000000002</v>
      </c>
      <c r="X27">
        <v>40.137177000000001</v>
      </c>
      <c r="Y27">
        <v>40.197144000000002</v>
      </c>
      <c r="Z27">
        <v>40.292183000000001</v>
      </c>
      <c r="AA27">
        <v>40.293365000000001</v>
      </c>
      <c r="AB27">
        <v>40.321525999999999</v>
      </c>
      <c r="AC27">
        <v>40.232826000000003</v>
      </c>
      <c r="AD27">
        <v>39.863177999999998</v>
      </c>
      <c r="AE27">
        <v>39.568333000000003</v>
      </c>
      <c r="AF27">
        <v>39.578319999999998</v>
      </c>
      <c r="AG27">
        <v>39.433909999999997</v>
      </c>
      <c r="AH27">
        <v>38.959857999999997</v>
      </c>
      <c r="AI27" s="97">
        <v>1.2E-2</v>
      </c>
    </row>
    <row r="28" spans="1:35" x14ac:dyDescent="0.25">
      <c r="A28" t="s">
        <v>587</v>
      </c>
      <c r="B28" t="s">
        <v>903</v>
      </c>
      <c r="C28" t="s">
        <v>902</v>
      </c>
      <c r="D28" t="s">
        <v>107</v>
      </c>
      <c r="F28">
        <v>-0.45786100000000002</v>
      </c>
      <c r="G28">
        <v>0.97528999999999999</v>
      </c>
      <c r="H28">
        <v>0.42364299999999999</v>
      </c>
      <c r="I28">
        <v>0.46440300000000001</v>
      </c>
      <c r="J28">
        <v>0.459312</v>
      </c>
      <c r="K28">
        <v>0.42448399999999997</v>
      </c>
      <c r="L28">
        <v>0.43044700000000002</v>
      </c>
      <c r="M28">
        <v>0.29497099999999998</v>
      </c>
      <c r="N28">
        <v>0.32553500000000002</v>
      </c>
      <c r="O28">
        <v>0.40085599999999999</v>
      </c>
      <c r="P28">
        <v>0.44950899999999999</v>
      </c>
      <c r="Q28">
        <v>0.44732699999999997</v>
      </c>
      <c r="R28">
        <v>0.45370500000000002</v>
      </c>
      <c r="S28">
        <v>0.53214300000000003</v>
      </c>
      <c r="T28">
        <v>0.48624000000000001</v>
      </c>
      <c r="U28">
        <v>0.46405000000000002</v>
      </c>
      <c r="V28">
        <v>0.455482</v>
      </c>
      <c r="W28">
        <v>0.45082899999999998</v>
      </c>
      <c r="X28">
        <v>0.45003500000000002</v>
      </c>
      <c r="Y28">
        <v>0.45556999999999997</v>
      </c>
      <c r="Z28">
        <v>0.44808999999999999</v>
      </c>
      <c r="AA28">
        <v>0.43851499999999999</v>
      </c>
      <c r="AB28">
        <v>0.440971</v>
      </c>
      <c r="AC28">
        <v>0.54706600000000005</v>
      </c>
      <c r="AD28">
        <v>0.47692499999999999</v>
      </c>
      <c r="AE28">
        <v>0.61267499999999997</v>
      </c>
      <c r="AF28">
        <v>0.56340400000000002</v>
      </c>
      <c r="AG28">
        <v>0.51369900000000002</v>
      </c>
      <c r="AH28">
        <v>0.713924</v>
      </c>
      <c r="AI28" t="s">
        <v>97</v>
      </c>
    </row>
    <row r="29" spans="1:35" x14ac:dyDescent="0.25">
      <c r="A29" t="s">
        <v>98</v>
      </c>
    </row>
    <row r="30" spans="1:35" x14ac:dyDescent="0.25">
      <c r="A30" t="s">
        <v>150</v>
      </c>
      <c r="B30" t="s">
        <v>901</v>
      </c>
      <c r="C30" t="s">
        <v>900</v>
      </c>
      <c r="D30" t="s">
        <v>107</v>
      </c>
      <c r="F30">
        <v>36.816775999999997</v>
      </c>
      <c r="G30">
        <v>36.981636000000002</v>
      </c>
      <c r="H30">
        <v>36.540515999999997</v>
      </c>
      <c r="I30">
        <v>36.382579999999997</v>
      </c>
      <c r="J30">
        <v>36.236435</v>
      </c>
      <c r="K30">
        <v>36.093871999999998</v>
      </c>
      <c r="L30">
        <v>35.925086999999998</v>
      </c>
      <c r="M30">
        <v>35.71246</v>
      </c>
      <c r="N30">
        <v>35.460438000000003</v>
      </c>
      <c r="O30">
        <v>35.244152</v>
      </c>
      <c r="P30">
        <v>35.085304000000001</v>
      </c>
      <c r="Q30">
        <v>34.948363999999998</v>
      </c>
      <c r="R30">
        <v>34.868290000000002</v>
      </c>
      <c r="S30">
        <v>34.774864000000001</v>
      </c>
      <c r="T30">
        <v>34.660747999999998</v>
      </c>
      <c r="U30">
        <v>34.614303999999997</v>
      </c>
      <c r="V30">
        <v>34.581386999999999</v>
      </c>
      <c r="W30">
        <v>34.574551</v>
      </c>
      <c r="X30">
        <v>34.635840999999999</v>
      </c>
      <c r="Y30">
        <v>34.700854999999997</v>
      </c>
      <c r="Z30">
        <v>34.772815999999999</v>
      </c>
      <c r="AA30">
        <v>34.843960000000003</v>
      </c>
      <c r="AB30">
        <v>34.938003999999999</v>
      </c>
      <c r="AC30">
        <v>35.050570999999998</v>
      </c>
      <c r="AD30">
        <v>35.202903999999997</v>
      </c>
      <c r="AE30">
        <v>35.394215000000003</v>
      </c>
      <c r="AF30">
        <v>35.548606999999997</v>
      </c>
      <c r="AG30">
        <v>35.727843999999997</v>
      </c>
      <c r="AH30">
        <v>35.995078999999997</v>
      </c>
      <c r="AI30" s="97">
        <v>-1E-3</v>
      </c>
    </row>
    <row r="31" spans="1:35" x14ac:dyDescent="0.25">
      <c r="A31" t="s">
        <v>518</v>
      </c>
      <c r="B31" t="s">
        <v>899</v>
      </c>
      <c r="C31" t="s">
        <v>898</v>
      </c>
      <c r="D31" t="s">
        <v>107</v>
      </c>
      <c r="F31">
        <v>33.183849000000002</v>
      </c>
      <c r="G31">
        <v>31.975372</v>
      </c>
      <c r="H31">
        <v>30.744192000000002</v>
      </c>
      <c r="I31">
        <v>30.454858999999999</v>
      </c>
      <c r="J31">
        <v>30.362862</v>
      </c>
      <c r="K31">
        <v>29.860353</v>
      </c>
      <c r="L31">
        <v>29.690902999999999</v>
      </c>
      <c r="M31">
        <v>29.540801999999999</v>
      </c>
      <c r="N31">
        <v>29.285072</v>
      </c>
      <c r="O31">
        <v>29.002974999999999</v>
      </c>
      <c r="P31">
        <v>28.867509999999999</v>
      </c>
      <c r="Q31">
        <v>28.778568</v>
      </c>
      <c r="R31">
        <v>28.707445</v>
      </c>
      <c r="S31">
        <v>28.712893000000001</v>
      </c>
      <c r="T31">
        <v>28.819685</v>
      </c>
      <c r="U31">
        <v>28.978542000000001</v>
      </c>
      <c r="V31">
        <v>29.210225999999999</v>
      </c>
      <c r="W31">
        <v>29.397072000000001</v>
      </c>
      <c r="X31">
        <v>29.632147</v>
      </c>
      <c r="Y31">
        <v>29.788446</v>
      </c>
      <c r="Z31">
        <v>29.983868000000001</v>
      </c>
      <c r="AA31">
        <v>30.153929000000002</v>
      </c>
      <c r="AB31">
        <v>30.279633</v>
      </c>
      <c r="AC31">
        <v>30.429348000000001</v>
      </c>
      <c r="AD31">
        <v>30.410451999999999</v>
      </c>
      <c r="AE31">
        <v>30.539183000000001</v>
      </c>
      <c r="AF31">
        <v>30.747510999999999</v>
      </c>
      <c r="AG31">
        <v>30.902692999999999</v>
      </c>
      <c r="AH31">
        <v>31.130542999999999</v>
      </c>
      <c r="AI31" s="97">
        <v>-2E-3</v>
      </c>
    </row>
    <row r="32" spans="1:35" x14ac:dyDescent="0.25">
      <c r="A32" t="s">
        <v>517</v>
      </c>
      <c r="B32" t="s">
        <v>897</v>
      </c>
      <c r="C32" t="s">
        <v>896</v>
      </c>
      <c r="D32" t="s">
        <v>107</v>
      </c>
      <c r="F32">
        <v>9.694483</v>
      </c>
      <c r="G32">
        <v>9.0405219999999993</v>
      </c>
      <c r="H32">
        <v>9.4110289999999992</v>
      </c>
      <c r="I32">
        <v>8.6470579999999995</v>
      </c>
      <c r="J32">
        <v>7.5168629999999999</v>
      </c>
      <c r="K32">
        <v>6.5015349999999996</v>
      </c>
      <c r="L32">
        <v>5.5293720000000004</v>
      </c>
      <c r="M32">
        <v>4.8016839999999998</v>
      </c>
      <c r="N32">
        <v>4.3969440000000004</v>
      </c>
      <c r="O32">
        <v>4.3077800000000002</v>
      </c>
      <c r="P32">
        <v>4.2720849999999997</v>
      </c>
      <c r="Q32">
        <v>4.3385850000000001</v>
      </c>
      <c r="R32">
        <v>4.2996169999999996</v>
      </c>
      <c r="S32">
        <v>4.3025219999999997</v>
      </c>
      <c r="T32">
        <v>4.2609709999999996</v>
      </c>
      <c r="U32">
        <v>4.1610040000000001</v>
      </c>
      <c r="V32">
        <v>4.0027169999999996</v>
      </c>
      <c r="W32">
        <v>3.909357</v>
      </c>
      <c r="X32">
        <v>3.8068559999999998</v>
      </c>
      <c r="Y32">
        <v>3.8240850000000002</v>
      </c>
      <c r="Z32">
        <v>3.8151120000000001</v>
      </c>
      <c r="AA32">
        <v>3.7632509999999999</v>
      </c>
      <c r="AB32">
        <v>3.6459890000000001</v>
      </c>
      <c r="AC32">
        <v>3.548136</v>
      </c>
      <c r="AD32">
        <v>3.4636490000000002</v>
      </c>
      <c r="AE32">
        <v>3.4229319999999999</v>
      </c>
      <c r="AF32">
        <v>3.3332199999999998</v>
      </c>
      <c r="AG32">
        <v>3.3112200000000001</v>
      </c>
      <c r="AH32">
        <v>3.208326</v>
      </c>
      <c r="AI32" s="97">
        <v>-3.9E-2</v>
      </c>
    </row>
    <row r="33" spans="1:36" x14ac:dyDescent="0.25">
      <c r="A33" t="s">
        <v>578</v>
      </c>
      <c r="B33" t="s">
        <v>895</v>
      </c>
      <c r="C33" t="s">
        <v>894</v>
      </c>
      <c r="D33" t="s">
        <v>107</v>
      </c>
      <c r="F33">
        <v>8.0646540000000009</v>
      </c>
      <c r="G33">
        <v>8.1872109999999996</v>
      </c>
      <c r="H33">
        <v>8.2466290000000004</v>
      </c>
      <c r="I33">
        <v>8.1719659999999994</v>
      </c>
      <c r="J33">
        <v>8.0928570000000004</v>
      </c>
      <c r="K33">
        <v>8.0927190000000007</v>
      </c>
      <c r="L33">
        <v>7.9974689999999997</v>
      </c>
      <c r="M33">
        <v>7.9973400000000003</v>
      </c>
      <c r="N33">
        <v>7.9187440000000002</v>
      </c>
      <c r="O33">
        <v>7.9187969999999996</v>
      </c>
      <c r="P33">
        <v>7.9188850000000004</v>
      </c>
      <c r="Q33">
        <v>7.47281</v>
      </c>
      <c r="R33">
        <v>7.4032179999999999</v>
      </c>
      <c r="S33">
        <v>7.3139329999999996</v>
      </c>
      <c r="T33">
        <v>7.1458170000000001</v>
      </c>
      <c r="U33">
        <v>7.0316359999999998</v>
      </c>
      <c r="V33">
        <v>6.8371979999999999</v>
      </c>
      <c r="W33">
        <v>6.734248</v>
      </c>
      <c r="X33">
        <v>6.5336410000000003</v>
      </c>
      <c r="Y33">
        <v>6.5354080000000003</v>
      </c>
      <c r="Z33">
        <v>6.5385289999999996</v>
      </c>
      <c r="AA33">
        <v>6.5412020000000002</v>
      </c>
      <c r="AB33">
        <v>6.5441659999999997</v>
      </c>
      <c r="AC33">
        <v>6.5441919999999998</v>
      </c>
      <c r="AD33">
        <v>6.5416629999999998</v>
      </c>
      <c r="AE33">
        <v>6.5396289999999997</v>
      </c>
      <c r="AF33">
        <v>6.5306360000000003</v>
      </c>
      <c r="AG33">
        <v>6.5318709999999998</v>
      </c>
      <c r="AH33">
        <v>6.5277070000000004</v>
      </c>
      <c r="AI33" s="97">
        <v>-8.0000000000000002E-3</v>
      </c>
    </row>
    <row r="34" spans="1:36" x14ac:dyDescent="0.25">
      <c r="A34" t="s">
        <v>575</v>
      </c>
      <c r="B34" t="s">
        <v>893</v>
      </c>
      <c r="C34" t="s">
        <v>892</v>
      </c>
      <c r="D34" t="s">
        <v>107</v>
      </c>
      <c r="F34">
        <v>2.4534539999999998</v>
      </c>
      <c r="G34">
        <v>2.4584619999999999</v>
      </c>
      <c r="H34">
        <v>2.5025629999999999</v>
      </c>
      <c r="I34">
        <v>2.5886840000000002</v>
      </c>
      <c r="J34">
        <v>2.579723</v>
      </c>
      <c r="K34">
        <v>2.556826</v>
      </c>
      <c r="L34">
        <v>2.5153810000000001</v>
      </c>
      <c r="M34">
        <v>2.4861960000000001</v>
      </c>
      <c r="N34">
        <v>2.4574240000000001</v>
      </c>
      <c r="O34">
        <v>2.4364599999999998</v>
      </c>
      <c r="P34">
        <v>2.4196759999999999</v>
      </c>
      <c r="Q34">
        <v>2.4223810000000001</v>
      </c>
      <c r="R34">
        <v>2.4264060000000001</v>
      </c>
      <c r="S34">
        <v>2.4299979999999999</v>
      </c>
      <c r="T34">
        <v>2.4353150000000001</v>
      </c>
      <c r="U34">
        <v>2.4235120000000001</v>
      </c>
      <c r="V34">
        <v>2.4101499999999998</v>
      </c>
      <c r="W34">
        <v>2.3862079999999999</v>
      </c>
      <c r="X34">
        <v>2.381421</v>
      </c>
      <c r="Y34">
        <v>2.3661409999999998</v>
      </c>
      <c r="Z34">
        <v>2.3694090000000001</v>
      </c>
      <c r="AA34">
        <v>2.3626369999999999</v>
      </c>
      <c r="AB34">
        <v>2.357599</v>
      </c>
      <c r="AC34">
        <v>2.3544640000000001</v>
      </c>
      <c r="AD34">
        <v>2.343242</v>
      </c>
      <c r="AE34">
        <v>2.336414</v>
      </c>
      <c r="AF34">
        <v>2.3340749999999999</v>
      </c>
      <c r="AG34">
        <v>2.3209420000000001</v>
      </c>
      <c r="AH34">
        <v>2.309024</v>
      </c>
      <c r="AI34" s="97">
        <v>-2E-3</v>
      </c>
    </row>
    <row r="35" spans="1:36" x14ac:dyDescent="0.25">
      <c r="A35" t="s">
        <v>572</v>
      </c>
      <c r="B35" t="s">
        <v>891</v>
      </c>
      <c r="C35" t="s">
        <v>890</v>
      </c>
      <c r="D35" t="s">
        <v>107</v>
      </c>
      <c r="F35">
        <v>3.086376</v>
      </c>
      <c r="G35">
        <v>3.2750919999999999</v>
      </c>
      <c r="H35">
        <v>3.0971489999999999</v>
      </c>
      <c r="I35">
        <v>3.077337</v>
      </c>
      <c r="J35">
        <v>3.0571389999999998</v>
      </c>
      <c r="K35">
        <v>3.0452159999999999</v>
      </c>
      <c r="L35">
        <v>3.037763</v>
      </c>
      <c r="M35">
        <v>3.0313680000000001</v>
      </c>
      <c r="N35">
        <v>3.0259330000000002</v>
      </c>
      <c r="O35">
        <v>3.0254590000000001</v>
      </c>
      <c r="P35">
        <v>3.0276860000000001</v>
      </c>
      <c r="Q35">
        <v>3.034011</v>
      </c>
      <c r="R35">
        <v>3.0408620000000002</v>
      </c>
      <c r="S35">
        <v>3.0527120000000001</v>
      </c>
      <c r="T35">
        <v>3.0502639999999999</v>
      </c>
      <c r="U35">
        <v>3.0545429999999998</v>
      </c>
      <c r="V35">
        <v>3.0583879999999999</v>
      </c>
      <c r="W35">
        <v>3.063898</v>
      </c>
      <c r="X35">
        <v>3.0734149999999998</v>
      </c>
      <c r="Y35">
        <v>3.0928680000000002</v>
      </c>
      <c r="Z35">
        <v>3.1042909999999999</v>
      </c>
      <c r="AA35">
        <v>3.1158239999999999</v>
      </c>
      <c r="AB35">
        <v>3.11755</v>
      </c>
      <c r="AC35">
        <v>3.1225860000000001</v>
      </c>
      <c r="AD35">
        <v>3.1411410000000002</v>
      </c>
      <c r="AE35">
        <v>3.1599710000000001</v>
      </c>
      <c r="AF35">
        <v>3.1829179999999999</v>
      </c>
      <c r="AG35">
        <v>3.2009940000000001</v>
      </c>
      <c r="AH35">
        <v>3.21923</v>
      </c>
      <c r="AI35" s="97">
        <v>2E-3</v>
      </c>
    </row>
    <row r="36" spans="1:36" x14ac:dyDescent="0.25">
      <c r="A36" t="s">
        <v>569</v>
      </c>
      <c r="B36" t="s">
        <v>889</v>
      </c>
      <c r="C36" t="s">
        <v>888</v>
      </c>
      <c r="D36" t="s">
        <v>107</v>
      </c>
      <c r="F36">
        <v>5.6228480000000003</v>
      </c>
      <c r="G36">
        <v>6.1255499999999996</v>
      </c>
      <c r="H36">
        <v>6.742159</v>
      </c>
      <c r="I36">
        <v>8.1732440000000004</v>
      </c>
      <c r="J36">
        <v>9.9076740000000001</v>
      </c>
      <c r="K36">
        <v>11.653165</v>
      </c>
      <c r="L36">
        <v>13.154488000000001</v>
      </c>
      <c r="M36">
        <v>14.209771999999999</v>
      </c>
      <c r="N36">
        <v>15.128234000000001</v>
      </c>
      <c r="O36">
        <v>15.78889</v>
      </c>
      <c r="P36">
        <v>16.442295000000001</v>
      </c>
      <c r="Q36">
        <v>17.189572999999999</v>
      </c>
      <c r="R36">
        <v>17.791294000000001</v>
      </c>
      <c r="S36">
        <v>18.262888</v>
      </c>
      <c r="T36">
        <v>18.746867999999999</v>
      </c>
      <c r="U36">
        <v>19.110621999999999</v>
      </c>
      <c r="V36">
        <v>19.414563999999999</v>
      </c>
      <c r="W36">
        <v>19.609310000000001</v>
      </c>
      <c r="X36">
        <v>19.90523</v>
      </c>
      <c r="Y36">
        <v>20.063116000000001</v>
      </c>
      <c r="Z36">
        <v>20.302187</v>
      </c>
      <c r="AA36">
        <v>20.584305000000001</v>
      </c>
      <c r="AB36">
        <v>20.993839000000001</v>
      </c>
      <c r="AC36">
        <v>21.370591999999998</v>
      </c>
      <c r="AD36">
        <v>21.805226999999999</v>
      </c>
      <c r="AE36">
        <v>22.17202</v>
      </c>
      <c r="AF36">
        <v>22.539532000000001</v>
      </c>
      <c r="AG36">
        <v>22.840260000000001</v>
      </c>
      <c r="AH36">
        <v>23.283978999999999</v>
      </c>
      <c r="AI36" s="97">
        <v>5.1999999999999998E-2</v>
      </c>
    </row>
    <row r="37" spans="1:36" x14ac:dyDescent="0.25">
      <c r="A37" t="s">
        <v>566</v>
      </c>
      <c r="B37" t="s">
        <v>887</v>
      </c>
      <c r="C37" t="s">
        <v>886</v>
      </c>
      <c r="D37" t="s">
        <v>107</v>
      </c>
      <c r="F37">
        <v>0.271036</v>
      </c>
      <c r="G37">
        <v>0.29992400000000002</v>
      </c>
      <c r="H37">
        <v>0.27443299999999998</v>
      </c>
      <c r="I37">
        <v>0.257492</v>
      </c>
      <c r="J37">
        <v>0.26146999999999998</v>
      </c>
      <c r="K37">
        <v>0.27512900000000001</v>
      </c>
      <c r="L37">
        <v>0.283526</v>
      </c>
      <c r="M37">
        <v>0.27605499999999999</v>
      </c>
      <c r="N37">
        <v>0.28388999999999998</v>
      </c>
      <c r="O37">
        <v>0.27529100000000001</v>
      </c>
      <c r="P37">
        <v>0.27900999999999998</v>
      </c>
      <c r="Q37">
        <v>0.28079199999999999</v>
      </c>
      <c r="R37">
        <v>0.28222199999999997</v>
      </c>
      <c r="S37">
        <v>0.27832400000000002</v>
      </c>
      <c r="T37">
        <v>0.27709899999999998</v>
      </c>
      <c r="U37">
        <v>0.277055</v>
      </c>
      <c r="V37">
        <v>0.27971200000000002</v>
      </c>
      <c r="W37">
        <v>0.28193299999999999</v>
      </c>
      <c r="X37">
        <v>0.28373700000000002</v>
      </c>
      <c r="Y37">
        <v>0.278974</v>
      </c>
      <c r="Z37">
        <v>0.27892800000000001</v>
      </c>
      <c r="AA37">
        <v>0.27663399999999999</v>
      </c>
      <c r="AB37">
        <v>0.27388499999999999</v>
      </c>
      <c r="AC37">
        <v>0.27115800000000001</v>
      </c>
      <c r="AD37">
        <v>0.268038</v>
      </c>
      <c r="AE37">
        <v>0.26756000000000002</v>
      </c>
      <c r="AF37">
        <v>0.26897199999999999</v>
      </c>
      <c r="AG37">
        <v>0.26747799999999999</v>
      </c>
      <c r="AH37">
        <v>0.26547100000000001</v>
      </c>
      <c r="AI37" s="97">
        <v>-1E-3</v>
      </c>
    </row>
    <row r="38" spans="1:36" x14ac:dyDescent="0.25">
      <c r="A38" t="s">
        <v>516</v>
      </c>
      <c r="B38" t="s">
        <v>885</v>
      </c>
      <c r="C38" t="s">
        <v>884</v>
      </c>
      <c r="D38" t="s">
        <v>107</v>
      </c>
      <c r="F38">
        <v>99.193466000000001</v>
      </c>
      <c r="G38">
        <v>98.343772999999999</v>
      </c>
      <c r="H38">
        <v>97.558655000000002</v>
      </c>
      <c r="I38">
        <v>97.753219999999999</v>
      </c>
      <c r="J38">
        <v>98.015015000000005</v>
      </c>
      <c r="K38">
        <v>98.078818999999996</v>
      </c>
      <c r="L38">
        <v>98.133987000000005</v>
      </c>
      <c r="M38">
        <v>98.055678999999998</v>
      </c>
      <c r="N38">
        <v>97.956688</v>
      </c>
      <c r="O38">
        <v>97.999808999999999</v>
      </c>
      <c r="P38">
        <v>98.312447000000006</v>
      </c>
      <c r="Q38">
        <v>98.465087999999994</v>
      </c>
      <c r="R38">
        <v>98.819359000000006</v>
      </c>
      <c r="S38">
        <v>99.128128000000004</v>
      </c>
      <c r="T38">
        <v>99.396773999999994</v>
      </c>
      <c r="U38">
        <v>99.651229999999998</v>
      </c>
      <c r="V38">
        <v>99.794334000000006</v>
      </c>
      <c r="W38">
        <v>99.956565999999995</v>
      </c>
      <c r="X38">
        <v>100.252289</v>
      </c>
      <c r="Y38">
        <v>100.649895</v>
      </c>
      <c r="Z38">
        <v>101.165138</v>
      </c>
      <c r="AA38">
        <v>101.641739</v>
      </c>
      <c r="AB38">
        <v>102.150665</v>
      </c>
      <c r="AC38">
        <v>102.69104</v>
      </c>
      <c r="AD38">
        <v>103.176315</v>
      </c>
      <c r="AE38">
        <v>103.831924</v>
      </c>
      <c r="AF38">
        <v>104.485474</v>
      </c>
      <c r="AG38">
        <v>105.10330999999999</v>
      </c>
      <c r="AH38">
        <v>105.939369</v>
      </c>
      <c r="AI38" s="97">
        <v>2E-3</v>
      </c>
    </row>
    <row r="39" spans="1:36" x14ac:dyDescent="0.25">
      <c r="A39" t="s">
        <v>883</v>
      </c>
    </row>
    <row r="40" spans="1:36" x14ac:dyDescent="0.25">
      <c r="A40" t="s">
        <v>544</v>
      </c>
      <c r="B40" t="s">
        <v>882</v>
      </c>
      <c r="C40" t="s">
        <v>881</v>
      </c>
      <c r="D40" t="s">
        <v>878</v>
      </c>
      <c r="F40">
        <v>102.129997</v>
      </c>
      <c r="G40">
        <v>91.544692999999995</v>
      </c>
      <c r="H40">
        <v>92.531395000000003</v>
      </c>
      <c r="I40">
        <v>87.048607000000004</v>
      </c>
      <c r="J40">
        <v>87.882819999999995</v>
      </c>
      <c r="K40">
        <v>88.306426999999999</v>
      </c>
      <c r="L40">
        <v>88.879097000000002</v>
      </c>
      <c r="M40">
        <v>89.470894000000001</v>
      </c>
      <c r="N40">
        <v>90.163071000000002</v>
      </c>
      <c r="O40">
        <v>90.724143999999995</v>
      </c>
      <c r="P40">
        <v>91.546386999999996</v>
      </c>
      <c r="Q40">
        <v>92.007187000000002</v>
      </c>
      <c r="R40">
        <v>92.694916000000006</v>
      </c>
      <c r="S40">
        <v>93.552750000000003</v>
      </c>
      <c r="T40">
        <v>94.142882999999998</v>
      </c>
      <c r="U40">
        <v>94.796172999999996</v>
      </c>
      <c r="V40">
        <v>95.331740999999994</v>
      </c>
      <c r="W40">
        <v>95.867317</v>
      </c>
      <c r="X40">
        <v>96.392180999999994</v>
      </c>
      <c r="Y40">
        <v>96.938461000000004</v>
      </c>
      <c r="Z40">
        <v>97.381507999999997</v>
      </c>
      <c r="AA40">
        <v>97.758681999999993</v>
      </c>
      <c r="AB40">
        <v>98.241776000000002</v>
      </c>
      <c r="AC40">
        <v>98.596687000000003</v>
      </c>
      <c r="AD40">
        <v>99.377373000000006</v>
      </c>
      <c r="AE40">
        <v>99.794150999999999</v>
      </c>
      <c r="AF40">
        <v>100.384407</v>
      </c>
      <c r="AG40">
        <v>101.06875599999999</v>
      </c>
      <c r="AH40">
        <v>101.34071400000001</v>
      </c>
      <c r="AI40" s="97">
        <v>0</v>
      </c>
    </row>
    <row r="41" spans="1:36" x14ac:dyDescent="0.25">
      <c r="A41" t="s">
        <v>862</v>
      </c>
      <c r="B41" t="s">
        <v>880</v>
      </c>
      <c r="C41" t="s">
        <v>879</v>
      </c>
      <c r="D41" t="s">
        <v>878</v>
      </c>
      <c r="F41">
        <v>95.875998999999993</v>
      </c>
      <c r="G41">
        <v>85.782882999999998</v>
      </c>
      <c r="H41">
        <v>91.164046999999997</v>
      </c>
      <c r="I41">
        <v>85.233161999999993</v>
      </c>
      <c r="J41">
        <v>85.255095999999995</v>
      </c>
      <c r="K41">
        <v>85.532898000000003</v>
      </c>
      <c r="L41">
        <v>86.264731999999995</v>
      </c>
      <c r="M41">
        <v>86.738144000000005</v>
      </c>
      <c r="N41">
        <v>87.188271</v>
      </c>
      <c r="O41">
        <v>87.748749000000004</v>
      </c>
      <c r="P41">
        <v>88.512123000000003</v>
      </c>
      <c r="Q41">
        <v>88.937447000000006</v>
      </c>
      <c r="R41">
        <v>89.608727000000002</v>
      </c>
      <c r="S41">
        <v>90.032150000000001</v>
      </c>
      <c r="T41">
        <v>90.825806</v>
      </c>
      <c r="U41">
        <v>91.434028999999995</v>
      </c>
      <c r="V41">
        <v>91.807198</v>
      </c>
      <c r="W41">
        <v>92.341896000000006</v>
      </c>
      <c r="X41">
        <v>92.759917999999999</v>
      </c>
      <c r="Y41">
        <v>93.263626000000002</v>
      </c>
      <c r="Z41">
        <v>93.719948000000002</v>
      </c>
      <c r="AA41">
        <v>94.111892999999995</v>
      </c>
      <c r="AB41">
        <v>94.517478999999994</v>
      </c>
      <c r="AC41">
        <v>94.856955999999997</v>
      </c>
      <c r="AD41">
        <v>95.591453999999999</v>
      </c>
      <c r="AE41">
        <v>96.024887000000007</v>
      </c>
      <c r="AF41">
        <v>96.717949000000004</v>
      </c>
      <c r="AG41">
        <v>97.444785999999993</v>
      </c>
      <c r="AH41">
        <v>97.681374000000005</v>
      </c>
      <c r="AI41" s="97">
        <v>1E-3</v>
      </c>
    </row>
    <row r="42" spans="1:36" x14ac:dyDescent="0.25">
      <c r="A42" t="s">
        <v>859</v>
      </c>
      <c r="B42" t="s">
        <v>877</v>
      </c>
      <c r="C42" t="s">
        <v>876</v>
      </c>
      <c r="D42" t="s">
        <v>868</v>
      </c>
      <c r="F42">
        <v>6.5239969999999996</v>
      </c>
      <c r="G42">
        <v>5.2663760000000002</v>
      </c>
      <c r="H42">
        <v>4.072381</v>
      </c>
      <c r="I42">
        <v>3.4895139999999998</v>
      </c>
      <c r="J42">
        <v>3.0655079999999999</v>
      </c>
      <c r="K42">
        <v>2.8530009999999999</v>
      </c>
      <c r="L42">
        <v>2.7999040000000002</v>
      </c>
      <c r="M42">
        <v>2.825097</v>
      </c>
      <c r="N42">
        <v>2.91248</v>
      </c>
      <c r="O42">
        <v>3.043758</v>
      </c>
      <c r="P42">
        <v>3.2080039999999999</v>
      </c>
      <c r="Q42">
        <v>3.4169179999999999</v>
      </c>
      <c r="R42">
        <v>3.5694300000000001</v>
      </c>
      <c r="S42">
        <v>3.6818240000000002</v>
      </c>
      <c r="T42">
        <v>3.6941549999999999</v>
      </c>
      <c r="U42">
        <v>3.7375959999999999</v>
      </c>
      <c r="V42">
        <v>3.8665609999999999</v>
      </c>
      <c r="W42">
        <v>3.78878</v>
      </c>
      <c r="X42">
        <v>3.9380649999999999</v>
      </c>
      <c r="Y42">
        <v>4.0221549999999997</v>
      </c>
      <c r="Z42">
        <v>4.0147370000000002</v>
      </c>
      <c r="AA42">
        <v>3.9506160000000001</v>
      </c>
      <c r="AB42">
        <v>3.9137680000000001</v>
      </c>
      <c r="AC42">
        <v>3.9107059999999998</v>
      </c>
      <c r="AD42">
        <v>3.9070830000000001</v>
      </c>
      <c r="AE42">
        <v>3.8707060000000002</v>
      </c>
      <c r="AF42">
        <v>3.849094</v>
      </c>
      <c r="AG42">
        <v>3.7838949999999998</v>
      </c>
      <c r="AH42">
        <v>3.7710149999999998</v>
      </c>
      <c r="AI42" s="97">
        <v>-1.9E-2</v>
      </c>
    </row>
    <row r="43" spans="1:36" x14ac:dyDescent="0.25">
      <c r="A43" t="s">
        <v>517</v>
      </c>
      <c r="B43" t="s">
        <v>534</v>
      </c>
      <c r="C43" t="s">
        <v>875</v>
      </c>
      <c r="D43" t="s">
        <v>874</v>
      </c>
      <c r="E43" t="s">
        <v>873</v>
      </c>
      <c r="G43">
        <v>37.847487999999998</v>
      </c>
      <c r="H43">
        <v>37.282367999999998</v>
      </c>
      <c r="I43">
        <v>40.075564999999997</v>
      </c>
      <c r="J43">
        <v>40.780799999999999</v>
      </c>
      <c r="K43">
        <v>43.636291999999997</v>
      </c>
      <c r="L43">
        <v>47.361679000000002</v>
      </c>
      <c r="M43">
        <v>49.855021999999998</v>
      </c>
      <c r="N43">
        <v>50.434627999999996</v>
      </c>
      <c r="O43">
        <v>52.797508000000001</v>
      </c>
      <c r="P43">
        <v>55.776046999999998</v>
      </c>
      <c r="Q43">
        <v>53.310043</v>
      </c>
      <c r="R43">
        <v>53.457973000000003</v>
      </c>
      <c r="S43">
        <v>53.443798000000001</v>
      </c>
      <c r="T43">
        <v>53.327933999999999</v>
      </c>
      <c r="U43">
        <v>54.118721000000001</v>
      </c>
      <c r="V43">
        <v>55.130642000000002</v>
      </c>
      <c r="W43">
        <v>57.305939000000002</v>
      </c>
      <c r="X43">
        <v>57.809910000000002</v>
      </c>
      <c r="Y43">
        <v>59.124003999999999</v>
      </c>
      <c r="Z43">
        <v>58.977061999999997</v>
      </c>
      <c r="AA43">
        <v>59.082129999999999</v>
      </c>
      <c r="AB43">
        <v>60.307980000000001</v>
      </c>
      <c r="AC43">
        <v>61.433601000000003</v>
      </c>
      <c r="AD43">
        <v>62.543072000000002</v>
      </c>
      <c r="AE43">
        <v>63.485416000000001</v>
      </c>
      <c r="AF43">
        <v>63.976109000000001</v>
      </c>
      <c r="AG43">
        <v>64.145095999999995</v>
      </c>
      <c r="AH43">
        <v>64.784263999999993</v>
      </c>
      <c r="AI43">
        <v>65.411857999999995</v>
      </c>
      <c r="AJ43" s="97">
        <v>0.02</v>
      </c>
    </row>
    <row r="44" spans="1:36" x14ac:dyDescent="0.25">
      <c r="A44" t="s">
        <v>517</v>
      </c>
      <c r="B44" t="s">
        <v>854</v>
      </c>
      <c r="C44" t="s">
        <v>872</v>
      </c>
      <c r="D44" t="s">
        <v>871</v>
      </c>
      <c r="E44" t="s">
        <v>868</v>
      </c>
      <c r="G44">
        <v>1.8539890000000001</v>
      </c>
      <c r="H44">
        <v>1.8359920000000001</v>
      </c>
      <c r="I44">
        <v>1.9490689999999999</v>
      </c>
      <c r="J44">
        <v>1.9717739999999999</v>
      </c>
      <c r="K44">
        <v>2.0752959999999998</v>
      </c>
      <c r="L44">
        <v>2.2083719999999998</v>
      </c>
      <c r="M44">
        <v>2.3061219999999998</v>
      </c>
      <c r="N44">
        <v>2.357656</v>
      </c>
      <c r="O44">
        <v>2.4579559999999998</v>
      </c>
      <c r="P44">
        <v>2.5936340000000002</v>
      </c>
      <c r="Q44">
        <v>2.4775179999999999</v>
      </c>
      <c r="R44">
        <v>2.4766789999999999</v>
      </c>
      <c r="S44">
        <v>2.4868980000000001</v>
      </c>
      <c r="T44">
        <v>2.4888340000000002</v>
      </c>
      <c r="U44">
        <v>2.523628</v>
      </c>
      <c r="V44">
        <v>2.5752160000000002</v>
      </c>
      <c r="W44">
        <v>2.63626</v>
      </c>
      <c r="X44">
        <v>2.6563850000000002</v>
      </c>
      <c r="Y44">
        <v>2.7089910000000001</v>
      </c>
      <c r="Z44">
        <v>2.7087599999999998</v>
      </c>
      <c r="AA44">
        <v>2.7161059999999999</v>
      </c>
      <c r="AB44">
        <v>2.7612809999999999</v>
      </c>
      <c r="AC44">
        <v>2.8047680000000001</v>
      </c>
      <c r="AD44">
        <v>2.8470110000000002</v>
      </c>
      <c r="AE44">
        <v>2.8845800000000001</v>
      </c>
      <c r="AF44">
        <v>2.9054470000000001</v>
      </c>
      <c r="AG44">
        <v>2.9184459999999999</v>
      </c>
      <c r="AH44">
        <v>2.9436810000000002</v>
      </c>
      <c r="AI44">
        <v>2.9761790000000001</v>
      </c>
      <c r="AJ44" s="97">
        <v>1.7000000000000001E-2</v>
      </c>
    </row>
    <row r="45" spans="1:36" x14ac:dyDescent="0.25">
      <c r="A45" t="s">
        <v>517</v>
      </c>
      <c r="B45" t="s">
        <v>851</v>
      </c>
      <c r="C45" t="s">
        <v>870</v>
      </c>
      <c r="D45" t="s">
        <v>869</v>
      </c>
      <c r="E45" t="s">
        <v>868</v>
      </c>
      <c r="G45">
        <v>2.326422</v>
      </c>
      <c r="H45">
        <v>2.2674699999999999</v>
      </c>
      <c r="I45">
        <v>2.266108</v>
      </c>
      <c r="J45">
        <v>2.2712279999999998</v>
      </c>
      <c r="K45">
        <v>2.2835740000000002</v>
      </c>
      <c r="L45">
        <v>2.312538</v>
      </c>
      <c r="M45">
        <v>2.3492929999999999</v>
      </c>
      <c r="N45">
        <v>2.399381</v>
      </c>
      <c r="O45">
        <v>2.4461050000000002</v>
      </c>
      <c r="P45">
        <v>2.4511440000000002</v>
      </c>
      <c r="Q45">
        <v>2.4411139999999998</v>
      </c>
      <c r="R45">
        <v>2.4258280000000001</v>
      </c>
      <c r="S45">
        <v>2.4312170000000002</v>
      </c>
      <c r="T45">
        <v>2.4290120000000002</v>
      </c>
      <c r="U45">
        <v>2.432617</v>
      </c>
      <c r="V45">
        <v>2.450752</v>
      </c>
      <c r="W45">
        <v>2.4936690000000001</v>
      </c>
      <c r="X45">
        <v>2.5012650000000001</v>
      </c>
      <c r="Y45">
        <v>2.5190320000000002</v>
      </c>
      <c r="Z45">
        <v>2.5169809999999999</v>
      </c>
      <c r="AA45">
        <v>2.5201069999999999</v>
      </c>
      <c r="AB45">
        <v>2.5293510000000001</v>
      </c>
      <c r="AC45">
        <v>2.5445700000000002</v>
      </c>
      <c r="AD45">
        <v>2.5584180000000001</v>
      </c>
      <c r="AE45">
        <v>2.5769570000000002</v>
      </c>
      <c r="AF45">
        <v>2.584111</v>
      </c>
      <c r="AG45">
        <v>2.597035</v>
      </c>
      <c r="AH45">
        <v>2.6051700000000002</v>
      </c>
      <c r="AI45">
        <v>2.6310929999999999</v>
      </c>
      <c r="AJ45" s="97">
        <v>4.0000000000000001E-3</v>
      </c>
    </row>
    <row r="46" spans="1:36" x14ac:dyDescent="0.25">
      <c r="A46" t="s">
        <v>523</v>
      </c>
      <c r="B46" t="s">
        <v>867</v>
      </c>
      <c r="C46" t="s">
        <v>866</v>
      </c>
      <c r="D46" t="s">
        <v>865</v>
      </c>
      <c r="F46">
        <v>12.224997999999999</v>
      </c>
      <c r="G46">
        <v>11.913273</v>
      </c>
      <c r="H46">
        <v>11.471824</v>
      </c>
      <c r="I46">
        <v>11.030275</v>
      </c>
      <c r="J46">
        <v>10.768831</v>
      </c>
      <c r="K46">
        <v>10.582514</v>
      </c>
      <c r="L46">
        <v>10.45016</v>
      </c>
      <c r="M46">
        <v>10.399552</v>
      </c>
      <c r="N46">
        <v>10.413741999999999</v>
      </c>
      <c r="O46">
        <v>10.447018999999999</v>
      </c>
      <c r="P46">
        <v>10.475133</v>
      </c>
      <c r="Q46">
        <v>10.629588999999999</v>
      </c>
      <c r="R46">
        <v>10.729555</v>
      </c>
      <c r="S46">
        <v>10.730740000000001</v>
      </c>
      <c r="T46">
        <v>10.793545</v>
      </c>
      <c r="U46">
        <v>10.871433</v>
      </c>
      <c r="V46">
        <v>10.987963000000001</v>
      </c>
      <c r="W46">
        <v>11.078531</v>
      </c>
      <c r="X46">
        <v>11.155383</v>
      </c>
      <c r="Y46">
        <v>11.217563</v>
      </c>
      <c r="Z46">
        <v>11.243109</v>
      </c>
      <c r="AA46">
        <v>11.258493</v>
      </c>
      <c r="AB46">
        <v>11.271253</v>
      </c>
      <c r="AC46">
        <v>11.281693000000001</v>
      </c>
      <c r="AD46">
        <v>11.247436</v>
      </c>
      <c r="AE46">
        <v>11.196383000000001</v>
      </c>
      <c r="AF46">
        <v>11.178801</v>
      </c>
      <c r="AG46">
        <v>11.117008</v>
      </c>
      <c r="AH46">
        <v>11.024077999999999</v>
      </c>
      <c r="AI46" s="97">
        <v>-4.0000000000000001E-3</v>
      </c>
    </row>
    <row r="47" spans="1:36" x14ac:dyDescent="0.25">
      <c r="A47" t="s">
        <v>99</v>
      </c>
    </row>
    <row r="48" spans="1:36" x14ac:dyDescent="0.25">
      <c r="A48" t="s">
        <v>544</v>
      </c>
      <c r="B48" t="s">
        <v>864</v>
      </c>
      <c r="C48" t="s">
        <v>863</v>
      </c>
      <c r="D48" t="s">
        <v>538</v>
      </c>
      <c r="F48">
        <v>102.129997</v>
      </c>
      <c r="G48">
        <v>95.329002000000003</v>
      </c>
      <c r="H48">
        <v>98.708404999999999</v>
      </c>
      <c r="I48">
        <v>94.878890999999996</v>
      </c>
      <c r="J48">
        <v>97.830475000000007</v>
      </c>
      <c r="K48">
        <v>100.425552</v>
      </c>
      <c r="L48">
        <v>103.260544</v>
      </c>
      <c r="M48">
        <v>106.227829</v>
      </c>
      <c r="N48">
        <v>109.43918600000001</v>
      </c>
      <c r="O48">
        <v>112.639786</v>
      </c>
      <c r="P48">
        <v>116.265869</v>
      </c>
      <c r="Q48">
        <v>119.61837800000001</v>
      </c>
      <c r="R48">
        <v>123.399551</v>
      </c>
      <c r="S48">
        <v>127.457848</v>
      </c>
      <c r="T48">
        <v>131.21597299999999</v>
      </c>
      <c r="U48">
        <v>135.083923</v>
      </c>
      <c r="V48">
        <v>138.85072299999999</v>
      </c>
      <c r="W48">
        <v>142.69729599999999</v>
      </c>
      <c r="X48">
        <v>146.67823799999999</v>
      </c>
      <c r="Y48">
        <v>150.81691000000001</v>
      </c>
      <c r="Z48">
        <v>154.928268</v>
      </c>
      <c r="AA48">
        <v>159.09347500000001</v>
      </c>
      <c r="AB48">
        <v>163.57148699999999</v>
      </c>
      <c r="AC48">
        <v>167.987595</v>
      </c>
      <c r="AD48">
        <v>173.312363</v>
      </c>
      <c r="AE48">
        <v>178.174057</v>
      </c>
      <c r="AF48">
        <v>183.52430699999999</v>
      </c>
      <c r="AG48">
        <v>189.210342</v>
      </c>
      <c r="AH48">
        <v>194.299271</v>
      </c>
      <c r="AI48" s="97">
        <v>2.3E-2</v>
      </c>
    </row>
    <row r="49" spans="1:36" x14ac:dyDescent="0.25">
      <c r="A49" t="s">
        <v>862</v>
      </c>
      <c r="B49" t="s">
        <v>861</v>
      </c>
      <c r="C49" t="s">
        <v>860</v>
      </c>
      <c r="D49" t="s">
        <v>538</v>
      </c>
      <c r="F49">
        <v>95.875998999999993</v>
      </c>
      <c r="G49">
        <v>89.329002000000003</v>
      </c>
      <c r="H49">
        <v>97.249779000000004</v>
      </c>
      <c r="I49">
        <v>92.900146000000007</v>
      </c>
      <c r="J49">
        <v>94.905304000000001</v>
      </c>
      <c r="K49">
        <v>97.271384999999995</v>
      </c>
      <c r="L49">
        <v>100.22315999999999</v>
      </c>
      <c r="M49">
        <v>102.98326900000001</v>
      </c>
      <c r="N49">
        <v>105.828407</v>
      </c>
      <c r="O49">
        <v>108.94564099999999</v>
      </c>
      <c r="P49">
        <v>112.41229199999999</v>
      </c>
      <c r="Q49">
        <v>115.627411</v>
      </c>
      <c r="R49">
        <v>119.291077</v>
      </c>
      <c r="S49">
        <v>122.66132399999999</v>
      </c>
      <c r="T49">
        <v>126.59264400000001</v>
      </c>
      <c r="U49">
        <v>130.29289199999999</v>
      </c>
      <c r="V49">
        <v>133.71722399999999</v>
      </c>
      <c r="W49">
        <v>137.44975299999999</v>
      </c>
      <c r="X49">
        <v>141.151093</v>
      </c>
      <c r="Y49">
        <v>145.09960899999999</v>
      </c>
      <c r="Z49">
        <v>149.102936</v>
      </c>
      <c r="AA49">
        <v>153.158661</v>
      </c>
      <c r="AB49">
        <v>157.370575</v>
      </c>
      <c r="AC49">
        <v>161.615891</v>
      </c>
      <c r="AD49">
        <v>166.70979299999999</v>
      </c>
      <c r="AE49">
        <v>171.44435100000001</v>
      </c>
      <c r="AF49">
        <v>176.82122799999999</v>
      </c>
      <c r="AG49">
        <v>182.42593400000001</v>
      </c>
      <c r="AH49">
        <v>187.283264</v>
      </c>
      <c r="AI49" s="97">
        <v>2.4E-2</v>
      </c>
    </row>
    <row r="50" spans="1:36" x14ac:dyDescent="0.25">
      <c r="A50" t="s">
        <v>859</v>
      </c>
      <c r="B50" t="s">
        <v>858</v>
      </c>
      <c r="C50" t="s">
        <v>857</v>
      </c>
      <c r="D50" t="s">
        <v>524</v>
      </c>
      <c r="F50">
        <v>6.5239969999999996</v>
      </c>
      <c r="G50">
        <v>5.4840799999999996</v>
      </c>
      <c r="H50">
        <v>4.3442369999999997</v>
      </c>
      <c r="I50">
        <v>3.8034059999999998</v>
      </c>
      <c r="J50">
        <v>3.4125000000000001</v>
      </c>
      <c r="K50">
        <v>3.244545</v>
      </c>
      <c r="L50">
        <v>3.252955</v>
      </c>
      <c r="M50">
        <v>3.3542079999999999</v>
      </c>
      <c r="N50">
        <v>3.5351439999999998</v>
      </c>
      <c r="O50">
        <v>3.7790189999999999</v>
      </c>
      <c r="P50">
        <v>4.0742339999999997</v>
      </c>
      <c r="Q50">
        <v>4.442329</v>
      </c>
      <c r="R50">
        <v>4.7517820000000004</v>
      </c>
      <c r="S50">
        <v>5.0161790000000002</v>
      </c>
      <c r="T50">
        <v>5.148898</v>
      </c>
      <c r="U50">
        <v>5.3260490000000003</v>
      </c>
      <c r="V50">
        <v>5.6316480000000002</v>
      </c>
      <c r="W50">
        <v>5.6395520000000001</v>
      </c>
      <c r="X50">
        <v>5.992483</v>
      </c>
      <c r="Y50">
        <v>6.2576710000000002</v>
      </c>
      <c r="Z50">
        <v>6.3872109999999997</v>
      </c>
      <c r="AA50">
        <v>6.4292730000000002</v>
      </c>
      <c r="AB50">
        <v>6.516381</v>
      </c>
      <c r="AC50">
        <v>6.6630039999999999</v>
      </c>
      <c r="AD50">
        <v>6.8138820000000004</v>
      </c>
      <c r="AE50">
        <v>6.910819</v>
      </c>
      <c r="AF50">
        <v>7.0369719999999996</v>
      </c>
      <c r="AG50">
        <v>7.083812</v>
      </c>
      <c r="AH50">
        <v>7.230118</v>
      </c>
      <c r="AI50" s="97">
        <v>4.0000000000000001E-3</v>
      </c>
    </row>
    <row r="51" spans="1:36" x14ac:dyDescent="0.25">
      <c r="A51" t="s">
        <v>517</v>
      </c>
      <c r="B51" t="s">
        <v>534</v>
      </c>
      <c r="C51" t="s">
        <v>856</v>
      </c>
      <c r="D51" t="s">
        <v>855</v>
      </c>
      <c r="E51" t="s">
        <v>531</v>
      </c>
      <c r="G51">
        <v>37.847487999999998</v>
      </c>
      <c r="H51">
        <v>38.823559000000003</v>
      </c>
      <c r="I51">
        <v>42.750843000000003</v>
      </c>
      <c r="J51">
        <v>44.449157999999997</v>
      </c>
      <c r="K51">
        <v>48.575581</v>
      </c>
      <c r="L51">
        <v>53.861572000000002</v>
      </c>
      <c r="M51">
        <v>57.922020000000003</v>
      </c>
      <c r="N51">
        <v>59.880493000000001</v>
      </c>
      <c r="O51">
        <v>64.085182000000003</v>
      </c>
      <c r="P51">
        <v>69.249504000000002</v>
      </c>
      <c r="Q51">
        <v>67.704903000000002</v>
      </c>
      <c r="R51">
        <v>69.500609999999995</v>
      </c>
      <c r="S51">
        <v>71.146736000000004</v>
      </c>
      <c r="T51">
        <v>72.654883999999996</v>
      </c>
      <c r="U51">
        <v>75.430458000000002</v>
      </c>
      <c r="V51">
        <v>78.560805999999999</v>
      </c>
      <c r="W51">
        <v>83.466125000000005</v>
      </c>
      <c r="X51">
        <v>86.049323999999999</v>
      </c>
      <c r="Y51">
        <v>89.967934</v>
      </c>
      <c r="Z51">
        <v>91.756546</v>
      </c>
      <c r="AA51">
        <v>93.996200999999999</v>
      </c>
      <c r="AB51">
        <v>98.145827999999995</v>
      </c>
      <c r="AC51">
        <v>102.286278</v>
      </c>
      <c r="AD51">
        <v>106.55997499999999</v>
      </c>
      <c r="AE51">
        <v>110.71742999999999</v>
      </c>
      <c r="AF51">
        <v>114.22395299999999</v>
      </c>
      <c r="AG51">
        <v>117.27104199999999</v>
      </c>
      <c r="AH51">
        <v>121.28231</v>
      </c>
      <c r="AI51">
        <v>125.41332199999999</v>
      </c>
      <c r="AJ51" s="97">
        <v>4.3999999999999997E-2</v>
      </c>
    </row>
    <row r="52" spans="1:36" x14ac:dyDescent="0.25">
      <c r="A52" t="s">
        <v>517</v>
      </c>
      <c r="B52" t="s">
        <v>854</v>
      </c>
      <c r="C52" t="s">
        <v>853</v>
      </c>
      <c r="D52" t="s">
        <v>852</v>
      </c>
      <c r="E52" t="s">
        <v>524</v>
      </c>
      <c r="G52">
        <v>1.8539890000000001</v>
      </c>
      <c r="H52">
        <v>1.9118889999999999</v>
      </c>
      <c r="I52">
        <v>2.0791810000000002</v>
      </c>
      <c r="J52">
        <v>2.1491419999999999</v>
      </c>
      <c r="K52">
        <v>2.3102040000000001</v>
      </c>
      <c r="L52">
        <v>2.5114480000000001</v>
      </c>
      <c r="M52">
        <v>2.6792729999999998</v>
      </c>
      <c r="N52">
        <v>2.7992189999999999</v>
      </c>
      <c r="O52">
        <v>2.9834459999999998</v>
      </c>
      <c r="P52">
        <v>3.2201610000000001</v>
      </c>
      <c r="Q52">
        <v>3.1465010000000002</v>
      </c>
      <c r="R52">
        <v>3.2199260000000001</v>
      </c>
      <c r="S52">
        <v>3.3106680000000002</v>
      </c>
      <c r="T52">
        <v>3.3908299999999998</v>
      </c>
      <c r="U52">
        <v>3.517423</v>
      </c>
      <c r="V52">
        <v>3.6696659999999999</v>
      </c>
      <c r="W52">
        <v>3.839715</v>
      </c>
      <c r="X52">
        <v>3.9539949999999999</v>
      </c>
      <c r="Y52">
        <v>4.1222219999999998</v>
      </c>
      <c r="Z52">
        <v>4.2142900000000001</v>
      </c>
      <c r="AA52">
        <v>4.3211649999999997</v>
      </c>
      <c r="AB52">
        <v>4.4937379999999996</v>
      </c>
      <c r="AC52">
        <v>4.6699089999999996</v>
      </c>
      <c r="AD52">
        <v>4.8506960000000001</v>
      </c>
      <c r="AE52">
        <v>5.0306550000000003</v>
      </c>
      <c r="AF52">
        <v>5.1874320000000003</v>
      </c>
      <c r="AG52">
        <v>5.335547</v>
      </c>
      <c r="AH52">
        <v>5.5108499999999996</v>
      </c>
      <c r="AI52">
        <v>5.7061900000000003</v>
      </c>
      <c r="AJ52" s="97">
        <v>4.1000000000000002E-2</v>
      </c>
    </row>
    <row r="53" spans="1:36" x14ac:dyDescent="0.25">
      <c r="A53" t="s">
        <v>517</v>
      </c>
      <c r="B53" t="s">
        <v>851</v>
      </c>
      <c r="C53" t="s">
        <v>850</v>
      </c>
      <c r="D53" t="s">
        <v>849</v>
      </c>
      <c r="E53" t="s">
        <v>524</v>
      </c>
      <c r="G53">
        <v>2.326422</v>
      </c>
      <c r="H53">
        <v>2.3612030000000002</v>
      </c>
      <c r="I53">
        <v>2.4173830000000001</v>
      </c>
      <c r="J53">
        <v>2.4755319999999998</v>
      </c>
      <c r="K53">
        <v>2.5420569999999998</v>
      </c>
      <c r="L53">
        <v>2.6299100000000002</v>
      </c>
      <c r="M53">
        <v>2.7294299999999998</v>
      </c>
      <c r="N53">
        <v>2.8487589999999998</v>
      </c>
      <c r="O53">
        <v>2.9690620000000001</v>
      </c>
      <c r="P53">
        <v>3.0432510000000002</v>
      </c>
      <c r="Q53">
        <v>3.1002670000000001</v>
      </c>
      <c r="R53">
        <v>3.1538149999999998</v>
      </c>
      <c r="S53">
        <v>3.2365430000000002</v>
      </c>
      <c r="T53">
        <v>3.3093279999999998</v>
      </c>
      <c r="U53">
        <v>3.3905720000000001</v>
      </c>
      <c r="V53">
        <v>3.4923060000000001</v>
      </c>
      <c r="W53">
        <v>3.6320299999999999</v>
      </c>
      <c r="X53">
        <v>3.7231019999999999</v>
      </c>
      <c r="Y53">
        <v>3.8331659999999999</v>
      </c>
      <c r="Z53">
        <v>3.915921</v>
      </c>
      <c r="AA53">
        <v>4.0093420000000002</v>
      </c>
      <c r="AB53">
        <v>4.1162910000000004</v>
      </c>
      <c r="AC53">
        <v>4.2366820000000001</v>
      </c>
      <c r="AD53">
        <v>4.3589950000000002</v>
      </c>
      <c r="AE53">
        <v>4.4941659999999999</v>
      </c>
      <c r="AF53">
        <v>4.6137129999999997</v>
      </c>
      <c r="AG53">
        <v>4.7479399999999998</v>
      </c>
      <c r="AH53">
        <v>4.8771259999999996</v>
      </c>
      <c r="AI53">
        <v>5.044562</v>
      </c>
      <c r="AJ53" s="97">
        <v>2.8000000000000001E-2</v>
      </c>
    </row>
    <row r="54" spans="1:36" x14ac:dyDescent="0.25">
      <c r="A54" t="s">
        <v>523</v>
      </c>
      <c r="B54" t="s">
        <v>848</v>
      </c>
      <c r="C54" t="s">
        <v>847</v>
      </c>
      <c r="D54" t="s">
        <v>520</v>
      </c>
      <c r="F54">
        <v>12.224997999999999</v>
      </c>
      <c r="G54">
        <v>12.405747</v>
      </c>
      <c r="H54">
        <v>12.237636</v>
      </c>
      <c r="I54">
        <v>12.022482999999999</v>
      </c>
      <c r="J54">
        <v>11.987779</v>
      </c>
      <c r="K54">
        <v>12.034852000000001</v>
      </c>
      <c r="L54">
        <v>12.141092</v>
      </c>
      <c r="M54">
        <v>12.347277</v>
      </c>
      <c r="N54">
        <v>12.640115</v>
      </c>
      <c r="O54">
        <v>12.970637</v>
      </c>
      <c r="P54">
        <v>13.303642999999999</v>
      </c>
      <c r="Q54">
        <v>13.819509999999999</v>
      </c>
      <c r="R54">
        <v>14.283655</v>
      </c>
      <c r="S54">
        <v>14.619742</v>
      </c>
      <c r="T54">
        <v>15.044</v>
      </c>
      <c r="U54">
        <v>15.491720000000001</v>
      </c>
      <c r="V54">
        <v>16.003972999999998</v>
      </c>
      <c r="W54">
        <v>16.490255000000001</v>
      </c>
      <c r="X54">
        <v>16.974945000000002</v>
      </c>
      <c r="Y54">
        <v>17.452290999999999</v>
      </c>
      <c r="Z54">
        <v>17.887127</v>
      </c>
      <c r="AA54">
        <v>18.322187</v>
      </c>
      <c r="AB54">
        <v>18.766511999999999</v>
      </c>
      <c r="AC54">
        <v>19.221584</v>
      </c>
      <c r="AD54">
        <v>19.615328000000002</v>
      </c>
      <c r="AE54">
        <v>19.990197999999999</v>
      </c>
      <c r="AF54">
        <v>20.437253999999999</v>
      </c>
      <c r="AG54">
        <v>20.812099</v>
      </c>
      <c r="AH54">
        <v>21.136326</v>
      </c>
      <c r="AI54" s="97">
        <v>0.02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ACFDD-F79C-4914-8C75-4A66FF828BF0}">
  <dimension ref="A1:AH54"/>
  <sheetViews>
    <sheetView workbookViewId="0"/>
  </sheetViews>
  <sheetFormatPr defaultRowHeight="15" x14ac:dyDescent="0.25"/>
  <cols>
    <col min="1" max="1" width="21.5703125" customWidth="1"/>
  </cols>
  <sheetData>
    <row r="1" spans="1:33" x14ac:dyDescent="0.25">
      <c r="A1" t="s">
        <v>631</v>
      </c>
    </row>
    <row r="2" spans="1:33" x14ac:dyDescent="0.25">
      <c r="A2" t="s">
        <v>630</v>
      </c>
    </row>
    <row r="3" spans="1:33" x14ac:dyDescent="0.25">
      <c r="A3" t="s">
        <v>629</v>
      </c>
    </row>
    <row r="4" spans="1:33" x14ac:dyDescent="0.25">
      <c r="A4" t="s">
        <v>480</v>
      </c>
    </row>
    <row r="5" spans="1:33" x14ac:dyDescent="0.25">
      <c r="B5" t="s">
        <v>481</v>
      </c>
      <c r="C5" t="s">
        <v>482</v>
      </c>
      <c r="D5" t="s">
        <v>483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515</v>
      </c>
    </row>
    <row r="6" spans="1:33" s="228" customFormat="1" x14ac:dyDescent="0.25">
      <c r="A6" s="228" t="s">
        <v>96</v>
      </c>
    </row>
    <row r="7" spans="1:33" x14ac:dyDescent="0.25">
      <c r="A7" t="s">
        <v>628</v>
      </c>
      <c r="B7" t="s">
        <v>627</v>
      </c>
      <c r="C7" t="s">
        <v>626</v>
      </c>
      <c r="D7" t="s">
        <v>107</v>
      </c>
      <c r="F7">
        <v>27.464071000000001</v>
      </c>
      <c r="G7">
        <v>28.262267999999999</v>
      </c>
      <c r="H7">
        <v>28.541277000000001</v>
      </c>
      <c r="I7">
        <v>28.920041999999999</v>
      </c>
      <c r="J7">
        <v>28.912859000000001</v>
      </c>
      <c r="K7">
        <v>28.885859</v>
      </c>
      <c r="L7">
        <v>28.679307999999999</v>
      </c>
      <c r="M7">
        <v>28.304096000000001</v>
      </c>
      <c r="N7">
        <v>27.836265999999998</v>
      </c>
      <c r="O7">
        <v>27.619070000000001</v>
      </c>
      <c r="P7">
        <v>27.394928</v>
      </c>
      <c r="Q7">
        <v>26.821155999999998</v>
      </c>
      <c r="R7">
        <v>26.303025999999999</v>
      </c>
      <c r="S7">
        <v>25.84412</v>
      </c>
      <c r="T7">
        <v>25.384385999999999</v>
      </c>
      <c r="U7">
        <v>25.005167</v>
      </c>
      <c r="V7">
        <v>24.713476</v>
      </c>
      <c r="W7">
        <v>24.388079000000001</v>
      </c>
      <c r="X7">
        <v>24.236376</v>
      </c>
      <c r="Y7">
        <v>23.936176</v>
      </c>
      <c r="Z7">
        <v>23.837074000000001</v>
      </c>
      <c r="AA7">
        <v>23.875831999999999</v>
      </c>
      <c r="AB7">
        <v>23.736609000000001</v>
      </c>
      <c r="AC7">
        <v>23.543897999999999</v>
      </c>
      <c r="AD7">
        <v>23.332934999999999</v>
      </c>
      <c r="AE7">
        <v>23.274857999999998</v>
      </c>
      <c r="AF7">
        <v>23.169499999999999</v>
      </c>
      <c r="AG7" s="97">
        <v>-7.0000000000000001E-3</v>
      </c>
    </row>
    <row r="8" spans="1:33" x14ac:dyDescent="0.25">
      <c r="A8" t="s">
        <v>625</v>
      </c>
      <c r="B8" t="s">
        <v>624</v>
      </c>
      <c r="C8" t="s">
        <v>623</v>
      </c>
      <c r="D8" t="s">
        <v>107</v>
      </c>
      <c r="F8">
        <v>8.9447690000000009</v>
      </c>
      <c r="G8">
        <v>9.0518099999999997</v>
      </c>
      <c r="H8">
        <v>9.6017100000000006</v>
      </c>
      <c r="I8">
        <v>9.8761779999999995</v>
      </c>
      <c r="J8">
        <v>9.8714150000000007</v>
      </c>
      <c r="K8">
        <v>9.9262230000000002</v>
      </c>
      <c r="L8">
        <v>10.00989</v>
      </c>
      <c r="M8">
        <v>9.8951499999999992</v>
      </c>
      <c r="N8">
        <v>9.9907350000000008</v>
      </c>
      <c r="O8">
        <v>10.111236999999999</v>
      </c>
      <c r="P8">
        <v>10.230657000000001</v>
      </c>
      <c r="Q8">
        <v>10.516375</v>
      </c>
      <c r="R8">
        <v>10.493036999999999</v>
      </c>
      <c r="S8">
        <v>10.495532000000001</v>
      </c>
      <c r="T8">
        <v>10.641144000000001</v>
      </c>
      <c r="U8">
        <v>10.687873</v>
      </c>
      <c r="V8">
        <v>10.727968000000001</v>
      </c>
      <c r="W8">
        <v>10.720901</v>
      </c>
      <c r="X8">
        <v>10.776078999999999</v>
      </c>
      <c r="Y8">
        <v>10.805953000000001</v>
      </c>
      <c r="Z8">
        <v>10.850080999999999</v>
      </c>
      <c r="AA8">
        <v>10.89747</v>
      </c>
      <c r="AB8">
        <v>10.976542</v>
      </c>
      <c r="AC8">
        <v>11.038014</v>
      </c>
      <c r="AD8">
        <v>11.041052000000001</v>
      </c>
      <c r="AE8">
        <v>11.063836</v>
      </c>
      <c r="AF8">
        <v>11.13463</v>
      </c>
      <c r="AG8" s="97">
        <v>8.0000000000000002E-3</v>
      </c>
    </row>
    <row r="9" spans="1:33" x14ac:dyDescent="0.25">
      <c r="A9" t="s">
        <v>622</v>
      </c>
      <c r="B9" t="s">
        <v>621</v>
      </c>
      <c r="C9" t="s">
        <v>620</v>
      </c>
      <c r="D9" t="s">
        <v>107</v>
      </c>
      <c r="F9">
        <v>39.777957999999998</v>
      </c>
      <c r="G9">
        <v>39.964314000000002</v>
      </c>
      <c r="H9">
        <v>40.376175000000003</v>
      </c>
      <c r="I9">
        <v>40.612423</v>
      </c>
      <c r="J9">
        <v>41.816150999999998</v>
      </c>
      <c r="K9">
        <v>42.651702999999998</v>
      </c>
      <c r="L9">
        <v>43.563282000000001</v>
      </c>
      <c r="M9">
        <v>43.656241999999999</v>
      </c>
      <c r="N9">
        <v>45.521186999999998</v>
      </c>
      <c r="O9">
        <v>45.501274000000002</v>
      </c>
      <c r="P9">
        <v>45.491351999999999</v>
      </c>
      <c r="Q9">
        <v>45.081741000000001</v>
      </c>
      <c r="R9">
        <v>44.722285999999997</v>
      </c>
      <c r="S9">
        <v>44.078887999999999</v>
      </c>
      <c r="T9">
        <v>43.848736000000002</v>
      </c>
      <c r="U9">
        <v>43.464911999999998</v>
      </c>
      <c r="V9">
        <v>43.734524</v>
      </c>
      <c r="W9">
        <v>44.301231000000001</v>
      </c>
      <c r="X9">
        <v>44.546782999999998</v>
      </c>
      <c r="Y9">
        <v>44.735222</v>
      </c>
      <c r="Z9">
        <v>44.901122999999998</v>
      </c>
      <c r="AA9">
        <v>45.162959999999998</v>
      </c>
      <c r="AB9">
        <v>45.552684999999997</v>
      </c>
      <c r="AC9">
        <v>45.824455</v>
      </c>
      <c r="AD9">
        <v>45.987712999999999</v>
      </c>
      <c r="AE9">
        <v>46.202480000000001</v>
      </c>
      <c r="AF9">
        <v>46.360294000000003</v>
      </c>
      <c r="AG9" s="97">
        <v>6.0000000000000001E-3</v>
      </c>
    </row>
    <row r="10" spans="1:33" x14ac:dyDescent="0.25">
      <c r="A10" t="s">
        <v>517</v>
      </c>
      <c r="B10" t="s">
        <v>619</v>
      </c>
      <c r="C10" t="s">
        <v>618</v>
      </c>
      <c r="D10" t="s">
        <v>107</v>
      </c>
      <c r="F10">
        <v>10.264849999999999</v>
      </c>
      <c r="G10">
        <v>10.131456</v>
      </c>
      <c r="H10">
        <v>9.2934970000000003</v>
      </c>
      <c r="I10">
        <v>8.2769279999999998</v>
      </c>
      <c r="J10">
        <v>8.2348909999999993</v>
      </c>
      <c r="K10">
        <v>7.8908149999999999</v>
      </c>
      <c r="L10">
        <v>7.0840399999999999</v>
      </c>
      <c r="M10">
        <v>6.7873130000000002</v>
      </c>
      <c r="N10">
        <v>4.3133929999999996</v>
      </c>
      <c r="O10">
        <v>4.312983</v>
      </c>
      <c r="P10">
        <v>4.2677050000000003</v>
      </c>
      <c r="Q10">
        <v>4.2984210000000003</v>
      </c>
      <c r="R10">
        <v>4.2260289999999996</v>
      </c>
      <c r="S10">
        <v>4.2382309999999999</v>
      </c>
      <c r="T10">
        <v>4.1615320000000002</v>
      </c>
      <c r="U10">
        <v>3.857612</v>
      </c>
      <c r="V10">
        <v>3.8928319999999998</v>
      </c>
      <c r="W10">
        <v>3.8492950000000001</v>
      </c>
      <c r="X10">
        <v>3.8536760000000001</v>
      </c>
      <c r="Y10">
        <v>3.865084</v>
      </c>
      <c r="Z10">
        <v>3.8757769999999998</v>
      </c>
      <c r="AA10">
        <v>3.9172259999999999</v>
      </c>
      <c r="AB10">
        <v>3.7810700000000002</v>
      </c>
      <c r="AC10">
        <v>3.8151899999999999</v>
      </c>
      <c r="AD10">
        <v>3.8247789999999999</v>
      </c>
      <c r="AE10">
        <v>3.8427159999999998</v>
      </c>
      <c r="AF10">
        <v>3.797269</v>
      </c>
      <c r="AG10" s="97">
        <v>-3.7999999999999999E-2</v>
      </c>
    </row>
    <row r="11" spans="1:33" x14ac:dyDescent="0.25">
      <c r="A11" t="s">
        <v>578</v>
      </c>
      <c r="B11" t="s">
        <v>617</v>
      </c>
      <c r="C11" t="s">
        <v>616</v>
      </c>
      <c r="D11" t="s">
        <v>107</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97">
        <v>0</v>
      </c>
    </row>
    <row r="12" spans="1:33" x14ac:dyDescent="0.25">
      <c r="A12" t="s">
        <v>575</v>
      </c>
      <c r="B12" t="s">
        <v>615</v>
      </c>
      <c r="C12" t="s">
        <v>614</v>
      </c>
      <c r="D12" t="s">
        <v>107</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97">
        <v>5.0000000000000001E-3</v>
      </c>
    </row>
    <row r="13" spans="1:33" x14ac:dyDescent="0.25">
      <c r="A13" t="s">
        <v>572</v>
      </c>
      <c r="B13" t="s">
        <v>613</v>
      </c>
      <c r="C13" t="s">
        <v>612</v>
      </c>
      <c r="D13" t="s">
        <v>107</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97">
        <v>1E-3</v>
      </c>
    </row>
    <row r="14" spans="1:33" x14ac:dyDescent="0.25">
      <c r="A14" t="s">
        <v>569</v>
      </c>
      <c r="B14" t="s">
        <v>611</v>
      </c>
      <c r="C14" t="s">
        <v>610</v>
      </c>
      <c r="D14" t="s">
        <v>107</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97">
        <v>0.06</v>
      </c>
    </row>
    <row r="15" spans="1:33" x14ac:dyDescent="0.25">
      <c r="A15" t="s">
        <v>566</v>
      </c>
      <c r="B15" t="s">
        <v>609</v>
      </c>
      <c r="C15" t="s">
        <v>608</v>
      </c>
      <c r="D15" t="s">
        <v>107</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97">
        <v>-3.9E-2</v>
      </c>
    </row>
    <row r="16" spans="1:33" x14ac:dyDescent="0.25">
      <c r="A16" t="s">
        <v>516</v>
      </c>
      <c r="B16" t="s">
        <v>607</v>
      </c>
      <c r="C16" t="s">
        <v>606</v>
      </c>
      <c r="D16" t="s">
        <v>107</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97">
        <v>2E-3</v>
      </c>
    </row>
    <row r="17" spans="1:33" s="228" customFormat="1" x14ac:dyDescent="0.25">
      <c r="A17" s="228" t="s">
        <v>22</v>
      </c>
    </row>
    <row r="18" spans="1:33" x14ac:dyDescent="0.25">
      <c r="A18" t="s">
        <v>30</v>
      </c>
      <c r="B18" t="s">
        <v>605</v>
      </c>
      <c r="C18" t="s">
        <v>604</v>
      </c>
      <c r="D18" t="s">
        <v>107</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97">
        <v>8.0000000000000002E-3</v>
      </c>
    </row>
    <row r="19" spans="1:33" x14ac:dyDescent="0.25">
      <c r="A19" t="s">
        <v>150</v>
      </c>
      <c r="B19" t="s">
        <v>603</v>
      </c>
      <c r="C19" t="s">
        <v>602</v>
      </c>
      <c r="D19" t="s">
        <v>107</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97">
        <v>-5.0000000000000001E-3</v>
      </c>
    </row>
    <row r="20" spans="1:33" x14ac:dyDescent="0.25">
      <c r="A20" t="s">
        <v>518</v>
      </c>
      <c r="B20" t="s">
        <v>601</v>
      </c>
      <c r="C20" t="s">
        <v>600</v>
      </c>
      <c r="D20" t="s">
        <v>107</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97">
        <v>-6.0000000000000001E-3</v>
      </c>
    </row>
    <row r="21" spans="1:33" x14ac:dyDescent="0.25">
      <c r="A21" t="s">
        <v>566</v>
      </c>
      <c r="B21" t="s">
        <v>599</v>
      </c>
      <c r="C21" t="s">
        <v>598</v>
      </c>
      <c r="D21" t="s">
        <v>107</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97">
        <v>3.6999999999999998E-2</v>
      </c>
    </row>
    <row r="22" spans="1:33" x14ac:dyDescent="0.25">
      <c r="A22" t="s">
        <v>516</v>
      </c>
      <c r="B22" t="s">
        <v>597</v>
      </c>
      <c r="C22" t="s">
        <v>596</v>
      </c>
      <c r="D22" t="s">
        <v>107</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97">
        <v>4.0000000000000001E-3</v>
      </c>
    </row>
    <row r="23" spans="1:33" s="228" customFormat="1" x14ac:dyDescent="0.25">
      <c r="A23" s="228" t="s">
        <v>27</v>
      </c>
    </row>
    <row r="24" spans="1:33" x14ac:dyDescent="0.25">
      <c r="A24" t="s">
        <v>150</v>
      </c>
      <c r="B24" t="s">
        <v>595</v>
      </c>
      <c r="C24" t="s">
        <v>594</v>
      </c>
      <c r="D24" t="s">
        <v>107</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97">
        <v>1.2E-2</v>
      </c>
    </row>
    <row r="25" spans="1:33" x14ac:dyDescent="0.25">
      <c r="A25" t="s">
        <v>518</v>
      </c>
      <c r="B25" t="s">
        <v>593</v>
      </c>
      <c r="C25" t="s">
        <v>592</v>
      </c>
      <c r="D25" t="s">
        <v>107</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97">
        <v>2.1000000000000001E-2</v>
      </c>
    </row>
    <row r="26" spans="1:33" x14ac:dyDescent="0.25">
      <c r="A26" t="s">
        <v>517</v>
      </c>
      <c r="B26" t="s">
        <v>591</v>
      </c>
      <c r="C26" t="s">
        <v>590</v>
      </c>
      <c r="D26" t="s">
        <v>107</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97">
        <v>6.0000000000000001E-3</v>
      </c>
    </row>
    <row r="27" spans="1:33" x14ac:dyDescent="0.25">
      <c r="A27" t="s">
        <v>516</v>
      </c>
      <c r="B27" t="s">
        <v>589</v>
      </c>
      <c r="C27" t="s">
        <v>588</v>
      </c>
      <c r="D27" t="s">
        <v>107</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97">
        <v>1.4E-2</v>
      </c>
    </row>
    <row r="28" spans="1:33" x14ac:dyDescent="0.25">
      <c r="A28" t="s">
        <v>587</v>
      </c>
      <c r="B28" t="s">
        <v>586</v>
      </c>
      <c r="C28" t="s">
        <v>585</v>
      </c>
      <c r="D28" t="s">
        <v>107</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97">
        <v>-4.9000000000000002E-2</v>
      </c>
    </row>
    <row r="29" spans="1:33" s="228" customFormat="1" x14ac:dyDescent="0.25">
      <c r="A29" s="228" t="s">
        <v>98</v>
      </c>
    </row>
    <row r="30" spans="1:33" x14ac:dyDescent="0.25">
      <c r="A30" t="s">
        <v>150</v>
      </c>
      <c r="B30" t="s">
        <v>584</v>
      </c>
      <c r="C30" t="s">
        <v>583</v>
      </c>
      <c r="D30" t="s">
        <v>107</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97">
        <v>-8.0000000000000002E-3</v>
      </c>
    </row>
    <row r="31" spans="1:33" x14ac:dyDescent="0.25">
      <c r="A31" t="s">
        <v>518</v>
      </c>
      <c r="B31" t="s">
        <v>582</v>
      </c>
      <c r="C31" t="s">
        <v>581</v>
      </c>
      <c r="D31" t="s">
        <v>107</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97">
        <v>1E-3</v>
      </c>
    </row>
    <row r="32" spans="1:33" x14ac:dyDescent="0.25">
      <c r="A32" t="s">
        <v>517</v>
      </c>
      <c r="B32" t="s">
        <v>580</v>
      </c>
      <c r="C32" t="s">
        <v>579</v>
      </c>
      <c r="D32" t="s">
        <v>107</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97">
        <v>-9.1999999999999998E-2</v>
      </c>
    </row>
    <row r="33" spans="1:34" x14ac:dyDescent="0.25">
      <c r="A33" t="s">
        <v>578</v>
      </c>
      <c r="B33" t="s">
        <v>577</v>
      </c>
      <c r="C33" t="s">
        <v>576</v>
      </c>
      <c r="D33" t="s">
        <v>107</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97">
        <v>0</v>
      </c>
    </row>
    <row r="34" spans="1:34" x14ac:dyDescent="0.25">
      <c r="A34" t="s">
        <v>575</v>
      </c>
      <c r="B34" t="s">
        <v>574</v>
      </c>
      <c r="C34" t="s">
        <v>573</v>
      </c>
      <c r="D34" t="s">
        <v>107</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97">
        <v>5.0000000000000001E-3</v>
      </c>
    </row>
    <row r="35" spans="1:34" x14ac:dyDescent="0.25">
      <c r="A35" t="s">
        <v>572</v>
      </c>
      <c r="B35" t="s">
        <v>571</v>
      </c>
      <c r="C35" t="s">
        <v>570</v>
      </c>
      <c r="D35" t="s">
        <v>107</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97">
        <v>2E-3</v>
      </c>
    </row>
    <row r="36" spans="1:34" x14ac:dyDescent="0.25">
      <c r="A36" t="s">
        <v>569</v>
      </c>
      <c r="B36" t="s">
        <v>568</v>
      </c>
      <c r="C36" t="s">
        <v>567</v>
      </c>
      <c r="D36" t="s">
        <v>107</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97">
        <v>0.06</v>
      </c>
    </row>
    <row r="37" spans="1:34" x14ac:dyDescent="0.25">
      <c r="A37" t="s">
        <v>566</v>
      </c>
      <c r="B37" t="s">
        <v>565</v>
      </c>
      <c r="C37" t="s">
        <v>564</v>
      </c>
      <c r="D37" t="s">
        <v>107</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97">
        <v>1.9E-2</v>
      </c>
    </row>
    <row r="38" spans="1:34" x14ac:dyDescent="0.25">
      <c r="A38" t="s">
        <v>516</v>
      </c>
      <c r="B38" t="s">
        <v>563</v>
      </c>
      <c r="C38" t="s">
        <v>562</v>
      </c>
      <c r="D38" t="s">
        <v>107</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97">
        <v>-2E-3</v>
      </c>
    </row>
    <row r="39" spans="1:34" x14ac:dyDescent="0.25">
      <c r="A39" t="s">
        <v>561</v>
      </c>
    </row>
    <row r="40" spans="1:34" x14ac:dyDescent="0.25">
      <c r="A40" t="s">
        <v>544</v>
      </c>
      <c r="B40" t="s">
        <v>560</v>
      </c>
      <c r="C40" t="s">
        <v>559</v>
      </c>
      <c r="D40" t="s">
        <v>514</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97">
        <v>5.0000000000000001E-3</v>
      </c>
    </row>
    <row r="41" spans="1:34" x14ac:dyDescent="0.25">
      <c r="A41" t="s">
        <v>541</v>
      </c>
      <c r="B41" t="s">
        <v>558</v>
      </c>
      <c r="C41" t="s">
        <v>557</v>
      </c>
      <c r="D41" t="s">
        <v>514</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97">
        <v>6.0000000000000001E-3</v>
      </c>
    </row>
    <row r="42" spans="1:34" x14ac:dyDescent="0.25">
      <c r="A42" t="s">
        <v>537</v>
      </c>
      <c r="B42" t="s">
        <v>556</v>
      </c>
      <c r="C42" t="s">
        <v>555</v>
      </c>
      <c r="D42" t="s">
        <v>519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97">
        <v>3.3000000000000002E-2</v>
      </c>
    </row>
    <row r="43" spans="1:34" x14ac:dyDescent="0.25">
      <c r="A43" t="s">
        <v>517</v>
      </c>
      <c r="B43" t="s">
        <v>534</v>
      </c>
      <c r="C43" t="s">
        <v>554</v>
      </c>
      <c r="D43" t="s">
        <v>553</v>
      </c>
      <c r="E43" t="s">
        <v>552</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97">
        <v>3.1E-2</v>
      </c>
    </row>
    <row r="44" spans="1:34" x14ac:dyDescent="0.25">
      <c r="A44" t="s">
        <v>517</v>
      </c>
      <c r="B44" t="s">
        <v>530</v>
      </c>
      <c r="C44" t="s">
        <v>551</v>
      </c>
      <c r="D44" t="s">
        <v>550</v>
      </c>
      <c r="E44" t="s">
        <v>519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97">
        <v>2.3E-2</v>
      </c>
    </row>
    <row r="45" spans="1:34" x14ac:dyDescent="0.25">
      <c r="A45" t="s">
        <v>517</v>
      </c>
      <c r="B45" t="s">
        <v>527</v>
      </c>
      <c r="C45" t="s">
        <v>549</v>
      </c>
      <c r="D45" t="s">
        <v>548</v>
      </c>
      <c r="E45" t="s">
        <v>519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97">
        <v>2.1000000000000001E-2</v>
      </c>
    </row>
    <row r="46" spans="1:34" x14ac:dyDescent="0.25">
      <c r="A46" t="s">
        <v>523</v>
      </c>
      <c r="B46" t="s">
        <v>547</v>
      </c>
      <c r="C46" t="s">
        <v>546</v>
      </c>
      <c r="D46" t="s">
        <v>545</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97">
        <v>-2E-3</v>
      </c>
    </row>
    <row r="47" spans="1:34" x14ac:dyDescent="0.25">
      <c r="A47" t="s">
        <v>99</v>
      </c>
    </row>
    <row r="48" spans="1:34" x14ac:dyDescent="0.25">
      <c r="A48" t="s">
        <v>544</v>
      </c>
      <c r="B48" t="s">
        <v>543</v>
      </c>
      <c r="C48" t="s">
        <v>542</v>
      </c>
      <c r="D48" t="s">
        <v>538</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97">
        <v>2.5999999999999999E-2</v>
      </c>
    </row>
    <row r="49" spans="1:34" x14ac:dyDescent="0.25">
      <c r="A49" t="s">
        <v>541</v>
      </c>
      <c r="B49" t="s">
        <v>540</v>
      </c>
      <c r="C49" t="s">
        <v>539</v>
      </c>
      <c r="D49" t="s">
        <v>538</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97">
        <v>2.7E-2</v>
      </c>
    </row>
    <row r="50" spans="1:34" x14ac:dyDescent="0.25">
      <c r="A50" t="s">
        <v>537</v>
      </c>
      <c r="B50" t="s">
        <v>536</v>
      </c>
      <c r="C50" t="s">
        <v>535</v>
      </c>
      <c r="D50" t="s">
        <v>524</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97">
        <v>5.5E-2</v>
      </c>
    </row>
    <row r="51" spans="1:34" x14ac:dyDescent="0.25">
      <c r="A51" t="s">
        <v>517</v>
      </c>
      <c r="B51" t="s">
        <v>534</v>
      </c>
      <c r="C51" t="s">
        <v>533</v>
      </c>
      <c r="D51" t="s">
        <v>532</v>
      </c>
      <c r="E51" t="s">
        <v>531</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97">
        <v>5.1999999999999998E-2</v>
      </c>
    </row>
    <row r="52" spans="1:34" x14ac:dyDescent="0.25">
      <c r="A52" t="s">
        <v>517</v>
      </c>
      <c r="B52" t="s">
        <v>530</v>
      </c>
      <c r="C52" t="s">
        <v>529</v>
      </c>
      <c r="D52" t="s">
        <v>528</v>
      </c>
      <c r="E52" t="s">
        <v>524</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97">
        <v>4.3999999999999997E-2</v>
      </c>
    </row>
    <row r="53" spans="1:34" x14ac:dyDescent="0.25">
      <c r="A53" t="s">
        <v>517</v>
      </c>
      <c r="B53" t="s">
        <v>527</v>
      </c>
      <c r="C53" t="s">
        <v>526</v>
      </c>
      <c r="D53" t="s">
        <v>525</v>
      </c>
      <c r="E53" t="s">
        <v>524</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97">
        <v>4.2999999999999997E-2</v>
      </c>
    </row>
    <row r="54" spans="1:34" x14ac:dyDescent="0.25">
      <c r="A54" t="s">
        <v>523</v>
      </c>
      <c r="B54" t="s">
        <v>522</v>
      </c>
      <c r="C54" t="s">
        <v>521</v>
      </c>
      <c r="D54" t="s">
        <v>520</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97">
        <v>1.9E-2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31519-23BD-4CD7-98F3-DA779390DEB6}">
  <dimension ref="A1:AH54"/>
  <sheetViews>
    <sheetView workbookViewId="0"/>
  </sheetViews>
  <sheetFormatPr defaultRowHeight="15" x14ac:dyDescent="0.25"/>
  <cols>
    <col min="1" max="1" width="18" customWidth="1"/>
  </cols>
  <sheetData>
    <row r="1" spans="1:33" x14ac:dyDescent="0.25">
      <c r="A1" t="s">
        <v>631</v>
      </c>
    </row>
    <row r="2" spans="1:33" x14ac:dyDescent="0.25">
      <c r="A2" t="s">
        <v>719</v>
      </c>
    </row>
    <row r="3" spans="1:33" x14ac:dyDescent="0.25">
      <c r="A3" t="s">
        <v>718</v>
      </c>
    </row>
    <row r="4" spans="1:33" x14ac:dyDescent="0.25">
      <c r="A4" t="s">
        <v>480</v>
      </c>
    </row>
    <row r="5" spans="1:33" x14ac:dyDescent="0.25">
      <c r="B5" t="s">
        <v>481</v>
      </c>
      <c r="C5" t="s">
        <v>482</v>
      </c>
      <c r="D5" t="s">
        <v>483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515</v>
      </c>
    </row>
    <row r="6" spans="1:33" s="231" customFormat="1" x14ac:dyDescent="0.25">
      <c r="A6" s="231" t="s">
        <v>96</v>
      </c>
    </row>
    <row r="7" spans="1:33" x14ac:dyDescent="0.25">
      <c r="A7" t="s">
        <v>628</v>
      </c>
      <c r="B7" t="s">
        <v>717</v>
      </c>
      <c r="C7" t="s">
        <v>716</v>
      </c>
      <c r="D7" t="s">
        <v>107</v>
      </c>
      <c r="F7">
        <v>27.464061999999998</v>
      </c>
      <c r="G7">
        <v>28.262165</v>
      </c>
      <c r="H7">
        <v>28.549178999999999</v>
      </c>
      <c r="I7">
        <v>28.946992999999999</v>
      </c>
      <c r="J7">
        <v>28.888255999999998</v>
      </c>
      <c r="K7">
        <v>28.898865000000001</v>
      </c>
      <c r="L7">
        <v>28.743917</v>
      </c>
      <c r="M7">
        <v>28.357877999999999</v>
      </c>
      <c r="N7">
        <v>27.948978</v>
      </c>
      <c r="O7">
        <v>27.672734999999999</v>
      </c>
      <c r="P7">
        <v>27.489103</v>
      </c>
      <c r="Q7">
        <v>27.043666999999999</v>
      </c>
      <c r="R7">
        <v>26.647905000000002</v>
      </c>
      <c r="S7">
        <v>26.435210999999999</v>
      </c>
      <c r="T7">
        <v>26.251519999999999</v>
      </c>
      <c r="U7">
        <v>25.895475000000001</v>
      </c>
      <c r="V7">
        <v>25.567581000000001</v>
      </c>
      <c r="W7">
        <v>25.560324000000001</v>
      </c>
      <c r="X7">
        <v>25.679971999999999</v>
      </c>
      <c r="Y7">
        <v>25.502707000000001</v>
      </c>
      <c r="Z7">
        <v>25.230910999999999</v>
      </c>
      <c r="AA7">
        <v>24.995459</v>
      </c>
      <c r="AB7">
        <v>24.839108</v>
      </c>
      <c r="AC7">
        <v>25.106075000000001</v>
      </c>
      <c r="AD7">
        <v>25.012398000000001</v>
      </c>
      <c r="AE7">
        <v>24.764254000000001</v>
      </c>
      <c r="AF7">
        <v>24.314513999999999</v>
      </c>
      <c r="AG7" s="97">
        <v>-5.0000000000000001E-3</v>
      </c>
    </row>
    <row r="8" spans="1:33" x14ac:dyDescent="0.25">
      <c r="A8" t="s">
        <v>625</v>
      </c>
      <c r="B8" t="s">
        <v>715</v>
      </c>
      <c r="C8" t="s">
        <v>714</v>
      </c>
      <c r="D8" t="s">
        <v>107</v>
      </c>
      <c r="F8">
        <v>8.9447690000000009</v>
      </c>
      <c r="G8">
        <v>9.0518099999999997</v>
      </c>
      <c r="H8">
        <v>9.6273049999999998</v>
      </c>
      <c r="I8">
        <v>9.8873370000000005</v>
      </c>
      <c r="J8">
        <v>9.8663410000000002</v>
      </c>
      <c r="K8">
        <v>9.892925</v>
      </c>
      <c r="L8">
        <v>9.9639159999999993</v>
      </c>
      <c r="M8">
        <v>9.8542299999999994</v>
      </c>
      <c r="N8">
        <v>9.9841300000000004</v>
      </c>
      <c r="O8">
        <v>10.098193</v>
      </c>
      <c r="P8">
        <v>10.158947</v>
      </c>
      <c r="Q8">
        <v>10.397404999999999</v>
      </c>
      <c r="R8">
        <v>10.393470000000001</v>
      </c>
      <c r="S8">
        <v>10.462047</v>
      </c>
      <c r="T8">
        <v>10.584728</v>
      </c>
      <c r="U8">
        <v>10.560332000000001</v>
      </c>
      <c r="V8">
        <v>10.551829</v>
      </c>
      <c r="W8">
        <v>10.586202999999999</v>
      </c>
      <c r="X8">
        <v>10.653202</v>
      </c>
      <c r="Y8">
        <v>10.722008000000001</v>
      </c>
      <c r="Z8">
        <v>10.778245</v>
      </c>
      <c r="AA8">
        <v>10.852371</v>
      </c>
      <c r="AB8">
        <v>10.959963</v>
      </c>
      <c r="AC8">
        <v>11.055661000000001</v>
      </c>
      <c r="AD8">
        <v>11.091573</v>
      </c>
      <c r="AE8">
        <v>11.092441000000001</v>
      </c>
      <c r="AF8">
        <v>11.058627</v>
      </c>
      <c r="AG8" s="97">
        <v>8.0000000000000002E-3</v>
      </c>
    </row>
    <row r="9" spans="1:33" x14ac:dyDescent="0.25">
      <c r="A9" t="s">
        <v>622</v>
      </c>
      <c r="B9" t="s">
        <v>713</v>
      </c>
      <c r="C9" t="s">
        <v>712</v>
      </c>
      <c r="D9" t="s">
        <v>107</v>
      </c>
      <c r="F9">
        <v>39.777962000000002</v>
      </c>
      <c r="G9">
        <v>40.088272000000003</v>
      </c>
      <c r="H9">
        <v>40.321980000000003</v>
      </c>
      <c r="I9">
        <v>40.465632999999997</v>
      </c>
      <c r="J9">
        <v>41.331305999999998</v>
      </c>
      <c r="K9">
        <v>42.155963999999997</v>
      </c>
      <c r="L9">
        <v>42.703346000000003</v>
      </c>
      <c r="M9">
        <v>42.676285</v>
      </c>
      <c r="N9">
        <v>44.471687000000003</v>
      </c>
      <c r="O9">
        <v>44.575001</v>
      </c>
      <c r="P9">
        <v>44.410538000000003</v>
      </c>
      <c r="Q9">
        <v>43.943503999999997</v>
      </c>
      <c r="R9">
        <v>43.412086000000002</v>
      </c>
      <c r="S9">
        <v>43.155613000000002</v>
      </c>
      <c r="T9">
        <v>43.158721999999997</v>
      </c>
      <c r="U9">
        <v>42.921737999999998</v>
      </c>
      <c r="V9">
        <v>43.190680999999998</v>
      </c>
      <c r="W9">
        <v>43.584128999999997</v>
      </c>
      <c r="X9">
        <v>43.714039</v>
      </c>
      <c r="Y9">
        <v>43.733638999999997</v>
      </c>
      <c r="Z9">
        <v>43.764052999999997</v>
      </c>
      <c r="AA9">
        <v>43.910308999999998</v>
      </c>
      <c r="AB9">
        <v>44.287379999999999</v>
      </c>
      <c r="AC9">
        <v>44.354976999999998</v>
      </c>
      <c r="AD9">
        <v>44.343345999999997</v>
      </c>
      <c r="AE9">
        <v>44.318871000000001</v>
      </c>
      <c r="AF9">
        <v>44.269306</v>
      </c>
      <c r="AG9" s="97">
        <v>4.0000000000000001E-3</v>
      </c>
    </row>
    <row r="10" spans="1:33" x14ac:dyDescent="0.25">
      <c r="A10" t="s">
        <v>517</v>
      </c>
      <c r="B10" t="s">
        <v>711</v>
      </c>
      <c r="C10" t="s">
        <v>710</v>
      </c>
      <c r="D10" t="s">
        <v>107</v>
      </c>
      <c r="F10">
        <v>10.263064</v>
      </c>
      <c r="G10">
        <v>10.209652999999999</v>
      </c>
      <c r="H10">
        <v>9.2786039999999996</v>
      </c>
      <c r="I10">
        <v>8.2838379999999994</v>
      </c>
      <c r="J10">
        <v>8.2226940000000006</v>
      </c>
      <c r="K10">
        <v>7.6200970000000003</v>
      </c>
      <c r="L10">
        <v>6.7846570000000002</v>
      </c>
      <c r="M10">
        <v>6.4637010000000004</v>
      </c>
      <c r="N10">
        <v>4.182893</v>
      </c>
      <c r="O10">
        <v>4.1634279999999997</v>
      </c>
      <c r="P10">
        <v>4.0782600000000002</v>
      </c>
      <c r="Q10">
        <v>4.1215789999999997</v>
      </c>
      <c r="R10">
        <v>4.0266570000000002</v>
      </c>
      <c r="S10">
        <v>4.0501180000000003</v>
      </c>
      <c r="T10">
        <v>3.9999210000000001</v>
      </c>
      <c r="U10">
        <v>3.8937539999999999</v>
      </c>
      <c r="V10">
        <v>3.9242499999999998</v>
      </c>
      <c r="W10">
        <v>3.8857140000000001</v>
      </c>
      <c r="X10">
        <v>3.8860220000000001</v>
      </c>
      <c r="Y10">
        <v>3.8982389999999998</v>
      </c>
      <c r="Z10">
        <v>3.8806080000000001</v>
      </c>
      <c r="AA10">
        <v>3.9428190000000001</v>
      </c>
      <c r="AB10">
        <v>3.8050709999999999</v>
      </c>
      <c r="AC10">
        <v>3.8397559999999999</v>
      </c>
      <c r="AD10">
        <v>3.8459150000000002</v>
      </c>
      <c r="AE10">
        <v>3.8513670000000002</v>
      </c>
      <c r="AF10">
        <v>3.7936730000000001</v>
      </c>
      <c r="AG10" s="97">
        <v>-3.7999999999999999E-2</v>
      </c>
    </row>
    <row r="11" spans="1:33" x14ac:dyDescent="0.25">
      <c r="A11" t="s">
        <v>578</v>
      </c>
      <c r="B11" t="s">
        <v>709</v>
      </c>
      <c r="C11" t="s">
        <v>708</v>
      </c>
      <c r="D11" t="s">
        <v>107</v>
      </c>
      <c r="F11">
        <v>8.1225670000000001</v>
      </c>
      <c r="G11">
        <v>8.2613570000000003</v>
      </c>
      <c r="H11">
        <v>8.3596540000000008</v>
      </c>
      <c r="I11">
        <v>8.3406389999999995</v>
      </c>
      <c r="J11">
        <v>8.3405020000000007</v>
      </c>
      <c r="K11">
        <v>8.3404609999999995</v>
      </c>
      <c r="L11">
        <v>8.2471309999999995</v>
      </c>
      <c r="M11">
        <v>8.1604179999999999</v>
      </c>
      <c r="N11">
        <v>8.1603010000000005</v>
      </c>
      <c r="O11">
        <v>8.1063089999999995</v>
      </c>
      <c r="P11">
        <v>8.0680239999999994</v>
      </c>
      <c r="Q11">
        <v>7.9324190000000003</v>
      </c>
      <c r="R11">
        <v>7.8423249999999998</v>
      </c>
      <c r="S11">
        <v>7.6705220000000001</v>
      </c>
      <c r="T11">
        <v>7.6032440000000001</v>
      </c>
      <c r="U11">
        <v>7.5609320000000002</v>
      </c>
      <c r="V11">
        <v>7.3569550000000001</v>
      </c>
      <c r="W11">
        <v>7.3055690000000002</v>
      </c>
      <c r="X11">
        <v>7.3107990000000003</v>
      </c>
      <c r="Y11">
        <v>7.3681999999999999</v>
      </c>
      <c r="Z11">
        <v>7.4122830000000004</v>
      </c>
      <c r="AA11">
        <v>7.3401769999999997</v>
      </c>
      <c r="AB11">
        <v>7.3380780000000003</v>
      </c>
      <c r="AC11">
        <v>7.3329940000000002</v>
      </c>
      <c r="AD11">
        <v>7.303617</v>
      </c>
      <c r="AE11">
        <v>7.2679140000000002</v>
      </c>
      <c r="AF11">
        <v>7.2538739999999997</v>
      </c>
      <c r="AG11" s="97">
        <v>-4.0000000000000001E-3</v>
      </c>
    </row>
    <row r="12" spans="1:33" x14ac:dyDescent="0.25">
      <c r="A12" t="s">
        <v>575</v>
      </c>
      <c r="B12" t="s">
        <v>707</v>
      </c>
      <c r="C12" t="s">
        <v>706</v>
      </c>
      <c r="D12" t="s">
        <v>107</v>
      </c>
      <c r="F12">
        <v>0.82673799999999997</v>
      </c>
      <c r="G12">
        <v>0.89713500000000002</v>
      </c>
      <c r="H12">
        <v>0.93154300000000001</v>
      </c>
      <c r="I12">
        <v>0.96592900000000004</v>
      </c>
      <c r="J12">
        <v>0.96586000000000005</v>
      </c>
      <c r="K12">
        <v>0.96587599999999996</v>
      </c>
      <c r="L12">
        <v>0.96630300000000002</v>
      </c>
      <c r="M12">
        <v>0.96634299999999995</v>
      </c>
      <c r="N12">
        <v>0.96801599999999999</v>
      </c>
      <c r="O12">
        <v>0.96530099999999996</v>
      </c>
      <c r="P12">
        <v>0.96179599999999998</v>
      </c>
      <c r="Q12">
        <v>0.95052700000000001</v>
      </c>
      <c r="R12">
        <v>0.94846299999999995</v>
      </c>
      <c r="S12">
        <v>0.94750100000000004</v>
      </c>
      <c r="T12">
        <v>0.94209699999999996</v>
      </c>
      <c r="U12">
        <v>0.93090099999999998</v>
      </c>
      <c r="V12">
        <v>0.93122099999999997</v>
      </c>
      <c r="W12">
        <v>0.93847199999999997</v>
      </c>
      <c r="X12">
        <v>0.939299</v>
      </c>
      <c r="Y12">
        <v>0.93390899999999999</v>
      </c>
      <c r="Z12">
        <v>0.92494299999999996</v>
      </c>
      <c r="AA12">
        <v>0.92375600000000002</v>
      </c>
      <c r="AB12">
        <v>0.91442800000000002</v>
      </c>
      <c r="AC12">
        <v>0.906192</v>
      </c>
      <c r="AD12">
        <v>0.91056400000000004</v>
      </c>
      <c r="AE12">
        <v>0.90995899999999996</v>
      </c>
      <c r="AF12">
        <v>0.91156599999999999</v>
      </c>
      <c r="AG12" s="97">
        <v>4.0000000000000001E-3</v>
      </c>
    </row>
    <row r="13" spans="1:33" x14ac:dyDescent="0.25">
      <c r="A13" t="s">
        <v>572</v>
      </c>
      <c r="B13" t="s">
        <v>705</v>
      </c>
      <c r="C13" t="s">
        <v>704</v>
      </c>
      <c r="D13" t="s">
        <v>107</v>
      </c>
      <c r="F13">
        <v>4.7162230000000003</v>
      </c>
      <c r="G13">
        <v>4.7661020000000001</v>
      </c>
      <c r="H13">
        <v>4.7817429999999996</v>
      </c>
      <c r="I13">
        <v>4.7117699999999996</v>
      </c>
      <c r="J13">
        <v>4.5813129999999997</v>
      </c>
      <c r="K13">
        <v>4.608085</v>
      </c>
      <c r="L13">
        <v>4.6304160000000003</v>
      </c>
      <c r="M13">
        <v>4.6470649999999996</v>
      </c>
      <c r="N13">
        <v>4.6643109999999997</v>
      </c>
      <c r="O13">
        <v>4.6725060000000003</v>
      </c>
      <c r="P13">
        <v>4.7312519999999996</v>
      </c>
      <c r="Q13">
        <v>4.7484520000000003</v>
      </c>
      <c r="R13">
        <v>4.7579450000000003</v>
      </c>
      <c r="S13">
        <v>4.7591049999999999</v>
      </c>
      <c r="T13">
        <v>4.8123849999999999</v>
      </c>
      <c r="U13">
        <v>4.8338570000000001</v>
      </c>
      <c r="V13">
        <v>4.843661</v>
      </c>
      <c r="W13">
        <v>4.839353</v>
      </c>
      <c r="X13">
        <v>4.8389829999999998</v>
      </c>
      <c r="Y13">
        <v>4.8497589999999997</v>
      </c>
      <c r="Z13">
        <v>4.8546889999999996</v>
      </c>
      <c r="AA13">
        <v>4.874555</v>
      </c>
      <c r="AB13">
        <v>4.9043479999999997</v>
      </c>
      <c r="AC13">
        <v>4.9588320000000001</v>
      </c>
      <c r="AD13">
        <v>4.9960950000000004</v>
      </c>
      <c r="AE13">
        <v>5.0464789999999997</v>
      </c>
      <c r="AF13">
        <v>5.0825680000000002</v>
      </c>
      <c r="AG13" s="97">
        <v>3.0000000000000001E-3</v>
      </c>
    </row>
    <row r="14" spans="1:33" x14ac:dyDescent="0.25">
      <c r="A14" t="s">
        <v>569</v>
      </c>
      <c r="B14" t="s">
        <v>703</v>
      </c>
      <c r="C14" t="s">
        <v>702</v>
      </c>
      <c r="D14" t="s">
        <v>107</v>
      </c>
      <c r="F14">
        <v>2.5687570000000002</v>
      </c>
      <c r="G14">
        <v>2.8954939999999998</v>
      </c>
      <c r="H14">
        <v>3.4481570000000001</v>
      </c>
      <c r="I14">
        <v>3.7477779999999998</v>
      </c>
      <c r="J14">
        <v>3.9450289999999999</v>
      </c>
      <c r="K14">
        <v>4.2908480000000004</v>
      </c>
      <c r="L14">
        <v>4.7337660000000001</v>
      </c>
      <c r="M14">
        <v>5.2460000000000004</v>
      </c>
      <c r="N14">
        <v>5.8579460000000001</v>
      </c>
      <c r="O14">
        <v>6.4506240000000004</v>
      </c>
      <c r="P14">
        <v>7.1007389999999999</v>
      </c>
      <c r="Q14">
        <v>7.7564710000000003</v>
      </c>
      <c r="R14">
        <v>8.4201890000000006</v>
      </c>
      <c r="S14">
        <v>8.9648400000000006</v>
      </c>
      <c r="T14">
        <v>9.3182229999999997</v>
      </c>
      <c r="U14">
        <v>9.7752780000000001</v>
      </c>
      <c r="V14">
        <v>10.097687000000001</v>
      </c>
      <c r="W14">
        <v>10.268065</v>
      </c>
      <c r="X14">
        <v>10.424975</v>
      </c>
      <c r="Y14">
        <v>10.586029</v>
      </c>
      <c r="Z14">
        <v>10.756422000000001</v>
      </c>
      <c r="AA14">
        <v>10.979507</v>
      </c>
      <c r="AB14">
        <v>11.201282000000001</v>
      </c>
      <c r="AC14">
        <v>11.471246000000001</v>
      </c>
      <c r="AD14">
        <v>11.736094</v>
      </c>
      <c r="AE14">
        <v>12.031924999999999</v>
      </c>
      <c r="AF14">
        <v>12.295479</v>
      </c>
      <c r="AG14" s="97">
        <v>6.2E-2</v>
      </c>
    </row>
    <row r="15" spans="1:33" x14ac:dyDescent="0.25">
      <c r="A15" t="s">
        <v>566</v>
      </c>
      <c r="B15" t="s">
        <v>701</v>
      </c>
      <c r="C15" t="s">
        <v>700</v>
      </c>
      <c r="D15" t="s">
        <v>107</v>
      </c>
      <c r="F15">
        <v>1.70042</v>
      </c>
      <c r="G15">
        <v>1.771317</v>
      </c>
      <c r="H15">
        <v>0.82401199999999997</v>
      </c>
      <c r="I15">
        <v>0.82248699999999997</v>
      </c>
      <c r="J15">
        <v>0.74897199999999997</v>
      </c>
      <c r="K15">
        <v>0.72577700000000001</v>
      </c>
      <c r="L15">
        <v>0.72870699999999999</v>
      </c>
      <c r="M15">
        <v>0.72867899999999997</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97">
        <v>-3.9E-2</v>
      </c>
    </row>
    <row r="16" spans="1:33" x14ac:dyDescent="0.25">
      <c r="A16" t="s">
        <v>516</v>
      </c>
      <c r="B16" t="s">
        <v>699</v>
      </c>
      <c r="C16" t="s">
        <v>698</v>
      </c>
      <c r="D16" t="s">
        <v>107</v>
      </c>
      <c r="F16">
        <v>104.38455999999999</v>
      </c>
      <c r="G16">
        <v>106.203316</v>
      </c>
      <c r="H16">
        <v>106.12217699999999</v>
      </c>
      <c r="I16">
        <v>106.172394</v>
      </c>
      <c r="J16">
        <v>106.89027400000001</v>
      </c>
      <c r="K16">
        <v>107.49889400000001</v>
      </c>
      <c r="L16">
        <v>107.502151</v>
      </c>
      <c r="M16">
        <v>107.100601</v>
      </c>
      <c r="N16">
        <v>106.843262</v>
      </c>
      <c r="O16">
        <v>107.30909</v>
      </c>
      <c r="P16">
        <v>107.60365299999999</v>
      </c>
      <c r="Q16">
        <v>107.499008</v>
      </c>
      <c r="R16">
        <v>107.054024</v>
      </c>
      <c r="S16">
        <v>107.04995</v>
      </c>
      <c r="T16">
        <v>107.27583300000001</v>
      </c>
      <c r="U16">
        <v>106.977249</v>
      </c>
      <c r="V16">
        <v>107.068848</v>
      </c>
      <c r="W16">
        <v>107.57281500000001</v>
      </c>
      <c r="X16">
        <v>108.052277</v>
      </c>
      <c r="Y16">
        <v>108.19948599999999</v>
      </c>
      <c r="Z16">
        <v>108.20714599999999</v>
      </c>
      <c r="AA16">
        <v>108.42395</v>
      </c>
      <c r="AB16">
        <v>108.854652</v>
      </c>
      <c r="AC16">
        <v>109.630707</v>
      </c>
      <c r="AD16">
        <v>109.844582</v>
      </c>
      <c r="AE16">
        <v>109.88819100000001</v>
      </c>
      <c r="AF16">
        <v>109.58459499999999</v>
      </c>
      <c r="AG16" s="97">
        <v>2E-3</v>
      </c>
    </row>
    <row r="17" spans="1:33" s="231" customFormat="1" x14ac:dyDescent="0.25">
      <c r="A17" s="231" t="s">
        <v>22</v>
      </c>
    </row>
    <row r="18" spans="1:33" x14ac:dyDescent="0.25">
      <c r="A18" t="s">
        <v>30</v>
      </c>
      <c r="B18" t="s">
        <v>697</v>
      </c>
      <c r="C18" t="s">
        <v>696</v>
      </c>
      <c r="D18" t="s">
        <v>107</v>
      </c>
      <c r="F18">
        <v>14.518497999999999</v>
      </c>
      <c r="G18">
        <v>13.425255999999999</v>
      </c>
      <c r="H18">
        <v>14.014296</v>
      </c>
      <c r="I18">
        <v>13.249333999999999</v>
      </c>
      <c r="J18">
        <v>13.799104</v>
      </c>
      <c r="K18">
        <v>14.041797000000001</v>
      </c>
      <c r="L18">
        <v>14.055967000000001</v>
      </c>
      <c r="M18">
        <v>14.457395</v>
      </c>
      <c r="N18">
        <v>15.256316999999999</v>
      </c>
      <c r="O18">
        <v>15.253641999999999</v>
      </c>
      <c r="P18">
        <v>15.720116000000001</v>
      </c>
      <c r="Q18">
        <v>15.895457</v>
      </c>
      <c r="R18">
        <v>16.126217</v>
      </c>
      <c r="S18">
        <v>15.872919</v>
      </c>
      <c r="T18">
        <v>15.889859</v>
      </c>
      <c r="U18">
        <v>16.253838999999999</v>
      </c>
      <c r="V18">
        <v>16.410769999999999</v>
      </c>
      <c r="W18">
        <v>16.27393</v>
      </c>
      <c r="X18">
        <v>15.950367</v>
      </c>
      <c r="Y18">
        <v>16.120932</v>
      </c>
      <c r="Z18">
        <v>16.350994</v>
      </c>
      <c r="AA18">
        <v>16.516466000000001</v>
      </c>
      <c r="AB18">
        <v>15.997453999999999</v>
      </c>
      <c r="AC18">
        <v>15.637950999999999</v>
      </c>
      <c r="AD18">
        <v>15.619973999999999</v>
      </c>
      <c r="AE18">
        <v>15.984094000000001</v>
      </c>
      <c r="AF18">
        <v>16.481178</v>
      </c>
      <c r="AG18" s="97">
        <v>5.0000000000000001E-3</v>
      </c>
    </row>
    <row r="19" spans="1:33" x14ac:dyDescent="0.25">
      <c r="A19" t="s">
        <v>150</v>
      </c>
      <c r="B19" t="s">
        <v>695</v>
      </c>
      <c r="C19" t="s">
        <v>694</v>
      </c>
      <c r="D19" t="s">
        <v>107</v>
      </c>
      <c r="F19">
        <v>4.0514710000000003</v>
      </c>
      <c r="G19">
        <v>3.9469690000000002</v>
      </c>
      <c r="H19">
        <v>4.1102410000000003</v>
      </c>
      <c r="I19">
        <v>4.0035970000000001</v>
      </c>
      <c r="J19">
        <v>3.9047930000000002</v>
      </c>
      <c r="K19">
        <v>3.8313389999999998</v>
      </c>
      <c r="L19">
        <v>3.765288</v>
      </c>
      <c r="M19">
        <v>3.7592530000000002</v>
      </c>
      <c r="N19">
        <v>3.6893549999999999</v>
      </c>
      <c r="O19">
        <v>3.6510470000000002</v>
      </c>
      <c r="P19">
        <v>3.62846</v>
      </c>
      <c r="Q19">
        <v>3.5956800000000002</v>
      </c>
      <c r="R19">
        <v>3.5830630000000001</v>
      </c>
      <c r="S19">
        <v>3.5769709999999999</v>
      </c>
      <c r="T19">
        <v>3.5677669999999999</v>
      </c>
      <c r="U19">
        <v>3.5176080000000001</v>
      </c>
      <c r="V19">
        <v>3.5075259999999999</v>
      </c>
      <c r="W19">
        <v>3.5104329999999999</v>
      </c>
      <c r="X19">
        <v>3.537439</v>
      </c>
      <c r="Y19">
        <v>3.5387490000000001</v>
      </c>
      <c r="Z19">
        <v>3.537245</v>
      </c>
      <c r="AA19">
        <v>3.5225330000000001</v>
      </c>
      <c r="AB19">
        <v>3.5206209999999998</v>
      </c>
      <c r="AC19">
        <v>3.5233970000000001</v>
      </c>
      <c r="AD19">
        <v>3.5910280000000001</v>
      </c>
      <c r="AE19">
        <v>3.5943830000000001</v>
      </c>
      <c r="AF19">
        <v>3.525998</v>
      </c>
      <c r="AG19" s="97">
        <v>-5.0000000000000001E-3</v>
      </c>
    </row>
    <row r="20" spans="1:33" x14ac:dyDescent="0.25">
      <c r="A20" t="s">
        <v>518</v>
      </c>
      <c r="B20" t="s">
        <v>693</v>
      </c>
      <c r="C20" t="s">
        <v>692</v>
      </c>
      <c r="D20" t="s">
        <v>107</v>
      </c>
      <c r="F20">
        <v>3.087809</v>
      </c>
      <c r="G20">
        <v>2.9409529999999999</v>
      </c>
      <c r="H20">
        <v>2.440169</v>
      </c>
      <c r="I20">
        <v>2.686121</v>
      </c>
      <c r="J20">
        <v>2.6081270000000001</v>
      </c>
      <c r="K20">
        <v>2.632396</v>
      </c>
      <c r="L20">
        <v>2.699443</v>
      </c>
      <c r="M20">
        <v>2.7043680000000001</v>
      </c>
      <c r="N20">
        <v>2.6854789999999999</v>
      </c>
      <c r="O20">
        <v>2.553318</v>
      </c>
      <c r="P20">
        <v>2.372906</v>
      </c>
      <c r="Q20">
        <v>2.3592019999999998</v>
      </c>
      <c r="R20">
        <v>2.3740860000000001</v>
      </c>
      <c r="S20">
        <v>2.4150109999999998</v>
      </c>
      <c r="T20">
        <v>2.461068</v>
      </c>
      <c r="U20">
        <v>2.4973139999999998</v>
      </c>
      <c r="V20">
        <v>2.4189720000000001</v>
      </c>
      <c r="W20">
        <v>2.2483369999999998</v>
      </c>
      <c r="X20">
        <v>2.261717</v>
      </c>
      <c r="Y20">
        <v>2.3416920000000001</v>
      </c>
      <c r="Z20">
        <v>2.4015949999999999</v>
      </c>
      <c r="AA20">
        <v>2.3318409999999998</v>
      </c>
      <c r="AB20">
        <v>2.1264150000000002</v>
      </c>
      <c r="AC20">
        <v>2.1102820000000002</v>
      </c>
      <c r="AD20">
        <v>2.1528689999999999</v>
      </c>
      <c r="AE20">
        <v>2.2076169999999999</v>
      </c>
      <c r="AF20">
        <v>2.2607499999999998</v>
      </c>
      <c r="AG20" s="97">
        <v>-1.2E-2</v>
      </c>
    </row>
    <row r="21" spans="1:33" x14ac:dyDescent="0.25">
      <c r="A21" t="s">
        <v>566</v>
      </c>
      <c r="B21" t="s">
        <v>691</v>
      </c>
      <c r="C21" t="s">
        <v>690</v>
      </c>
      <c r="D21" t="s">
        <v>107</v>
      </c>
      <c r="F21">
        <v>9.1886999999999996E-2</v>
      </c>
      <c r="G21">
        <v>0.13381000000000001</v>
      </c>
      <c r="H21">
        <v>0.15403600000000001</v>
      </c>
      <c r="I21">
        <v>0.21507499999999999</v>
      </c>
      <c r="J21">
        <v>0.25459500000000002</v>
      </c>
      <c r="K21">
        <v>0.27576800000000001</v>
      </c>
      <c r="L21">
        <v>0.30114999999999997</v>
      </c>
      <c r="M21">
        <v>0.30836400000000003</v>
      </c>
      <c r="N21">
        <v>0.31381599999999998</v>
      </c>
      <c r="O21">
        <v>0.31657200000000002</v>
      </c>
      <c r="P21">
        <v>0.31661899999999998</v>
      </c>
      <c r="Q21">
        <v>0.31102000000000002</v>
      </c>
      <c r="R21">
        <v>0.29144399999999998</v>
      </c>
      <c r="S21">
        <v>0.28127999999999997</v>
      </c>
      <c r="T21">
        <v>0.27080700000000002</v>
      </c>
      <c r="U21">
        <v>0.27215699999999998</v>
      </c>
      <c r="V21">
        <v>0.277611</v>
      </c>
      <c r="W21">
        <v>0.278503</v>
      </c>
      <c r="X21">
        <v>0.27836100000000003</v>
      </c>
      <c r="Y21">
        <v>0.25623800000000002</v>
      </c>
      <c r="Z21">
        <v>0.25867899999999999</v>
      </c>
      <c r="AA21">
        <v>0.253023</v>
      </c>
      <c r="AB21">
        <v>0.24149399999999999</v>
      </c>
      <c r="AC21">
        <v>0.219496</v>
      </c>
      <c r="AD21">
        <v>0.20336399999999999</v>
      </c>
      <c r="AE21">
        <v>0.191298</v>
      </c>
      <c r="AF21">
        <v>0.19242200000000001</v>
      </c>
      <c r="AG21" s="97">
        <v>2.9000000000000001E-2</v>
      </c>
    </row>
    <row r="22" spans="1:33" x14ac:dyDescent="0.25">
      <c r="A22" t="s">
        <v>516</v>
      </c>
      <c r="B22" t="s">
        <v>689</v>
      </c>
      <c r="C22" t="s">
        <v>688</v>
      </c>
      <c r="D22" t="s">
        <v>107</v>
      </c>
      <c r="F22">
        <v>21.749663999999999</v>
      </c>
      <c r="G22">
        <v>20.446987</v>
      </c>
      <c r="H22">
        <v>20.71874</v>
      </c>
      <c r="I22">
        <v>20.154126999999999</v>
      </c>
      <c r="J22">
        <v>20.566617999999998</v>
      </c>
      <c r="K22">
        <v>20.781300999999999</v>
      </c>
      <c r="L22">
        <v>20.821847999999999</v>
      </c>
      <c r="M22">
        <v>21.229382000000001</v>
      </c>
      <c r="N22">
        <v>21.944969</v>
      </c>
      <c r="O22">
        <v>21.77458</v>
      </c>
      <c r="P22">
        <v>22.038101000000001</v>
      </c>
      <c r="Q22">
        <v>22.161358</v>
      </c>
      <c r="R22">
        <v>22.374808999999999</v>
      </c>
      <c r="S22">
        <v>22.146180999999999</v>
      </c>
      <c r="T22">
        <v>22.189501</v>
      </c>
      <c r="U22">
        <v>22.54092</v>
      </c>
      <c r="V22">
        <v>22.614879999999999</v>
      </c>
      <c r="W22">
        <v>22.311202999999999</v>
      </c>
      <c r="X22">
        <v>22.027884</v>
      </c>
      <c r="Y22">
        <v>22.25761</v>
      </c>
      <c r="Z22">
        <v>22.548511999999999</v>
      </c>
      <c r="AA22">
        <v>22.623863</v>
      </c>
      <c r="AB22">
        <v>21.885983</v>
      </c>
      <c r="AC22">
        <v>21.491125</v>
      </c>
      <c r="AD22">
        <v>21.567236000000001</v>
      </c>
      <c r="AE22">
        <v>21.97739</v>
      </c>
      <c r="AF22">
        <v>22.460348</v>
      </c>
      <c r="AG22" s="97">
        <v>1E-3</v>
      </c>
    </row>
    <row r="23" spans="1:33" s="231" customFormat="1" x14ac:dyDescent="0.25">
      <c r="A23" s="231" t="s">
        <v>27</v>
      </c>
    </row>
    <row r="24" spans="1:33" x14ac:dyDescent="0.25">
      <c r="A24" t="s">
        <v>150</v>
      </c>
      <c r="B24" t="s">
        <v>687</v>
      </c>
      <c r="C24" t="s">
        <v>686</v>
      </c>
      <c r="D24" t="s">
        <v>107</v>
      </c>
      <c r="F24">
        <v>20.658162999999998</v>
      </c>
      <c r="G24">
        <v>20.342573000000002</v>
      </c>
      <c r="H24">
        <v>21.556902000000001</v>
      </c>
      <c r="I24">
        <v>21.505136</v>
      </c>
      <c r="J24">
        <v>21.783004999999999</v>
      </c>
      <c r="K24">
        <v>22.129265</v>
      </c>
      <c r="L24">
        <v>22.283306</v>
      </c>
      <c r="M24">
        <v>22.33231</v>
      </c>
      <c r="N24">
        <v>22.883027999999999</v>
      </c>
      <c r="O24">
        <v>22.938994999999998</v>
      </c>
      <c r="P24">
        <v>23.446278</v>
      </c>
      <c r="Q24">
        <v>23.582599999999999</v>
      </c>
      <c r="R24">
        <v>23.552565000000001</v>
      </c>
      <c r="S24">
        <v>23.286878999999999</v>
      </c>
      <c r="T24">
        <v>23.412399000000001</v>
      </c>
      <c r="U24">
        <v>23.457104000000001</v>
      </c>
      <c r="V24">
        <v>23.332256000000001</v>
      </c>
      <c r="W24">
        <v>23.290678</v>
      </c>
      <c r="X24">
        <v>23.261707000000001</v>
      </c>
      <c r="Y24">
        <v>23.348938</v>
      </c>
      <c r="Z24">
        <v>23.423414000000001</v>
      </c>
      <c r="AA24">
        <v>23.451395000000002</v>
      </c>
      <c r="AB24">
        <v>23.003921999999999</v>
      </c>
      <c r="AC24">
        <v>23.008092999999999</v>
      </c>
      <c r="AD24">
        <v>22.974858999999999</v>
      </c>
      <c r="AE24">
        <v>23.060644</v>
      </c>
      <c r="AF24">
        <v>22.957046999999999</v>
      </c>
      <c r="AG24" s="97">
        <v>4.0000000000000001E-3</v>
      </c>
    </row>
    <row r="25" spans="1:33" x14ac:dyDescent="0.25">
      <c r="A25" t="s">
        <v>518</v>
      </c>
      <c r="B25" t="s">
        <v>685</v>
      </c>
      <c r="C25" t="s">
        <v>684</v>
      </c>
      <c r="D25" t="s">
        <v>107</v>
      </c>
      <c r="F25">
        <v>7.8187509999999998</v>
      </c>
      <c r="G25">
        <v>8.5953149999999994</v>
      </c>
      <c r="H25">
        <v>9.1093460000000004</v>
      </c>
      <c r="I25">
        <v>9.0092499999999998</v>
      </c>
      <c r="J25">
        <v>10.036243000000001</v>
      </c>
      <c r="K25">
        <v>10.667923</v>
      </c>
      <c r="L25">
        <v>11.313280000000001</v>
      </c>
      <c r="M25">
        <v>11.875778</v>
      </c>
      <c r="N25">
        <v>12.74771</v>
      </c>
      <c r="O25">
        <v>13.630148999999999</v>
      </c>
      <c r="P25">
        <v>14.214563</v>
      </c>
      <c r="Q25">
        <v>14.461740000000001</v>
      </c>
      <c r="R25">
        <v>14.738927</v>
      </c>
      <c r="S25">
        <v>14.981527</v>
      </c>
      <c r="T25">
        <v>15.140946</v>
      </c>
      <c r="U25">
        <v>15.202082000000001</v>
      </c>
      <c r="V25">
        <v>15.303749</v>
      </c>
      <c r="W25">
        <v>15.342715</v>
      </c>
      <c r="X25">
        <v>15.370065</v>
      </c>
      <c r="Y25">
        <v>15.341122</v>
      </c>
      <c r="Z25">
        <v>15.378152999999999</v>
      </c>
      <c r="AA25">
        <v>15.386421</v>
      </c>
      <c r="AB25">
        <v>15.508049</v>
      </c>
      <c r="AC25">
        <v>15.550345</v>
      </c>
      <c r="AD25">
        <v>15.597701000000001</v>
      </c>
      <c r="AE25">
        <v>15.592389000000001</v>
      </c>
      <c r="AF25">
        <v>15.625677</v>
      </c>
      <c r="AG25" s="97">
        <v>2.7E-2</v>
      </c>
    </row>
    <row r="26" spans="1:33" x14ac:dyDescent="0.25">
      <c r="A26" t="s">
        <v>517</v>
      </c>
      <c r="B26" t="s">
        <v>683</v>
      </c>
      <c r="C26" t="s">
        <v>682</v>
      </c>
      <c r="D26" t="s">
        <v>107</v>
      </c>
      <c r="F26">
        <v>2.723392</v>
      </c>
      <c r="G26">
        <v>2.6105010000000002</v>
      </c>
      <c r="H26">
        <v>2.7103959999999998</v>
      </c>
      <c r="I26">
        <v>2.8096749999999999</v>
      </c>
      <c r="J26">
        <v>2.9433530000000001</v>
      </c>
      <c r="K26">
        <v>2.8813240000000002</v>
      </c>
      <c r="L26">
        <v>2.8224010000000002</v>
      </c>
      <c r="M26">
        <v>2.8086410000000002</v>
      </c>
      <c r="N26">
        <v>2.8308059999999999</v>
      </c>
      <c r="O26">
        <v>2.8283070000000001</v>
      </c>
      <c r="P26">
        <v>2.800532</v>
      </c>
      <c r="Q26">
        <v>2.8848509999999998</v>
      </c>
      <c r="R26">
        <v>2.8520460000000001</v>
      </c>
      <c r="S26">
        <v>2.9194969999999998</v>
      </c>
      <c r="T26">
        <v>2.8974319999999998</v>
      </c>
      <c r="U26">
        <v>2.9711539999999999</v>
      </c>
      <c r="V26">
        <v>3.0100380000000002</v>
      </c>
      <c r="W26">
        <v>2.980108</v>
      </c>
      <c r="X26">
        <v>2.995733</v>
      </c>
      <c r="Y26">
        <v>3.0162070000000001</v>
      </c>
      <c r="Z26">
        <v>3.0411899999999998</v>
      </c>
      <c r="AA26">
        <v>3.1150009999999999</v>
      </c>
      <c r="AB26">
        <v>3.133915</v>
      </c>
      <c r="AC26">
        <v>3.1774450000000001</v>
      </c>
      <c r="AD26">
        <v>3.197171</v>
      </c>
      <c r="AE26">
        <v>3.2286030000000001</v>
      </c>
      <c r="AF26">
        <v>3.1948370000000001</v>
      </c>
      <c r="AG26" s="97">
        <v>6.0000000000000001E-3</v>
      </c>
    </row>
    <row r="27" spans="1:33" x14ac:dyDescent="0.25">
      <c r="A27" t="s">
        <v>516</v>
      </c>
      <c r="B27" t="s">
        <v>681</v>
      </c>
      <c r="C27" t="s">
        <v>680</v>
      </c>
      <c r="D27" t="s">
        <v>107</v>
      </c>
      <c r="F27">
        <v>31.200306000000001</v>
      </c>
      <c r="G27">
        <v>31.548389</v>
      </c>
      <c r="H27">
        <v>33.376643999999999</v>
      </c>
      <c r="I27">
        <v>33.324058999999998</v>
      </c>
      <c r="J27">
        <v>34.762599999999999</v>
      </c>
      <c r="K27">
        <v>35.678513000000002</v>
      </c>
      <c r="L27">
        <v>36.418990999999998</v>
      </c>
      <c r="M27">
        <v>37.016731</v>
      </c>
      <c r="N27">
        <v>38.461544000000004</v>
      </c>
      <c r="O27">
        <v>39.397452999999999</v>
      </c>
      <c r="P27">
        <v>40.461376000000001</v>
      </c>
      <c r="Q27">
        <v>40.929192</v>
      </c>
      <c r="R27">
        <v>41.143538999999997</v>
      </c>
      <c r="S27">
        <v>41.187904000000003</v>
      </c>
      <c r="T27">
        <v>41.450775</v>
      </c>
      <c r="U27">
        <v>41.630341000000001</v>
      </c>
      <c r="V27">
        <v>41.646042000000001</v>
      </c>
      <c r="W27">
        <v>41.613498999999997</v>
      </c>
      <c r="X27">
        <v>41.627502</v>
      </c>
      <c r="Y27">
        <v>41.706268000000001</v>
      </c>
      <c r="Z27">
        <v>41.842758000000003</v>
      </c>
      <c r="AA27">
        <v>41.952815999999999</v>
      </c>
      <c r="AB27">
        <v>41.645885</v>
      </c>
      <c r="AC27">
        <v>41.735881999999997</v>
      </c>
      <c r="AD27">
        <v>41.769730000000003</v>
      </c>
      <c r="AE27">
        <v>41.881638000000002</v>
      </c>
      <c r="AF27">
        <v>41.777560999999999</v>
      </c>
      <c r="AG27" s="97">
        <v>1.0999999999999999E-2</v>
      </c>
    </row>
    <row r="28" spans="1:33" x14ac:dyDescent="0.25">
      <c r="A28" t="s">
        <v>587</v>
      </c>
      <c r="B28" t="s">
        <v>679</v>
      </c>
      <c r="C28" t="s">
        <v>678</v>
      </c>
      <c r="D28" t="s">
        <v>107</v>
      </c>
      <c r="F28">
        <v>1.4240679999999999</v>
      </c>
      <c r="G28">
        <v>0.65265700000000004</v>
      </c>
      <c r="H28">
        <v>3.7013999999999998E-2</v>
      </c>
      <c r="I28">
        <v>-6.5041000000000002E-2</v>
      </c>
      <c r="J28">
        <v>-0.206875</v>
      </c>
      <c r="K28">
        <v>1.1368E-2</v>
      </c>
      <c r="L28">
        <v>2.258E-3</v>
      </c>
      <c r="M28">
        <v>3.7426000000000001E-2</v>
      </c>
      <c r="N28">
        <v>0.12840699999999999</v>
      </c>
      <c r="O28">
        <v>9.2429999999999998E-2</v>
      </c>
      <c r="P28">
        <v>0.107601</v>
      </c>
      <c r="Q28">
        <v>8.5621000000000003E-2</v>
      </c>
      <c r="R28">
        <v>9.8739999999999994E-2</v>
      </c>
      <c r="S28">
        <v>0.125023</v>
      </c>
      <c r="T28">
        <v>9.4024999999999997E-2</v>
      </c>
      <c r="U28">
        <v>0.15130199999999999</v>
      </c>
      <c r="V28">
        <v>0.215</v>
      </c>
      <c r="W28">
        <v>0.187946</v>
      </c>
      <c r="X28">
        <v>0.12353500000000001</v>
      </c>
      <c r="Y28">
        <v>0.130466</v>
      </c>
      <c r="Z28">
        <v>0.111355</v>
      </c>
      <c r="AA28">
        <v>0.123043</v>
      </c>
      <c r="AB28">
        <v>3.5843E-2</v>
      </c>
      <c r="AC28">
        <v>3.5969999999999999E-3</v>
      </c>
      <c r="AD28">
        <v>-7.0144999999999999E-2</v>
      </c>
      <c r="AE28">
        <v>1.9040000000000001E-3</v>
      </c>
      <c r="AF28">
        <v>-7.8838000000000005E-2</v>
      </c>
      <c r="AG28" t="s">
        <v>97</v>
      </c>
    </row>
    <row r="29" spans="1:33" s="231" customFormat="1" x14ac:dyDescent="0.25">
      <c r="A29" s="231" t="s">
        <v>98</v>
      </c>
    </row>
    <row r="30" spans="1:33" x14ac:dyDescent="0.25">
      <c r="A30" t="s">
        <v>150</v>
      </c>
      <c r="B30" t="s">
        <v>677</v>
      </c>
      <c r="C30" t="s">
        <v>676</v>
      </c>
      <c r="D30" t="s">
        <v>107</v>
      </c>
      <c r="F30">
        <v>37.196292999999997</v>
      </c>
      <c r="G30">
        <v>37.598495</v>
      </c>
      <c r="H30">
        <v>37.711094000000003</v>
      </c>
      <c r="I30">
        <v>37.610714000000002</v>
      </c>
      <c r="J30">
        <v>37.506068999999997</v>
      </c>
      <c r="K30">
        <v>37.336661999999997</v>
      </c>
      <c r="L30">
        <v>37.114230999999997</v>
      </c>
      <c r="M30">
        <v>36.928840999999998</v>
      </c>
      <c r="N30">
        <v>36.700831999999998</v>
      </c>
      <c r="O30">
        <v>36.488078999999999</v>
      </c>
      <c r="P30">
        <v>36.326878000000001</v>
      </c>
      <c r="Q30">
        <v>36.152965999999999</v>
      </c>
      <c r="R30">
        <v>35.984988999999999</v>
      </c>
      <c r="S30">
        <v>35.828395999999998</v>
      </c>
      <c r="T30">
        <v>35.703960000000002</v>
      </c>
      <c r="U30">
        <v>35.584057000000001</v>
      </c>
      <c r="V30">
        <v>35.523659000000002</v>
      </c>
      <c r="W30">
        <v>35.465569000000002</v>
      </c>
      <c r="X30">
        <v>35.396000000000001</v>
      </c>
      <c r="Y30">
        <v>35.372672999999999</v>
      </c>
      <c r="Z30">
        <v>35.306128999999999</v>
      </c>
      <c r="AA30">
        <v>35.282165999999997</v>
      </c>
      <c r="AB30">
        <v>35.213123000000003</v>
      </c>
      <c r="AC30">
        <v>35.255192000000001</v>
      </c>
      <c r="AD30">
        <v>35.296852000000001</v>
      </c>
      <c r="AE30">
        <v>35.340546000000003</v>
      </c>
      <c r="AF30">
        <v>35.408912999999998</v>
      </c>
      <c r="AG30" s="97">
        <v>-2E-3</v>
      </c>
    </row>
    <row r="31" spans="1:33" x14ac:dyDescent="0.25">
      <c r="A31" t="s">
        <v>518</v>
      </c>
      <c r="B31" t="s">
        <v>675</v>
      </c>
      <c r="C31" t="s">
        <v>674</v>
      </c>
      <c r="D31" t="s">
        <v>107</v>
      </c>
      <c r="F31">
        <v>34.247902000000003</v>
      </c>
      <c r="G31">
        <v>34.103062000000001</v>
      </c>
      <c r="H31">
        <v>33.253501999999997</v>
      </c>
      <c r="I31">
        <v>33.741405</v>
      </c>
      <c r="J31">
        <v>33.663421999999997</v>
      </c>
      <c r="K31">
        <v>33.636310999999999</v>
      </c>
      <c r="L31">
        <v>33.589908999999999</v>
      </c>
      <c r="M31">
        <v>33.013041999999999</v>
      </c>
      <c r="N31">
        <v>33.833885000000002</v>
      </c>
      <c r="O31">
        <v>32.916958000000001</v>
      </c>
      <c r="P31">
        <v>31.997765000000001</v>
      </c>
      <c r="Q31">
        <v>31.266479</v>
      </c>
      <c r="R31">
        <v>30.473510999999998</v>
      </c>
      <c r="S31">
        <v>29.987434</v>
      </c>
      <c r="T31">
        <v>29.905836000000001</v>
      </c>
      <c r="U31">
        <v>29.600460000000002</v>
      </c>
      <c r="V31">
        <v>29.621041999999999</v>
      </c>
      <c r="W31">
        <v>29.826384000000001</v>
      </c>
      <c r="X31">
        <v>29.999663999999999</v>
      </c>
      <c r="Y31">
        <v>30.134150999999999</v>
      </c>
      <c r="Z31">
        <v>30.218938999999999</v>
      </c>
      <c r="AA31">
        <v>30.271381000000002</v>
      </c>
      <c r="AB31">
        <v>30.377775</v>
      </c>
      <c r="AC31">
        <v>30.411428000000001</v>
      </c>
      <c r="AD31">
        <v>30.4634</v>
      </c>
      <c r="AE31">
        <v>30.446041000000001</v>
      </c>
      <c r="AF31">
        <v>30.500924999999999</v>
      </c>
      <c r="AG31" s="97">
        <v>-4.0000000000000001E-3</v>
      </c>
    </row>
    <row r="32" spans="1:33" x14ac:dyDescent="0.25">
      <c r="A32" t="s">
        <v>517</v>
      </c>
      <c r="B32" t="s">
        <v>673</v>
      </c>
      <c r="C32" t="s">
        <v>672</v>
      </c>
      <c r="D32" t="s">
        <v>107</v>
      </c>
      <c r="F32">
        <v>7.5311409999999999</v>
      </c>
      <c r="G32">
        <v>7.6144189999999998</v>
      </c>
      <c r="H32">
        <v>6.6158799999999998</v>
      </c>
      <c r="I32">
        <v>5.4987810000000001</v>
      </c>
      <c r="J32">
        <v>5.2926019999999996</v>
      </c>
      <c r="K32">
        <v>4.7925690000000003</v>
      </c>
      <c r="L32">
        <v>3.9819810000000002</v>
      </c>
      <c r="M32">
        <v>3.671592</v>
      </c>
      <c r="N32">
        <v>1.370517</v>
      </c>
      <c r="O32">
        <v>1.3541049999999999</v>
      </c>
      <c r="P32">
        <v>1.299798</v>
      </c>
      <c r="Q32">
        <v>1.266373</v>
      </c>
      <c r="R32">
        <v>1.190588</v>
      </c>
      <c r="S32">
        <v>1.154066</v>
      </c>
      <c r="T32">
        <v>1.109175</v>
      </c>
      <c r="U32">
        <v>0.93820599999999998</v>
      </c>
      <c r="V32">
        <v>0.93013699999999999</v>
      </c>
      <c r="W32">
        <v>0.92191599999999996</v>
      </c>
      <c r="X32">
        <v>0.90621300000000005</v>
      </c>
      <c r="Y32">
        <v>0.89800100000000005</v>
      </c>
      <c r="Z32">
        <v>0.85537200000000002</v>
      </c>
      <c r="AA32">
        <v>0.84405300000000005</v>
      </c>
      <c r="AB32">
        <v>0.68713599999999997</v>
      </c>
      <c r="AC32">
        <v>0.678809</v>
      </c>
      <c r="AD32">
        <v>0.66619799999999996</v>
      </c>
      <c r="AE32">
        <v>0.63907099999999994</v>
      </c>
      <c r="AF32">
        <v>0.61471500000000001</v>
      </c>
      <c r="AG32" s="97">
        <v>-9.1999999999999998E-2</v>
      </c>
    </row>
    <row r="33" spans="1:34" x14ac:dyDescent="0.25">
      <c r="A33" t="s">
        <v>578</v>
      </c>
      <c r="B33" t="s">
        <v>671</v>
      </c>
      <c r="C33" t="s">
        <v>670</v>
      </c>
      <c r="D33" t="s">
        <v>107</v>
      </c>
      <c r="F33">
        <v>8.1225670000000001</v>
      </c>
      <c r="G33">
        <v>8.2613570000000003</v>
      </c>
      <c r="H33">
        <v>8.3596540000000008</v>
      </c>
      <c r="I33">
        <v>8.3406389999999995</v>
      </c>
      <c r="J33">
        <v>8.3405020000000007</v>
      </c>
      <c r="K33">
        <v>8.3404609999999995</v>
      </c>
      <c r="L33">
        <v>8.2471309999999995</v>
      </c>
      <c r="M33">
        <v>8.1604179999999999</v>
      </c>
      <c r="N33">
        <v>8.1603010000000005</v>
      </c>
      <c r="O33">
        <v>8.1063089999999995</v>
      </c>
      <c r="P33">
        <v>8.0680239999999994</v>
      </c>
      <c r="Q33">
        <v>7.9324190000000003</v>
      </c>
      <c r="R33">
        <v>7.8423249999999998</v>
      </c>
      <c r="S33">
        <v>7.6705220000000001</v>
      </c>
      <c r="T33">
        <v>7.6032440000000001</v>
      </c>
      <c r="U33">
        <v>7.5609320000000002</v>
      </c>
      <c r="V33">
        <v>7.3569550000000001</v>
      </c>
      <c r="W33">
        <v>7.3055690000000002</v>
      </c>
      <c r="X33">
        <v>7.3107990000000003</v>
      </c>
      <c r="Y33">
        <v>7.3681999999999999</v>
      </c>
      <c r="Z33">
        <v>7.4122830000000004</v>
      </c>
      <c r="AA33">
        <v>7.3401769999999997</v>
      </c>
      <c r="AB33">
        <v>7.3380780000000003</v>
      </c>
      <c r="AC33">
        <v>7.3329940000000002</v>
      </c>
      <c r="AD33">
        <v>7.303617</v>
      </c>
      <c r="AE33">
        <v>7.2679140000000002</v>
      </c>
      <c r="AF33">
        <v>7.2538739999999997</v>
      </c>
      <c r="AG33" s="97">
        <v>-4.0000000000000001E-3</v>
      </c>
    </row>
    <row r="34" spans="1:34" x14ac:dyDescent="0.25">
      <c r="A34" t="s">
        <v>575</v>
      </c>
      <c r="B34" t="s">
        <v>669</v>
      </c>
      <c r="C34" t="s">
        <v>668</v>
      </c>
      <c r="D34" t="s">
        <v>107</v>
      </c>
      <c r="F34">
        <v>0.82673799999999997</v>
      </c>
      <c r="G34">
        <v>0.89713500000000002</v>
      </c>
      <c r="H34">
        <v>0.93154300000000001</v>
      </c>
      <c r="I34">
        <v>0.96592900000000004</v>
      </c>
      <c r="J34">
        <v>0.96586000000000005</v>
      </c>
      <c r="K34">
        <v>0.96587599999999996</v>
      </c>
      <c r="L34">
        <v>0.96630300000000002</v>
      </c>
      <c r="M34">
        <v>0.96634299999999995</v>
      </c>
      <c r="N34">
        <v>0.96801599999999999</v>
      </c>
      <c r="O34">
        <v>0.96530099999999996</v>
      </c>
      <c r="P34">
        <v>0.96179599999999998</v>
      </c>
      <c r="Q34">
        <v>0.95052700000000001</v>
      </c>
      <c r="R34">
        <v>0.94846299999999995</v>
      </c>
      <c r="S34">
        <v>0.94750100000000004</v>
      </c>
      <c r="T34">
        <v>0.94209699999999996</v>
      </c>
      <c r="U34">
        <v>0.93090099999999998</v>
      </c>
      <c r="V34">
        <v>0.93122099999999997</v>
      </c>
      <c r="W34">
        <v>0.93847199999999997</v>
      </c>
      <c r="X34">
        <v>0.939299</v>
      </c>
      <c r="Y34">
        <v>0.93390899999999999</v>
      </c>
      <c r="Z34">
        <v>0.92494299999999996</v>
      </c>
      <c r="AA34">
        <v>0.92375600000000002</v>
      </c>
      <c r="AB34">
        <v>0.91442800000000002</v>
      </c>
      <c r="AC34">
        <v>0.906192</v>
      </c>
      <c r="AD34">
        <v>0.91056400000000004</v>
      </c>
      <c r="AE34">
        <v>0.90995899999999996</v>
      </c>
      <c r="AF34">
        <v>0.91156599999999999</v>
      </c>
      <c r="AG34" s="97">
        <v>4.0000000000000001E-3</v>
      </c>
    </row>
    <row r="35" spans="1:34" x14ac:dyDescent="0.25">
      <c r="A35" t="s">
        <v>572</v>
      </c>
      <c r="B35" t="s">
        <v>667</v>
      </c>
      <c r="C35" t="s">
        <v>666</v>
      </c>
      <c r="D35" t="s">
        <v>107</v>
      </c>
      <c r="F35">
        <v>2.8271299999999999</v>
      </c>
      <c r="G35">
        <v>2.8718189999999999</v>
      </c>
      <c r="H35">
        <v>2.875731</v>
      </c>
      <c r="I35">
        <v>2.8698679999999999</v>
      </c>
      <c r="J35">
        <v>2.8564219999999998</v>
      </c>
      <c r="K35">
        <v>2.8758110000000001</v>
      </c>
      <c r="L35">
        <v>2.8927710000000002</v>
      </c>
      <c r="M35">
        <v>2.9060280000000001</v>
      </c>
      <c r="N35">
        <v>2.918212</v>
      </c>
      <c r="O35">
        <v>2.9213490000000002</v>
      </c>
      <c r="P35">
        <v>2.9268450000000001</v>
      </c>
      <c r="Q35">
        <v>2.934831</v>
      </c>
      <c r="R35">
        <v>2.9602469999999999</v>
      </c>
      <c r="S35">
        <v>2.9740739999999999</v>
      </c>
      <c r="T35">
        <v>2.9842599999999999</v>
      </c>
      <c r="U35">
        <v>2.9991400000000001</v>
      </c>
      <c r="V35">
        <v>3.0090669999999999</v>
      </c>
      <c r="W35">
        <v>3.0028079999999999</v>
      </c>
      <c r="X35">
        <v>2.998424</v>
      </c>
      <c r="Y35">
        <v>2.9958990000000001</v>
      </c>
      <c r="Z35">
        <v>2.9933000000000001</v>
      </c>
      <c r="AA35">
        <v>3.0023149999999998</v>
      </c>
      <c r="AB35">
        <v>3.009601</v>
      </c>
      <c r="AC35">
        <v>3.0312320000000001</v>
      </c>
      <c r="AD35">
        <v>3.0563449999999999</v>
      </c>
      <c r="AE35">
        <v>3.0792959999999998</v>
      </c>
      <c r="AF35">
        <v>3.0921189999999998</v>
      </c>
      <c r="AG35" s="97">
        <v>3.0000000000000001E-3</v>
      </c>
    </row>
    <row r="36" spans="1:34" x14ac:dyDescent="0.25">
      <c r="A36" t="s">
        <v>569</v>
      </c>
      <c r="B36" t="s">
        <v>665</v>
      </c>
      <c r="C36" t="s">
        <v>664</v>
      </c>
      <c r="D36" t="s">
        <v>107</v>
      </c>
      <c r="F36">
        <v>2.5687570000000002</v>
      </c>
      <c r="G36">
        <v>2.8954939999999998</v>
      </c>
      <c r="H36">
        <v>3.4481570000000001</v>
      </c>
      <c r="I36">
        <v>3.7477779999999998</v>
      </c>
      <c r="J36">
        <v>3.9450289999999999</v>
      </c>
      <c r="K36">
        <v>4.2908480000000004</v>
      </c>
      <c r="L36">
        <v>4.7337660000000001</v>
      </c>
      <c r="M36">
        <v>5.2460000000000004</v>
      </c>
      <c r="N36">
        <v>5.8579460000000001</v>
      </c>
      <c r="O36">
        <v>6.4506240000000004</v>
      </c>
      <c r="P36">
        <v>7.1007389999999999</v>
      </c>
      <c r="Q36">
        <v>7.7564710000000003</v>
      </c>
      <c r="R36">
        <v>8.4201890000000006</v>
      </c>
      <c r="S36">
        <v>8.9648400000000006</v>
      </c>
      <c r="T36">
        <v>9.3182229999999997</v>
      </c>
      <c r="U36">
        <v>9.7752780000000001</v>
      </c>
      <c r="V36">
        <v>10.097687000000001</v>
      </c>
      <c r="W36">
        <v>10.268065</v>
      </c>
      <c r="X36">
        <v>10.424975</v>
      </c>
      <c r="Y36">
        <v>10.586029</v>
      </c>
      <c r="Z36">
        <v>10.756422000000001</v>
      </c>
      <c r="AA36">
        <v>10.979507</v>
      </c>
      <c r="AB36">
        <v>11.201282000000001</v>
      </c>
      <c r="AC36">
        <v>11.471246000000001</v>
      </c>
      <c r="AD36">
        <v>11.736094</v>
      </c>
      <c r="AE36">
        <v>12.031924999999999</v>
      </c>
      <c r="AF36">
        <v>12.295479</v>
      </c>
      <c r="AG36" s="97">
        <v>6.2E-2</v>
      </c>
    </row>
    <row r="37" spans="1:34" x14ac:dyDescent="0.25">
      <c r="A37" t="s">
        <v>566</v>
      </c>
      <c r="B37" t="s">
        <v>663</v>
      </c>
      <c r="C37" t="s">
        <v>662</v>
      </c>
      <c r="D37" t="s">
        <v>107</v>
      </c>
      <c r="F37">
        <v>0.18931500000000001</v>
      </c>
      <c r="G37">
        <v>0.207478</v>
      </c>
      <c r="H37">
        <v>0.231687</v>
      </c>
      <c r="I37">
        <v>0.29239999999999999</v>
      </c>
      <c r="J37">
        <v>0.33126100000000003</v>
      </c>
      <c r="K37">
        <v>0.35177900000000001</v>
      </c>
      <c r="L37">
        <v>0.376666</v>
      </c>
      <c r="M37">
        <v>0.38355899999999998</v>
      </c>
      <c r="N37">
        <v>0.38857199999999997</v>
      </c>
      <c r="O37">
        <v>0.391071</v>
      </c>
      <c r="P37">
        <v>0.39093</v>
      </c>
      <c r="Q37">
        <v>0.38548900000000003</v>
      </c>
      <c r="R37">
        <v>0.36623899999999998</v>
      </c>
      <c r="S37">
        <v>0.35636899999999999</v>
      </c>
      <c r="T37">
        <v>0.35373399999999999</v>
      </c>
      <c r="U37">
        <v>0.34755399999999997</v>
      </c>
      <c r="V37">
        <v>0.35292000000000001</v>
      </c>
      <c r="W37">
        <v>0.35378999999999999</v>
      </c>
      <c r="X37">
        <v>0.35376099999999999</v>
      </c>
      <c r="Y37">
        <v>0.33150200000000002</v>
      </c>
      <c r="Z37">
        <v>0.33415600000000001</v>
      </c>
      <c r="AA37">
        <v>0.3286</v>
      </c>
      <c r="AB37">
        <v>0.31749100000000002</v>
      </c>
      <c r="AC37">
        <v>0.29526200000000002</v>
      </c>
      <c r="AD37">
        <v>0.27916800000000003</v>
      </c>
      <c r="AE37">
        <v>0.26729000000000003</v>
      </c>
      <c r="AF37">
        <v>0.26863300000000001</v>
      </c>
      <c r="AG37" s="97">
        <v>1.4E-2</v>
      </c>
    </row>
    <row r="38" spans="1:34" x14ac:dyDescent="0.25">
      <c r="A38" t="s">
        <v>516</v>
      </c>
      <c r="B38" t="s">
        <v>661</v>
      </c>
      <c r="C38" t="s">
        <v>660</v>
      </c>
      <c r="D38" t="s">
        <v>107</v>
      </c>
      <c r="F38">
        <v>93.50985</v>
      </c>
      <c r="G38">
        <v>94.449257000000003</v>
      </c>
      <c r="H38">
        <v>93.427261000000001</v>
      </c>
      <c r="I38">
        <v>93.067504999999997</v>
      </c>
      <c r="J38">
        <v>92.901168999999996</v>
      </c>
      <c r="K38">
        <v>92.590316999999999</v>
      </c>
      <c r="L38">
        <v>91.902748000000003</v>
      </c>
      <c r="M38">
        <v>91.275825999999995</v>
      </c>
      <c r="N38">
        <v>90.198279999999997</v>
      </c>
      <c r="O38">
        <v>89.593788000000004</v>
      </c>
      <c r="P38">
        <v>89.072777000000002</v>
      </c>
      <c r="Q38">
        <v>88.645554000000004</v>
      </c>
      <c r="R38">
        <v>88.186554000000001</v>
      </c>
      <c r="S38">
        <v>87.883201999999997</v>
      </c>
      <c r="T38">
        <v>87.920531999999994</v>
      </c>
      <c r="U38">
        <v>87.736525999999998</v>
      </c>
      <c r="V38">
        <v>87.822685000000007</v>
      </c>
      <c r="W38">
        <v>88.082572999999996</v>
      </c>
      <c r="X38">
        <v>88.329123999999993</v>
      </c>
      <c r="Y38">
        <v>88.620361000000003</v>
      </c>
      <c r="Z38">
        <v>88.801544000000007</v>
      </c>
      <c r="AA38">
        <v>88.971953999999997</v>
      </c>
      <c r="AB38">
        <v>89.058907000000005</v>
      </c>
      <c r="AC38">
        <v>89.382355000000004</v>
      </c>
      <c r="AD38">
        <v>89.712233999999995</v>
      </c>
      <c r="AE38">
        <v>89.982039999999998</v>
      </c>
      <c r="AF38">
        <v>90.346221999999997</v>
      </c>
      <c r="AG38" s="97">
        <v>-1E-3</v>
      </c>
    </row>
    <row r="39" spans="1:34" x14ac:dyDescent="0.25">
      <c r="A39" t="s">
        <v>561</v>
      </c>
    </row>
    <row r="40" spans="1:34" x14ac:dyDescent="0.25">
      <c r="A40" t="s">
        <v>544</v>
      </c>
      <c r="B40" t="s">
        <v>659</v>
      </c>
      <c r="C40" t="s">
        <v>658</v>
      </c>
      <c r="D40" t="s">
        <v>514</v>
      </c>
      <c r="F40">
        <v>80.488997999999995</v>
      </c>
      <c r="G40">
        <v>72.097213999999994</v>
      </c>
      <c r="H40">
        <v>81.935462999999999</v>
      </c>
      <c r="I40">
        <v>80.681808000000004</v>
      </c>
      <c r="J40">
        <v>80.521248</v>
      </c>
      <c r="K40">
        <v>80.753532000000007</v>
      </c>
      <c r="L40">
        <v>80.943047000000007</v>
      </c>
      <c r="M40">
        <v>82.169914000000006</v>
      </c>
      <c r="N40">
        <v>81.796593000000001</v>
      </c>
      <c r="O40">
        <v>83.052368000000001</v>
      </c>
      <c r="P40">
        <v>85.174789000000004</v>
      </c>
      <c r="Q40">
        <v>85.730247000000006</v>
      </c>
      <c r="R40">
        <v>86.354247999999998</v>
      </c>
      <c r="S40">
        <v>87.466605999999999</v>
      </c>
      <c r="T40">
        <v>88.285606000000001</v>
      </c>
      <c r="U40">
        <v>89.512550000000005</v>
      </c>
      <c r="V40">
        <v>90.037505999999993</v>
      </c>
      <c r="W40">
        <v>90.518653999999998</v>
      </c>
      <c r="X40">
        <v>90.300811999999993</v>
      </c>
      <c r="Y40">
        <v>91.135413999999997</v>
      </c>
      <c r="Z40">
        <v>91.856139999999996</v>
      </c>
      <c r="AA40">
        <v>92.621803</v>
      </c>
      <c r="AB40">
        <v>95.502533</v>
      </c>
      <c r="AC40">
        <v>95.334678999999994</v>
      </c>
      <c r="AD40">
        <v>95.944344000000001</v>
      </c>
      <c r="AE40">
        <v>96.877662999999998</v>
      </c>
      <c r="AF40">
        <v>98.475311000000005</v>
      </c>
      <c r="AG40" s="97">
        <v>8.0000000000000002E-3</v>
      </c>
    </row>
    <row r="41" spans="1:34" x14ac:dyDescent="0.25">
      <c r="A41" t="s">
        <v>541</v>
      </c>
      <c r="B41" t="s">
        <v>657</v>
      </c>
      <c r="C41" t="s">
        <v>656</v>
      </c>
      <c r="D41" t="s">
        <v>514</v>
      </c>
      <c r="F41">
        <v>76.508003000000002</v>
      </c>
      <c r="G41">
        <v>67.728752</v>
      </c>
      <c r="H41">
        <v>80.00985</v>
      </c>
      <c r="I41">
        <v>78.617103999999998</v>
      </c>
      <c r="J41">
        <v>78.804259999999999</v>
      </c>
      <c r="K41">
        <v>79.433646999999993</v>
      </c>
      <c r="L41">
        <v>79.491966000000005</v>
      </c>
      <c r="M41">
        <v>81.251182999999997</v>
      </c>
      <c r="N41">
        <v>79.917327999999998</v>
      </c>
      <c r="O41">
        <v>80.887366999999998</v>
      </c>
      <c r="P41">
        <v>83.208672000000007</v>
      </c>
      <c r="Q41">
        <v>83.732719000000003</v>
      </c>
      <c r="R41">
        <v>84.043380999999997</v>
      </c>
      <c r="S41">
        <v>85.552284</v>
      </c>
      <c r="T41">
        <v>86.510611999999995</v>
      </c>
      <c r="U41">
        <v>87.779274000000001</v>
      </c>
      <c r="V41">
        <v>88.600136000000006</v>
      </c>
      <c r="W41">
        <v>88.905013999999994</v>
      </c>
      <c r="X41">
        <v>88.572074999999998</v>
      </c>
      <c r="Y41">
        <v>89.307434000000001</v>
      </c>
      <c r="Z41">
        <v>89.791129999999995</v>
      </c>
      <c r="AA41">
        <v>90.605675000000005</v>
      </c>
      <c r="AB41">
        <v>93.122748999999999</v>
      </c>
      <c r="AC41">
        <v>93.221451000000002</v>
      </c>
      <c r="AD41">
        <v>93.777091999999996</v>
      </c>
      <c r="AE41">
        <v>94.908744999999996</v>
      </c>
      <c r="AF41">
        <v>96.172379000000006</v>
      </c>
      <c r="AG41" s="97">
        <v>8.9999999999999993E-3</v>
      </c>
    </row>
    <row r="42" spans="1:34" x14ac:dyDescent="0.25">
      <c r="A42" t="s">
        <v>537</v>
      </c>
      <c r="B42" t="s">
        <v>655</v>
      </c>
      <c r="C42" t="s">
        <v>654</v>
      </c>
      <c r="D42" t="s">
        <v>519</v>
      </c>
      <c r="F42">
        <v>2.1916060000000002</v>
      </c>
      <c r="G42">
        <v>2.8928889999999998</v>
      </c>
      <c r="H42">
        <v>2.7412160000000001</v>
      </c>
      <c r="I42">
        <v>2.6195930000000001</v>
      </c>
      <c r="J42">
        <v>2.6823450000000002</v>
      </c>
      <c r="K42">
        <v>2.860255</v>
      </c>
      <c r="L42">
        <v>3.047304</v>
      </c>
      <c r="M42">
        <v>3.1854879999999999</v>
      </c>
      <c r="N42">
        <v>3.5930420000000001</v>
      </c>
      <c r="O42">
        <v>3.941198</v>
      </c>
      <c r="P42">
        <v>4.1947580000000002</v>
      </c>
      <c r="Q42">
        <v>4.2992689999999998</v>
      </c>
      <c r="R42">
        <v>4.2720419999999999</v>
      </c>
      <c r="S42">
        <v>4.2353529999999999</v>
      </c>
      <c r="T42">
        <v>4.2269670000000001</v>
      </c>
      <c r="U42">
        <v>4.2102760000000004</v>
      </c>
      <c r="V42">
        <v>4.2724960000000003</v>
      </c>
      <c r="W42">
        <v>4.3913719999999996</v>
      </c>
      <c r="X42">
        <v>4.5104009999999999</v>
      </c>
      <c r="Y42">
        <v>4.6215260000000002</v>
      </c>
      <c r="Z42">
        <v>4.7065590000000004</v>
      </c>
      <c r="AA42">
        <v>4.7527710000000001</v>
      </c>
      <c r="AB42">
        <v>4.8091150000000003</v>
      </c>
      <c r="AC42">
        <v>4.819598</v>
      </c>
      <c r="AD42">
        <v>4.8552</v>
      </c>
      <c r="AE42">
        <v>4.9406879999999997</v>
      </c>
      <c r="AF42">
        <v>4.976394</v>
      </c>
      <c r="AG42" s="97">
        <v>3.2000000000000001E-2</v>
      </c>
    </row>
    <row r="43" spans="1:34" x14ac:dyDescent="0.25">
      <c r="A43" t="s">
        <v>517</v>
      </c>
      <c r="B43" t="s">
        <v>534</v>
      </c>
      <c r="C43" t="s">
        <v>653</v>
      </c>
      <c r="D43" t="s">
        <v>652</v>
      </c>
      <c r="E43" t="s">
        <v>552</v>
      </c>
      <c r="G43">
        <v>54.294032999999999</v>
      </c>
      <c r="H43">
        <v>52.153824</v>
      </c>
      <c r="I43">
        <v>53.985202999999998</v>
      </c>
      <c r="J43">
        <v>59.790646000000002</v>
      </c>
      <c r="K43">
        <v>60.150379000000001</v>
      </c>
      <c r="L43">
        <v>63.162109000000001</v>
      </c>
      <c r="M43">
        <v>69.279510000000002</v>
      </c>
      <c r="N43">
        <v>70.706267999999994</v>
      </c>
      <c r="O43">
        <v>103.070885</v>
      </c>
      <c r="P43">
        <v>102.889084</v>
      </c>
      <c r="Q43">
        <v>103.112061</v>
      </c>
      <c r="R43">
        <v>103.725388</v>
      </c>
      <c r="S43">
        <v>106.89881099999999</v>
      </c>
      <c r="T43">
        <v>107.069283</v>
      </c>
      <c r="U43">
        <v>105.72640199999999</v>
      </c>
      <c r="V43">
        <v>111.034492</v>
      </c>
      <c r="W43">
        <v>111.718277</v>
      </c>
      <c r="X43">
        <v>112.60968800000001</v>
      </c>
      <c r="Y43">
        <v>112.64138800000001</v>
      </c>
      <c r="Z43">
        <v>112.340073</v>
      </c>
      <c r="AA43">
        <v>113.700394</v>
      </c>
      <c r="AB43">
        <v>113.580009</v>
      </c>
      <c r="AC43">
        <v>118.241524</v>
      </c>
      <c r="AD43">
        <v>117.72191599999999</v>
      </c>
      <c r="AE43">
        <v>117.46931499999999</v>
      </c>
      <c r="AF43">
        <v>117.266357</v>
      </c>
      <c r="AG43">
        <v>118.19787599999999</v>
      </c>
      <c r="AH43" s="97">
        <v>0.03</v>
      </c>
    </row>
    <row r="44" spans="1:34" x14ac:dyDescent="0.25">
      <c r="A44" t="s">
        <v>517</v>
      </c>
      <c r="B44" t="s">
        <v>530</v>
      </c>
      <c r="C44" t="s">
        <v>651</v>
      </c>
      <c r="D44" t="s">
        <v>650</v>
      </c>
      <c r="E44" t="s">
        <v>519</v>
      </c>
      <c r="G44">
        <v>2.5712790000000001</v>
      </c>
      <c r="H44">
        <v>2.4789850000000002</v>
      </c>
      <c r="I44">
        <v>2.5567340000000001</v>
      </c>
      <c r="J44">
        <v>2.7768160000000002</v>
      </c>
      <c r="K44">
        <v>2.775201</v>
      </c>
      <c r="L44">
        <v>2.9037120000000001</v>
      </c>
      <c r="M44">
        <v>3.1136110000000001</v>
      </c>
      <c r="N44">
        <v>3.1681189999999999</v>
      </c>
      <c r="O44">
        <v>4.2426870000000001</v>
      </c>
      <c r="P44">
        <v>4.2390160000000003</v>
      </c>
      <c r="Q44">
        <v>4.2318249999999997</v>
      </c>
      <c r="R44">
        <v>4.2043410000000003</v>
      </c>
      <c r="S44">
        <v>4.3204149999999997</v>
      </c>
      <c r="T44">
        <v>4.3116209999999997</v>
      </c>
      <c r="U44">
        <v>4.3072249999999999</v>
      </c>
      <c r="V44">
        <v>4.4117150000000001</v>
      </c>
      <c r="W44">
        <v>4.41669</v>
      </c>
      <c r="X44">
        <v>4.4175599999999999</v>
      </c>
      <c r="Y44">
        <v>4.4154619999999998</v>
      </c>
      <c r="Z44">
        <v>4.4100580000000003</v>
      </c>
      <c r="AA44">
        <v>4.4508770000000002</v>
      </c>
      <c r="AB44">
        <v>4.4550029999999996</v>
      </c>
      <c r="AC44">
        <v>4.5810040000000001</v>
      </c>
      <c r="AD44">
        <v>4.5825979999999999</v>
      </c>
      <c r="AE44">
        <v>4.5839299999999996</v>
      </c>
      <c r="AF44">
        <v>4.5775670000000002</v>
      </c>
      <c r="AG44">
        <v>4.5927210000000001</v>
      </c>
      <c r="AH44" s="97">
        <v>2.3E-2</v>
      </c>
    </row>
    <row r="45" spans="1:34" x14ac:dyDescent="0.25">
      <c r="A45" t="s">
        <v>517</v>
      </c>
      <c r="B45" t="s">
        <v>527</v>
      </c>
      <c r="C45" t="s">
        <v>649</v>
      </c>
      <c r="D45" t="s">
        <v>648</v>
      </c>
      <c r="E45" t="s">
        <v>519</v>
      </c>
      <c r="G45">
        <v>2.8476720000000002</v>
      </c>
      <c r="H45">
        <v>2.7835580000000002</v>
      </c>
      <c r="I45">
        <v>2.791728</v>
      </c>
      <c r="J45">
        <v>2.82029</v>
      </c>
      <c r="K45">
        <v>2.742178</v>
      </c>
      <c r="L45">
        <v>2.7827060000000001</v>
      </c>
      <c r="M45">
        <v>2.882339</v>
      </c>
      <c r="N45">
        <v>2.9052959999999999</v>
      </c>
      <c r="O45">
        <v>3.9178829999999998</v>
      </c>
      <c r="P45">
        <v>3.8919169999999998</v>
      </c>
      <c r="Q45">
        <v>3.9147569999999998</v>
      </c>
      <c r="R45">
        <v>3.9162089999999998</v>
      </c>
      <c r="S45">
        <v>3.990882</v>
      </c>
      <c r="T45">
        <v>4.0233150000000002</v>
      </c>
      <c r="U45">
        <v>4.0875120000000003</v>
      </c>
      <c r="V45">
        <v>4.4196759999999999</v>
      </c>
      <c r="W45">
        <v>4.4042409999999999</v>
      </c>
      <c r="X45">
        <v>4.3812660000000001</v>
      </c>
      <c r="Y45">
        <v>4.3745599999999998</v>
      </c>
      <c r="Z45">
        <v>4.3625540000000003</v>
      </c>
      <c r="AA45">
        <v>4.4277509999999998</v>
      </c>
      <c r="AB45">
        <v>4.4149649999999996</v>
      </c>
      <c r="AC45">
        <v>4.8611389999999997</v>
      </c>
      <c r="AD45">
        <v>4.8633850000000001</v>
      </c>
      <c r="AE45">
        <v>4.8627419999999999</v>
      </c>
      <c r="AF45">
        <v>4.9186290000000001</v>
      </c>
      <c r="AG45">
        <v>4.9629490000000001</v>
      </c>
      <c r="AH45" s="97">
        <v>2.1999999999999999E-2</v>
      </c>
    </row>
    <row r="46" spans="1:34" x14ac:dyDescent="0.25">
      <c r="A46" t="s">
        <v>523</v>
      </c>
      <c r="B46" t="s">
        <v>647</v>
      </c>
      <c r="C46" t="s">
        <v>646</v>
      </c>
      <c r="D46" t="s">
        <v>545</v>
      </c>
      <c r="F46">
        <v>12.998412</v>
      </c>
      <c r="G46">
        <v>12.725602</v>
      </c>
      <c r="H46">
        <v>11.906893</v>
      </c>
      <c r="I46">
        <v>11.265480999999999</v>
      </c>
      <c r="J46">
        <v>11.209638</v>
      </c>
      <c r="K46">
        <v>11.320930000000001</v>
      </c>
      <c r="L46">
        <v>11.437547</v>
      </c>
      <c r="M46">
        <v>11.606448</v>
      </c>
      <c r="N46">
        <v>11.70689</v>
      </c>
      <c r="O46">
        <v>11.890991</v>
      </c>
      <c r="P46">
        <v>11.915929999999999</v>
      </c>
      <c r="Q46">
        <v>11.808524</v>
      </c>
      <c r="R46">
        <v>11.756454</v>
      </c>
      <c r="S46">
        <v>11.717546</v>
      </c>
      <c r="T46">
        <v>11.688758</v>
      </c>
      <c r="U46">
        <v>11.639846</v>
      </c>
      <c r="V46">
        <v>11.642512999999999</v>
      </c>
      <c r="W46">
        <v>11.706522</v>
      </c>
      <c r="X46">
        <v>11.811798</v>
      </c>
      <c r="Y46">
        <v>11.921274</v>
      </c>
      <c r="Z46">
        <v>11.995486</v>
      </c>
      <c r="AA46">
        <v>12.087896000000001</v>
      </c>
      <c r="AB46">
        <v>12.171165999999999</v>
      </c>
      <c r="AC46">
        <v>12.232521999999999</v>
      </c>
      <c r="AD46">
        <v>12.237454</v>
      </c>
      <c r="AE46">
        <v>12.230212999999999</v>
      </c>
      <c r="AF46">
        <v>12.215718000000001</v>
      </c>
      <c r="AG46" s="97">
        <v>-2E-3</v>
      </c>
    </row>
    <row r="47" spans="1:34" x14ac:dyDescent="0.25">
      <c r="A47" t="s">
        <v>99</v>
      </c>
    </row>
    <row r="48" spans="1:34" x14ac:dyDescent="0.25">
      <c r="A48" t="s">
        <v>544</v>
      </c>
      <c r="B48" t="s">
        <v>645</v>
      </c>
      <c r="C48" t="s">
        <v>644</v>
      </c>
      <c r="D48" t="s">
        <v>538</v>
      </c>
      <c r="F48">
        <v>80.488997999999995</v>
      </c>
      <c r="G48">
        <v>73.574996999999996</v>
      </c>
      <c r="H48">
        <v>85.033287000000001</v>
      </c>
      <c r="I48">
        <v>85.142876000000001</v>
      </c>
      <c r="J48">
        <v>86.576508000000004</v>
      </c>
      <c r="K48">
        <v>88.372337000000002</v>
      </c>
      <c r="L48">
        <v>90.241066000000004</v>
      </c>
      <c r="M48">
        <v>93.483733999999998</v>
      </c>
      <c r="N48">
        <v>94.987121999999999</v>
      </c>
      <c r="O48">
        <v>98.489547999999999</v>
      </c>
      <c r="P48">
        <v>103.17817700000001</v>
      </c>
      <c r="Q48">
        <v>106.02597799999999</v>
      </c>
      <c r="R48">
        <v>108.91237599999999</v>
      </c>
      <c r="S48">
        <v>112.498215</v>
      </c>
      <c r="T48">
        <v>115.782043</v>
      </c>
      <c r="U48">
        <v>119.687668</v>
      </c>
      <c r="V48">
        <v>122.792664</v>
      </c>
      <c r="W48">
        <v>125.96586600000001</v>
      </c>
      <c r="X48">
        <v>128.27246099999999</v>
      </c>
      <c r="Y48">
        <v>132.213562</v>
      </c>
      <c r="Z48">
        <v>136.139343</v>
      </c>
      <c r="AA48">
        <v>140.30413799999999</v>
      </c>
      <c r="AB48">
        <v>147.87678500000001</v>
      </c>
      <c r="AC48">
        <v>150.915695</v>
      </c>
      <c r="AD48">
        <v>155.314133</v>
      </c>
      <c r="AE48">
        <v>160.37472500000001</v>
      </c>
      <c r="AF48">
        <v>166.73850999999999</v>
      </c>
      <c r="AG48" s="97">
        <v>2.8000000000000001E-2</v>
      </c>
    </row>
    <row r="49" spans="1:34" x14ac:dyDescent="0.25">
      <c r="A49" t="s">
        <v>541</v>
      </c>
      <c r="B49" t="s">
        <v>643</v>
      </c>
      <c r="C49" t="s">
        <v>642</v>
      </c>
      <c r="D49" t="s">
        <v>538</v>
      </c>
      <c r="F49">
        <v>76.508003000000002</v>
      </c>
      <c r="G49">
        <v>69.116996999999998</v>
      </c>
      <c r="H49">
        <v>83.034865999999994</v>
      </c>
      <c r="I49">
        <v>82.964005</v>
      </c>
      <c r="J49">
        <v>84.730400000000003</v>
      </c>
      <c r="K49">
        <v>86.927932999999996</v>
      </c>
      <c r="L49">
        <v>88.623290999999995</v>
      </c>
      <c r="M49">
        <v>92.438491999999997</v>
      </c>
      <c r="N49">
        <v>92.804810000000003</v>
      </c>
      <c r="O49">
        <v>95.922127000000003</v>
      </c>
      <c r="P49">
        <v>100.796471</v>
      </c>
      <c r="Q49">
        <v>103.55555</v>
      </c>
      <c r="R49">
        <v>105.99784099999999</v>
      </c>
      <c r="S49">
        <v>110.036041</v>
      </c>
      <c r="T49">
        <v>113.454239</v>
      </c>
      <c r="U49">
        <v>117.370087</v>
      </c>
      <c r="V49">
        <v>120.832382</v>
      </c>
      <c r="W49">
        <v>123.720322</v>
      </c>
      <c r="X49">
        <v>125.81677999999999</v>
      </c>
      <c r="Y49">
        <v>129.561646</v>
      </c>
      <c r="Z49">
        <v>133.078812</v>
      </c>
      <c r="AA49">
        <v>137.250092</v>
      </c>
      <c r="AB49">
        <v>144.19191000000001</v>
      </c>
      <c r="AC49">
        <v>147.570435</v>
      </c>
      <c r="AD49">
        <v>151.80578600000001</v>
      </c>
      <c r="AE49">
        <v>157.11531099999999</v>
      </c>
      <c r="AF49">
        <v>162.83918800000001</v>
      </c>
      <c r="AG49" s="97">
        <v>2.9000000000000001E-2</v>
      </c>
    </row>
    <row r="50" spans="1:34" x14ac:dyDescent="0.25">
      <c r="A50" t="s">
        <v>537</v>
      </c>
      <c r="B50" t="s">
        <v>641</v>
      </c>
      <c r="C50" t="s">
        <v>640</v>
      </c>
      <c r="D50" t="s">
        <v>524</v>
      </c>
      <c r="F50">
        <v>2.1916060000000002</v>
      </c>
      <c r="G50">
        <v>2.9521850000000001</v>
      </c>
      <c r="H50">
        <v>2.8448560000000001</v>
      </c>
      <c r="I50">
        <v>2.7644359999999999</v>
      </c>
      <c r="J50">
        <v>2.8840590000000002</v>
      </c>
      <c r="K50">
        <v>3.1301100000000002</v>
      </c>
      <c r="L50">
        <v>3.397351</v>
      </c>
      <c r="M50">
        <v>3.624091</v>
      </c>
      <c r="N50">
        <v>4.1724560000000004</v>
      </c>
      <c r="O50">
        <v>4.6737599999999997</v>
      </c>
      <c r="P50">
        <v>5.0814029999999999</v>
      </c>
      <c r="Q50">
        <v>5.317075</v>
      </c>
      <c r="R50">
        <v>5.3880179999999998</v>
      </c>
      <c r="S50">
        <v>5.4474470000000004</v>
      </c>
      <c r="T50">
        <v>5.5434510000000001</v>
      </c>
      <c r="U50">
        <v>5.6295799999999998</v>
      </c>
      <c r="V50">
        <v>5.8268069999999996</v>
      </c>
      <c r="W50">
        <v>6.1110379999999997</v>
      </c>
      <c r="X50">
        <v>6.4070320000000001</v>
      </c>
      <c r="Y50">
        <v>6.7046210000000004</v>
      </c>
      <c r="Z50">
        <v>6.9755580000000004</v>
      </c>
      <c r="AA50">
        <v>7.1995310000000003</v>
      </c>
      <c r="AB50">
        <v>7.4464670000000002</v>
      </c>
      <c r="AC50">
        <v>7.6294690000000003</v>
      </c>
      <c r="AD50">
        <v>7.8595680000000003</v>
      </c>
      <c r="AE50">
        <v>8.1789900000000006</v>
      </c>
      <c r="AF50">
        <v>8.4260350000000006</v>
      </c>
      <c r="AG50" s="97">
        <v>5.2999999999999999E-2</v>
      </c>
    </row>
    <row r="51" spans="1:34" x14ac:dyDescent="0.25">
      <c r="A51" t="s">
        <v>517</v>
      </c>
      <c r="B51" t="s">
        <v>534</v>
      </c>
      <c r="C51" t="s">
        <v>639</v>
      </c>
      <c r="D51" t="s">
        <v>638</v>
      </c>
      <c r="E51" t="s">
        <v>531</v>
      </c>
      <c r="G51">
        <v>54.294032999999999</v>
      </c>
      <c r="H51">
        <v>53.222828</v>
      </c>
      <c r="I51">
        <v>56.026282999999999</v>
      </c>
      <c r="J51">
        <v>63.096595999999998</v>
      </c>
      <c r="K51">
        <v>64.673728999999994</v>
      </c>
      <c r="L51">
        <v>69.121230999999995</v>
      </c>
      <c r="M51">
        <v>77.237724</v>
      </c>
      <c r="N51">
        <v>80.441672999999994</v>
      </c>
      <c r="O51">
        <v>119.692108</v>
      </c>
      <c r="P51">
        <v>122.013367</v>
      </c>
      <c r="Q51">
        <v>124.906837</v>
      </c>
      <c r="R51">
        <v>128.28128100000001</v>
      </c>
      <c r="S51">
        <v>134.823746</v>
      </c>
      <c r="T51">
        <v>137.71087600000001</v>
      </c>
      <c r="U51">
        <v>138.65475499999999</v>
      </c>
      <c r="V51">
        <v>148.464752</v>
      </c>
      <c r="W51">
        <v>152.36077900000001</v>
      </c>
      <c r="X51">
        <v>156.70777899999999</v>
      </c>
      <c r="Y51">
        <v>160.00727800000001</v>
      </c>
      <c r="Z51">
        <v>162.97595200000001</v>
      </c>
      <c r="AA51">
        <v>168.514557</v>
      </c>
      <c r="AB51">
        <v>172.05178799999999</v>
      </c>
      <c r="AC51">
        <v>183.08599899999999</v>
      </c>
      <c r="AD51">
        <v>186.354904</v>
      </c>
      <c r="AE51">
        <v>190.158615</v>
      </c>
      <c r="AF51">
        <v>194.12690699999999</v>
      </c>
      <c r="AG51">
        <v>200.13278199999999</v>
      </c>
      <c r="AH51" s="97">
        <v>5.0999999999999997E-2</v>
      </c>
    </row>
    <row r="52" spans="1:34" x14ac:dyDescent="0.25">
      <c r="A52" t="s">
        <v>517</v>
      </c>
      <c r="B52" t="s">
        <v>530</v>
      </c>
      <c r="C52" t="s">
        <v>637</v>
      </c>
      <c r="D52" t="s">
        <v>636</v>
      </c>
      <c r="E52" t="s">
        <v>524</v>
      </c>
      <c r="G52">
        <v>2.5712790000000001</v>
      </c>
      <c r="H52">
        <v>2.529798</v>
      </c>
      <c r="I52">
        <v>2.6533989999999998</v>
      </c>
      <c r="J52">
        <v>2.9303520000000001</v>
      </c>
      <c r="K52">
        <v>2.9838979999999999</v>
      </c>
      <c r="L52">
        <v>3.1776659999999999</v>
      </c>
      <c r="M52">
        <v>3.4712749999999999</v>
      </c>
      <c r="N52">
        <v>3.6043310000000002</v>
      </c>
      <c r="O52">
        <v>4.926863</v>
      </c>
      <c r="P52">
        <v>5.0269339999999998</v>
      </c>
      <c r="Q52">
        <v>5.1263059999999996</v>
      </c>
      <c r="R52">
        <v>5.1996739999999999</v>
      </c>
      <c r="S52">
        <v>5.4490280000000002</v>
      </c>
      <c r="T52">
        <v>5.5455420000000002</v>
      </c>
      <c r="U52">
        <v>5.6487049999999996</v>
      </c>
      <c r="V52">
        <v>5.8989260000000003</v>
      </c>
      <c r="W52">
        <v>6.0234579999999998</v>
      </c>
      <c r="X52">
        <v>6.147481</v>
      </c>
      <c r="Y52">
        <v>6.2721710000000002</v>
      </c>
      <c r="Z52">
        <v>6.397837</v>
      </c>
      <c r="AA52">
        <v>6.5966139999999998</v>
      </c>
      <c r="AB52">
        <v>6.7484690000000001</v>
      </c>
      <c r="AC52">
        <v>7.0932579999999996</v>
      </c>
      <c r="AD52">
        <v>7.2542949999999999</v>
      </c>
      <c r="AE52">
        <v>7.4204369999999997</v>
      </c>
      <c r="AF52">
        <v>7.5778670000000004</v>
      </c>
      <c r="AG52">
        <v>7.776402</v>
      </c>
      <c r="AH52" s="97">
        <v>4.2999999999999997E-2</v>
      </c>
    </row>
    <row r="53" spans="1:34" x14ac:dyDescent="0.25">
      <c r="A53" t="s">
        <v>517</v>
      </c>
      <c r="B53" t="s">
        <v>527</v>
      </c>
      <c r="C53" t="s">
        <v>635</v>
      </c>
      <c r="D53" t="s">
        <v>634</v>
      </c>
      <c r="E53" t="s">
        <v>524</v>
      </c>
      <c r="G53">
        <v>2.8476720000000002</v>
      </c>
      <c r="H53">
        <v>2.8406129999999998</v>
      </c>
      <c r="I53">
        <v>2.8972769999999999</v>
      </c>
      <c r="J53">
        <v>2.9762300000000002</v>
      </c>
      <c r="K53">
        <v>2.9483920000000001</v>
      </c>
      <c r="L53">
        <v>3.045245</v>
      </c>
      <c r="M53">
        <v>3.2134369999999999</v>
      </c>
      <c r="N53">
        <v>3.30532</v>
      </c>
      <c r="O53">
        <v>4.5496809999999996</v>
      </c>
      <c r="P53">
        <v>4.6153180000000003</v>
      </c>
      <c r="Q53">
        <v>4.7422190000000004</v>
      </c>
      <c r="R53">
        <v>4.8433289999999998</v>
      </c>
      <c r="S53">
        <v>5.0334110000000001</v>
      </c>
      <c r="T53">
        <v>5.1747259999999997</v>
      </c>
      <c r="U53">
        <v>5.3605619999999998</v>
      </c>
      <c r="V53">
        <v>5.9095700000000004</v>
      </c>
      <c r="W53">
        <v>6.0064799999999998</v>
      </c>
      <c r="X53">
        <v>6.0969749999999996</v>
      </c>
      <c r="Y53">
        <v>6.2140690000000003</v>
      </c>
      <c r="Z53">
        <v>6.3289200000000001</v>
      </c>
      <c r="AA53">
        <v>6.5623379999999996</v>
      </c>
      <c r="AB53">
        <v>6.6878190000000002</v>
      </c>
      <c r="AC53">
        <v>7.5270210000000004</v>
      </c>
      <c r="AD53">
        <v>7.6987839999999998</v>
      </c>
      <c r="AE53">
        <v>7.8717779999999999</v>
      </c>
      <c r="AF53">
        <v>8.142474</v>
      </c>
      <c r="AG53">
        <v>8.4032710000000002</v>
      </c>
      <c r="AH53" s="97">
        <v>4.2000000000000003E-2</v>
      </c>
    </row>
    <row r="54" spans="1:34" x14ac:dyDescent="0.25">
      <c r="A54" t="s">
        <v>523</v>
      </c>
      <c r="B54" t="s">
        <v>633</v>
      </c>
      <c r="C54" t="s">
        <v>632</v>
      </c>
      <c r="D54" t="s">
        <v>520</v>
      </c>
      <c r="F54">
        <v>12.998412</v>
      </c>
      <c r="G54">
        <v>12.986440999999999</v>
      </c>
      <c r="H54">
        <v>12.357068999999999</v>
      </c>
      <c r="I54">
        <v>11.888372</v>
      </c>
      <c r="J54">
        <v>12.05261</v>
      </c>
      <c r="K54">
        <v>12.389018999999999</v>
      </c>
      <c r="L54">
        <v>12.751390000000001</v>
      </c>
      <c r="M54">
        <v>13.204516999999999</v>
      </c>
      <c r="N54">
        <v>13.594745</v>
      </c>
      <c r="O54">
        <v>14.101203999999999</v>
      </c>
      <c r="P54">
        <v>14.434597999999999</v>
      </c>
      <c r="Q54">
        <v>14.604067000000001</v>
      </c>
      <c r="R54">
        <v>14.827565</v>
      </c>
      <c r="S54">
        <v>15.070930000000001</v>
      </c>
      <c r="T54">
        <v>15.329205999999999</v>
      </c>
      <c r="U54">
        <v>15.563694</v>
      </c>
      <c r="V54">
        <v>15.877996</v>
      </c>
      <c r="W54">
        <v>16.29081</v>
      </c>
      <c r="X54">
        <v>16.778679</v>
      </c>
      <c r="Y54">
        <v>17.294640000000001</v>
      </c>
      <c r="Z54">
        <v>17.778427000000001</v>
      </c>
      <c r="AA54">
        <v>18.310828999999998</v>
      </c>
      <c r="AB54">
        <v>18.845918999999999</v>
      </c>
      <c r="AC54">
        <v>19.364197000000001</v>
      </c>
      <c r="AD54">
        <v>19.809916999999999</v>
      </c>
      <c r="AE54">
        <v>20.24633</v>
      </c>
      <c r="AF54">
        <v>20.683668000000001</v>
      </c>
      <c r="AG54" s="97">
        <v>1.7999999999999999E-2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2F11-DC67-478F-AFAE-9F19B26BA593}">
  <dimension ref="A1:AD69"/>
  <sheetViews>
    <sheetView topLeftCell="B1" workbookViewId="0"/>
  </sheetViews>
  <sheetFormatPr defaultRowHeight="15" x14ac:dyDescent="0.25"/>
  <cols>
    <col min="1" max="1" width="0" hidden="1" customWidth="1"/>
    <col min="2" max="2" width="40.7109375" customWidth="1"/>
  </cols>
  <sheetData>
    <row r="1" spans="1:30" s="266" customFormat="1" ht="15.75" x14ac:dyDescent="0.25">
      <c r="B1" s="266" t="s">
        <v>757</v>
      </c>
    </row>
    <row r="2" spans="1:30" s="267" customFormat="1" ht="12" x14ac:dyDescent="0.2"/>
    <row r="3" spans="1:30" s="267" customFormat="1" ht="12" x14ac:dyDescent="0.2">
      <c r="C3" s="267" t="s">
        <v>92</v>
      </c>
      <c r="D3" s="267" t="s">
        <v>720</v>
      </c>
    </row>
    <row r="4" spans="1:30" s="267" customFormat="1" ht="12" x14ac:dyDescent="0.2">
      <c r="C4" s="267" t="s">
        <v>93</v>
      </c>
      <c r="D4" s="267" t="s">
        <v>758</v>
      </c>
      <c r="F4" s="267" t="s">
        <v>759</v>
      </c>
    </row>
    <row r="5" spans="1:30" s="267" customFormat="1" ht="12" x14ac:dyDescent="0.2">
      <c r="C5" s="267" t="s">
        <v>94</v>
      </c>
      <c r="D5" s="267" t="s">
        <v>760</v>
      </c>
    </row>
    <row r="6" spans="1:30" s="267" customFormat="1" ht="12" x14ac:dyDescent="0.2">
      <c r="C6" s="267" t="s">
        <v>95</v>
      </c>
      <c r="E6" s="267" t="s">
        <v>761</v>
      </c>
    </row>
    <row r="7" spans="1:30" s="268" customFormat="1" ht="15.75" x14ac:dyDescent="0.25">
      <c r="B7" s="268" t="s">
        <v>762</v>
      </c>
    </row>
    <row r="8" spans="1:30" s="269" customFormat="1" ht="12" x14ac:dyDescent="0.2">
      <c r="B8" s="269" t="s">
        <v>763</v>
      </c>
    </row>
    <row r="9" spans="1:30" s="267" customFormat="1" ht="12" x14ac:dyDescent="0.2">
      <c r="AD9" s="267" t="s">
        <v>764</v>
      </c>
    </row>
    <row r="10" spans="1:30" s="270" customFormat="1" ht="12" x14ac:dyDescent="0.2">
      <c r="C10" s="270">
        <v>2024</v>
      </c>
      <c r="D10" s="270">
        <v>2025</v>
      </c>
      <c r="E10" s="270">
        <v>2026</v>
      </c>
      <c r="F10" s="270">
        <v>2027</v>
      </c>
      <c r="G10" s="270">
        <v>2028</v>
      </c>
      <c r="H10" s="270">
        <v>2029</v>
      </c>
      <c r="I10" s="270">
        <v>2030</v>
      </c>
      <c r="J10" s="270">
        <v>2031</v>
      </c>
      <c r="K10" s="270">
        <v>2032</v>
      </c>
      <c r="L10" s="270">
        <v>2033</v>
      </c>
      <c r="M10" s="270">
        <v>2034</v>
      </c>
      <c r="N10" s="270">
        <v>2035</v>
      </c>
      <c r="O10" s="270">
        <v>2036</v>
      </c>
      <c r="P10" s="270">
        <v>2037</v>
      </c>
      <c r="Q10" s="270">
        <v>2038</v>
      </c>
      <c r="R10" s="270">
        <v>2039</v>
      </c>
      <c r="S10" s="270">
        <v>2040</v>
      </c>
      <c r="T10" s="270">
        <v>2041</v>
      </c>
      <c r="U10" s="270">
        <v>2042</v>
      </c>
      <c r="V10" s="270">
        <v>2043</v>
      </c>
      <c r="W10" s="270">
        <v>2044</v>
      </c>
      <c r="X10" s="270">
        <v>2045</v>
      </c>
      <c r="Y10" s="270">
        <v>2046</v>
      </c>
      <c r="Z10" s="270">
        <v>2047</v>
      </c>
      <c r="AA10" s="270">
        <v>2048</v>
      </c>
      <c r="AB10" s="270">
        <v>2049</v>
      </c>
      <c r="AC10" s="270">
        <v>2050</v>
      </c>
      <c r="AD10" s="270" t="s">
        <v>765</v>
      </c>
    </row>
    <row r="11" spans="1:30" s="269" customFormat="1" ht="12" x14ac:dyDescent="0.2"/>
    <row r="12" spans="1:30" s="271" customFormat="1" ht="12" x14ac:dyDescent="0.2">
      <c r="B12" s="271" t="s">
        <v>766</v>
      </c>
    </row>
    <row r="13" spans="1:30" s="271" customFormat="1" ht="12" x14ac:dyDescent="0.2">
      <c r="B13" s="271" t="s">
        <v>767</v>
      </c>
    </row>
    <row r="14" spans="1:30" s="269" customFormat="1" ht="12" x14ac:dyDescent="0.2">
      <c r="A14" s="269" t="s">
        <v>768</v>
      </c>
      <c r="B14" s="269" t="s">
        <v>769</v>
      </c>
      <c r="C14" s="269">
        <v>5.5051383972167969</v>
      </c>
      <c r="D14" s="269">
        <v>5.5889601707458496</v>
      </c>
      <c r="E14" s="269">
        <v>5.5451564788818359</v>
      </c>
      <c r="F14" s="269">
        <v>5.5703377723693848</v>
      </c>
      <c r="G14" s="269">
        <v>5.5628237724304199</v>
      </c>
      <c r="H14" s="269">
        <v>5.5745244026184082</v>
      </c>
      <c r="I14" s="269">
        <v>5.620701789855957</v>
      </c>
      <c r="J14" s="269">
        <v>5.6625313758850098</v>
      </c>
      <c r="K14" s="269">
        <v>5.707273006439209</v>
      </c>
      <c r="L14" s="269">
        <v>5.7308187484741211</v>
      </c>
      <c r="M14" s="269">
        <v>5.7493610382080078</v>
      </c>
      <c r="N14" s="269">
        <v>5.7707858085632324</v>
      </c>
      <c r="O14" s="269">
        <v>5.8204174041748047</v>
      </c>
      <c r="P14" s="269">
        <v>6.055107593536377</v>
      </c>
      <c r="Q14" s="269">
        <v>6.2393593788146973</v>
      </c>
      <c r="R14" s="269">
        <v>6.2594313621520996</v>
      </c>
      <c r="S14" s="269">
        <v>6.2611083984375</v>
      </c>
      <c r="T14" s="269">
        <v>6.2733101844787598</v>
      </c>
      <c r="U14" s="269">
        <v>6.2780075073242188</v>
      </c>
      <c r="V14" s="269">
        <v>6.3645296096801758</v>
      </c>
      <c r="W14" s="269">
        <v>6.3972587585449219</v>
      </c>
      <c r="X14" s="269">
        <v>6.4329190254211426</v>
      </c>
      <c r="Y14" s="269">
        <v>6.4609508514404297</v>
      </c>
      <c r="Z14" s="269">
        <v>6.4699511528015137</v>
      </c>
      <c r="AA14" s="269">
        <v>6.4801840782165527</v>
      </c>
      <c r="AB14" s="269">
        <v>6.4801397323608398</v>
      </c>
      <c r="AC14" s="269">
        <v>6.5980367660522461</v>
      </c>
      <c r="AD14" s="269">
        <v>6.9893211241958131E-3</v>
      </c>
    </row>
    <row r="15" spans="1:30" s="269" customFormat="1" ht="12" x14ac:dyDescent="0.2">
      <c r="A15" s="269" t="s">
        <v>770</v>
      </c>
      <c r="B15" s="269" t="s">
        <v>771</v>
      </c>
      <c r="C15" s="269">
        <v>0.23069240152835849</v>
      </c>
      <c r="D15" s="269">
        <v>0.2306919991970062</v>
      </c>
      <c r="E15" s="269">
        <v>0.39994361996650701</v>
      </c>
      <c r="F15" s="269">
        <v>0.41354027390480042</v>
      </c>
      <c r="G15" s="269">
        <v>0.41889470815658569</v>
      </c>
      <c r="H15" s="269">
        <v>0.4279496967792511</v>
      </c>
      <c r="I15" s="269">
        <v>0.4394436776638031</v>
      </c>
      <c r="J15" s="269">
        <v>0.45007726550102228</v>
      </c>
      <c r="K15" s="269">
        <v>0.46119824051856989</v>
      </c>
      <c r="L15" s="269">
        <v>0.47170498967170721</v>
      </c>
      <c r="M15" s="269">
        <v>0.48237946629524231</v>
      </c>
      <c r="N15" s="269">
        <v>0.48959752917289728</v>
      </c>
      <c r="O15" s="269">
        <v>0.48923510313034058</v>
      </c>
      <c r="P15" s="269">
        <v>0.28911802172660828</v>
      </c>
      <c r="Q15" s="269">
        <v>0.14359673857688901</v>
      </c>
      <c r="R15" s="269">
        <v>0.1572767645120621</v>
      </c>
      <c r="S15" s="269">
        <v>0.16270910203456879</v>
      </c>
      <c r="T15" s="269">
        <v>0.16618843376636511</v>
      </c>
      <c r="U15" s="269">
        <v>0.17135538160800931</v>
      </c>
      <c r="V15" s="269">
        <v>0.11807384341955179</v>
      </c>
      <c r="W15" s="269">
        <v>0.11751096695661541</v>
      </c>
      <c r="X15" s="269">
        <v>0.1173508539795876</v>
      </c>
      <c r="Y15" s="269">
        <v>0.1171779483556747</v>
      </c>
      <c r="Z15" s="269">
        <v>0.1165352091193199</v>
      </c>
      <c r="AA15" s="269">
        <v>0.1157728359103203</v>
      </c>
      <c r="AB15" s="269">
        <v>0.115211583673954</v>
      </c>
      <c r="AC15" s="269">
        <v>0</v>
      </c>
      <c r="AD15" s="269" t="s">
        <v>474</v>
      </c>
    </row>
    <row r="16" spans="1:30" s="269" customFormat="1" ht="12" x14ac:dyDescent="0.2">
      <c r="A16" s="269" t="s">
        <v>772</v>
      </c>
      <c r="B16" s="269" t="s">
        <v>773</v>
      </c>
      <c r="C16" s="269">
        <v>6.3908134961820906E-7</v>
      </c>
      <c r="D16" s="269">
        <v>6.1730128209092072E-7</v>
      </c>
      <c r="E16" s="269">
        <v>3.8930701862227579E-7</v>
      </c>
      <c r="F16" s="269">
        <v>3.6281170423535508E-7</v>
      </c>
      <c r="G16" s="269">
        <v>3.327600950342458E-7</v>
      </c>
      <c r="H16" s="269">
        <v>2.9858290417905659E-7</v>
      </c>
      <c r="I16" s="269">
        <v>2.6217054482913232E-7</v>
      </c>
      <c r="J16" s="269">
        <v>1.200142432935536E-4</v>
      </c>
      <c r="K16" s="269">
        <v>9.2720775865018368E-4</v>
      </c>
      <c r="L16" s="269">
        <v>6.7770946770906448E-4</v>
      </c>
      <c r="M16" s="269">
        <v>2.4563786573708062E-3</v>
      </c>
      <c r="N16" s="269">
        <v>4.1814809665083894E-3</v>
      </c>
      <c r="O16" s="269">
        <v>6.0350927524268627E-3</v>
      </c>
      <c r="P16" s="269">
        <v>6.0992040671408176E-3</v>
      </c>
      <c r="Q16" s="269">
        <v>6.0373451560735703E-3</v>
      </c>
      <c r="R16" s="269">
        <v>5.9533650055527687E-3</v>
      </c>
      <c r="S16" s="269">
        <v>5.9533650055527687E-3</v>
      </c>
      <c r="T16" s="269">
        <v>5.6725018657743931E-3</v>
      </c>
      <c r="U16" s="269">
        <v>4.5324689708650112E-3</v>
      </c>
      <c r="V16" s="269">
        <v>3.6667839158326392E-3</v>
      </c>
      <c r="W16" s="269">
        <v>2.668049419298768E-3</v>
      </c>
      <c r="X16" s="269">
        <v>1.2990754330530761E-3</v>
      </c>
      <c r="Y16" s="269">
        <v>6.6363667428959161E-5</v>
      </c>
      <c r="Z16" s="269">
        <v>1.106061099562794E-4</v>
      </c>
      <c r="AA16" s="269">
        <v>1.050758073688485E-4</v>
      </c>
      <c r="AB16" s="269">
        <v>7.1893970016390085E-5</v>
      </c>
      <c r="AC16" s="269">
        <v>6.6363667428959161E-5</v>
      </c>
      <c r="AD16" s="269">
        <v>0.19550901450126321</v>
      </c>
    </row>
    <row r="17" spans="1:30" s="271" customFormat="1" ht="12" x14ac:dyDescent="0.2">
      <c r="A17" s="271" t="s">
        <v>774</v>
      </c>
      <c r="B17" s="271" t="s">
        <v>775</v>
      </c>
      <c r="C17" s="271">
        <v>2.0956628322601318</v>
      </c>
      <c r="D17" s="271">
        <v>2.114242315292358</v>
      </c>
      <c r="E17" s="271">
        <v>2.1277763843536381</v>
      </c>
      <c r="F17" s="271">
        <v>2.1292381286621089</v>
      </c>
      <c r="G17" s="271">
        <v>2.132126092910767</v>
      </c>
      <c r="H17" s="271">
        <v>2.133710384368896</v>
      </c>
      <c r="I17" s="271">
        <v>2.133877277374268</v>
      </c>
      <c r="J17" s="271">
        <v>2.1338717937469478</v>
      </c>
      <c r="K17" s="271">
        <v>2.137631893157959</v>
      </c>
      <c r="L17" s="271">
        <v>2.148905992507935</v>
      </c>
      <c r="M17" s="271">
        <v>2.1672625541687012</v>
      </c>
      <c r="N17" s="271">
        <v>2.177243709564209</v>
      </c>
      <c r="O17" s="271">
        <v>2.1832344532012939</v>
      </c>
      <c r="P17" s="271">
        <v>2.1968147754669189</v>
      </c>
      <c r="Q17" s="271">
        <v>2.2088782787322998</v>
      </c>
      <c r="R17" s="271">
        <v>2.2192263603210449</v>
      </c>
      <c r="S17" s="271">
        <v>2.2451624870300289</v>
      </c>
      <c r="T17" s="271">
        <v>2.2696211338043208</v>
      </c>
      <c r="U17" s="271">
        <v>2.297623872756958</v>
      </c>
      <c r="V17" s="271">
        <v>2.3018119335174561</v>
      </c>
      <c r="W17" s="271">
        <v>2.3032181262969971</v>
      </c>
      <c r="X17" s="271">
        <v>2.3003263473510742</v>
      </c>
      <c r="Y17" s="271">
        <v>2.2891886234283452</v>
      </c>
      <c r="Z17" s="271">
        <v>2.3190982341766362</v>
      </c>
      <c r="AA17" s="271">
        <v>2.3579726219177251</v>
      </c>
      <c r="AB17" s="271">
        <v>2.392503023147583</v>
      </c>
      <c r="AC17" s="271">
        <v>2.4160313606262211</v>
      </c>
      <c r="AD17" s="271">
        <v>5.4863942591982786E-3</v>
      </c>
    </row>
    <row r="18" spans="1:30" s="271" customFormat="1" ht="12" x14ac:dyDescent="0.2">
      <c r="A18" s="271" t="s">
        <v>776</v>
      </c>
      <c r="B18" s="271" t="s">
        <v>777</v>
      </c>
      <c r="C18" s="271">
        <v>7.8314943313598633</v>
      </c>
      <c r="D18" s="271">
        <v>7.9338951110839844</v>
      </c>
      <c r="E18" s="271">
        <v>8.0728769302368164</v>
      </c>
      <c r="F18" s="271">
        <v>8.1131172180175781</v>
      </c>
      <c r="G18" s="271">
        <v>8.1138448715209961</v>
      </c>
      <c r="H18" s="271">
        <v>8.1361846923828125</v>
      </c>
      <c r="I18" s="271">
        <v>8.1940231323242188</v>
      </c>
      <c r="J18" s="271">
        <v>8.2466001510620117</v>
      </c>
      <c r="K18" s="271">
        <v>8.3070297241210938</v>
      </c>
      <c r="L18" s="271">
        <v>8.352107048034668</v>
      </c>
      <c r="M18" s="271">
        <v>8.401458740234375</v>
      </c>
      <c r="N18" s="271">
        <v>8.4418087005615234</v>
      </c>
      <c r="O18" s="271">
        <v>8.4989223480224609</v>
      </c>
      <c r="P18" s="271">
        <v>8.5471391677856445</v>
      </c>
      <c r="Q18" s="271">
        <v>8.5978717803955078</v>
      </c>
      <c r="R18" s="271">
        <v>8.6418876647949219</v>
      </c>
      <c r="S18" s="271">
        <v>8.6749334335327148</v>
      </c>
      <c r="T18" s="271">
        <v>8.7147922515869141</v>
      </c>
      <c r="U18" s="271">
        <v>8.7515192031860352</v>
      </c>
      <c r="V18" s="271">
        <v>8.7880821228027344</v>
      </c>
      <c r="W18" s="271">
        <v>8.8206558227539063</v>
      </c>
      <c r="X18" s="271">
        <v>8.8518953323364258</v>
      </c>
      <c r="Y18" s="271">
        <v>8.8673839569091797</v>
      </c>
      <c r="Z18" s="271">
        <v>8.9056949615478516</v>
      </c>
      <c r="AA18" s="271">
        <v>8.9540348052978516</v>
      </c>
      <c r="AB18" s="271">
        <v>8.9879264831542969</v>
      </c>
      <c r="AC18" s="271">
        <v>9.014134407043457</v>
      </c>
      <c r="AD18" s="271">
        <v>5.4239062671286309E-3</v>
      </c>
    </row>
    <row r="19" spans="1:30" s="269" customFormat="1" ht="12" x14ac:dyDescent="0.2"/>
    <row r="20" spans="1:30" s="271" customFormat="1" ht="12" x14ac:dyDescent="0.2">
      <c r="A20" s="271" t="s">
        <v>778</v>
      </c>
      <c r="B20" s="271" t="s">
        <v>98</v>
      </c>
      <c r="C20" s="271">
        <v>7.7855920791625977</v>
      </c>
      <c r="D20" s="271">
        <v>7.8923330307006836</v>
      </c>
      <c r="E20" s="271">
        <v>8.0292177200317383</v>
      </c>
      <c r="F20" s="271">
        <v>8.0846929550170898</v>
      </c>
      <c r="G20" s="271">
        <v>8.0735921859741211</v>
      </c>
      <c r="H20" s="271">
        <v>8.0833263397216797</v>
      </c>
      <c r="I20" s="271">
        <v>8.1592483520507813</v>
      </c>
      <c r="J20" s="271">
        <v>8.2108449935913086</v>
      </c>
      <c r="K20" s="271">
        <v>8.2659883499145508</v>
      </c>
      <c r="L20" s="271">
        <v>8.3113126754760742</v>
      </c>
      <c r="M20" s="271">
        <v>8.3615226745605469</v>
      </c>
      <c r="N20" s="271">
        <v>8.4006357192993164</v>
      </c>
      <c r="O20" s="271">
        <v>8.4577016830444336</v>
      </c>
      <c r="P20" s="271">
        <v>8.5056266784667969</v>
      </c>
      <c r="Q20" s="271">
        <v>8.5566587448120117</v>
      </c>
      <c r="R20" s="271">
        <v>8.5998325347900391</v>
      </c>
      <c r="S20" s="271">
        <v>8.6340618133544922</v>
      </c>
      <c r="T20" s="271">
        <v>8.6736764907836914</v>
      </c>
      <c r="U20" s="271">
        <v>8.7099237442016602</v>
      </c>
      <c r="V20" s="271">
        <v>8.746586799621582</v>
      </c>
      <c r="W20" s="271">
        <v>8.7804031372070313</v>
      </c>
      <c r="X20" s="271">
        <v>8.8126745223999023</v>
      </c>
      <c r="Y20" s="271">
        <v>8.8281440734863281</v>
      </c>
      <c r="Z20" s="271">
        <v>8.8652753829956055</v>
      </c>
      <c r="AA20" s="271">
        <v>8.9119901657104492</v>
      </c>
      <c r="AB20" s="271">
        <v>8.9451675415039063</v>
      </c>
      <c r="AC20" s="271">
        <v>8.9719314575195313</v>
      </c>
      <c r="AD20" s="271">
        <v>5.4697555871852099E-3</v>
      </c>
    </row>
    <row r="21" spans="1:30" s="271" customFormat="1" ht="12" x14ac:dyDescent="0.2">
      <c r="A21" s="271" t="s">
        <v>779</v>
      </c>
      <c r="B21" s="271" t="s">
        <v>780</v>
      </c>
      <c r="C21" s="271">
        <v>7.782346248626709</v>
      </c>
      <c r="D21" s="271">
        <v>7.8888826370239258</v>
      </c>
      <c r="E21" s="271">
        <v>8.0256900787353516</v>
      </c>
      <c r="F21" s="271">
        <v>8.0811338424682617</v>
      </c>
      <c r="G21" s="271">
        <v>8.0700435638427734</v>
      </c>
      <c r="H21" s="271">
        <v>8.0798749923706055</v>
      </c>
      <c r="I21" s="271">
        <v>8.1558904647827148</v>
      </c>
      <c r="J21" s="271">
        <v>8.2075967788696289</v>
      </c>
      <c r="K21" s="271">
        <v>8.2623367309570313</v>
      </c>
      <c r="L21" s="271">
        <v>8.3077421188354492</v>
      </c>
      <c r="M21" s="271">
        <v>8.3587360382080078</v>
      </c>
      <c r="N21" s="271">
        <v>8.3978757858276367</v>
      </c>
      <c r="O21" s="271">
        <v>8.4545679092407227</v>
      </c>
      <c r="P21" s="271">
        <v>8.5026683807373047</v>
      </c>
      <c r="Q21" s="271">
        <v>8.5538740158081055</v>
      </c>
      <c r="R21" s="271">
        <v>8.5972146987915039</v>
      </c>
      <c r="S21" s="271">
        <v>8.6316041946411133</v>
      </c>
      <c r="T21" s="271">
        <v>8.6713752746582031</v>
      </c>
      <c r="U21" s="271">
        <v>8.7077493667602539</v>
      </c>
      <c r="V21" s="271">
        <v>8.7445249557495117</v>
      </c>
      <c r="W21" s="271">
        <v>8.7784280776977539</v>
      </c>
      <c r="X21" s="271">
        <v>8.810795783996582</v>
      </c>
      <c r="Y21" s="271">
        <v>8.8263378143310547</v>
      </c>
      <c r="Z21" s="271">
        <v>8.8635215759277344</v>
      </c>
      <c r="AA21" s="271">
        <v>8.9102687835693359</v>
      </c>
      <c r="AB21" s="271">
        <v>8.9434757232666016</v>
      </c>
      <c r="AC21" s="271">
        <v>8.9702615737915039</v>
      </c>
      <c r="AD21" s="271">
        <v>5.47868298821097E-3</v>
      </c>
    </row>
    <row r="22" spans="1:30" s="269" customFormat="1" ht="12" x14ac:dyDescent="0.2">
      <c r="A22" s="269" t="s">
        <v>781</v>
      </c>
      <c r="B22" s="269" t="s">
        <v>782</v>
      </c>
      <c r="C22" s="269">
        <v>3.9304556846618648</v>
      </c>
      <c r="D22" s="269">
        <v>4.0369472503662109</v>
      </c>
      <c r="E22" s="269">
        <v>4.173698902130127</v>
      </c>
      <c r="F22" s="269">
        <v>4.2290725708007813</v>
      </c>
      <c r="G22" s="269">
        <v>4.2216925621032706</v>
      </c>
      <c r="H22" s="269">
        <v>4.2494363784790039</v>
      </c>
      <c r="I22" s="269">
        <v>4.3035359382629386</v>
      </c>
      <c r="J22" s="269">
        <v>4.3551092147827148</v>
      </c>
      <c r="K22" s="269">
        <v>4.409691333770752</v>
      </c>
      <c r="L22" s="269">
        <v>4.4549131393432617</v>
      </c>
      <c r="M22" s="269">
        <v>4.5057024955749512</v>
      </c>
      <c r="N22" s="269">
        <v>4.5446176528930664</v>
      </c>
      <c r="O22" s="269">
        <v>4.6010560989379883</v>
      </c>
      <c r="P22" s="269">
        <v>4.6488757133483887</v>
      </c>
      <c r="Q22" s="269">
        <v>4.6998014450073242</v>
      </c>
      <c r="R22" s="269">
        <v>4.7428293228149414</v>
      </c>
      <c r="S22" s="269">
        <v>4.7768759727478027</v>
      </c>
      <c r="T22" s="269">
        <v>4.8162755966186523</v>
      </c>
      <c r="U22" s="269">
        <v>4.8522520065307617</v>
      </c>
      <c r="V22" s="269">
        <v>4.8885645866394043</v>
      </c>
      <c r="W22" s="269">
        <v>4.9219722747802734</v>
      </c>
      <c r="X22" s="269">
        <v>4.9538068771362296</v>
      </c>
      <c r="Y22" s="269">
        <v>4.9687800407409668</v>
      </c>
      <c r="Z22" s="269">
        <v>5.0053467750549316</v>
      </c>
      <c r="AA22" s="269">
        <v>5.0514383316040039</v>
      </c>
      <c r="AB22" s="269">
        <v>5.0839400291442871</v>
      </c>
      <c r="AC22" s="269">
        <v>5.1098895072937012</v>
      </c>
      <c r="AD22" s="269">
        <v>1.014427751937896E-2</v>
      </c>
    </row>
    <row r="23" spans="1:30" s="269" customFormat="1" ht="12" x14ac:dyDescent="0.2">
      <c r="A23" s="269" t="s">
        <v>783</v>
      </c>
      <c r="B23" s="269" t="s">
        <v>784</v>
      </c>
      <c r="C23" s="269">
        <v>3.851636409759521</v>
      </c>
      <c r="D23" s="269">
        <v>3.851636409759521</v>
      </c>
      <c r="E23" s="269">
        <v>3.851636409759521</v>
      </c>
      <c r="F23" s="269">
        <v>3.851636409759521</v>
      </c>
      <c r="G23" s="269">
        <v>3.847848653793335</v>
      </c>
      <c r="H23" s="269">
        <v>3.8298377990722661</v>
      </c>
      <c r="I23" s="269">
        <v>3.851636409759521</v>
      </c>
      <c r="J23" s="269">
        <v>3.851636409759521</v>
      </c>
      <c r="K23" s="269">
        <v>3.851636409759521</v>
      </c>
      <c r="L23" s="269">
        <v>3.851636409759521</v>
      </c>
      <c r="M23" s="269">
        <v>3.851636409759521</v>
      </c>
      <c r="N23" s="269">
        <v>3.851636409759521</v>
      </c>
      <c r="O23" s="269">
        <v>3.851636409759521</v>
      </c>
      <c r="P23" s="269">
        <v>3.851636409759521</v>
      </c>
      <c r="Q23" s="269">
        <v>3.851636409759521</v>
      </c>
      <c r="R23" s="269">
        <v>3.851636409759521</v>
      </c>
      <c r="S23" s="269">
        <v>3.851636409759521</v>
      </c>
      <c r="T23" s="269">
        <v>3.851636409759521</v>
      </c>
      <c r="U23" s="269">
        <v>3.851636409759521</v>
      </c>
      <c r="V23" s="269">
        <v>3.851636409759521</v>
      </c>
      <c r="W23" s="269">
        <v>3.851636409759521</v>
      </c>
      <c r="X23" s="269">
        <v>3.851636409759521</v>
      </c>
      <c r="Y23" s="269">
        <v>3.851636409759521</v>
      </c>
      <c r="Z23" s="269">
        <v>3.851636409759521</v>
      </c>
      <c r="AA23" s="269">
        <v>3.851636409759521</v>
      </c>
      <c r="AB23" s="269">
        <v>3.851636409759521</v>
      </c>
      <c r="AC23" s="269">
        <v>3.851636409759521</v>
      </c>
      <c r="AD23" s="269">
        <v>0</v>
      </c>
    </row>
    <row r="24" spans="1:30" s="269" customFormat="1" ht="12" x14ac:dyDescent="0.2">
      <c r="A24" s="269" t="s">
        <v>785</v>
      </c>
      <c r="B24" s="269" t="s">
        <v>786</v>
      </c>
      <c r="C24" s="269">
        <v>2.5415420532226563E-4</v>
      </c>
      <c r="D24" s="269">
        <v>2.9897689819335938E-4</v>
      </c>
      <c r="E24" s="269">
        <v>3.54766845703125E-4</v>
      </c>
      <c r="F24" s="269">
        <v>4.2486190795898438E-4</v>
      </c>
      <c r="G24" s="269">
        <v>5.0234794616699219E-4</v>
      </c>
      <c r="H24" s="269">
        <v>6.008148193359375E-4</v>
      </c>
      <c r="I24" s="269">
        <v>7.1811676025390625E-4</v>
      </c>
      <c r="J24" s="269">
        <v>8.5115432739257813E-4</v>
      </c>
      <c r="K24" s="269">
        <v>1.0089874267578121E-3</v>
      </c>
      <c r="L24" s="269">
        <v>1.1925697326660161E-3</v>
      </c>
      <c r="M24" s="269">
        <v>1.397132873535156E-3</v>
      </c>
      <c r="N24" s="269">
        <v>1.6217231750488279E-3</v>
      </c>
      <c r="O24" s="269">
        <v>1.8754005432128911E-3</v>
      </c>
      <c r="P24" s="269">
        <v>2.1562576293945308E-3</v>
      </c>
      <c r="Q24" s="269">
        <v>2.4361610412597661E-3</v>
      </c>
      <c r="R24" s="269">
        <v>2.7489662170410161E-3</v>
      </c>
      <c r="S24" s="269">
        <v>3.0918121337890621E-3</v>
      </c>
      <c r="T24" s="269">
        <v>3.4632682800292969E-3</v>
      </c>
      <c r="U24" s="269">
        <v>3.8609504699707031E-3</v>
      </c>
      <c r="V24" s="269">
        <v>4.3239593505859384E-3</v>
      </c>
      <c r="W24" s="269">
        <v>4.8193931579589844E-3</v>
      </c>
      <c r="X24" s="269">
        <v>5.3524971008300781E-3</v>
      </c>
      <c r="Y24" s="269">
        <v>5.9213638305664063E-3</v>
      </c>
      <c r="Z24" s="269">
        <v>6.53839111328125E-3</v>
      </c>
      <c r="AA24" s="269">
        <v>7.1940422058105469E-3</v>
      </c>
      <c r="AB24" s="269">
        <v>7.8992843627929688E-3</v>
      </c>
      <c r="AC24" s="269">
        <v>8.73565673828125E-3</v>
      </c>
      <c r="AD24" s="269">
        <v>0.14573597167613661</v>
      </c>
    </row>
    <row r="25" spans="1:30" s="271" customFormat="1" ht="12" x14ac:dyDescent="0.2">
      <c r="A25" s="271" t="s">
        <v>787</v>
      </c>
      <c r="B25" s="271" t="s">
        <v>788</v>
      </c>
      <c r="C25" s="271">
        <v>3.2457646448165178E-3</v>
      </c>
      <c r="D25" s="271">
        <v>3.4504062496125698E-3</v>
      </c>
      <c r="E25" s="271">
        <v>3.5280678421258931E-3</v>
      </c>
      <c r="F25" s="271">
        <v>3.5593057982623581E-3</v>
      </c>
      <c r="G25" s="271">
        <v>3.548663342371583E-3</v>
      </c>
      <c r="H25" s="271">
        <v>3.4512979909777641E-3</v>
      </c>
      <c r="I25" s="271">
        <v>3.3582148607820268E-3</v>
      </c>
      <c r="J25" s="271">
        <v>3.248144406825304E-3</v>
      </c>
      <c r="K25" s="271">
        <v>3.1163597013801341E-3</v>
      </c>
      <c r="L25" s="271">
        <v>2.9525768477469678E-3</v>
      </c>
      <c r="M25" s="271">
        <v>2.786326222121716E-3</v>
      </c>
      <c r="N25" s="271">
        <v>2.6168040931224819E-3</v>
      </c>
      <c r="O25" s="271">
        <v>2.4430807679891591E-3</v>
      </c>
      <c r="P25" s="271">
        <v>2.2680461406707759E-3</v>
      </c>
      <c r="Q25" s="271">
        <v>2.0939323585480452E-3</v>
      </c>
      <c r="R25" s="271">
        <v>1.9270121119916439E-3</v>
      </c>
      <c r="S25" s="271">
        <v>1.767068519257009E-3</v>
      </c>
      <c r="T25" s="271">
        <v>1.6111071454361079E-3</v>
      </c>
      <c r="U25" s="271">
        <v>1.4840550720691681E-3</v>
      </c>
      <c r="V25" s="271">
        <v>1.3711944920942189E-3</v>
      </c>
      <c r="W25" s="271">
        <v>1.2841554125770931E-3</v>
      </c>
      <c r="X25" s="271">
        <v>1.1884088162332771E-3</v>
      </c>
      <c r="Y25" s="271">
        <v>1.116185681894422E-3</v>
      </c>
      <c r="Z25" s="271">
        <v>1.06381974183023E-3</v>
      </c>
      <c r="AA25" s="271">
        <v>1.031164661981165E-3</v>
      </c>
      <c r="AB25" s="271">
        <v>1.001611934043467E-3</v>
      </c>
      <c r="AC25" s="271">
        <v>9.795421501621604E-4</v>
      </c>
      <c r="AD25" s="271">
        <v>-4.5032269984946582E-2</v>
      </c>
    </row>
    <row r="26" spans="1:30" s="269" customFormat="1" ht="12" x14ac:dyDescent="0.2">
      <c r="A26" s="269" t="s">
        <v>789</v>
      </c>
      <c r="B26" s="269" t="s">
        <v>790</v>
      </c>
      <c r="C26" s="269">
        <v>3.0001320410519838E-3</v>
      </c>
      <c r="D26" s="269">
        <v>3.192805452272296E-3</v>
      </c>
      <c r="E26" s="269">
        <v>3.2669876236468549E-3</v>
      </c>
      <c r="F26" s="269">
        <v>3.298167604953051E-3</v>
      </c>
      <c r="G26" s="269">
        <v>3.2883768435567622E-3</v>
      </c>
      <c r="H26" s="269">
        <v>3.192552132532001E-3</v>
      </c>
      <c r="I26" s="269">
        <v>3.1009400263428688E-3</v>
      </c>
      <c r="J26" s="269">
        <v>2.9922982212156062E-3</v>
      </c>
      <c r="K26" s="269">
        <v>2.8639703523367639E-3</v>
      </c>
      <c r="L26" s="269">
        <v>2.7039882261306052E-3</v>
      </c>
      <c r="M26" s="269">
        <v>2.5402950122952461E-3</v>
      </c>
      <c r="N26" s="269">
        <v>2.3743205238133669E-3</v>
      </c>
      <c r="O26" s="269">
        <v>2.2043485660105939E-3</v>
      </c>
      <c r="P26" s="269">
        <v>2.033262280747294E-3</v>
      </c>
      <c r="Q26" s="269">
        <v>1.8629252444952731E-3</v>
      </c>
      <c r="R26" s="269">
        <v>1.699730753898621E-3</v>
      </c>
      <c r="S26" s="269">
        <v>1.543906750157475E-3</v>
      </c>
      <c r="T26" s="269">
        <v>1.392207923345268E-3</v>
      </c>
      <c r="U26" s="269">
        <v>1.2697310885414479E-3</v>
      </c>
      <c r="V26" s="269">
        <v>1.1609822977334261E-3</v>
      </c>
      <c r="W26" s="269">
        <v>1.078186556696892E-3</v>
      </c>
      <c r="X26" s="269">
        <v>9.8615104798227549E-4</v>
      </c>
      <c r="Y26" s="269">
        <v>9.1802020324394107E-4</v>
      </c>
      <c r="Z26" s="269">
        <v>8.7024300592020154E-4</v>
      </c>
      <c r="AA26" s="269">
        <v>8.4183091530576348E-4</v>
      </c>
      <c r="AB26" s="269">
        <v>8.1623840378597379E-4</v>
      </c>
      <c r="AC26" s="269">
        <v>7.9701415961608291E-4</v>
      </c>
      <c r="AD26" s="269">
        <v>-4.9704485102181513E-2</v>
      </c>
    </row>
    <row r="27" spans="1:30" s="269" customFormat="1" ht="12" x14ac:dyDescent="0.2">
      <c r="A27" s="269" t="s">
        <v>791</v>
      </c>
      <c r="B27" s="269" t="s">
        <v>792</v>
      </c>
      <c r="C27" s="269">
        <v>0</v>
      </c>
      <c r="D27" s="269">
        <v>0</v>
      </c>
      <c r="E27" s="269">
        <v>0</v>
      </c>
      <c r="F27" s="269">
        <v>0</v>
      </c>
      <c r="G27" s="269">
        <v>0</v>
      </c>
      <c r="H27" s="269">
        <v>0</v>
      </c>
      <c r="I27" s="269">
        <v>0</v>
      </c>
      <c r="J27" s="269">
        <v>0</v>
      </c>
      <c r="K27" s="269">
        <v>0</v>
      </c>
      <c r="L27" s="269">
        <v>0</v>
      </c>
      <c r="M27" s="269">
        <v>0</v>
      </c>
      <c r="N27" s="269">
        <v>0</v>
      </c>
      <c r="O27" s="269">
        <v>0</v>
      </c>
      <c r="P27" s="269">
        <v>0</v>
      </c>
      <c r="Q27" s="269">
        <v>0</v>
      </c>
      <c r="R27" s="269">
        <v>0</v>
      </c>
      <c r="S27" s="269">
        <v>0</v>
      </c>
      <c r="T27" s="269">
        <v>0</v>
      </c>
      <c r="U27" s="269">
        <v>0</v>
      </c>
      <c r="V27" s="269">
        <v>0</v>
      </c>
      <c r="W27" s="269">
        <v>0</v>
      </c>
      <c r="X27" s="269">
        <v>0</v>
      </c>
      <c r="Y27" s="269">
        <v>0</v>
      </c>
      <c r="Z27" s="269">
        <v>0</v>
      </c>
      <c r="AA27" s="269">
        <v>0</v>
      </c>
      <c r="AB27" s="269">
        <v>0</v>
      </c>
      <c r="AC27" s="269">
        <v>0</v>
      </c>
      <c r="AD27" s="269" t="s">
        <v>474</v>
      </c>
    </row>
    <row r="28" spans="1:30" s="269" customFormat="1" ht="12" x14ac:dyDescent="0.2">
      <c r="A28" s="269" t="s">
        <v>793</v>
      </c>
      <c r="B28" s="269" t="s">
        <v>794</v>
      </c>
      <c r="C28" s="269">
        <v>0</v>
      </c>
      <c r="D28" s="269">
        <v>0</v>
      </c>
      <c r="E28" s="269">
        <v>0</v>
      </c>
      <c r="F28" s="269">
        <v>0</v>
      </c>
      <c r="G28" s="269">
        <v>0</v>
      </c>
      <c r="H28" s="269">
        <v>0</v>
      </c>
      <c r="I28" s="269">
        <v>0</v>
      </c>
      <c r="J28" s="269">
        <v>0</v>
      </c>
      <c r="K28" s="269">
        <v>0</v>
      </c>
      <c r="L28" s="269">
        <v>0</v>
      </c>
      <c r="M28" s="269">
        <v>0</v>
      </c>
      <c r="N28" s="269">
        <v>0</v>
      </c>
      <c r="O28" s="269">
        <v>0</v>
      </c>
      <c r="P28" s="269">
        <v>0</v>
      </c>
      <c r="Q28" s="269">
        <v>0</v>
      </c>
      <c r="R28" s="269">
        <v>0</v>
      </c>
      <c r="S28" s="269">
        <v>0</v>
      </c>
      <c r="T28" s="269">
        <v>0</v>
      </c>
      <c r="U28" s="269">
        <v>0</v>
      </c>
      <c r="V28" s="269">
        <v>0</v>
      </c>
      <c r="W28" s="269">
        <v>0</v>
      </c>
      <c r="X28" s="269">
        <v>0</v>
      </c>
      <c r="Y28" s="269">
        <v>0</v>
      </c>
      <c r="Z28" s="269">
        <v>0</v>
      </c>
      <c r="AA28" s="269">
        <v>0</v>
      </c>
      <c r="AB28" s="269">
        <v>0</v>
      </c>
      <c r="AC28" s="269">
        <v>0</v>
      </c>
      <c r="AD28" s="269" t="s">
        <v>474</v>
      </c>
    </row>
    <row r="29" spans="1:30" s="269" customFormat="1" ht="12" x14ac:dyDescent="0.2">
      <c r="A29" s="269" t="s">
        <v>795</v>
      </c>
      <c r="B29" s="269" t="s">
        <v>796</v>
      </c>
      <c r="C29" s="269">
        <v>2.4563242914155131E-4</v>
      </c>
      <c r="D29" s="269">
        <v>2.5760105927474802E-4</v>
      </c>
      <c r="E29" s="269">
        <v>2.6108010206371551E-4</v>
      </c>
      <c r="F29" s="269">
        <v>2.6113790227100248E-4</v>
      </c>
      <c r="G29" s="269">
        <v>2.6028638239949942E-4</v>
      </c>
      <c r="H29" s="269">
        <v>2.5874594575725501E-4</v>
      </c>
      <c r="I29" s="269">
        <v>2.5727503816597158E-4</v>
      </c>
      <c r="J29" s="269">
        <v>2.5584644754417241E-4</v>
      </c>
      <c r="K29" s="269">
        <v>2.5238931993953878E-4</v>
      </c>
      <c r="L29" s="269">
        <v>2.4858899996615952E-4</v>
      </c>
      <c r="M29" s="269">
        <v>2.4603123893029988E-4</v>
      </c>
      <c r="N29" s="269">
        <v>2.4248399131465701E-4</v>
      </c>
      <c r="O29" s="269">
        <v>2.387320419074968E-4</v>
      </c>
      <c r="P29" s="269">
        <v>2.34783990890719E-4</v>
      </c>
      <c r="Q29" s="269">
        <v>2.3100717226043341E-4</v>
      </c>
      <c r="R29" s="269">
        <v>2.2728153271600601E-4</v>
      </c>
      <c r="S29" s="269">
        <v>2.2316181275527919E-4</v>
      </c>
      <c r="T29" s="269">
        <v>2.188990620197728E-4</v>
      </c>
      <c r="U29" s="269">
        <v>2.14324114494957E-4</v>
      </c>
      <c r="V29" s="269">
        <v>2.1021220891270789E-4</v>
      </c>
      <c r="W29" s="269">
        <v>2.0596889953594649E-4</v>
      </c>
      <c r="X29" s="269">
        <v>2.0225787011440841E-4</v>
      </c>
      <c r="Y29" s="269">
        <v>1.981655368581414E-4</v>
      </c>
      <c r="Z29" s="269">
        <v>1.9357670680619779E-4</v>
      </c>
      <c r="AA29" s="269">
        <v>1.8933360115624959E-4</v>
      </c>
      <c r="AB29" s="269">
        <v>1.8537347204983229E-4</v>
      </c>
      <c r="AC29" s="269">
        <v>1.825279323384166E-4</v>
      </c>
      <c r="AD29" s="269">
        <v>-1.135553412845325E-2</v>
      </c>
    </row>
    <row r="30" spans="1:30" s="271" customFormat="1" ht="12" x14ac:dyDescent="0.2">
      <c r="A30" s="271" t="s">
        <v>797</v>
      </c>
      <c r="B30" s="271" t="s">
        <v>798</v>
      </c>
      <c r="C30" s="271">
        <v>0</v>
      </c>
      <c r="D30" s="271">
        <v>0</v>
      </c>
      <c r="E30" s="271">
        <v>0</v>
      </c>
      <c r="F30" s="271">
        <v>0</v>
      </c>
      <c r="G30" s="271">
        <v>0</v>
      </c>
      <c r="H30" s="271">
        <v>0</v>
      </c>
      <c r="I30" s="271">
        <v>0</v>
      </c>
      <c r="J30" s="271">
        <v>0</v>
      </c>
      <c r="K30" s="271">
        <v>5.3505628602579236E-4</v>
      </c>
      <c r="L30" s="271">
        <v>6.1796914087608457E-4</v>
      </c>
      <c r="M30" s="271">
        <v>0</v>
      </c>
      <c r="N30" s="271">
        <v>1.4319470210466531E-4</v>
      </c>
      <c r="O30" s="271">
        <v>6.9062993861734867E-4</v>
      </c>
      <c r="P30" s="271">
        <v>6.9062993861734867E-4</v>
      </c>
      <c r="Q30" s="271">
        <v>6.9062993861734867E-4</v>
      </c>
      <c r="R30" s="271">
        <v>6.9062993861734867E-4</v>
      </c>
      <c r="S30" s="271">
        <v>6.9062993861734867E-4</v>
      </c>
      <c r="T30" s="271">
        <v>6.9062993861734867E-4</v>
      </c>
      <c r="U30" s="271">
        <v>6.9062993861734867E-4</v>
      </c>
      <c r="V30" s="271">
        <v>6.9062993861734867E-4</v>
      </c>
      <c r="W30" s="271">
        <v>6.9062993861734867E-4</v>
      </c>
      <c r="X30" s="271">
        <v>6.9062993861734867E-4</v>
      </c>
      <c r="Y30" s="271">
        <v>6.9062993861734867E-4</v>
      </c>
      <c r="Z30" s="271">
        <v>6.9062993861734867E-4</v>
      </c>
      <c r="AA30" s="271">
        <v>6.9062993861734867E-4</v>
      </c>
      <c r="AB30" s="271">
        <v>6.9062993861734867E-4</v>
      </c>
      <c r="AC30" s="271">
        <v>6.9062993861734867E-4</v>
      </c>
      <c r="AD30" s="271" t="s">
        <v>474</v>
      </c>
    </row>
    <row r="31" spans="1:30" s="269" customFormat="1" ht="12" x14ac:dyDescent="0.2"/>
    <row r="32" spans="1:30" s="271" customFormat="1" ht="12" x14ac:dyDescent="0.2">
      <c r="A32" s="271" t="s">
        <v>799</v>
      </c>
      <c r="B32" s="271" t="s">
        <v>800</v>
      </c>
      <c r="C32" s="271">
        <v>4.5902252197265618E-2</v>
      </c>
      <c r="D32" s="271">
        <v>4.1562080383300781E-2</v>
      </c>
      <c r="E32" s="271">
        <v>4.3659210205078118E-2</v>
      </c>
      <c r="F32" s="271">
        <v>2.8424263000488281E-2</v>
      </c>
      <c r="G32" s="271">
        <v>4.0252685546875E-2</v>
      </c>
      <c r="H32" s="271">
        <v>5.2858352661132813E-2</v>
      </c>
      <c r="I32" s="271">
        <v>3.47747802734375E-2</v>
      </c>
      <c r="J32" s="271">
        <v>3.5755157470703118E-2</v>
      </c>
      <c r="K32" s="271">
        <v>4.1041374206542969E-2</v>
      </c>
      <c r="L32" s="271">
        <v>4.079437255859375E-2</v>
      </c>
      <c r="M32" s="271">
        <v>3.9936065673828118E-2</v>
      </c>
      <c r="N32" s="271">
        <v>4.1172981262207031E-2</v>
      </c>
      <c r="O32" s="271">
        <v>4.1220664978027337E-2</v>
      </c>
      <c r="P32" s="271">
        <v>4.1512489318847663E-2</v>
      </c>
      <c r="Q32" s="271">
        <v>4.1213035583496087E-2</v>
      </c>
      <c r="R32" s="271">
        <v>4.2055130004882813E-2</v>
      </c>
      <c r="S32" s="271">
        <v>4.0871620178222663E-2</v>
      </c>
      <c r="T32" s="271">
        <v>4.1115760803222663E-2</v>
      </c>
      <c r="U32" s="271">
        <v>4.1595458984375E-2</v>
      </c>
      <c r="V32" s="271">
        <v>4.1495323181152337E-2</v>
      </c>
      <c r="W32" s="271">
        <v>4.0252685546875E-2</v>
      </c>
      <c r="X32" s="271">
        <v>3.9220809936523438E-2</v>
      </c>
      <c r="Y32" s="271">
        <v>3.9239883422851563E-2</v>
      </c>
      <c r="Z32" s="271">
        <v>4.0419578552246087E-2</v>
      </c>
      <c r="AA32" s="271">
        <v>4.2044639587402337E-2</v>
      </c>
      <c r="AB32" s="271">
        <v>4.2758941650390618E-2</v>
      </c>
      <c r="AC32" s="271">
        <v>4.2202949523925781E-2</v>
      </c>
      <c r="AD32" s="271">
        <v>-3.226478725445348E-3</v>
      </c>
    </row>
    <row r="33" spans="1:30" s="269" customFormat="1" ht="12" x14ac:dyDescent="0.2"/>
    <row r="34" spans="1:30" s="271" customFormat="1" ht="12" x14ac:dyDescent="0.2">
      <c r="B34" s="271" t="s">
        <v>801</v>
      </c>
    </row>
    <row r="35" spans="1:30" s="269" customFormat="1" ht="12" x14ac:dyDescent="0.2">
      <c r="A35" s="269" t="s">
        <v>802</v>
      </c>
      <c r="B35" s="269" t="s">
        <v>803</v>
      </c>
      <c r="C35" s="269">
        <v>7.0623779296875</v>
      </c>
      <c r="D35" s="269">
        <v>8.1772222518920898</v>
      </c>
      <c r="E35" s="269">
        <v>8.0545816421508789</v>
      </c>
      <c r="F35" s="269">
        <v>7.9175052642822266</v>
      </c>
      <c r="G35" s="269">
        <v>8.0400533676147461</v>
      </c>
      <c r="H35" s="269">
        <v>8.1602315902709961</v>
      </c>
      <c r="I35" s="269">
        <v>8.3440771102905273</v>
      </c>
      <c r="J35" s="269">
        <v>8.5184183120727539</v>
      </c>
      <c r="K35" s="269">
        <v>8.9469699859619141</v>
      </c>
      <c r="L35" s="269">
        <v>9.3011131286621094</v>
      </c>
      <c r="M35" s="269">
        <v>9.5776071548461914</v>
      </c>
      <c r="N35" s="269">
        <v>9.6891593933105469</v>
      </c>
      <c r="O35" s="269">
        <v>9.6014671325683594</v>
      </c>
      <c r="P35" s="269">
        <v>9.5438508987426758</v>
      </c>
      <c r="Q35" s="269">
        <v>9.6702098846435547</v>
      </c>
      <c r="R35" s="269">
        <v>9.5780801773071289</v>
      </c>
      <c r="S35" s="269">
        <v>9.6218910217285156</v>
      </c>
      <c r="T35" s="269">
        <v>9.7619714736938477</v>
      </c>
      <c r="U35" s="269">
        <v>9.9076681137084961</v>
      </c>
      <c r="V35" s="269">
        <v>9.8563909530639648</v>
      </c>
      <c r="W35" s="269">
        <v>9.9179220199584961</v>
      </c>
      <c r="X35" s="269">
        <v>9.924351692199707</v>
      </c>
      <c r="Y35" s="269">
        <v>9.9192829132080078</v>
      </c>
      <c r="Z35" s="269">
        <v>9.8394737243652344</v>
      </c>
      <c r="AA35" s="269">
        <v>9.8236074447631836</v>
      </c>
      <c r="AB35" s="269">
        <v>9.826024055480957</v>
      </c>
      <c r="AC35" s="269">
        <v>9.6644515991210938</v>
      </c>
      <c r="AD35" s="269">
        <v>1.213739671851655E-2</v>
      </c>
    </row>
    <row r="36" spans="1:30" s="269" customFormat="1" ht="12" x14ac:dyDescent="0.2"/>
    <row r="37" spans="1:30" s="271" customFormat="1" ht="12" x14ac:dyDescent="0.2">
      <c r="B37" s="271" t="s">
        <v>804</v>
      </c>
    </row>
    <row r="38" spans="1:30" s="269" customFormat="1" ht="12" x14ac:dyDescent="0.2">
      <c r="A38" s="269" t="s">
        <v>805</v>
      </c>
      <c r="B38" s="269" t="s">
        <v>806</v>
      </c>
      <c r="C38" s="269">
        <v>9.5251846313476563</v>
      </c>
      <c r="D38" s="269">
        <v>10.64007472991943</v>
      </c>
      <c r="E38" s="269">
        <v>10.51750564575195</v>
      </c>
      <c r="F38" s="269">
        <v>10.38045597076416</v>
      </c>
      <c r="G38" s="269">
        <v>10.503005027771</v>
      </c>
      <c r="H38" s="269">
        <v>10.62315654754639</v>
      </c>
      <c r="I38" s="269">
        <v>10.806981086730961</v>
      </c>
      <c r="J38" s="269">
        <v>10.98133754730225</v>
      </c>
      <c r="K38" s="269">
        <v>11.40980434417725</v>
      </c>
      <c r="L38" s="269">
        <v>11.764016151428221</v>
      </c>
      <c r="M38" s="269">
        <v>12.040632247924799</v>
      </c>
      <c r="N38" s="269">
        <v>12.152256965637211</v>
      </c>
      <c r="O38" s="269">
        <v>12.06453895568848</v>
      </c>
      <c r="P38" s="269">
        <v>12.006973266601561</v>
      </c>
      <c r="Q38" s="269">
        <v>12.133413314819339</v>
      </c>
      <c r="R38" s="269">
        <v>12.04129123687744</v>
      </c>
      <c r="S38" s="269">
        <v>12.085117340087891</v>
      </c>
      <c r="T38" s="269">
        <v>12.2252082824707</v>
      </c>
      <c r="U38" s="269">
        <v>12.370906829833981</v>
      </c>
      <c r="V38" s="269">
        <v>12.319607734680179</v>
      </c>
      <c r="W38" s="269">
        <v>12.3811502456665</v>
      </c>
      <c r="X38" s="269">
        <v>12.387590408325201</v>
      </c>
      <c r="Y38" s="269">
        <v>12.38253116607666</v>
      </c>
      <c r="Z38" s="269">
        <v>12.302725791931151</v>
      </c>
      <c r="AA38" s="269">
        <v>12.28686618804932</v>
      </c>
      <c r="AB38" s="269">
        <v>12.28929233551025</v>
      </c>
      <c r="AC38" s="269">
        <v>12.127695083618161</v>
      </c>
      <c r="AD38" s="269">
        <v>9.3337666784212292E-3</v>
      </c>
    </row>
    <row r="39" spans="1:30" s="269" customFormat="1" ht="12" x14ac:dyDescent="0.2">
      <c r="A39" s="269" t="s">
        <v>807</v>
      </c>
      <c r="B39" s="269" t="s">
        <v>808</v>
      </c>
      <c r="C39" s="269">
        <v>61.324638366699219</v>
      </c>
      <c r="D39" s="269">
        <v>62.258430480957031</v>
      </c>
      <c r="E39" s="269">
        <v>61.971076965332031</v>
      </c>
      <c r="F39" s="269">
        <v>61.767257690429688</v>
      </c>
      <c r="G39" s="269">
        <v>61.892784118652337</v>
      </c>
      <c r="H39" s="269">
        <v>62.113872528076172</v>
      </c>
      <c r="I39" s="269">
        <v>62.399040222167969</v>
      </c>
      <c r="J39" s="269">
        <v>62.600948333740227</v>
      </c>
      <c r="K39" s="269">
        <v>63.057624816894531</v>
      </c>
      <c r="L39" s="269">
        <v>63.294517517089837</v>
      </c>
      <c r="M39" s="269">
        <v>63.625202178955078</v>
      </c>
      <c r="N39" s="269">
        <v>63.533229827880859</v>
      </c>
      <c r="O39" s="269">
        <v>63.365928649902337</v>
      </c>
      <c r="P39" s="269">
        <v>63.241889953613281</v>
      </c>
      <c r="Q39" s="269">
        <v>63.203315734863281</v>
      </c>
      <c r="R39" s="269">
        <v>63.148933410644531</v>
      </c>
      <c r="S39" s="269">
        <v>63.206012725830078</v>
      </c>
      <c r="T39" s="269">
        <v>63.394557952880859</v>
      </c>
      <c r="U39" s="269">
        <v>63.590591430664063</v>
      </c>
      <c r="V39" s="269">
        <v>63.686977386474609</v>
      </c>
      <c r="W39" s="269">
        <v>63.750324249267578</v>
      </c>
      <c r="X39" s="269">
        <v>63.777320861816413</v>
      </c>
      <c r="Y39" s="269">
        <v>63.778011322021477</v>
      </c>
      <c r="Z39" s="269">
        <v>63.728878021240227</v>
      </c>
      <c r="AA39" s="269">
        <v>63.706928253173828</v>
      </c>
      <c r="AB39" s="269">
        <v>63.682514190673828</v>
      </c>
      <c r="AC39" s="269">
        <v>63.668933868408203</v>
      </c>
      <c r="AD39" s="269">
        <v>1.4439282355112051E-3</v>
      </c>
    </row>
    <row r="40" spans="1:30" s="269" customFormat="1" ht="12" x14ac:dyDescent="0.2">
      <c r="A40" s="269" t="s">
        <v>809</v>
      </c>
      <c r="B40" s="269" t="s">
        <v>810</v>
      </c>
      <c r="C40" s="269">
        <v>9.5251846313476563</v>
      </c>
      <c r="D40" s="269">
        <v>10.64007472991943</v>
      </c>
      <c r="E40" s="269">
        <v>10.51750564575195</v>
      </c>
      <c r="F40" s="269">
        <v>10.38045597076416</v>
      </c>
      <c r="G40" s="269">
        <v>10.503005027771</v>
      </c>
      <c r="H40" s="269">
        <v>10.62315654754639</v>
      </c>
      <c r="I40" s="269">
        <v>10.806981086730961</v>
      </c>
      <c r="J40" s="269">
        <v>10.98133754730225</v>
      </c>
      <c r="K40" s="269">
        <v>12.995852470397949</v>
      </c>
      <c r="L40" s="269">
        <v>13.232460975646971</v>
      </c>
      <c r="M40" s="269">
        <v>12.040632247924799</v>
      </c>
      <c r="N40" s="269">
        <v>13.47254753112793</v>
      </c>
      <c r="O40" s="269">
        <v>13.305154800415041</v>
      </c>
      <c r="P40" s="269">
        <v>13.177244186401371</v>
      </c>
      <c r="Q40" s="269">
        <v>13.113540649414061</v>
      </c>
      <c r="R40" s="269">
        <v>13.064906120300289</v>
      </c>
      <c r="S40" s="269">
        <v>13.120963096618651</v>
      </c>
      <c r="T40" s="269">
        <v>13.312520027160639</v>
      </c>
      <c r="U40" s="269">
        <v>13.512441635131839</v>
      </c>
      <c r="V40" s="269">
        <v>13.6641902923584</v>
      </c>
      <c r="W40" s="269">
        <v>13.73334407806396</v>
      </c>
      <c r="X40" s="269">
        <v>13.768575668334959</v>
      </c>
      <c r="Y40" s="269">
        <v>13.772696495056151</v>
      </c>
      <c r="Z40" s="269">
        <v>13.7298641204834</v>
      </c>
      <c r="AA40" s="269">
        <v>13.70885753631592</v>
      </c>
      <c r="AB40" s="269">
        <v>13.686100006103519</v>
      </c>
      <c r="AC40" s="269">
        <v>13.6956672668457</v>
      </c>
      <c r="AD40" s="269">
        <v>1.40649248258895E-2</v>
      </c>
    </row>
    <row r="41" spans="1:30" s="269" customFormat="1" ht="15.75" thickBot="1" x14ac:dyDescent="0.3">
      <c r="B41" s="252"/>
      <c r="C41" s="252"/>
      <c r="D41" s="252"/>
      <c r="E41" s="252"/>
      <c r="F41" s="252"/>
      <c r="G41" s="252"/>
      <c r="H41" s="252"/>
      <c r="I41" s="252"/>
      <c r="J41" s="252"/>
      <c r="K41" s="252"/>
      <c r="L41" s="252"/>
      <c r="M41" s="252"/>
      <c r="N41" s="252"/>
      <c r="O41" s="252"/>
      <c r="P41" s="252"/>
      <c r="Q41" s="252"/>
      <c r="R41" s="252"/>
      <c r="S41" s="252"/>
      <c r="T41" s="252"/>
      <c r="U41" s="252"/>
      <c r="V41" s="252"/>
      <c r="W41" s="252"/>
      <c r="X41" s="252"/>
      <c r="Y41" s="252"/>
      <c r="Z41" s="252"/>
      <c r="AA41" s="252"/>
      <c r="AB41" s="252"/>
      <c r="AC41" s="252"/>
      <c r="AD41" s="252"/>
    </row>
    <row r="42" spans="1:30" s="269" customFormat="1" ht="12.75" thickTop="1" x14ac:dyDescent="0.2">
      <c r="B42" s="269" t="s">
        <v>811</v>
      </c>
    </row>
    <row r="43" spans="1:30" s="269" customFormat="1" ht="12" x14ac:dyDescent="0.2">
      <c r="B43" s="269" t="s">
        <v>812</v>
      </c>
    </row>
    <row r="44" spans="1:30" s="269" customFormat="1" ht="12" x14ac:dyDescent="0.2">
      <c r="B44" s="269" t="s">
        <v>813</v>
      </c>
    </row>
    <row r="45" spans="1:30" s="269" customFormat="1" ht="12" x14ac:dyDescent="0.2">
      <c r="B45" s="269" t="s">
        <v>814</v>
      </c>
    </row>
    <row r="46" spans="1:30" s="269" customFormat="1" ht="12" x14ac:dyDescent="0.2">
      <c r="B46" s="269" t="s">
        <v>815</v>
      </c>
    </row>
    <row r="47" spans="1:30" s="269" customFormat="1" ht="12" x14ac:dyDescent="0.2">
      <c r="B47" s="269" t="s">
        <v>816</v>
      </c>
    </row>
    <row r="48" spans="1:30" s="269" customFormat="1" ht="12" x14ac:dyDescent="0.2">
      <c r="B48" s="269" t="s">
        <v>817</v>
      </c>
    </row>
    <row r="49" spans="2:2" s="269" customFormat="1" ht="12" x14ac:dyDescent="0.2">
      <c r="B49" s="269" t="s">
        <v>818</v>
      </c>
    </row>
    <row r="50" spans="2:2" s="269" customFormat="1" ht="12" x14ac:dyDescent="0.2">
      <c r="B50" s="269" t="s">
        <v>819</v>
      </c>
    </row>
    <row r="51" spans="2:2" s="269" customFormat="1" ht="12" x14ac:dyDescent="0.2">
      <c r="B51" s="269" t="s">
        <v>820</v>
      </c>
    </row>
    <row r="52" spans="2:2" s="269" customFormat="1" ht="12" x14ac:dyDescent="0.2">
      <c r="B52" s="269" t="s">
        <v>821</v>
      </c>
    </row>
    <row r="53" spans="2:2" s="269" customFormat="1" ht="12" x14ac:dyDescent="0.2">
      <c r="B53" s="269" t="s">
        <v>822</v>
      </c>
    </row>
    <row r="54" spans="2:2" s="269" customFormat="1" ht="12" x14ac:dyDescent="0.2">
      <c r="B54" s="269" t="s">
        <v>823</v>
      </c>
    </row>
    <row r="55" spans="2:2" s="269" customFormat="1" ht="12" x14ac:dyDescent="0.2">
      <c r="B55" s="269" t="s">
        <v>824</v>
      </c>
    </row>
    <row r="56" spans="2:2" s="269" customFormat="1" ht="12" x14ac:dyDescent="0.2">
      <c r="B56" s="269" t="s">
        <v>825</v>
      </c>
    </row>
    <row r="57" spans="2:2" s="269" customFormat="1" ht="12" x14ac:dyDescent="0.2">
      <c r="B57" s="269" t="s">
        <v>826</v>
      </c>
    </row>
    <row r="58" spans="2:2" s="269" customFormat="1" ht="12" x14ac:dyDescent="0.2">
      <c r="B58" s="269" t="s">
        <v>827</v>
      </c>
    </row>
    <row r="59" spans="2:2" s="269" customFormat="1" ht="12" x14ac:dyDescent="0.2">
      <c r="B59" s="269" t="s">
        <v>828</v>
      </c>
    </row>
    <row r="60" spans="2:2" s="269" customFormat="1" ht="12" x14ac:dyDescent="0.2">
      <c r="B60" s="269" t="s">
        <v>829</v>
      </c>
    </row>
    <row r="61" spans="2:2" s="269" customFormat="1" ht="12" x14ac:dyDescent="0.2">
      <c r="B61" s="269" t="s">
        <v>830</v>
      </c>
    </row>
    <row r="62" spans="2:2" s="269" customFormat="1" ht="12" x14ac:dyDescent="0.2">
      <c r="B62" s="269" t="s">
        <v>831</v>
      </c>
    </row>
    <row r="63" spans="2:2" s="269" customFormat="1" ht="12" x14ac:dyDescent="0.2">
      <c r="B63" s="269" t="s">
        <v>832</v>
      </c>
    </row>
    <row r="64" spans="2:2" s="269" customFormat="1" ht="12" x14ac:dyDescent="0.2">
      <c r="B64" s="269" t="s">
        <v>833</v>
      </c>
    </row>
    <row r="65" spans="2:2" s="269" customFormat="1" ht="12" x14ac:dyDescent="0.2">
      <c r="B65" s="269" t="s">
        <v>834</v>
      </c>
    </row>
    <row r="66" spans="2:2" s="269" customFormat="1" ht="12" x14ac:dyDescent="0.2">
      <c r="B66" s="269" t="s">
        <v>835</v>
      </c>
    </row>
    <row r="67" spans="2:2" s="269" customFormat="1" ht="12" x14ac:dyDescent="0.2">
      <c r="B67" s="269" t="s">
        <v>836</v>
      </c>
    </row>
    <row r="68" spans="2:2" s="269" customFormat="1" ht="12" x14ac:dyDescent="0.2">
      <c r="B68" s="269" t="s">
        <v>837</v>
      </c>
    </row>
    <row r="69" spans="2:2" s="269" customFormat="1" ht="12" x14ac:dyDescent="0.2">
      <c r="B69" s="269" t="s">
        <v>838</v>
      </c>
    </row>
  </sheetData>
  <conditionalFormatting sqref="A10:AD10">
    <cfRule type="notContainsBlanks" dxfId="22" priority="5">
      <formula>LEN(TRIM(A10))&gt;0</formula>
    </cfRule>
  </conditionalFormatting>
  <conditionalFormatting sqref="AD1">
    <cfRule type="notContainsBlanks" dxfId="21" priority="1">
      <formula>LEN(TRIM(AD1))&gt;0</formula>
    </cfRule>
  </conditionalFormatting>
  <conditionalFormatting sqref="AD2:AD6">
    <cfRule type="notContainsBlanks" dxfId="20" priority="2">
      <formula>LEN(TRIM(AD2))&gt;0</formula>
    </cfRule>
  </conditionalFormatting>
  <conditionalFormatting sqref="AD7">
    <cfRule type="notContainsBlanks" dxfId="19" priority="3">
      <formula>LEN(TRIM(AD7))&gt;0</formula>
    </cfRule>
  </conditionalFormatting>
  <conditionalFormatting sqref="AD8:AD9">
    <cfRule type="notContainsBlanks" dxfId="18" priority="4">
      <formula>LEN(TRIM(AD8))&gt;0</formula>
    </cfRule>
  </conditionalFormatting>
  <conditionalFormatting sqref="AD10">
    <cfRule type="notContainsBlanks" dxfId="17" priority="6">
      <formula>LEN(TRIM(AD10))&gt;0</formula>
    </cfRule>
  </conditionalFormatting>
  <conditionalFormatting sqref="AD11">
    <cfRule type="notContainsBlanks" dxfId="16" priority="7">
      <formula>LEN(TRIM(AD11))&gt;0</formula>
    </cfRule>
  </conditionalFormatting>
  <conditionalFormatting sqref="AD12:AD13">
    <cfRule type="notContainsBlanks" dxfId="15" priority="8">
      <formula>LEN(TRIM(AD12))&gt;0</formula>
    </cfRule>
  </conditionalFormatting>
  <conditionalFormatting sqref="AD14:AD16">
    <cfRule type="notContainsBlanks" dxfId="14" priority="9">
      <formula>LEN(TRIM(AD14))&gt;0</formula>
    </cfRule>
  </conditionalFormatting>
  <conditionalFormatting sqref="AD17:AD18">
    <cfRule type="notContainsBlanks" dxfId="13" priority="10">
      <formula>LEN(TRIM(AD17))&gt;0</formula>
    </cfRule>
  </conditionalFormatting>
  <conditionalFormatting sqref="AD19">
    <cfRule type="notContainsBlanks" dxfId="12" priority="11">
      <formula>LEN(TRIM(AD19))&gt;0</formula>
    </cfRule>
  </conditionalFormatting>
  <conditionalFormatting sqref="AD20:AD21">
    <cfRule type="notContainsBlanks" dxfId="11" priority="12">
      <formula>LEN(TRIM(AD20))&gt;0</formula>
    </cfRule>
  </conditionalFormatting>
  <conditionalFormatting sqref="AD22:AD24">
    <cfRule type="notContainsBlanks" dxfId="10" priority="13">
      <formula>LEN(TRIM(AD22))&gt;0</formula>
    </cfRule>
  </conditionalFormatting>
  <conditionalFormatting sqref="AD25">
    <cfRule type="notContainsBlanks" dxfId="9" priority="14">
      <formula>LEN(TRIM(AD25))&gt;0</formula>
    </cfRule>
  </conditionalFormatting>
  <conditionalFormatting sqref="AD26:AD29">
    <cfRule type="notContainsBlanks" dxfId="8" priority="15">
      <formula>LEN(TRIM(AD26))&gt;0</formula>
    </cfRule>
  </conditionalFormatting>
  <conditionalFormatting sqref="AD30">
    <cfRule type="notContainsBlanks" dxfId="7" priority="16">
      <formula>LEN(TRIM(AD30))&gt;0</formula>
    </cfRule>
  </conditionalFormatting>
  <conditionalFormatting sqref="AD31">
    <cfRule type="notContainsBlanks" dxfId="6" priority="17">
      <formula>LEN(TRIM(AD31))&gt;0</formula>
    </cfRule>
  </conditionalFormatting>
  <conditionalFormatting sqref="AD32">
    <cfRule type="notContainsBlanks" dxfId="5" priority="18">
      <formula>LEN(TRIM(AD32))&gt;0</formula>
    </cfRule>
  </conditionalFormatting>
  <conditionalFormatting sqref="AD33">
    <cfRule type="notContainsBlanks" dxfId="4" priority="19">
      <formula>LEN(TRIM(AD33))&gt;0</formula>
    </cfRule>
  </conditionalFormatting>
  <conditionalFormatting sqref="AD34">
    <cfRule type="notContainsBlanks" dxfId="3" priority="20">
      <formula>LEN(TRIM(AD34))&gt;0</formula>
    </cfRule>
  </conditionalFormatting>
  <conditionalFormatting sqref="AD35:AD36">
    <cfRule type="notContainsBlanks" dxfId="2" priority="21">
      <formula>LEN(TRIM(AD35))&gt;0</formula>
    </cfRule>
  </conditionalFormatting>
  <conditionalFormatting sqref="AD37">
    <cfRule type="notContainsBlanks" dxfId="1" priority="22">
      <formula>LEN(TRIM(AD37))&gt;0</formula>
    </cfRule>
  </conditionalFormatting>
  <conditionalFormatting sqref="AD38:AD69">
    <cfRule type="notContainsBlanks" dxfId="0" priority="23">
      <formula>LEN(TRIM(AD38))&gt;0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E40B6-5B91-427D-89DF-A32B25A66196}">
  <dimension ref="A1:BA2540"/>
  <sheetViews>
    <sheetView workbookViewId="0">
      <pane xSplit="2" ySplit="1" topLeftCell="C2" activePane="bottomRight" state="frozen"/>
      <selection activeCell="B1" sqref="B1"/>
      <selection pane="topRight" activeCell="B1" sqref="B1"/>
      <selection pane="bottomLeft" activeCell="B1" sqref="B1"/>
      <selection pane="bottomRight" activeCell="F27" sqref="F27"/>
    </sheetView>
  </sheetViews>
  <sheetFormatPr defaultRowHeight="15" customHeight="1" x14ac:dyDescent="0.25"/>
  <cols>
    <col min="1" max="1" width="30.42578125" customWidth="1"/>
    <col min="2" max="2" width="49" customWidth="1"/>
  </cols>
  <sheetData>
    <row r="1" spans="1:53" ht="15" customHeight="1" thickBot="1" x14ac:dyDescent="0.3">
      <c r="A1" s="199"/>
      <c r="B1" s="212" t="s">
        <v>484</v>
      </c>
      <c r="C1" s="213">
        <v>2022</v>
      </c>
      <c r="D1" s="213">
        <v>2023</v>
      </c>
      <c r="E1" s="213">
        <v>2024</v>
      </c>
      <c r="F1" s="213">
        <v>2025</v>
      </c>
      <c r="G1" s="213">
        <v>2026</v>
      </c>
      <c r="H1" s="213">
        <v>2027</v>
      </c>
      <c r="I1" s="213">
        <v>2028</v>
      </c>
      <c r="J1" s="213">
        <v>2029</v>
      </c>
      <c r="K1" s="213">
        <v>2030</v>
      </c>
      <c r="L1" s="213">
        <v>2031</v>
      </c>
      <c r="M1" s="213">
        <v>2032</v>
      </c>
      <c r="N1" s="213">
        <v>2033</v>
      </c>
      <c r="O1" s="213">
        <v>2034</v>
      </c>
      <c r="P1" s="213">
        <v>2035</v>
      </c>
      <c r="Q1" s="213">
        <v>2036</v>
      </c>
      <c r="R1" s="213">
        <v>2037</v>
      </c>
      <c r="S1" s="213">
        <v>2038</v>
      </c>
      <c r="T1" s="213">
        <v>2039</v>
      </c>
      <c r="U1" s="213">
        <v>2040</v>
      </c>
      <c r="V1" s="213">
        <v>2041</v>
      </c>
      <c r="W1" s="213">
        <v>2042</v>
      </c>
      <c r="X1" s="213">
        <v>2043</v>
      </c>
      <c r="Y1" s="213">
        <v>2044</v>
      </c>
      <c r="Z1" s="213">
        <v>2045</v>
      </c>
      <c r="AA1" s="213">
        <v>2046</v>
      </c>
      <c r="AB1" s="213">
        <v>2047</v>
      </c>
      <c r="AC1" s="213">
        <v>2048</v>
      </c>
      <c r="AD1" s="213">
        <v>2049</v>
      </c>
      <c r="AE1" s="213">
        <v>2050</v>
      </c>
      <c r="AF1" s="199"/>
      <c r="AG1" s="199"/>
      <c r="AH1" s="199"/>
      <c r="AI1" s="199"/>
      <c r="AJ1" s="199"/>
      <c r="AK1" s="199"/>
      <c r="AL1" s="199"/>
      <c r="AM1" s="199"/>
      <c r="AN1" s="199"/>
      <c r="AO1" s="199"/>
      <c r="AP1" s="199"/>
      <c r="AQ1" s="199"/>
      <c r="AR1" s="199"/>
      <c r="AS1" s="199"/>
      <c r="AT1" s="199"/>
      <c r="AU1" s="199"/>
      <c r="AV1" s="199"/>
      <c r="AW1" s="199"/>
      <c r="AX1" s="199"/>
      <c r="AY1" s="199"/>
      <c r="AZ1" s="199"/>
      <c r="BA1" s="199"/>
    </row>
    <row r="2" spans="1:53" ht="15" customHeight="1" thickTop="1" x14ac:dyDescent="0.25">
      <c r="A2" s="199"/>
      <c r="B2" s="199"/>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199"/>
      <c r="AR2" s="199"/>
      <c r="AS2" s="199"/>
      <c r="AT2" s="199"/>
      <c r="AU2" s="199"/>
      <c r="AV2" s="199"/>
      <c r="AW2" s="199"/>
      <c r="AX2" s="199"/>
      <c r="AY2" s="199"/>
      <c r="AZ2" s="199"/>
      <c r="BA2" s="199"/>
    </row>
    <row r="3" spans="1:53" ht="15" customHeight="1" x14ac:dyDescent="0.25">
      <c r="A3" s="199"/>
      <c r="B3" s="199"/>
      <c r="C3" s="208" t="s">
        <v>92</v>
      </c>
      <c r="D3" s="208" t="s">
        <v>485</v>
      </c>
      <c r="E3" s="203"/>
      <c r="F3" s="203"/>
      <c r="G3" s="203"/>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199"/>
      <c r="AR3" s="199"/>
      <c r="AS3" s="199"/>
      <c r="AT3" s="199"/>
      <c r="AU3" s="199"/>
      <c r="AV3" s="199"/>
      <c r="AW3" s="199"/>
      <c r="AX3" s="199"/>
      <c r="AY3" s="199"/>
      <c r="AZ3" s="199"/>
      <c r="BA3" s="199"/>
    </row>
    <row r="4" spans="1:53" ht="15" customHeight="1" x14ac:dyDescent="0.25">
      <c r="A4" s="199"/>
      <c r="B4" s="199"/>
      <c r="C4" s="208" t="s">
        <v>93</v>
      </c>
      <c r="D4" s="208" t="s">
        <v>486</v>
      </c>
      <c r="E4" s="203"/>
      <c r="F4" s="203"/>
      <c r="G4" s="208" t="s">
        <v>478</v>
      </c>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9"/>
      <c r="AR4" s="199"/>
      <c r="AS4" s="199"/>
      <c r="AT4" s="199"/>
      <c r="AU4" s="199"/>
      <c r="AV4" s="199"/>
      <c r="AW4" s="199"/>
      <c r="AX4" s="199"/>
      <c r="AY4" s="199"/>
      <c r="AZ4" s="199"/>
      <c r="BA4" s="199"/>
    </row>
    <row r="5" spans="1:53" ht="15" customHeight="1" x14ac:dyDescent="0.25">
      <c r="A5" s="199"/>
      <c r="B5" s="199"/>
      <c r="C5" s="208" t="s">
        <v>94</v>
      </c>
      <c r="D5" s="208" t="s">
        <v>487</v>
      </c>
      <c r="E5" s="203"/>
      <c r="F5" s="203"/>
      <c r="G5" s="203"/>
      <c r="H5" s="199"/>
      <c r="I5" s="199"/>
      <c r="J5" s="199"/>
      <c r="K5" s="199"/>
      <c r="L5" s="199"/>
      <c r="M5" s="199"/>
      <c r="N5" s="199"/>
      <c r="O5" s="199"/>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199"/>
      <c r="AO5" s="199"/>
      <c r="AP5" s="199"/>
      <c r="AQ5" s="199"/>
      <c r="AR5" s="199"/>
      <c r="AS5" s="199"/>
      <c r="AT5" s="199"/>
      <c r="AU5" s="199"/>
      <c r="AV5" s="199"/>
      <c r="AW5" s="199"/>
      <c r="AX5" s="199"/>
      <c r="AY5" s="199"/>
      <c r="AZ5" s="199"/>
      <c r="BA5" s="199"/>
    </row>
    <row r="6" spans="1:53" ht="15" customHeight="1" x14ac:dyDescent="0.25">
      <c r="A6" s="199"/>
      <c r="B6" s="199"/>
      <c r="C6" s="208" t="s">
        <v>95</v>
      </c>
      <c r="D6" s="203"/>
      <c r="E6" s="208" t="s">
        <v>488</v>
      </c>
      <c r="F6" s="203"/>
      <c r="G6" s="203"/>
      <c r="H6" s="199"/>
      <c r="I6" s="199"/>
      <c r="J6" s="199"/>
      <c r="K6" s="199"/>
      <c r="L6" s="199"/>
      <c r="M6" s="199"/>
      <c r="N6" s="199"/>
      <c r="O6" s="199"/>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199"/>
      <c r="AO6" s="199"/>
      <c r="AP6" s="199"/>
      <c r="AQ6" s="199"/>
      <c r="AR6" s="199"/>
      <c r="AS6" s="199"/>
      <c r="AT6" s="199"/>
      <c r="AU6" s="199"/>
      <c r="AV6" s="199"/>
      <c r="AW6" s="199"/>
      <c r="AX6" s="199"/>
      <c r="AY6" s="199"/>
      <c r="AZ6" s="199"/>
      <c r="BA6" s="199"/>
    </row>
    <row r="7" spans="1:53" ht="15" customHeight="1" x14ac:dyDescent="0.25">
      <c r="A7" s="199"/>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199"/>
      <c r="AO7" s="199"/>
      <c r="AP7" s="199"/>
      <c r="AQ7" s="199"/>
      <c r="AR7" s="199"/>
      <c r="AS7" s="199"/>
      <c r="AT7" s="199"/>
      <c r="AU7" s="199"/>
      <c r="AV7" s="199"/>
      <c r="AW7" s="199"/>
      <c r="AX7" s="199"/>
      <c r="AY7" s="199"/>
      <c r="AZ7" s="199"/>
      <c r="BA7" s="199"/>
    </row>
    <row r="8" spans="1:53" ht="15" customHeight="1" x14ac:dyDescent="0.25">
      <c r="A8" s="199"/>
      <c r="B8" s="199"/>
      <c r="C8" s="199"/>
      <c r="D8" s="199"/>
      <c r="E8" s="199"/>
      <c r="F8" s="199"/>
      <c r="G8" s="199"/>
      <c r="H8" s="199"/>
      <c r="I8" s="199"/>
      <c r="J8" s="199"/>
      <c r="K8" s="199"/>
      <c r="L8" s="199"/>
      <c r="M8" s="199"/>
      <c r="N8" s="199"/>
      <c r="O8" s="199"/>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199"/>
      <c r="AO8" s="199"/>
      <c r="AP8" s="199"/>
      <c r="AQ8" s="199"/>
      <c r="AR8" s="199"/>
      <c r="AS8" s="199"/>
      <c r="AT8" s="199"/>
      <c r="AU8" s="199"/>
      <c r="AV8" s="199"/>
      <c r="AW8" s="199"/>
      <c r="AX8" s="199"/>
      <c r="AY8" s="199"/>
      <c r="AZ8" s="199"/>
      <c r="BA8" s="199"/>
    </row>
    <row r="9" spans="1:53" ht="15" customHeight="1" x14ac:dyDescent="0.25">
      <c r="A9" s="199"/>
      <c r="B9" s="199"/>
      <c r="C9" s="199"/>
      <c r="D9" s="199"/>
      <c r="E9" s="199"/>
      <c r="F9" s="199"/>
      <c r="G9" s="199"/>
      <c r="H9" s="199"/>
      <c r="I9" s="199"/>
      <c r="J9" s="199"/>
      <c r="K9" s="199"/>
      <c r="L9" s="199"/>
      <c r="M9" s="199"/>
      <c r="N9" s="199"/>
      <c r="O9" s="199"/>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199"/>
      <c r="AO9" s="199"/>
      <c r="AP9" s="199"/>
      <c r="AQ9" s="199"/>
      <c r="AR9" s="199"/>
      <c r="AS9" s="199"/>
      <c r="AT9" s="199"/>
      <c r="AU9" s="199"/>
      <c r="AV9" s="199"/>
      <c r="AW9" s="199"/>
      <c r="AX9" s="199"/>
      <c r="AY9" s="199"/>
      <c r="AZ9" s="199"/>
      <c r="BA9" s="199"/>
    </row>
    <row r="10" spans="1:53" ht="15" customHeight="1" x14ac:dyDescent="0.25">
      <c r="A10" s="201" t="s">
        <v>170</v>
      </c>
      <c r="B10" s="214" t="s">
        <v>479</v>
      </c>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c r="AA10" s="200"/>
      <c r="AB10" s="200"/>
      <c r="AC10" s="200"/>
      <c r="AD10" s="200"/>
      <c r="AE10" s="200"/>
      <c r="AF10" s="202" t="s">
        <v>476</v>
      </c>
      <c r="AG10" s="200"/>
      <c r="AH10" s="200"/>
      <c r="AI10" s="200"/>
      <c r="AJ10" s="200"/>
      <c r="AK10" s="200"/>
      <c r="AL10" s="200"/>
      <c r="AM10" s="200"/>
      <c r="AN10" s="200"/>
      <c r="AO10" s="200"/>
      <c r="AP10" s="200"/>
      <c r="AQ10" s="200"/>
      <c r="AR10" s="200"/>
      <c r="AS10" s="200"/>
      <c r="AT10" s="200"/>
      <c r="AU10" s="200"/>
      <c r="AV10" s="200"/>
      <c r="AW10" s="200"/>
      <c r="AX10" s="200"/>
      <c r="AY10" s="200"/>
      <c r="AZ10" s="200"/>
      <c r="BA10" s="200"/>
    </row>
    <row r="11" spans="1:53" ht="15" customHeight="1" x14ac:dyDescent="0.25">
      <c r="A11" s="201" t="s">
        <v>172</v>
      </c>
      <c r="B11" s="215" t="s">
        <v>149</v>
      </c>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c r="AA11" s="200"/>
      <c r="AB11" s="200"/>
      <c r="AC11" s="200"/>
      <c r="AD11" s="200"/>
      <c r="AE11" s="200"/>
      <c r="AF11" s="202" t="s">
        <v>475</v>
      </c>
      <c r="AG11" s="200"/>
      <c r="AH11" s="200"/>
      <c r="AI11" s="200"/>
      <c r="AJ11" s="200"/>
      <c r="AK11" s="200"/>
      <c r="AL11" s="200"/>
      <c r="AM11" s="200"/>
      <c r="AN11" s="200"/>
      <c r="AO11" s="200"/>
      <c r="AP11" s="200"/>
      <c r="AQ11" s="200"/>
      <c r="AR11" s="200"/>
      <c r="AS11" s="200"/>
      <c r="AT11" s="200"/>
      <c r="AU11" s="200"/>
      <c r="AV11" s="200"/>
      <c r="AW11" s="200"/>
      <c r="AX11" s="200"/>
      <c r="AY11" s="200"/>
      <c r="AZ11" s="200"/>
      <c r="BA11" s="200"/>
    </row>
    <row r="12" spans="1:53" ht="15" customHeight="1" x14ac:dyDescent="0.25">
      <c r="A12" s="201" t="s">
        <v>174</v>
      </c>
      <c r="B12" s="215"/>
      <c r="C12" s="211"/>
      <c r="D12" s="211"/>
      <c r="E12" s="211"/>
      <c r="F12" s="211"/>
      <c r="G12" s="211"/>
      <c r="H12" s="211"/>
      <c r="I12" s="211"/>
      <c r="J12" s="211"/>
      <c r="K12" s="211"/>
      <c r="L12" s="211"/>
      <c r="M12" s="211"/>
      <c r="N12" s="211"/>
      <c r="O12" s="211"/>
      <c r="P12" s="211"/>
      <c r="Q12" s="211"/>
      <c r="R12" s="211"/>
      <c r="S12" s="211"/>
      <c r="T12" s="211"/>
      <c r="U12" s="211"/>
      <c r="V12" s="211"/>
      <c r="W12" s="211"/>
      <c r="X12" s="211"/>
      <c r="Y12" s="211"/>
      <c r="Z12" s="211"/>
      <c r="AA12" s="211"/>
      <c r="AB12" s="211"/>
      <c r="AC12" s="211"/>
      <c r="AD12" s="211"/>
      <c r="AE12" s="211"/>
      <c r="AF12" s="202" t="s">
        <v>489</v>
      </c>
      <c r="AG12" s="200"/>
      <c r="AH12" s="200"/>
      <c r="AI12" s="200"/>
      <c r="AJ12" s="200"/>
      <c r="AK12" s="200"/>
      <c r="AL12" s="200"/>
      <c r="AM12" s="200"/>
      <c r="AN12" s="200"/>
      <c r="AO12" s="200"/>
      <c r="AP12" s="200"/>
      <c r="AQ12" s="200"/>
      <c r="AR12" s="200"/>
      <c r="AS12" s="200"/>
      <c r="AT12" s="200"/>
      <c r="AU12" s="200"/>
      <c r="AV12" s="200"/>
      <c r="AW12" s="200"/>
      <c r="AX12" s="200"/>
      <c r="AY12" s="200"/>
      <c r="AZ12" s="200"/>
      <c r="BA12" s="200"/>
    </row>
    <row r="13" spans="1:53" ht="15" customHeight="1" thickBot="1" x14ac:dyDescent="0.3">
      <c r="A13" s="201" t="s">
        <v>176</v>
      </c>
      <c r="B13" s="216"/>
      <c r="C13" s="216">
        <v>2022</v>
      </c>
      <c r="D13" s="216">
        <v>2023</v>
      </c>
      <c r="E13" s="216">
        <v>2024</v>
      </c>
      <c r="F13" s="216">
        <v>2025</v>
      </c>
      <c r="G13" s="216">
        <v>2026</v>
      </c>
      <c r="H13" s="216">
        <v>2027</v>
      </c>
      <c r="I13" s="216">
        <v>2028</v>
      </c>
      <c r="J13" s="216">
        <v>2029</v>
      </c>
      <c r="K13" s="216">
        <v>2030</v>
      </c>
      <c r="L13" s="216">
        <v>2031</v>
      </c>
      <c r="M13" s="216">
        <v>2032</v>
      </c>
      <c r="N13" s="216">
        <v>2033</v>
      </c>
      <c r="O13" s="216">
        <v>2034</v>
      </c>
      <c r="P13" s="216">
        <v>2035</v>
      </c>
      <c r="Q13" s="216">
        <v>2036</v>
      </c>
      <c r="R13" s="216">
        <v>2037</v>
      </c>
      <c r="S13" s="216">
        <v>2038</v>
      </c>
      <c r="T13" s="216">
        <v>2039</v>
      </c>
      <c r="U13" s="216">
        <v>2040</v>
      </c>
      <c r="V13" s="216">
        <v>2041</v>
      </c>
      <c r="W13" s="216">
        <v>2042</v>
      </c>
      <c r="X13" s="216">
        <v>2043</v>
      </c>
      <c r="Y13" s="216">
        <v>2044</v>
      </c>
      <c r="Z13" s="216">
        <v>2045</v>
      </c>
      <c r="AA13" s="216">
        <v>2046</v>
      </c>
      <c r="AB13" s="216">
        <v>2047</v>
      </c>
      <c r="AC13" s="216">
        <v>2048</v>
      </c>
      <c r="AD13" s="216">
        <v>2049</v>
      </c>
      <c r="AE13" s="216">
        <v>2050</v>
      </c>
      <c r="AF13" s="217">
        <v>2050</v>
      </c>
      <c r="AG13" s="200"/>
      <c r="AH13" s="200"/>
      <c r="AI13" s="200"/>
      <c r="AJ13" s="200"/>
      <c r="AK13" s="200"/>
      <c r="AL13" s="200"/>
      <c r="AM13" s="200"/>
      <c r="AN13" s="200"/>
      <c r="AO13" s="200"/>
      <c r="AP13" s="200"/>
      <c r="AQ13" s="200"/>
      <c r="AR13" s="200"/>
      <c r="AS13" s="200"/>
      <c r="AT13" s="200"/>
      <c r="AU13" s="200"/>
      <c r="AV13" s="200"/>
      <c r="AW13" s="200"/>
      <c r="AX13" s="200"/>
      <c r="AY13" s="200"/>
      <c r="AZ13" s="200"/>
      <c r="BA13" s="200"/>
    </row>
    <row r="14" spans="1:53" ht="15" customHeight="1" thickTop="1" x14ac:dyDescent="0.25">
      <c r="A14" s="201" t="s">
        <v>178</v>
      </c>
      <c r="B14" s="218" t="s">
        <v>150</v>
      </c>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c r="AA14" s="200"/>
      <c r="AB14" s="200"/>
      <c r="AC14" s="200"/>
      <c r="AD14" s="200"/>
      <c r="AE14" s="200"/>
      <c r="AF14" s="200"/>
      <c r="AG14" s="200"/>
      <c r="AH14" s="200"/>
      <c r="AI14" s="200"/>
      <c r="AJ14" s="200"/>
      <c r="AK14" s="200"/>
      <c r="AL14" s="200"/>
      <c r="AM14" s="200"/>
      <c r="AN14" s="200"/>
      <c r="AO14" s="200"/>
      <c r="AP14" s="200"/>
      <c r="AQ14" s="200"/>
      <c r="AR14" s="200"/>
      <c r="AS14" s="200"/>
      <c r="AT14" s="200"/>
      <c r="AU14" s="200"/>
      <c r="AV14" s="200"/>
      <c r="AW14" s="200"/>
      <c r="AX14" s="200"/>
      <c r="AY14" s="200"/>
      <c r="AZ14" s="200"/>
      <c r="BA14" s="200"/>
    </row>
    <row r="15" spans="1:53" ht="15" customHeight="1" x14ac:dyDescent="0.25">
      <c r="A15" s="201" t="s">
        <v>180</v>
      </c>
      <c r="B15" s="218" t="s">
        <v>151</v>
      </c>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c r="AA15" s="200"/>
      <c r="AB15" s="200"/>
      <c r="AC15" s="200"/>
      <c r="AD15" s="200"/>
      <c r="AE15" s="200"/>
      <c r="AF15" s="200"/>
      <c r="AG15" s="200"/>
      <c r="AH15" s="200"/>
      <c r="AI15" s="200"/>
      <c r="AJ15" s="200"/>
      <c r="AK15" s="200"/>
      <c r="AL15" s="200"/>
      <c r="AM15" s="200"/>
      <c r="AN15" s="200"/>
      <c r="AO15" s="200"/>
      <c r="AP15" s="200"/>
      <c r="AQ15" s="200"/>
      <c r="AR15" s="200"/>
      <c r="AS15" s="200"/>
      <c r="AT15" s="200"/>
      <c r="AU15" s="200"/>
      <c r="AV15" s="200"/>
      <c r="AW15" s="200"/>
      <c r="AX15" s="200"/>
      <c r="AY15" s="200"/>
      <c r="AZ15" s="200"/>
      <c r="BA15" s="200"/>
    </row>
    <row r="16" spans="1:53" ht="15" customHeight="1" x14ac:dyDescent="0.25">
      <c r="A16" s="201" t="s">
        <v>182</v>
      </c>
      <c r="B16" s="219" t="s">
        <v>152</v>
      </c>
      <c r="C16" s="224">
        <v>6.6360000000000001</v>
      </c>
      <c r="D16" s="224">
        <v>6.6360000000000001</v>
      </c>
      <c r="E16" s="224">
        <v>6.6360000000000001</v>
      </c>
      <c r="F16" s="224">
        <v>6.6360000000000001</v>
      </c>
      <c r="G16" s="224">
        <v>6.6360000000000001</v>
      </c>
      <c r="H16" s="224">
        <v>6.6360000000000001</v>
      </c>
      <c r="I16" s="224">
        <v>6.6360000000000001</v>
      </c>
      <c r="J16" s="224">
        <v>6.6360000000000001</v>
      </c>
      <c r="K16" s="224">
        <v>6.6360000000000001</v>
      </c>
      <c r="L16" s="224">
        <v>6.6360000000000001</v>
      </c>
      <c r="M16" s="224">
        <v>6.6360000000000001</v>
      </c>
      <c r="N16" s="224">
        <v>6.6360000000000001</v>
      </c>
      <c r="O16" s="224">
        <v>6.6360000000000001</v>
      </c>
      <c r="P16" s="224">
        <v>6.6360000000000001</v>
      </c>
      <c r="Q16" s="224">
        <v>6.6360000000000001</v>
      </c>
      <c r="R16" s="224">
        <v>6.6360000000000001</v>
      </c>
      <c r="S16" s="224">
        <v>6.6360000000000001</v>
      </c>
      <c r="T16" s="224">
        <v>6.6360000000000001</v>
      </c>
      <c r="U16" s="224">
        <v>6.6360000000000001</v>
      </c>
      <c r="V16" s="224">
        <v>6.6360000000000001</v>
      </c>
      <c r="W16" s="224">
        <v>6.6360000000000001</v>
      </c>
      <c r="X16" s="224">
        <v>6.6360000000000001</v>
      </c>
      <c r="Y16" s="224">
        <v>6.6360000000000001</v>
      </c>
      <c r="Z16" s="224">
        <v>6.6360000000000001</v>
      </c>
      <c r="AA16" s="224">
        <v>6.6360000000000001</v>
      </c>
      <c r="AB16" s="224">
        <v>6.6360000000000001</v>
      </c>
      <c r="AC16" s="224">
        <v>6.6360000000000001</v>
      </c>
      <c r="AD16" s="224">
        <v>6.6360000000000001</v>
      </c>
      <c r="AE16" s="224">
        <v>6.6360000000000001</v>
      </c>
      <c r="AF16" s="221">
        <v>0</v>
      </c>
      <c r="AG16" s="200"/>
      <c r="AH16" s="200"/>
      <c r="AI16" s="200"/>
      <c r="AJ16" s="200"/>
      <c r="AK16" s="200"/>
      <c r="AL16" s="200"/>
      <c r="AM16" s="200"/>
      <c r="AN16" s="200"/>
      <c r="AO16" s="200"/>
      <c r="AP16" s="200"/>
      <c r="AQ16" s="200"/>
      <c r="AR16" s="200"/>
      <c r="AS16" s="200"/>
      <c r="AT16" s="200"/>
      <c r="AU16" s="200"/>
      <c r="AV16" s="200"/>
      <c r="AW16" s="200"/>
      <c r="AX16" s="200"/>
      <c r="AY16" s="200"/>
      <c r="AZ16" s="200"/>
      <c r="BA16" s="200"/>
    </row>
    <row r="17" spans="1:53" ht="15" customHeight="1" x14ac:dyDescent="0.25">
      <c r="A17" s="201" t="s">
        <v>184</v>
      </c>
      <c r="B17" s="219" t="s">
        <v>153</v>
      </c>
      <c r="C17" s="224">
        <v>5.048</v>
      </c>
      <c r="D17" s="224">
        <v>5.048</v>
      </c>
      <c r="E17" s="224">
        <v>5.048</v>
      </c>
      <c r="F17" s="224">
        <v>5.048</v>
      </c>
      <c r="G17" s="224">
        <v>5.048</v>
      </c>
      <c r="H17" s="224">
        <v>5.048</v>
      </c>
      <c r="I17" s="224">
        <v>5.048</v>
      </c>
      <c r="J17" s="224">
        <v>5.048</v>
      </c>
      <c r="K17" s="224">
        <v>5.048</v>
      </c>
      <c r="L17" s="224">
        <v>5.048</v>
      </c>
      <c r="M17" s="224">
        <v>5.048</v>
      </c>
      <c r="N17" s="224">
        <v>5.048</v>
      </c>
      <c r="O17" s="224">
        <v>5.048</v>
      </c>
      <c r="P17" s="224">
        <v>5.048</v>
      </c>
      <c r="Q17" s="224">
        <v>5.048</v>
      </c>
      <c r="R17" s="224">
        <v>5.048</v>
      </c>
      <c r="S17" s="224">
        <v>5.048</v>
      </c>
      <c r="T17" s="224">
        <v>5.048</v>
      </c>
      <c r="U17" s="224">
        <v>5.048</v>
      </c>
      <c r="V17" s="224">
        <v>5.048</v>
      </c>
      <c r="W17" s="224">
        <v>5.048</v>
      </c>
      <c r="X17" s="224">
        <v>5.048</v>
      </c>
      <c r="Y17" s="224">
        <v>5.048</v>
      </c>
      <c r="Z17" s="224">
        <v>5.048</v>
      </c>
      <c r="AA17" s="224">
        <v>5.048</v>
      </c>
      <c r="AB17" s="224">
        <v>5.048</v>
      </c>
      <c r="AC17" s="224">
        <v>5.048</v>
      </c>
      <c r="AD17" s="224">
        <v>5.048</v>
      </c>
      <c r="AE17" s="224">
        <v>5.048</v>
      </c>
      <c r="AF17" s="221">
        <v>0</v>
      </c>
      <c r="AG17" s="200"/>
      <c r="AH17" s="200"/>
      <c r="AI17" s="200"/>
      <c r="AJ17" s="200"/>
      <c r="AK17" s="200"/>
      <c r="AL17" s="200"/>
      <c r="AM17" s="200"/>
      <c r="AN17" s="200"/>
      <c r="AO17" s="200"/>
      <c r="AP17" s="200"/>
      <c r="AQ17" s="200"/>
      <c r="AR17" s="200"/>
      <c r="AS17" s="200"/>
      <c r="AT17" s="200"/>
      <c r="AU17" s="200"/>
      <c r="AV17" s="200"/>
      <c r="AW17" s="200"/>
      <c r="AX17" s="200"/>
      <c r="AY17" s="200"/>
      <c r="AZ17" s="200"/>
      <c r="BA17" s="200"/>
    </row>
    <row r="18" spans="1:53" ht="15" customHeight="1" x14ac:dyDescent="0.25">
      <c r="A18" s="201" t="s">
        <v>186</v>
      </c>
      <c r="B18" s="219" t="s">
        <v>154</v>
      </c>
      <c r="C18" s="224">
        <v>5.359</v>
      </c>
      <c r="D18" s="224">
        <v>5.359</v>
      </c>
      <c r="E18" s="224">
        <v>5.359</v>
      </c>
      <c r="F18" s="224">
        <v>5.359</v>
      </c>
      <c r="G18" s="224">
        <v>5.359</v>
      </c>
      <c r="H18" s="224">
        <v>5.359</v>
      </c>
      <c r="I18" s="224">
        <v>5.359</v>
      </c>
      <c r="J18" s="224">
        <v>5.359</v>
      </c>
      <c r="K18" s="224">
        <v>5.359</v>
      </c>
      <c r="L18" s="224">
        <v>5.359</v>
      </c>
      <c r="M18" s="224">
        <v>5.359</v>
      </c>
      <c r="N18" s="224">
        <v>5.359</v>
      </c>
      <c r="O18" s="224">
        <v>5.359</v>
      </c>
      <c r="P18" s="224">
        <v>5.359</v>
      </c>
      <c r="Q18" s="224">
        <v>5.359</v>
      </c>
      <c r="R18" s="224">
        <v>5.359</v>
      </c>
      <c r="S18" s="224">
        <v>5.359</v>
      </c>
      <c r="T18" s="224">
        <v>5.359</v>
      </c>
      <c r="U18" s="224">
        <v>5.359</v>
      </c>
      <c r="V18" s="224">
        <v>5.359</v>
      </c>
      <c r="W18" s="224">
        <v>5.359</v>
      </c>
      <c r="X18" s="224">
        <v>5.359</v>
      </c>
      <c r="Y18" s="224">
        <v>5.359</v>
      </c>
      <c r="Z18" s="224">
        <v>5.359</v>
      </c>
      <c r="AA18" s="224">
        <v>5.359</v>
      </c>
      <c r="AB18" s="224">
        <v>5.359</v>
      </c>
      <c r="AC18" s="224">
        <v>5.359</v>
      </c>
      <c r="AD18" s="224">
        <v>5.359</v>
      </c>
      <c r="AE18" s="224">
        <v>5.359</v>
      </c>
      <c r="AF18" s="221">
        <v>0</v>
      </c>
      <c r="AG18" s="200"/>
      <c r="AH18" s="200"/>
      <c r="AI18" s="200"/>
      <c r="AJ18" s="200"/>
      <c r="AK18" s="200"/>
      <c r="AL18" s="200"/>
      <c r="AM18" s="200"/>
      <c r="AN18" s="200"/>
      <c r="AO18" s="200"/>
      <c r="AP18" s="200"/>
      <c r="AQ18" s="200"/>
      <c r="AR18" s="200"/>
      <c r="AS18" s="200"/>
      <c r="AT18" s="200"/>
      <c r="AU18" s="200"/>
      <c r="AV18" s="200"/>
      <c r="AW18" s="200"/>
      <c r="AX18" s="200"/>
      <c r="AY18" s="200"/>
      <c r="AZ18" s="200"/>
      <c r="BA18" s="200"/>
    </row>
    <row r="19" spans="1:53" ht="15" customHeight="1" x14ac:dyDescent="0.25">
      <c r="A19" s="201" t="s">
        <v>188</v>
      </c>
      <c r="B19" s="219" t="s">
        <v>155</v>
      </c>
      <c r="C19" s="224">
        <v>5.8250000000000002</v>
      </c>
      <c r="D19" s="224">
        <v>5.8250000000000002</v>
      </c>
      <c r="E19" s="224">
        <v>5.8250000000000002</v>
      </c>
      <c r="F19" s="224">
        <v>5.8250000000000002</v>
      </c>
      <c r="G19" s="224">
        <v>5.8250000000000002</v>
      </c>
      <c r="H19" s="224">
        <v>5.8250000000000002</v>
      </c>
      <c r="I19" s="224">
        <v>5.8250000000000002</v>
      </c>
      <c r="J19" s="224">
        <v>5.8250000000000002</v>
      </c>
      <c r="K19" s="224">
        <v>5.8250000000000002</v>
      </c>
      <c r="L19" s="224">
        <v>5.8250000000000002</v>
      </c>
      <c r="M19" s="224">
        <v>5.8250000000000002</v>
      </c>
      <c r="N19" s="224">
        <v>5.8250000000000002</v>
      </c>
      <c r="O19" s="224">
        <v>5.8250000000000002</v>
      </c>
      <c r="P19" s="224">
        <v>5.8250000000000002</v>
      </c>
      <c r="Q19" s="224">
        <v>5.8250000000000002</v>
      </c>
      <c r="R19" s="224">
        <v>5.8250000000000002</v>
      </c>
      <c r="S19" s="224">
        <v>5.8250000000000002</v>
      </c>
      <c r="T19" s="224">
        <v>5.8250000000000002</v>
      </c>
      <c r="U19" s="224">
        <v>5.8250000000000002</v>
      </c>
      <c r="V19" s="224">
        <v>5.8250000000000002</v>
      </c>
      <c r="W19" s="224">
        <v>5.8250000000000002</v>
      </c>
      <c r="X19" s="224">
        <v>5.8250000000000002</v>
      </c>
      <c r="Y19" s="224">
        <v>5.8250000000000002</v>
      </c>
      <c r="Z19" s="224">
        <v>5.8250000000000002</v>
      </c>
      <c r="AA19" s="224">
        <v>5.8250000000000002</v>
      </c>
      <c r="AB19" s="224">
        <v>5.8250000000000002</v>
      </c>
      <c r="AC19" s="224">
        <v>5.8250000000000002</v>
      </c>
      <c r="AD19" s="224">
        <v>5.8250000000000002</v>
      </c>
      <c r="AE19" s="224">
        <v>5.8250000000000002</v>
      </c>
      <c r="AF19" s="221">
        <v>0</v>
      </c>
      <c r="AG19" s="200"/>
      <c r="AH19" s="200"/>
      <c r="AI19" s="200"/>
      <c r="AJ19" s="200"/>
      <c r="AK19" s="200"/>
      <c r="AL19" s="200"/>
      <c r="AM19" s="200"/>
      <c r="AN19" s="200"/>
      <c r="AO19" s="200"/>
      <c r="AP19" s="200"/>
      <c r="AQ19" s="200"/>
      <c r="AR19" s="200"/>
      <c r="AS19" s="200"/>
      <c r="AT19" s="200"/>
      <c r="AU19" s="200"/>
      <c r="AV19" s="200"/>
      <c r="AW19" s="200"/>
      <c r="AX19" s="200"/>
      <c r="AY19" s="200"/>
      <c r="AZ19" s="200"/>
      <c r="BA19" s="200"/>
    </row>
    <row r="20" spans="1:53" ht="15" customHeight="1" x14ac:dyDescent="0.25">
      <c r="A20" s="201" t="s">
        <v>190</v>
      </c>
      <c r="B20" s="219" t="s">
        <v>156</v>
      </c>
      <c r="C20" s="224">
        <v>5.7756210000000001</v>
      </c>
      <c r="D20" s="224">
        <v>5.7756480000000003</v>
      </c>
      <c r="E20" s="224">
        <v>5.7760829999999999</v>
      </c>
      <c r="F20" s="224">
        <v>5.7760619999999996</v>
      </c>
      <c r="G20" s="224">
        <v>5.7764670000000002</v>
      </c>
      <c r="H20" s="224">
        <v>5.7772180000000004</v>
      </c>
      <c r="I20" s="224">
        <v>5.776948</v>
      </c>
      <c r="J20" s="224">
        <v>5.7769529999999998</v>
      </c>
      <c r="K20" s="224">
        <v>5.7767980000000003</v>
      </c>
      <c r="L20" s="224">
        <v>5.7769740000000001</v>
      </c>
      <c r="M20" s="224">
        <v>5.7768980000000001</v>
      </c>
      <c r="N20" s="224">
        <v>5.7770099999999998</v>
      </c>
      <c r="O20" s="224">
        <v>5.7768050000000004</v>
      </c>
      <c r="P20" s="224">
        <v>5.7769560000000002</v>
      </c>
      <c r="Q20" s="224">
        <v>5.7768389999999998</v>
      </c>
      <c r="R20" s="224">
        <v>5.7768620000000004</v>
      </c>
      <c r="S20" s="224">
        <v>5.7767480000000004</v>
      </c>
      <c r="T20" s="224">
        <v>5.7767109999999997</v>
      </c>
      <c r="U20" s="224">
        <v>5.7766539999999997</v>
      </c>
      <c r="V20" s="224">
        <v>5.7766140000000004</v>
      </c>
      <c r="W20" s="224">
        <v>5.7766320000000002</v>
      </c>
      <c r="X20" s="224">
        <v>5.7766310000000001</v>
      </c>
      <c r="Y20" s="224">
        <v>5.7765519999999997</v>
      </c>
      <c r="Z20" s="224">
        <v>5.7765940000000002</v>
      </c>
      <c r="AA20" s="224">
        <v>5.7764090000000001</v>
      </c>
      <c r="AB20" s="224">
        <v>5.7762830000000003</v>
      </c>
      <c r="AC20" s="224">
        <v>5.7763799999999996</v>
      </c>
      <c r="AD20" s="224">
        <v>5.7763859999999996</v>
      </c>
      <c r="AE20" s="224">
        <v>5.7762339999999996</v>
      </c>
      <c r="AF20" s="221">
        <v>3.9999999999999998E-6</v>
      </c>
      <c r="AG20" s="200"/>
      <c r="AH20" s="200"/>
      <c r="AI20" s="200"/>
      <c r="AJ20" s="200"/>
      <c r="AK20" s="200"/>
      <c r="AL20" s="200"/>
      <c r="AM20" s="200"/>
      <c r="AN20" s="200"/>
      <c r="AO20" s="200"/>
      <c r="AP20" s="200"/>
      <c r="AQ20" s="200"/>
      <c r="AR20" s="200"/>
      <c r="AS20" s="200"/>
      <c r="AT20" s="200"/>
      <c r="AU20" s="200"/>
      <c r="AV20" s="200"/>
      <c r="AW20" s="200"/>
      <c r="AX20" s="200"/>
      <c r="AY20" s="200"/>
      <c r="AZ20" s="200"/>
      <c r="BA20" s="200"/>
    </row>
    <row r="21" spans="1:53" ht="15" customHeight="1" x14ac:dyDescent="0.25">
      <c r="A21" s="201" t="s">
        <v>192</v>
      </c>
      <c r="B21" s="219" t="s">
        <v>157</v>
      </c>
      <c r="C21" s="224">
        <v>5.7756210000000001</v>
      </c>
      <c r="D21" s="224">
        <v>5.7756480000000003</v>
      </c>
      <c r="E21" s="224">
        <v>5.7760829999999999</v>
      </c>
      <c r="F21" s="224">
        <v>5.7760619999999996</v>
      </c>
      <c r="G21" s="224">
        <v>5.7764670000000002</v>
      </c>
      <c r="H21" s="224">
        <v>5.7772180000000004</v>
      </c>
      <c r="I21" s="224">
        <v>5.776948</v>
      </c>
      <c r="J21" s="224">
        <v>5.7769529999999998</v>
      </c>
      <c r="K21" s="224">
        <v>5.7767980000000003</v>
      </c>
      <c r="L21" s="224">
        <v>5.7769740000000001</v>
      </c>
      <c r="M21" s="224">
        <v>5.7768980000000001</v>
      </c>
      <c r="N21" s="224">
        <v>5.7770099999999998</v>
      </c>
      <c r="O21" s="224">
        <v>5.7768050000000004</v>
      </c>
      <c r="P21" s="224">
        <v>5.7769560000000002</v>
      </c>
      <c r="Q21" s="224">
        <v>5.7768389999999998</v>
      </c>
      <c r="R21" s="224">
        <v>5.7768620000000004</v>
      </c>
      <c r="S21" s="224">
        <v>5.7767480000000004</v>
      </c>
      <c r="T21" s="224">
        <v>5.7767109999999997</v>
      </c>
      <c r="U21" s="224">
        <v>5.7766539999999997</v>
      </c>
      <c r="V21" s="224">
        <v>5.7766140000000004</v>
      </c>
      <c r="W21" s="224">
        <v>5.7766320000000002</v>
      </c>
      <c r="X21" s="224">
        <v>5.7766310000000001</v>
      </c>
      <c r="Y21" s="224">
        <v>5.7765519999999997</v>
      </c>
      <c r="Z21" s="224">
        <v>5.7765940000000002</v>
      </c>
      <c r="AA21" s="224">
        <v>5.7764090000000001</v>
      </c>
      <c r="AB21" s="224">
        <v>5.7762830000000003</v>
      </c>
      <c r="AC21" s="224">
        <v>5.7763799999999996</v>
      </c>
      <c r="AD21" s="224">
        <v>5.7763859999999996</v>
      </c>
      <c r="AE21" s="224">
        <v>5.7762339999999996</v>
      </c>
      <c r="AF21" s="221">
        <v>3.9999999999999998E-6</v>
      </c>
      <c r="AG21" s="200"/>
      <c r="AH21" s="200"/>
      <c r="AI21" s="200"/>
      <c r="AJ21" s="200"/>
      <c r="AK21" s="200"/>
      <c r="AL21" s="200"/>
      <c r="AM21" s="200"/>
      <c r="AN21" s="200"/>
      <c r="AO21" s="200"/>
      <c r="AP21" s="200"/>
      <c r="AQ21" s="200"/>
      <c r="AR21" s="200"/>
      <c r="AS21" s="200"/>
      <c r="AT21" s="200"/>
      <c r="AU21" s="200"/>
      <c r="AV21" s="200"/>
      <c r="AW21" s="200"/>
      <c r="AX21" s="200"/>
      <c r="AY21" s="200"/>
      <c r="AZ21" s="200"/>
      <c r="BA21" s="200"/>
    </row>
    <row r="22" spans="1:53" ht="15" customHeight="1" x14ac:dyDescent="0.25">
      <c r="A22" s="199"/>
      <c r="B22" s="219" t="s">
        <v>158</v>
      </c>
      <c r="C22" s="224">
        <v>5.7756210000000001</v>
      </c>
      <c r="D22" s="224">
        <v>5.7756480000000003</v>
      </c>
      <c r="E22" s="224">
        <v>5.7760829999999999</v>
      </c>
      <c r="F22" s="224">
        <v>5.7760619999999996</v>
      </c>
      <c r="G22" s="224">
        <v>5.7764670000000002</v>
      </c>
      <c r="H22" s="224">
        <v>5.7772180000000004</v>
      </c>
      <c r="I22" s="224">
        <v>5.776948</v>
      </c>
      <c r="J22" s="224">
        <v>5.7769529999999998</v>
      </c>
      <c r="K22" s="224">
        <v>5.7767980000000003</v>
      </c>
      <c r="L22" s="224">
        <v>5.7769740000000001</v>
      </c>
      <c r="M22" s="224">
        <v>5.7768980000000001</v>
      </c>
      <c r="N22" s="224">
        <v>5.7770099999999998</v>
      </c>
      <c r="O22" s="224">
        <v>5.7768050000000004</v>
      </c>
      <c r="P22" s="224">
        <v>5.7769560000000002</v>
      </c>
      <c r="Q22" s="224">
        <v>5.7768389999999998</v>
      </c>
      <c r="R22" s="224">
        <v>5.7768620000000004</v>
      </c>
      <c r="S22" s="224">
        <v>5.7767480000000004</v>
      </c>
      <c r="T22" s="224">
        <v>5.7767109999999997</v>
      </c>
      <c r="U22" s="224">
        <v>5.7766539999999997</v>
      </c>
      <c r="V22" s="224">
        <v>5.7766140000000004</v>
      </c>
      <c r="W22" s="224">
        <v>5.7766320000000002</v>
      </c>
      <c r="X22" s="224">
        <v>5.7766310000000001</v>
      </c>
      <c r="Y22" s="224">
        <v>5.7765519999999997</v>
      </c>
      <c r="Z22" s="224">
        <v>5.7765940000000002</v>
      </c>
      <c r="AA22" s="224">
        <v>5.7764090000000001</v>
      </c>
      <c r="AB22" s="224">
        <v>5.7762830000000003</v>
      </c>
      <c r="AC22" s="224">
        <v>5.7763799999999996</v>
      </c>
      <c r="AD22" s="224">
        <v>5.7763859999999996</v>
      </c>
      <c r="AE22" s="224">
        <v>5.7762339999999996</v>
      </c>
      <c r="AF22" s="221">
        <v>3.9999999999999998E-6</v>
      </c>
      <c r="AG22" s="200"/>
      <c r="AH22" s="200"/>
      <c r="AI22" s="200"/>
      <c r="AJ22" s="200"/>
      <c r="AK22" s="200"/>
      <c r="AL22" s="200"/>
      <c r="AM22" s="200"/>
      <c r="AN22" s="200"/>
      <c r="AO22" s="200"/>
      <c r="AP22" s="200"/>
      <c r="AQ22" s="200"/>
      <c r="AR22" s="200"/>
      <c r="AS22" s="200"/>
      <c r="AT22" s="200"/>
      <c r="AU22" s="200"/>
      <c r="AV22" s="200"/>
      <c r="AW22" s="200"/>
      <c r="AX22" s="200"/>
      <c r="AY22" s="200"/>
      <c r="AZ22" s="200"/>
      <c r="BA22" s="200"/>
    </row>
    <row r="23" spans="1:53" ht="15" customHeight="1" x14ac:dyDescent="0.25">
      <c r="A23" s="201" t="s">
        <v>195</v>
      </c>
      <c r="B23" s="219" t="s">
        <v>159</v>
      </c>
      <c r="C23" s="224">
        <v>5.7756210000000001</v>
      </c>
      <c r="D23" s="224">
        <v>5.7756480000000003</v>
      </c>
      <c r="E23" s="224">
        <v>5.7760829999999999</v>
      </c>
      <c r="F23" s="224">
        <v>5.7760619999999996</v>
      </c>
      <c r="G23" s="224">
        <v>5.7764670000000002</v>
      </c>
      <c r="H23" s="224">
        <v>5.7772180000000004</v>
      </c>
      <c r="I23" s="224">
        <v>5.776948</v>
      </c>
      <c r="J23" s="224">
        <v>5.7769529999999998</v>
      </c>
      <c r="K23" s="224">
        <v>5.7767980000000003</v>
      </c>
      <c r="L23" s="224">
        <v>5.7769740000000001</v>
      </c>
      <c r="M23" s="224">
        <v>5.7768980000000001</v>
      </c>
      <c r="N23" s="224">
        <v>5.7770099999999998</v>
      </c>
      <c r="O23" s="224">
        <v>5.7768050000000004</v>
      </c>
      <c r="P23" s="224">
        <v>5.7769560000000002</v>
      </c>
      <c r="Q23" s="224">
        <v>5.7768389999999998</v>
      </c>
      <c r="R23" s="224">
        <v>5.7768620000000004</v>
      </c>
      <c r="S23" s="224">
        <v>5.7767480000000004</v>
      </c>
      <c r="T23" s="224">
        <v>5.7767109999999997</v>
      </c>
      <c r="U23" s="224">
        <v>5.7766539999999997</v>
      </c>
      <c r="V23" s="224">
        <v>5.7766140000000004</v>
      </c>
      <c r="W23" s="224">
        <v>5.7766320000000002</v>
      </c>
      <c r="X23" s="224">
        <v>5.7766310000000001</v>
      </c>
      <c r="Y23" s="224">
        <v>5.7765519999999997</v>
      </c>
      <c r="Z23" s="224">
        <v>5.7765940000000002</v>
      </c>
      <c r="AA23" s="224">
        <v>5.7764090000000001</v>
      </c>
      <c r="AB23" s="224">
        <v>5.7762830000000003</v>
      </c>
      <c r="AC23" s="224">
        <v>5.7763799999999996</v>
      </c>
      <c r="AD23" s="224">
        <v>5.7763859999999996</v>
      </c>
      <c r="AE23" s="224">
        <v>5.7762339999999996</v>
      </c>
      <c r="AF23" s="221">
        <v>3.9999999999999998E-6</v>
      </c>
      <c r="AG23" s="200"/>
      <c r="AH23" s="200"/>
      <c r="AI23" s="200"/>
      <c r="AJ23" s="200"/>
      <c r="AK23" s="200"/>
      <c r="AL23" s="200"/>
      <c r="AM23" s="200"/>
      <c r="AN23" s="200"/>
      <c r="AO23" s="200"/>
      <c r="AP23" s="200"/>
      <c r="AQ23" s="200"/>
      <c r="AR23" s="200"/>
      <c r="AS23" s="200"/>
      <c r="AT23" s="200"/>
      <c r="AU23" s="200"/>
      <c r="AV23" s="200"/>
      <c r="AW23" s="200"/>
      <c r="AX23" s="200"/>
      <c r="AY23" s="200"/>
      <c r="AZ23" s="200"/>
      <c r="BA23" s="200"/>
    </row>
    <row r="24" spans="1:53" ht="15" customHeight="1" x14ac:dyDescent="0.25">
      <c r="A24" s="201" t="s">
        <v>197</v>
      </c>
      <c r="B24" s="219" t="s">
        <v>160</v>
      </c>
      <c r="C24" s="224">
        <v>5.7756210000000001</v>
      </c>
      <c r="D24" s="224">
        <v>5.7756480000000003</v>
      </c>
      <c r="E24" s="224">
        <v>5.7760829999999999</v>
      </c>
      <c r="F24" s="224">
        <v>5.7760619999999996</v>
      </c>
      <c r="G24" s="224">
        <v>5.7764670000000002</v>
      </c>
      <c r="H24" s="224">
        <v>5.7772180000000004</v>
      </c>
      <c r="I24" s="224">
        <v>5.776948</v>
      </c>
      <c r="J24" s="224">
        <v>5.7769529999999998</v>
      </c>
      <c r="K24" s="224">
        <v>5.7767980000000003</v>
      </c>
      <c r="L24" s="224">
        <v>5.7769740000000001</v>
      </c>
      <c r="M24" s="224">
        <v>5.7768980000000001</v>
      </c>
      <c r="N24" s="224">
        <v>5.7770099999999998</v>
      </c>
      <c r="O24" s="224">
        <v>5.7768050000000004</v>
      </c>
      <c r="P24" s="224">
        <v>5.7769560000000002</v>
      </c>
      <c r="Q24" s="224">
        <v>5.7768389999999998</v>
      </c>
      <c r="R24" s="224">
        <v>5.7768620000000004</v>
      </c>
      <c r="S24" s="224">
        <v>5.7767480000000004</v>
      </c>
      <c r="T24" s="224">
        <v>5.7767109999999997</v>
      </c>
      <c r="U24" s="224">
        <v>5.7766539999999997</v>
      </c>
      <c r="V24" s="224">
        <v>5.7766140000000004</v>
      </c>
      <c r="W24" s="224">
        <v>5.7766320000000002</v>
      </c>
      <c r="X24" s="224">
        <v>5.7766310000000001</v>
      </c>
      <c r="Y24" s="224">
        <v>5.7765519999999997</v>
      </c>
      <c r="Z24" s="224">
        <v>5.7765940000000002</v>
      </c>
      <c r="AA24" s="224">
        <v>5.7764090000000001</v>
      </c>
      <c r="AB24" s="224">
        <v>5.7762830000000003</v>
      </c>
      <c r="AC24" s="224">
        <v>5.7763799999999996</v>
      </c>
      <c r="AD24" s="224">
        <v>5.7763859999999996</v>
      </c>
      <c r="AE24" s="224">
        <v>5.7762339999999996</v>
      </c>
      <c r="AF24" s="221">
        <v>3.9999999999999998E-6</v>
      </c>
      <c r="AG24" s="200"/>
      <c r="AH24" s="200"/>
      <c r="AI24" s="200"/>
      <c r="AJ24" s="200"/>
      <c r="AK24" s="200"/>
      <c r="AL24" s="200"/>
      <c r="AM24" s="200"/>
      <c r="AN24" s="200"/>
      <c r="AO24" s="200"/>
      <c r="AP24" s="200"/>
      <c r="AQ24" s="200"/>
      <c r="AR24" s="200"/>
      <c r="AS24" s="200"/>
      <c r="AT24" s="200"/>
      <c r="AU24" s="200"/>
      <c r="AV24" s="200"/>
      <c r="AW24" s="200"/>
      <c r="AX24" s="200"/>
      <c r="AY24" s="200"/>
      <c r="AZ24" s="200"/>
      <c r="BA24" s="200"/>
    </row>
    <row r="25" spans="1:53" ht="15" customHeight="1" x14ac:dyDescent="0.25">
      <c r="A25" s="201" t="s">
        <v>199</v>
      </c>
      <c r="B25" s="219" t="s">
        <v>161</v>
      </c>
      <c r="C25" s="224">
        <v>5.7756210000000001</v>
      </c>
      <c r="D25" s="224">
        <v>5.7756480000000003</v>
      </c>
      <c r="E25" s="224">
        <v>5.7760829999999999</v>
      </c>
      <c r="F25" s="224">
        <v>5.7760619999999996</v>
      </c>
      <c r="G25" s="224">
        <v>5.7764670000000002</v>
      </c>
      <c r="H25" s="224">
        <v>5.7772180000000004</v>
      </c>
      <c r="I25" s="224">
        <v>5.776948</v>
      </c>
      <c r="J25" s="224">
        <v>5.7769529999999998</v>
      </c>
      <c r="K25" s="224">
        <v>5.7767989999999996</v>
      </c>
      <c r="L25" s="224">
        <v>5.7769740000000001</v>
      </c>
      <c r="M25" s="224">
        <v>5.7768990000000002</v>
      </c>
      <c r="N25" s="224">
        <v>5.7770099999999998</v>
      </c>
      <c r="O25" s="224">
        <v>5.7768050000000004</v>
      </c>
      <c r="P25" s="224">
        <v>5.7769560000000002</v>
      </c>
      <c r="Q25" s="224">
        <v>5.7768379999999997</v>
      </c>
      <c r="R25" s="224">
        <v>5.7768620000000004</v>
      </c>
      <c r="S25" s="224">
        <v>5.7767480000000004</v>
      </c>
      <c r="T25" s="224">
        <v>5.7767109999999997</v>
      </c>
      <c r="U25" s="224">
        <v>5.7766539999999997</v>
      </c>
      <c r="V25" s="224">
        <v>5.7766140000000004</v>
      </c>
      <c r="W25" s="224">
        <v>5.7766320000000002</v>
      </c>
      <c r="X25" s="224">
        <v>5.7766310000000001</v>
      </c>
      <c r="Y25" s="224">
        <v>5.7765519999999997</v>
      </c>
      <c r="Z25" s="224">
        <v>5.7765940000000002</v>
      </c>
      <c r="AA25" s="224">
        <v>5.7764090000000001</v>
      </c>
      <c r="AB25" s="224">
        <v>5.7762840000000004</v>
      </c>
      <c r="AC25" s="224">
        <v>5.7763799999999996</v>
      </c>
      <c r="AD25" s="224">
        <v>5.7763859999999996</v>
      </c>
      <c r="AE25" s="224">
        <v>5.7762339999999996</v>
      </c>
      <c r="AF25" s="221">
        <v>3.9999999999999998E-6</v>
      </c>
      <c r="AG25" s="200"/>
      <c r="AH25" s="200"/>
      <c r="AI25" s="200"/>
      <c r="AJ25" s="200"/>
      <c r="AK25" s="200"/>
      <c r="AL25" s="200"/>
      <c r="AM25" s="200"/>
      <c r="AN25" s="200"/>
      <c r="AO25" s="200"/>
      <c r="AP25" s="200"/>
      <c r="AQ25" s="200"/>
      <c r="AR25" s="200"/>
      <c r="AS25" s="200"/>
      <c r="AT25" s="200"/>
      <c r="AU25" s="200"/>
      <c r="AV25" s="200"/>
      <c r="AW25" s="200"/>
      <c r="AX25" s="200"/>
      <c r="AY25" s="200"/>
      <c r="AZ25" s="200"/>
      <c r="BA25" s="200"/>
    </row>
    <row r="26" spans="1:53" ht="15" customHeight="1" x14ac:dyDescent="0.25">
      <c r="A26" s="201" t="s">
        <v>201</v>
      </c>
      <c r="B26" s="219" t="s">
        <v>162</v>
      </c>
      <c r="C26" s="224">
        <v>5.8170000000000002</v>
      </c>
      <c r="D26" s="224">
        <v>5.8170000000000002</v>
      </c>
      <c r="E26" s="224">
        <v>5.8170000000000002</v>
      </c>
      <c r="F26" s="224">
        <v>5.8170000000000002</v>
      </c>
      <c r="G26" s="224">
        <v>5.8170000000000002</v>
      </c>
      <c r="H26" s="224">
        <v>5.8170000000000002</v>
      </c>
      <c r="I26" s="224">
        <v>5.8170000000000002</v>
      </c>
      <c r="J26" s="224">
        <v>5.8170000000000002</v>
      </c>
      <c r="K26" s="224">
        <v>5.8170000000000002</v>
      </c>
      <c r="L26" s="224">
        <v>5.8170000000000002</v>
      </c>
      <c r="M26" s="224">
        <v>5.8170000000000002</v>
      </c>
      <c r="N26" s="224">
        <v>5.8170000000000002</v>
      </c>
      <c r="O26" s="224">
        <v>5.8170000000000002</v>
      </c>
      <c r="P26" s="224">
        <v>5.8170000000000002</v>
      </c>
      <c r="Q26" s="224">
        <v>5.8170000000000002</v>
      </c>
      <c r="R26" s="224">
        <v>5.8170000000000002</v>
      </c>
      <c r="S26" s="224">
        <v>5.8170000000000002</v>
      </c>
      <c r="T26" s="224">
        <v>5.8170000000000002</v>
      </c>
      <c r="U26" s="224">
        <v>5.8170000000000002</v>
      </c>
      <c r="V26" s="224">
        <v>5.8170000000000002</v>
      </c>
      <c r="W26" s="224">
        <v>5.8170000000000002</v>
      </c>
      <c r="X26" s="224">
        <v>5.8170000000000002</v>
      </c>
      <c r="Y26" s="224">
        <v>5.8170000000000002</v>
      </c>
      <c r="Z26" s="224">
        <v>5.8170000000000002</v>
      </c>
      <c r="AA26" s="224">
        <v>5.8170000000000002</v>
      </c>
      <c r="AB26" s="224">
        <v>5.8170000000000002</v>
      </c>
      <c r="AC26" s="224">
        <v>5.8170000000000002</v>
      </c>
      <c r="AD26" s="224">
        <v>5.8170000000000002</v>
      </c>
      <c r="AE26" s="224">
        <v>5.8170000000000002</v>
      </c>
      <c r="AF26" s="221">
        <v>0</v>
      </c>
      <c r="AG26" s="200"/>
      <c r="AH26" s="200"/>
      <c r="AI26" s="200"/>
      <c r="AJ26" s="200"/>
      <c r="AK26" s="200"/>
      <c r="AL26" s="200"/>
      <c r="AM26" s="200"/>
      <c r="AN26" s="200"/>
      <c r="AO26" s="200"/>
      <c r="AP26" s="200"/>
      <c r="AQ26" s="200"/>
      <c r="AR26" s="200"/>
      <c r="AS26" s="200"/>
      <c r="AT26" s="200"/>
      <c r="AU26" s="200"/>
      <c r="AV26" s="200"/>
      <c r="AW26" s="200"/>
      <c r="AX26" s="200"/>
      <c r="AY26" s="200"/>
      <c r="AZ26" s="200"/>
      <c r="BA26" s="200"/>
    </row>
    <row r="27" spans="1:53" ht="15" customHeight="1" x14ac:dyDescent="0.25">
      <c r="A27" s="199"/>
      <c r="B27" s="219" t="s">
        <v>163</v>
      </c>
      <c r="C27" s="224">
        <v>5.77</v>
      </c>
      <c r="D27" s="224">
        <v>5.77</v>
      </c>
      <c r="E27" s="224">
        <v>5.77</v>
      </c>
      <c r="F27" s="224">
        <v>5.77</v>
      </c>
      <c r="G27" s="224">
        <v>5.77</v>
      </c>
      <c r="H27" s="224">
        <v>5.77</v>
      </c>
      <c r="I27" s="224">
        <v>5.77</v>
      </c>
      <c r="J27" s="224">
        <v>5.77</v>
      </c>
      <c r="K27" s="224">
        <v>5.77</v>
      </c>
      <c r="L27" s="224">
        <v>5.77</v>
      </c>
      <c r="M27" s="224">
        <v>5.77</v>
      </c>
      <c r="N27" s="224">
        <v>5.77</v>
      </c>
      <c r="O27" s="224">
        <v>5.77</v>
      </c>
      <c r="P27" s="224">
        <v>5.77</v>
      </c>
      <c r="Q27" s="224">
        <v>5.77</v>
      </c>
      <c r="R27" s="224">
        <v>5.77</v>
      </c>
      <c r="S27" s="224">
        <v>5.77</v>
      </c>
      <c r="T27" s="224">
        <v>5.77</v>
      </c>
      <c r="U27" s="224">
        <v>5.77</v>
      </c>
      <c r="V27" s="224">
        <v>5.77</v>
      </c>
      <c r="W27" s="224">
        <v>5.77</v>
      </c>
      <c r="X27" s="224">
        <v>5.77</v>
      </c>
      <c r="Y27" s="224">
        <v>5.77</v>
      </c>
      <c r="Z27" s="224">
        <v>5.77</v>
      </c>
      <c r="AA27" s="224">
        <v>5.77</v>
      </c>
      <c r="AB27" s="224">
        <v>5.77</v>
      </c>
      <c r="AC27" s="224">
        <v>5.77</v>
      </c>
      <c r="AD27" s="224">
        <v>5.77</v>
      </c>
      <c r="AE27" s="224">
        <v>5.77</v>
      </c>
      <c r="AF27" s="221">
        <v>0</v>
      </c>
      <c r="AG27" s="200"/>
      <c r="AH27" s="200"/>
      <c r="AI27" s="200"/>
      <c r="AJ27" s="200"/>
      <c r="AK27" s="200"/>
      <c r="AL27" s="200"/>
      <c r="AM27" s="200"/>
      <c r="AN27" s="200"/>
      <c r="AO27" s="200"/>
      <c r="AP27" s="200"/>
      <c r="AQ27" s="200"/>
      <c r="AR27" s="200"/>
      <c r="AS27" s="200"/>
      <c r="AT27" s="200"/>
      <c r="AU27" s="200"/>
      <c r="AV27" s="200"/>
      <c r="AW27" s="200"/>
      <c r="AX27" s="200"/>
      <c r="AY27" s="200"/>
      <c r="AZ27" s="200"/>
      <c r="BA27" s="200"/>
    </row>
    <row r="28" spans="1:53" ht="15" customHeight="1" x14ac:dyDescent="0.25">
      <c r="A28" s="199"/>
      <c r="B28" s="219" t="s">
        <v>164</v>
      </c>
      <c r="C28" s="224">
        <v>3.5630000000000002</v>
      </c>
      <c r="D28" s="224">
        <v>3.5630000000000002</v>
      </c>
      <c r="E28" s="224">
        <v>3.5630000000000002</v>
      </c>
      <c r="F28" s="224">
        <v>3.5630000000000002</v>
      </c>
      <c r="G28" s="224">
        <v>3.5630000000000002</v>
      </c>
      <c r="H28" s="224">
        <v>3.5630000000000002</v>
      </c>
      <c r="I28" s="224">
        <v>3.5630000000000002</v>
      </c>
      <c r="J28" s="224">
        <v>3.5630000000000002</v>
      </c>
      <c r="K28" s="224">
        <v>3.5630000000000002</v>
      </c>
      <c r="L28" s="224">
        <v>3.5630000000000002</v>
      </c>
      <c r="M28" s="224">
        <v>3.5630000000000002</v>
      </c>
      <c r="N28" s="224">
        <v>3.5630000000000002</v>
      </c>
      <c r="O28" s="224">
        <v>3.5630000000000002</v>
      </c>
      <c r="P28" s="224">
        <v>3.5630000000000002</v>
      </c>
      <c r="Q28" s="224">
        <v>3.5630000000000002</v>
      </c>
      <c r="R28" s="224">
        <v>3.5630000000000002</v>
      </c>
      <c r="S28" s="224">
        <v>3.5630000000000002</v>
      </c>
      <c r="T28" s="224">
        <v>3.5630000000000002</v>
      </c>
      <c r="U28" s="224">
        <v>3.5630000000000002</v>
      </c>
      <c r="V28" s="224">
        <v>3.5630000000000002</v>
      </c>
      <c r="W28" s="224">
        <v>3.5630000000000002</v>
      </c>
      <c r="X28" s="224">
        <v>3.5630000000000002</v>
      </c>
      <c r="Y28" s="224">
        <v>3.5630000000000002</v>
      </c>
      <c r="Z28" s="224">
        <v>3.5630000000000002</v>
      </c>
      <c r="AA28" s="224">
        <v>3.5630000000000002</v>
      </c>
      <c r="AB28" s="224">
        <v>3.5630000000000002</v>
      </c>
      <c r="AC28" s="224">
        <v>3.5630000000000002</v>
      </c>
      <c r="AD28" s="224">
        <v>3.5630000000000002</v>
      </c>
      <c r="AE28" s="224">
        <v>3.5630000000000002</v>
      </c>
      <c r="AF28" s="221">
        <v>0</v>
      </c>
      <c r="AG28" s="200"/>
      <c r="AH28" s="200"/>
      <c r="AI28" s="200"/>
      <c r="AJ28" s="200"/>
      <c r="AK28" s="200"/>
      <c r="AL28" s="200"/>
      <c r="AM28" s="200"/>
      <c r="AN28" s="200"/>
      <c r="AO28" s="200"/>
      <c r="AP28" s="200"/>
      <c r="AQ28" s="200"/>
      <c r="AR28" s="200"/>
      <c r="AS28" s="200"/>
      <c r="AT28" s="200"/>
      <c r="AU28" s="200"/>
      <c r="AV28" s="200"/>
      <c r="AW28" s="200"/>
      <c r="AX28" s="200"/>
      <c r="AY28" s="200"/>
      <c r="AZ28" s="200"/>
      <c r="BA28" s="200"/>
    </row>
    <row r="29" spans="1:53" ht="15" customHeight="1" x14ac:dyDescent="0.25">
      <c r="A29" s="201" t="s">
        <v>204</v>
      </c>
      <c r="B29" s="219" t="s">
        <v>490</v>
      </c>
      <c r="C29" s="224">
        <v>3.9944130000000002</v>
      </c>
      <c r="D29" s="224">
        <v>3.9944130000000002</v>
      </c>
      <c r="E29" s="224">
        <v>3.9944130000000002</v>
      </c>
      <c r="F29" s="224">
        <v>3.9944130000000002</v>
      </c>
      <c r="G29" s="224">
        <v>3.9944130000000002</v>
      </c>
      <c r="H29" s="224">
        <v>3.9944130000000002</v>
      </c>
      <c r="I29" s="224">
        <v>3.9944130000000002</v>
      </c>
      <c r="J29" s="224">
        <v>3.9944130000000002</v>
      </c>
      <c r="K29" s="224">
        <v>3.9944130000000002</v>
      </c>
      <c r="L29" s="224">
        <v>3.9944130000000002</v>
      </c>
      <c r="M29" s="224">
        <v>3.9944130000000002</v>
      </c>
      <c r="N29" s="224">
        <v>3.9944130000000002</v>
      </c>
      <c r="O29" s="224">
        <v>3.9944130000000002</v>
      </c>
      <c r="P29" s="224">
        <v>3.9944130000000002</v>
      </c>
      <c r="Q29" s="224">
        <v>3.9944130000000002</v>
      </c>
      <c r="R29" s="224">
        <v>3.9944130000000002</v>
      </c>
      <c r="S29" s="224">
        <v>3.9944130000000002</v>
      </c>
      <c r="T29" s="224">
        <v>3.9944130000000002</v>
      </c>
      <c r="U29" s="224">
        <v>3.9944130000000002</v>
      </c>
      <c r="V29" s="224">
        <v>3.9944130000000002</v>
      </c>
      <c r="W29" s="224">
        <v>3.9944130000000002</v>
      </c>
      <c r="X29" s="224">
        <v>3.9944130000000002</v>
      </c>
      <c r="Y29" s="224">
        <v>3.9944130000000002</v>
      </c>
      <c r="Z29" s="224">
        <v>3.9944130000000002</v>
      </c>
      <c r="AA29" s="224">
        <v>3.9944130000000002</v>
      </c>
      <c r="AB29" s="224">
        <v>3.9944130000000002</v>
      </c>
      <c r="AC29" s="224">
        <v>3.9944130000000002</v>
      </c>
      <c r="AD29" s="224">
        <v>3.9944130000000002</v>
      </c>
      <c r="AE29" s="224">
        <v>3.9944130000000002</v>
      </c>
      <c r="AF29" s="221">
        <v>0</v>
      </c>
      <c r="AG29" s="200"/>
      <c r="AH29" s="200"/>
      <c r="AI29" s="200"/>
      <c r="AJ29" s="200"/>
      <c r="AK29" s="200"/>
      <c r="AL29" s="200"/>
      <c r="AM29" s="200"/>
      <c r="AN29" s="200"/>
      <c r="AO29" s="200"/>
      <c r="AP29" s="200"/>
      <c r="AQ29" s="200"/>
      <c r="AR29" s="200"/>
      <c r="AS29" s="200"/>
      <c r="AT29" s="200"/>
      <c r="AU29" s="200"/>
      <c r="AV29" s="200"/>
      <c r="AW29" s="200"/>
      <c r="AX29" s="200"/>
      <c r="AY29" s="200"/>
      <c r="AZ29" s="200"/>
      <c r="BA29" s="200"/>
    </row>
    <row r="30" spans="1:53" ht="15" customHeight="1" x14ac:dyDescent="0.25">
      <c r="A30" s="201" t="s">
        <v>206</v>
      </c>
      <c r="B30" s="219" t="s">
        <v>165</v>
      </c>
      <c r="C30" s="224">
        <v>5.67</v>
      </c>
      <c r="D30" s="224">
        <v>5.67</v>
      </c>
      <c r="E30" s="224">
        <v>5.67</v>
      </c>
      <c r="F30" s="224">
        <v>5.67</v>
      </c>
      <c r="G30" s="224">
        <v>5.67</v>
      </c>
      <c r="H30" s="224">
        <v>5.67</v>
      </c>
      <c r="I30" s="224">
        <v>5.67</v>
      </c>
      <c r="J30" s="224">
        <v>5.67</v>
      </c>
      <c r="K30" s="224">
        <v>5.67</v>
      </c>
      <c r="L30" s="224">
        <v>5.67</v>
      </c>
      <c r="M30" s="224">
        <v>5.67</v>
      </c>
      <c r="N30" s="224">
        <v>5.67</v>
      </c>
      <c r="O30" s="224">
        <v>5.67</v>
      </c>
      <c r="P30" s="224">
        <v>5.67</v>
      </c>
      <c r="Q30" s="224">
        <v>5.67</v>
      </c>
      <c r="R30" s="224">
        <v>5.67</v>
      </c>
      <c r="S30" s="224">
        <v>5.67</v>
      </c>
      <c r="T30" s="224">
        <v>5.67</v>
      </c>
      <c r="U30" s="224">
        <v>5.67</v>
      </c>
      <c r="V30" s="224">
        <v>5.67</v>
      </c>
      <c r="W30" s="224">
        <v>5.67</v>
      </c>
      <c r="X30" s="224">
        <v>5.67</v>
      </c>
      <c r="Y30" s="224">
        <v>5.67</v>
      </c>
      <c r="Z30" s="224">
        <v>5.67</v>
      </c>
      <c r="AA30" s="224">
        <v>5.67</v>
      </c>
      <c r="AB30" s="224">
        <v>5.67</v>
      </c>
      <c r="AC30" s="224">
        <v>5.67</v>
      </c>
      <c r="AD30" s="224">
        <v>5.67</v>
      </c>
      <c r="AE30" s="224">
        <v>5.67</v>
      </c>
      <c r="AF30" s="221">
        <v>0</v>
      </c>
      <c r="AG30" s="200"/>
      <c r="AH30" s="200"/>
      <c r="AI30" s="200"/>
      <c r="AJ30" s="200"/>
      <c r="AK30" s="200"/>
      <c r="AL30" s="200"/>
      <c r="AM30" s="200"/>
      <c r="AN30" s="200"/>
      <c r="AO30" s="200"/>
      <c r="AP30" s="200"/>
      <c r="AQ30" s="200"/>
      <c r="AR30" s="200"/>
      <c r="AS30" s="200"/>
      <c r="AT30" s="200"/>
      <c r="AU30" s="200"/>
      <c r="AV30" s="200"/>
      <c r="AW30" s="200"/>
      <c r="AX30" s="200"/>
      <c r="AY30" s="200"/>
      <c r="AZ30" s="200"/>
      <c r="BA30" s="200"/>
    </row>
    <row r="31" spans="1:53" ht="15" customHeight="1" x14ac:dyDescent="0.25">
      <c r="A31" s="201" t="s">
        <v>208</v>
      </c>
      <c r="B31" s="219" t="s">
        <v>166</v>
      </c>
      <c r="C31" s="224">
        <v>6.0650000000000004</v>
      </c>
      <c r="D31" s="224">
        <v>6.0650000000000004</v>
      </c>
      <c r="E31" s="224">
        <v>6.0650000000000004</v>
      </c>
      <c r="F31" s="224">
        <v>6.0650000000000004</v>
      </c>
      <c r="G31" s="224">
        <v>6.0650000000000004</v>
      </c>
      <c r="H31" s="224">
        <v>6.0650000000000004</v>
      </c>
      <c r="I31" s="224">
        <v>6.0650000000000004</v>
      </c>
      <c r="J31" s="224">
        <v>6.0650000000000004</v>
      </c>
      <c r="K31" s="224">
        <v>6.0650000000000004</v>
      </c>
      <c r="L31" s="224">
        <v>6.0650000000000004</v>
      </c>
      <c r="M31" s="224">
        <v>6.0650000000000004</v>
      </c>
      <c r="N31" s="224">
        <v>6.0650000000000004</v>
      </c>
      <c r="O31" s="224">
        <v>6.0650000000000004</v>
      </c>
      <c r="P31" s="224">
        <v>6.0650000000000004</v>
      </c>
      <c r="Q31" s="224">
        <v>6.0650000000000004</v>
      </c>
      <c r="R31" s="224">
        <v>6.0650000000000004</v>
      </c>
      <c r="S31" s="224">
        <v>6.0650000000000004</v>
      </c>
      <c r="T31" s="224">
        <v>6.0650000000000004</v>
      </c>
      <c r="U31" s="224">
        <v>6.0650000000000004</v>
      </c>
      <c r="V31" s="224">
        <v>6.0650000000000004</v>
      </c>
      <c r="W31" s="224">
        <v>6.0650000000000004</v>
      </c>
      <c r="X31" s="224">
        <v>6.0650000000000004</v>
      </c>
      <c r="Y31" s="224">
        <v>6.0650000000000004</v>
      </c>
      <c r="Z31" s="224">
        <v>6.0650000000000004</v>
      </c>
      <c r="AA31" s="224">
        <v>6.0650000000000004</v>
      </c>
      <c r="AB31" s="224">
        <v>6.0650000000000004</v>
      </c>
      <c r="AC31" s="224">
        <v>6.0650000000000004</v>
      </c>
      <c r="AD31" s="224">
        <v>6.0650000000000004</v>
      </c>
      <c r="AE31" s="224">
        <v>6.0650000000000004</v>
      </c>
      <c r="AF31" s="221">
        <v>0</v>
      </c>
      <c r="AG31" s="200"/>
      <c r="AH31" s="200"/>
      <c r="AI31" s="200"/>
      <c r="AJ31" s="200"/>
      <c r="AK31" s="200"/>
      <c r="AL31" s="200"/>
      <c r="AM31" s="200"/>
      <c r="AN31" s="200"/>
      <c r="AO31" s="200"/>
      <c r="AP31" s="200"/>
      <c r="AQ31" s="200"/>
      <c r="AR31" s="200"/>
      <c r="AS31" s="200"/>
      <c r="AT31" s="200"/>
      <c r="AU31" s="200"/>
      <c r="AV31" s="200"/>
      <c r="AW31" s="200"/>
      <c r="AX31" s="200"/>
      <c r="AY31" s="200"/>
      <c r="AZ31" s="200"/>
      <c r="BA31" s="200"/>
    </row>
    <row r="32" spans="1:53" ht="15" customHeight="1" x14ac:dyDescent="0.25">
      <c r="A32" s="201" t="s">
        <v>210</v>
      </c>
      <c r="B32" s="219" t="s">
        <v>167</v>
      </c>
      <c r="C32" s="224">
        <v>5.0517110000000001</v>
      </c>
      <c r="D32" s="224">
        <v>5.0505360000000001</v>
      </c>
      <c r="E32" s="224">
        <v>5.0493629999999996</v>
      </c>
      <c r="F32" s="224">
        <v>5.0481809999999996</v>
      </c>
      <c r="G32" s="224">
        <v>5.0469949999999999</v>
      </c>
      <c r="H32" s="224">
        <v>5.0458059999999998</v>
      </c>
      <c r="I32" s="224">
        <v>5.0446140000000002</v>
      </c>
      <c r="J32" s="224">
        <v>5.0434169999999998</v>
      </c>
      <c r="K32" s="224">
        <v>5.0422159999999998</v>
      </c>
      <c r="L32" s="224">
        <v>5.0410120000000003</v>
      </c>
      <c r="M32" s="224">
        <v>5.0398050000000003</v>
      </c>
      <c r="N32" s="224">
        <v>5.0385939999999998</v>
      </c>
      <c r="O32" s="224">
        <v>5.0373809999999999</v>
      </c>
      <c r="P32" s="224">
        <v>5.0361640000000003</v>
      </c>
      <c r="Q32" s="224">
        <v>5.0351299999999997</v>
      </c>
      <c r="R32" s="224">
        <v>5.034097</v>
      </c>
      <c r="S32" s="224">
        <v>5.0331010000000003</v>
      </c>
      <c r="T32" s="224">
        <v>5.0321129999999998</v>
      </c>
      <c r="U32" s="224">
        <v>5.0311250000000003</v>
      </c>
      <c r="V32" s="224">
        <v>5.0302259999999999</v>
      </c>
      <c r="W32" s="224">
        <v>5.0293169999999998</v>
      </c>
      <c r="X32" s="224">
        <v>5.0284149999999999</v>
      </c>
      <c r="Y32" s="224">
        <v>5.02752</v>
      </c>
      <c r="Z32" s="224">
        <v>5.0266299999999999</v>
      </c>
      <c r="AA32" s="224">
        <v>5.0257459999999998</v>
      </c>
      <c r="AB32" s="224">
        <v>5.0248619999999997</v>
      </c>
      <c r="AC32" s="224">
        <v>5.0239739999999999</v>
      </c>
      <c r="AD32" s="224">
        <v>5.0230839999999999</v>
      </c>
      <c r="AE32" s="224">
        <v>5.0221999999999998</v>
      </c>
      <c r="AF32" s="221">
        <v>-2.0900000000000001E-4</v>
      </c>
      <c r="AG32" s="200"/>
      <c r="AH32" s="200"/>
      <c r="AI32" s="200"/>
      <c r="AJ32" s="200"/>
      <c r="AK32" s="200"/>
      <c r="AL32" s="200"/>
      <c r="AM32" s="200"/>
      <c r="AN32" s="200"/>
      <c r="AO32" s="200"/>
      <c r="AP32" s="200"/>
      <c r="AQ32" s="200"/>
      <c r="AR32" s="200"/>
      <c r="AS32" s="200"/>
      <c r="AT32" s="200"/>
      <c r="AU32" s="200"/>
      <c r="AV32" s="200"/>
      <c r="AW32" s="200"/>
      <c r="AX32" s="200"/>
      <c r="AY32" s="200"/>
      <c r="AZ32" s="200"/>
      <c r="BA32" s="200"/>
    </row>
    <row r="33" spans="1:53" ht="15" customHeight="1" x14ac:dyDescent="0.25">
      <c r="A33" s="201" t="s">
        <v>212</v>
      </c>
      <c r="B33" s="219" t="s">
        <v>168</v>
      </c>
      <c r="C33" s="224">
        <v>5.0512389999999998</v>
      </c>
      <c r="D33" s="224">
        <v>5.0499520000000002</v>
      </c>
      <c r="E33" s="224">
        <v>5.0486649999999997</v>
      </c>
      <c r="F33" s="224">
        <v>5.0473749999999997</v>
      </c>
      <c r="G33" s="224">
        <v>5.0460849999999997</v>
      </c>
      <c r="H33" s="224">
        <v>5.0447939999999996</v>
      </c>
      <c r="I33" s="224">
        <v>5.0435020000000002</v>
      </c>
      <c r="J33" s="224">
        <v>5.0422089999999997</v>
      </c>
      <c r="K33" s="224">
        <v>5.0409139999999999</v>
      </c>
      <c r="L33" s="224">
        <v>5.0396179999999999</v>
      </c>
      <c r="M33" s="224">
        <v>5.038322</v>
      </c>
      <c r="N33" s="224">
        <v>5.037026</v>
      </c>
      <c r="O33" s="224">
        <v>5.03573</v>
      </c>
      <c r="P33" s="224">
        <v>5.0344340000000001</v>
      </c>
      <c r="Q33" s="224">
        <v>5.0333230000000002</v>
      </c>
      <c r="R33" s="224">
        <v>5.0322180000000003</v>
      </c>
      <c r="S33" s="224">
        <v>5.0311500000000002</v>
      </c>
      <c r="T33" s="224">
        <v>5.0300909999999996</v>
      </c>
      <c r="U33" s="224">
        <v>5.0290319999999999</v>
      </c>
      <c r="V33" s="224">
        <v>5.0280829999999996</v>
      </c>
      <c r="W33" s="224">
        <v>5.0271239999999997</v>
      </c>
      <c r="X33" s="224">
        <v>5.0261709999999997</v>
      </c>
      <c r="Y33" s="224">
        <v>5.025226</v>
      </c>
      <c r="Z33" s="224">
        <v>5.0242849999999999</v>
      </c>
      <c r="AA33" s="224">
        <v>5.0233509999999999</v>
      </c>
      <c r="AB33" s="224">
        <v>5.0224169999999999</v>
      </c>
      <c r="AC33" s="224">
        <v>5.0214790000000002</v>
      </c>
      <c r="AD33" s="224">
        <v>5.0205390000000003</v>
      </c>
      <c r="AE33" s="224">
        <v>5.0196059999999996</v>
      </c>
      <c r="AF33" s="221">
        <v>-2.24E-4</v>
      </c>
      <c r="AG33" s="200"/>
      <c r="AH33" s="200"/>
      <c r="AI33" s="200"/>
      <c r="AJ33" s="200"/>
      <c r="AK33" s="200"/>
      <c r="AL33" s="200"/>
      <c r="AM33" s="200"/>
      <c r="AN33" s="200"/>
      <c r="AO33" s="200"/>
      <c r="AP33" s="200"/>
      <c r="AQ33" s="200"/>
      <c r="AR33" s="200"/>
      <c r="AS33" s="200"/>
      <c r="AT33" s="200"/>
      <c r="AU33" s="200"/>
      <c r="AV33" s="200"/>
      <c r="AW33" s="200"/>
      <c r="AX33" s="200"/>
      <c r="AY33" s="200"/>
      <c r="AZ33" s="200"/>
      <c r="BA33" s="200"/>
    </row>
    <row r="34" spans="1:53" ht="15" customHeight="1" x14ac:dyDescent="0.25">
      <c r="A34" s="201" t="s">
        <v>214</v>
      </c>
      <c r="B34" s="219" t="s">
        <v>169</v>
      </c>
      <c r="C34" s="224">
        <v>5.0509560000000002</v>
      </c>
      <c r="D34" s="224">
        <v>5.0496100000000004</v>
      </c>
      <c r="E34" s="224">
        <v>5.0482639999999996</v>
      </c>
      <c r="F34" s="224">
        <v>5.0469179999999998</v>
      </c>
      <c r="G34" s="224">
        <v>5.0455740000000002</v>
      </c>
      <c r="H34" s="224">
        <v>5.0442299999999998</v>
      </c>
      <c r="I34" s="224">
        <v>5.0428879999999996</v>
      </c>
      <c r="J34" s="224">
        <v>5.0415450000000002</v>
      </c>
      <c r="K34" s="224">
        <v>5.040203</v>
      </c>
      <c r="L34" s="224">
        <v>5.038862</v>
      </c>
      <c r="M34" s="224">
        <v>5.0375209999999999</v>
      </c>
      <c r="N34" s="224">
        <v>5.0361820000000002</v>
      </c>
      <c r="O34" s="224">
        <v>5.0348439999999997</v>
      </c>
      <c r="P34" s="224">
        <v>5.033506</v>
      </c>
      <c r="Q34" s="224">
        <v>5.032413</v>
      </c>
      <c r="R34" s="224">
        <v>5.031326</v>
      </c>
      <c r="S34" s="224">
        <v>5.030284</v>
      </c>
      <c r="T34" s="224">
        <v>5.0292519999999996</v>
      </c>
      <c r="U34" s="224">
        <v>5.028219</v>
      </c>
      <c r="V34" s="224">
        <v>5.0272449999999997</v>
      </c>
      <c r="W34" s="224">
        <v>5.0262560000000001</v>
      </c>
      <c r="X34" s="224">
        <v>5.0252730000000003</v>
      </c>
      <c r="Y34" s="224">
        <v>5.0242979999999999</v>
      </c>
      <c r="Z34" s="224">
        <v>5.0233290000000004</v>
      </c>
      <c r="AA34" s="224">
        <v>5.022367</v>
      </c>
      <c r="AB34" s="224">
        <v>5.0214040000000004</v>
      </c>
      <c r="AC34" s="224">
        <v>5.0204339999999998</v>
      </c>
      <c r="AD34" s="224">
        <v>5.0194609999999997</v>
      </c>
      <c r="AE34" s="224">
        <v>5.0184939999999996</v>
      </c>
      <c r="AF34" s="221">
        <v>-2.3000000000000001E-4</v>
      </c>
      <c r="AG34" s="200"/>
      <c r="AH34" s="200"/>
      <c r="AI34" s="200"/>
      <c r="AJ34" s="200"/>
      <c r="AK34" s="200"/>
      <c r="AL34" s="200"/>
      <c r="AM34" s="200"/>
      <c r="AN34" s="200"/>
      <c r="AO34" s="200"/>
      <c r="AP34" s="200"/>
      <c r="AQ34" s="200"/>
      <c r="AR34" s="200"/>
      <c r="AS34" s="200"/>
      <c r="AT34" s="200"/>
      <c r="AU34" s="200"/>
      <c r="AV34" s="200"/>
      <c r="AW34" s="200"/>
      <c r="AX34" s="200"/>
      <c r="AY34" s="200"/>
      <c r="AZ34" s="200"/>
      <c r="BA34" s="200"/>
    </row>
    <row r="35" spans="1:53" x14ac:dyDescent="0.25">
      <c r="A35" s="201" t="s">
        <v>216</v>
      </c>
      <c r="B35" s="219" t="s">
        <v>171</v>
      </c>
      <c r="C35" s="224">
        <v>5.2222799999999996</v>
      </c>
      <c r="D35" s="224">
        <v>5.2222799999999996</v>
      </c>
      <c r="E35" s="224">
        <v>5.2222799999999996</v>
      </c>
      <c r="F35" s="224">
        <v>5.2222799999999996</v>
      </c>
      <c r="G35" s="224">
        <v>5.2222799999999996</v>
      </c>
      <c r="H35" s="224">
        <v>5.2222799999999996</v>
      </c>
      <c r="I35" s="224">
        <v>5.2222799999999996</v>
      </c>
      <c r="J35" s="224">
        <v>5.2222799999999996</v>
      </c>
      <c r="K35" s="224">
        <v>5.2222799999999996</v>
      </c>
      <c r="L35" s="224">
        <v>5.2222799999999996</v>
      </c>
      <c r="M35" s="224">
        <v>5.2222799999999996</v>
      </c>
      <c r="N35" s="224">
        <v>5.2222799999999996</v>
      </c>
      <c r="O35" s="224">
        <v>5.2222799999999996</v>
      </c>
      <c r="P35" s="224">
        <v>5.2222799999999996</v>
      </c>
      <c r="Q35" s="224">
        <v>5.2222799999999996</v>
      </c>
      <c r="R35" s="224">
        <v>5.2222799999999996</v>
      </c>
      <c r="S35" s="224">
        <v>5.2222799999999996</v>
      </c>
      <c r="T35" s="224">
        <v>5.2222799999999996</v>
      </c>
      <c r="U35" s="224">
        <v>5.2222799999999996</v>
      </c>
      <c r="V35" s="224">
        <v>5.2222799999999996</v>
      </c>
      <c r="W35" s="224">
        <v>5.2222799999999996</v>
      </c>
      <c r="X35" s="224">
        <v>5.2222799999999996</v>
      </c>
      <c r="Y35" s="224">
        <v>5.2222799999999996</v>
      </c>
      <c r="Z35" s="224">
        <v>5.2222799999999996</v>
      </c>
      <c r="AA35" s="224">
        <v>5.2222799999999996</v>
      </c>
      <c r="AB35" s="224">
        <v>5.2222799999999996</v>
      </c>
      <c r="AC35" s="224">
        <v>5.2222799999999996</v>
      </c>
      <c r="AD35" s="224">
        <v>5.2222799999999996</v>
      </c>
      <c r="AE35" s="224">
        <v>5.2222799999999996</v>
      </c>
      <c r="AF35" s="221">
        <v>0</v>
      </c>
      <c r="AG35" s="200"/>
      <c r="AH35" s="200"/>
      <c r="AI35" s="200"/>
      <c r="AJ35" s="200"/>
      <c r="AK35" s="200"/>
      <c r="AL35" s="200"/>
      <c r="AM35" s="200"/>
      <c r="AN35" s="200"/>
      <c r="AO35" s="200"/>
      <c r="AP35" s="200"/>
      <c r="AQ35" s="200"/>
      <c r="AR35" s="200"/>
      <c r="AS35" s="200"/>
      <c r="AT35" s="200"/>
      <c r="AU35" s="200"/>
      <c r="AV35" s="200"/>
      <c r="AW35" s="200"/>
      <c r="AX35" s="200"/>
      <c r="AY35" s="200"/>
      <c r="AZ35" s="200"/>
      <c r="BA35" s="200"/>
    </row>
    <row r="36" spans="1:53" x14ac:dyDescent="0.25">
      <c r="A36" s="199"/>
      <c r="B36" s="219" t="s">
        <v>173</v>
      </c>
      <c r="C36" s="224">
        <v>5.2222799999999996</v>
      </c>
      <c r="D36" s="224">
        <v>5.2222799999999996</v>
      </c>
      <c r="E36" s="224">
        <v>5.2222799999999996</v>
      </c>
      <c r="F36" s="224">
        <v>5.2222799999999996</v>
      </c>
      <c r="G36" s="224">
        <v>5.2222799999999996</v>
      </c>
      <c r="H36" s="224">
        <v>5.2222799999999996</v>
      </c>
      <c r="I36" s="224">
        <v>5.2222799999999996</v>
      </c>
      <c r="J36" s="224">
        <v>5.2222799999999996</v>
      </c>
      <c r="K36" s="224">
        <v>5.2222799999999996</v>
      </c>
      <c r="L36" s="224">
        <v>5.2222799999999996</v>
      </c>
      <c r="M36" s="224">
        <v>5.2222799999999996</v>
      </c>
      <c r="N36" s="224">
        <v>5.2222799999999996</v>
      </c>
      <c r="O36" s="224">
        <v>5.2222799999999996</v>
      </c>
      <c r="P36" s="224">
        <v>5.2222799999999996</v>
      </c>
      <c r="Q36" s="224">
        <v>5.2222799999999996</v>
      </c>
      <c r="R36" s="224">
        <v>5.2222799999999996</v>
      </c>
      <c r="S36" s="224">
        <v>5.2222799999999996</v>
      </c>
      <c r="T36" s="224">
        <v>5.2222799999999996</v>
      </c>
      <c r="U36" s="224">
        <v>5.2222799999999996</v>
      </c>
      <c r="V36" s="224">
        <v>5.2222799999999996</v>
      </c>
      <c r="W36" s="224">
        <v>5.2222799999999996</v>
      </c>
      <c r="X36" s="224">
        <v>5.2222799999999996</v>
      </c>
      <c r="Y36" s="224">
        <v>5.2222799999999996</v>
      </c>
      <c r="Z36" s="224">
        <v>5.2222799999999996</v>
      </c>
      <c r="AA36" s="224">
        <v>5.2222799999999996</v>
      </c>
      <c r="AB36" s="224">
        <v>5.2222799999999996</v>
      </c>
      <c r="AC36" s="224">
        <v>5.2222799999999996</v>
      </c>
      <c r="AD36" s="224">
        <v>5.2222799999999996</v>
      </c>
      <c r="AE36" s="224">
        <v>5.2222799999999996</v>
      </c>
      <c r="AF36" s="221">
        <v>0</v>
      </c>
      <c r="AG36" s="200"/>
      <c r="AH36" s="200"/>
      <c r="AI36" s="200"/>
      <c r="AJ36" s="200"/>
      <c r="AK36" s="200"/>
      <c r="AL36" s="200"/>
      <c r="AM36" s="200"/>
      <c r="AN36" s="200"/>
      <c r="AO36" s="200"/>
      <c r="AP36" s="200"/>
      <c r="AQ36" s="200"/>
      <c r="AR36" s="200"/>
      <c r="AS36" s="200"/>
      <c r="AT36" s="200"/>
      <c r="AU36" s="200"/>
      <c r="AV36" s="200"/>
      <c r="AW36" s="200"/>
      <c r="AX36" s="200"/>
      <c r="AY36" s="200"/>
      <c r="AZ36" s="200"/>
      <c r="BA36" s="200"/>
    </row>
    <row r="37" spans="1:53" x14ac:dyDescent="0.25">
      <c r="A37" s="199"/>
      <c r="B37" s="219" t="s">
        <v>175</v>
      </c>
      <c r="C37" s="224">
        <v>4.6379999999999999</v>
      </c>
      <c r="D37" s="224">
        <v>4.6379999999999999</v>
      </c>
      <c r="E37" s="224">
        <v>4.6379999999999999</v>
      </c>
      <c r="F37" s="224">
        <v>4.6379999999999999</v>
      </c>
      <c r="G37" s="224">
        <v>4.6379999999999999</v>
      </c>
      <c r="H37" s="224">
        <v>4.6379999999999999</v>
      </c>
      <c r="I37" s="224">
        <v>4.6379999999999999</v>
      </c>
      <c r="J37" s="224">
        <v>4.6379999999999999</v>
      </c>
      <c r="K37" s="224">
        <v>4.6379999999999999</v>
      </c>
      <c r="L37" s="224">
        <v>4.6379999999999999</v>
      </c>
      <c r="M37" s="224">
        <v>4.6379999999999999</v>
      </c>
      <c r="N37" s="224">
        <v>4.6379999999999999</v>
      </c>
      <c r="O37" s="224">
        <v>4.6379999999999999</v>
      </c>
      <c r="P37" s="224">
        <v>4.6379999999999999</v>
      </c>
      <c r="Q37" s="224">
        <v>4.6379999999999999</v>
      </c>
      <c r="R37" s="224">
        <v>4.6379999999999999</v>
      </c>
      <c r="S37" s="224">
        <v>4.6379999999999999</v>
      </c>
      <c r="T37" s="224">
        <v>4.6379999999999999</v>
      </c>
      <c r="U37" s="224">
        <v>4.6379999999999999</v>
      </c>
      <c r="V37" s="224">
        <v>4.6379999999999999</v>
      </c>
      <c r="W37" s="224">
        <v>4.6379999999999999</v>
      </c>
      <c r="X37" s="224">
        <v>4.6379999999999999</v>
      </c>
      <c r="Y37" s="224">
        <v>4.6379999999999999</v>
      </c>
      <c r="Z37" s="224">
        <v>4.6379999999999999</v>
      </c>
      <c r="AA37" s="224">
        <v>4.6379999999999999</v>
      </c>
      <c r="AB37" s="224">
        <v>4.6379999999999999</v>
      </c>
      <c r="AC37" s="224">
        <v>4.6379999999999999</v>
      </c>
      <c r="AD37" s="224">
        <v>4.6379999999999999</v>
      </c>
      <c r="AE37" s="224">
        <v>4.6379999999999999</v>
      </c>
      <c r="AF37" s="221">
        <v>0</v>
      </c>
      <c r="AG37" s="200"/>
      <c r="AH37" s="200"/>
      <c r="AI37" s="200"/>
      <c r="AJ37" s="200"/>
      <c r="AK37" s="200"/>
      <c r="AL37" s="200"/>
      <c r="AM37" s="200"/>
      <c r="AN37" s="200"/>
      <c r="AO37" s="200"/>
      <c r="AP37" s="200"/>
      <c r="AQ37" s="200"/>
      <c r="AR37" s="200"/>
      <c r="AS37" s="200"/>
      <c r="AT37" s="200"/>
      <c r="AU37" s="200"/>
      <c r="AV37" s="200"/>
      <c r="AW37" s="200"/>
      <c r="AX37" s="200"/>
      <c r="AY37" s="200"/>
      <c r="AZ37" s="200"/>
      <c r="BA37" s="200"/>
    </row>
    <row r="38" spans="1:53" x14ac:dyDescent="0.25">
      <c r="A38" s="201" t="s">
        <v>219</v>
      </c>
      <c r="B38" s="219" t="s">
        <v>177</v>
      </c>
      <c r="C38" s="224">
        <v>5.8</v>
      </c>
      <c r="D38" s="224">
        <v>5.8</v>
      </c>
      <c r="E38" s="224">
        <v>5.8</v>
      </c>
      <c r="F38" s="224">
        <v>5.8</v>
      </c>
      <c r="G38" s="224">
        <v>5.8</v>
      </c>
      <c r="H38" s="224">
        <v>5.8</v>
      </c>
      <c r="I38" s="224">
        <v>5.8</v>
      </c>
      <c r="J38" s="224">
        <v>5.8</v>
      </c>
      <c r="K38" s="224">
        <v>5.8</v>
      </c>
      <c r="L38" s="224">
        <v>5.8</v>
      </c>
      <c r="M38" s="224">
        <v>5.8</v>
      </c>
      <c r="N38" s="224">
        <v>5.8</v>
      </c>
      <c r="O38" s="224">
        <v>5.8</v>
      </c>
      <c r="P38" s="224">
        <v>5.8</v>
      </c>
      <c r="Q38" s="224">
        <v>5.8</v>
      </c>
      <c r="R38" s="224">
        <v>5.8</v>
      </c>
      <c r="S38" s="224">
        <v>5.8</v>
      </c>
      <c r="T38" s="224">
        <v>5.8</v>
      </c>
      <c r="U38" s="224">
        <v>5.8</v>
      </c>
      <c r="V38" s="224">
        <v>5.8</v>
      </c>
      <c r="W38" s="224">
        <v>5.8</v>
      </c>
      <c r="X38" s="224">
        <v>5.8</v>
      </c>
      <c r="Y38" s="224">
        <v>5.8</v>
      </c>
      <c r="Z38" s="224">
        <v>5.8</v>
      </c>
      <c r="AA38" s="224">
        <v>5.8</v>
      </c>
      <c r="AB38" s="224">
        <v>5.8</v>
      </c>
      <c r="AC38" s="224">
        <v>5.8</v>
      </c>
      <c r="AD38" s="224">
        <v>5.8</v>
      </c>
      <c r="AE38" s="224">
        <v>5.8</v>
      </c>
      <c r="AF38" s="221">
        <v>0</v>
      </c>
      <c r="AG38" s="200"/>
      <c r="AH38" s="200"/>
      <c r="AI38" s="200"/>
      <c r="AJ38" s="200"/>
      <c r="AK38" s="200"/>
      <c r="AL38" s="200"/>
      <c r="AM38" s="200"/>
      <c r="AN38" s="200"/>
      <c r="AO38" s="200"/>
      <c r="AP38" s="200"/>
      <c r="AQ38" s="200"/>
      <c r="AR38" s="200"/>
      <c r="AS38" s="200"/>
      <c r="AT38" s="200"/>
      <c r="AU38" s="200"/>
      <c r="AV38" s="200"/>
      <c r="AW38" s="200"/>
      <c r="AX38" s="200"/>
      <c r="AY38" s="200"/>
      <c r="AZ38" s="200"/>
      <c r="BA38" s="200"/>
    </row>
    <row r="39" spans="1:53" x14ac:dyDescent="0.25">
      <c r="A39" s="201" t="s">
        <v>220</v>
      </c>
      <c r="B39" s="219" t="s">
        <v>179</v>
      </c>
      <c r="C39" s="224">
        <v>5.448283</v>
      </c>
      <c r="D39" s="224">
        <v>5.448283</v>
      </c>
      <c r="E39" s="224">
        <v>5.448283</v>
      </c>
      <c r="F39" s="224">
        <v>5.448283</v>
      </c>
      <c r="G39" s="224">
        <v>5.448283</v>
      </c>
      <c r="H39" s="224">
        <v>5.448283</v>
      </c>
      <c r="I39" s="224">
        <v>5.448283</v>
      </c>
      <c r="J39" s="224">
        <v>5.448283</v>
      </c>
      <c r="K39" s="224">
        <v>5.448283</v>
      </c>
      <c r="L39" s="224">
        <v>5.448283</v>
      </c>
      <c r="M39" s="224">
        <v>5.448283</v>
      </c>
      <c r="N39" s="224">
        <v>5.448283</v>
      </c>
      <c r="O39" s="224">
        <v>5.448283</v>
      </c>
      <c r="P39" s="224">
        <v>5.448283</v>
      </c>
      <c r="Q39" s="224">
        <v>5.448283</v>
      </c>
      <c r="R39" s="224">
        <v>5.448283</v>
      </c>
      <c r="S39" s="224">
        <v>5.448283</v>
      </c>
      <c r="T39" s="224">
        <v>5.448283</v>
      </c>
      <c r="U39" s="224">
        <v>5.448283</v>
      </c>
      <c r="V39" s="224">
        <v>5.448283</v>
      </c>
      <c r="W39" s="224">
        <v>5.448283</v>
      </c>
      <c r="X39" s="224">
        <v>5.448283</v>
      </c>
      <c r="Y39" s="224">
        <v>5.448283</v>
      </c>
      <c r="Z39" s="224">
        <v>5.448283</v>
      </c>
      <c r="AA39" s="224">
        <v>5.448283</v>
      </c>
      <c r="AB39" s="224">
        <v>5.448283</v>
      </c>
      <c r="AC39" s="224">
        <v>5.448283</v>
      </c>
      <c r="AD39" s="224">
        <v>5.448283</v>
      </c>
      <c r="AE39" s="224">
        <v>5.448283</v>
      </c>
      <c r="AF39" s="221">
        <v>0</v>
      </c>
      <c r="AG39" s="200"/>
      <c r="AH39" s="200"/>
      <c r="AI39" s="200"/>
      <c r="AJ39" s="200"/>
      <c r="AK39" s="200"/>
      <c r="AL39" s="200"/>
      <c r="AM39" s="200"/>
      <c r="AN39" s="200"/>
      <c r="AO39" s="200"/>
      <c r="AP39" s="200"/>
      <c r="AQ39" s="200"/>
      <c r="AR39" s="200"/>
      <c r="AS39" s="200"/>
      <c r="AT39" s="200"/>
      <c r="AU39" s="200"/>
      <c r="AV39" s="200"/>
      <c r="AW39" s="200"/>
      <c r="AX39" s="200"/>
      <c r="AY39" s="200"/>
      <c r="AZ39" s="200"/>
      <c r="BA39" s="200"/>
    </row>
    <row r="40" spans="1:53" x14ac:dyDescent="0.25">
      <c r="A40" s="201" t="s">
        <v>222</v>
      </c>
      <c r="B40" s="219" t="s">
        <v>181</v>
      </c>
      <c r="C40" s="224">
        <v>6.2869999999999999</v>
      </c>
      <c r="D40" s="224">
        <v>6.2869999999999999</v>
      </c>
      <c r="E40" s="224">
        <v>6.2869999999999999</v>
      </c>
      <c r="F40" s="224">
        <v>6.2869999999999999</v>
      </c>
      <c r="G40" s="224">
        <v>6.2869999999999999</v>
      </c>
      <c r="H40" s="224">
        <v>6.2869999999999999</v>
      </c>
      <c r="I40" s="224">
        <v>6.2869999999999999</v>
      </c>
      <c r="J40" s="224">
        <v>6.2869999999999999</v>
      </c>
      <c r="K40" s="224">
        <v>6.2869999999999999</v>
      </c>
      <c r="L40" s="224">
        <v>6.2869999999999999</v>
      </c>
      <c r="M40" s="224">
        <v>6.2869999999999999</v>
      </c>
      <c r="N40" s="224">
        <v>6.2869999999999999</v>
      </c>
      <c r="O40" s="224">
        <v>6.2869999999999999</v>
      </c>
      <c r="P40" s="224">
        <v>6.2869999999999999</v>
      </c>
      <c r="Q40" s="224">
        <v>6.2869999999999999</v>
      </c>
      <c r="R40" s="224">
        <v>6.2869999999999999</v>
      </c>
      <c r="S40" s="224">
        <v>6.2869999999999999</v>
      </c>
      <c r="T40" s="224">
        <v>6.2869999999999999</v>
      </c>
      <c r="U40" s="224">
        <v>6.2869999999999999</v>
      </c>
      <c r="V40" s="224">
        <v>6.2869999999999999</v>
      </c>
      <c r="W40" s="224">
        <v>6.2869999999999999</v>
      </c>
      <c r="X40" s="224">
        <v>6.2869999999999999</v>
      </c>
      <c r="Y40" s="224">
        <v>6.2869999999999999</v>
      </c>
      <c r="Z40" s="224">
        <v>6.2869999999999999</v>
      </c>
      <c r="AA40" s="224">
        <v>6.2869999999999999</v>
      </c>
      <c r="AB40" s="224">
        <v>6.2869999999999999</v>
      </c>
      <c r="AC40" s="224">
        <v>6.2869999999999999</v>
      </c>
      <c r="AD40" s="224">
        <v>6.2869999999999999</v>
      </c>
      <c r="AE40" s="224">
        <v>6.2869999999999999</v>
      </c>
      <c r="AF40" s="221">
        <v>0</v>
      </c>
      <c r="AG40" s="200"/>
      <c r="AH40" s="200"/>
      <c r="AI40" s="200"/>
      <c r="AJ40" s="200"/>
      <c r="AK40" s="200"/>
      <c r="AL40" s="200"/>
      <c r="AM40" s="200"/>
      <c r="AN40" s="200"/>
      <c r="AO40" s="200"/>
      <c r="AP40" s="200"/>
      <c r="AQ40" s="200"/>
      <c r="AR40" s="200"/>
      <c r="AS40" s="200"/>
      <c r="AT40" s="200"/>
      <c r="AU40" s="200"/>
      <c r="AV40" s="200"/>
      <c r="AW40" s="200"/>
      <c r="AX40" s="200"/>
      <c r="AY40" s="200"/>
      <c r="AZ40" s="200"/>
      <c r="BA40" s="200"/>
    </row>
    <row r="41" spans="1:53" x14ac:dyDescent="0.25">
      <c r="A41" s="201" t="s">
        <v>224</v>
      </c>
      <c r="B41" s="219" t="s">
        <v>183</v>
      </c>
      <c r="C41" s="224">
        <v>6.2869999999999999</v>
      </c>
      <c r="D41" s="224">
        <v>6.2869999999999999</v>
      </c>
      <c r="E41" s="224">
        <v>6.2869999999999999</v>
      </c>
      <c r="F41" s="224">
        <v>6.2869999999999999</v>
      </c>
      <c r="G41" s="224">
        <v>6.2869999999999999</v>
      </c>
      <c r="H41" s="224">
        <v>6.2869999999999999</v>
      </c>
      <c r="I41" s="224">
        <v>6.2869999999999999</v>
      </c>
      <c r="J41" s="224">
        <v>6.2869999999999999</v>
      </c>
      <c r="K41" s="224">
        <v>6.2869999999999999</v>
      </c>
      <c r="L41" s="224">
        <v>6.2869999999999999</v>
      </c>
      <c r="M41" s="224">
        <v>6.2869999999999999</v>
      </c>
      <c r="N41" s="224">
        <v>6.2869999999999999</v>
      </c>
      <c r="O41" s="224">
        <v>6.2869999999999999</v>
      </c>
      <c r="P41" s="224">
        <v>6.2869999999999999</v>
      </c>
      <c r="Q41" s="224">
        <v>6.2869999999999999</v>
      </c>
      <c r="R41" s="224">
        <v>6.2869999999999999</v>
      </c>
      <c r="S41" s="224">
        <v>6.2869999999999999</v>
      </c>
      <c r="T41" s="224">
        <v>6.2869999999999999</v>
      </c>
      <c r="U41" s="224">
        <v>6.2869999999999999</v>
      </c>
      <c r="V41" s="224">
        <v>6.2869999999999999</v>
      </c>
      <c r="W41" s="224">
        <v>6.2869999999999999</v>
      </c>
      <c r="X41" s="224">
        <v>6.2869999999999999</v>
      </c>
      <c r="Y41" s="224">
        <v>6.2869999999999999</v>
      </c>
      <c r="Z41" s="224">
        <v>6.2869999999999999</v>
      </c>
      <c r="AA41" s="224">
        <v>6.2869999999999999</v>
      </c>
      <c r="AB41" s="224">
        <v>6.2869999999999999</v>
      </c>
      <c r="AC41" s="224">
        <v>6.2869999999999999</v>
      </c>
      <c r="AD41" s="224">
        <v>6.2869999999999999</v>
      </c>
      <c r="AE41" s="224">
        <v>6.2869999999999999</v>
      </c>
      <c r="AF41" s="221">
        <v>0</v>
      </c>
      <c r="AG41" s="200"/>
      <c r="AH41" s="200"/>
      <c r="AI41" s="200"/>
      <c r="AJ41" s="200"/>
      <c r="AK41" s="200"/>
      <c r="AL41" s="200"/>
      <c r="AM41" s="200"/>
      <c r="AN41" s="200"/>
      <c r="AO41" s="200"/>
      <c r="AP41" s="200"/>
      <c r="AQ41" s="200"/>
      <c r="AR41" s="200"/>
      <c r="AS41" s="200"/>
      <c r="AT41" s="200"/>
      <c r="AU41" s="200"/>
      <c r="AV41" s="200"/>
      <c r="AW41" s="200"/>
      <c r="AX41" s="200"/>
      <c r="AY41" s="200"/>
      <c r="AZ41" s="200"/>
      <c r="BA41" s="200"/>
    </row>
    <row r="42" spans="1:53" x14ac:dyDescent="0.25">
      <c r="A42" s="201" t="s">
        <v>225</v>
      </c>
      <c r="B42" s="219" t="s">
        <v>185</v>
      </c>
      <c r="C42" s="224">
        <v>6.2869999999999999</v>
      </c>
      <c r="D42" s="224">
        <v>6.2869999999999999</v>
      </c>
      <c r="E42" s="224">
        <v>6.2869999999999999</v>
      </c>
      <c r="F42" s="224">
        <v>6.2869999999999999</v>
      </c>
      <c r="G42" s="224">
        <v>6.2869999999999999</v>
      </c>
      <c r="H42" s="224">
        <v>6.2869999999999999</v>
      </c>
      <c r="I42" s="224">
        <v>6.2869999999999999</v>
      </c>
      <c r="J42" s="224">
        <v>6.2869999999999999</v>
      </c>
      <c r="K42" s="224">
        <v>6.2869999999999999</v>
      </c>
      <c r="L42" s="224">
        <v>6.2869999999999999</v>
      </c>
      <c r="M42" s="224">
        <v>6.2869999999999999</v>
      </c>
      <c r="N42" s="224">
        <v>6.2869999999999999</v>
      </c>
      <c r="O42" s="224">
        <v>6.2869999999999999</v>
      </c>
      <c r="P42" s="224">
        <v>6.2869999999999999</v>
      </c>
      <c r="Q42" s="224">
        <v>6.2869999999999999</v>
      </c>
      <c r="R42" s="224">
        <v>6.2869999999999999</v>
      </c>
      <c r="S42" s="224">
        <v>6.2869999999999999</v>
      </c>
      <c r="T42" s="224">
        <v>6.2869999999999999</v>
      </c>
      <c r="U42" s="224">
        <v>6.2869999999999999</v>
      </c>
      <c r="V42" s="224">
        <v>6.2869999999999999</v>
      </c>
      <c r="W42" s="224">
        <v>6.2869999999999999</v>
      </c>
      <c r="X42" s="224">
        <v>6.2869999999999999</v>
      </c>
      <c r="Y42" s="224">
        <v>6.2869999999999999</v>
      </c>
      <c r="Z42" s="224">
        <v>6.2869999999999999</v>
      </c>
      <c r="AA42" s="224">
        <v>6.2869999999999999</v>
      </c>
      <c r="AB42" s="224">
        <v>6.2869999999999999</v>
      </c>
      <c r="AC42" s="224">
        <v>6.2869999999999999</v>
      </c>
      <c r="AD42" s="224">
        <v>6.2869999999999999</v>
      </c>
      <c r="AE42" s="224">
        <v>6.2869999999999999</v>
      </c>
      <c r="AF42" s="221">
        <v>0</v>
      </c>
      <c r="AG42" s="200"/>
      <c r="AH42" s="200"/>
      <c r="AI42" s="200"/>
      <c r="AJ42" s="200"/>
      <c r="AK42" s="200"/>
      <c r="AL42" s="200"/>
      <c r="AM42" s="200"/>
      <c r="AN42" s="200"/>
      <c r="AO42" s="200"/>
      <c r="AP42" s="200"/>
      <c r="AQ42" s="200"/>
      <c r="AR42" s="200"/>
      <c r="AS42" s="200"/>
      <c r="AT42" s="200"/>
      <c r="AU42" s="200"/>
      <c r="AV42" s="200"/>
      <c r="AW42" s="200"/>
      <c r="AX42" s="200"/>
      <c r="AY42" s="200"/>
      <c r="AZ42" s="200"/>
      <c r="BA42" s="200"/>
    </row>
    <row r="43" spans="1:53" x14ac:dyDescent="0.25">
      <c r="A43" s="201" t="s">
        <v>227</v>
      </c>
      <c r="B43" s="219" t="s">
        <v>187</v>
      </c>
      <c r="C43" s="224">
        <v>6.1917359999999997</v>
      </c>
      <c r="D43" s="224">
        <v>6.1922389999999998</v>
      </c>
      <c r="E43" s="224">
        <v>6.1930670000000001</v>
      </c>
      <c r="F43" s="224">
        <v>6.1635160000000004</v>
      </c>
      <c r="G43" s="224">
        <v>6.1553069999999996</v>
      </c>
      <c r="H43" s="224">
        <v>6.1613670000000003</v>
      </c>
      <c r="I43" s="224">
        <v>6.16242</v>
      </c>
      <c r="J43" s="224">
        <v>6.1634779999999996</v>
      </c>
      <c r="K43" s="224">
        <v>6.1645450000000004</v>
      </c>
      <c r="L43" s="224">
        <v>6.1607760000000003</v>
      </c>
      <c r="M43" s="224">
        <v>6.166696</v>
      </c>
      <c r="N43" s="224">
        <v>6.1677819999999999</v>
      </c>
      <c r="O43" s="224">
        <v>6.1688749999999999</v>
      </c>
      <c r="P43" s="224">
        <v>6.169975</v>
      </c>
      <c r="Q43" s="224">
        <v>6.1710820000000002</v>
      </c>
      <c r="R43" s="224">
        <v>6.1721969999999997</v>
      </c>
      <c r="S43" s="224">
        <v>6.1733180000000001</v>
      </c>
      <c r="T43" s="224">
        <v>6.1744469999999998</v>
      </c>
      <c r="U43" s="224">
        <v>6.1755820000000003</v>
      </c>
      <c r="V43" s="224">
        <v>6.1769319999999999</v>
      </c>
      <c r="W43" s="224">
        <v>6.1780039999999996</v>
      </c>
      <c r="X43" s="224">
        <v>6.1792449999999999</v>
      </c>
      <c r="Y43" s="224">
        <v>6.180129</v>
      </c>
      <c r="Z43" s="224">
        <v>6.1813039999999999</v>
      </c>
      <c r="AA43" s="224">
        <v>6.1824859999999999</v>
      </c>
      <c r="AB43" s="224">
        <v>6.1836760000000002</v>
      </c>
      <c r="AC43" s="224">
        <v>6.1848739999999998</v>
      </c>
      <c r="AD43" s="224">
        <v>6.1860799999999996</v>
      </c>
      <c r="AE43" s="224">
        <v>6.1875859999999996</v>
      </c>
      <c r="AF43" s="221">
        <v>-2.4000000000000001E-5</v>
      </c>
      <c r="AG43" s="200"/>
      <c r="AH43" s="200"/>
      <c r="AI43" s="200"/>
      <c r="AJ43" s="200"/>
      <c r="AK43" s="200"/>
      <c r="AL43" s="200"/>
      <c r="AM43" s="200"/>
      <c r="AN43" s="200"/>
      <c r="AO43" s="200"/>
      <c r="AP43" s="200"/>
      <c r="AQ43" s="200"/>
      <c r="AR43" s="200"/>
      <c r="AS43" s="200"/>
      <c r="AT43" s="200"/>
      <c r="AU43" s="200"/>
      <c r="AV43" s="200"/>
      <c r="AW43" s="200"/>
      <c r="AX43" s="200"/>
      <c r="AY43" s="200"/>
      <c r="AZ43" s="200"/>
      <c r="BA43" s="200"/>
    </row>
    <row r="44" spans="1:53" x14ac:dyDescent="0.25">
      <c r="A44" s="201" t="s">
        <v>229</v>
      </c>
      <c r="B44" s="219" t="s">
        <v>189</v>
      </c>
      <c r="C44" s="224">
        <v>5.0674640000000002</v>
      </c>
      <c r="D44" s="224">
        <v>5.0591470000000003</v>
      </c>
      <c r="E44" s="224">
        <v>5.0228250000000001</v>
      </c>
      <c r="F44" s="224">
        <v>5.0171900000000003</v>
      </c>
      <c r="G44" s="224">
        <v>5.0003479999999998</v>
      </c>
      <c r="H44" s="224">
        <v>4.9850260000000004</v>
      </c>
      <c r="I44" s="224">
        <v>4.9747820000000003</v>
      </c>
      <c r="J44" s="224">
        <v>4.9674639999999997</v>
      </c>
      <c r="K44" s="224">
        <v>4.9611150000000004</v>
      </c>
      <c r="L44" s="224">
        <v>4.9578129999999998</v>
      </c>
      <c r="M44" s="224">
        <v>4.9526690000000002</v>
      </c>
      <c r="N44" s="224">
        <v>4.9479660000000001</v>
      </c>
      <c r="O44" s="224">
        <v>4.9421249999999999</v>
      </c>
      <c r="P44" s="224">
        <v>4.9375249999999999</v>
      </c>
      <c r="Q44" s="224">
        <v>4.9320089999999999</v>
      </c>
      <c r="R44" s="224">
        <v>4.9291029999999996</v>
      </c>
      <c r="S44" s="224">
        <v>4.9277689999999996</v>
      </c>
      <c r="T44" s="224">
        <v>4.9226599999999996</v>
      </c>
      <c r="U44" s="224">
        <v>4.9201430000000004</v>
      </c>
      <c r="V44" s="224">
        <v>4.9166780000000001</v>
      </c>
      <c r="W44" s="224">
        <v>4.9108590000000003</v>
      </c>
      <c r="X44" s="224">
        <v>4.9054799999999998</v>
      </c>
      <c r="Y44" s="224">
        <v>4.9031469999999997</v>
      </c>
      <c r="Z44" s="224">
        <v>4.9015979999999999</v>
      </c>
      <c r="AA44" s="224">
        <v>4.8992639999999996</v>
      </c>
      <c r="AB44" s="224">
        <v>4.896852</v>
      </c>
      <c r="AC44" s="224">
        <v>4.895994</v>
      </c>
      <c r="AD44" s="224">
        <v>4.8937970000000002</v>
      </c>
      <c r="AE44" s="224">
        <v>4.8910229999999997</v>
      </c>
      <c r="AF44" s="221">
        <v>-1.2650000000000001E-3</v>
      </c>
      <c r="AG44" s="200"/>
      <c r="AH44" s="200"/>
      <c r="AI44" s="200"/>
      <c r="AJ44" s="200"/>
      <c r="AK44" s="200"/>
      <c r="AL44" s="200"/>
      <c r="AM44" s="200"/>
      <c r="AN44" s="200"/>
      <c r="AO44" s="200"/>
      <c r="AP44" s="200"/>
      <c r="AQ44" s="200"/>
      <c r="AR44" s="200"/>
      <c r="AS44" s="200"/>
      <c r="AT44" s="200"/>
      <c r="AU44" s="200"/>
      <c r="AV44" s="200"/>
      <c r="AW44" s="200"/>
      <c r="AX44" s="200"/>
      <c r="AY44" s="200"/>
      <c r="AZ44" s="200"/>
      <c r="BA44" s="200"/>
    </row>
    <row r="45" spans="1:53" x14ac:dyDescent="0.25">
      <c r="A45" s="201" t="s">
        <v>231</v>
      </c>
      <c r="B45" s="219" t="s">
        <v>191</v>
      </c>
      <c r="C45" s="224">
        <v>5.8927449999999997</v>
      </c>
      <c r="D45" s="224">
        <v>5.7899760000000002</v>
      </c>
      <c r="E45" s="224">
        <v>5.7951759999999997</v>
      </c>
      <c r="F45" s="224">
        <v>5.7833329999999998</v>
      </c>
      <c r="G45" s="224">
        <v>5.778988</v>
      </c>
      <c r="H45" s="224">
        <v>5.7994719999999997</v>
      </c>
      <c r="I45" s="224">
        <v>5.8094400000000004</v>
      </c>
      <c r="J45" s="224">
        <v>5.8209179999999998</v>
      </c>
      <c r="K45" s="224">
        <v>5.8264579999999997</v>
      </c>
      <c r="L45" s="224">
        <v>5.8332709999999999</v>
      </c>
      <c r="M45" s="224">
        <v>5.8364739999999999</v>
      </c>
      <c r="N45" s="224">
        <v>5.8459729999999999</v>
      </c>
      <c r="O45" s="224">
        <v>5.848357</v>
      </c>
      <c r="P45" s="224">
        <v>5.8588459999999998</v>
      </c>
      <c r="Q45" s="224">
        <v>5.855556</v>
      </c>
      <c r="R45" s="224">
        <v>5.8578039999999998</v>
      </c>
      <c r="S45" s="224">
        <v>5.858994</v>
      </c>
      <c r="T45" s="224">
        <v>5.8614499999999996</v>
      </c>
      <c r="U45" s="224">
        <v>5.8606189999999998</v>
      </c>
      <c r="V45" s="224">
        <v>5.8597039999999998</v>
      </c>
      <c r="W45" s="224">
        <v>5.8580019999999999</v>
      </c>
      <c r="X45" s="224">
        <v>5.856611</v>
      </c>
      <c r="Y45" s="224">
        <v>5.8545439999999997</v>
      </c>
      <c r="Z45" s="224">
        <v>5.8540340000000004</v>
      </c>
      <c r="AA45" s="224">
        <v>5.8469509999999998</v>
      </c>
      <c r="AB45" s="224">
        <v>5.8447509999999996</v>
      </c>
      <c r="AC45" s="224">
        <v>5.8390459999999997</v>
      </c>
      <c r="AD45" s="224">
        <v>5.8365780000000003</v>
      </c>
      <c r="AE45" s="224">
        <v>5.8334640000000002</v>
      </c>
      <c r="AF45" s="221">
        <v>-3.6099999999999999E-4</v>
      </c>
      <c r="AG45" s="200"/>
      <c r="AH45" s="200"/>
      <c r="AI45" s="200"/>
      <c r="AJ45" s="200"/>
      <c r="AK45" s="200"/>
      <c r="AL45" s="200"/>
      <c r="AM45" s="200"/>
      <c r="AN45" s="200"/>
      <c r="AO45" s="200"/>
      <c r="AP45" s="200"/>
      <c r="AQ45" s="200"/>
      <c r="AR45" s="200"/>
      <c r="AS45" s="200"/>
      <c r="AT45" s="200"/>
      <c r="AU45" s="200"/>
      <c r="AV45" s="200"/>
      <c r="AW45" s="200"/>
      <c r="AX45" s="200"/>
      <c r="AY45" s="200"/>
      <c r="AZ45" s="200"/>
      <c r="BA45" s="200"/>
    </row>
    <row r="46" spans="1:53" x14ac:dyDescent="0.25">
      <c r="A46" s="201" t="s">
        <v>233</v>
      </c>
      <c r="B46" s="219" t="s">
        <v>193</v>
      </c>
      <c r="C46" s="224">
        <v>5.0452859999999999</v>
      </c>
      <c r="D46" s="224">
        <v>5.1030439999999997</v>
      </c>
      <c r="E46" s="224">
        <v>5.0647929999999999</v>
      </c>
      <c r="F46" s="224">
        <v>5.0659340000000004</v>
      </c>
      <c r="G46" s="224">
        <v>5.0950769999999999</v>
      </c>
      <c r="H46" s="224">
        <v>5.1758240000000004</v>
      </c>
      <c r="I46" s="224">
        <v>5.2263799999999998</v>
      </c>
      <c r="J46" s="224">
        <v>5.2632329999999996</v>
      </c>
      <c r="K46" s="224">
        <v>5.2736970000000003</v>
      </c>
      <c r="L46" s="224">
        <v>5.2972070000000002</v>
      </c>
      <c r="M46" s="224">
        <v>5.2950119999999998</v>
      </c>
      <c r="N46" s="224">
        <v>5.2941830000000003</v>
      </c>
      <c r="O46" s="224">
        <v>5.2844410000000002</v>
      </c>
      <c r="P46" s="224">
        <v>5.2890100000000002</v>
      </c>
      <c r="Q46" s="224">
        <v>5.2747729999999997</v>
      </c>
      <c r="R46" s="224">
        <v>5.276637</v>
      </c>
      <c r="S46" s="224">
        <v>5.2793460000000003</v>
      </c>
      <c r="T46" s="224">
        <v>5.27027</v>
      </c>
      <c r="U46" s="224">
        <v>5.2766000000000002</v>
      </c>
      <c r="V46" s="224">
        <v>5.2763980000000004</v>
      </c>
      <c r="W46" s="224">
        <v>5.2635959999999997</v>
      </c>
      <c r="X46" s="224">
        <v>5.2571779999999997</v>
      </c>
      <c r="Y46" s="224">
        <v>5.2545260000000003</v>
      </c>
      <c r="Z46" s="224">
        <v>5.2526799999999998</v>
      </c>
      <c r="AA46" s="224">
        <v>5.2501319999999998</v>
      </c>
      <c r="AB46" s="224">
        <v>5.2491159999999999</v>
      </c>
      <c r="AC46" s="224">
        <v>5.2505110000000004</v>
      </c>
      <c r="AD46" s="224">
        <v>5.2516730000000003</v>
      </c>
      <c r="AE46" s="224">
        <v>5.2525630000000003</v>
      </c>
      <c r="AF46" s="221">
        <v>1.439E-3</v>
      </c>
      <c r="AG46" s="200"/>
      <c r="AH46" s="200"/>
      <c r="AI46" s="200"/>
      <c r="AJ46" s="200"/>
      <c r="AK46" s="200"/>
      <c r="AL46" s="200"/>
      <c r="AM46" s="200"/>
      <c r="AN46" s="200"/>
      <c r="AO46" s="200"/>
      <c r="AP46" s="200"/>
      <c r="AQ46" s="200"/>
      <c r="AR46" s="200"/>
      <c r="AS46" s="200"/>
      <c r="AT46" s="200"/>
      <c r="AU46" s="200"/>
      <c r="AV46" s="200"/>
      <c r="AW46" s="200"/>
      <c r="AX46" s="200"/>
      <c r="AY46" s="200"/>
      <c r="AZ46" s="200"/>
      <c r="BA46" s="200"/>
    </row>
    <row r="47" spans="1:53" x14ac:dyDescent="0.25">
      <c r="A47" s="201" t="s">
        <v>234</v>
      </c>
      <c r="B47" s="218" t="s">
        <v>194</v>
      </c>
      <c r="C47" s="200"/>
      <c r="D47" s="200"/>
      <c r="E47" s="200"/>
      <c r="F47" s="200"/>
      <c r="G47" s="200"/>
      <c r="H47" s="200"/>
      <c r="I47" s="200"/>
      <c r="J47" s="200"/>
      <c r="K47" s="200"/>
      <c r="L47" s="200"/>
      <c r="M47" s="200"/>
      <c r="N47" s="200"/>
      <c r="O47" s="200"/>
      <c r="P47" s="200"/>
      <c r="Q47" s="200"/>
      <c r="R47" s="200"/>
      <c r="S47" s="200"/>
      <c r="T47" s="200"/>
      <c r="U47" s="200"/>
      <c r="V47" s="200"/>
      <c r="W47" s="200"/>
      <c r="X47" s="200"/>
      <c r="Y47" s="200"/>
      <c r="Z47" s="200"/>
      <c r="AA47" s="200"/>
      <c r="AB47" s="200"/>
      <c r="AC47" s="200"/>
      <c r="AD47" s="200"/>
      <c r="AE47" s="200"/>
      <c r="AF47" s="200"/>
      <c r="AG47" s="200"/>
      <c r="AH47" s="200"/>
      <c r="AI47" s="200"/>
      <c r="AJ47" s="200"/>
      <c r="AK47" s="200"/>
      <c r="AL47" s="200"/>
      <c r="AM47" s="200"/>
      <c r="AN47" s="200"/>
      <c r="AO47" s="200"/>
      <c r="AP47" s="200"/>
      <c r="AQ47" s="200"/>
      <c r="AR47" s="200"/>
      <c r="AS47" s="200"/>
      <c r="AT47" s="200"/>
      <c r="AU47" s="200"/>
      <c r="AV47" s="200"/>
      <c r="AW47" s="200"/>
      <c r="AX47" s="200"/>
      <c r="AY47" s="200"/>
      <c r="AZ47" s="200"/>
      <c r="BA47" s="200"/>
    </row>
    <row r="48" spans="1:53" x14ac:dyDescent="0.25">
      <c r="A48" s="201" t="s">
        <v>235</v>
      </c>
      <c r="B48" s="219" t="s">
        <v>196</v>
      </c>
      <c r="C48" s="224">
        <v>5.6948990000000004</v>
      </c>
      <c r="D48" s="224">
        <v>5.6877190000000004</v>
      </c>
      <c r="E48" s="224">
        <v>5.6846410000000001</v>
      </c>
      <c r="F48" s="224">
        <v>5.6858890000000004</v>
      </c>
      <c r="G48" s="224">
        <v>5.6853109999999996</v>
      </c>
      <c r="H48" s="224">
        <v>5.6856270000000002</v>
      </c>
      <c r="I48" s="224">
        <v>5.6911149999999999</v>
      </c>
      <c r="J48" s="224">
        <v>5.6918160000000002</v>
      </c>
      <c r="K48" s="224">
        <v>5.6920570000000001</v>
      </c>
      <c r="L48" s="224">
        <v>5.6911259999999997</v>
      </c>
      <c r="M48" s="224">
        <v>5.6898340000000003</v>
      </c>
      <c r="N48" s="224">
        <v>5.6889719999999997</v>
      </c>
      <c r="O48" s="224">
        <v>5.6877810000000002</v>
      </c>
      <c r="P48" s="224">
        <v>5.6863159999999997</v>
      </c>
      <c r="Q48" s="224">
        <v>5.6842800000000002</v>
      </c>
      <c r="R48" s="224">
        <v>5.6826759999999998</v>
      </c>
      <c r="S48" s="224">
        <v>5.6804309999999996</v>
      </c>
      <c r="T48" s="224">
        <v>5.6789680000000002</v>
      </c>
      <c r="U48" s="224">
        <v>5.6764890000000001</v>
      </c>
      <c r="V48" s="224">
        <v>5.6727150000000002</v>
      </c>
      <c r="W48" s="224">
        <v>5.6709899999999998</v>
      </c>
      <c r="X48" s="224">
        <v>5.6708759999999998</v>
      </c>
      <c r="Y48" s="224">
        <v>5.6713120000000004</v>
      </c>
      <c r="Z48" s="224">
        <v>5.6707489999999998</v>
      </c>
      <c r="AA48" s="224">
        <v>5.6692479999999996</v>
      </c>
      <c r="AB48" s="224">
        <v>5.6653739999999999</v>
      </c>
      <c r="AC48" s="224">
        <v>5.6687510000000003</v>
      </c>
      <c r="AD48" s="224">
        <v>5.6699580000000003</v>
      </c>
      <c r="AE48" s="224">
        <v>5.6687200000000004</v>
      </c>
      <c r="AF48" s="221">
        <v>-1.65E-4</v>
      </c>
      <c r="AG48" s="200"/>
      <c r="AH48" s="200"/>
      <c r="AI48" s="200"/>
      <c r="AJ48" s="200"/>
      <c r="AK48" s="200"/>
      <c r="AL48" s="200"/>
      <c r="AM48" s="200"/>
      <c r="AN48" s="200"/>
      <c r="AO48" s="200"/>
      <c r="AP48" s="200"/>
      <c r="AQ48" s="200"/>
      <c r="AR48" s="200"/>
      <c r="AS48" s="200"/>
      <c r="AT48" s="200"/>
      <c r="AU48" s="200"/>
      <c r="AV48" s="200"/>
      <c r="AW48" s="200"/>
      <c r="AX48" s="200"/>
      <c r="AY48" s="200"/>
      <c r="AZ48" s="200"/>
      <c r="BA48" s="200"/>
    </row>
    <row r="49" spans="1:53" x14ac:dyDescent="0.25">
      <c r="A49" s="201" t="s">
        <v>237</v>
      </c>
      <c r="B49" s="219" t="s">
        <v>198</v>
      </c>
      <c r="C49" s="224">
        <v>6.037077</v>
      </c>
      <c r="D49" s="224">
        <v>5.9970509999999999</v>
      </c>
      <c r="E49" s="224">
        <v>6.0355489999999996</v>
      </c>
      <c r="F49" s="224">
        <v>6.0402279999999999</v>
      </c>
      <c r="G49" s="224">
        <v>6.0577889999999996</v>
      </c>
      <c r="H49" s="224">
        <v>6.0494770000000004</v>
      </c>
      <c r="I49" s="224">
        <v>6.0610679999999997</v>
      </c>
      <c r="J49" s="224">
        <v>6.0603530000000001</v>
      </c>
      <c r="K49" s="224">
        <v>6.0616399999999997</v>
      </c>
      <c r="L49" s="224">
        <v>6.070837</v>
      </c>
      <c r="M49" s="224">
        <v>6.0799519999999996</v>
      </c>
      <c r="N49" s="224">
        <v>6.0781080000000003</v>
      </c>
      <c r="O49" s="224">
        <v>6.0890230000000001</v>
      </c>
      <c r="P49" s="224">
        <v>6.0897579999999998</v>
      </c>
      <c r="Q49" s="224">
        <v>6.0896980000000003</v>
      </c>
      <c r="R49" s="224">
        <v>6.0990609999999998</v>
      </c>
      <c r="S49" s="224">
        <v>6.098973</v>
      </c>
      <c r="T49" s="224">
        <v>6.0996079999999999</v>
      </c>
      <c r="U49" s="224">
        <v>6.101254</v>
      </c>
      <c r="V49" s="224">
        <v>6.0983270000000003</v>
      </c>
      <c r="W49" s="224">
        <v>6.0973819999999996</v>
      </c>
      <c r="X49" s="224">
        <v>6.1017659999999996</v>
      </c>
      <c r="Y49" s="224">
        <v>6.1045309999999997</v>
      </c>
      <c r="Z49" s="224">
        <v>6.1059720000000004</v>
      </c>
      <c r="AA49" s="224">
        <v>6.1007020000000001</v>
      </c>
      <c r="AB49" s="224">
        <v>6.1004480000000001</v>
      </c>
      <c r="AC49" s="224">
        <v>6.09999</v>
      </c>
      <c r="AD49" s="224">
        <v>6.1005159999999998</v>
      </c>
      <c r="AE49" s="224">
        <v>6.1003499999999997</v>
      </c>
      <c r="AF49" s="221">
        <v>3.7199999999999999E-4</v>
      </c>
      <c r="AG49" s="200"/>
      <c r="AH49" s="200"/>
      <c r="AI49" s="200"/>
      <c r="AJ49" s="200"/>
      <c r="AK49" s="200"/>
      <c r="AL49" s="200"/>
      <c r="AM49" s="200"/>
      <c r="AN49" s="200"/>
      <c r="AO49" s="200"/>
      <c r="AP49" s="200"/>
      <c r="AQ49" s="200"/>
      <c r="AR49" s="200"/>
      <c r="AS49" s="200"/>
      <c r="AT49" s="200"/>
      <c r="AU49" s="200"/>
      <c r="AV49" s="200"/>
      <c r="AW49" s="200"/>
      <c r="AX49" s="200"/>
      <c r="AY49" s="200"/>
      <c r="AZ49" s="200"/>
      <c r="BA49" s="200"/>
    </row>
    <row r="50" spans="1:53" ht="15" customHeight="1" x14ac:dyDescent="0.25">
      <c r="A50" s="199"/>
      <c r="B50" s="219" t="s">
        <v>200</v>
      </c>
      <c r="C50" s="224">
        <v>5.5726060000000004</v>
      </c>
      <c r="D50" s="224">
        <v>5.5974430000000002</v>
      </c>
      <c r="E50" s="224">
        <v>5.5954059999999997</v>
      </c>
      <c r="F50" s="224">
        <v>5.5953169999999997</v>
      </c>
      <c r="G50" s="224">
        <v>5.5952440000000001</v>
      </c>
      <c r="H50" s="224">
        <v>5.5950730000000002</v>
      </c>
      <c r="I50" s="224">
        <v>5.5949450000000001</v>
      </c>
      <c r="J50" s="224">
        <v>5.5948209999999996</v>
      </c>
      <c r="K50" s="224">
        <v>5.5946709999999999</v>
      </c>
      <c r="L50" s="224">
        <v>5.5945970000000003</v>
      </c>
      <c r="M50" s="224">
        <v>5.5945309999999999</v>
      </c>
      <c r="N50" s="224">
        <v>5.5944700000000003</v>
      </c>
      <c r="O50" s="224">
        <v>5.594379</v>
      </c>
      <c r="P50" s="224">
        <v>5.5942720000000001</v>
      </c>
      <c r="Q50" s="224">
        <v>5.59422</v>
      </c>
      <c r="R50" s="224">
        <v>5.5941409999999996</v>
      </c>
      <c r="S50" s="224">
        <v>5.5940859999999999</v>
      </c>
      <c r="T50" s="224">
        <v>5.5939909999999999</v>
      </c>
      <c r="U50" s="224">
        <v>5.5939639999999997</v>
      </c>
      <c r="V50" s="224">
        <v>5.593852</v>
      </c>
      <c r="W50" s="224">
        <v>5.5937570000000001</v>
      </c>
      <c r="X50" s="224">
        <v>5.5936409999999999</v>
      </c>
      <c r="Y50" s="224">
        <v>5.5935579999999998</v>
      </c>
      <c r="Z50" s="224">
        <v>5.5934499999999998</v>
      </c>
      <c r="AA50" s="224">
        <v>5.5934369999999998</v>
      </c>
      <c r="AB50" s="224">
        <v>5.5933469999999996</v>
      </c>
      <c r="AC50" s="224">
        <v>5.5945410000000004</v>
      </c>
      <c r="AD50" s="224">
        <v>5.5939819999999996</v>
      </c>
      <c r="AE50" s="224">
        <v>5.5930359999999997</v>
      </c>
      <c r="AF50" s="221">
        <v>1.3100000000000001E-4</v>
      </c>
      <c r="AG50" s="200"/>
      <c r="AH50" s="200"/>
      <c r="AI50" s="200"/>
      <c r="AJ50" s="200"/>
      <c r="AK50" s="200"/>
      <c r="AL50" s="200"/>
      <c r="AM50" s="200"/>
      <c r="AN50" s="200"/>
      <c r="AO50" s="200"/>
      <c r="AP50" s="200"/>
      <c r="AQ50" s="200"/>
      <c r="AR50" s="200"/>
      <c r="AS50" s="200"/>
      <c r="AT50" s="200"/>
      <c r="AU50" s="200"/>
      <c r="AV50" s="200"/>
      <c r="AW50" s="200"/>
      <c r="AX50" s="200"/>
      <c r="AY50" s="200"/>
      <c r="AZ50" s="200"/>
      <c r="BA50" s="200"/>
    </row>
    <row r="51" spans="1:53" ht="15" customHeight="1" x14ac:dyDescent="0.25">
      <c r="A51" s="199"/>
      <c r="B51" s="219" t="s">
        <v>202</v>
      </c>
      <c r="C51" s="224">
        <v>3.5650970000000002</v>
      </c>
      <c r="D51" s="224">
        <v>3.5545019999999998</v>
      </c>
      <c r="E51" s="224">
        <v>3.5491320000000002</v>
      </c>
      <c r="F51" s="224">
        <v>3.5417900000000002</v>
      </c>
      <c r="G51" s="224">
        <v>3.5397370000000001</v>
      </c>
      <c r="H51" s="224">
        <v>3.5402360000000002</v>
      </c>
      <c r="I51" s="224">
        <v>3.541674</v>
      </c>
      <c r="J51" s="224">
        <v>3.5420600000000002</v>
      </c>
      <c r="K51" s="224">
        <v>3.5418940000000001</v>
      </c>
      <c r="L51" s="224">
        <v>3.5411049999999999</v>
      </c>
      <c r="M51" s="224">
        <v>3.5407579999999998</v>
      </c>
      <c r="N51" s="224">
        <v>3.540197</v>
      </c>
      <c r="O51" s="224">
        <v>3.5389210000000002</v>
      </c>
      <c r="P51" s="224">
        <v>3.5374219999999998</v>
      </c>
      <c r="Q51" s="224">
        <v>3.5376159999999999</v>
      </c>
      <c r="R51" s="224">
        <v>3.5382470000000001</v>
      </c>
      <c r="S51" s="224">
        <v>3.5379139999999998</v>
      </c>
      <c r="T51" s="224">
        <v>3.5375230000000002</v>
      </c>
      <c r="U51" s="224">
        <v>3.5342799999999999</v>
      </c>
      <c r="V51" s="224">
        <v>3.5322290000000001</v>
      </c>
      <c r="W51" s="224">
        <v>3.5295700000000001</v>
      </c>
      <c r="X51" s="224">
        <v>3.5280019999999999</v>
      </c>
      <c r="Y51" s="224">
        <v>3.528308</v>
      </c>
      <c r="Z51" s="224">
        <v>3.5286379999999999</v>
      </c>
      <c r="AA51" s="224">
        <v>3.5291399999999999</v>
      </c>
      <c r="AB51" s="224">
        <v>3.5295570000000001</v>
      </c>
      <c r="AC51" s="224">
        <v>3.5307490000000001</v>
      </c>
      <c r="AD51" s="224">
        <v>3.531657</v>
      </c>
      <c r="AE51" s="224">
        <v>3.5311599999999999</v>
      </c>
      <c r="AF51" s="221">
        <v>-3.4200000000000002E-4</v>
      </c>
      <c r="AG51" s="200"/>
      <c r="AH51" s="200"/>
      <c r="AI51" s="200"/>
      <c r="AJ51" s="200"/>
      <c r="AK51" s="200"/>
      <c r="AL51" s="200"/>
      <c r="AM51" s="200"/>
      <c r="AN51" s="200"/>
      <c r="AO51" s="200"/>
      <c r="AP51" s="200"/>
      <c r="AQ51" s="200"/>
      <c r="AR51" s="200"/>
      <c r="AS51" s="200"/>
      <c r="AT51" s="200"/>
      <c r="AU51" s="200"/>
      <c r="AV51" s="200"/>
      <c r="AW51" s="200"/>
      <c r="AX51" s="200"/>
      <c r="AY51" s="200"/>
      <c r="AZ51" s="200"/>
      <c r="BA51" s="200"/>
    </row>
    <row r="52" spans="1:53" ht="15" customHeight="1" x14ac:dyDescent="0.25">
      <c r="A52" s="199"/>
      <c r="B52" s="200"/>
      <c r="C52" s="200"/>
      <c r="D52" s="200"/>
      <c r="E52" s="200"/>
      <c r="F52" s="200"/>
      <c r="G52" s="200"/>
      <c r="H52" s="200"/>
      <c r="I52" s="200"/>
      <c r="J52" s="200"/>
      <c r="K52" s="200"/>
      <c r="L52" s="200"/>
      <c r="M52" s="200"/>
      <c r="N52" s="200"/>
      <c r="O52" s="200"/>
      <c r="P52" s="200"/>
      <c r="Q52" s="200"/>
      <c r="R52" s="200"/>
      <c r="S52" s="200"/>
      <c r="T52" s="200"/>
      <c r="U52" s="200"/>
      <c r="V52" s="200"/>
      <c r="W52" s="200"/>
      <c r="X52" s="200"/>
      <c r="Y52" s="200"/>
      <c r="Z52" s="200"/>
      <c r="AA52" s="200"/>
      <c r="AB52" s="200"/>
      <c r="AC52" s="200"/>
      <c r="AD52" s="200"/>
      <c r="AE52" s="200"/>
      <c r="AF52" s="200"/>
      <c r="AG52" s="200"/>
      <c r="AH52" s="200"/>
      <c r="AI52" s="200"/>
      <c r="AJ52" s="200"/>
      <c r="AK52" s="200"/>
      <c r="AL52" s="200"/>
      <c r="AM52" s="200"/>
      <c r="AN52" s="200"/>
      <c r="AO52" s="200"/>
      <c r="AP52" s="200"/>
      <c r="AQ52" s="200"/>
      <c r="AR52" s="200"/>
      <c r="AS52" s="200"/>
      <c r="AT52" s="200"/>
      <c r="AU52" s="200"/>
      <c r="AV52" s="200"/>
      <c r="AW52" s="200"/>
      <c r="AX52" s="200"/>
      <c r="AY52" s="200"/>
      <c r="AZ52" s="200"/>
      <c r="BA52" s="200"/>
    </row>
    <row r="53" spans="1:53" ht="15" customHeight="1" x14ac:dyDescent="0.25">
      <c r="A53" s="201" t="s">
        <v>239</v>
      </c>
      <c r="B53" s="218" t="s">
        <v>203</v>
      </c>
      <c r="C53" s="200"/>
      <c r="D53" s="200"/>
      <c r="E53" s="200"/>
      <c r="F53" s="200"/>
      <c r="G53" s="200"/>
      <c r="H53" s="200"/>
      <c r="I53" s="200"/>
      <c r="J53" s="200"/>
      <c r="K53" s="200"/>
      <c r="L53" s="200"/>
      <c r="M53" s="200"/>
      <c r="N53" s="200"/>
      <c r="O53" s="200"/>
      <c r="P53" s="200"/>
      <c r="Q53" s="200"/>
      <c r="R53" s="200"/>
      <c r="S53" s="200"/>
      <c r="T53" s="200"/>
      <c r="U53" s="200"/>
      <c r="V53" s="200"/>
      <c r="W53" s="200"/>
      <c r="X53" s="200"/>
      <c r="Y53" s="200"/>
      <c r="Z53" s="200"/>
      <c r="AA53" s="200"/>
      <c r="AB53" s="200"/>
      <c r="AC53" s="200"/>
      <c r="AD53" s="200"/>
      <c r="AE53" s="200"/>
      <c r="AF53" s="200"/>
      <c r="AG53" s="200"/>
      <c r="AH53" s="200"/>
      <c r="AI53" s="200"/>
      <c r="AJ53" s="200"/>
      <c r="AK53" s="200"/>
      <c r="AL53" s="200"/>
      <c r="AM53" s="200"/>
      <c r="AN53" s="200"/>
      <c r="AO53" s="200"/>
      <c r="AP53" s="200"/>
      <c r="AQ53" s="200"/>
      <c r="AR53" s="200"/>
      <c r="AS53" s="200"/>
      <c r="AT53" s="200"/>
      <c r="AU53" s="200"/>
      <c r="AV53" s="200"/>
      <c r="AW53" s="200"/>
      <c r="AX53" s="200"/>
      <c r="AY53" s="200"/>
      <c r="AZ53" s="200"/>
      <c r="BA53" s="200"/>
    </row>
    <row r="54" spans="1:53" ht="15" customHeight="1" x14ac:dyDescent="0.25">
      <c r="A54" s="201" t="s">
        <v>472</v>
      </c>
      <c r="B54" s="219" t="s">
        <v>205</v>
      </c>
      <c r="C54" s="224">
        <v>1.0369999999999999</v>
      </c>
      <c r="D54" s="224">
        <v>1.0369999999999999</v>
      </c>
      <c r="E54" s="224">
        <v>1.0369999999999999</v>
      </c>
      <c r="F54" s="224">
        <v>1.0369999999999999</v>
      </c>
      <c r="G54" s="224">
        <v>1.0369999999999999</v>
      </c>
      <c r="H54" s="224">
        <v>1.0369999999999999</v>
      </c>
      <c r="I54" s="224">
        <v>1.0369999999999999</v>
      </c>
      <c r="J54" s="224">
        <v>1.0369999999999999</v>
      </c>
      <c r="K54" s="224">
        <v>1.0369999999999999</v>
      </c>
      <c r="L54" s="224">
        <v>1.0369999999999999</v>
      </c>
      <c r="M54" s="224">
        <v>1.0369999999999999</v>
      </c>
      <c r="N54" s="224">
        <v>1.0369999999999999</v>
      </c>
      <c r="O54" s="224">
        <v>1.0369999999999999</v>
      </c>
      <c r="P54" s="224">
        <v>1.0369999999999999</v>
      </c>
      <c r="Q54" s="224">
        <v>1.0369999999999999</v>
      </c>
      <c r="R54" s="224">
        <v>1.0369999999999999</v>
      </c>
      <c r="S54" s="224">
        <v>1.0369999999999999</v>
      </c>
      <c r="T54" s="224">
        <v>1.0369999999999999</v>
      </c>
      <c r="U54" s="224">
        <v>1.0369999999999999</v>
      </c>
      <c r="V54" s="224">
        <v>1.0369999999999999</v>
      </c>
      <c r="W54" s="224">
        <v>1.0369999999999999</v>
      </c>
      <c r="X54" s="224">
        <v>1.0369999999999999</v>
      </c>
      <c r="Y54" s="224">
        <v>1.0369999999999999</v>
      </c>
      <c r="Z54" s="224">
        <v>1.0369999999999999</v>
      </c>
      <c r="AA54" s="224">
        <v>1.0369999999999999</v>
      </c>
      <c r="AB54" s="224">
        <v>1.0369999999999999</v>
      </c>
      <c r="AC54" s="224">
        <v>1.0369999999999999</v>
      </c>
      <c r="AD54" s="224">
        <v>1.0369999999999999</v>
      </c>
      <c r="AE54" s="224">
        <v>1.0369999999999999</v>
      </c>
      <c r="AF54" s="221">
        <v>0</v>
      </c>
      <c r="AG54" s="200"/>
      <c r="AH54" s="200"/>
      <c r="AI54" s="200"/>
      <c r="AJ54" s="200"/>
      <c r="AK54" s="200"/>
      <c r="AL54" s="200"/>
      <c r="AM54" s="200"/>
      <c r="AN54" s="200"/>
      <c r="AO54" s="200"/>
      <c r="AP54" s="200"/>
      <c r="AQ54" s="200"/>
      <c r="AR54" s="200"/>
      <c r="AS54" s="200"/>
      <c r="AT54" s="200"/>
      <c r="AU54" s="200"/>
      <c r="AV54" s="200"/>
      <c r="AW54" s="200"/>
      <c r="AX54" s="200"/>
      <c r="AY54" s="200"/>
      <c r="AZ54" s="200"/>
      <c r="BA54" s="200"/>
    </row>
    <row r="55" spans="1:53" ht="15" customHeight="1" x14ac:dyDescent="0.25">
      <c r="A55" s="199"/>
      <c r="B55" s="219" t="s">
        <v>207</v>
      </c>
      <c r="C55" s="224">
        <v>1.034</v>
      </c>
      <c r="D55" s="224">
        <v>1.034</v>
      </c>
      <c r="E55" s="224">
        <v>1.034</v>
      </c>
      <c r="F55" s="224">
        <v>1.034</v>
      </c>
      <c r="G55" s="224">
        <v>1.034</v>
      </c>
      <c r="H55" s="224">
        <v>1.034</v>
      </c>
      <c r="I55" s="224">
        <v>1.034</v>
      </c>
      <c r="J55" s="224">
        <v>1.034</v>
      </c>
      <c r="K55" s="224">
        <v>1.034</v>
      </c>
      <c r="L55" s="224">
        <v>1.034</v>
      </c>
      <c r="M55" s="224">
        <v>1.034</v>
      </c>
      <c r="N55" s="224">
        <v>1.034</v>
      </c>
      <c r="O55" s="224">
        <v>1.034</v>
      </c>
      <c r="P55" s="224">
        <v>1.034</v>
      </c>
      <c r="Q55" s="224">
        <v>1.034</v>
      </c>
      <c r="R55" s="224">
        <v>1.034</v>
      </c>
      <c r="S55" s="224">
        <v>1.034</v>
      </c>
      <c r="T55" s="224">
        <v>1.034</v>
      </c>
      <c r="U55" s="224">
        <v>1.034</v>
      </c>
      <c r="V55" s="224">
        <v>1.034</v>
      </c>
      <c r="W55" s="224">
        <v>1.034</v>
      </c>
      <c r="X55" s="224">
        <v>1.034</v>
      </c>
      <c r="Y55" s="224">
        <v>1.034</v>
      </c>
      <c r="Z55" s="224">
        <v>1.034</v>
      </c>
      <c r="AA55" s="224">
        <v>1.034</v>
      </c>
      <c r="AB55" s="224">
        <v>1.034</v>
      </c>
      <c r="AC55" s="224">
        <v>1.034</v>
      </c>
      <c r="AD55" s="224">
        <v>1.034</v>
      </c>
      <c r="AE55" s="224">
        <v>1.034</v>
      </c>
      <c r="AF55" s="221">
        <v>0</v>
      </c>
      <c r="AG55" s="200"/>
      <c r="AH55" s="200"/>
      <c r="AI55" s="200"/>
      <c r="AJ55" s="200"/>
      <c r="AK55" s="200"/>
      <c r="AL55" s="200"/>
      <c r="AM55" s="200"/>
      <c r="AN55" s="200"/>
      <c r="AO55" s="200"/>
      <c r="AP55" s="200"/>
      <c r="AQ55" s="200"/>
      <c r="AR55" s="200"/>
      <c r="AS55" s="200"/>
      <c r="AT55" s="200"/>
      <c r="AU55" s="200"/>
      <c r="AV55" s="200"/>
      <c r="AW55" s="200"/>
      <c r="AX55" s="200"/>
      <c r="AY55" s="200"/>
      <c r="AZ55" s="200"/>
      <c r="BA55" s="200"/>
    </row>
    <row r="56" spans="1:53" ht="15" customHeight="1" x14ac:dyDescent="0.25">
      <c r="A56" s="199"/>
      <c r="B56" s="219" t="s">
        <v>209</v>
      </c>
      <c r="C56" s="224">
        <v>1.0389999999999999</v>
      </c>
      <c r="D56" s="224">
        <v>1.0389999999999999</v>
      </c>
      <c r="E56" s="224">
        <v>1.0389999999999999</v>
      </c>
      <c r="F56" s="224">
        <v>1.0389999999999999</v>
      </c>
      <c r="G56" s="224">
        <v>1.0389999999999999</v>
      </c>
      <c r="H56" s="224">
        <v>1.0389999999999999</v>
      </c>
      <c r="I56" s="224">
        <v>1.0389999999999999</v>
      </c>
      <c r="J56" s="224">
        <v>1.0389999999999999</v>
      </c>
      <c r="K56" s="224">
        <v>1.0389999999999999</v>
      </c>
      <c r="L56" s="224">
        <v>1.0389999999999999</v>
      </c>
      <c r="M56" s="224">
        <v>1.0389999999999999</v>
      </c>
      <c r="N56" s="224">
        <v>1.0389999999999999</v>
      </c>
      <c r="O56" s="224">
        <v>1.0389999999999999</v>
      </c>
      <c r="P56" s="224">
        <v>1.0389999999999999</v>
      </c>
      <c r="Q56" s="224">
        <v>1.0389999999999999</v>
      </c>
      <c r="R56" s="224">
        <v>1.0389999999999999</v>
      </c>
      <c r="S56" s="224">
        <v>1.0389999999999999</v>
      </c>
      <c r="T56" s="224">
        <v>1.0389999999999999</v>
      </c>
      <c r="U56" s="224">
        <v>1.0389999999999999</v>
      </c>
      <c r="V56" s="224">
        <v>1.0389999999999999</v>
      </c>
      <c r="W56" s="224">
        <v>1.0389999999999999</v>
      </c>
      <c r="X56" s="224">
        <v>1.0389999999999999</v>
      </c>
      <c r="Y56" s="224">
        <v>1.0389999999999999</v>
      </c>
      <c r="Z56" s="224">
        <v>1.0389999999999999</v>
      </c>
      <c r="AA56" s="224">
        <v>1.0389999999999999</v>
      </c>
      <c r="AB56" s="224">
        <v>1.0389999999999999</v>
      </c>
      <c r="AC56" s="224">
        <v>1.0389999999999999</v>
      </c>
      <c r="AD56" s="224">
        <v>1.0389999999999999</v>
      </c>
      <c r="AE56" s="224">
        <v>1.0389999999999999</v>
      </c>
      <c r="AF56" s="221">
        <v>0</v>
      </c>
      <c r="AG56" s="200"/>
      <c r="AH56" s="200"/>
      <c r="AI56" s="200"/>
      <c r="AJ56" s="200"/>
      <c r="AK56" s="200"/>
      <c r="AL56" s="200"/>
      <c r="AM56" s="200"/>
      <c r="AN56" s="200"/>
      <c r="AO56" s="200"/>
      <c r="AP56" s="200"/>
      <c r="AQ56" s="200"/>
      <c r="AR56" s="200"/>
      <c r="AS56" s="200"/>
      <c r="AT56" s="200"/>
      <c r="AU56" s="200"/>
      <c r="AV56" s="200"/>
      <c r="AW56" s="200"/>
      <c r="AX56" s="200"/>
      <c r="AY56" s="200"/>
      <c r="AZ56" s="200"/>
      <c r="BA56" s="200"/>
    </row>
    <row r="57" spans="1:53" ht="15" customHeight="1" x14ac:dyDescent="0.25">
      <c r="A57" s="199"/>
      <c r="B57" s="219" t="s">
        <v>211</v>
      </c>
      <c r="C57" s="224">
        <v>1.0369999999999999</v>
      </c>
      <c r="D57" s="224">
        <v>1.0369999999999999</v>
      </c>
      <c r="E57" s="224">
        <v>1.0369999999999999</v>
      </c>
      <c r="F57" s="224">
        <v>1.0369999999999999</v>
      </c>
      <c r="G57" s="224">
        <v>1.0369999999999999</v>
      </c>
      <c r="H57" s="224">
        <v>1.0369999999999999</v>
      </c>
      <c r="I57" s="224">
        <v>1.0369999999999999</v>
      </c>
      <c r="J57" s="224">
        <v>1.0369999999999999</v>
      </c>
      <c r="K57" s="224">
        <v>1.0369999999999999</v>
      </c>
      <c r="L57" s="224">
        <v>1.0369999999999999</v>
      </c>
      <c r="M57" s="224">
        <v>1.0369999999999999</v>
      </c>
      <c r="N57" s="224">
        <v>1.0369999999999999</v>
      </c>
      <c r="O57" s="224">
        <v>1.0369999999999999</v>
      </c>
      <c r="P57" s="224">
        <v>1.0369999999999999</v>
      </c>
      <c r="Q57" s="224">
        <v>1.0369999999999999</v>
      </c>
      <c r="R57" s="224">
        <v>1.0369999999999999</v>
      </c>
      <c r="S57" s="224">
        <v>1.0369999999999999</v>
      </c>
      <c r="T57" s="224">
        <v>1.0369999999999999</v>
      </c>
      <c r="U57" s="224">
        <v>1.0369999999999999</v>
      </c>
      <c r="V57" s="224">
        <v>1.0369999999999999</v>
      </c>
      <c r="W57" s="224">
        <v>1.0369999999999999</v>
      </c>
      <c r="X57" s="224">
        <v>1.0369999999999999</v>
      </c>
      <c r="Y57" s="224">
        <v>1.0369999999999999</v>
      </c>
      <c r="Z57" s="224">
        <v>1.0369999999999999</v>
      </c>
      <c r="AA57" s="224">
        <v>1.0369999999999999</v>
      </c>
      <c r="AB57" s="224">
        <v>1.0369999999999999</v>
      </c>
      <c r="AC57" s="224">
        <v>1.0369999999999999</v>
      </c>
      <c r="AD57" s="224">
        <v>1.0369999999999999</v>
      </c>
      <c r="AE57" s="224">
        <v>1.0369999999999999</v>
      </c>
      <c r="AF57" s="221">
        <v>0</v>
      </c>
      <c r="AG57" s="200"/>
      <c r="AH57" s="200"/>
      <c r="AI57" s="200"/>
      <c r="AJ57" s="200"/>
      <c r="AK57" s="200"/>
      <c r="AL57" s="200"/>
      <c r="AM57" s="200"/>
      <c r="AN57" s="200"/>
      <c r="AO57" s="200"/>
      <c r="AP57" s="200"/>
      <c r="AQ57" s="200"/>
      <c r="AR57" s="200"/>
      <c r="AS57" s="200"/>
      <c r="AT57" s="200"/>
      <c r="AU57" s="200"/>
      <c r="AV57" s="200"/>
      <c r="AW57" s="200"/>
      <c r="AX57" s="200"/>
      <c r="AY57" s="200"/>
      <c r="AZ57" s="200"/>
      <c r="BA57" s="200"/>
    </row>
    <row r="58" spans="1:53" ht="15" customHeight="1" x14ac:dyDescent="0.25">
      <c r="A58" s="199"/>
      <c r="B58" s="219" t="s">
        <v>213</v>
      </c>
      <c r="C58" s="224">
        <v>1.0249999999999999</v>
      </c>
      <c r="D58" s="224">
        <v>1.0249999999999999</v>
      </c>
      <c r="E58" s="224">
        <v>1.0249999999999999</v>
      </c>
      <c r="F58" s="224">
        <v>1.0249999999999999</v>
      </c>
      <c r="G58" s="224">
        <v>1.0249999999999999</v>
      </c>
      <c r="H58" s="224">
        <v>1.0249999999999999</v>
      </c>
      <c r="I58" s="224">
        <v>1.0249999999999999</v>
      </c>
      <c r="J58" s="224">
        <v>1.0249999999999999</v>
      </c>
      <c r="K58" s="224">
        <v>1.0249999999999999</v>
      </c>
      <c r="L58" s="224">
        <v>1.0249999999999999</v>
      </c>
      <c r="M58" s="224">
        <v>1.0249999999999999</v>
      </c>
      <c r="N58" s="224">
        <v>1.0249999999999999</v>
      </c>
      <c r="O58" s="224">
        <v>1.0249999999999999</v>
      </c>
      <c r="P58" s="224">
        <v>1.0249999999999999</v>
      </c>
      <c r="Q58" s="224">
        <v>1.0249999999999999</v>
      </c>
      <c r="R58" s="224">
        <v>1.0249999999999999</v>
      </c>
      <c r="S58" s="224">
        <v>1.0249999999999999</v>
      </c>
      <c r="T58" s="224">
        <v>1.0249999999999999</v>
      </c>
      <c r="U58" s="224">
        <v>1.0249999999999999</v>
      </c>
      <c r="V58" s="224">
        <v>1.0249999999999999</v>
      </c>
      <c r="W58" s="224">
        <v>1.0249999999999999</v>
      </c>
      <c r="X58" s="224">
        <v>1.0249999999999999</v>
      </c>
      <c r="Y58" s="224">
        <v>1.0249999999999999</v>
      </c>
      <c r="Z58" s="224">
        <v>1.0249999999999999</v>
      </c>
      <c r="AA58" s="224">
        <v>1.0249999999999999</v>
      </c>
      <c r="AB58" s="224">
        <v>1.0249999999999999</v>
      </c>
      <c r="AC58" s="224">
        <v>1.0249999999999999</v>
      </c>
      <c r="AD58" s="224">
        <v>1.0249999999999999</v>
      </c>
      <c r="AE58" s="224">
        <v>1.0249999999999999</v>
      </c>
      <c r="AF58" s="221">
        <v>0</v>
      </c>
      <c r="AG58" s="200"/>
      <c r="AH58" s="200"/>
      <c r="AI58" s="200"/>
      <c r="AJ58" s="200"/>
      <c r="AK58" s="200"/>
      <c r="AL58" s="200"/>
      <c r="AM58" s="200"/>
      <c r="AN58" s="200"/>
      <c r="AO58" s="200"/>
      <c r="AP58" s="200"/>
      <c r="AQ58" s="200"/>
      <c r="AR58" s="200"/>
      <c r="AS58" s="200"/>
      <c r="AT58" s="200"/>
      <c r="AU58" s="200"/>
      <c r="AV58" s="200"/>
      <c r="AW58" s="200"/>
      <c r="AX58" s="200"/>
      <c r="AY58" s="200"/>
      <c r="AZ58" s="200"/>
      <c r="BA58" s="200"/>
    </row>
    <row r="59" spans="1:53" ht="15" customHeight="1" x14ac:dyDescent="0.25">
      <c r="A59" s="199"/>
      <c r="B59" s="219" t="s">
        <v>215</v>
      </c>
      <c r="C59" s="224">
        <v>1.0089999999999999</v>
      </c>
      <c r="D59" s="224">
        <v>1.0089999999999999</v>
      </c>
      <c r="E59" s="224">
        <v>1.0089999999999999</v>
      </c>
      <c r="F59" s="224">
        <v>1.0089999999999999</v>
      </c>
      <c r="G59" s="224">
        <v>1.0089999999999999</v>
      </c>
      <c r="H59" s="224">
        <v>1.0089999999999999</v>
      </c>
      <c r="I59" s="224">
        <v>1.0089999999999999</v>
      </c>
      <c r="J59" s="224">
        <v>1.0089999999999999</v>
      </c>
      <c r="K59" s="224">
        <v>1.0089999999999999</v>
      </c>
      <c r="L59" s="224">
        <v>1.0089999999999999</v>
      </c>
      <c r="M59" s="224">
        <v>1.0089999999999999</v>
      </c>
      <c r="N59" s="224">
        <v>1.0089999999999999</v>
      </c>
      <c r="O59" s="224">
        <v>1.0089999999999999</v>
      </c>
      <c r="P59" s="224">
        <v>1.0089999999999999</v>
      </c>
      <c r="Q59" s="224">
        <v>1.0089999999999999</v>
      </c>
      <c r="R59" s="224">
        <v>1.0089999999999999</v>
      </c>
      <c r="S59" s="224">
        <v>1.0089999999999999</v>
      </c>
      <c r="T59" s="224">
        <v>1.0089999999999999</v>
      </c>
      <c r="U59" s="224">
        <v>1.0089999999999999</v>
      </c>
      <c r="V59" s="224">
        <v>1.0089999999999999</v>
      </c>
      <c r="W59" s="224">
        <v>1.0089999999999999</v>
      </c>
      <c r="X59" s="224">
        <v>1.0089999999999999</v>
      </c>
      <c r="Y59" s="224">
        <v>1.0089999999999999</v>
      </c>
      <c r="Z59" s="224">
        <v>1.0089999999999999</v>
      </c>
      <c r="AA59" s="224">
        <v>1.0089999999999999</v>
      </c>
      <c r="AB59" s="224">
        <v>1.0089999999999999</v>
      </c>
      <c r="AC59" s="224">
        <v>1.0089999999999999</v>
      </c>
      <c r="AD59" s="224">
        <v>1.0089999999999999</v>
      </c>
      <c r="AE59" s="224">
        <v>1.0089999999999999</v>
      </c>
      <c r="AF59" s="221">
        <v>0</v>
      </c>
      <c r="AG59" s="200"/>
      <c r="AH59" s="200"/>
      <c r="AI59" s="200"/>
      <c r="AJ59" s="200"/>
      <c r="AK59" s="200"/>
      <c r="AL59" s="200"/>
      <c r="AM59" s="200"/>
      <c r="AN59" s="200"/>
      <c r="AO59" s="200"/>
      <c r="AP59" s="200"/>
      <c r="AQ59" s="200"/>
      <c r="AR59" s="200"/>
      <c r="AS59" s="200"/>
      <c r="AT59" s="200"/>
      <c r="AU59" s="200"/>
      <c r="AV59" s="200"/>
      <c r="AW59" s="200"/>
      <c r="AX59" s="200"/>
      <c r="AY59" s="200"/>
      <c r="AZ59" s="200"/>
      <c r="BA59" s="200"/>
    </row>
    <row r="60" spans="1:53" ht="15" customHeight="1" x14ac:dyDescent="0.25">
      <c r="A60" s="199"/>
      <c r="B60" s="219" t="s">
        <v>217</v>
      </c>
      <c r="C60" s="224">
        <v>0.96</v>
      </c>
      <c r="D60" s="224">
        <v>0.96</v>
      </c>
      <c r="E60" s="224">
        <v>0.96</v>
      </c>
      <c r="F60" s="224">
        <v>0.96</v>
      </c>
      <c r="G60" s="224">
        <v>0.96</v>
      </c>
      <c r="H60" s="224">
        <v>0.96</v>
      </c>
      <c r="I60" s="224">
        <v>0.96</v>
      </c>
      <c r="J60" s="224">
        <v>0.96</v>
      </c>
      <c r="K60" s="224">
        <v>0.96</v>
      </c>
      <c r="L60" s="224">
        <v>0.96</v>
      </c>
      <c r="M60" s="224">
        <v>0.96</v>
      </c>
      <c r="N60" s="224">
        <v>0.96</v>
      </c>
      <c r="O60" s="224">
        <v>0.96</v>
      </c>
      <c r="P60" s="224">
        <v>0.96</v>
      </c>
      <c r="Q60" s="224">
        <v>0.96</v>
      </c>
      <c r="R60" s="224">
        <v>0.96</v>
      </c>
      <c r="S60" s="224">
        <v>0.96</v>
      </c>
      <c r="T60" s="224">
        <v>0.96</v>
      </c>
      <c r="U60" s="224">
        <v>0.96</v>
      </c>
      <c r="V60" s="224">
        <v>0.96</v>
      </c>
      <c r="W60" s="224">
        <v>0.96</v>
      </c>
      <c r="X60" s="224">
        <v>0.96</v>
      </c>
      <c r="Y60" s="224">
        <v>0.96</v>
      </c>
      <c r="Z60" s="224">
        <v>0.96</v>
      </c>
      <c r="AA60" s="224">
        <v>0.96</v>
      </c>
      <c r="AB60" s="224">
        <v>0.96</v>
      </c>
      <c r="AC60" s="224">
        <v>0.96</v>
      </c>
      <c r="AD60" s="224">
        <v>0.96</v>
      </c>
      <c r="AE60" s="224">
        <v>0.96</v>
      </c>
      <c r="AF60" s="221">
        <v>0</v>
      </c>
      <c r="AG60" s="200"/>
      <c r="AH60" s="200"/>
      <c r="AI60" s="200"/>
      <c r="AJ60" s="200"/>
      <c r="AK60" s="200"/>
      <c r="AL60" s="200"/>
      <c r="AM60" s="200"/>
      <c r="AN60" s="200"/>
      <c r="AO60" s="200"/>
      <c r="AP60" s="200"/>
      <c r="AQ60" s="200"/>
      <c r="AR60" s="200"/>
      <c r="AS60" s="200"/>
      <c r="AT60" s="200"/>
      <c r="AU60" s="200"/>
      <c r="AV60" s="200"/>
      <c r="AW60" s="200"/>
      <c r="AX60" s="200"/>
      <c r="AY60" s="200"/>
      <c r="AZ60" s="200"/>
      <c r="BA60" s="200"/>
    </row>
    <row r="61" spans="1:53" ht="15" customHeight="1" x14ac:dyDescent="0.25">
      <c r="A61" s="199"/>
      <c r="B61" s="200"/>
      <c r="C61" s="200"/>
      <c r="D61" s="200"/>
      <c r="E61" s="200"/>
      <c r="F61" s="200"/>
      <c r="G61" s="200"/>
      <c r="H61" s="200"/>
      <c r="I61" s="200"/>
      <c r="J61" s="200"/>
      <c r="K61" s="200"/>
      <c r="L61" s="200"/>
      <c r="M61" s="200"/>
      <c r="N61" s="200"/>
      <c r="O61" s="200"/>
      <c r="P61" s="200"/>
      <c r="Q61" s="200"/>
      <c r="R61" s="200"/>
      <c r="S61" s="200"/>
      <c r="T61" s="200"/>
      <c r="U61" s="200"/>
      <c r="V61" s="200"/>
      <c r="W61" s="200"/>
      <c r="X61" s="200"/>
      <c r="Y61" s="200"/>
      <c r="Z61" s="200"/>
      <c r="AA61" s="200"/>
      <c r="AB61" s="200"/>
      <c r="AC61" s="200"/>
      <c r="AD61" s="200"/>
      <c r="AE61" s="200"/>
      <c r="AF61" s="200"/>
      <c r="AG61" s="200"/>
      <c r="AH61" s="200"/>
      <c r="AI61" s="200"/>
      <c r="AJ61" s="200"/>
      <c r="AK61" s="200"/>
      <c r="AL61" s="200"/>
      <c r="AM61" s="200"/>
      <c r="AN61" s="200"/>
      <c r="AO61" s="200"/>
      <c r="AP61" s="200"/>
      <c r="AQ61" s="200"/>
      <c r="AR61" s="200"/>
      <c r="AS61" s="200"/>
      <c r="AT61" s="200"/>
      <c r="AU61" s="200"/>
      <c r="AV61" s="200"/>
      <c r="AW61" s="200"/>
      <c r="AX61" s="200"/>
      <c r="AY61" s="200"/>
      <c r="AZ61" s="200"/>
      <c r="BA61" s="200"/>
    </row>
    <row r="62" spans="1:53" x14ac:dyDescent="0.25">
      <c r="A62" s="199"/>
      <c r="B62" s="218" t="s">
        <v>218</v>
      </c>
      <c r="C62" s="200"/>
      <c r="D62" s="200"/>
      <c r="E62" s="200"/>
      <c r="F62" s="200"/>
      <c r="G62" s="200"/>
      <c r="H62" s="200"/>
      <c r="I62" s="200"/>
      <c r="J62" s="200"/>
      <c r="K62" s="200"/>
      <c r="L62" s="200"/>
      <c r="M62" s="200"/>
      <c r="N62" s="200"/>
      <c r="O62" s="200"/>
      <c r="P62" s="200"/>
      <c r="Q62" s="200"/>
      <c r="R62" s="200"/>
      <c r="S62" s="200"/>
      <c r="T62" s="200"/>
      <c r="U62" s="200"/>
      <c r="V62" s="200"/>
      <c r="W62" s="200"/>
      <c r="X62" s="200"/>
      <c r="Y62" s="200"/>
      <c r="Z62" s="200"/>
      <c r="AA62" s="200"/>
      <c r="AB62" s="200"/>
      <c r="AC62" s="200"/>
      <c r="AD62" s="200"/>
      <c r="AE62" s="200"/>
      <c r="AF62" s="200"/>
      <c r="AG62" s="200"/>
      <c r="AH62" s="200"/>
      <c r="AI62" s="200"/>
      <c r="AJ62" s="200"/>
      <c r="AK62" s="200"/>
      <c r="AL62" s="200"/>
      <c r="AM62" s="200"/>
      <c r="AN62" s="200"/>
      <c r="AO62" s="200"/>
      <c r="AP62" s="200"/>
      <c r="AQ62" s="200"/>
      <c r="AR62" s="200"/>
      <c r="AS62" s="200"/>
      <c r="AT62" s="200"/>
      <c r="AU62" s="200"/>
      <c r="AV62" s="200"/>
      <c r="AW62" s="200"/>
      <c r="AX62" s="200"/>
      <c r="AY62" s="200"/>
      <c r="AZ62" s="200"/>
      <c r="BA62" s="200"/>
    </row>
    <row r="63" spans="1:53" ht="15" customHeight="1" x14ac:dyDescent="0.25">
      <c r="A63" s="199"/>
      <c r="B63" s="219" t="s">
        <v>211</v>
      </c>
      <c r="C63" s="220">
        <v>20.414086999999999</v>
      </c>
      <c r="D63" s="220">
        <v>20.306387000000001</v>
      </c>
      <c r="E63" s="220">
        <v>20.561385999999999</v>
      </c>
      <c r="F63" s="220">
        <v>20.682283000000002</v>
      </c>
      <c r="G63" s="220">
        <v>21.026534999999999</v>
      </c>
      <c r="H63" s="220">
        <v>21.446421000000001</v>
      </c>
      <c r="I63" s="220">
        <v>21.618556999999999</v>
      </c>
      <c r="J63" s="220">
        <v>21.391855</v>
      </c>
      <c r="K63" s="220">
        <v>21.480253000000001</v>
      </c>
      <c r="L63" s="220">
        <v>21.504978000000001</v>
      </c>
      <c r="M63" s="220">
        <v>21.517519</v>
      </c>
      <c r="N63" s="220">
        <v>21.584536</v>
      </c>
      <c r="O63" s="220">
        <v>21.490144999999998</v>
      </c>
      <c r="P63" s="220">
        <v>21.426874000000002</v>
      </c>
      <c r="Q63" s="220">
        <v>21.444807000000001</v>
      </c>
      <c r="R63" s="220">
        <v>21.408159000000001</v>
      </c>
      <c r="S63" s="220">
        <v>21.737587000000001</v>
      </c>
      <c r="T63" s="220">
        <v>21.762626999999998</v>
      </c>
      <c r="U63" s="220">
        <v>21.825102000000001</v>
      </c>
      <c r="V63" s="220">
        <v>21.77272</v>
      </c>
      <c r="W63" s="220">
        <v>21.752516</v>
      </c>
      <c r="X63" s="220">
        <v>21.840578000000001</v>
      </c>
      <c r="Y63" s="220">
        <v>21.903272999999999</v>
      </c>
      <c r="Z63" s="220">
        <v>21.967976</v>
      </c>
      <c r="AA63" s="220">
        <v>22.008548999999999</v>
      </c>
      <c r="AB63" s="220">
        <v>22.019365000000001</v>
      </c>
      <c r="AC63" s="220">
        <v>21.979196999999999</v>
      </c>
      <c r="AD63" s="220">
        <v>22.007912000000001</v>
      </c>
      <c r="AE63" s="220">
        <v>21.978470000000002</v>
      </c>
      <c r="AF63" s="221">
        <v>2.6410000000000001E-3</v>
      </c>
      <c r="AG63" s="200"/>
      <c r="AH63" s="200"/>
      <c r="AI63" s="200"/>
      <c r="AJ63" s="200"/>
      <c r="AK63" s="200"/>
      <c r="AL63" s="200"/>
      <c r="AM63" s="200"/>
      <c r="AN63" s="200"/>
      <c r="AO63" s="200"/>
      <c r="AP63" s="200"/>
      <c r="AQ63" s="200"/>
      <c r="AR63" s="200"/>
      <c r="AS63" s="200"/>
      <c r="AT63" s="200"/>
      <c r="AU63" s="200"/>
      <c r="AV63" s="200"/>
      <c r="AW63" s="200"/>
      <c r="AX63" s="200"/>
      <c r="AY63" s="200"/>
      <c r="AZ63" s="200"/>
      <c r="BA63" s="200"/>
    </row>
    <row r="64" spans="1:53" ht="15" customHeight="1" x14ac:dyDescent="0.25">
      <c r="A64" s="199"/>
      <c r="B64" s="219" t="s">
        <v>221</v>
      </c>
      <c r="C64" s="220">
        <v>25.150552999999999</v>
      </c>
      <c r="D64" s="220">
        <v>25.162579999999998</v>
      </c>
      <c r="E64" s="220">
        <v>25.277228999999998</v>
      </c>
      <c r="F64" s="220">
        <v>25.196438000000001</v>
      </c>
      <c r="G64" s="220">
        <v>25.173244</v>
      </c>
      <c r="H64" s="220">
        <v>25.253005999999999</v>
      </c>
      <c r="I64" s="220">
        <v>25.375315000000001</v>
      </c>
      <c r="J64" s="220">
        <v>25.881294</v>
      </c>
      <c r="K64" s="220">
        <v>25.949392</v>
      </c>
      <c r="L64" s="220">
        <v>25.919322999999999</v>
      </c>
      <c r="M64" s="220">
        <v>25.917715000000001</v>
      </c>
      <c r="N64" s="220">
        <v>26.122444000000002</v>
      </c>
      <c r="O64" s="220">
        <v>26.104872</v>
      </c>
      <c r="P64" s="220">
        <v>26.092715999999999</v>
      </c>
      <c r="Q64" s="220">
        <v>26.109541</v>
      </c>
      <c r="R64" s="220">
        <v>26.115759000000001</v>
      </c>
      <c r="S64" s="220">
        <v>26.111366</v>
      </c>
      <c r="T64" s="220">
        <v>26.064837000000001</v>
      </c>
      <c r="U64" s="220">
        <v>26.097258</v>
      </c>
      <c r="V64" s="220">
        <v>26.119198000000001</v>
      </c>
      <c r="W64" s="220">
        <v>26.115304999999999</v>
      </c>
      <c r="X64" s="220">
        <v>26.109867000000001</v>
      </c>
      <c r="Y64" s="220">
        <v>26.134989000000001</v>
      </c>
      <c r="Z64" s="220">
        <v>26.120363000000001</v>
      </c>
      <c r="AA64" s="220">
        <v>26.130583000000001</v>
      </c>
      <c r="AB64" s="220">
        <v>26.147618999999999</v>
      </c>
      <c r="AC64" s="220">
        <v>26.167905999999999</v>
      </c>
      <c r="AD64" s="220">
        <v>26.162901000000002</v>
      </c>
      <c r="AE64" s="220">
        <v>26.183288999999998</v>
      </c>
      <c r="AF64" s="221">
        <v>1.438E-3</v>
      </c>
      <c r="AG64" s="200"/>
      <c r="AH64" s="200"/>
      <c r="AI64" s="200"/>
      <c r="AJ64" s="200"/>
      <c r="AK64" s="200"/>
      <c r="AL64" s="200"/>
      <c r="AM64" s="200"/>
      <c r="AN64" s="200"/>
      <c r="AO64" s="200"/>
      <c r="AP64" s="200"/>
      <c r="AQ64" s="200"/>
      <c r="AR64" s="200"/>
      <c r="AS64" s="200"/>
      <c r="AT64" s="200"/>
      <c r="AU64" s="200"/>
      <c r="AV64" s="200"/>
      <c r="AW64" s="200"/>
      <c r="AX64" s="200"/>
      <c r="AY64" s="200"/>
      <c r="AZ64" s="200"/>
      <c r="BA64" s="200"/>
    </row>
    <row r="65" spans="1:53" ht="15" customHeight="1" x14ac:dyDescent="0.25">
      <c r="A65" s="198"/>
      <c r="B65" s="219" t="s">
        <v>223</v>
      </c>
      <c r="C65" s="220">
        <v>17.359545000000001</v>
      </c>
      <c r="D65" s="220">
        <v>17.333266999999999</v>
      </c>
      <c r="E65" s="220">
        <v>17.469742</v>
      </c>
      <c r="F65" s="220">
        <v>17.421644000000001</v>
      </c>
      <c r="G65" s="220">
        <v>17.439485999999999</v>
      </c>
      <c r="H65" s="220">
        <v>17.491636</v>
      </c>
      <c r="I65" s="220">
        <v>17.459488</v>
      </c>
      <c r="J65" s="220">
        <v>17.634378000000002</v>
      </c>
      <c r="K65" s="220">
        <v>17.574055000000001</v>
      </c>
      <c r="L65" s="220">
        <v>17.584854</v>
      </c>
      <c r="M65" s="220">
        <v>17.592421000000002</v>
      </c>
      <c r="N65" s="220">
        <v>17.594152000000001</v>
      </c>
      <c r="O65" s="220">
        <v>17.563728000000001</v>
      </c>
      <c r="P65" s="220">
        <v>17.529620999999999</v>
      </c>
      <c r="Q65" s="220">
        <v>17.516928</v>
      </c>
      <c r="R65" s="220">
        <v>17.304117000000002</v>
      </c>
      <c r="S65" s="220">
        <v>17.516290999999999</v>
      </c>
      <c r="T65" s="220">
        <v>17.500505</v>
      </c>
      <c r="U65" s="220">
        <v>17.477858000000001</v>
      </c>
      <c r="V65" s="220">
        <v>17.479234999999999</v>
      </c>
      <c r="W65" s="220">
        <v>17.471019999999999</v>
      </c>
      <c r="X65" s="220">
        <v>17.484034999999999</v>
      </c>
      <c r="Y65" s="220">
        <v>17.490487999999999</v>
      </c>
      <c r="Z65" s="220">
        <v>17.495975000000001</v>
      </c>
      <c r="AA65" s="220">
        <v>17.492516999999999</v>
      </c>
      <c r="AB65" s="220">
        <v>17.48987</v>
      </c>
      <c r="AC65" s="220">
        <v>17.478798000000001</v>
      </c>
      <c r="AD65" s="220">
        <v>17.460386</v>
      </c>
      <c r="AE65" s="220">
        <v>17.475587999999998</v>
      </c>
      <c r="AF65" s="221">
        <v>2.3800000000000001E-4</v>
      </c>
      <c r="AG65" s="200"/>
      <c r="AH65" s="200"/>
      <c r="AI65" s="200"/>
      <c r="AJ65" s="200"/>
      <c r="AK65" s="200"/>
      <c r="AL65" s="200"/>
      <c r="AM65" s="200"/>
      <c r="AN65" s="200"/>
      <c r="AO65" s="200"/>
      <c r="AP65" s="200"/>
      <c r="AQ65" s="200"/>
      <c r="AR65" s="200"/>
      <c r="AS65" s="200"/>
      <c r="AT65" s="200"/>
      <c r="AU65" s="200"/>
      <c r="AV65" s="200"/>
      <c r="AW65" s="200"/>
      <c r="AX65" s="200"/>
      <c r="AY65" s="200"/>
      <c r="AZ65" s="200"/>
      <c r="BA65" s="200"/>
    </row>
    <row r="66" spans="1:53" ht="15" customHeight="1" x14ac:dyDescent="0.25">
      <c r="A66" s="198"/>
      <c r="B66" s="219" t="s">
        <v>205</v>
      </c>
      <c r="C66" s="220">
        <v>19.658428000000001</v>
      </c>
      <c r="D66" s="220">
        <v>19.547889999999999</v>
      </c>
      <c r="E66" s="220">
        <v>19.530923999999999</v>
      </c>
      <c r="F66" s="220">
        <v>19.656338000000002</v>
      </c>
      <c r="G66" s="220">
        <v>20.110068999999999</v>
      </c>
      <c r="H66" s="220">
        <v>20.518450000000001</v>
      </c>
      <c r="I66" s="220">
        <v>20.575665999999998</v>
      </c>
      <c r="J66" s="220">
        <v>20.0931</v>
      </c>
      <c r="K66" s="220">
        <v>19.986597</v>
      </c>
      <c r="L66" s="220">
        <v>20.045501999999999</v>
      </c>
      <c r="M66" s="220">
        <v>20.072807000000001</v>
      </c>
      <c r="N66" s="220">
        <v>20.139336</v>
      </c>
      <c r="O66" s="220">
        <v>20.012087000000001</v>
      </c>
      <c r="P66" s="220">
        <v>19.954886999999999</v>
      </c>
      <c r="Q66" s="220">
        <v>19.927517000000002</v>
      </c>
      <c r="R66" s="220">
        <v>20.046503000000001</v>
      </c>
      <c r="S66" s="220">
        <v>20.413609999999998</v>
      </c>
      <c r="T66" s="220">
        <v>20.439775000000001</v>
      </c>
      <c r="U66" s="220">
        <v>20.443366999999999</v>
      </c>
      <c r="V66" s="220">
        <v>20.372391</v>
      </c>
      <c r="W66" s="220">
        <v>20.360711999999999</v>
      </c>
      <c r="X66" s="220">
        <v>20.399227</v>
      </c>
      <c r="Y66" s="220">
        <v>20.438106999999999</v>
      </c>
      <c r="Z66" s="220">
        <v>20.498695000000001</v>
      </c>
      <c r="AA66" s="220">
        <v>20.521355</v>
      </c>
      <c r="AB66" s="220">
        <v>20.524982000000001</v>
      </c>
      <c r="AC66" s="220">
        <v>20.513655</v>
      </c>
      <c r="AD66" s="220">
        <v>20.569064999999998</v>
      </c>
      <c r="AE66" s="220">
        <v>20.506568999999999</v>
      </c>
      <c r="AF66" s="221">
        <v>1.5100000000000001E-3</v>
      </c>
      <c r="AG66" s="200"/>
      <c r="AH66" s="200"/>
      <c r="AI66" s="200"/>
      <c r="AJ66" s="200"/>
      <c r="AK66" s="200"/>
      <c r="AL66" s="200"/>
      <c r="AM66" s="200"/>
      <c r="AN66" s="200"/>
      <c r="AO66" s="200"/>
      <c r="AP66" s="200"/>
      <c r="AQ66" s="200"/>
      <c r="AR66" s="200"/>
      <c r="AS66" s="200"/>
      <c r="AT66" s="200"/>
      <c r="AU66" s="200"/>
      <c r="AV66" s="200"/>
      <c r="AW66" s="200"/>
      <c r="AX66" s="200"/>
      <c r="AY66" s="200"/>
      <c r="AZ66" s="200"/>
      <c r="BA66" s="200"/>
    </row>
    <row r="67" spans="1:53" ht="15" customHeight="1" x14ac:dyDescent="0.25">
      <c r="A67" s="198"/>
      <c r="B67" s="219" t="s">
        <v>226</v>
      </c>
      <c r="C67" s="220">
        <v>18.006001000000001</v>
      </c>
      <c r="D67" s="220">
        <v>18.076194999999998</v>
      </c>
      <c r="E67" s="220">
        <v>18.050530999999999</v>
      </c>
      <c r="F67" s="220">
        <v>17.893633000000001</v>
      </c>
      <c r="G67" s="220">
        <v>17.823392999999999</v>
      </c>
      <c r="H67" s="220">
        <v>17.884933</v>
      </c>
      <c r="I67" s="220">
        <v>17.960042999999999</v>
      </c>
      <c r="J67" s="220">
        <v>18.007738</v>
      </c>
      <c r="K67" s="220">
        <v>18.045808999999998</v>
      </c>
      <c r="L67" s="220">
        <v>18.149768999999999</v>
      </c>
      <c r="M67" s="220">
        <v>18.107817000000001</v>
      </c>
      <c r="N67" s="220">
        <v>18.119067999999999</v>
      </c>
      <c r="O67" s="220">
        <v>18.106013999999998</v>
      </c>
      <c r="P67" s="220">
        <v>18.099829</v>
      </c>
      <c r="Q67" s="220">
        <v>18.068781000000001</v>
      </c>
      <c r="R67" s="220">
        <v>17.983764999999998</v>
      </c>
      <c r="S67" s="220">
        <v>17.923839999999998</v>
      </c>
      <c r="T67" s="220">
        <v>17.901513999999999</v>
      </c>
      <c r="U67" s="220">
        <v>17.883970000000001</v>
      </c>
      <c r="V67" s="220">
        <v>17.863047000000002</v>
      </c>
      <c r="W67" s="220">
        <v>17.841540999999999</v>
      </c>
      <c r="X67" s="220">
        <v>17.809853</v>
      </c>
      <c r="Y67" s="220">
        <v>17.789932</v>
      </c>
      <c r="Z67" s="220">
        <v>17.759554000000001</v>
      </c>
      <c r="AA67" s="220">
        <v>17.740721000000001</v>
      </c>
      <c r="AB67" s="220">
        <v>17.717068000000001</v>
      </c>
      <c r="AC67" s="220">
        <v>17.692871</v>
      </c>
      <c r="AD67" s="220">
        <v>17.692043000000002</v>
      </c>
      <c r="AE67" s="220">
        <v>17.690735</v>
      </c>
      <c r="AF67" s="221">
        <v>-6.3100000000000005E-4</v>
      </c>
      <c r="AG67" s="200"/>
      <c r="AH67" s="200"/>
      <c r="AI67" s="200"/>
      <c r="AJ67" s="200"/>
      <c r="AK67" s="200"/>
      <c r="AL67" s="200"/>
      <c r="AM67" s="200"/>
      <c r="AN67" s="200"/>
      <c r="AO67" s="200"/>
      <c r="AP67" s="200"/>
      <c r="AQ67" s="200"/>
      <c r="AR67" s="200"/>
      <c r="AS67" s="200"/>
      <c r="AT67" s="200"/>
      <c r="AU67" s="200"/>
      <c r="AV67" s="200"/>
      <c r="AW67" s="200"/>
      <c r="AX67" s="200"/>
      <c r="AY67" s="200"/>
      <c r="AZ67" s="200"/>
      <c r="BA67" s="200"/>
    </row>
    <row r="68" spans="1:53" ht="15" customHeight="1" x14ac:dyDescent="0.25">
      <c r="A68" s="198"/>
      <c r="B68" s="219" t="s">
        <v>228</v>
      </c>
      <c r="C68" s="220">
        <v>18.783617</v>
      </c>
      <c r="D68" s="220">
        <v>18.841715000000001</v>
      </c>
      <c r="E68" s="220">
        <v>19.240131000000002</v>
      </c>
      <c r="F68" s="220">
        <v>19.234219</v>
      </c>
      <c r="G68" s="220">
        <v>19.213201999999999</v>
      </c>
      <c r="H68" s="220">
        <v>19.209591</v>
      </c>
      <c r="I68" s="220">
        <v>19.205172000000001</v>
      </c>
      <c r="J68" s="220">
        <v>19.192945000000002</v>
      </c>
      <c r="K68" s="220">
        <v>19.182034999999999</v>
      </c>
      <c r="L68" s="220">
        <v>19.171402</v>
      </c>
      <c r="M68" s="220">
        <v>19.160554999999999</v>
      </c>
      <c r="N68" s="220">
        <v>19.138552000000001</v>
      </c>
      <c r="O68" s="220">
        <v>19.129539000000001</v>
      </c>
      <c r="P68" s="220">
        <v>19.110558999999999</v>
      </c>
      <c r="Q68" s="220">
        <v>19.098140999999998</v>
      </c>
      <c r="R68" s="220">
        <v>19.083539999999999</v>
      </c>
      <c r="S68" s="220">
        <v>19.066293999999999</v>
      </c>
      <c r="T68" s="220">
        <v>19.059636999999999</v>
      </c>
      <c r="U68" s="220">
        <v>19.057034999999999</v>
      </c>
      <c r="V68" s="220">
        <v>19.053011000000001</v>
      </c>
      <c r="W68" s="220">
        <v>19.047277000000001</v>
      </c>
      <c r="X68" s="220">
        <v>19.039465</v>
      </c>
      <c r="Y68" s="220">
        <v>19.03443</v>
      </c>
      <c r="Z68" s="220">
        <v>19.027761000000002</v>
      </c>
      <c r="AA68" s="220">
        <v>19.017918000000002</v>
      </c>
      <c r="AB68" s="220">
        <v>19.012091000000002</v>
      </c>
      <c r="AC68" s="220">
        <v>19.021602999999999</v>
      </c>
      <c r="AD68" s="220">
        <v>19.003336000000001</v>
      </c>
      <c r="AE68" s="220">
        <v>18.998145999999998</v>
      </c>
      <c r="AF68" s="221">
        <v>4.06E-4</v>
      </c>
      <c r="AG68" s="200"/>
      <c r="AH68" s="200"/>
      <c r="AI68" s="200"/>
      <c r="AJ68" s="200"/>
      <c r="AK68" s="200"/>
      <c r="AL68" s="200"/>
      <c r="AM68" s="200"/>
      <c r="AN68" s="200"/>
      <c r="AO68" s="200"/>
      <c r="AP68" s="200"/>
      <c r="AQ68" s="200"/>
      <c r="AR68" s="200"/>
      <c r="AS68" s="200"/>
      <c r="AT68" s="200"/>
      <c r="AU68" s="200"/>
      <c r="AV68" s="200"/>
      <c r="AW68" s="200"/>
      <c r="AX68" s="200"/>
      <c r="AY68" s="200"/>
      <c r="AZ68" s="200"/>
      <c r="BA68" s="200"/>
    </row>
    <row r="69" spans="1:53" ht="15" customHeight="1" x14ac:dyDescent="0.25">
      <c r="A69" s="198"/>
      <c r="B69" s="219" t="s">
        <v>230</v>
      </c>
      <c r="C69" s="220">
        <v>28.414657999999999</v>
      </c>
      <c r="D69" s="220">
        <v>28.420496</v>
      </c>
      <c r="E69" s="220">
        <v>28.564053999999999</v>
      </c>
      <c r="F69" s="220">
        <v>28.563306999999998</v>
      </c>
      <c r="G69" s="220">
        <v>28.564709000000001</v>
      </c>
      <c r="H69" s="220">
        <v>28.561665000000001</v>
      </c>
      <c r="I69" s="220">
        <v>28.424852000000001</v>
      </c>
      <c r="J69" s="220">
        <v>28.42708</v>
      </c>
      <c r="K69" s="220">
        <v>28.424327999999999</v>
      </c>
      <c r="L69" s="220">
        <v>28.424634999999999</v>
      </c>
      <c r="M69" s="220">
        <v>28.425567999999998</v>
      </c>
      <c r="N69" s="220">
        <v>28.425659</v>
      </c>
      <c r="O69" s="220">
        <v>28.423475</v>
      </c>
      <c r="P69" s="220">
        <v>28.424204</v>
      </c>
      <c r="Q69" s="220">
        <v>28.424821999999999</v>
      </c>
      <c r="R69" s="220">
        <v>28.423915999999998</v>
      </c>
      <c r="S69" s="220">
        <v>28.423408999999999</v>
      </c>
      <c r="T69" s="220">
        <v>28.418621000000002</v>
      </c>
      <c r="U69" s="220">
        <v>28.418154000000001</v>
      </c>
      <c r="V69" s="220">
        <v>28.416595000000001</v>
      </c>
      <c r="W69" s="220">
        <v>28.418688</v>
      </c>
      <c r="X69" s="220">
        <v>28.417397000000001</v>
      </c>
      <c r="Y69" s="220">
        <v>28.418078999999999</v>
      </c>
      <c r="Z69" s="220">
        <v>28.415937</v>
      </c>
      <c r="AA69" s="220">
        <v>28.41695</v>
      </c>
      <c r="AB69" s="220">
        <v>28.417501000000001</v>
      </c>
      <c r="AC69" s="220">
        <v>28.414228000000001</v>
      </c>
      <c r="AD69" s="220">
        <v>28.414781999999999</v>
      </c>
      <c r="AE69" s="220">
        <v>28.414515000000002</v>
      </c>
      <c r="AF69" s="221">
        <v>0</v>
      </c>
      <c r="AG69" s="200"/>
      <c r="AH69" s="200"/>
      <c r="AI69" s="200"/>
      <c r="AJ69" s="200"/>
      <c r="AK69" s="200"/>
      <c r="AL69" s="200"/>
      <c r="AM69" s="200"/>
      <c r="AN69" s="200"/>
      <c r="AO69" s="200"/>
      <c r="AP69" s="200"/>
      <c r="AQ69" s="200"/>
      <c r="AR69" s="200"/>
      <c r="AS69" s="200"/>
      <c r="AT69" s="200"/>
      <c r="AU69" s="200"/>
      <c r="AV69" s="200"/>
      <c r="AW69" s="200"/>
      <c r="AX69" s="200"/>
      <c r="AY69" s="200"/>
      <c r="AZ69" s="200"/>
      <c r="BA69" s="200"/>
    </row>
    <row r="70" spans="1:53" x14ac:dyDescent="0.25">
      <c r="A70" s="198"/>
      <c r="B70" s="219" t="s">
        <v>232</v>
      </c>
      <c r="C70" s="220">
        <v>19.261752999999999</v>
      </c>
      <c r="D70" s="220">
        <v>19.094007000000001</v>
      </c>
      <c r="E70" s="220">
        <v>19.073429000000001</v>
      </c>
      <c r="F70" s="220">
        <v>19.172198999999999</v>
      </c>
      <c r="G70" s="220">
        <v>19.601582000000001</v>
      </c>
      <c r="H70" s="220">
        <v>19.981221999999999</v>
      </c>
      <c r="I70" s="220">
        <v>19.951308999999998</v>
      </c>
      <c r="J70" s="220">
        <v>19.245697</v>
      </c>
      <c r="K70" s="220">
        <v>19.029951000000001</v>
      </c>
      <c r="L70" s="220">
        <v>19.089005</v>
      </c>
      <c r="M70" s="220">
        <v>19.111488000000001</v>
      </c>
      <c r="N70" s="220">
        <v>19.224411</v>
      </c>
      <c r="O70" s="220">
        <v>19.066448000000001</v>
      </c>
      <c r="P70" s="220">
        <v>19.004940000000001</v>
      </c>
      <c r="Q70" s="220">
        <v>18.968260000000001</v>
      </c>
      <c r="R70" s="220">
        <v>19.093116999999999</v>
      </c>
      <c r="S70" s="220">
        <v>19.521412000000002</v>
      </c>
      <c r="T70" s="220">
        <v>19.550014000000001</v>
      </c>
      <c r="U70" s="220">
        <v>19.53932</v>
      </c>
      <c r="V70" s="220">
        <v>19.461977000000001</v>
      </c>
      <c r="W70" s="220">
        <v>19.446017999999999</v>
      </c>
      <c r="X70" s="220">
        <v>19.485047999999999</v>
      </c>
      <c r="Y70" s="220">
        <v>19.506826</v>
      </c>
      <c r="Z70" s="220">
        <v>19.564098000000001</v>
      </c>
      <c r="AA70" s="220">
        <v>19.57564</v>
      </c>
      <c r="AB70" s="220">
        <v>19.575510000000001</v>
      </c>
      <c r="AC70" s="220">
        <v>19.545100999999999</v>
      </c>
      <c r="AD70" s="220">
        <v>19.618680999999999</v>
      </c>
      <c r="AE70" s="220">
        <v>19.498875000000002</v>
      </c>
      <c r="AF70" s="221">
        <v>4.37E-4</v>
      </c>
      <c r="AG70" s="200"/>
      <c r="AH70" s="200"/>
      <c r="AI70" s="200"/>
      <c r="AJ70" s="200"/>
      <c r="AK70" s="200"/>
      <c r="AL70" s="200"/>
      <c r="AM70" s="200"/>
      <c r="AN70" s="200"/>
      <c r="AO70" s="200"/>
      <c r="AP70" s="200"/>
      <c r="AQ70" s="200"/>
      <c r="AR70" s="200"/>
      <c r="AS70" s="200"/>
      <c r="AT70" s="200"/>
      <c r="AU70" s="200"/>
      <c r="AV70" s="200"/>
      <c r="AW70" s="200"/>
      <c r="AX70" s="200"/>
      <c r="AY70" s="200"/>
      <c r="AZ70" s="200"/>
      <c r="BA70" s="200"/>
    </row>
    <row r="71" spans="1:53" ht="15" customHeight="1" x14ac:dyDescent="0.25">
      <c r="A71" s="198"/>
      <c r="B71" s="219" t="s">
        <v>213</v>
      </c>
      <c r="C71" s="220">
        <v>23.859665</v>
      </c>
      <c r="D71" s="220">
        <v>23.823354999999999</v>
      </c>
      <c r="E71" s="220">
        <v>24.306349000000001</v>
      </c>
      <c r="F71" s="220">
        <v>24.259813000000001</v>
      </c>
      <c r="G71" s="220">
        <v>24.157302999999999</v>
      </c>
      <c r="H71" s="220">
        <v>24.166778999999998</v>
      </c>
      <c r="I71" s="220">
        <v>24.341519999999999</v>
      </c>
      <c r="J71" s="220">
        <v>24.347010000000001</v>
      </c>
      <c r="K71" s="220">
        <v>24.354690999999999</v>
      </c>
      <c r="L71" s="220">
        <v>24.360081000000001</v>
      </c>
      <c r="M71" s="220">
        <v>24.36758</v>
      </c>
      <c r="N71" s="220">
        <v>24.405735</v>
      </c>
      <c r="O71" s="220">
        <v>24.413681</v>
      </c>
      <c r="P71" s="220">
        <v>24.419716000000001</v>
      </c>
      <c r="Q71" s="220">
        <v>24.427009999999999</v>
      </c>
      <c r="R71" s="220">
        <v>24.434260999999999</v>
      </c>
      <c r="S71" s="220">
        <v>24.420539999999999</v>
      </c>
      <c r="T71" s="220">
        <v>24.426120999999998</v>
      </c>
      <c r="U71" s="220">
        <v>24.427451999999999</v>
      </c>
      <c r="V71" s="220">
        <v>24.428066000000001</v>
      </c>
      <c r="W71" s="220">
        <v>24.430658000000001</v>
      </c>
      <c r="X71" s="220">
        <v>24.436260000000001</v>
      </c>
      <c r="Y71" s="220">
        <v>24.411711</v>
      </c>
      <c r="Z71" s="220">
        <v>24.416954</v>
      </c>
      <c r="AA71" s="220">
        <v>24.419678000000001</v>
      </c>
      <c r="AB71" s="220">
        <v>24.413703999999999</v>
      </c>
      <c r="AC71" s="220">
        <v>24.385359000000001</v>
      </c>
      <c r="AD71" s="220">
        <v>24.329633999999999</v>
      </c>
      <c r="AE71" s="220">
        <v>24.333667999999999</v>
      </c>
      <c r="AF71" s="221">
        <v>7.0299999999999996E-4</v>
      </c>
      <c r="AG71" s="200"/>
      <c r="AH71" s="200"/>
      <c r="AI71" s="200"/>
      <c r="AJ71" s="200"/>
      <c r="AK71" s="200"/>
      <c r="AL71" s="200"/>
      <c r="AM71" s="200"/>
      <c r="AN71" s="200"/>
      <c r="AO71" s="200"/>
      <c r="AP71" s="200"/>
      <c r="AQ71" s="200"/>
      <c r="AR71" s="200"/>
      <c r="AS71" s="200"/>
      <c r="AT71" s="200"/>
      <c r="AU71" s="200"/>
      <c r="AV71" s="200"/>
      <c r="AW71" s="200"/>
      <c r="AX71" s="200"/>
      <c r="AY71" s="200"/>
      <c r="AZ71" s="200"/>
      <c r="BA71" s="200"/>
    </row>
    <row r="72" spans="1:53" ht="15" customHeight="1" x14ac:dyDescent="0.25">
      <c r="A72" s="198"/>
      <c r="B72" s="219" t="s">
        <v>215</v>
      </c>
      <c r="C72" s="220">
        <v>25.334827000000001</v>
      </c>
      <c r="D72" s="220">
        <v>25.104583999999999</v>
      </c>
      <c r="E72" s="220">
        <v>25.440268</v>
      </c>
      <c r="F72" s="220">
        <v>25.260694999999998</v>
      </c>
      <c r="G72" s="220">
        <v>24.183857</v>
      </c>
      <c r="H72" s="220">
        <v>24.143476</v>
      </c>
      <c r="I72" s="220">
        <v>24.205839000000001</v>
      </c>
      <c r="J72" s="220">
        <v>24.216169000000001</v>
      </c>
      <c r="K72" s="220">
        <v>24.542210000000001</v>
      </c>
      <c r="L72" s="220">
        <v>24.411135000000002</v>
      </c>
      <c r="M72" s="220">
        <v>24.344087999999999</v>
      </c>
      <c r="N72" s="220">
        <v>24.484596</v>
      </c>
      <c r="O72" s="220">
        <v>24.493072999999999</v>
      </c>
      <c r="P72" s="220">
        <v>24.428740999999999</v>
      </c>
      <c r="Q72" s="220">
        <v>24.565546000000001</v>
      </c>
      <c r="R72" s="220">
        <v>24.314209000000002</v>
      </c>
      <c r="S72" s="220">
        <v>24.333238999999999</v>
      </c>
      <c r="T72" s="220">
        <v>24.333513</v>
      </c>
      <c r="U72" s="220">
        <v>24.421448000000002</v>
      </c>
      <c r="V72" s="220">
        <v>24.449455</v>
      </c>
      <c r="W72" s="220">
        <v>24.400551</v>
      </c>
      <c r="X72" s="220">
        <v>24.57086</v>
      </c>
      <c r="Y72" s="220">
        <v>24.596798</v>
      </c>
      <c r="Z72" s="220">
        <v>24.589790000000001</v>
      </c>
      <c r="AA72" s="220">
        <v>24.643401999999998</v>
      </c>
      <c r="AB72" s="220">
        <v>24.656141000000002</v>
      </c>
      <c r="AC72" s="220">
        <v>24.537496999999998</v>
      </c>
      <c r="AD72" s="220">
        <v>24.472774999999999</v>
      </c>
      <c r="AE72" s="220">
        <v>24.429749000000001</v>
      </c>
      <c r="AF72" s="221">
        <v>-1.2979999999999999E-3</v>
      </c>
      <c r="AG72" s="200"/>
      <c r="AH72" s="200"/>
      <c r="AI72" s="200"/>
      <c r="AJ72" s="200"/>
      <c r="AK72" s="200"/>
      <c r="AL72" s="200"/>
      <c r="AM72" s="200"/>
      <c r="AN72" s="200"/>
      <c r="AO72" s="200"/>
      <c r="AP72" s="200"/>
      <c r="AQ72" s="200"/>
      <c r="AR72" s="200"/>
      <c r="AS72" s="200"/>
      <c r="AT72" s="200"/>
      <c r="AU72" s="200"/>
      <c r="AV72" s="200"/>
      <c r="AW72" s="200"/>
      <c r="AX72" s="200"/>
      <c r="AY72" s="200"/>
      <c r="AZ72" s="200"/>
      <c r="BA72" s="200"/>
    </row>
    <row r="73" spans="1:53" ht="15" customHeight="1" x14ac:dyDescent="0.25">
      <c r="A73" s="198"/>
      <c r="B73" s="219" t="s">
        <v>236</v>
      </c>
      <c r="C73" s="220" t="s">
        <v>474</v>
      </c>
      <c r="D73" s="220" t="s">
        <v>474</v>
      </c>
      <c r="E73" s="220" t="s">
        <v>474</v>
      </c>
      <c r="F73" s="220" t="s">
        <v>474</v>
      </c>
      <c r="G73" s="220" t="s">
        <v>474</v>
      </c>
      <c r="H73" s="220" t="s">
        <v>474</v>
      </c>
      <c r="I73" s="220" t="s">
        <v>474</v>
      </c>
      <c r="J73" s="220" t="s">
        <v>474</v>
      </c>
      <c r="K73" s="220" t="s">
        <v>474</v>
      </c>
      <c r="L73" s="220" t="s">
        <v>474</v>
      </c>
      <c r="M73" s="220" t="s">
        <v>474</v>
      </c>
      <c r="N73" s="220" t="s">
        <v>474</v>
      </c>
      <c r="O73" s="220" t="s">
        <v>474</v>
      </c>
      <c r="P73" s="220" t="s">
        <v>474</v>
      </c>
      <c r="Q73" s="220" t="s">
        <v>474</v>
      </c>
      <c r="R73" s="220" t="s">
        <v>474</v>
      </c>
      <c r="S73" s="220" t="s">
        <v>474</v>
      </c>
      <c r="T73" s="220" t="s">
        <v>474</v>
      </c>
      <c r="U73" s="220" t="s">
        <v>474</v>
      </c>
      <c r="V73" s="220" t="s">
        <v>474</v>
      </c>
      <c r="W73" s="220" t="s">
        <v>474</v>
      </c>
      <c r="X73" s="220" t="s">
        <v>474</v>
      </c>
      <c r="Y73" s="220" t="s">
        <v>474</v>
      </c>
      <c r="Z73" s="220" t="s">
        <v>474</v>
      </c>
      <c r="AA73" s="220" t="s">
        <v>474</v>
      </c>
      <c r="AB73" s="220" t="s">
        <v>474</v>
      </c>
      <c r="AC73" s="220" t="s">
        <v>474</v>
      </c>
      <c r="AD73" s="220" t="s">
        <v>474</v>
      </c>
      <c r="AE73" s="220" t="s">
        <v>474</v>
      </c>
      <c r="AF73" s="221" t="s">
        <v>474</v>
      </c>
      <c r="AG73" s="200" t="s">
        <v>474</v>
      </c>
      <c r="AH73" s="200" t="s">
        <v>474</v>
      </c>
      <c r="AI73" s="200" t="s">
        <v>474</v>
      </c>
      <c r="AJ73" s="200" t="s">
        <v>474</v>
      </c>
      <c r="AK73" s="200" t="s">
        <v>474</v>
      </c>
      <c r="AL73" s="200" t="s">
        <v>474</v>
      </c>
      <c r="AM73" s="200" t="s">
        <v>474</v>
      </c>
      <c r="AN73" s="200" t="s">
        <v>474</v>
      </c>
      <c r="AO73" s="200" t="s">
        <v>474</v>
      </c>
      <c r="AP73" s="200" t="s">
        <v>474</v>
      </c>
      <c r="AQ73" s="200" t="s">
        <v>474</v>
      </c>
      <c r="AR73" s="200" t="s">
        <v>474</v>
      </c>
      <c r="AS73" s="200" t="s">
        <v>474</v>
      </c>
      <c r="AT73" s="200" t="s">
        <v>474</v>
      </c>
      <c r="AU73" s="200" t="s">
        <v>474</v>
      </c>
      <c r="AV73" s="200" t="s">
        <v>474</v>
      </c>
      <c r="AW73" s="200" t="s">
        <v>474</v>
      </c>
      <c r="AX73" s="200" t="s">
        <v>474</v>
      </c>
      <c r="AY73" s="200" t="s">
        <v>474</v>
      </c>
      <c r="AZ73" s="200" t="s">
        <v>474</v>
      </c>
      <c r="BA73" s="200" t="s">
        <v>474</v>
      </c>
    </row>
    <row r="74" spans="1:53" ht="15" customHeight="1" x14ac:dyDescent="0.25">
      <c r="A74" s="198"/>
      <c r="B74" s="219" t="s">
        <v>238</v>
      </c>
      <c r="C74" s="220">
        <v>12.525999000000001</v>
      </c>
      <c r="D74" s="220">
        <v>12.526001000000001</v>
      </c>
      <c r="E74" s="220">
        <v>12.525999000000001</v>
      </c>
      <c r="F74" s="220">
        <v>12.526</v>
      </c>
      <c r="G74" s="220">
        <v>12.526001000000001</v>
      </c>
      <c r="H74" s="220">
        <v>12.526</v>
      </c>
      <c r="I74" s="220">
        <v>12.526</v>
      </c>
      <c r="J74" s="220">
        <v>12.526001000000001</v>
      </c>
      <c r="K74" s="220">
        <v>12.526001000000001</v>
      </c>
      <c r="L74" s="220">
        <v>12.526</v>
      </c>
      <c r="M74" s="220">
        <v>12.526</v>
      </c>
      <c r="N74" s="220">
        <v>12.525999000000001</v>
      </c>
      <c r="O74" s="220">
        <v>12.526</v>
      </c>
      <c r="P74" s="220">
        <v>12.526</v>
      </c>
      <c r="Q74" s="220">
        <v>12.526</v>
      </c>
      <c r="R74" s="220">
        <v>12.526</v>
      </c>
      <c r="S74" s="220">
        <v>12.526</v>
      </c>
      <c r="T74" s="220">
        <v>12.526</v>
      </c>
      <c r="U74" s="220">
        <v>12.526</v>
      </c>
      <c r="V74" s="220">
        <v>12.526</v>
      </c>
      <c r="W74" s="220">
        <v>12.525999000000001</v>
      </c>
      <c r="X74" s="220">
        <v>12.526</v>
      </c>
      <c r="Y74" s="220">
        <v>12.525999000000001</v>
      </c>
      <c r="Z74" s="220">
        <v>12.526</v>
      </c>
      <c r="AA74" s="220">
        <v>12.526001000000001</v>
      </c>
      <c r="AB74" s="220">
        <v>12.526001000000001</v>
      </c>
      <c r="AC74" s="220">
        <v>12.525999000000001</v>
      </c>
      <c r="AD74" s="220">
        <v>12.526001000000001</v>
      </c>
      <c r="AE74" s="220">
        <v>12.526</v>
      </c>
      <c r="AF74" s="221">
        <v>0</v>
      </c>
      <c r="AG74" s="200"/>
      <c r="AH74" s="200"/>
      <c r="AI74" s="200"/>
      <c r="AJ74" s="200"/>
      <c r="AK74" s="200"/>
      <c r="AL74" s="200"/>
      <c r="AM74" s="200"/>
      <c r="AN74" s="200"/>
      <c r="AO74" s="200"/>
      <c r="AP74" s="200"/>
      <c r="AQ74" s="200"/>
      <c r="AR74" s="200"/>
      <c r="AS74" s="200"/>
      <c r="AT74" s="200"/>
      <c r="AU74" s="200"/>
      <c r="AV74" s="200"/>
      <c r="AW74" s="200"/>
      <c r="AX74" s="200"/>
      <c r="AY74" s="200"/>
      <c r="AZ74" s="200"/>
      <c r="BA74" s="200"/>
    </row>
    <row r="75" spans="1:53" ht="15" customHeight="1" x14ac:dyDescent="0.25">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B75" s="200"/>
      <c r="AC75" s="200"/>
      <c r="AD75" s="200"/>
      <c r="AE75" s="200"/>
      <c r="AF75" s="200"/>
      <c r="AG75" s="200"/>
      <c r="AH75" s="200"/>
      <c r="AI75" s="200"/>
      <c r="AJ75" s="200"/>
      <c r="AK75" s="200"/>
      <c r="AL75" s="200"/>
      <c r="AM75" s="200"/>
      <c r="AN75" s="200"/>
      <c r="AO75" s="200"/>
      <c r="AP75" s="200"/>
      <c r="AQ75" s="200"/>
      <c r="AR75" s="200"/>
      <c r="AS75" s="200"/>
      <c r="AT75" s="200"/>
      <c r="AU75" s="200"/>
      <c r="AV75" s="200"/>
      <c r="AW75" s="200"/>
      <c r="AX75" s="200"/>
      <c r="AY75" s="200"/>
      <c r="AZ75" s="200"/>
      <c r="BA75" s="200"/>
    </row>
    <row r="76" spans="1:53" ht="15" customHeight="1" x14ac:dyDescent="0.25">
      <c r="B76" s="218" t="s">
        <v>469</v>
      </c>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B76" s="200"/>
      <c r="AC76" s="200"/>
      <c r="AD76" s="200"/>
      <c r="AE76" s="200"/>
      <c r="AF76" s="200"/>
      <c r="AG76" s="200"/>
      <c r="AH76" s="200"/>
      <c r="AI76" s="200"/>
      <c r="AJ76" s="200"/>
      <c r="AK76" s="200"/>
      <c r="AL76" s="200"/>
      <c r="AM76" s="200"/>
      <c r="AN76" s="200"/>
      <c r="AO76" s="200"/>
      <c r="AP76" s="200"/>
      <c r="AQ76" s="200"/>
      <c r="AR76" s="200"/>
      <c r="AS76" s="200"/>
      <c r="AT76" s="200"/>
      <c r="AU76" s="200"/>
      <c r="AV76" s="200"/>
      <c r="AW76" s="200"/>
      <c r="AX76" s="200"/>
      <c r="AY76" s="200"/>
      <c r="AZ76" s="200"/>
      <c r="BA76" s="200"/>
    </row>
    <row r="77" spans="1:53" ht="15" customHeight="1" x14ac:dyDescent="0.25">
      <c r="B77" s="218" t="s">
        <v>470</v>
      </c>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B77" s="200"/>
      <c r="AC77" s="200"/>
      <c r="AD77" s="200"/>
      <c r="AE77" s="200"/>
      <c r="AF77" s="200"/>
      <c r="AG77" s="200"/>
      <c r="AH77" s="200"/>
      <c r="AI77" s="200"/>
      <c r="AJ77" s="200"/>
      <c r="AK77" s="200"/>
      <c r="AL77" s="200"/>
      <c r="AM77" s="200"/>
      <c r="AN77" s="200"/>
      <c r="AO77" s="200"/>
      <c r="AP77" s="200"/>
      <c r="AQ77" s="200"/>
      <c r="AR77" s="200"/>
      <c r="AS77" s="200"/>
      <c r="AT77" s="200"/>
      <c r="AU77" s="200"/>
      <c r="AV77" s="200"/>
      <c r="AW77" s="200"/>
      <c r="AX77" s="200"/>
      <c r="AY77" s="200"/>
      <c r="AZ77" s="200"/>
      <c r="BA77" s="200"/>
    </row>
    <row r="78" spans="1:53" x14ac:dyDescent="0.25">
      <c r="A78" s="198"/>
      <c r="B78" s="219" t="s">
        <v>471</v>
      </c>
      <c r="C78" s="223">
        <v>3412</v>
      </c>
      <c r="D78" s="223">
        <v>3412</v>
      </c>
      <c r="E78" s="223">
        <v>3412</v>
      </c>
      <c r="F78" s="223">
        <v>3412</v>
      </c>
      <c r="G78" s="223">
        <v>3412</v>
      </c>
      <c r="H78" s="223">
        <v>3412</v>
      </c>
      <c r="I78" s="223">
        <v>3412</v>
      </c>
      <c r="J78" s="223">
        <v>3412</v>
      </c>
      <c r="K78" s="223">
        <v>3412</v>
      </c>
      <c r="L78" s="223">
        <v>3412</v>
      </c>
      <c r="M78" s="223">
        <v>3412</v>
      </c>
      <c r="N78" s="223">
        <v>3412</v>
      </c>
      <c r="O78" s="223">
        <v>3412</v>
      </c>
      <c r="P78" s="223">
        <v>3412</v>
      </c>
      <c r="Q78" s="223">
        <v>3412</v>
      </c>
      <c r="R78" s="223">
        <v>3412</v>
      </c>
      <c r="S78" s="223">
        <v>3412</v>
      </c>
      <c r="T78" s="223">
        <v>3412</v>
      </c>
      <c r="U78" s="223">
        <v>3412</v>
      </c>
      <c r="V78" s="223">
        <v>3412</v>
      </c>
      <c r="W78" s="223">
        <v>3412</v>
      </c>
      <c r="X78" s="223">
        <v>3412</v>
      </c>
      <c r="Y78" s="223">
        <v>3412</v>
      </c>
      <c r="Z78" s="223">
        <v>3412</v>
      </c>
      <c r="AA78" s="223">
        <v>3412</v>
      </c>
      <c r="AB78" s="223">
        <v>3412</v>
      </c>
      <c r="AC78" s="223">
        <v>3412</v>
      </c>
      <c r="AD78" s="223">
        <v>3412</v>
      </c>
      <c r="AE78" s="223">
        <v>3412</v>
      </c>
      <c r="AF78" s="221">
        <v>0</v>
      </c>
      <c r="AG78" s="200"/>
      <c r="AH78" s="200"/>
      <c r="AI78" s="200"/>
      <c r="AJ78" s="200"/>
      <c r="AK78" s="200"/>
      <c r="AL78" s="200"/>
      <c r="AM78" s="200"/>
      <c r="AN78" s="200"/>
      <c r="AO78" s="200"/>
      <c r="AP78" s="200"/>
      <c r="AQ78" s="200"/>
      <c r="AR78" s="200"/>
      <c r="AS78" s="200"/>
      <c r="AT78" s="200"/>
      <c r="AU78" s="200"/>
      <c r="AV78" s="200"/>
      <c r="AW78" s="200"/>
      <c r="AX78" s="200"/>
      <c r="AY78" s="200"/>
      <c r="AZ78" s="200"/>
      <c r="BA78" s="200"/>
    </row>
    <row r="79" spans="1:53" ht="15" customHeight="1" thickBot="1" x14ac:dyDescent="0.3">
      <c r="A79" s="198"/>
      <c r="B79" s="219" t="s">
        <v>473</v>
      </c>
      <c r="C79" s="223">
        <v>8704.7636719999991</v>
      </c>
      <c r="D79" s="223">
        <v>8578.2412110000005</v>
      </c>
      <c r="E79" s="223">
        <v>8637.2558590000008</v>
      </c>
      <c r="F79" s="223">
        <v>8588.453125</v>
      </c>
      <c r="G79" s="223">
        <v>8512.0644530000009</v>
      </c>
      <c r="H79" s="223">
        <v>8435.9892579999996</v>
      </c>
      <c r="I79" s="223">
        <v>8346.515625</v>
      </c>
      <c r="J79" s="223">
        <v>8291.6826170000004</v>
      </c>
      <c r="K79" s="223">
        <v>8261.0888670000004</v>
      </c>
      <c r="L79" s="223">
        <v>8271.4091800000006</v>
      </c>
      <c r="M79" s="223">
        <v>8287.5830079999996</v>
      </c>
      <c r="N79" s="223">
        <v>8311.3779300000006</v>
      </c>
      <c r="O79" s="223">
        <v>8325.2792969999991</v>
      </c>
      <c r="P79" s="223">
        <v>8337.6533199999994</v>
      </c>
      <c r="Q79" s="223">
        <v>8327.5019530000009</v>
      </c>
      <c r="R79" s="223">
        <v>8296.8251949999994</v>
      </c>
      <c r="S79" s="223">
        <v>8242.8730469999991</v>
      </c>
      <c r="T79" s="223">
        <v>8227.1269530000009</v>
      </c>
      <c r="U79" s="223">
        <v>8192.4570309999999</v>
      </c>
      <c r="V79" s="223">
        <v>8198.7402340000008</v>
      </c>
      <c r="W79" s="223">
        <v>8188.8388670000004</v>
      </c>
      <c r="X79" s="223">
        <v>8173.1420900000003</v>
      </c>
      <c r="Y79" s="223">
        <v>8166.9145509999998</v>
      </c>
      <c r="Z79" s="223">
        <v>8150.8017579999996</v>
      </c>
      <c r="AA79" s="223">
        <v>8133.8295900000003</v>
      </c>
      <c r="AB79" s="223">
        <v>8130.3310549999997</v>
      </c>
      <c r="AC79" s="223">
        <v>8101.1708980000003</v>
      </c>
      <c r="AD79" s="223">
        <v>8098.4907229999999</v>
      </c>
      <c r="AE79" s="223">
        <v>8065.7133789999998</v>
      </c>
      <c r="AF79" s="221">
        <v>-2.7190000000000001E-3</v>
      </c>
      <c r="AG79" s="200"/>
      <c r="AH79" s="200"/>
      <c r="AI79" s="200"/>
      <c r="AJ79" s="200"/>
      <c r="AK79" s="200"/>
      <c r="AL79" s="200"/>
      <c r="AM79" s="200"/>
      <c r="AN79" s="200"/>
      <c r="AO79" s="200"/>
      <c r="AP79" s="200"/>
      <c r="AQ79" s="200"/>
      <c r="AR79" s="200"/>
      <c r="AS79" s="200"/>
      <c r="AT79" s="200"/>
      <c r="AU79" s="200"/>
      <c r="AV79" s="200"/>
      <c r="AW79" s="200"/>
      <c r="AX79" s="200"/>
      <c r="AY79" s="200"/>
      <c r="AZ79" s="200"/>
      <c r="BA79" s="200"/>
    </row>
    <row r="80" spans="1:53" ht="15" customHeight="1" x14ac:dyDescent="0.25">
      <c r="B80" s="290" t="s">
        <v>491</v>
      </c>
      <c r="C80" s="291"/>
      <c r="D80" s="291"/>
      <c r="E80" s="291"/>
      <c r="F80" s="291"/>
      <c r="G80" s="291"/>
      <c r="H80" s="291"/>
      <c r="I80" s="291"/>
      <c r="J80" s="291"/>
      <c r="K80" s="291"/>
      <c r="L80" s="291"/>
      <c r="M80" s="291"/>
      <c r="N80" s="291"/>
      <c r="O80" s="291"/>
      <c r="P80" s="291"/>
      <c r="Q80" s="291"/>
      <c r="R80" s="291"/>
      <c r="S80" s="291"/>
      <c r="T80" s="291"/>
      <c r="U80" s="291"/>
      <c r="V80" s="291"/>
      <c r="W80" s="291"/>
      <c r="X80" s="291"/>
      <c r="Y80" s="291"/>
      <c r="Z80" s="291"/>
      <c r="AA80" s="291"/>
      <c r="AB80" s="291"/>
      <c r="AC80" s="291"/>
      <c r="AD80" s="291"/>
      <c r="AE80" s="291"/>
      <c r="AF80" s="291"/>
      <c r="AG80" s="291"/>
      <c r="AH80" s="222"/>
      <c r="AI80" s="200"/>
      <c r="AJ80" s="200"/>
      <c r="AK80" s="200"/>
      <c r="AL80" s="200"/>
      <c r="AM80" s="200"/>
      <c r="AN80" s="200"/>
      <c r="AO80" s="200"/>
      <c r="AP80" s="200"/>
      <c r="AQ80" s="200"/>
      <c r="AR80" s="200"/>
      <c r="AS80" s="200"/>
      <c r="AT80" s="200"/>
      <c r="AU80" s="200"/>
      <c r="AV80" s="200"/>
      <c r="AW80" s="200"/>
      <c r="AX80" s="200"/>
      <c r="AY80" s="200"/>
      <c r="AZ80" s="200"/>
      <c r="BA80" s="200"/>
    </row>
    <row r="81" spans="2:53" ht="15" customHeight="1" x14ac:dyDescent="0.25">
      <c r="B81" s="200" t="s">
        <v>492</v>
      </c>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B81" s="200"/>
      <c r="AC81" s="200"/>
      <c r="AD81" s="200"/>
      <c r="AE81" s="200"/>
      <c r="AF81" s="200"/>
      <c r="AG81" s="200"/>
      <c r="AH81" s="200"/>
      <c r="AI81" s="200"/>
      <c r="AJ81" s="200"/>
      <c r="AK81" s="200"/>
      <c r="AL81" s="200"/>
      <c r="AM81" s="200"/>
      <c r="AN81" s="200"/>
      <c r="AO81" s="200"/>
      <c r="AP81" s="200"/>
      <c r="AQ81" s="200"/>
      <c r="AR81" s="200"/>
      <c r="AS81" s="200"/>
      <c r="AT81" s="200"/>
      <c r="AU81" s="200"/>
      <c r="AV81" s="200"/>
      <c r="AW81" s="200"/>
      <c r="AX81" s="200"/>
      <c r="AY81" s="200"/>
      <c r="AZ81" s="200"/>
      <c r="BA81" s="200"/>
    </row>
    <row r="82" spans="2:53" ht="15" customHeight="1" x14ac:dyDescent="0.25">
      <c r="B82" s="200" t="s">
        <v>493</v>
      </c>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B82" s="200"/>
      <c r="AC82" s="200"/>
      <c r="AD82" s="200"/>
      <c r="AE82" s="200"/>
      <c r="AF82" s="200"/>
      <c r="AG82" s="200"/>
      <c r="AH82" s="200"/>
      <c r="AI82" s="200"/>
      <c r="AJ82" s="200"/>
      <c r="AK82" s="200"/>
      <c r="AL82" s="200"/>
      <c r="AM82" s="200"/>
      <c r="AN82" s="200"/>
      <c r="AO82" s="200"/>
      <c r="AP82" s="200"/>
      <c r="AQ82" s="200"/>
      <c r="AR82" s="200"/>
      <c r="AS82" s="200"/>
      <c r="AT82" s="200"/>
      <c r="AU82" s="200"/>
      <c r="AV82" s="200"/>
      <c r="AW82" s="200"/>
      <c r="AX82" s="200"/>
      <c r="AY82" s="200"/>
      <c r="AZ82" s="200"/>
      <c r="BA82" s="200"/>
    </row>
    <row r="83" spans="2:53" ht="15" customHeight="1" x14ac:dyDescent="0.25">
      <c r="B83" s="200" t="s">
        <v>494</v>
      </c>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B83" s="200"/>
      <c r="AC83" s="200"/>
      <c r="AD83" s="200"/>
      <c r="AE83" s="200"/>
      <c r="AF83" s="200"/>
      <c r="AG83" s="200"/>
      <c r="AH83" s="200"/>
      <c r="AI83" s="200"/>
      <c r="AJ83" s="200"/>
      <c r="AK83" s="200"/>
      <c r="AL83" s="200"/>
      <c r="AM83" s="200"/>
      <c r="AN83" s="200"/>
      <c r="AO83" s="200"/>
      <c r="AP83" s="200"/>
      <c r="AQ83" s="200"/>
      <c r="AR83" s="200"/>
      <c r="AS83" s="200"/>
      <c r="AT83" s="200"/>
      <c r="AU83" s="200"/>
      <c r="AV83" s="200"/>
      <c r="AW83" s="200"/>
      <c r="AX83" s="200"/>
      <c r="AY83" s="200"/>
      <c r="AZ83" s="200"/>
      <c r="BA83" s="200"/>
    </row>
    <row r="84" spans="2:53" x14ac:dyDescent="0.25">
      <c r="B84" s="200" t="s">
        <v>495</v>
      </c>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200"/>
      <c r="AR84" s="200"/>
      <c r="AS84" s="200"/>
      <c r="AT84" s="200"/>
      <c r="AU84" s="200"/>
      <c r="AV84" s="200"/>
      <c r="AW84" s="200"/>
      <c r="AX84" s="200"/>
      <c r="AY84" s="200"/>
      <c r="AZ84" s="200"/>
      <c r="BA84" s="200"/>
    </row>
    <row r="85" spans="2:53" ht="15" customHeight="1" x14ac:dyDescent="0.25">
      <c r="B85" s="200" t="s">
        <v>468</v>
      </c>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200"/>
      <c r="AR85" s="200"/>
      <c r="AS85" s="200"/>
      <c r="AT85" s="200"/>
      <c r="AU85" s="200"/>
      <c r="AV85" s="200"/>
      <c r="AW85" s="200"/>
      <c r="AX85" s="200"/>
      <c r="AY85" s="200"/>
      <c r="AZ85" s="200"/>
      <c r="BA85" s="200"/>
    </row>
    <row r="86" spans="2:53" ht="15" customHeight="1" x14ac:dyDescent="0.25">
      <c r="B86" s="200" t="s">
        <v>496</v>
      </c>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200"/>
      <c r="AR86" s="200"/>
      <c r="AS86" s="200"/>
      <c r="AT86" s="200"/>
      <c r="AU86" s="200"/>
      <c r="AV86" s="200"/>
      <c r="AW86" s="200"/>
      <c r="AX86" s="200"/>
      <c r="AY86" s="200"/>
      <c r="AZ86" s="200"/>
      <c r="BA86" s="200"/>
    </row>
    <row r="87" spans="2:53" ht="15" customHeight="1" x14ac:dyDescent="0.25">
      <c r="B87" s="200" t="s">
        <v>497</v>
      </c>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200"/>
      <c r="AR87" s="200"/>
      <c r="AS87" s="200"/>
      <c r="AT87" s="200"/>
      <c r="AU87" s="200"/>
      <c r="AV87" s="200"/>
      <c r="AW87" s="200"/>
      <c r="AX87" s="200"/>
      <c r="AY87" s="200"/>
      <c r="AZ87" s="200"/>
      <c r="BA87" s="200"/>
    </row>
    <row r="88" spans="2:53" ht="15" customHeight="1" x14ac:dyDescent="0.25">
      <c r="B88" s="292"/>
      <c r="C88" s="292"/>
      <c r="D88" s="292"/>
      <c r="E88" s="292"/>
      <c r="F88" s="292"/>
      <c r="G88" s="292"/>
      <c r="H88" s="292"/>
      <c r="I88" s="292"/>
      <c r="J88" s="292"/>
      <c r="K88" s="292"/>
      <c r="L88" s="292"/>
      <c r="M88" s="292"/>
      <c r="N88" s="292"/>
      <c r="O88" s="292"/>
      <c r="P88" s="292"/>
      <c r="Q88" s="292"/>
      <c r="R88" s="292"/>
      <c r="S88" s="292"/>
      <c r="T88" s="292"/>
      <c r="U88" s="292"/>
      <c r="V88" s="292"/>
      <c r="W88" s="292"/>
      <c r="X88" s="292"/>
      <c r="Y88" s="292"/>
      <c r="Z88" s="292"/>
      <c r="AA88" s="292"/>
      <c r="AB88" s="292"/>
      <c r="AC88" s="292"/>
      <c r="AD88" s="292"/>
      <c r="AE88" s="292"/>
      <c r="AF88" s="292"/>
      <c r="AG88" s="200"/>
      <c r="AH88" s="200"/>
      <c r="AI88" s="200"/>
      <c r="AJ88" s="200"/>
      <c r="AK88" s="200"/>
      <c r="AL88" s="200"/>
      <c r="AM88" s="200"/>
      <c r="AN88" s="200"/>
      <c r="AO88" s="200"/>
      <c r="AP88" s="200"/>
      <c r="AQ88" s="200"/>
      <c r="AR88" s="200"/>
      <c r="AS88" s="200"/>
      <c r="AT88" s="200"/>
      <c r="AU88" s="200"/>
      <c r="AV88" s="200"/>
      <c r="AW88" s="200"/>
      <c r="AX88" s="200"/>
      <c r="AY88" s="200"/>
      <c r="AZ88" s="200"/>
      <c r="BA88" s="200"/>
    </row>
    <row r="89" spans="2:53" ht="15" customHeight="1" x14ac:dyDescent="0.25">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200"/>
      <c r="AR89" s="200"/>
      <c r="AS89" s="200"/>
      <c r="AT89" s="200"/>
      <c r="AU89" s="200"/>
      <c r="AV89" s="200"/>
      <c r="AW89" s="200"/>
      <c r="AX89" s="200"/>
      <c r="AY89" s="200"/>
      <c r="AZ89" s="200"/>
      <c r="BA89" s="200"/>
    </row>
    <row r="90" spans="2:53" ht="15" customHeight="1" x14ac:dyDescent="0.25">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200"/>
      <c r="AR90" s="200"/>
      <c r="AS90" s="200"/>
      <c r="AT90" s="200"/>
      <c r="AU90" s="200"/>
      <c r="AV90" s="200"/>
      <c r="AW90" s="200"/>
      <c r="AX90" s="200"/>
      <c r="AY90" s="200"/>
      <c r="AZ90" s="200"/>
      <c r="BA90" s="200"/>
    </row>
    <row r="91" spans="2:53" ht="15" customHeight="1" x14ac:dyDescent="0.25">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row>
    <row r="92" spans="2:53" ht="15" customHeight="1" x14ac:dyDescent="0.25">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200"/>
      <c r="AR92" s="200"/>
      <c r="AS92" s="200"/>
      <c r="AT92" s="200"/>
      <c r="AU92" s="200"/>
      <c r="AV92" s="200"/>
      <c r="AW92" s="200"/>
      <c r="AX92" s="200"/>
      <c r="AY92" s="200"/>
      <c r="AZ92" s="200"/>
      <c r="BA92" s="200"/>
    </row>
    <row r="93" spans="2:53" ht="15" customHeight="1" x14ac:dyDescent="0.25">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row>
    <row r="94" spans="2:53" ht="15" customHeight="1" x14ac:dyDescent="0.25">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200"/>
      <c r="AR94" s="200"/>
      <c r="AS94" s="200"/>
      <c r="AT94" s="200"/>
      <c r="AU94" s="200"/>
      <c r="AV94" s="200"/>
      <c r="AW94" s="200"/>
      <c r="AX94" s="200"/>
      <c r="AY94" s="200"/>
      <c r="AZ94" s="200"/>
      <c r="BA94" s="200"/>
    </row>
    <row r="95" spans="2:53" ht="15" customHeight="1" x14ac:dyDescent="0.25">
      <c r="B95" s="200"/>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row>
    <row r="96" spans="2:53" ht="15" customHeight="1" x14ac:dyDescent="0.25">
      <c r="B96" s="200"/>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200"/>
      <c r="AR96" s="200"/>
      <c r="AS96" s="200"/>
      <c r="AT96" s="200"/>
      <c r="AU96" s="200"/>
      <c r="AV96" s="200"/>
      <c r="AW96" s="200"/>
      <c r="AX96" s="200"/>
      <c r="AY96" s="200"/>
      <c r="AZ96" s="200"/>
      <c r="BA96" s="200"/>
    </row>
    <row r="97" spans="2:53" ht="15" customHeight="1" x14ac:dyDescent="0.25">
      <c r="B97" s="200"/>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200"/>
      <c r="AR97" s="200"/>
      <c r="AS97" s="200"/>
      <c r="AT97" s="200"/>
      <c r="AU97" s="200"/>
      <c r="AV97" s="200"/>
      <c r="AW97" s="200"/>
      <c r="AX97" s="200"/>
      <c r="AY97" s="200"/>
      <c r="AZ97" s="200"/>
      <c r="BA97" s="200"/>
    </row>
    <row r="98" spans="2:53" ht="15" customHeight="1" x14ac:dyDescent="0.25">
      <c r="B98" s="200"/>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200"/>
      <c r="AR98" s="200"/>
      <c r="AS98" s="200"/>
      <c r="AT98" s="200"/>
      <c r="AU98" s="200"/>
      <c r="AV98" s="200"/>
      <c r="AW98" s="200"/>
      <c r="AX98" s="200"/>
      <c r="AY98" s="200"/>
      <c r="AZ98" s="200"/>
      <c r="BA98" s="200"/>
    </row>
    <row r="99" spans="2:53" ht="15" customHeight="1" x14ac:dyDescent="0.25">
      <c r="B99" s="200"/>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200"/>
      <c r="AR99" s="200"/>
      <c r="AS99" s="200"/>
      <c r="AT99" s="200"/>
      <c r="AU99" s="200"/>
      <c r="AV99" s="200"/>
      <c r="AW99" s="200"/>
      <c r="AX99" s="200"/>
      <c r="AY99" s="200"/>
      <c r="AZ99" s="200"/>
      <c r="BA99" s="200"/>
    </row>
    <row r="100" spans="2:53" ht="15" customHeight="1" x14ac:dyDescent="0.25">
      <c r="B100" s="200"/>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200"/>
      <c r="AR100" s="200"/>
      <c r="AS100" s="200"/>
      <c r="AT100" s="200"/>
      <c r="AU100" s="200"/>
      <c r="AV100" s="200"/>
      <c r="AW100" s="200"/>
      <c r="AX100" s="200"/>
      <c r="AY100" s="200"/>
      <c r="AZ100" s="200"/>
      <c r="BA100" s="200"/>
    </row>
    <row r="101" spans="2:53" ht="15" customHeight="1" x14ac:dyDescent="0.25">
      <c r="B101" s="200"/>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200"/>
      <c r="AR101" s="200"/>
      <c r="AS101" s="200"/>
      <c r="AT101" s="200"/>
      <c r="AU101" s="200"/>
      <c r="AV101" s="200"/>
      <c r="AW101" s="200"/>
      <c r="AX101" s="200"/>
      <c r="AY101" s="200"/>
      <c r="AZ101" s="200"/>
      <c r="BA101" s="200"/>
    </row>
    <row r="102" spans="2:53" ht="15" customHeight="1" x14ac:dyDescent="0.25">
      <c r="B102" s="200"/>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200"/>
      <c r="AR102" s="200"/>
      <c r="AS102" s="200"/>
      <c r="AT102" s="200"/>
      <c r="AU102" s="200"/>
      <c r="AV102" s="200"/>
      <c r="AW102" s="200"/>
      <c r="AX102" s="200"/>
      <c r="AY102" s="200"/>
      <c r="AZ102" s="200"/>
      <c r="BA102" s="200"/>
    </row>
    <row r="103" spans="2:53" ht="15" customHeight="1" x14ac:dyDescent="0.25">
      <c r="B103" s="200"/>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200"/>
      <c r="AR103" s="200"/>
      <c r="AS103" s="200"/>
      <c r="AT103" s="200"/>
      <c r="AU103" s="200"/>
      <c r="AV103" s="200"/>
      <c r="AW103" s="200"/>
      <c r="AX103" s="200"/>
      <c r="AY103" s="200"/>
      <c r="AZ103" s="200"/>
      <c r="BA103" s="200"/>
    </row>
    <row r="104" spans="2:53" ht="15" customHeight="1" x14ac:dyDescent="0.25">
      <c r="B104" s="200"/>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200"/>
      <c r="AX104" s="200"/>
      <c r="AY104" s="200"/>
      <c r="AZ104" s="200"/>
      <c r="BA104" s="200"/>
    </row>
    <row r="105" spans="2:53" ht="15" customHeight="1" x14ac:dyDescent="0.25">
      <c r="B105" s="200"/>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200"/>
      <c r="AR105" s="200"/>
      <c r="AS105" s="200"/>
      <c r="AT105" s="200"/>
      <c r="AU105" s="200"/>
      <c r="AV105" s="200"/>
      <c r="AW105" s="200"/>
      <c r="AX105" s="200"/>
      <c r="AY105" s="200"/>
      <c r="AZ105" s="200"/>
      <c r="BA105" s="200"/>
    </row>
    <row r="106" spans="2:53" ht="15" customHeight="1" x14ac:dyDescent="0.25">
      <c r="B106" s="200"/>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200"/>
      <c r="AX106" s="200"/>
      <c r="AY106" s="200"/>
      <c r="AZ106" s="200"/>
      <c r="BA106" s="200"/>
    </row>
    <row r="107" spans="2:53" ht="15" customHeight="1" x14ac:dyDescent="0.25">
      <c r="B107" s="200"/>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200"/>
      <c r="AR107" s="200"/>
      <c r="AS107" s="200"/>
      <c r="AT107" s="200"/>
      <c r="AU107" s="200"/>
      <c r="AV107" s="200"/>
      <c r="AW107" s="200"/>
      <c r="AX107" s="200"/>
      <c r="AY107" s="200"/>
      <c r="AZ107" s="200"/>
      <c r="BA107" s="200"/>
    </row>
    <row r="108" spans="2:53" ht="15" customHeight="1" x14ac:dyDescent="0.25">
      <c r="B108" s="200"/>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200"/>
      <c r="AX108" s="200"/>
      <c r="AY108" s="200"/>
      <c r="AZ108" s="200"/>
      <c r="BA108" s="200"/>
    </row>
    <row r="109" spans="2:53" ht="15" customHeight="1" x14ac:dyDescent="0.25">
      <c r="B109" s="200"/>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200"/>
      <c r="AR109" s="200"/>
      <c r="AS109" s="200"/>
      <c r="AT109" s="200"/>
      <c r="AU109" s="200"/>
      <c r="AV109" s="200"/>
      <c r="AW109" s="200"/>
      <c r="AX109" s="200"/>
      <c r="AY109" s="200"/>
      <c r="AZ109" s="200"/>
      <c r="BA109" s="200"/>
    </row>
    <row r="110" spans="2:53" ht="15" customHeight="1" x14ac:dyDescent="0.25">
      <c r="B110" s="200"/>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200"/>
      <c r="AX110" s="200"/>
      <c r="AY110" s="200"/>
      <c r="AZ110" s="200"/>
      <c r="BA110" s="200"/>
    </row>
    <row r="111" spans="2:53" ht="15" customHeight="1" x14ac:dyDescent="0.25">
      <c r="B111" s="200"/>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200"/>
      <c r="AR111" s="200"/>
      <c r="AS111" s="200"/>
      <c r="AT111" s="200"/>
      <c r="AU111" s="200"/>
      <c r="AV111" s="200"/>
      <c r="AW111" s="200"/>
      <c r="AX111" s="200"/>
      <c r="AY111" s="200"/>
      <c r="AZ111" s="200"/>
      <c r="BA111" s="200"/>
    </row>
    <row r="112" spans="2:53" ht="15" customHeight="1" x14ac:dyDescent="0.25">
      <c r="B112" s="200"/>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200"/>
      <c r="AX112" s="200"/>
      <c r="AY112" s="200"/>
      <c r="AZ112" s="200"/>
      <c r="BA112" s="200"/>
    </row>
    <row r="113" spans="2:53" ht="15" customHeight="1" x14ac:dyDescent="0.25">
      <c r="B113" s="200"/>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200"/>
      <c r="AR113" s="200"/>
      <c r="AS113" s="200"/>
      <c r="AT113" s="200"/>
      <c r="AU113" s="200"/>
      <c r="AV113" s="200"/>
      <c r="AW113" s="200"/>
      <c r="AX113" s="200"/>
      <c r="AY113" s="200"/>
      <c r="AZ113" s="200"/>
      <c r="BA113" s="200"/>
    </row>
    <row r="114" spans="2:53" ht="15" customHeight="1" x14ac:dyDescent="0.25">
      <c r="B114" s="200"/>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200"/>
      <c r="AX114" s="200"/>
      <c r="AY114" s="200"/>
      <c r="AZ114" s="200"/>
      <c r="BA114" s="200"/>
    </row>
    <row r="115" spans="2:53" ht="15" customHeight="1" x14ac:dyDescent="0.25">
      <c r="B115" s="200"/>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200"/>
      <c r="AR115" s="200"/>
      <c r="AS115" s="200"/>
      <c r="AT115" s="200"/>
      <c r="AU115" s="200"/>
      <c r="AV115" s="200"/>
      <c r="AW115" s="200"/>
      <c r="AX115" s="200"/>
      <c r="AY115" s="200"/>
      <c r="AZ115" s="200"/>
      <c r="BA115" s="200"/>
    </row>
    <row r="116" spans="2:53" ht="15" customHeight="1" x14ac:dyDescent="0.25">
      <c r="B116" s="200"/>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200"/>
      <c r="AX116" s="200"/>
      <c r="AY116" s="200"/>
      <c r="AZ116" s="200"/>
      <c r="BA116" s="200"/>
    </row>
    <row r="117" spans="2:53" ht="15" customHeight="1" x14ac:dyDescent="0.25">
      <c r="B117" s="200"/>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200"/>
      <c r="AR117" s="200"/>
      <c r="AS117" s="200"/>
      <c r="AT117" s="200"/>
      <c r="AU117" s="200"/>
      <c r="AV117" s="200"/>
      <c r="AW117" s="200"/>
      <c r="AX117" s="200"/>
      <c r="AY117" s="200"/>
      <c r="AZ117" s="200"/>
      <c r="BA117" s="200"/>
    </row>
    <row r="118" spans="2:53" ht="15" customHeight="1" x14ac:dyDescent="0.25">
      <c r="B118" s="200"/>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200"/>
      <c r="AX118" s="200"/>
      <c r="AY118" s="200"/>
      <c r="AZ118" s="200"/>
      <c r="BA118" s="200"/>
    </row>
    <row r="119" spans="2:53" ht="15" customHeight="1" x14ac:dyDescent="0.25">
      <c r="B119" s="200"/>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200"/>
      <c r="AR119" s="200"/>
      <c r="AS119" s="200"/>
      <c r="AT119" s="200"/>
      <c r="AU119" s="200"/>
      <c r="AV119" s="200"/>
      <c r="AW119" s="200"/>
      <c r="AX119" s="200"/>
      <c r="AY119" s="200"/>
      <c r="AZ119" s="200"/>
      <c r="BA119" s="200"/>
    </row>
    <row r="120" spans="2:53" ht="15" customHeight="1" x14ac:dyDescent="0.25">
      <c r="B120" s="200"/>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200"/>
      <c r="AX120" s="200"/>
      <c r="AY120" s="200"/>
      <c r="AZ120" s="200"/>
      <c r="BA120" s="200"/>
    </row>
    <row r="121" spans="2:53" ht="15" customHeight="1" x14ac:dyDescent="0.25">
      <c r="B121" s="200"/>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200"/>
      <c r="AR121" s="200"/>
      <c r="AS121" s="200"/>
      <c r="AT121" s="200"/>
      <c r="AU121" s="200"/>
      <c r="AV121" s="200"/>
      <c r="AW121" s="200"/>
      <c r="AX121" s="200"/>
      <c r="AY121" s="200"/>
      <c r="AZ121" s="200"/>
      <c r="BA121" s="200"/>
    </row>
    <row r="122" spans="2:53" ht="15" customHeight="1" x14ac:dyDescent="0.25">
      <c r="B122" s="200"/>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200"/>
      <c r="AX122" s="200"/>
      <c r="AY122" s="200"/>
      <c r="AZ122" s="200"/>
      <c r="BA122" s="200"/>
    </row>
    <row r="123" spans="2:53" ht="15" customHeight="1" x14ac:dyDescent="0.25">
      <c r="B123" s="200"/>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200"/>
      <c r="AR123" s="200"/>
      <c r="AS123" s="200"/>
      <c r="AT123" s="200"/>
      <c r="AU123" s="200"/>
      <c r="AV123" s="200"/>
      <c r="AW123" s="200"/>
      <c r="AX123" s="200"/>
      <c r="AY123" s="200"/>
      <c r="AZ123" s="200"/>
      <c r="BA123" s="200"/>
    </row>
    <row r="124" spans="2:53" ht="15" customHeight="1" x14ac:dyDescent="0.25">
      <c r="B124" s="200"/>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200"/>
      <c r="AX124" s="200"/>
      <c r="AY124" s="200"/>
      <c r="AZ124" s="200"/>
      <c r="BA124" s="200"/>
    </row>
    <row r="125" spans="2:53" ht="15" customHeight="1" x14ac:dyDescent="0.25">
      <c r="B125" s="200"/>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200"/>
      <c r="AR125" s="200"/>
      <c r="AS125" s="200"/>
      <c r="AT125" s="200"/>
      <c r="AU125" s="200"/>
      <c r="AV125" s="200"/>
      <c r="AW125" s="200"/>
      <c r="AX125" s="200"/>
      <c r="AY125" s="200"/>
      <c r="AZ125" s="200"/>
      <c r="BA125" s="200"/>
    </row>
    <row r="126" spans="2:53" ht="15" customHeight="1" x14ac:dyDescent="0.25">
      <c r="B126" s="200"/>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200"/>
      <c r="AX126" s="200"/>
      <c r="AY126" s="200"/>
      <c r="AZ126" s="200"/>
      <c r="BA126" s="200"/>
    </row>
    <row r="127" spans="2:53" ht="15" customHeight="1" x14ac:dyDescent="0.25">
      <c r="B127" s="200"/>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200"/>
      <c r="AR127" s="200"/>
      <c r="AS127" s="200"/>
      <c r="AT127" s="200"/>
      <c r="AU127" s="200"/>
      <c r="AV127" s="200"/>
      <c r="AW127" s="200"/>
      <c r="AX127" s="200"/>
      <c r="AY127" s="200"/>
      <c r="AZ127" s="200"/>
      <c r="BA127" s="200"/>
    </row>
    <row r="128" spans="2:53" ht="15" customHeight="1" x14ac:dyDescent="0.25">
      <c r="B128" s="200"/>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200"/>
      <c r="AX128" s="200"/>
      <c r="AY128" s="200"/>
      <c r="AZ128" s="200"/>
      <c r="BA128" s="200"/>
    </row>
    <row r="129" spans="1:53" ht="15" customHeight="1" x14ac:dyDescent="0.25">
      <c r="A129" s="199"/>
      <c r="B129" s="200"/>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200"/>
      <c r="AR129" s="200"/>
      <c r="AS129" s="200"/>
      <c r="AT129" s="200"/>
      <c r="AU129" s="200"/>
      <c r="AV129" s="200"/>
      <c r="AW129" s="200"/>
      <c r="AX129" s="200"/>
      <c r="AY129" s="200"/>
      <c r="AZ129" s="200"/>
      <c r="BA129" s="200"/>
    </row>
    <row r="130" spans="1:53" ht="15" customHeight="1" x14ac:dyDescent="0.25">
      <c r="A130" s="199"/>
      <c r="B130" s="200"/>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200"/>
      <c r="AX130" s="200"/>
      <c r="AY130" s="200"/>
      <c r="AZ130" s="200"/>
      <c r="BA130" s="200"/>
    </row>
    <row r="131" spans="1:53" ht="15" customHeight="1" x14ac:dyDescent="0.25">
      <c r="A131" s="199"/>
      <c r="B131" s="200"/>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200"/>
      <c r="AR131" s="200"/>
      <c r="AS131" s="200"/>
      <c r="AT131" s="200"/>
      <c r="AU131" s="200"/>
      <c r="AV131" s="200"/>
      <c r="AW131" s="200"/>
      <c r="AX131" s="200"/>
      <c r="AY131" s="200"/>
      <c r="AZ131" s="200"/>
      <c r="BA131" s="200"/>
    </row>
    <row r="132" spans="1:53" ht="15" customHeight="1" x14ac:dyDescent="0.25">
      <c r="A132" s="199"/>
      <c r="B132" s="200"/>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200"/>
      <c r="AX132" s="200"/>
      <c r="AY132" s="200"/>
      <c r="AZ132" s="200"/>
      <c r="BA132" s="200"/>
    </row>
    <row r="133" spans="1:53" ht="15" customHeight="1" x14ac:dyDescent="0.25">
      <c r="A133" s="199"/>
      <c r="B133" s="200"/>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200"/>
      <c r="AR133" s="200"/>
      <c r="AS133" s="200"/>
      <c r="AT133" s="200"/>
      <c r="AU133" s="200"/>
      <c r="AV133" s="200"/>
      <c r="AW133" s="200"/>
      <c r="AX133" s="200"/>
      <c r="AY133" s="200"/>
      <c r="AZ133" s="200"/>
      <c r="BA133" s="200"/>
    </row>
    <row r="134" spans="1:53" ht="15" customHeight="1" x14ac:dyDescent="0.25">
      <c r="A134" s="199"/>
      <c r="B134" s="200"/>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200"/>
      <c r="AX134" s="200"/>
      <c r="AY134" s="200"/>
      <c r="AZ134" s="200"/>
      <c r="BA134" s="200"/>
    </row>
    <row r="135" spans="1:53" ht="15" customHeight="1" x14ac:dyDescent="0.25">
      <c r="A135" s="201" t="s">
        <v>498</v>
      </c>
      <c r="B135" s="200"/>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200"/>
      <c r="AR135" s="200"/>
      <c r="AS135" s="200"/>
      <c r="AT135" s="200"/>
      <c r="AU135" s="200"/>
      <c r="AV135" s="200"/>
      <c r="AW135" s="200"/>
      <c r="AX135" s="200"/>
      <c r="AY135" s="200"/>
      <c r="AZ135" s="200"/>
      <c r="BA135" s="200"/>
    </row>
    <row r="136" spans="1:53" ht="15" customHeight="1" x14ac:dyDescent="0.25">
      <c r="A136" s="199"/>
      <c r="B136" s="200"/>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200"/>
      <c r="AX136" s="200"/>
      <c r="AY136" s="200"/>
      <c r="AZ136" s="200"/>
      <c r="BA136" s="200"/>
    </row>
    <row r="137" spans="1:53" ht="15" customHeight="1" x14ac:dyDescent="0.25">
      <c r="A137" s="199"/>
      <c r="B137" s="200"/>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200"/>
      <c r="AR137" s="200"/>
      <c r="AS137" s="200"/>
      <c r="AT137" s="200"/>
      <c r="AU137" s="200"/>
      <c r="AV137" s="200"/>
      <c r="AW137" s="200"/>
      <c r="AX137" s="200"/>
      <c r="AY137" s="200"/>
      <c r="AZ137" s="200"/>
      <c r="BA137" s="200"/>
    </row>
    <row r="138" spans="1:53" ht="15" customHeight="1" x14ac:dyDescent="0.25">
      <c r="A138" s="199"/>
      <c r="B138" s="200"/>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200"/>
      <c r="AX138" s="200"/>
      <c r="AY138" s="200"/>
      <c r="AZ138" s="200"/>
      <c r="BA138" s="200"/>
    </row>
    <row r="139" spans="1:53" ht="15" customHeight="1" x14ac:dyDescent="0.25">
      <c r="A139" s="199"/>
      <c r="B139" s="200"/>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200"/>
      <c r="AR139" s="200"/>
      <c r="AS139" s="200"/>
      <c r="AT139" s="200"/>
      <c r="AU139" s="200"/>
      <c r="AV139" s="200"/>
      <c r="AW139" s="200"/>
      <c r="AX139" s="200"/>
      <c r="AY139" s="200"/>
      <c r="AZ139" s="200"/>
      <c r="BA139" s="200"/>
    </row>
    <row r="140" spans="1:53" ht="15" customHeight="1" x14ac:dyDescent="0.25">
      <c r="A140" s="199"/>
      <c r="B140" s="200"/>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200"/>
      <c r="AX140" s="200"/>
      <c r="AY140" s="200"/>
      <c r="AZ140" s="200"/>
      <c r="BA140" s="200"/>
    </row>
    <row r="141" spans="1:53" ht="15" customHeight="1" x14ac:dyDescent="0.25">
      <c r="A141" s="201" t="s">
        <v>499</v>
      </c>
      <c r="B141" s="200"/>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200"/>
      <c r="AR141" s="200"/>
      <c r="AS141" s="200"/>
      <c r="AT141" s="200"/>
      <c r="AU141" s="200"/>
      <c r="AV141" s="200"/>
      <c r="AW141" s="200"/>
      <c r="AX141" s="200"/>
      <c r="AY141" s="200"/>
      <c r="AZ141" s="200"/>
      <c r="BA141" s="200"/>
    </row>
    <row r="142" spans="1:53" ht="15" customHeight="1" x14ac:dyDescent="0.25">
      <c r="A142" s="201" t="s">
        <v>500</v>
      </c>
      <c r="B142" s="200"/>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200"/>
      <c r="AX142" s="200"/>
      <c r="AY142" s="200"/>
      <c r="AZ142" s="200"/>
      <c r="BA142" s="200"/>
    </row>
    <row r="143" spans="1:53" ht="15" customHeight="1" x14ac:dyDescent="0.25">
      <c r="A143" s="201" t="s">
        <v>501</v>
      </c>
      <c r="B143" s="200"/>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200"/>
      <c r="AR143" s="200"/>
      <c r="AS143" s="200"/>
      <c r="AT143" s="200"/>
      <c r="AU143" s="200"/>
      <c r="AV143" s="200"/>
      <c r="AW143" s="200"/>
      <c r="AX143" s="200"/>
      <c r="AY143" s="200"/>
      <c r="AZ143" s="200"/>
      <c r="BA143" s="200"/>
    </row>
    <row r="144" spans="1:53" ht="15" customHeight="1" x14ac:dyDescent="0.25">
      <c r="A144" s="201" t="s">
        <v>502</v>
      </c>
      <c r="B144" s="200"/>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200"/>
      <c r="AX144" s="200"/>
      <c r="AY144" s="200"/>
      <c r="AZ144" s="200"/>
      <c r="BA144" s="200"/>
    </row>
    <row r="145" spans="1:53" ht="15" customHeight="1" x14ac:dyDescent="0.25">
      <c r="A145" s="201" t="s">
        <v>503</v>
      </c>
      <c r="B145" s="200"/>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200"/>
      <c r="AR145" s="200"/>
      <c r="AS145" s="200"/>
      <c r="AT145" s="200"/>
      <c r="AU145" s="200"/>
      <c r="AV145" s="200"/>
      <c r="AW145" s="200"/>
      <c r="AX145" s="200"/>
      <c r="AY145" s="200"/>
      <c r="AZ145" s="200"/>
      <c r="BA145" s="200"/>
    </row>
    <row r="146" spans="1:53" ht="15" customHeight="1" x14ac:dyDescent="0.25">
      <c r="A146" s="201" t="s">
        <v>504</v>
      </c>
      <c r="B146" s="200"/>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200"/>
      <c r="AX146" s="200"/>
      <c r="AY146" s="200"/>
      <c r="AZ146" s="200"/>
      <c r="BA146" s="200"/>
    </row>
    <row r="147" spans="1:53" ht="15" customHeight="1" x14ac:dyDescent="0.25">
      <c r="A147" s="199"/>
      <c r="B147" s="200"/>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200"/>
      <c r="AR147" s="200"/>
      <c r="AS147" s="200"/>
      <c r="AT147" s="200"/>
      <c r="AU147" s="200"/>
      <c r="AV147" s="200"/>
      <c r="AW147" s="200"/>
      <c r="AX147" s="200"/>
      <c r="AY147" s="200"/>
      <c r="AZ147" s="200"/>
      <c r="BA147" s="200"/>
    </row>
    <row r="148" spans="1:53" ht="15" customHeight="1" x14ac:dyDescent="0.25">
      <c r="A148" s="199"/>
      <c r="B148" s="200"/>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200"/>
      <c r="AX148" s="200"/>
      <c r="AY148" s="200"/>
      <c r="AZ148" s="200"/>
      <c r="BA148" s="200"/>
    </row>
    <row r="149" spans="1:53" ht="15" customHeight="1" x14ac:dyDescent="0.25">
      <c r="A149" s="201" t="s">
        <v>505</v>
      </c>
      <c r="B149" s="200"/>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200"/>
      <c r="AR149" s="200"/>
      <c r="AS149" s="200"/>
      <c r="AT149" s="200"/>
      <c r="AU149" s="200"/>
      <c r="AV149" s="200"/>
      <c r="AW149" s="200"/>
      <c r="AX149" s="200"/>
      <c r="AY149" s="200"/>
      <c r="AZ149" s="200"/>
      <c r="BA149" s="200"/>
    </row>
    <row r="150" spans="1:53" ht="15" customHeight="1" x14ac:dyDescent="0.25">
      <c r="A150" s="201" t="s">
        <v>506</v>
      </c>
      <c r="B150" s="200"/>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200"/>
      <c r="AX150" s="200"/>
      <c r="AY150" s="200"/>
      <c r="AZ150" s="200"/>
      <c r="BA150" s="200"/>
    </row>
    <row r="151" spans="1:53" ht="15" customHeight="1" x14ac:dyDescent="0.25">
      <c r="A151" s="201" t="s">
        <v>507</v>
      </c>
      <c r="B151" s="200"/>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200"/>
      <c r="AR151" s="200"/>
      <c r="AS151" s="200"/>
      <c r="AT151" s="200"/>
      <c r="AU151" s="200"/>
      <c r="AV151" s="200"/>
      <c r="AW151" s="200"/>
      <c r="AX151" s="200"/>
      <c r="AY151" s="200"/>
      <c r="AZ151" s="200"/>
      <c r="BA151" s="200"/>
    </row>
    <row r="152" spans="1:53" ht="15" customHeight="1" x14ac:dyDescent="0.25">
      <c r="A152" s="201" t="s">
        <v>508</v>
      </c>
      <c r="B152" s="200"/>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200"/>
      <c r="AX152" s="200"/>
      <c r="AY152" s="200"/>
      <c r="AZ152" s="200"/>
      <c r="BA152" s="200"/>
    </row>
    <row r="153" spans="1:53" ht="15" customHeight="1" x14ac:dyDescent="0.25">
      <c r="A153" s="201" t="s">
        <v>509</v>
      </c>
      <c r="B153" s="200"/>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200"/>
      <c r="AR153" s="200"/>
      <c r="AS153" s="200"/>
      <c r="AT153" s="200"/>
      <c r="AU153" s="200"/>
      <c r="AV153" s="200"/>
      <c r="AW153" s="200"/>
      <c r="AX153" s="200"/>
      <c r="AY153" s="200"/>
      <c r="AZ153" s="200"/>
      <c r="BA153" s="200"/>
    </row>
    <row r="154" spans="1:53" ht="15" customHeight="1" x14ac:dyDescent="0.25">
      <c r="A154" s="201" t="s">
        <v>510</v>
      </c>
      <c r="B154" s="200"/>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200"/>
      <c r="AX154" s="200"/>
      <c r="AY154" s="200"/>
      <c r="AZ154" s="200"/>
      <c r="BA154" s="200"/>
    </row>
    <row r="155" spans="1:53" ht="15" customHeight="1" x14ac:dyDescent="0.25">
      <c r="A155" s="199"/>
      <c r="B155" s="200"/>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200"/>
      <c r="AR155" s="200"/>
      <c r="AS155" s="200"/>
      <c r="AT155" s="200"/>
      <c r="AU155" s="200"/>
      <c r="AV155" s="200"/>
      <c r="AW155" s="200"/>
      <c r="AX155" s="200"/>
      <c r="AY155" s="200"/>
      <c r="AZ155" s="200"/>
      <c r="BA155" s="200"/>
    </row>
    <row r="156" spans="1:53" ht="15" customHeight="1" x14ac:dyDescent="0.25">
      <c r="A156" s="199"/>
      <c r="B156" s="200"/>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200"/>
      <c r="AX156" s="200"/>
      <c r="AY156" s="200"/>
      <c r="AZ156" s="200"/>
      <c r="BA156" s="200"/>
    </row>
    <row r="157" spans="1:53" ht="15" customHeight="1" x14ac:dyDescent="0.25">
      <c r="A157" s="201" t="s">
        <v>511</v>
      </c>
      <c r="B157" s="200"/>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200"/>
      <c r="AR157" s="200"/>
      <c r="AS157" s="200"/>
      <c r="AT157" s="200"/>
      <c r="AU157" s="200"/>
      <c r="AV157" s="200"/>
      <c r="AW157" s="200"/>
      <c r="AX157" s="200"/>
      <c r="AY157" s="200"/>
      <c r="AZ157" s="200"/>
      <c r="BA157" s="200"/>
    </row>
    <row r="158" spans="1:53" ht="15" customHeight="1" x14ac:dyDescent="0.25">
      <c r="A158" s="201" t="s">
        <v>512</v>
      </c>
      <c r="B158" s="200"/>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200"/>
      <c r="AX158" s="200"/>
      <c r="AY158" s="200"/>
      <c r="AZ158" s="200"/>
      <c r="BA158" s="200"/>
    </row>
    <row r="159" spans="1:53" ht="15" customHeight="1" x14ac:dyDescent="0.25">
      <c r="A159" s="201" t="s">
        <v>513</v>
      </c>
      <c r="B159" s="200"/>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t="s">
        <v>477</v>
      </c>
      <c r="AG159" s="200"/>
      <c r="AH159" s="200"/>
      <c r="AI159" s="200"/>
      <c r="AJ159" s="200"/>
      <c r="AK159" s="200"/>
      <c r="AL159" s="200"/>
      <c r="AM159" s="200"/>
      <c r="AN159" s="200"/>
      <c r="AO159" s="200"/>
      <c r="AP159" s="200"/>
      <c r="AQ159" s="200"/>
      <c r="AR159" s="200"/>
      <c r="AS159" s="200"/>
      <c r="AT159" s="200"/>
      <c r="AU159" s="200"/>
      <c r="AV159" s="200"/>
      <c r="AW159" s="200"/>
      <c r="AX159" s="200"/>
      <c r="AY159" s="200"/>
      <c r="AZ159" s="200"/>
      <c r="BA159" s="200"/>
    </row>
    <row r="212" spans="2:32" ht="15" customHeight="1" x14ac:dyDescent="0.25">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row>
    <row r="213" spans="2:32" ht="15" customHeight="1" x14ac:dyDescent="0.25">
      <c r="B213" s="289"/>
      <c r="C213" s="289"/>
      <c r="D213" s="289"/>
      <c r="E213" s="289"/>
      <c r="F213" s="289"/>
      <c r="G213" s="289"/>
      <c r="H213" s="289"/>
      <c r="I213" s="289"/>
      <c r="J213" s="289"/>
      <c r="K213" s="289"/>
      <c r="L213" s="289"/>
      <c r="M213" s="289"/>
      <c r="N213" s="289"/>
      <c r="O213" s="289"/>
      <c r="P213" s="289"/>
      <c r="Q213" s="289"/>
      <c r="R213" s="289"/>
      <c r="S213" s="289"/>
      <c r="T213" s="289"/>
      <c r="U213" s="289"/>
      <c r="V213" s="289"/>
      <c r="W213" s="289"/>
      <c r="X213" s="289"/>
      <c r="Y213" s="289"/>
      <c r="Z213" s="289"/>
      <c r="AA213" s="289"/>
      <c r="AB213" s="289"/>
      <c r="AC213" s="289"/>
      <c r="AD213" s="289"/>
      <c r="AE213" s="289"/>
      <c r="AF213" s="289"/>
    </row>
    <row r="219" spans="2:32" ht="15" customHeight="1" x14ac:dyDescent="0.25">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row>
    <row r="220" spans="2:32" ht="15" customHeight="1" x14ac:dyDescent="0.25">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row>
    <row r="221" spans="2:32" ht="15" customHeight="1" x14ac:dyDescent="0.25">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row>
    <row r="222" spans="2:32" ht="15" customHeight="1" x14ac:dyDescent="0.25">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row>
    <row r="223" spans="2:32" ht="15" customHeight="1" x14ac:dyDescent="0.25">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row>
    <row r="224" spans="2:32" ht="15" customHeight="1" x14ac:dyDescent="0.25">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row>
    <row r="378" spans="2:32" ht="15" customHeight="1" x14ac:dyDescent="0.25">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row>
    <row r="379" spans="2:32" ht="15" customHeight="1" x14ac:dyDescent="0.25">
      <c r="B379" s="289"/>
      <c r="C379" s="289"/>
      <c r="D379" s="289"/>
      <c r="E379" s="289"/>
      <c r="F379" s="289"/>
      <c r="G379" s="289"/>
      <c r="H379" s="289"/>
      <c r="I379" s="289"/>
      <c r="J379" s="289"/>
      <c r="K379" s="289"/>
      <c r="L379" s="289"/>
      <c r="M379" s="289"/>
      <c r="N379" s="289"/>
      <c r="O379" s="289"/>
      <c r="P379" s="289"/>
      <c r="Q379" s="289"/>
      <c r="R379" s="289"/>
      <c r="S379" s="289"/>
      <c r="T379" s="289"/>
      <c r="U379" s="289"/>
      <c r="V379" s="289"/>
      <c r="W379" s="289"/>
      <c r="X379" s="289"/>
      <c r="Y379" s="289"/>
      <c r="Z379" s="289"/>
      <c r="AA379" s="289"/>
      <c r="AB379" s="289"/>
      <c r="AC379" s="289"/>
      <c r="AD379" s="289"/>
      <c r="AE379" s="289"/>
      <c r="AF379" s="289"/>
    </row>
    <row r="481" spans="2:32" ht="15" customHeight="1" x14ac:dyDescent="0.25">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row>
    <row r="495" spans="2:32" ht="15" customHeight="1" x14ac:dyDescent="0.25">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row>
    <row r="496" spans="2:32" ht="15" customHeight="1" x14ac:dyDescent="0.25">
      <c r="B496" s="289"/>
      <c r="C496" s="289"/>
      <c r="D496" s="289"/>
      <c r="E496" s="289"/>
      <c r="F496" s="289"/>
      <c r="G496" s="289"/>
      <c r="H496" s="289"/>
      <c r="I496" s="289"/>
      <c r="J496" s="289"/>
      <c r="K496" s="289"/>
      <c r="L496" s="289"/>
      <c r="M496" s="289"/>
      <c r="N496" s="289"/>
      <c r="O496" s="289"/>
      <c r="P496" s="289"/>
      <c r="Q496" s="289"/>
      <c r="R496" s="289"/>
      <c r="S496" s="289"/>
      <c r="T496" s="289"/>
      <c r="U496" s="289"/>
      <c r="V496" s="289"/>
      <c r="W496" s="289"/>
      <c r="X496" s="289"/>
      <c r="Y496" s="289"/>
      <c r="Z496" s="289"/>
      <c r="AA496" s="289"/>
      <c r="AB496" s="289"/>
      <c r="AC496" s="289"/>
      <c r="AD496" s="289"/>
      <c r="AE496" s="289"/>
      <c r="AF496" s="289"/>
    </row>
    <row r="647" spans="2:32" ht="15" customHeight="1" x14ac:dyDescent="0.25">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row>
    <row r="648" spans="2:32" ht="15" customHeight="1" x14ac:dyDescent="0.25">
      <c r="B648" s="289"/>
      <c r="C648" s="289"/>
      <c r="D648" s="289"/>
      <c r="E648" s="289"/>
      <c r="F648" s="289"/>
      <c r="G648" s="289"/>
      <c r="H648" s="289"/>
      <c r="I648" s="289"/>
      <c r="J648" s="289"/>
      <c r="K648" s="289"/>
      <c r="L648" s="289"/>
      <c r="M648" s="289"/>
      <c r="N648" s="289"/>
      <c r="O648" s="289"/>
      <c r="P648" s="289"/>
      <c r="Q648" s="289"/>
      <c r="R648" s="289"/>
      <c r="S648" s="289"/>
      <c r="T648" s="289"/>
      <c r="U648" s="289"/>
      <c r="V648" s="289"/>
      <c r="W648" s="289"/>
      <c r="X648" s="289"/>
      <c r="Y648" s="289"/>
      <c r="Z648" s="289"/>
      <c r="AA648" s="289"/>
      <c r="AB648" s="289"/>
      <c r="AC648" s="289"/>
      <c r="AD648" s="289"/>
      <c r="AE648" s="289"/>
      <c r="AF648" s="289"/>
    </row>
    <row r="747" spans="2:32" ht="15" customHeight="1" x14ac:dyDescent="0.25">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row>
    <row r="748" spans="2:32" ht="15" customHeight="1" x14ac:dyDescent="0.25">
      <c r="B748" s="289"/>
      <c r="C748" s="289"/>
      <c r="D748" s="289"/>
      <c r="E748" s="289"/>
      <c r="F748" s="289"/>
      <c r="G748" s="289"/>
      <c r="H748" s="289"/>
      <c r="I748" s="289"/>
      <c r="J748" s="289"/>
      <c r="K748" s="289"/>
      <c r="L748" s="289"/>
      <c r="M748" s="289"/>
      <c r="N748" s="289"/>
      <c r="O748" s="289"/>
      <c r="P748" s="289"/>
      <c r="Q748" s="289"/>
      <c r="R748" s="289"/>
      <c r="S748" s="289"/>
      <c r="T748" s="289"/>
      <c r="U748" s="289"/>
      <c r="V748" s="289"/>
      <c r="W748" s="289"/>
      <c r="X748" s="289"/>
      <c r="Y748" s="289"/>
      <c r="Z748" s="289"/>
      <c r="AA748" s="289"/>
      <c r="AB748" s="289"/>
      <c r="AC748" s="289"/>
      <c r="AD748" s="289"/>
      <c r="AE748" s="289"/>
      <c r="AF748" s="289"/>
    </row>
    <row r="833" spans="2:32" ht="15" customHeight="1" x14ac:dyDescent="0.25">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row>
    <row r="838" spans="2:32" ht="15" customHeight="1" x14ac:dyDescent="0.25">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row>
    <row r="839" spans="2:32" ht="15" customHeight="1" x14ac:dyDescent="0.25">
      <c r="B839" s="289"/>
      <c r="C839" s="289"/>
      <c r="D839" s="289"/>
      <c r="E839" s="289"/>
      <c r="F839" s="289"/>
      <c r="G839" s="289"/>
      <c r="H839" s="289"/>
      <c r="I839" s="289"/>
      <c r="J839" s="289"/>
      <c r="K839" s="289"/>
      <c r="L839" s="289"/>
      <c r="M839" s="289"/>
      <c r="N839" s="289"/>
      <c r="O839" s="289"/>
      <c r="P839" s="289"/>
      <c r="Q839" s="289"/>
      <c r="R839" s="289"/>
      <c r="S839" s="289"/>
      <c r="T839" s="289"/>
      <c r="U839" s="289"/>
      <c r="V839" s="289"/>
      <c r="W839" s="289"/>
      <c r="X839" s="289"/>
      <c r="Y839" s="289"/>
      <c r="Z839" s="289"/>
      <c r="AA839" s="289"/>
      <c r="AB839" s="289"/>
      <c r="AC839" s="289"/>
      <c r="AD839" s="289"/>
      <c r="AE839" s="289"/>
      <c r="AF839" s="289"/>
    </row>
    <row r="898" spans="2:32" ht="15" customHeight="1" x14ac:dyDescent="0.25">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row>
    <row r="904" spans="2:32" ht="15" customHeight="1" x14ac:dyDescent="0.25">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row>
    <row r="909" spans="2:32" ht="15" customHeight="1" x14ac:dyDescent="0.25">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row>
    <row r="910" spans="2:32" ht="15" customHeight="1" x14ac:dyDescent="0.25">
      <c r="B910" s="289"/>
      <c r="C910" s="289"/>
      <c r="D910" s="289"/>
      <c r="E910" s="289"/>
      <c r="F910" s="289"/>
      <c r="G910" s="289"/>
      <c r="H910" s="289"/>
      <c r="I910" s="289"/>
      <c r="J910" s="289"/>
      <c r="K910" s="289"/>
      <c r="L910" s="289"/>
      <c r="M910" s="289"/>
      <c r="N910" s="289"/>
      <c r="O910" s="289"/>
      <c r="P910" s="289"/>
      <c r="Q910" s="289"/>
      <c r="R910" s="289"/>
      <c r="S910" s="289"/>
      <c r="T910" s="289"/>
      <c r="U910" s="289"/>
      <c r="V910" s="289"/>
      <c r="W910" s="289"/>
      <c r="X910" s="289"/>
      <c r="Y910" s="289"/>
      <c r="Z910" s="289"/>
      <c r="AA910" s="289"/>
      <c r="AB910" s="289"/>
      <c r="AC910" s="289"/>
      <c r="AD910" s="289"/>
      <c r="AE910" s="289"/>
      <c r="AF910" s="289"/>
    </row>
    <row r="993" spans="2:32" ht="15" customHeight="1" x14ac:dyDescent="0.25">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row>
    <row r="997" spans="2:32" ht="15" customHeight="1" x14ac:dyDescent="0.25">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row>
    <row r="1000" spans="2:32" ht="15" customHeight="1" x14ac:dyDescent="0.25">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row>
    <row r="1002" spans="2:32" ht="15" customHeight="1" x14ac:dyDescent="0.25">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row>
    <row r="1004" spans="2:32" ht="15" customHeight="1" x14ac:dyDescent="0.25">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row>
    <row r="1005" spans="2:32" ht="15" customHeight="1" x14ac:dyDescent="0.25">
      <c r="B1005" s="289"/>
      <c r="C1005" s="289"/>
      <c r="D1005" s="289"/>
      <c r="E1005" s="289"/>
      <c r="F1005" s="289"/>
      <c r="G1005" s="289"/>
      <c r="H1005" s="289"/>
      <c r="I1005" s="289"/>
      <c r="J1005" s="289"/>
      <c r="K1005" s="289"/>
      <c r="L1005" s="289"/>
      <c r="M1005" s="289"/>
      <c r="N1005" s="289"/>
      <c r="O1005" s="289"/>
      <c r="P1005" s="289"/>
      <c r="Q1005" s="289"/>
      <c r="R1005" s="289"/>
      <c r="S1005" s="289"/>
      <c r="T1005" s="289"/>
      <c r="U1005" s="289"/>
      <c r="V1005" s="289"/>
      <c r="W1005" s="289"/>
      <c r="X1005" s="289"/>
      <c r="Y1005" s="289"/>
      <c r="Z1005" s="289"/>
      <c r="AA1005" s="289"/>
      <c r="AB1005" s="289"/>
      <c r="AC1005" s="289"/>
      <c r="AD1005" s="289"/>
      <c r="AE1005" s="289"/>
      <c r="AF1005" s="289"/>
    </row>
    <row r="1154" spans="2:32" ht="15" customHeight="1" x14ac:dyDescent="0.25">
      <c r="B1154" s="199"/>
      <c r="C1154" s="199"/>
      <c r="D1154" s="199"/>
      <c r="E1154" s="199"/>
      <c r="F1154" s="199"/>
      <c r="G1154" s="199"/>
      <c r="H1154" s="199"/>
      <c r="I1154" s="199"/>
      <c r="J1154" s="199"/>
      <c r="K1154" s="199"/>
      <c r="L1154" s="199"/>
      <c r="M1154" s="199"/>
      <c r="N1154" s="199"/>
      <c r="O1154" s="199"/>
      <c r="P1154" s="199"/>
      <c r="Q1154" s="199"/>
      <c r="R1154" s="199"/>
      <c r="S1154" s="199"/>
      <c r="T1154" s="199"/>
      <c r="U1154" s="199"/>
      <c r="V1154" s="199"/>
      <c r="W1154" s="199"/>
      <c r="X1154" s="199"/>
      <c r="Y1154" s="199"/>
      <c r="Z1154" s="199"/>
      <c r="AA1154" s="199"/>
      <c r="AB1154" s="199"/>
      <c r="AC1154" s="199"/>
      <c r="AD1154" s="199"/>
      <c r="AE1154" s="199"/>
      <c r="AF1154" s="199"/>
    </row>
    <row r="1155" spans="2:32" ht="15" customHeight="1" x14ac:dyDescent="0.25">
      <c r="B1155" s="289"/>
      <c r="C1155" s="289"/>
      <c r="D1155" s="289"/>
      <c r="E1155" s="289"/>
      <c r="F1155" s="289"/>
      <c r="G1155" s="289"/>
      <c r="H1155" s="289"/>
      <c r="I1155" s="289"/>
      <c r="J1155" s="289"/>
      <c r="K1155" s="289"/>
      <c r="L1155" s="289"/>
      <c r="M1155" s="289"/>
      <c r="N1155" s="289"/>
      <c r="O1155" s="289"/>
      <c r="P1155" s="289"/>
      <c r="Q1155" s="289"/>
      <c r="R1155" s="289"/>
      <c r="S1155" s="289"/>
      <c r="T1155" s="289"/>
      <c r="U1155" s="289"/>
      <c r="V1155" s="289"/>
      <c r="W1155" s="289"/>
      <c r="X1155" s="289"/>
      <c r="Y1155" s="289"/>
      <c r="Z1155" s="289"/>
      <c r="AA1155" s="289"/>
      <c r="AB1155" s="289"/>
      <c r="AC1155" s="289"/>
      <c r="AD1155" s="289"/>
      <c r="AE1155" s="289"/>
      <c r="AF1155" s="289"/>
    </row>
    <row r="1313" spans="2:32" ht="15" customHeight="1" x14ac:dyDescent="0.25">
      <c r="B1313" s="199"/>
      <c r="C1313" s="199"/>
      <c r="D1313" s="199"/>
      <c r="E1313" s="199"/>
      <c r="F1313" s="199"/>
      <c r="G1313" s="199"/>
      <c r="H1313" s="199"/>
      <c r="I1313" s="199"/>
      <c r="J1313" s="199"/>
      <c r="K1313" s="199"/>
      <c r="L1313" s="199"/>
      <c r="M1313" s="199"/>
      <c r="N1313" s="199"/>
      <c r="O1313" s="199"/>
      <c r="P1313" s="199"/>
      <c r="Q1313" s="199"/>
      <c r="R1313" s="199"/>
      <c r="S1313" s="199"/>
      <c r="T1313" s="199"/>
      <c r="U1313" s="199"/>
      <c r="V1313" s="199"/>
      <c r="W1313" s="199"/>
      <c r="X1313" s="199"/>
      <c r="Y1313" s="199"/>
      <c r="Z1313" s="199"/>
      <c r="AA1313" s="199"/>
      <c r="AB1313" s="199"/>
      <c r="AC1313" s="199"/>
      <c r="AD1313" s="199"/>
      <c r="AE1313" s="199"/>
      <c r="AF1313" s="199"/>
    </row>
    <row r="1326" spans="2:32" ht="15" customHeight="1" x14ac:dyDescent="0.25">
      <c r="B1326" s="199"/>
      <c r="C1326" s="199"/>
      <c r="D1326" s="199"/>
      <c r="E1326" s="199"/>
      <c r="F1326" s="199"/>
      <c r="G1326" s="199"/>
      <c r="H1326" s="199"/>
      <c r="I1326" s="199"/>
      <c r="J1326" s="199"/>
      <c r="K1326" s="199"/>
      <c r="L1326" s="199"/>
      <c r="M1326" s="199"/>
      <c r="N1326" s="199"/>
      <c r="O1326" s="199"/>
      <c r="P1326" s="199"/>
      <c r="Q1326" s="199"/>
      <c r="R1326" s="199"/>
      <c r="S1326" s="199"/>
      <c r="T1326" s="199"/>
      <c r="U1326" s="199"/>
      <c r="V1326" s="199"/>
      <c r="W1326" s="199"/>
      <c r="X1326" s="199"/>
      <c r="Y1326" s="199"/>
      <c r="Z1326" s="199"/>
      <c r="AA1326" s="199"/>
      <c r="AB1326" s="199"/>
      <c r="AC1326" s="199"/>
      <c r="AD1326" s="199"/>
      <c r="AE1326" s="199"/>
      <c r="AF1326" s="199"/>
    </row>
    <row r="1327" spans="2:32" ht="15" customHeight="1" x14ac:dyDescent="0.25">
      <c r="B1327" s="289"/>
      <c r="C1327" s="289"/>
      <c r="D1327" s="289"/>
      <c r="E1327" s="289"/>
      <c r="F1327" s="289"/>
      <c r="G1327" s="289"/>
      <c r="H1327" s="289"/>
      <c r="I1327" s="289"/>
      <c r="J1327" s="289"/>
      <c r="K1327" s="289"/>
      <c r="L1327" s="289"/>
      <c r="M1327" s="289"/>
      <c r="N1327" s="289"/>
      <c r="O1327" s="289"/>
      <c r="P1327" s="289"/>
      <c r="Q1327" s="289"/>
      <c r="R1327" s="289"/>
      <c r="S1327" s="289"/>
      <c r="T1327" s="289"/>
      <c r="U1327" s="289"/>
      <c r="V1327" s="289"/>
      <c r="W1327" s="289"/>
      <c r="X1327" s="289"/>
      <c r="Y1327" s="289"/>
      <c r="Z1327" s="289"/>
      <c r="AA1327" s="289"/>
      <c r="AB1327" s="289"/>
      <c r="AC1327" s="289"/>
      <c r="AD1327" s="289"/>
      <c r="AE1327" s="289"/>
      <c r="AF1327" s="289"/>
    </row>
    <row r="1417" spans="2:32" ht="15" customHeight="1" x14ac:dyDescent="0.25">
      <c r="B1417" s="199"/>
      <c r="C1417" s="199"/>
      <c r="D1417" s="199"/>
      <c r="E1417" s="199"/>
      <c r="F1417" s="199"/>
      <c r="G1417" s="199"/>
      <c r="H1417" s="199"/>
      <c r="I1417" s="199"/>
      <c r="J1417" s="199"/>
      <c r="K1417" s="199"/>
      <c r="L1417" s="199"/>
      <c r="M1417" s="199"/>
      <c r="N1417" s="199"/>
      <c r="O1417" s="199"/>
      <c r="P1417" s="199"/>
      <c r="Q1417" s="199"/>
      <c r="R1417" s="199"/>
      <c r="S1417" s="199"/>
      <c r="T1417" s="199"/>
      <c r="U1417" s="199"/>
      <c r="V1417" s="199"/>
      <c r="W1417" s="199"/>
      <c r="X1417" s="199"/>
      <c r="Y1417" s="199"/>
      <c r="Z1417" s="199"/>
      <c r="AA1417" s="199"/>
      <c r="AB1417" s="199"/>
      <c r="AC1417" s="199"/>
      <c r="AD1417" s="199"/>
      <c r="AE1417" s="199"/>
      <c r="AF1417" s="199"/>
    </row>
    <row r="1421" spans="2:32" ht="15" customHeight="1" x14ac:dyDescent="0.25">
      <c r="B1421" s="199"/>
      <c r="C1421" s="199"/>
      <c r="D1421" s="199"/>
      <c r="E1421" s="199"/>
      <c r="F1421" s="199"/>
      <c r="G1421" s="199"/>
      <c r="H1421" s="199"/>
      <c r="I1421" s="199"/>
      <c r="J1421" s="199"/>
      <c r="K1421" s="199"/>
      <c r="L1421" s="199"/>
      <c r="M1421" s="199"/>
      <c r="N1421" s="199"/>
      <c r="O1421" s="199"/>
      <c r="P1421" s="199"/>
      <c r="Q1421" s="199"/>
      <c r="R1421" s="199"/>
      <c r="S1421" s="199"/>
      <c r="T1421" s="199"/>
      <c r="U1421" s="199"/>
      <c r="V1421" s="199"/>
      <c r="W1421" s="199"/>
      <c r="X1421" s="199"/>
      <c r="Y1421" s="199"/>
      <c r="Z1421" s="199"/>
      <c r="AA1421" s="199"/>
      <c r="AB1421" s="199"/>
      <c r="AC1421" s="199"/>
      <c r="AD1421" s="199"/>
      <c r="AE1421" s="199"/>
      <c r="AF1421" s="199"/>
    </row>
    <row r="1422" spans="2:32" ht="15" customHeight="1" x14ac:dyDescent="0.25">
      <c r="B1422" s="289"/>
      <c r="C1422" s="289"/>
      <c r="D1422" s="289"/>
      <c r="E1422" s="289"/>
      <c r="F1422" s="289"/>
      <c r="G1422" s="289"/>
      <c r="H1422" s="289"/>
      <c r="I1422" s="289"/>
      <c r="J1422" s="289"/>
      <c r="K1422" s="289"/>
      <c r="L1422" s="289"/>
      <c r="M1422" s="289"/>
      <c r="N1422" s="289"/>
      <c r="O1422" s="289"/>
      <c r="P1422" s="289"/>
      <c r="Q1422" s="289"/>
      <c r="R1422" s="289"/>
      <c r="S1422" s="289"/>
      <c r="T1422" s="289"/>
      <c r="U1422" s="289"/>
      <c r="V1422" s="289"/>
      <c r="W1422" s="289"/>
      <c r="X1422" s="289"/>
      <c r="Y1422" s="289"/>
      <c r="Z1422" s="289"/>
      <c r="AA1422" s="289"/>
      <c r="AB1422" s="289"/>
      <c r="AC1422" s="289"/>
      <c r="AD1422" s="289"/>
      <c r="AE1422" s="289"/>
      <c r="AF1422" s="289"/>
    </row>
    <row r="1539" spans="2:32" ht="15" customHeight="1" x14ac:dyDescent="0.25">
      <c r="B1539" s="199"/>
      <c r="C1539" s="199"/>
      <c r="D1539" s="199"/>
      <c r="E1539" s="199"/>
      <c r="F1539" s="199"/>
      <c r="G1539" s="199"/>
      <c r="H1539" s="199"/>
      <c r="I1539" s="199"/>
      <c r="J1539" s="199"/>
      <c r="K1539" s="199"/>
      <c r="L1539" s="199"/>
      <c r="M1539" s="199"/>
      <c r="N1539" s="199"/>
      <c r="O1539" s="199"/>
      <c r="P1539" s="199"/>
      <c r="Q1539" s="199"/>
      <c r="R1539" s="199"/>
      <c r="S1539" s="199"/>
      <c r="T1539" s="199"/>
      <c r="U1539" s="199"/>
      <c r="V1539" s="199"/>
      <c r="W1539" s="199"/>
      <c r="X1539" s="199"/>
      <c r="Y1539" s="199"/>
      <c r="Z1539" s="199"/>
      <c r="AA1539" s="199"/>
      <c r="AB1539" s="199"/>
      <c r="AC1539" s="199"/>
      <c r="AD1539" s="199"/>
      <c r="AE1539" s="199"/>
      <c r="AF1539" s="199"/>
    </row>
    <row r="1540" spans="2:32" ht="15" customHeight="1" x14ac:dyDescent="0.25">
      <c r="B1540" s="289"/>
      <c r="C1540" s="289"/>
      <c r="D1540" s="289"/>
      <c r="E1540" s="289"/>
      <c r="F1540" s="289"/>
      <c r="G1540" s="289"/>
      <c r="H1540" s="289"/>
      <c r="I1540" s="289"/>
      <c r="J1540" s="289"/>
      <c r="K1540" s="289"/>
      <c r="L1540" s="289"/>
      <c r="M1540" s="289"/>
      <c r="N1540" s="289"/>
      <c r="O1540" s="289"/>
      <c r="P1540" s="289"/>
      <c r="Q1540" s="289"/>
      <c r="R1540" s="289"/>
      <c r="S1540" s="289"/>
      <c r="T1540" s="289"/>
      <c r="U1540" s="289"/>
      <c r="V1540" s="289"/>
      <c r="W1540" s="289"/>
      <c r="X1540" s="289"/>
      <c r="Y1540" s="289"/>
      <c r="Z1540" s="289"/>
      <c r="AA1540" s="289"/>
      <c r="AB1540" s="289"/>
      <c r="AC1540" s="289"/>
      <c r="AD1540" s="289"/>
      <c r="AE1540" s="289"/>
      <c r="AF1540" s="289"/>
    </row>
    <row r="1544" spans="2:32" ht="15" customHeight="1" x14ac:dyDescent="0.25">
      <c r="B1544" s="199"/>
      <c r="C1544" s="199"/>
      <c r="D1544" s="199"/>
      <c r="E1544" s="199"/>
      <c r="F1544" s="199"/>
      <c r="G1544" s="199"/>
      <c r="H1544" s="199"/>
      <c r="I1544" s="199"/>
      <c r="J1544" s="199"/>
      <c r="K1544" s="199"/>
      <c r="L1544" s="199"/>
      <c r="M1544" s="199"/>
      <c r="N1544" s="199"/>
      <c r="O1544" s="199"/>
      <c r="P1544" s="199"/>
      <c r="Q1544" s="199"/>
      <c r="R1544" s="199"/>
      <c r="S1544" s="199"/>
      <c r="T1544" s="199"/>
      <c r="U1544" s="199"/>
      <c r="V1544" s="199"/>
      <c r="W1544" s="199"/>
      <c r="X1544" s="199"/>
      <c r="Y1544" s="199"/>
      <c r="Z1544" s="199"/>
      <c r="AA1544" s="199"/>
      <c r="AB1544" s="199"/>
      <c r="AC1544" s="199"/>
      <c r="AD1544" s="199"/>
      <c r="AE1544" s="199"/>
      <c r="AF1544" s="199"/>
    </row>
    <row r="1545" spans="2:32" ht="15" customHeight="1" x14ac:dyDescent="0.25">
      <c r="B1545" s="199"/>
      <c r="C1545" s="199"/>
      <c r="D1545" s="199"/>
      <c r="E1545" s="199"/>
      <c r="F1545" s="199"/>
      <c r="G1545" s="199"/>
      <c r="H1545" s="199"/>
      <c r="I1545" s="199"/>
      <c r="J1545" s="199"/>
      <c r="K1545" s="199"/>
      <c r="L1545" s="199"/>
      <c r="M1545" s="199"/>
      <c r="N1545" s="199"/>
      <c r="O1545" s="199"/>
      <c r="P1545" s="199"/>
      <c r="Q1545" s="199"/>
      <c r="R1545" s="199"/>
      <c r="S1545" s="199"/>
      <c r="T1545" s="199"/>
      <c r="U1545" s="199"/>
      <c r="V1545" s="199"/>
      <c r="W1545" s="199"/>
      <c r="X1545" s="199"/>
      <c r="Y1545" s="199"/>
      <c r="Z1545" s="199"/>
      <c r="AA1545" s="199"/>
      <c r="AB1545" s="199"/>
      <c r="AC1545" s="199"/>
      <c r="AD1545" s="199"/>
      <c r="AE1545" s="199"/>
      <c r="AF1545" s="199"/>
    </row>
    <row r="1546" spans="2:32" ht="15" customHeight="1" x14ac:dyDescent="0.25">
      <c r="B1546" s="199"/>
      <c r="C1546" s="199"/>
      <c r="D1546" s="199"/>
      <c r="E1546" s="199"/>
      <c r="F1546" s="199"/>
      <c r="G1546" s="199"/>
      <c r="H1546" s="199"/>
      <c r="I1546" s="199"/>
      <c r="J1546" s="199"/>
      <c r="K1546" s="199"/>
      <c r="L1546" s="199"/>
      <c r="M1546" s="199"/>
      <c r="N1546" s="199"/>
      <c r="O1546" s="199"/>
      <c r="P1546" s="199"/>
      <c r="Q1546" s="199"/>
      <c r="R1546" s="199"/>
      <c r="S1546" s="199"/>
      <c r="T1546" s="199"/>
      <c r="U1546" s="199"/>
      <c r="V1546" s="199"/>
      <c r="W1546" s="199"/>
      <c r="X1546" s="199"/>
      <c r="Y1546" s="199"/>
      <c r="Z1546" s="199"/>
      <c r="AA1546" s="199"/>
      <c r="AB1546" s="199"/>
      <c r="AC1546" s="199"/>
      <c r="AD1546" s="199"/>
      <c r="AE1546" s="199"/>
      <c r="AF1546" s="199"/>
    </row>
    <row r="1547" spans="2:32" ht="15" customHeight="1" x14ac:dyDescent="0.25">
      <c r="B1547" s="199"/>
      <c r="C1547" s="199"/>
      <c r="D1547" s="199"/>
      <c r="E1547" s="199"/>
      <c r="F1547" s="199"/>
      <c r="G1547" s="199"/>
      <c r="H1547" s="199"/>
      <c r="I1547" s="199"/>
      <c r="J1547" s="199"/>
      <c r="K1547" s="199"/>
      <c r="L1547" s="199"/>
      <c r="M1547" s="199"/>
      <c r="N1547" s="199"/>
      <c r="O1547" s="199"/>
      <c r="P1547" s="199"/>
      <c r="Q1547" s="199"/>
      <c r="R1547" s="199"/>
      <c r="S1547" s="199"/>
      <c r="T1547" s="199"/>
      <c r="U1547" s="199"/>
      <c r="V1547" s="199"/>
      <c r="W1547" s="199"/>
      <c r="X1547" s="199"/>
      <c r="Y1547" s="199"/>
      <c r="Z1547" s="199"/>
      <c r="AA1547" s="199"/>
      <c r="AB1547" s="199"/>
      <c r="AC1547" s="199"/>
      <c r="AD1547" s="199"/>
      <c r="AE1547" s="199"/>
      <c r="AF1547" s="199"/>
    </row>
    <row r="1548" spans="2:32" ht="15" customHeight="1" x14ac:dyDescent="0.25">
      <c r="B1548" s="199"/>
      <c r="C1548" s="199"/>
      <c r="D1548" s="199"/>
      <c r="E1548" s="199"/>
      <c r="F1548" s="199"/>
      <c r="G1548" s="199"/>
      <c r="H1548" s="199"/>
      <c r="I1548" s="199"/>
      <c r="J1548" s="199"/>
      <c r="K1548" s="199"/>
      <c r="L1548" s="199"/>
      <c r="M1548" s="199"/>
      <c r="N1548" s="199"/>
      <c r="O1548" s="199"/>
      <c r="P1548" s="199"/>
      <c r="Q1548" s="199"/>
      <c r="R1548" s="199"/>
      <c r="S1548" s="199"/>
      <c r="T1548" s="199"/>
      <c r="U1548" s="199"/>
      <c r="V1548" s="199"/>
      <c r="W1548" s="199"/>
      <c r="X1548" s="199"/>
      <c r="Y1548" s="199"/>
      <c r="Z1548" s="199"/>
      <c r="AA1548" s="199"/>
      <c r="AB1548" s="199"/>
      <c r="AC1548" s="199"/>
      <c r="AD1548" s="199"/>
      <c r="AE1548" s="199"/>
      <c r="AF1548" s="199"/>
    </row>
    <row r="1549" spans="2:32" ht="15" customHeight="1" x14ac:dyDescent="0.25">
      <c r="B1549" s="199"/>
      <c r="C1549" s="199"/>
      <c r="D1549" s="199"/>
      <c r="E1549" s="199"/>
      <c r="F1549" s="199"/>
      <c r="G1549" s="199"/>
      <c r="H1549" s="199"/>
      <c r="I1549" s="199"/>
      <c r="J1549" s="199"/>
      <c r="K1549" s="199"/>
      <c r="L1549" s="199"/>
      <c r="M1549" s="199"/>
      <c r="N1549" s="199"/>
      <c r="O1549" s="199"/>
      <c r="P1549" s="199"/>
      <c r="Q1549" s="199"/>
      <c r="R1549" s="199"/>
      <c r="S1549" s="199"/>
      <c r="T1549" s="199"/>
      <c r="U1549" s="199"/>
      <c r="V1549" s="199"/>
      <c r="W1549" s="199"/>
      <c r="X1549" s="199"/>
      <c r="Y1549" s="199"/>
      <c r="Z1549" s="199"/>
      <c r="AA1549" s="199"/>
      <c r="AB1549" s="199"/>
      <c r="AC1549" s="199"/>
      <c r="AD1549" s="199"/>
      <c r="AE1549" s="199"/>
      <c r="AF1549" s="199"/>
    </row>
    <row r="1550" spans="2:32" ht="15" customHeight="1" x14ac:dyDescent="0.25">
      <c r="B1550" s="199"/>
      <c r="C1550" s="199"/>
      <c r="D1550" s="199"/>
      <c r="E1550" s="199"/>
      <c r="F1550" s="199"/>
      <c r="G1550" s="199"/>
      <c r="H1550" s="199"/>
      <c r="I1550" s="199"/>
      <c r="J1550" s="199"/>
      <c r="K1550" s="199"/>
      <c r="L1550" s="199"/>
      <c r="M1550" s="199"/>
      <c r="N1550" s="199"/>
      <c r="O1550" s="199"/>
      <c r="P1550" s="199"/>
      <c r="Q1550" s="199"/>
      <c r="R1550" s="199"/>
      <c r="S1550" s="199"/>
      <c r="T1550" s="199"/>
      <c r="U1550" s="199"/>
      <c r="V1550" s="199"/>
      <c r="W1550" s="199"/>
      <c r="X1550" s="199"/>
      <c r="Y1550" s="199"/>
      <c r="Z1550" s="199"/>
      <c r="AA1550" s="199"/>
      <c r="AB1550" s="199"/>
      <c r="AC1550" s="199"/>
      <c r="AD1550" s="199"/>
      <c r="AE1550" s="199"/>
      <c r="AF1550" s="199"/>
    </row>
    <row r="1551" spans="2:32" ht="15" customHeight="1" x14ac:dyDescent="0.25">
      <c r="B1551" s="199"/>
      <c r="C1551" s="199"/>
      <c r="D1551" s="199"/>
      <c r="E1551" s="199"/>
      <c r="F1551" s="199"/>
      <c r="G1551" s="199"/>
      <c r="H1551" s="199"/>
      <c r="I1551" s="199"/>
      <c r="J1551" s="199"/>
      <c r="K1551" s="199"/>
      <c r="L1551" s="199"/>
      <c r="M1551" s="199"/>
      <c r="N1551" s="199"/>
      <c r="O1551" s="199"/>
      <c r="P1551" s="199"/>
      <c r="Q1551" s="199"/>
      <c r="R1551" s="199"/>
      <c r="S1551" s="199"/>
      <c r="T1551" s="199"/>
      <c r="U1551" s="199"/>
      <c r="V1551" s="199"/>
      <c r="W1551" s="199"/>
      <c r="X1551" s="199"/>
      <c r="Y1551" s="199"/>
      <c r="Z1551" s="199"/>
      <c r="AA1551" s="199"/>
      <c r="AB1551" s="199"/>
      <c r="AC1551" s="199"/>
      <c r="AD1551" s="199"/>
      <c r="AE1551" s="199"/>
      <c r="AF1551" s="199"/>
    </row>
    <row r="1552" spans="2:32" ht="15" customHeight="1" x14ac:dyDescent="0.25">
      <c r="B1552" s="199"/>
      <c r="C1552" s="199"/>
      <c r="D1552" s="199"/>
      <c r="E1552" s="199"/>
      <c r="F1552" s="199"/>
      <c r="G1552" s="199"/>
      <c r="H1552" s="199"/>
      <c r="I1552" s="199"/>
      <c r="J1552" s="199"/>
      <c r="K1552" s="199"/>
      <c r="L1552" s="199"/>
      <c r="M1552" s="199"/>
      <c r="N1552" s="199"/>
      <c r="O1552" s="199"/>
      <c r="P1552" s="199"/>
      <c r="Q1552" s="199"/>
      <c r="R1552" s="199"/>
      <c r="S1552" s="199"/>
      <c r="T1552" s="199"/>
      <c r="U1552" s="199"/>
      <c r="V1552" s="199"/>
      <c r="W1552" s="199"/>
      <c r="X1552" s="199"/>
      <c r="Y1552" s="199"/>
      <c r="Z1552" s="199"/>
      <c r="AA1552" s="199"/>
      <c r="AB1552" s="199"/>
      <c r="AC1552" s="199"/>
      <c r="AD1552" s="199"/>
      <c r="AE1552" s="199"/>
      <c r="AF1552" s="199"/>
    </row>
    <row r="1636" spans="2:32" ht="15" customHeight="1" x14ac:dyDescent="0.25">
      <c r="B1636" s="199"/>
      <c r="C1636" s="199"/>
      <c r="D1636" s="199"/>
      <c r="E1636" s="199"/>
      <c r="F1636" s="199"/>
      <c r="G1636" s="199"/>
      <c r="H1636" s="199"/>
      <c r="I1636" s="199"/>
      <c r="J1636" s="199"/>
      <c r="K1636" s="199"/>
      <c r="L1636" s="199"/>
      <c r="M1636" s="199"/>
      <c r="N1636" s="199"/>
      <c r="O1636" s="199"/>
      <c r="P1636" s="199"/>
      <c r="Q1636" s="199"/>
      <c r="R1636" s="199"/>
      <c r="S1636" s="199"/>
      <c r="T1636" s="199"/>
      <c r="U1636" s="199"/>
      <c r="V1636" s="199"/>
      <c r="W1636" s="199"/>
      <c r="X1636" s="199"/>
      <c r="Y1636" s="199"/>
      <c r="Z1636" s="199"/>
      <c r="AA1636" s="199"/>
      <c r="AB1636" s="199"/>
      <c r="AC1636" s="199"/>
      <c r="AD1636" s="199"/>
      <c r="AE1636" s="199"/>
      <c r="AF1636" s="199"/>
    </row>
    <row r="1639" spans="2:32" ht="15" customHeight="1" x14ac:dyDescent="0.25">
      <c r="B1639" s="199"/>
      <c r="C1639" s="199"/>
      <c r="D1639" s="199"/>
      <c r="E1639" s="199"/>
      <c r="F1639" s="199"/>
      <c r="G1639" s="199"/>
      <c r="H1639" s="199"/>
      <c r="I1639" s="199"/>
      <c r="J1639" s="199"/>
      <c r="K1639" s="199"/>
      <c r="L1639" s="199"/>
      <c r="M1639" s="199"/>
      <c r="N1639" s="199"/>
      <c r="O1639" s="199"/>
      <c r="P1639" s="199"/>
      <c r="Q1639" s="199"/>
      <c r="R1639" s="199"/>
      <c r="S1639" s="199"/>
      <c r="T1639" s="199"/>
      <c r="U1639" s="199"/>
      <c r="V1639" s="199"/>
      <c r="W1639" s="199"/>
      <c r="X1639" s="199"/>
      <c r="Y1639" s="199"/>
      <c r="Z1639" s="199"/>
      <c r="AA1639" s="199"/>
      <c r="AB1639" s="199"/>
      <c r="AC1639" s="199"/>
      <c r="AD1639" s="199"/>
      <c r="AE1639" s="199"/>
      <c r="AF1639" s="199"/>
    </row>
    <row r="1640" spans="2:32" ht="15" customHeight="1" x14ac:dyDescent="0.25">
      <c r="B1640" s="289"/>
      <c r="C1640" s="289"/>
      <c r="D1640" s="289"/>
      <c r="E1640" s="289"/>
      <c r="F1640" s="289"/>
      <c r="G1640" s="289"/>
      <c r="H1640" s="289"/>
      <c r="I1640" s="289"/>
      <c r="J1640" s="289"/>
      <c r="K1640" s="289"/>
      <c r="L1640" s="289"/>
      <c r="M1640" s="289"/>
      <c r="N1640" s="289"/>
      <c r="O1640" s="289"/>
      <c r="P1640" s="289"/>
      <c r="Q1640" s="289"/>
      <c r="R1640" s="289"/>
      <c r="S1640" s="289"/>
      <c r="T1640" s="289"/>
      <c r="U1640" s="289"/>
      <c r="V1640" s="289"/>
      <c r="W1640" s="289"/>
      <c r="X1640" s="289"/>
      <c r="Y1640" s="289"/>
      <c r="Z1640" s="289"/>
      <c r="AA1640" s="289"/>
      <c r="AB1640" s="289"/>
      <c r="AC1640" s="289"/>
      <c r="AD1640" s="289"/>
      <c r="AE1640" s="289"/>
      <c r="AF1640" s="289"/>
    </row>
    <row r="1644" spans="2:32" ht="15" customHeight="1" x14ac:dyDescent="0.25">
      <c r="B1644" s="199"/>
      <c r="C1644" s="199"/>
      <c r="D1644" s="199"/>
      <c r="E1644" s="199"/>
      <c r="F1644" s="199"/>
      <c r="G1644" s="199"/>
      <c r="H1644" s="199"/>
      <c r="I1644" s="199"/>
      <c r="J1644" s="199"/>
      <c r="K1644" s="199"/>
      <c r="L1644" s="199"/>
      <c r="M1644" s="199"/>
      <c r="N1644" s="199"/>
      <c r="O1644" s="199"/>
      <c r="P1644" s="199"/>
      <c r="Q1644" s="199"/>
      <c r="R1644" s="199"/>
      <c r="S1644" s="199"/>
      <c r="T1644" s="199"/>
      <c r="U1644" s="199"/>
      <c r="V1644" s="199"/>
      <c r="W1644" s="199"/>
      <c r="X1644" s="199"/>
      <c r="Y1644" s="199"/>
      <c r="Z1644" s="199"/>
      <c r="AA1644" s="199"/>
      <c r="AB1644" s="199"/>
      <c r="AC1644" s="199"/>
      <c r="AD1644" s="199"/>
      <c r="AE1644" s="199"/>
      <c r="AF1644" s="199"/>
    </row>
    <row r="1645" spans="2:32" ht="15" customHeight="1" x14ac:dyDescent="0.25">
      <c r="B1645" s="199"/>
      <c r="C1645" s="199"/>
      <c r="D1645" s="199"/>
      <c r="E1645" s="199"/>
      <c r="F1645" s="199"/>
      <c r="G1645" s="199"/>
      <c r="H1645" s="199"/>
      <c r="I1645" s="199"/>
      <c r="J1645" s="199"/>
      <c r="K1645" s="199"/>
      <c r="L1645" s="199"/>
      <c r="M1645" s="199"/>
      <c r="N1645" s="199"/>
      <c r="O1645" s="199"/>
      <c r="P1645" s="199"/>
      <c r="Q1645" s="199"/>
      <c r="R1645" s="199"/>
      <c r="S1645" s="199"/>
      <c r="T1645" s="199"/>
      <c r="U1645" s="199"/>
      <c r="V1645" s="199"/>
      <c r="W1645" s="199"/>
      <c r="X1645" s="199"/>
      <c r="Y1645" s="199"/>
      <c r="Z1645" s="199"/>
      <c r="AA1645" s="199"/>
      <c r="AB1645" s="199"/>
      <c r="AC1645" s="199"/>
      <c r="AD1645" s="199"/>
      <c r="AE1645" s="199"/>
      <c r="AF1645" s="199"/>
    </row>
    <row r="1646" spans="2:32" ht="15" customHeight="1" x14ac:dyDescent="0.25">
      <c r="B1646" s="199"/>
      <c r="C1646" s="199"/>
      <c r="D1646" s="199"/>
      <c r="E1646" s="199"/>
      <c r="F1646" s="199"/>
      <c r="G1646" s="199"/>
      <c r="H1646" s="199"/>
      <c r="I1646" s="199"/>
      <c r="J1646" s="199"/>
      <c r="K1646" s="199"/>
      <c r="L1646" s="199"/>
      <c r="M1646" s="199"/>
      <c r="N1646" s="199"/>
      <c r="O1646" s="199"/>
      <c r="P1646" s="199"/>
      <c r="Q1646" s="199"/>
      <c r="R1646" s="199"/>
      <c r="S1646" s="199"/>
      <c r="T1646" s="199"/>
      <c r="U1646" s="199"/>
      <c r="V1646" s="199"/>
      <c r="W1646" s="199"/>
      <c r="X1646" s="199"/>
      <c r="Y1646" s="199"/>
      <c r="Z1646" s="199"/>
      <c r="AA1646" s="199"/>
      <c r="AB1646" s="199"/>
      <c r="AC1646" s="199"/>
      <c r="AD1646" s="199"/>
      <c r="AE1646" s="199"/>
      <c r="AF1646" s="199"/>
    </row>
    <row r="1647" spans="2:32" ht="15" customHeight="1" x14ac:dyDescent="0.25">
      <c r="B1647" s="199"/>
      <c r="C1647" s="199"/>
      <c r="D1647" s="199"/>
      <c r="E1647" s="199"/>
      <c r="F1647" s="199"/>
      <c r="G1647" s="199"/>
      <c r="H1647" s="199"/>
      <c r="I1647" s="199"/>
      <c r="J1647" s="199"/>
      <c r="K1647" s="199"/>
      <c r="L1647" s="199"/>
      <c r="M1647" s="199"/>
      <c r="N1647" s="199"/>
      <c r="O1647" s="199"/>
      <c r="P1647" s="199"/>
      <c r="Q1647" s="199"/>
      <c r="R1647" s="199"/>
      <c r="S1647" s="199"/>
      <c r="T1647" s="199"/>
      <c r="U1647" s="199"/>
      <c r="V1647" s="199"/>
      <c r="W1647" s="199"/>
      <c r="X1647" s="199"/>
      <c r="Y1647" s="199"/>
      <c r="Z1647" s="199"/>
      <c r="AA1647" s="199"/>
      <c r="AB1647" s="199"/>
      <c r="AC1647" s="199"/>
      <c r="AD1647" s="199"/>
      <c r="AE1647" s="199"/>
      <c r="AF1647" s="199"/>
    </row>
    <row r="1648" spans="2:32" ht="15" customHeight="1" x14ac:dyDescent="0.25">
      <c r="B1648" s="199"/>
      <c r="C1648" s="199"/>
      <c r="D1648" s="199"/>
      <c r="E1648" s="199"/>
      <c r="F1648" s="199"/>
      <c r="G1648" s="199"/>
      <c r="H1648" s="199"/>
      <c r="I1648" s="199"/>
      <c r="J1648" s="199"/>
      <c r="K1648" s="199"/>
      <c r="L1648" s="199"/>
      <c r="M1648" s="199"/>
      <c r="N1648" s="199"/>
      <c r="O1648" s="199"/>
      <c r="P1648" s="199"/>
      <c r="Q1648" s="199"/>
      <c r="R1648" s="199"/>
      <c r="S1648" s="199"/>
      <c r="T1648" s="199"/>
      <c r="U1648" s="199"/>
      <c r="V1648" s="199"/>
      <c r="W1648" s="199"/>
      <c r="X1648" s="199"/>
      <c r="Y1648" s="199"/>
      <c r="Z1648" s="199"/>
      <c r="AA1648" s="199"/>
      <c r="AB1648" s="199"/>
      <c r="AC1648" s="199"/>
      <c r="AD1648" s="199"/>
      <c r="AE1648" s="199"/>
      <c r="AF1648" s="199"/>
    </row>
    <row r="1730" spans="2:32" ht="15" customHeight="1" x14ac:dyDescent="0.25">
      <c r="B1730" s="199"/>
      <c r="C1730" s="199"/>
      <c r="D1730" s="199"/>
      <c r="E1730" s="199"/>
      <c r="F1730" s="199"/>
      <c r="G1730" s="199"/>
      <c r="H1730" s="199"/>
      <c r="I1730" s="199"/>
      <c r="J1730" s="199"/>
      <c r="K1730" s="199"/>
      <c r="L1730" s="199"/>
      <c r="M1730" s="199"/>
      <c r="N1730" s="199"/>
      <c r="O1730" s="199"/>
      <c r="P1730" s="199"/>
      <c r="Q1730" s="199"/>
      <c r="R1730" s="199"/>
      <c r="S1730" s="199"/>
      <c r="T1730" s="199"/>
      <c r="U1730" s="199"/>
      <c r="V1730" s="199"/>
      <c r="W1730" s="199"/>
      <c r="X1730" s="199"/>
      <c r="Y1730" s="199"/>
      <c r="Z1730" s="199"/>
      <c r="AA1730" s="199"/>
      <c r="AB1730" s="199"/>
      <c r="AC1730" s="199"/>
      <c r="AD1730" s="199"/>
      <c r="AE1730" s="199"/>
      <c r="AF1730" s="199"/>
    </row>
    <row r="1736" spans="2:32" ht="15" customHeight="1" x14ac:dyDescent="0.25">
      <c r="B1736" s="199"/>
      <c r="C1736" s="199"/>
      <c r="D1736" s="199"/>
      <c r="E1736" s="199"/>
      <c r="F1736" s="199"/>
      <c r="G1736" s="199"/>
      <c r="H1736" s="199"/>
      <c r="I1736" s="199"/>
      <c r="J1736" s="199"/>
      <c r="K1736" s="199"/>
      <c r="L1736" s="199"/>
      <c r="M1736" s="199"/>
      <c r="N1736" s="199"/>
      <c r="O1736" s="199"/>
      <c r="P1736" s="199"/>
      <c r="Q1736" s="199"/>
      <c r="R1736" s="199"/>
      <c r="S1736" s="199"/>
      <c r="T1736" s="199"/>
      <c r="U1736" s="199"/>
      <c r="V1736" s="199"/>
      <c r="W1736" s="199"/>
      <c r="X1736" s="199"/>
      <c r="Y1736" s="199"/>
      <c r="Z1736" s="199"/>
      <c r="AA1736" s="199"/>
      <c r="AB1736" s="199"/>
      <c r="AC1736" s="199"/>
      <c r="AD1736" s="199"/>
      <c r="AE1736" s="199"/>
      <c r="AF1736" s="199"/>
    </row>
    <row r="1739" spans="2:32" ht="15" customHeight="1" x14ac:dyDescent="0.25">
      <c r="B1739" s="199"/>
      <c r="C1739" s="199"/>
      <c r="D1739" s="199"/>
      <c r="E1739" s="199"/>
      <c r="F1739" s="199"/>
      <c r="G1739" s="199"/>
      <c r="H1739" s="199"/>
      <c r="I1739" s="199"/>
      <c r="J1739" s="199"/>
      <c r="K1739" s="199"/>
      <c r="L1739" s="199"/>
      <c r="M1739" s="199"/>
      <c r="N1739" s="199"/>
      <c r="O1739" s="199"/>
      <c r="P1739" s="199"/>
      <c r="Q1739" s="199"/>
      <c r="R1739" s="199"/>
      <c r="S1739" s="199"/>
      <c r="T1739" s="199"/>
      <c r="U1739" s="199"/>
      <c r="V1739" s="199"/>
      <c r="W1739" s="199"/>
      <c r="X1739" s="199"/>
      <c r="Y1739" s="199"/>
      <c r="Z1739" s="199"/>
      <c r="AA1739" s="199"/>
      <c r="AB1739" s="199"/>
      <c r="AC1739" s="199"/>
      <c r="AD1739" s="199"/>
      <c r="AE1739" s="199"/>
      <c r="AF1739" s="199"/>
    </row>
    <row r="1740" spans="2:32" ht="15" customHeight="1" x14ac:dyDescent="0.25">
      <c r="B1740" s="289"/>
      <c r="C1740" s="289"/>
      <c r="D1740" s="289"/>
      <c r="E1740" s="289"/>
      <c r="F1740" s="289"/>
      <c r="G1740" s="289"/>
      <c r="H1740" s="289"/>
      <c r="I1740" s="289"/>
      <c r="J1740" s="289"/>
      <c r="K1740" s="289"/>
      <c r="L1740" s="289"/>
      <c r="M1740" s="289"/>
      <c r="N1740" s="289"/>
      <c r="O1740" s="289"/>
      <c r="P1740" s="289"/>
      <c r="Q1740" s="289"/>
      <c r="R1740" s="289"/>
      <c r="S1740" s="289"/>
      <c r="T1740" s="289"/>
      <c r="U1740" s="289"/>
      <c r="V1740" s="289"/>
      <c r="W1740" s="289"/>
      <c r="X1740" s="289"/>
      <c r="Y1740" s="289"/>
      <c r="Z1740" s="289"/>
      <c r="AA1740" s="289"/>
      <c r="AB1740" s="289"/>
      <c r="AC1740" s="289"/>
      <c r="AD1740" s="289"/>
      <c r="AE1740" s="289"/>
      <c r="AF1740" s="289"/>
    </row>
    <row r="1744" spans="2:32" ht="15" customHeight="1" x14ac:dyDescent="0.25">
      <c r="B1744" s="199"/>
      <c r="C1744" s="199"/>
      <c r="D1744" s="199"/>
      <c r="E1744" s="199"/>
      <c r="F1744" s="199"/>
      <c r="G1744" s="199"/>
      <c r="H1744" s="199"/>
      <c r="I1744" s="199"/>
      <c r="J1744" s="199"/>
      <c r="K1744" s="199"/>
      <c r="L1744" s="199"/>
      <c r="M1744" s="199"/>
      <c r="N1744" s="199"/>
      <c r="O1744" s="199"/>
      <c r="P1744" s="199"/>
      <c r="Q1744" s="199"/>
      <c r="R1744" s="199"/>
      <c r="S1744" s="199"/>
      <c r="T1744" s="199"/>
      <c r="U1744" s="199"/>
      <c r="V1744" s="199"/>
      <c r="W1744" s="199"/>
      <c r="X1744" s="199"/>
      <c r="Y1744" s="199"/>
      <c r="Z1744" s="199"/>
      <c r="AA1744" s="199"/>
      <c r="AB1744" s="199"/>
      <c r="AC1744" s="199"/>
      <c r="AD1744" s="199"/>
      <c r="AE1744" s="199"/>
      <c r="AF1744" s="199"/>
    </row>
    <row r="1830" spans="2:32" ht="15" customHeight="1" x14ac:dyDescent="0.25">
      <c r="B1830" s="199"/>
      <c r="C1830" s="199"/>
      <c r="D1830" s="199"/>
      <c r="E1830" s="199"/>
      <c r="F1830" s="199"/>
      <c r="G1830" s="199"/>
      <c r="H1830" s="199"/>
      <c r="I1830" s="199"/>
      <c r="J1830" s="199"/>
      <c r="K1830" s="199"/>
      <c r="L1830" s="199"/>
      <c r="M1830" s="199"/>
      <c r="N1830" s="199"/>
      <c r="O1830" s="199"/>
      <c r="P1830" s="199"/>
      <c r="Q1830" s="199"/>
      <c r="R1830" s="199"/>
      <c r="S1830" s="199"/>
      <c r="T1830" s="199"/>
      <c r="U1830" s="199"/>
      <c r="V1830" s="199"/>
      <c r="W1830" s="199"/>
      <c r="X1830" s="199"/>
      <c r="Y1830" s="199"/>
      <c r="Z1830" s="199"/>
      <c r="AA1830" s="199"/>
      <c r="AB1830" s="199"/>
      <c r="AC1830" s="199"/>
      <c r="AD1830" s="199"/>
      <c r="AE1830" s="199"/>
      <c r="AF1830" s="199"/>
    </row>
    <row r="1836" spans="2:32" ht="15" customHeight="1" x14ac:dyDescent="0.25">
      <c r="B1836" s="199"/>
      <c r="C1836" s="199"/>
      <c r="D1836" s="199"/>
      <c r="E1836" s="199"/>
      <c r="F1836" s="199"/>
      <c r="G1836" s="199"/>
      <c r="H1836" s="199"/>
      <c r="I1836" s="199"/>
      <c r="J1836" s="199"/>
      <c r="K1836" s="199"/>
      <c r="L1836" s="199"/>
      <c r="M1836" s="199"/>
      <c r="N1836" s="199"/>
      <c r="O1836" s="199"/>
      <c r="P1836" s="199"/>
      <c r="Q1836" s="199"/>
      <c r="R1836" s="199"/>
      <c r="S1836" s="199"/>
      <c r="T1836" s="199"/>
      <c r="U1836" s="199"/>
      <c r="V1836" s="199"/>
      <c r="W1836" s="199"/>
      <c r="X1836" s="199"/>
      <c r="Y1836" s="199"/>
      <c r="Z1836" s="199"/>
      <c r="AA1836" s="199"/>
      <c r="AB1836" s="199"/>
      <c r="AC1836" s="199"/>
      <c r="AD1836" s="199"/>
      <c r="AE1836" s="199"/>
      <c r="AF1836" s="199"/>
    </row>
    <row r="1839" spans="2:32" ht="15" customHeight="1" x14ac:dyDescent="0.25">
      <c r="B1839" s="199"/>
      <c r="C1839" s="199"/>
      <c r="D1839" s="199"/>
      <c r="E1839" s="199"/>
      <c r="F1839" s="199"/>
      <c r="G1839" s="199"/>
      <c r="H1839" s="199"/>
      <c r="I1839" s="199"/>
      <c r="J1839" s="199"/>
      <c r="K1839" s="199"/>
      <c r="L1839" s="199"/>
      <c r="M1839" s="199"/>
      <c r="N1839" s="199"/>
      <c r="O1839" s="199"/>
      <c r="P1839" s="199"/>
      <c r="Q1839" s="199"/>
      <c r="R1839" s="199"/>
      <c r="S1839" s="199"/>
      <c r="T1839" s="199"/>
      <c r="U1839" s="199"/>
      <c r="V1839" s="199"/>
      <c r="W1839" s="199"/>
      <c r="X1839" s="199"/>
      <c r="Y1839" s="199"/>
      <c r="Z1839" s="199"/>
      <c r="AA1839" s="199"/>
      <c r="AB1839" s="199"/>
      <c r="AC1839" s="199"/>
      <c r="AD1839" s="199"/>
      <c r="AE1839" s="199"/>
      <c r="AF1839" s="199"/>
    </row>
    <row r="1840" spans="2:32" ht="15" customHeight="1" x14ac:dyDescent="0.25">
      <c r="B1840" s="289"/>
      <c r="C1840" s="289"/>
      <c r="D1840" s="289"/>
      <c r="E1840" s="289"/>
      <c r="F1840" s="289"/>
      <c r="G1840" s="289"/>
      <c r="H1840" s="289"/>
      <c r="I1840" s="289"/>
      <c r="J1840" s="289"/>
      <c r="K1840" s="289"/>
      <c r="L1840" s="289"/>
      <c r="M1840" s="289"/>
      <c r="N1840" s="289"/>
      <c r="O1840" s="289"/>
      <c r="P1840" s="289"/>
      <c r="Q1840" s="289"/>
      <c r="R1840" s="289"/>
      <c r="S1840" s="289"/>
      <c r="T1840" s="289"/>
      <c r="U1840" s="289"/>
      <c r="V1840" s="289"/>
      <c r="W1840" s="289"/>
      <c r="X1840" s="289"/>
      <c r="Y1840" s="289"/>
      <c r="Z1840" s="289"/>
      <c r="AA1840" s="289"/>
      <c r="AB1840" s="289"/>
      <c r="AC1840" s="289"/>
      <c r="AD1840" s="289"/>
      <c r="AE1840" s="289"/>
      <c r="AF1840" s="289"/>
    </row>
    <row r="1939" spans="2:32" ht="15" customHeight="1" x14ac:dyDescent="0.25">
      <c r="B1939" s="199"/>
      <c r="C1939" s="199"/>
      <c r="D1939" s="199"/>
      <c r="E1939" s="199"/>
      <c r="F1939" s="199"/>
      <c r="G1939" s="199"/>
      <c r="H1939" s="199"/>
      <c r="I1939" s="199"/>
      <c r="J1939" s="199"/>
      <c r="K1939" s="199"/>
      <c r="L1939" s="199"/>
      <c r="M1939" s="199"/>
      <c r="N1939" s="199"/>
      <c r="O1939" s="199"/>
      <c r="P1939" s="199"/>
      <c r="Q1939" s="199"/>
      <c r="R1939" s="199"/>
      <c r="S1939" s="199"/>
      <c r="T1939" s="199"/>
      <c r="U1939" s="199"/>
      <c r="V1939" s="199"/>
      <c r="W1939" s="199"/>
      <c r="X1939" s="199"/>
      <c r="Y1939" s="199"/>
      <c r="Z1939" s="199"/>
      <c r="AA1939" s="199"/>
      <c r="AB1939" s="199"/>
      <c r="AC1939" s="199"/>
      <c r="AD1939" s="199"/>
      <c r="AE1939" s="199"/>
      <c r="AF1939" s="199"/>
    </row>
    <row r="1940" spans="2:32" ht="15" customHeight="1" x14ac:dyDescent="0.25">
      <c r="B1940" s="289"/>
      <c r="C1940" s="289"/>
      <c r="D1940" s="289"/>
      <c r="E1940" s="289"/>
      <c r="F1940" s="289"/>
      <c r="G1940" s="289"/>
      <c r="H1940" s="289"/>
      <c r="I1940" s="289"/>
      <c r="J1940" s="289"/>
      <c r="K1940" s="289"/>
      <c r="L1940" s="289"/>
      <c r="M1940" s="289"/>
      <c r="N1940" s="289"/>
      <c r="O1940" s="289"/>
      <c r="P1940" s="289"/>
      <c r="Q1940" s="289"/>
      <c r="R1940" s="289"/>
      <c r="S1940" s="289"/>
      <c r="T1940" s="289"/>
      <c r="U1940" s="289"/>
      <c r="V1940" s="289"/>
      <c r="W1940" s="289"/>
      <c r="X1940" s="289"/>
      <c r="Y1940" s="289"/>
      <c r="Z1940" s="289"/>
      <c r="AA1940" s="289"/>
      <c r="AB1940" s="289"/>
      <c r="AC1940" s="289"/>
      <c r="AD1940" s="289"/>
      <c r="AE1940" s="289"/>
      <c r="AF1940" s="289"/>
    </row>
    <row r="1944" spans="2:32" ht="15" customHeight="1" x14ac:dyDescent="0.25">
      <c r="B1944" s="199"/>
      <c r="C1944" s="199"/>
      <c r="D1944" s="199"/>
      <c r="E1944" s="199"/>
      <c r="F1944" s="199"/>
      <c r="G1944" s="199"/>
      <c r="H1944" s="199"/>
      <c r="I1944" s="199"/>
      <c r="J1944" s="199"/>
      <c r="K1944" s="199"/>
      <c r="L1944" s="199"/>
      <c r="M1944" s="199"/>
      <c r="N1944" s="199"/>
      <c r="O1944" s="199"/>
      <c r="P1944" s="199"/>
      <c r="Q1944" s="199"/>
      <c r="R1944" s="199"/>
      <c r="S1944" s="199"/>
      <c r="T1944" s="199"/>
      <c r="U1944" s="199"/>
      <c r="V1944" s="199"/>
      <c r="W1944" s="199"/>
      <c r="X1944" s="199"/>
      <c r="Y1944" s="199"/>
      <c r="Z1944" s="199"/>
      <c r="AA1944" s="199"/>
      <c r="AB1944" s="199"/>
      <c r="AC1944" s="199"/>
      <c r="AD1944" s="199"/>
      <c r="AE1944" s="199"/>
      <c r="AF1944" s="199"/>
    </row>
    <row r="1945" spans="2:32" ht="15" customHeight="1" x14ac:dyDescent="0.25">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row>
    <row r="1946" spans="2:32" ht="15" customHeight="1" x14ac:dyDescent="0.25">
      <c r="B1946" s="199"/>
      <c r="C1946" s="199"/>
      <c r="D1946" s="199"/>
      <c r="E1946" s="199"/>
      <c r="F1946" s="199"/>
      <c r="G1946" s="199"/>
      <c r="H1946" s="199"/>
      <c r="I1946" s="199"/>
      <c r="J1946" s="199"/>
      <c r="K1946" s="199"/>
      <c r="L1946" s="199"/>
      <c r="M1946" s="199"/>
      <c r="N1946" s="199"/>
      <c r="O1946" s="199"/>
      <c r="P1946" s="199"/>
      <c r="Q1946" s="199"/>
      <c r="R1946" s="199"/>
      <c r="S1946" s="199"/>
      <c r="T1946" s="199"/>
      <c r="U1946" s="199"/>
      <c r="V1946" s="199"/>
      <c r="W1946" s="199"/>
      <c r="X1946" s="199"/>
      <c r="Y1946" s="199"/>
      <c r="Z1946" s="199"/>
      <c r="AA1946" s="199"/>
      <c r="AB1946" s="199"/>
      <c r="AC1946" s="199"/>
      <c r="AD1946" s="199"/>
      <c r="AE1946" s="199"/>
      <c r="AF1946" s="199"/>
    </row>
    <row r="1947" spans="2:32" ht="15" customHeight="1" x14ac:dyDescent="0.25">
      <c r="B1947" s="199"/>
      <c r="C1947" s="199"/>
      <c r="D1947" s="199"/>
      <c r="E1947" s="199"/>
      <c r="F1947" s="199"/>
      <c r="G1947" s="199"/>
      <c r="H1947" s="199"/>
      <c r="I1947" s="199"/>
      <c r="J1947" s="199"/>
      <c r="K1947" s="199"/>
      <c r="L1947" s="199"/>
      <c r="M1947" s="199"/>
      <c r="N1947" s="199"/>
      <c r="O1947" s="199"/>
      <c r="P1947" s="199"/>
      <c r="Q1947" s="199"/>
      <c r="R1947" s="199"/>
      <c r="S1947" s="199"/>
      <c r="T1947" s="199"/>
      <c r="U1947" s="199"/>
      <c r="V1947" s="199"/>
      <c r="W1947" s="199"/>
      <c r="X1947" s="199"/>
      <c r="Y1947" s="199"/>
      <c r="Z1947" s="199"/>
      <c r="AA1947" s="199"/>
      <c r="AB1947" s="199"/>
      <c r="AC1947" s="199"/>
      <c r="AD1947" s="199"/>
      <c r="AE1947" s="199"/>
      <c r="AF1947" s="199"/>
    </row>
    <row r="1948" spans="2:32" ht="15" customHeight="1" x14ac:dyDescent="0.25">
      <c r="B1948" s="199"/>
      <c r="C1948" s="199"/>
      <c r="D1948" s="199"/>
      <c r="E1948" s="199"/>
      <c r="F1948" s="199"/>
      <c r="G1948" s="199"/>
      <c r="H1948" s="199"/>
      <c r="I1948" s="199"/>
      <c r="J1948" s="199"/>
      <c r="K1948" s="199"/>
      <c r="L1948" s="199"/>
      <c r="M1948" s="199"/>
      <c r="N1948" s="199"/>
      <c r="O1948" s="199"/>
      <c r="P1948" s="199"/>
      <c r="Q1948" s="199"/>
      <c r="R1948" s="199"/>
      <c r="S1948" s="199"/>
      <c r="T1948" s="199"/>
      <c r="U1948" s="199"/>
      <c r="V1948" s="199"/>
      <c r="W1948" s="199"/>
      <c r="X1948" s="199"/>
      <c r="Y1948" s="199"/>
      <c r="Z1948" s="199"/>
      <c r="AA1948" s="199"/>
      <c r="AB1948" s="199"/>
      <c r="AC1948" s="199"/>
      <c r="AD1948" s="199"/>
      <c r="AE1948" s="199"/>
      <c r="AF1948" s="199"/>
    </row>
    <row r="1949" spans="2:32" ht="15" customHeight="1" x14ac:dyDescent="0.25">
      <c r="B1949" s="199"/>
      <c r="C1949" s="199"/>
      <c r="D1949" s="199"/>
      <c r="E1949" s="199"/>
      <c r="F1949" s="199"/>
      <c r="G1949" s="199"/>
      <c r="H1949" s="199"/>
      <c r="I1949" s="199"/>
      <c r="J1949" s="199"/>
      <c r="K1949" s="199"/>
      <c r="L1949" s="199"/>
      <c r="M1949" s="199"/>
      <c r="N1949" s="199"/>
      <c r="O1949" s="199"/>
      <c r="P1949" s="199"/>
      <c r="Q1949" s="199"/>
      <c r="R1949" s="199"/>
      <c r="S1949" s="199"/>
      <c r="T1949" s="199"/>
      <c r="U1949" s="199"/>
      <c r="V1949" s="199"/>
      <c r="W1949" s="199"/>
      <c r="X1949" s="199"/>
      <c r="Y1949" s="199"/>
      <c r="Z1949" s="199"/>
      <c r="AA1949" s="199"/>
      <c r="AB1949" s="199"/>
      <c r="AC1949" s="199"/>
      <c r="AD1949" s="199"/>
      <c r="AE1949" s="199"/>
      <c r="AF1949" s="199"/>
    </row>
    <row r="1950" spans="2:32" ht="15" customHeight="1" x14ac:dyDescent="0.25">
      <c r="B1950" s="199"/>
      <c r="C1950" s="199"/>
      <c r="D1950" s="199"/>
      <c r="E1950" s="199"/>
      <c r="F1950" s="199"/>
      <c r="G1950" s="199"/>
      <c r="H1950" s="199"/>
      <c r="I1950" s="199"/>
      <c r="J1950" s="199"/>
      <c r="K1950" s="199"/>
      <c r="L1950" s="199"/>
      <c r="M1950" s="199"/>
      <c r="N1950" s="199"/>
      <c r="O1950" s="199"/>
      <c r="P1950" s="199"/>
      <c r="Q1950" s="199"/>
      <c r="R1950" s="199"/>
      <c r="S1950" s="199"/>
      <c r="T1950" s="199"/>
      <c r="U1950" s="199"/>
      <c r="V1950" s="199"/>
      <c r="W1950" s="199"/>
      <c r="X1950" s="199"/>
      <c r="Y1950" s="199"/>
      <c r="Z1950" s="199"/>
      <c r="AA1950" s="199"/>
      <c r="AB1950" s="199"/>
      <c r="AC1950" s="199"/>
      <c r="AD1950" s="199"/>
      <c r="AE1950" s="199"/>
      <c r="AF1950" s="199"/>
    </row>
    <row r="1951" spans="2:32" ht="15" customHeight="1" x14ac:dyDescent="0.25">
      <c r="B1951" s="199"/>
      <c r="C1951" s="199"/>
      <c r="D1951" s="199"/>
      <c r="E1951" s="199"/>
      <c r="F1951" s="199"/>
      <c r="G1951" s="199"/>
      <c r="H1951" s="199"/>
      <c r="I1951" s="199"/>
      <c r="J1951" s="199"/>
      <c r="K1951" s="199"/>
      <c r="L1951" s="199"/>
      <c r="M1951" s="199"/>
      <c r="N1951" s="199"/>
      <c r="O1951" s="199"/>
      <c r="P1951" s="199"/>
      <c r="Q1951" s="199"/>
      <c r="R1951" s="199"/>
      <c r="S1951" s="199"/>
      <c r="T1951" s="199"/>
      <c r="U1951" s="199"/>
      <c r="V1951" s="199"/>
      <c r="W1951" s="199"/>
      <c r="X1951" s="199"/>
      <c r="Y1951" s="199"/>
      <c r="Z1951" s="199"/>
      <c r="AA1951" s="199"/>
      <c r="AB1951" s="199"/>
      <c r="AC1951" s="199"/>
      <c r="AD1951" s="199"/>
      <c r="AE1951" s="199"/>
      <c r="AF1951" s="199"/>
    </row>
    <row r="1952" spans="2:32" ht="15" customHeight="1" x14ac:dyDescent="0.25">
      <c r="B1952" s="199"/>
      <c r="C1952" s="199"/>
      <c r="D1952" s="199"/>
      <c r="E1952" s="199"/>
      <c r="F1952" s="199"/>
      <c r="G1952" s="199"/>
      <c r="H1952" s="199"/>
      <c r="I1952" s="199"/>
      <c r="J1952" s="199"/>
      <c r="K1952" s="199"/>
      <c r="L1952" s="199"/>
      <c r="M1952" s="199"/>
      <c r="N1952" s="199"/>
      <c r="O1952" s="199"/>
      <c r="P1952" s="199"/>
      <c r="Q1952" s="199"/>
      <c r="R1952" s="199"/>
      <c r="S1952" s="199"/>
      <c r="T1952" s="199"/>
      <c r="U1952" s="199"/>
      <c r="V1952" s="199"/>
      <c r="W1952" s="199"/>
      <c r="X1952" s="199"/>
      <c r="Y1952" s="199"/>
      <c r="Z1952" s="199"/>
      <c r="AA1952" s="199"/>
      <c r="AB1952" s="199"/>
      <c r="AC1952" s="199"/>
      <c r="AD1952" s="199"/>
      <c r="AE1952" s="199"/>
      <c r="AF1952" s="199"/>
    </row>
    <row r="2036" spans="2:32" ht="15" customHeight="1" x14ac:dyDescent="0.25">
      <c r="B2036" s="199"/>
      <c r="C2036" s="199"/>
      <c r="D2036" s="199"/>
      <c r="E2036" s="199"/>
      <c r="F2036" s="199"/>
      <c r="G2036" s="199"/>
      <c r="H2036" s="199"/>
      <c r="I2036" s="199"/>
      <c r="J2036" s="199"/>
      <c r="K2036" s="199"/>
      <c r="L2036" s="199"/>
      <c r="M2036" s="199"/>
      <c r="N2036" s="199"/>
      <c r="O2036" s="199"/>
      <c r="P2036" s="199"/>
      <c r="Q2036" s="199"/>
      <c r="R2036" s="199"/>
      <c r="S2036" s="199"/>
      <c r="T2036" s="199"/>
      <c r="U2036" s="199"/>
      <c r="V2036" s="199"/>
      <c r="W2036" s="199"/>
      <c r="X2036" s="199"/>
      <c r="Y2036" s="199"/>
      <c r="Z2036" s="199"/>
      <c r="AA2036" s="199"/>
      <c r="AB2036" s="199"/>
      <c r="AC2036" s="199"/>
      <c r="AD2036" s="199"/>
      <c r="AE2036" s="199"/>
      <c r="AF2036" s="199"/>
    </row>
    <row r="2039" spans="2:32" ht="15" customHeight="1" x14ac:dyDescent="0.25">
      <c r="B2039" s="199"/>
      <c r="C2039" s="199"/>
      <c r="D2039" s="199"/>
      <c r="E2039" s="199"/>
      <c r="F2039" s="199"/>
      <c r="G2039" s="199"/>
      <c r="H2039" s="199"/>
      <c r="I2039" s="199"/>
      <c r="J2039" s="199"/>
      <c r="K2039" s="199"/>
      <c r="L2039" s="199"/>
      <c r="M2039" s="199"/>
      <c r="N2039" s="199"/>
      <c r="O2039" s="199"/>
      <c r="P2039" s="199"/>
      <c r="Q2039" s="199"/>
      <c r="R2039" s="199"/>
      <c r="S2039" s="199"/>
      <c r="T2039" s="199"/>
      <c r="U2039" s="199"/>
      <c r="V2039" s="199"/>
      <c r="W2039" s="199"/>
      <c r="X2039" s="199"/>
      <c r="Y2039" s="199"/>
      <c r="Z2039" s="199"/>
      <c r="AA2039" s="199"/>
      <c r="AB2039" s="199"/>
      <c r="AC2039" s="199"/>
      <c r="AD2039" s="199"/>
      <c r="AE2039" s="199"/>
      <c r="AF2039" s="199"/>
    </row>
    <row r="2040" spans="2:32" ht="15" customHeight="1" x14ac:dyDescent="0.25">
      <c r="B2040" s="289"/>
      <c r="C2040" s="289"/>
      <c r="D2040" s="289"/>
      <c r="E2040" s="289"/>
      <c r="F2040" s="289"/>
      <c r="G2040" s="289"/>
      <c r="H2040" s="289"/>
      <c r="I2040" s="289"/>
      <c r="J2040" s="289"/>
      <c r="K2040" s="289"/>
      <c r="L2040" s="289"/>
      <c r="M2040" s="289"/>
      <c r="N2040" s="289"/>
      <c r="O2040" s="289"/>
      <c r="P2040" s="289"/>
      <c r="Q2040" s="289"/>
      <c r="R2040" s="289"/>
      <c r="S2040" s="289"/>
      <c r="T2040" s="289"/>
      <c r="U2040" s="289"/>
      <c r="V2040" s="289"/>
      <c r="W2040" s="289"/>
      <c r="X2040" s="289"/>
      <c r="Y2040" s="289"/>
      <c r="Z2040" s="289"/>
      <c r="AA2040" s="289"/>
      <c r="AB2040" s="289"/>
      <c r="AC2040" s="289"/>
      <c r="AD2040" s="289"/>
      <c r="AE2040" s="289"/>
      <c r="AF2040" s="289"/>
    </row>
    <row r="2044" spans="2:32" ht="15" customHeight="1" x14ac:dyDescent="0.25">
      <c r="B2044" s="199"/>
      <c r="C2044" s="199"/>
      <c r="D2044" s="199"/>
      <c r="E2044" s="199"/>
      <c r="F2044" s="199"/>
      <c r="G2044" s="199"/>
      <c r="H2044" s="199"/>
      <c r="I2044" s="199"/>
      <c r="J2044" s="199"/>
      <c r="K2044" s="199"/>
      <c r="L2044" s="199"/>
      <c r="M2044" s="199"/>
      <c r="N2044" s="199"/>
      <c r="O2044" s="199"/>
      <c r="P2044" s="199"/>
      <c r="Q2044" s="199"/>
      <c r="R2044" s="199"/>
      <c r="S2044" s="199"/>
      <c r="T2044" s="199"/>
      <c r="U2044" s="199"/>
      <c r="V2044" s="199"/>
      <c r="W2044" s="199"/>
      <c r="X2044" s="199"/>
      <c r="Y2044" s="199"/>
      <c r="Z2044" s="199"/>
      <c r="AA2044" s="199"/>
      <c r="AB2044" s="199"/>
      <c r="AC2044" s="199"/>
      <c r="AD2044" s="199"/>
      <c r="AE2044" s="199"/>
      <c r="AF2044" s="199"/>
    </row>
    <row r="2045" spans="2:32" ht="15" customHeight="1" x14ac:dyDescent="0.25">
      <c r="B2045" s="199"/>
      <c r="C2045" s="199"/>
      <c r="D2045" s="199"/>
      <c r="E2045" s="199"/>
      <c r="F2045" s="199"/>
      <c r="G2045" s="199"/>
      <c r="H2045" s="199"/>
      <c r="I2045" s="199"/>
      <c r="J2045" s="199"/>
      <c r="K2045" s="199"/>
      <c r="L2045" s="199"/>
      <c r="M2045" s="199"/>
      <c r="N2045" s="199"/>
      <c r="O2045" s="199"/>
      <c r="P2045" s="199"/>
      <c r="Q2045" s="199"/>
      <c r="R2045" s="199"/>
      <c r="S2045" s="199"/>
      <c r="T2045" s="199"/>
      <c r="U2045" s="199"/>
      <c r="V2045" s="199"/>
      <c r="W2045" s="199"/>
      <c r="X2045" s="199"/>
      <c r="Y2045" s="199"/>
      <c r="Z2045" s="199"/>
      <c r="AA2045" s="199"/>
      <c r="AB2045" s="199"/>
      <c r="AC2045" s="199"/>
      <c r="AD2045" s="199"/>
      <c r="AE2045" s="199"/>
      <c r="AF2045" s="199"/>
    </row>
    <row r="2046" spans="2:32" ht="15" customHeight="1" x14ac:dyDescent="0.25">
      <c r="B2046" s="199"/>
      <c r="C2046" s="199"/>
      <c r="D2046" s="199"/>
      <c r="E2046" s="199"/>
      <c r="F2046" s="199"/>
      <c r="G2046" s="199"/>
      <c r="H2046" s="199"/>
      <c r="I2046" s="199"/>
      <c r="J2046" s="199"/>
      <c r="K2046" s="199"/>
      <c r="L2046" s="199"/>
      <c r="M2046" s="199"/>
      <c r="N2046" s="199"/>
      <c r="O2046" s="199"/>
      <c r="P2046" s="199"/>
      <c r="Q2046" s="199"/>
      <c r="R2046" s="199"/>
      <c r="S2046" s="199"/>
      <c r="T2046" s="199"/>
      <c r="U2046" s="199"/>
      <c r="V2046" s="199"/>
      <c r="W2046" s="199"/>
      <c r="X2046" s="199"/>
      <c r="Y2046" s="199"/>
      <c r="Z2046" s="199"/>
      <c r="AA2046" s="199"/>
      <c r="AB2046" s="199"/>
      <c r="AC2046" s="199"/>
      <c r="AD2046" s="199"/>
      <c r="AE2046" s="199"/>
      <c r="AF2046" s="199"/>
    </row>
    <row r="2047" spans="2:32" ht="15" customHeight="1" x14ac:dyDescent="0.25">
      <c r="B2047" s="199"/>
      <c r="C2047" s="199"/>
      <c r="D2047" s="199"/>
      <c r="E2047" s="199"/>
      <c r="F2047" s="199"/>
      <c r="G2047" s="199"/>
      <c r="H2047" s="199"/>
      <c r="I2047" s="199"/>
      <c r="J2047" s="199"/>
      <c r="K2047" s="199"/>
      <c r="L2047" s="199"/>
      <c r="M2047" s="199"/>
      <c r="N2047" s="199"/>
      <c r="O2047" s="199"/>
      <c r="P2047" s="199"/>
      <c r="Q2047" s="199"/>
      <c r="R2047" s="199"/>
      <c r="S2047" s="199"/>
      <c r="T2047" s="199"/>
      <c r="U2047" s="199"/>
      <c r="V2047" s="199"/>
      <c r="W2047" s="199"/>
      <c r="X2047" s="199"/>
      <c r="Y2047" s="199"/>
      <c r="Z2047" s="199"/>
      <c r="AA2047" s="199"/>
      <c r="AB2047" s="199"/>
      <c r="AC2047" s="199"/>
      <c r="AD2047" s="199"/>
      <c r="AE2047" s="199"/>
      <c r="AF2047" s="199"/>
    </row>
    <row r="2048" spans="2:32" ht="15" customHeight="1" x14ac:dyDescent="0.25">
      <c r="B2048" s="199"/>
      <c r="C2048" s="199"/>
      <c r="D2048" s="199"/>
      <c r="E2048" s="199"/>
      <c r="F2048" s="199"/>
      <c r="G2048" s="199"/>
      <c r="H2048" s="199"/>
      <c r="I2048" s="199"/>
      <c r="J2048" s="199"/>
      <c r="K2048" s="199"/>
      <c r="L2048" s="199"/>
      <c r="M2048" s="199"/>
      <c r="N2048" s="199"/>
      <c r="O2048" s="199"/>
      <c r="P2048" s="199"/>
      <c r="Q2048" s="199"/>
      <c r="R2048" s="199"/>
      <c r="S2048" s="199"/>
      <c r="T2048" s="199"/>
      <c r="U2048" s="199"/>
      <c r="V2048" s="199"/>
      <c r="W2048" s="199"/>
      <c r="X2048" s="199"/>
      <c r="Y2048" s="199"/>
      <c r="Z2048" s="199"/>
      <c r="AA2048" s="199"/>
      <c r="AB2048" s="199"/>
      <c r="AC2048" s="199"/>
      <c r="AD2048" s="199"/>
      <c r="AE2048" s="199"/>
      <c r="AF2048" s="199"/>
    </row>
    <row r="2130" spans="2:32" ht="15" customHeight="1" x14ac:dyDescent="0.25">
      <c r="B2130" s="199"/>
      <c r="C2130" s="199"/>
      <c r="D2130" s="199"/>
      <c r="E2130" s="199"/>
      <c r="F2130" s="199"/>
      <c r="G2130" s="199"/>
      <c r="H2130" s="199"/>
      <c r="I2130" s="199"/>
      <c r="J2130" s="199"/>
      <c r="K2130" s="199"/>
      <c r="L2130" s="199"/>
      <c r="M2130" s="199"/>
      <c r="N2130" s="199"/>
      <c r="O2130" s="199"/>
      <c r="P2130" s="199"/>
      <c r="Q2130" s="199"/>
      <c r="R2130" s="199"/>
      <c r="S2130" s="199"/>
      <c r="T2130" s="199"/>
      <c r="U2130" s="199"/>
      <c r="V2130" s="199"/>
      <c r="W2130" s="199"/>
      <c r="X2130" s="199"/>
      <c r="Y2130" s="199"/>
      <c r="Z2130" s="199"/>
      <c r="AA2130" s="199"/>
      <c r="AB2130" s="199"/>
      <c r="AC2130" s="199"/>
      <c r="AD2130" s="199"/>
      <c r="AE2130" s="199"/>
      <c r="AF2130" s="199"/>
    </row>
    <row r="2136" spans="2:32" ht="15" customHeight="1" x14ac:dyDescent="0.25">
      <c r="B2136" s="199"/>
      <c r="C2136" s="199"/>
      <c r="D2136" s="199"/>
      <c r="E2136" s="199"/>
      <c r="F2136" s="199"/>
      <c r="G2136" s="199"/>
      <c r="H2136" s="199"/>
      <c r="I2136" s="199"/>
      <c r="J2136" s="199"/>
      <c r="K2136" s="199"/>
      <c r="L2136" s="199"/>
      <c r="M2136" s="199"/>
      <c r="N2136" s="199"/>
      <c r="O2136" s="199"/>
      <c r="P2136" s="199"/>
      <c r="Q2136" s="199"/>
      <c r="R2136" s="199"/>
      <c r="S2136" s="199"/>
      <c r="T2136" s="199"/>
      <c r="U2136" s="199"/>
      <c r="V2136" s="199"/>
      <c r="W2136" s="199"/>
      <c r="X2136" s="199"/>
      <c r="Y2136" s="199"/>
      <c r="Z2136" s="199"/>
      <c r="AA2136" s="199"/>
      <c r="AB2136" s="199"/>
      <c r="AC2136" s="199"/>
      <c r="AD2136" s="199"/>
      <c r="AE2136" s="199"/>
      <c r="AF2136" s="199"/>
    </row>
    <row r="2139" spans="2:32" ht="15" customHeight="1" x14ac:dyDescent="0.25">
      <c r="B2139" s="199"/>
      <c r="C2139" s="199"/>
      <c r="D2139" s="199"/>
      <c r="E2139" s="199"/>
      <c r="F2139" s="199"/>
      <c r="G2139" s="199"/>
      <c r="H2139" s="199"/>
      <c r="I2139" s="199"/>
      <c r="J2139" s="199"/>
      <c r="K2139" s="199"/>
      <c r="L2139" s="199"/>
      <c r="M2139" s="199"/>
      <c r="N2139" s="199"/>
      <c r="O2139" s="199"/>
      <c r="P2139" s="199"/>
      <c r="Q2139" s="199"/>
      <c r="R2139" s="199"/>
      <c r="S2139" s="199"/>
      <c r="T2139" s="199"/>
      <c r="U2139" s="199"/>
      <c r="V2139" s="199"/>
      <c r="W2139" s="199"/>
      <c r="X2139" s="199"/>
      <c r="Y2139" s="199"/>
      <c r="Z2139" s="199"/>
      <c r="AA2139" s="199"/>
      <c r="AB2139" s="199"/>
      <c r="AC2139" s="199"/>
      <c r="AD2139" s="199"/>
      <c r="AE2139" s="199"/>
      <c r="AF2139" s="199"/>
    </row>
    <row r="2140" spans="2:32" ht="15" customHeight="1" x14ac:dyDescent="0.25">
      <c r="B2140" s="289"/>
      <c r="C2140" s="289"/>
      <c r="D2140" s="289"/>
      <c r="E2140" s="289"/>
      <c r="F2140" s="289"/>
      <c r="G2140" s="289"/>
      <c r="H2140" s="289"/>
      <c r="I2140" s="289"/>
      <c r="J2140" s="289"/>
      <c r="K2140" s="289"/>
      <c r="L2140" s="289"/>
      <c r="M2140" s="289"/>
      <c r="N2140" s="289"/>
      <c r="O2140" s="289"/>
      <c r="P2140" s="289"/>
      <c r="Q2140" s="289"/>
      <c r="R2140" s="289"/>
      <c r="S2140" s="289"/>
      <c r="T2140" s="289"/>
      <c r="U2140" s="289"/>
      <c r="V2140" s="289"/>
      <c r="W2140" s="289"/>
      <c r="X2140" s="289"/>
      <c r="Y2140" s="289"/>
      <c r="Z2140" s="289"/>
      <c r="AA2140" s="289"/>
      <c r="AB2140" s="289"/>
      <c r="AC2140" s="289"/>
      <c r="AD2140" s="289"/>
      <c r="AE2140" s="289"/>
      <c r="AF2140" s="289"/>
    </row>
    <row r="2144" spans="2:32" ht="15" customHeight="1" x14ac:dyDescent="0.25">
      <c r="B2144" s="199"/>
      <c r="C2144" s="199"/>
      <c r="D2144" s="199"/>
      <c r="E2144" s="199"/>
      <c r="F2144" s="199"/>
      <c r="G2144" s="199"/>
      <c r="H2144" s="199"/>
      <c r="I2144" s="199"/>
      <c r="J2144" s="199"/>
      <c r="K2144" s="199"/>
      <c r="L2144" s="199"/>
      <c r="M2144" s="199"/>
      <c r="N2144" s="199"/>
      <c r="O2144" s="199"/>
      <c r="P2144" s="199"/>
      <c r="Q2144" s="199"/>
      <c r="R2144" s="199"/>
      <c r="S2144" s="199"/>
      <c r="T2144" s="199"/>
      <c r="U2144" s="199"/>
      <c r="V2144" s="199"/>
      <c r="W2144" s="199"/>
      <c r="X2144" s="199"/>
      <c r="Y2144" s="199"/>
      <c r="Z2144" s="199"/>
      <c r="AA2144" s="199"/>
      <c r="AB2144" s="199"/>
      <c r="AC2144" s="199"/>
      <c r="AD2144" s="199"/>
      <c r="AE2144" s="199"/>
      <c r="AF2144" s="199"/>
    </row>
    <row r="2230" spans="2:32" ht="15" customHeight="1" x14ac:dyDescent="0.25">
      <c r="B2230" s="199"/>
      <c r="C2230" s="199"/>
      <c r="D2230" s="199"/>
      <c r="E2230" s="199"/>
      <c r="F2230" s="199"/>
      <c r="G2230" s="199"/>
      <c r="H2230" s="199"/>
      <c r="I2230" s="199"/>
      <c r="J2230" s="199"/>
      <c r="K2230" s="199"/>
      <c r="L2230" s="199"/>
      <c r="M2230" s="199"/>
      <c r="N2230" s="199"/>
      <c r="O2230" s="199"/>
      <c r="P2230" s="199"/>
      <c r="Q2230" s="199"/>
      <c r="R2230" s="199"/>
      <c r="S2230" s="199"/>
      <c r="T2230" s="199"/>
      <c r="U2230" s="199"/>
      <c r="V2230" s="199"/>
      <c r="W2230" s="199"/>
      <c r="X2230" s="199"/>
      <c r="Y2230" s="199"/>
      <c r="Z2230" s="199"/>
      <c r="AA2230" s="199"/>
      <c r="AB2230" s="199"/>
      <c r="AC2230" s="199"/>
      <c r="AD2230" s="199"/>
      <c r="AE2230" s="199"/>
      <c r="AF2230" s="199"/>
    </row>
    <row r="2236" spans="2:32" ht="15" customHeight="1" x14ac:dyDescent="0.25">
      <c r="B2236" s="199"/>
      <c r="C2236" s="199"/>
      <c r="D2236" s="199"/>
      <c r="E2236" s="199"/>
      <c r="F2236" s="199"/>
      <c r="G2236" s="199"/>
      <c r="H2236" s="199"/>
      <c r="I2236" s="199"/>
      <c r="J2236" s="199"/>
      <c r="K2236" s="199"/>
      <c r="L2236" s="199"/>
      <c r="M2236" s="199"/>
      <c r="N2236" s="199"/>
      <c r="O2236" s="199"/>
      <c r="P2236" s="199"/>
      <c r="Q2236" s="199"/>
      <c r="R2236" s="199"/>
      <c r="S2236" s="199"/>
      <c r="T2236" s="199"/>
      <c r="U2236" s="199"/>
      <c r="V2236" s="199"/>
      <c r="W2236" s="199"/>
      <c r="X2236" s="199"/>
      <c r="Y2236" s="199"/>
      <c r="Z2236" s="199"/>
      <c r="AA2236" s="199"/>
      <c r="AB2236" s="199"/>
      <c r="AC2236" s="199"/>
      <c r="AD2236" s="199"/>
      <c r="AE2236" s="199"/>
      <c r="AF2236" s="199"/>
    </row>
    <row r="2239" spans="2:32" ht="15" customHeight="1" x14ac:dyDescent="0.25">
      <c r="B2239" s="199"/>
      <c r="C2239" s="199"/>
      <c r="D2239" s="199"/>
      <c r="E2239" s="199"/>
      <c r="F2239" s="199"/>
      <c r="G2239" s="199"/>
      <c r="H2239" s="199"/>
      <c r="I2239" s="199"/>
      <c r="J2239" s="199"/>
      <c r="K2239" s="199"/>
      <c r="L2239" s="199"/>
      <c r="M2239" s="199"/>
      <c r="N2239" s="199"/>
      <c r="O2239" s="199"/>
      <c r="P2239" s="199"/>
      <c r="Q2239" s="199"/>
      <c r="R2239" s="199"/>
      <c r="S2239" s="199"/>
      <c r="T2239" s="199"/>
      <c r="U2239" s="199"/>
      <c r="V2239" s="199"/>
      <c r="W2239" s="199"/>
      <c r="X2239" s="199"/>
      <c r="Y2239" s="199"/>
      <c r="Z2239" s="199"/>
      <c r="AA2239" s="199"/>
      <c r="AB2239" s="199"/>
      <c r="AC2239" s="199"/>
      <c r="AD2239" s="199"/>
      <c r="AE2239" s="199"/>
      <c r="AF2239" s="199"/>
    </row>
    <row r="2240" spans="2:32" ht="15" customHeight="1" x14ac:dyDescent="0.25">
      <c r="B2240" s="289"/>
      <c r="C2240" s="289"/>
      <c r="D2240" s="289"/>
      <c r="E2240" s="289"/>
      <c r="F2240" s="289"/>
      <c r="G2240" s="289"/>
      <c r="H2240" s="289"/>
      <c r="I2240" s="289"/>
      <c r="J2240" s="289"/>
      <c r="K2240" s="289"/>
      <c r="L2240" s="289"/>
      <c r="M2240" s="289"/>
      <c r="N2240" s="289"/>
      <c r="O2240" s="289"/>
      <c r="P2240" s="289"/>
      <c r="Q2240" s="289"/>
      <c r="R2240" s="289"/>
      <c r="S2240" s="289"/>
      <c r="T2240" s="289"/>
      <c r="U2240" s="289"/>
      <c r="V2240" s="289"/>
      <c r="W2240" s="289"/>
      <c r="X2240" s="289"/>
      <c r="Y2240" s="289"/>
      <c r="Z2240" s="289"/>
      <c r="AA2240" s="289"/>
      <c r="AB2240" s="289"/>
      <c r="AC2240" s="289"/>
      <c r="AD2240" s="289"/>
      <c r="AE2240" s="289"/>
      <c r="AF2240" s="289"/>
    </row>
    <row r="2339" spans="2:32" ht="15" customHeight="1" x14ac:dyDescent="0.25">
      <c r="B2339" s="199"/>
      <c r="C2339" s="199"/>
      <c r="D2339" s="199"/>
      <c r="E2339" s="199"/>
      <c r="F2339" s="199"/>
      <c r="G2339" s="199"/>
      <c r="H2339" s="199"/>
      <c r="I2339" s="199"/>
      <c r="J2339" s="199"/>
      <c r="K2339" s="199"/>
      <c r="L2339" s="199"/>
      <c r="M2339" s="199"/>
      <c r="N2339" s="199"/>
      <c r="O2339" s="199"/>
      <c r="P2339" s="199"/>
      <c r="Q2339" s="199"/>
      <c r="R2339" s="199"/>
      <c r="S2339" s="199"/>
      <c r="T2339" s="199"/>
      <c r="U2339" s="199"/>
      <c r="V2339" s="199"/>
      <c r="W2339" s="199"/>
      <c r="X2339" s="199"/>
      <c r="Y2339" s="199"/>
      <c r="Z2339" s="199"/>
      <c r="AA2339" s="199"/>
      <c r="AB2339" s="199"/>
      <c r="AC2339" s="199"/>
      <c r="AD2339" s="199"/>
      <c r="AE2339" s="199"/>
      <c r="AF2339" s="199"/>
    </row>
    <row r="2340" spans="2:32" ht="15" customHeight="1" x14ac:dyDescent="0.25">
      <c r="B2340" s="289"/>
      <c r="C2340" s="289"/>
      <c r="D2340" s="289"/>
      <c r="E2340" s="289"/>
      <c r="F2340" s="289"/>
      <c r="G2340" s="289"/>
      <c r="H2340" s="289"/>
      <c r="I2340" s="289"/>
      <c r="J2340" s="289"/>
      <c r="K2340" s="289"/>
      <c r="L2340" s="289"/>
      <c r="M2340" s="289"/>
      <c r="N2340" s="289"/>
      <c r="O2340" s="289"/>
      <c r="P2340" s="289"/>
      <c r="Q2340" s="289"/>
      <c r="R2340" s="289"/>
      <c r="S2340" s="289"/>
      <c r="T2340" s="289"/>
      <c r="U2340" s="289"/>
      <c r="V2340" s="289"/>
      <c r="W2340" s="289"/>
      <c r="X2340" s="289"/>
      <c r="Y2340" s="289"/>
      <c r="Z2340" s="289"/>
      <c r="AA2340" s="289"/>
      <c r="AB2340" s="289"/>
      <c r="AC2340" s="289"/>
      <c r="AD2340" s="289"/>
      <c r="AE2340" s="289"/>
      <c r="AF2340" s="289"/>
    </row>
    <row r="2440" spans="2:34" ht="15" customHeight="1" x14ac:dyDescent="0.25">
      <c r="B2440" s="288"/>
      <c r="C2440" s="288"/>
      <c r="D2440" s="288"/>
      <c r="E2440" s="288"/>
      <c r="F2440" s="288"/>
      <c r="G2440" s="288"/>
      <c r="H2440" s="288"/>
      <c r="I2440" s="288"/>
      <c r="J2440" s="288"/>
      <c r="K2440" s="288"/>
      <c r="L2440" s="288"/>
      <c r="M2440" s="288"/>
      <c r="N2440" s="288"/>
      <c r="O2440" s="288"/>
      <c r="P2440" s="288"/>
      <c r="Q2440" s="288"/>
      <c r="R2440" s="288"/>
      <c r="S2440" s="288"/>
      <c r="T2440" s="288"/>
      <c r="U2440" s="288"/>
      <c r="V2440" s="288"/>
      <c r="W2440" s="288"/>
      <c r="X2440" s="288"/>
      <c r="Y2440" s="288"/>
      <c r="Z2440" s="288"/>
      <c r="AA2440" s="288"/>
      <c r="AB2440" s="288"/>
      <c r="AC2440" s="288"/>
      <c r="AD2440" s="288"/>
      <c r="AE2440" s="288"/>
      <c r="AF2440" s="288"/>
      <c r="AG2440" s="288"/>
      <c r="AH2440" s="288"/>
    </row>
    <row r="2540" spans="2:34" ht="15" customHeight="1" x14ac:dyDescent="0.25">
      <c r="B2540" s="288"/>
      <c r="C2540" s="288"/>
      <c r="D2540" s="288"/>
      <c r="E2540" s="288"/>
      <c r="F2540" s="288"/>
      <c r="G2540" s="288"/>
      <c r="H2540" s="288"/>
      <c r="I2540" s="288"/>
      <c r="J2540" s="288"/>
      <c r="K2540" s="288"/>
      <c r="L2540" s="288"/>
      <c r="M2540" s="288"/>
      <c r="N2540" s="288"/>
      <c r="O2540" s="288"/>
      <c r="P2540" s="288"/>
      <c r="Q2540" s="288"/>
      <c r="R2540" s="288"/>
      <c r="S2540" s="288"/>
      <c r="T2540" s="288"/>
      <c r="U2540" s="288"/>
      <c r="V2540" s="288"/>
      <c r="W2540" s="288"/>
      <c r="X2540" s="288"/>
      <c r="Y2540" s="288"/>
      <c r="Z2540" s="288"/>
      <c r="AA2540" s="288"/>
      <c r="AB2540" s="288"/>
      <c r="AC2540" s="288"/>
      <c r="AD2540" s="288"/>
      <c r="AE2540" s="288"/>
      <c r="AF2540" s="288"/>
      <c r="AG2540" s="288"/>
      <c r="AH2540" s="288"/>
    </row>
  </sheetData>
  <mergeCells count="24">
    <mergeCell ref="B648:AF648"/>
    <mergeCell ref="B80:AG80"/>
    <mergeCell ref="B88:AF88"/>
    <mergeCell ref="B213:AF213"/>
    <mergeCell ref="B379:AF379"/>
    <mergeCell ref="B496:AF496"/>
    <mergeCell ref="B2040:AF2040"/>
    <mergeCell ref="B748:AF748"/>
    <mergeCell ref="B839:AF839"/>
    <mergeCell ref="B910:AF910"/>
    <mergeCell ref="B1005:AF1005"/>
    <mergeCell ref="B1422:AF1422"/>
    <mergeCell ref="B1155:AF1155"/>
    <mergeCell ref="B1327:AF1327"/>
    <mergeCell ref="B1540:AF1540"/>
    <mergeCell ref="B1640:AF1640"/>
    <mergeCell ref="B1740:AF1740"/>
    <mergeCell ref="B1840:AF1840"/>
    <mergeCell ref="B1940:AF1940"/>
    <mergeCell ref="B2540:AH2540"/>
    <mergeCell ref="B2440:AH2440"/>
    <mergeCell ref="B2140:AF2140"/>
    <mergeCell ref="B2240:AF2240"/>
    <mergeCell ref="B2340:AF2340"/>
  </mergeCells>
  <pageMargins left="0.75" right="0.75" top="1" bottom="1" header="0.5" footer="0.5"/>
  <pageSetup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workbookViewId="0"/>
  </sheetViews>
  <sheetFormatPr defaultColWidth="9.140625" defaultRowHeight="15" x14ac:dyDescent="0.25"/>
  <cols>
    <col min="1" max="1" width="33.140625" customWidth="1"/>
    <col min="2" max="2" width="13.42578125" bestFit="1" customWidth="1"/>
    <col min="3" max="3" width="11.5703125" customWidth="1"/>
    <col min="4" max="4" width="12.85546875" bestFit="1" customWidth="1"/>
    <col min="5" max="5" width="10.42578125" bestFit="1" customWidth="1"/>
    <col min="6" max="6" width="15.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75" x14ac:dyDescent="0.25">
      <c r="A1" s="35" t="s">
        <v>240</v>
      </c>
    </row>
    <row r="2" spans="1:23" x14ac:dyDescent="0.25">
      <c r="A2" s="36" t="s">
        <v>241</v>
      </c>
    </row>
    <row r="3" spans="1:23" ht="12.75" customHeight="1" x14ac:dyDescent="0.25">
      <c r="A3" s="37" t="s">
        <v>103</v>
      </c>
      <c r="B3" s="38" t="s">
        <v>242</v>
      </c>
      <c r="C3" s="39"/>
      <c r="D3" s="39"/>
      <c r="E3" s="40" t="s">
        <v>243</v>
      </c>
      <c r="F3" s="40" t="s">
        <v>244</v>
      </c>
      <c r="G3" s="40" t="s">
        <v>245</v>
      </c>
      <c r="H3" s="40" t="s">
        <v>245</v>
      </c>
      <c r="I3" s="41"/>
    </row>
    <row r="4" spans="1:23" ht="26.25" x14ac:dyDescent="0.25">
      <c r="A4" s="42"/>
      <c r="B4" s="43" t="s">
        <v>246</v>
      </c>
      <c r="C4" s="44" t="s">
        <v>247</v>
      </c>
      <c r="D4" s="44" t="s">
        <v>248</v>
      </c>
      <c r="E4" s="44"/>
      <c r="F4" s="44" t="s">
        <v>249</v>
      </c>
      <c r="G4" s="44" t="s">
        <v>250</v>
      </c>
      <c r="H4" s="45" t="s">
        <v>251</v>
      </c>
      <c r="I4" s="46" t="s">
        <v>252</v>
      </c>
    </row>
    <row r="5" spans="1:23" x14ac:dyDescent="0.25">
      <c r="A5" s="47" t="s">
        <v>253</v>
      </c>
      <c r="B5" s="48">
        <v>1</v>
      </c>
      <c r="C5" s="49" t="s">
        <v>254</v>
      </c>
      <c r="D5" s="49"/>
      <c r="E5" s="50"/>
      <c r="F5" s="50"/>
      <c r="G5" s="50"/>
      <c r="H5" s="50"/>
      <c r="I5" s="51"/>
    </row>
    <row r="6" spans="1:23" x14ac:dyDescent="0.25">
      <c r="A6" s="52" t="s">
        <v>255</v>
      </c>
      <c r="B6" s="53" t="s">
        <v>256</v>
      </c>
      <c r="C6" s="54" t="s">
        <v>256</v>
      </c>
      <c r="D6" s="54" t="s">
        <v>256</v>
      </c>
      <c r="E6" s="54" t="s">
        <v>257</v>
      </c>
      <c r="F6" s="55"/>
      <c r="G6" s="55"/>
      <c r="H6" s="55"/>
      <c r="I6" s="56"/>
    </row>
    <row r="7" spans="1:23" x14ac:dyDescent="0.25">
      <c r="A7" s="57" t="s">
        <v>258</v>
      </c>
      <c r="B7" s="58">
        <v>129670</v>
      </c>
      <c r="C7" s="59">
        <v>129670</v>
      </c>
      <c r="D7" s="59">
        <v>138350</v>
      </c>
      <c r="E7" s="59">
        <v>3205</v>
      </c>
      <c r="F7" s="60">
        <v>0.85299999999999998</v>
      </c>
      <c r="G7" s="61">
        <v>16000</v>
      </c>
      <c r="H7" s="62">
        <v>1.6E-2</v>
      </c>
      <c r="I7" s="63">
        <v>0.93726057101554028</v>
      </c>
    </row>
    <row r="8" spans="1:23" x14ac:dyDescent="0.25">
      <c r="A8" s="57" t="s">
        <v>259</v>
      </c>
      <c r="B8" s="58">
        <v>135084.91292306196</v>
      </c>
      <c r="C8" s="64">
        <v>135084.91292306196</v>
      </c>
      <c r="D8" s="64">
        <v>144475.84269846199</v>
      </c>
      <c r="E8" s="64">
        <v>3266</v>
      </c>
      <c r="F8" s="65">
        <v>0.85562068501529054</v>
      </c>
      <c r="G8" s="61">
        <v>1800</v>
      </c>
      <c r="H8" s="62">
        <v>1.8E-3</v>
      </c>
      <c r="I8" s="63">
        <v>0.93500000000000005</v>
      </c>
    </row>
    <row r="9" spans="1:23" x14ac:dyDescent="0.25">
      <c r="A9" s="57" t="s">
        <v>260</v>
      </c>
      <c r="B9" s="58">
        <v>152370.90134048002</v>
      </c>
      <c r="C9" s="64">
        <v>152370.90134048002</v>
      </c>
      <c r="D9" s="64">
        <v>162963.53084543315</v>
      </c>
      <c r="E9" s="64">
        <v>3839.6821254480283</v>
      </c>
      <c r="F9" s="65">
        <v>0.83</v>
      </c>
      <c r="G9" s="61">
        <v>48000</v>
      </c>
      <c r="H9" s="62">
        <v>4.8000000000000001E-2</v>
      </c>
      <c r="I9" s="63">
        <v>0.93500000000000016</v>
      </c>
    </row>
    <row r="10" spans="1:23" x14ac:dyDescent="0.25">
      <c r="A10" s="57" t="s">
        <v>261</v>
      </c>
      <c r="B10" s="58">
        <v>152370.90134048002</v>
      </c>
      <c r="C10" s="66">
        <v>152370.90134048002</v>
      </c>
      <c r="D10" s="66">
        <v>162963.53084543315</v>
      </c>
      <c r="E10" s="66">
        <v>3839.6821254480283</v>
      </c>
      <c r="F10" s="67">
        <v>0.83</v>
      </c>
      <c r="G10" s="66">
        <v>48000</v>
      </c>
      <c r="H10" s="62">
        <v>4.8000000000000001E-2</v>
      </c>
      <c r="I10" s="63">
        <v>0.93500000000000016</v>
      </c>
    </row>
    <row r="11" spans="1:23" x14ac:dyDescent="0.25">
      <c r="A11" s="57" t="s">
        <v>262</v>
      </c>
      <c r="B11" s="58">
        <v>145194.18901496602</v>
      </c>
      <c r="C11" s="66">
        <v>145194.18901496602</v>
      </c>
      <c r="D11" s="66">
        <v>155287.90268980322</v>
      </c>
      <c r="E11" s="66">
        <v>3500.47748781362</v>
      </c>
      <c r="F11" s="67">
        <v>0.83245885654014951</v>
      </c>
      <c r="G11" s="66">
        <v>37227.389654331695</v>
      </c>
      <c r="H11" s="62">
        <v>3.7227389654331693E-2</v>
      </c>
      <c r="I11" s="63">
        <v>0.93500000000000005</v>
      </c>
      <c r="L11" s="66"/>
      <c r="M11" s="66"/>
      <c r="N11" s="66"/>
      <c r="O11" s="66"/>
      <c r="P11" s="67"/>
      <c r="Q11" s="66"/>
      <c r="R11" s="62"/>
      <c r="S11" s="68"/>
    </row>
    <row r="12" spans="1:23" x14ac:dyDescent="0.25">
      <c r="A12" s="57" t="s">
        <v>263</v>
      </c>
      <c r="B12" s="58">
        <v>128448.52692210001</v>
      </c>
      <c r="C12" s="64">
        <v>128448.52692210001</v>
      </c>
      <c r="D12" s="64">
        <v>137378.10365999999</v>
      </c>
      <c r="E12" s="64">
        <v>2709</v>
      </c>
      <c r="F12" s="65">
        <v>0.84059083544303792</v>
      </c>
      <c r="G12" s="61">
        <v>1600</v>
      </c>
      <c r="H12" s="62">
        <v>1.6000000000000001E-3</v>
      </c>
      <c r="I12" s="63">
        <v>0.93500000000000005</v>
      </c>
    </row>
    <row r="13" spans="1:23" x14ac:dyDescent="0.25">
      <c r="A13" t="s">
        <v>264</v>
      </c>
      <c r="B13" s="58">
        <v>125600.90733399388</v>
      </c>
      <c r="C13" s="69">
        <v>125600.90733399388</v>
      </c>
      <c r="D13" s="69">
        <v>134008.52571649614</v>
      </c>
      <c r="E13" s="70">
        <v>3087.2372132564833</v>
      </c>
      <c r="F13" s="71">
        <v>0.85299999999999998</v>
      </c>
      <c r="G13" s="71">
        <v>16000</v>
      </c>
      <c r="H13" s="62">
        <v>1.6E-2</v>
      </c>
      <c r="I13" s="63">
        <v>0.93726057101554028</v>
      </c>
    </row>
    <row r="14" spans="1:23" x14ac:dyDescent="0.25">
      <c r="A14" t="s">
        <v>265</v>
      </c>
      <c r="B14" s="58">
        <v>122492.60888766299</v>
      </c>
      <c r="C14" s="69">
        <v>122492.60888766299</v>
      </c>
      <c r="D14" s="69">
        <v>130692.16040416578</v>
      </c>
      <c r="E14" s="70">
        <v>2984.0426545960995</v>
      </c>
      <c r="F14" s="71">
        <v>0.85299999999999998</v>
      </c>
      <c r="G14" s="71">
        <v>16000</v>
      </c>
      <c r="H14" s="62">
        <v>1.6E-2</v>
      </c>
      <c r="I14" s="63">
        <v>0.93726057101554017</v>
      </c>
    </row>
    <row r="15" spans="1:23" x14ac:dyDescent="0.25">
      <c r="A15" s="57" t="s">
        <v>266</v>
      </c>
      <c r="B15" s="58">
        <v>116090</v>
      </c>
      <c r="C15" s="59">
        <v>116090</v>
      </c>
      <c r="D15" s="59">
        <v>124340</v>
      </c>
      <c r="E15" s="59">
        <v>2819</v>
      </c>
      <c r="F15" s="60">
        <v>0.86299999999999999</v>
      </c>
      <c r="G15" s="66">
        <v>10</v>
      </c>
      <c r="H15" s="62">
        <v>1.0000000000000001E-5</v>
      </c>
      <c r="I15" s="63">
        <v>0.93364967025896739</v>
      </c>
      <c r="P15" s="72"/>
      <c r="Q15" s="72"/>
      <c r="R15" s="72"/>
      <c r="S15" s="72"/>
      <c r="T15" s="72"/>
      <c r="U15" s="72"/>
      <c r="V15" s="27"/>
      <c r="W15" s="69"/>
    </row>
    <row r="16" spans="1:23" x14ac:dyDescent="0.25">
      <c r="A16" s="57" t="s">
        <v>267</v>
      </c>
      <c r="B16" s="58">
        <v>112193.52</v>
      </c>
      <c r="C16" s="66">
        <v>112193.52</v>
      </c>
      <c r="D16" s="66">
        <v>120438.62000000001</v>
      </c>
      <c r="E16" s="66">
        <v>2835.5620000000004</v>
      </c>
      <c r="F16" s="67">
        <v>0.82778546968819577</v>
      </c>
      <c r="G16" s="73">
        <v>9.0261788360871336</v>
      </c>
      <c r="H16" s="62">
        <v>9.0261788360871334E-6</v>
      </c>
      <c r="I16" s="63">
        <v>0.931541062160958</v>
      </c>
      <c r="S16" s="72"/>
      <c r="T16" s="72"/>
      <c r="U16" s="72"/>
      <c r="V16" s="27"/>
      <c r="W16" s="69"/>
    </row>
    <row r="17" spans="1:23" x14ac:dyDescent="0.25">
      <c r="A17" s="57" t="s">
        <v>268</v>
      </c>
      <c r="B17" s="58">
        <v>112193.52</v>
      </c>
      <c r="C17" s="66">
        <v>112193.52</v>
      </c>
      <c r="D17" s="66">
        <v>120438.62000000001</v>
      </c>
      <c r="E17" s="66">
        <v>2835.5620000000004</v>
      </c>
      <c r="F17" s="67">
        <v>0.82778546968819577</v>
      </c>
      <c r="G17" s="73">
        <v>9.0261788360871336</v>
      </c>
      <c r="H17" s="62">
        <v>9.0261788360871334E-6</v>
      </c>
      <c r="I17" s="63">
        <v>0.931541062160958</v>
      </c>
      <c r="P17" s="72"/>
      <c r="Q17" s="72"/>
      <c r="R17" s="72"/>
      <c r="S17" s="72"/>
      <c r="T17" s="72"/>
      <c r="U17" s="72"/>
      <c r="V17" s="27"/>
      <c r="W17" s="69"/>
    </row>
    <row r="18" spans="1:23" x14ac:dyDescent="0.25">
      <c r="A18" s="57" t="s">
        <v>269</v>
      </c>
      <c r="B18" s="58">
        <v>106150</v>
      </c>
      <c r="C18" s="66">
        <v>106150</v>
      </c>
      <c r="D18" s="66">
        <v>114387.5</v>
      </c>
      <c r="E18" s="66">
        <v>2861.25</v>
      </c>
      <c r="F18" s="67">
        <v>0.77774999999999994</v>
      </c>
      <c r="G18" s="73">
        <v>7.642500028014183</v>
      </c>
      <c r="H18" s="62">
        <v>7.6425000280141833E-6</v>
      </c>
      <c r="I18" s="63">
        <v>0.92798601245765489</v>
      </c>
      <c r="S18" s="72"/>
      <c r="T18" s="72"/>
      <c r="U18" s="72"/>
      <c r="V18" s="27"/>
      <c r="W18" s="69"/>
    </row>
    <row r="19" spans="1:23" x14ac:dyDescent="0.25">
      <c r="A19" s="57" t="s">
        <v>270</v>
      </c>
      <c r="B19" s="58">
        <v>100186</v>
      </c>
      <c r="C19" s="66">
        <v>100186</v>
      </c>
      <c r="D19" s="66">
        <v>108416</v>
      </c>
      <c r="E19" s="66">
        <v>2886.6</v>
      </c>
      <c r="F19" s="67">
        <v>0.72659999999999991</v>
      </c>
      <c r="G19" s="73">
        <v>6.2280000448226929</v>
      </c>
      <c r="H19" s="62">
        <v>6.2280000448226927E-6</v>
      </c>
      <c r="I19" s="63">
        <v>0.92408869539551353</v>
      </c>
      <c r="J19" s="72"/>
      <c r="K19" s="72"/>
      <c r="L19" s="72"/>
      <c r="M19" s="27"/>
      <c r="N19" s="69"/>
    </row>
    <row r="20" spans="1:23" x14ac:dyDescent="0.25">
      <c r="A20" s="57" t="s">
        <v>271</v>
      </c>
      <c r="B20" s="58">
        <v>128450</v>
      </c>
      <c r="C20" s="59">
        <v>128450</v>
      </c>
      <c r="D20" s="59">
        <v>137380</v>
      </c>
      <c r="E20" s="59">
        <v>3167</v>
      </c>
      <c r="F20" s="60">
        <v>0.86499999999999999</v>
      </c>
      <c r="G20" s="66">
        <v>200</v>
      </c>
      <c r="H20" s="62">
        <v>2.0000000000000001E-4</v>
      </c>
      <c r="I20" s="63">
        <v>0.93499781627602274</v>
      </c>
      <c r="W20" s="69"/>
    </row>
    <row r="21" spans="1:23" x14ac:dyDescent="0.25">
      <c r="A21" s="74" t="s">
        <v>456</v>
      </c>
      <c r="B21" s="58">
        <v>129487.84757606639</v>
      </c>
      <c r="C21" s="66">
        <v>129487.84757606639</v>
      </c>
      <c r="D21" s="66">
        <v>138490</v>
      </c>
      <c r="E21" s="66">
        <v>3206</v>
      </c>
      <c r="F21" s="75">
        <v>0.871</v>
      </c>
      <c r="G21" s="66">
        <v>11</v>
      </c>
      <c r="H21" s="62">
        <v>1.1E-5</v>
      </c>
      <c r="I21" s="63"/>
    </row>
    <row r="22" spans="1:23" x14ac:dyDescent="0.25">
      <c r="A22" s="57" t="s">
        <v>272</v>
      </c>
      <c r="B22" s="58">
        <v>128450</v>
      </c>
      <c r="C22" s="66">
        <v>128450</v>
      </c>
      <c r="D22" s="66">
        <v>137380</v>
      </c>
      <c r="E22" s="66">
        <v>3167</v>
      </c>
      <c r="F22" s="67">
        <v>0.86499999999999999</v>
      </c>
      <c r="G22" s="66">
        <v>11</v>
      </c>
      <c r="H22" s="62">
        <v>1.1E-5</v>
      </c>
      <c r="I22" s="63">
        <v>0.93499781627602274</v>
      </c>
    </row>
    <row r="23" spans="1:23" x14ac:dyDescent="0.25">
      <c r="A23" s="57" t="s">
        <v>273</v>
      </c>
      <c r="B23" s="58">
        <v>129487.84757606639</v>
      </c>
      <c r="C23" s="66">
        <v>129487.84757606639</v>
      </c>
      <c r="D23" s="59">
        <v>138490</v>
      </c>
      <c r="E23" s="59">
        <v>3206</v>
      </c>
      <c r="F23" s="60">
        <v>0.871</v>
      </c>
      <c r="G23" s="61">
        <v>11</v>
      </c>
      <c r="H23" s="62">
        <v>1.1E-5</v>
      </c>
      <c r="I23" s="63">
        <v>0.93499781627602274</v>
      </c>
    </row>
    <row r="24" spans="1:23" x14ac:dyDescent="0.25">
      <c r="A24" s="57" t="s">
        <v>274</v>
      </c>
      <c r="B24" s="58">
        <v>116920</v>
      </c>
      <c r="C24" s="59">
        <v>116920</v>
      </c>
      <c r="D24" s="59">
        <v>125080</v>
      </c>
      <c r="E24" s="59">
        <v>2745</v>
      </c>
      <c r="F24" s="60">
        <v>0.85</v>
      </c>
      <c r="G24" s="61">
        <v>1</v>
      </c>
      <c r="H24" s="62">
        <v>9.9999999999999995E-7</v>
      </c>
      <c r="I24" s="63">
        <v>0.93476175247841387</v>
      </c>
    </row>
    <row r="25" spans="1:23" x14ac:dyDescent="0.25">
      <c r="A25" s="57" t="s">
        <v>457</v>
      </c>
      <c r="B25" s="58">
        <v>118237.434842673</v>
      </c>
      <c r="C25" s="66">
        <v>118237.434842673</v>
      </c>
      <c r="D25" s="66">
        <v>126586.157141156</v>
      </c>
      <c r="E25" s="66">
        <v>2833.8569764657</v>
      </c>
      <c r="F25" s="67">
        <v>0.85315638757897505</v>
      </c>
      <c r="G25" s="66">
        <v>10</v>
      </c>
      <c r="H25" s="62">
        <v>1.0000000000000001E-5</v>
      </c>
      <c r="I25" s="63">
        <v>0.93404711473172097</v>
      </c>
    </row>
    <row r="26" spans="1:23" x14ac:dyDescent="0.25">
      <c r="A26" s="57" t="s">
        <v>275</v>
      </c>
      <c r="B26" s="58">
        <v>124307.03423937227</v>
      </c>
      <c r="C26" s="66">
        <v>124307.03423937227</v>
      </c>
      <c r="D26" s="66">
        <v>132948.69438683367</v>
      </c>
      <c r="E26" s="66">
        <v>3035.8996219999995</v>
      </c>
      <c r="F26" s="67">
        <v>0.86199999999999999</v>
      </c>
      <c r="G26" s="66">
        <v>700</v>
      </c>
      <c r="H26" s="62">
        <v>6.9999999999999999E-4</v>
      </c>
      <c r="I26" s="63">
        <v>0.93500003751584637</v>
      </c>
    </row>
    <row r="27" spans="1:23" x14ac:dyDescent="0.25">
      <c r="A27" s="57" t="s">
        <v>276</v>
      </c>
      <c r="B27" s="58">
        <v>123041.23110601204</v>
      </c>
      <c r="C27" s="59">
        <v>123041.23110601204</v>
      </c>
      <c r="D27" s="59">
        <v>131594.89429852215</v>
      </c>
      <c r="E27" s="76">
        <v>2998.0455119999997</v>
      </c>
      <c r="F27" s="60">
        <v>0.86</v>
      </c>
      <c r="G27" s="61">
        <v>11</v>
      </c>
      <c r="H27" s="62">
        <v>1.1E-5</v>
      </c>
      <c r="I27" s="63">
        <v>0.93500003751584626</v>
      </c>
    </row>
    <row r="28" spans="1:23" x14ac:dyDescent="0.25">
      <c r="A28" s="57" t="s">
        <v>277</v>
      </c>
      <c r="B28" s="58">
        <v>111520</v>
      </c>
      <c r="C28" s="66">
        <v>111520</v>
      </c>
      <c r="D28" s="59">
        <v>119740</v>
      </c>
      <c r="E28" s="59">
        <v>2651</v>
      </c>
      <c r="F28" s="60">
        <v>0.84199999999999997</v>
      </c>
      <c r="G28" s="61">
        <v>0</v>
      </c>
      <c r="H28" s="62">
        <v>0</v>
      </c>
      <c r="I28" s="63">
        <v>0.93135126106564226</v>
      </c>
    </row>
    <row r="29" spans="1:23" x14ac:dyDescent="0.25">
      <c r="A29" s="57" t="s">
        <v>278</v>
      </c>
      <c r="B29" s="58">
        <v>140352.52220119376</v>
      </c>
      <c r="C29" s="66">
        <v>140352.52220119376</v>
      </c>
      <c r="D29" s="66">
        <v>150110</v>
      </c>
      <c r="E29" s="66">
        <v>3752</v>
      </c>
      <c r="F29" s="67">
        <v>0.86799999999999999</v>
      </c>
      <c r="G29" s="61">
        <v>5000</v>
      </c>
      <c r="H29" s="62">
        <v>5.0000000000000001E-3</v>
      </c>
      <c r="I29" s="63">
        <v>0.93499781627602263</v>
      </c>
    </row>
    <row r="30" spans="1:23" x14ac:dyDescent="0.25">
      <c r="A30" s="57" t="s">
        <v>279</v>
      </c>
      <c r="B30" s="58">
        <v>140352.52220119376</v>
      </c>
      <c r="C30" s="59">
        <v>140352.52220119376</v>
      </c>
      <c r="D30" s="59">
        <v>150110</v>
      </c>
      <c r="E30" s="59">
        <v>3752</v>
      </c>
      <c r="F30" s="77">
        <v>0.86799999999999999</v>
      </c>
      <c r="G30" s="61">
        <v>27000</v>
      </c>
      <c r="H30" s="62">
        <v>2.7E-2</v>
      </c>
      <c r="I30" s="63">
        <v>0.93499781627602263</v>
      </c>
    </row>
    <row r="31" spans="1:23" x14ac:dyDescent="0.25">
      <c r="A31" s="57" t="s">
        <v>280</v>
      </c>
      <c r="B31" s="58">
        <v>57250</v>
      </c>
      <c r="C31" s="59">
        <v>57250</v>
      </c>
      <c r="D31" s="59">
        <v>65200</v>
      </c>
      <c r="E31" s="59">
        <v>3006</v>
      </c>
      <c r="F31" s="77">
        <v>0.375</v>
      </c>
      <c r="G31" s="66">
        <v>0</v>
      </c>
      <c r="H31" s="62">
        <v>0</v>
      </c>
      <c r="I31" s="63">
        <v>0.87806748466257667</v>
      </c>
    </row>
    <row r="32" spans="1:23" x14ac:dyDescent="0.25">
      <c r="A32" s="57" t="s">
        <v>281</v>
      </c>
      <c r="B32" s="58">
        <v>76330</v>
      </c>
      <c r="C32" s="78">
        <v>76330</v>
      </c>
      <c r="D32" s="76">
        <v>84530</v>
      </c>
      <c r="E32" s="78">
        <v>2988</v>
      </c>
      <c r="F32" s="79">
        <v>0.52200000000000002</v>
      </c>
      <c r="G32" s="69">
        <v>0.57000011205673218</v>
      </c>
      <c r="H32" s="62">
        <v>5.7000011205673218E-7</v>
      </c>
      <c r="I32" s="63">
        <v>0.90299302022950434</v>
      </c>
    </row>
    <row r="33" spans="1:9" x14ac:dyDescent="0.25">
      <c r="A33" s="57" t="s">
        <v>282</v>
      </c>
      <c r="B33" s="58">
        <v>99837</v>
      </c>
      <c r="C33" s="78">
        <v>99837</v>
      </c>
      <c r="D33" s="76">
        <v>108458</v>
      </c>
      <c r="E33" s="78">
        <v>3065</v>
      </c>
      <c r="F33" s="79">
        <v>0.64859999999999995</v>
      </c>
      <c r="G33" s="69">
        <v>0</v>
      </c>
      <c r="H33" s="62">
        <v>0</v>
      </c>
      <c r="I33" s="63">
        <v>0.92051300964428628</v>
      </c>
    </row>
    <row r="34" spans="1:9" x14ac:dyDescent="0.25">
      <c r="A34" s="57" t="s">
        <v>283</v>
      </c>
      <c r="B34" s="58">
        <v>83127</v>
      </c>
      <c r="C34" s="66">
        <v>83127</v>
      </c>
      <c r="D34" s="66">
        <v>89511</v>
      </c>
      <c r="E34" s="66">
        <v>2964</v>
      </c>
      <c r="F34" s="67">
        <v>0.61980000000000002</v>
      </c>
      <c r="G34" s="66">
        <v>0</v>
      </c>
      <c r="H34" s="62">
        <v>0</v>
      </c>
      <c r="I34" s="63">
        <v>0.92867915675168411</v>
      </c>
    </row>
    <row r="35" spans="1:9" x14ac:dyDescent="0.25">
      <c r="A35" s="57" t="s">
        <v>284</v>
      </c>
      <c r="B35" s="58">
        <v>116090</v>
      </c>
      <c r="C35" s="59">
        <v>116090</v>
      </c>
      <c r="D35" s="59">
        <v>124340</v>
      </c>
      <c r="E35" s="61">
        <v>2819</v>
      </c>
      <c r="F35" s="77">
        <v>0.86299999999999999</v>
      </c>
      <c r="G35" s="61">
        <v>10</v>
      </c>
      <c r="H35" s="62">
        <v>1.0000000000000001E-5</v>
      </c>
      <c r="I35" s="63">
        <v>0.93364967025896739</v>
      </c>
    </row>
    <row r="36" spans="1:9" x14ac:dyDescent="0.25">
      <c r="A36" s="57" t="s">
        <v>285</v>
      </c>
      <c r="B36" s="58">
        <v>84950</v>
      </c>
      <c r="C36" s="59">
        <v>84950</v>
      </c>
      <c r="D36" s="59">
        <v>91410</v>
      </c>
      <c r="E36" s="59">
        <v>1923</v>
      </c>
      <c r="F36" s="60">
        <v>0.82</v>
      </c>
      <c r="G36" s="61">
        <v>0</v>
      </c>
      <c r="H36" s="62">
        <v>0</v>
      </c>
      <c r="I36" s="63">
        <v>0.9293293950333662</v>
      </c>
    </row>
    <row r="37" spans="1:9" x14ac:dyDescent="0.25">
      <c r="A37" s="57" t="s">
        <v>286</v>
      </c>
      <c r="B37" s="58">
        <v>74720</v>
      </c>
      <c r="C37" s="59">
        <v>74720</v>
      </c>
      <c r="D37" s="59">
        <v>84820</v>
      </c>
      <c r="E37" s="59">
        <v>1621</v>
      </c>
      <c r="F37" s="80">
        <v>0.75</v>
      </c>
      <c r="G37" s="61">
        <v>0</v>
      </c>
      <c r="H37" s="62">
        <v>0</v>
      </c>
      <c r="I37" s="63">
        <v>0.88092431030417351</v>
      </c>
    </row>
    <row r="38" spans="1:9" x14ac:dyDescent="0.25">
      <c r="A38" s="57" t="s">
        <v>287</v>
      </c>
      <c r="B38" s="58">
        <v>68930</v>
      </c>
      <c r="C38" s="61">
        <v>68930</v>
      </c>
      <c r="D38" s="66">
        <v>75610</v>
      </c>
      <c r="E38" s="61">
        <v>2518</v>
      </c>
      <c r="F38" s="77">
        <v>0.52200000000000002</v>
      </c>
      <c r="G38" s="61">
        <v>0</v>
      </c>
      <c r="H38" s="62">
        <v>0</v>
      </c>
      <c r="I38" s="63">
        <v>0.91165189789710355</v>
      </c>
    </row>
    <row r="39" spans="1:9" x14ac:dyDescent="0.25">
      <c r="A39" s="57" t="s">
        <v>288</v>
      </c>
      <c r="B39" s="58">
        <v>72200</v>
      </c>
      <c r="C39" s="59">
        <v>72200</v>
      </c>
      <c r="D39" s="59">
        <v>79196.89540113158</v>
      </c>
      <c r="E39" s="59">
        <v>3255</v>
      </c>
      <c r="F39" s="60">
        <v>0.47399999999999998</v>
      </c>
      <c r="G39" s="61">
        <v>0</v>
      </c>
      <c r="H39" s="62">
        <v>0</v>
      </c>
      <c r="I39" s="63">
        <v>0.91165189789710355</v>
      </c>
    </row>
    <row r="40" spans="1:9" x14ac:dyDescent="0.25">
      <c r="A40" s="57" t="s">
        <v>289</v>
      </c>
      <c r="B40" s="58">
        <v>119550</v>
      </c>
      <c r="C40" s="59">
        <v>119550</v>
      </c>
      <c r="D40" s="59">
        <v>127960</v>
      </c>
      <c r="E40" s="59">
        <v>3361</v>
      </c>
      <c r="F40" s="60">
        <v>0.77600000000000002</v>
      </c>
      <c r="G40" s="61">
        <v>0</v>
      </c>
      <c r="H40" s="62">
        <v>0</v>
      </c>
      <c r="I40" s="63">
        <v>0.93427633635511098</v>
      </c>
    </row>
    <row r="41" spans="1:9" x14ac:dyDescent="0.25">
      <c r="A41" s="57" t="s">
        <v>290</v>
      </c>
      <c r="B41" s="58">
        <v>123670</v>
      </c>
      <c r="C41" s="61">
        <v>123670</v>
      </c>
      <c r="D41" s="61">
        <v>130030</v>
      </c>
      <c r="E41" s="61">
        <v>3017</v>
      </c>
      <c r="F41" s="77">
        <v>0.85299999999999998</v>
      </c>
      <c r="G41" s="66">
        <v>0</v>
      </c>
      <c r="H41" s="62">
        <v>0</v>
      </c>
      <c r="I41" s="63">
        <v>0.95108821041298164</v>
      </c>
    </row>
    <row r="42" spans="1:9" x14ac:dyDescent="0.25">
      <c r="A42" s="57" t="s">
        <v>291</v>
      </c>
      <c r="B42" s="58">
        <v>117059</v>
      </c>
      <c r="C42" s="76">
        <v>117059</v>
      </c>
      <c r="D42" s="76">
        <v>125293.76528649101</v>
      </c>
      <c r="E42" s="76">
        <v>2835</v>
      </c>
      <c r="F42" s="77">
        <v>0.871</v>
      </c>
      <c r="G42" s="66">
        <v>0</v>
      </c>
      <c r="H42" s="62">
        <v>0</v>
      </c>
      <c r="I42" s="63">
        <v>0.93427633635511098</v>
      </c>
    </row>
    <row r="43" spans="1:9" x14ac:dyDescent="0.25">
      <c r="A43" s="57" t="s">
        <v>292</v>
      </c>
      <c r="B43" s="58">
        <v>122887</v>
      </c>
      <c r="C43" s="76">
        <v>122887</v>
      </c>
      <c r="D43" s="76">
        <v>130817</v>
      </c>
      <c r="E43" s="76">
        <v>2948</v>
      </c>
      <c r="F43" s="77">
        <v>0.871</v>
      </c>
      <c r="G43" s="66">
        <v>0</v>
      </c>
      <c r="H43" s="62">
        <v>0</v>
      </c>
      <c r="I43" s="63">
        <v>0.93938096730547249</v>
      </c>
    </row>
    <row r="44" spans="1:9" x14ac:dyDescent="0.25">
      <c r="A44" s="57" t="s">
        <v>293</v>
      </c>
      <c r="B44" s="58">
        <v>123542.426446789</v>
      </c>
      <c r="C44" s="76">
        <v>123542.426446789</v>
      </c>
      <c r="D44" s="76">
        <v>133070.13702382601</v>
      </c>
      <c r="E44" s="76">
        <v>3003.2639480974099</v>
      </c>
      <c r="F44" s="77">
        <v>0.871</v>
      </c>
      <c r="G44" s="66">
        <v>0</v>
      </c>
      <c r="H44" s="62">
        <v>0</v>
      </c>
      <c r="I44" s="63">
        <v>0.92840083590406852</v>
      </c>
    </row>
    <row r="45" spans="1:9" x14ac:dyDescent="0.25">
      <c r="A45" t="s">
        <v>294</v>
      </c>
      <c r="B45" s="58">
        <v>115983</v>
      </c>
      <c r="C45" s="64">
        <v>115983</v>
      </c>
      <c r="D45" s="66">
        <v>124230</v>
      </c>
      <c r="E45" s="64">
        <v>2830</v>
      </c>
      <c r="F45" s="65">
        <v>0.84</v>
      </c>
      <c r="G45" s="61">
        <v>0</v>
      </c>
      <c r="H45" s="62">
        <v>0</v>
      </c>
      <c r="I45" s="63">
        <v>0.93361506882395562</v>
      </c>
    </row>
    <row r="46" spans="1:9" x14ac:dyDescent="0.25">
      <c r="A46" s="57" t="s">
        <v>295</v>
      </c>
      <c r="B46" s="58">
        <v>113309</v>
      </c>
      <c r="C46" s="66">
        <v>113309</v>
      </c>
      <c r="D46" s="66">
        <v>121365.86456635887</v>
      </c>
      <c r="E46" s="66">
        <v>2713</v>
      </c>
      <c r="F46" s="67">
        <v>0.83109999999999995</v>
      </c>
      <c r="G46" s="81">
        <v>10</v>
      </c>
      <c r="H46" s="62">
        <v>1.0000000000000001E-5</v>
      </c>
      <c r="I46" s="63">
        <v>0.93361506882395551</v>
      </c>
    </row>
    <row r="47" spans="1:9" x14ac:dyDescent="0.25">
      <c r="A47" s="57" t="s">
        <v>458</v>
      </c>
      <c r="B47" s="58">
        <v>112060.7</v>
      </c>
      <c r="C47" s="59">
        <v>112060.7</v>
      </c>
      <c r="D47" s="59">
        <v>120028.80388505213</v>
      </c>
      <c r="E47" s="59">
        <v>2819</v>
      </c>
      <c r="F47" s="77">
        <v>0.86430000000000007</v>
      </c>
      <c r="G47" s="61">
        <v>10</v>
      </c>
      <c r="H47" s="62">
        <v>1.0000000000000001E-5</v>
      </c>
      <c r="I47" s="63">
        <v>0.93361506882395551</v>
      </c>
    </row>
    <row r="48" spans="1:9" x14ac:dyDescent="0.25">
      <c r="A48" s="57" t="s">
        <v>296</v>
      </c>
      <c r="B48" s="58">
        <v>119776.6214942081</v>
      </c>
      <c r="C48" s="59">
        <v>119776.6214942081</v>
      </c>
      <c r="D48" s="59">
        <v>128103.33335647394</v>
      </c>
      <c r="E48" s="59">
        <v>2865.5561269999994</v>
      </c>
      <c r="F48" s="77">
        <v>0.84699999999999998</v>
      </c>
      <c r="G48" s="61">
        <v>0</v>
      </c>
      <c r="H48" s="62">
        <v>0</v>
      </c>
      <c r="I48" s="63">
        <v>0.93500003751584626</v>
      </c>
    </row>
    <row r="49" spans="1:9" x14ac:dyDescent="0.25">
      <c r="A49" s="57" t="s">
        <v>297</v>
      </c>
      <c r="B49" s="58">
        <v>30500</v>
      </c>
      <c r="C49" s="59">
        <v>30500</v>
      </c>
      <c r="D49" s="59">
        <v>36020</v>
      </c>
      <c r="E49" s="59">
        <v>268</v>
      </c>
      <c r="F49" s="77">
        <v>0</v>
      </c>
      <c r="G49" s="61">
        <v>0</v>
      </c>
      <c r="H49" s="62">
        <v>0</v>
      </c>
      <c r="I49" s="63">
        <v>0.84675180455302612</v>
      </c>
    </row>
    <row r="50" spans="1:9" x14ac:dyDescent="0.25">
      <c r="A50" s="57" t="s">
        <v>298</v>
      </c>
      <c r="B50" s="58">
        <v>93540</v>
      </c>
      <c r="C50" s="59">
        <v>93540</v>
      </c>
      <c r="D50" s="59">
        <v>101130</v>
      </c>
      <c r="E50" s="59">
        <v>2811</v>
      </c>
      <c r="F50" s="77">
        <v>0.68100000000000005</v>
      </c>
      <c r="G50" s="61">
        <v>0</v>
      </c>
      <c r="H50" s="62">
        <v>0</v>
      </c>
      <c r="I50" s="63">
        <v>0.92494808662118067</v>
      </c>
    </row>
    <row r="51" spans="1:9" x14ac:dyDescent="0.25">
      <c r="A51" s="57" t="s">
        <v>299</v>
      </c>
      <c r="B51" s="58">
        <v>96720</v>
      </c>
      <c r="C51" s="59">
        <v>96720</v>
      </c>
      <c r="D51" s="59">
        <v>104530</v>
      </c>
      <c r="E51" s="59">
        <v>2810</v>
      </c>
      <c r="F51" s="77">
        <v>0.70599999999999996</v>
      </c>
      <c r="G51" s="61">
        <v>0</v>
      </c>
      <c r="H51" s="62">
        <v>0</v>
      </c>
      <c r="I51" s="63">
        <v>0.92528460728977324</v>
      </c>
    </row>
    <row r="52" spans="1:9" x14ac:dyDescent="0.25">
      <c r="A52" s="57" t="s">
        <v>300</v>
      </c>
      <c r="B52" s="58">
        <v>100480</v>
      </c>
      <c r="C52" s="59">
        <v>100480</v>
      </c>
      <c r="D52" s="59">
        <v>108570</v>
      </c>
      <c r="E52" s="59">
        <v>2913</v>
      </c>
      <c r="F52" s="77">
        <v>0.70599999999999996</v>
      </c>
      <c r="G52" s="61">
        <v>0</v>
      </c>
      <c r="H52" s="62">
        <v>0</v>
      </c>
      <c r="I52" s="63">
        <v>0.92548586165607438</v>
      </c>
    </row>
    <row r="53" spans="1:9" x14ac:dyDescent="0.25">
      <c r="A53" s="57" t="s">
        <v>301</v>
      </c>
      <c r="B53" s="58">
        <v>94970</v>
      </c>
      <c r="C53" s="59">
        <v>94970</v>
      </c>
      <c r="D53" s="59">
        <v>103220</v>
      </c>
      <c r="E53" s="59">
        <v>2213</v>
      </c>
      <c r="F53" s="77">
        <v>0.82799999999999996</v>
      </c>
      <c r="G53" s="61">
        <v>0</v>
      </c>
      <c r="H53" s="62">
        <v>0</v>
      </c>
      <c r="I53" s="63">
        <v>0.92007362914163926</v>
      </c>
    </row>
    <row r="54" spans="1:9" x14ac:dyDescent="0.25">
      <c r="A54" s="57" t="s">
        <v>38</v>
      </c>
      <c r="B54" s="58">
        <v>90060</v>
      </c>
      <c r="C54" s="59">
        <v>90060</v>
      </c>
      <c r="D54" s="59">
        <v>98560</v>
      </c>
      <c r="E54" s="59">
        <v>2118</v>
      </c>
      <c r="F54" s="77">
        <v>0.82799999999999996</v>
      </c>
      <c r="G54" s="61">
        <v>0</v>
      </c>
      <c r="H54" s="62">
        <v>0</v>
      </c>
      <c r="I54" s="63">
        <v>0.91375811688311692</v>
      </c>
    </row>
    <row r="55" spans="1:9" x14ac:dyDescent="0.25">
      <c r="A55" s="57" t="s">
        <v>44</v>
      </c>
      <c r="B55" s="58">
        <v>95720</v>
      </c>
      <c r="C55" s="66">
        <v>95720</v>
      </c>
      <c r="D55" s="59">
        <v>103010</v>
      </c>
      <c r="E55" s="66">
        <v>2253</v>
      </c>
      <c r="F55" s="67">
        <v>0.85699999999999998</v>
      </c>
      <c r="G55" s="61">
        <v>0</v>
      </c>
      <c r="H55" s="62">
        <v>0</v>
      </c>
      <c r="I55" s="63">
        <v>0.92923017182797785</v>
      </c>
    </row>
    <row r="56" spans="1:9" x14ac:dyDescent="0.25">
      <c r="A56" s="57" t="s">
        <v>36</v>
      </c>
      <c r="B56" s="58">
        <v>84250</v>
      </c>
      <c r="C56" s="82">
        <v>84250</v>
      </c>
      <c r="D56" s="66">
        <v>91420</v>
      </c>
      <c r="E56" s="82">
        <v>1920</v>
      </c>
      <c r="F56" s="83">
        <v>0.81799999999999995</v>
      </c>
      <c r="G56" s="61">
        <v>0</v>
      </c>
      <c r="H56" s="62">
        <v>0</v>
      </c>
      <c r="I56" s="63">
        <v>0.92157077225989936</v>
      </c>
    </row>
    <row r="57" spans="1:9" x14ac:dyDescent="0.25">
      <c r="A57" s="57" t="s">
        <v>302</v>
      </c>
      <c r="B57" s="58">
        <v>83686.11202275462</v>
      </c>
      <c r="C57" s="61">
        <v>83686.11202275462</v>
      </c>
      <c r="D57" s="61">
        <v>90050</v>
      </c>
      <c r="E57" s="82">
        <v>2532</v>
      </c>
      <c r="F57" s="83"/>
      <c r="G57" s="61">
        <v>0</v>
      </c>
      <c r="H57" s="62">
        <v>0</v>
      </c>
      <c r="I57" s="63">
        <v>0.92932939503336609</v>
      </c>
    </row>
    <row r="58" spans="1:9" x14ac:dyDescent="0.25">
      <c r="A58" s="52" t="s">
        <v>303</v>
      </c>
      <c r="B58" s="84">
        <v>105124.8</v>
      </c>
      <c r="C58" s="85">
        <v>105124.8</v>
      </c>
      <c r="D58" s="85">
        <v>112166.3</v>
      </c>
      <c r="E58" s="85">
        <v>2478.6999999999998</v>
      </c>
      <c r="F58" s="86">
        <v>0.83625099999999997</v>
      </c>
      <c r="G58" s="87">
        <v>0</v>
      </c>
      <c r="H58" s="88">
        <v>0</v>
      </c>
      <c r="I58" s="89">
        <v>0.93722267739953979</v>
      </c>
    </row>
    <row r="59" spans="1:9" x14ac:dyDescent="0.25">
      <c r="A59" s="57" t="s">
        <v>305</v>
      </c>
      <c r="B59" s="58" t="s">
        <v>306</v>
      </c>
      <c r="C59" s="59" t="s">
        <v>306</v>
      </c>
      <c r="D59" s="59" t="s">
        <v>306</v>
      </c>
      <c r="E59" s="90" t="s">
        <v>307</v>
      </c>
      <c r="F59" s="60"/>
      <c r="G59" s="61"/>
      <c r="H59" s="62"/>
      <c r="I59" s="63" t="s">
        <v>252</v>
      </c>
    </row>
    <row r="60" spans="1:9" x14ac:dyDescent="0.25">
      <c r="A60" s="57" t="s">
        <v>308</v>
      </c>
      <c r="B60" s="58">
        <v>983</v>
      </c>
      <c r="C60" s="91">
        <v>983</v>
      </c>
      <c r="D60" s="91">
        <v>1089</v>
      </c>
      <c r="E60" s="92">
        <v>22</v>
      </c>
      <c r="F60" s="77">
        <v>0.72399999999999998</v>
      </c>
      <c r="G60" s="61">
        <v>6</v>
      </c>
      <c r="H60" s="62">
        <v>6.0000000000000002E-6</v>
      </c>
      <c r="I60" s="63">
        <v>0.90266299357208446</v>
      </c>
    </row>
    <row r="61" spans="1:9" x14ac:dyDescent="0.25">
      <c r="A61" s="57" t="s">
        <v>309</v>
      </c>
      <c r="B61" s="58">
        <v>962.18504920853229</v>
      </c>
      <c r="C61" s="91">
        <v>962.18504920853229</v>
      </c>
      <c r="D61" s="91">
        <v>1068.0254046214709</v>
      </c>
      <c r="E61" s="92">
        <v>20.303179298999996</v>
      </c>
      <c r="F61" s="77">
        <v>0.75</v>
      </c>
      <c r="G61" s="61">
        <v>0</v>
      </c>
      <c r="H61" s="62">
        <v>0</v>
      </c>
      <c r="I61" s="63">
        <v>0.9009009009009008</v>
      </c>
    </row>
    <row r="62" spans="1:9" x14ac:dyDescent="0.25">
      <c r="A62" s="57" t="s">
        <v>310</v>
      </c>
      <c r="B62" s="58">
        <v>290</v>
      </c>
      <c r="C62" s="66">
        <v>290</v>
      </c>
      <c r="D62" s="66">
        <v>343</v>
      </c>
      <c r="E62" s="93">
        <v>2.5499999999999998</v>
      </c>
      <c r="F62" s="80">
        <v>0</v>
      </c>
      <c r="G62" s="61">
        <v>0</v>
      </c>
      <c r="H62" s="62">
        <v>0</v>
      </c>
      <c r="I62" s="63">
        <v>0.84548104956268222</v>
      </c>
    </row>
    <row r="63" spans="1:9" x14ac:dyDescent="0.25">
      <c r="A63" s="57" t="s">
        <v>311</v>
      </c>
      <c r="B63" s="58"/>
      <c r="C63" s="64"/>
      <c r="D63" s="64"/>
      <c r="E63" s="94">
        <v>55.977829999999997</v>
      </c>
      <c r="F63" s="80">
        <v>0.27272727272727271</v>
      </c>
      <c r="G63" s="76">
        <v>0</v>
      </c>
      <c r="H63" s="62">
        <v>0</v>
      </c>
      <c r="I63" s="63"/>
    </row>
    <row r="64" spans="1:9" x14ac:dyDescent="0.25">
      <c r="A64" s="52" t="s">
        <v>304</v>
      </c>
      <c r="B64" s="84">
        <v>1159.2737122826286</v>
      </c>
      <c r="C64" s="95">
        <v>1159.2737122826286</v>
      </c>
      <c r="D64" s="85">
        <v>1279.7381453012381</v>
      </c>
      <c r="E64" s="87">
        <v>25.019852271678111</v>
      </c>
      <c r="F64" s="86">
        <v>0.76981385823883608</v>
      </c>
      <c r="G64" s="87">
        <v>6</v>
      </c>
      <c r="H64" s="88">
        <v>6.0000000000000002E-6</v>
      </c>
      <c r="I64" s="89">
        <v>0.90586790472651468</v>
      </c>
    </row>
    <row r="65" spans="1:12" x14ac:dyDescent="0.25">
      <c r="A65" s="57" t="s">
        <v>312</v>
      </c>
      <c r="B65" s="58" t="s">
        <v>313</v>
      </c>
      <c r="C65" s="66" t="s">
        <v>313</v>
      </c>
      <c r="D65" s="66" t="s">
        <v>313</v>
      </c>
      <c r="E65" s="66"/>
      <c r="F65" s="67"/>
      <c r="G65" s="66"/>
      <c r="H65" s="62"/>
      <c r="I65" s="63" t="s">
        <v>252</v>
      </c>
    </row>
    <row r="66" spans="1:12" x14ac:dyDescent="0.25">
      <c r="A66" s="74" t="s">
        <v>314</v>
      </c>
      <c r="B66" s="58">
        <v>19474169.219601419</v>
      </c>
      <c r="C66" s="66">
        <v>19474169.219601419</v>
      </c>
      <c r="D66" s="59">
        <v>20673610.116392747</v>
      </c>
      <c r="E66" s="82"/>
      <c r="F66" s="60">
        <v>0.58571109877499994</v>
      </c>
      <c r="G66" s="76">
        <v>10455.988337376644</v>
      </c>
      <c r="H66" s="62">
        <v>1.0455988337376645E-2</v>
      </c>
      <c r="I66" s="96"/>
      <c r="K66" s="97"/>
    </row>
    <row r="67" spans="1:12" x14ac:dyDescent="0.25">
      <c r="A67" s="74" t="s">
        <v>315</v>
      </c>
      <c r="B67" s="58">
        <v>22639319.979813498</v>
      </c>
      <c r="C67" s="66">
        <v>22639319.979813498</v>
      </c>
      <c r="D67" s="59">
        <v>23633492.9618803</v>
      </c>
      <c r="E67" s="82"/>
      <c r="F67" s="80">
        <v>0.61199999999999999</v>
      </c>
      <c r="G67" s="76">
        <v>15352.092718927001</v>
      </c>
      <c r="H67" s="62">
        <v>1.5352092718927001E-2</v>
      </c>
      <c r="I67" s="96">
        <v>0.95793372635732021</v>
      </c>
      <c r="K67" s="97"/>
    </row>
    <row r="68" spans="1:12" x14ac:dyDescent="0.25">
      <c r="A68" s="74" t="s">
        <v>316</v>
      </c>
      <c r="B68" s="58">
        <v>16085444.010446707</v>
      </c>
      <c r="C68" s="66">
        <v>16085444.010446707</v>
      </c>
      <c r="D68" s="76">
        <v>17449319.671483699</v>
      </c>
      <c r="E68" s="82"/>
      <c r="F68" s="80">
        <v>0.53700000000000003</v>
      </c>
      <c r="G68" s="76">
        <v>3568.253687975</v>
      </c>
      <c r="H68" s="62">
        <v>3.5682536879749998E-3</v>
      </c>
      <c r="I68" s="96">
        <v>0.92183788899999997</v>
      </c>
      <c r="K68" s="97"/>
    </row>
    <row r="69" spans="1:12" x14ac:dyDescent="0.25">
      <c r="A69" s="74" t="s">
        <v>317</v>
      </c>
      <c r="B69" s="58">
        <v>10805182.822031699</v>
      </c>
      <c r="C69" s="66">
        <v>10805182.822031699</v>
      </c>
      <c r="D69" s="76">
        <v>12992301.9717196</v>
      </c>
      <c r="E69" s="82"/>
      <c r="F69" s="65">
        <v>0.49099999999999999</v>
      </c>
      <c r="G69" s="76">
        <v>9064.2347162629994</v>
      </c>
      <c r="H69" s="62">
        <v>9.0642347162629994E-3</v>
      </c>
      <c r="I69" s="63">
        <v>0.83166038209020898</v>
      </c>
      <c r="K69" s="97"/>
    </row>
    <row r="70" spans="1:12" x14ac:dyDescent="0.25">
      <c r="A70" s="74" t="s">
        <v>318</v>
      </c>
      <c r="B70" s="58">
        <v>22639319.979813498</v>
      </c>
      <c r="C70" s="66">
        <v>22639319.979813498</v>
      </c>
      <c r="D70" s="64">
        <v>23633492.9618803</v>
      </c>
      <c r="E70" s="82"/>
      <c r="F70" s="65">
        <v>0.80642049800000004</v>
      </c>
      <c r="G70" s="76">
        <v>16142.739251388</v>
      </c>
      <c r="H70" s="62">
        <v>1.6142739251388E-2</v>
      </c>
      <c r="I70" s="63">
        <v>0.95793372635732021</v>
      </c>
      <c r="K70" s="97"/>
    </row>
    <row r="71" spans="1:12" x14ac:dyDescent="0.25">
      <c r="A71" s="57" t="s">
        <v>319</v>
      </c>
      <c r="B71" s="58">
        <v>9945646.340310514</v>
      </c>
      <c r="C71" s="66">
        <v>9945646.340310514</v>
      </c>
      <c r="D71" s="76">
        <v>11958783.362163</v>
      </c>
      <c r="E71" s="66"/>
      <c r="F71" s="80">
        <v>0.32642858499999999</v>
      </c>
      <c r="G71" s="98">
        <v>9064.2347162629994</v>
      </c>
      <c r="H71" s="62">
        <v>9.0642347162629994E-3</v>
      </c>
      <c r="I71" s="96">
        <v>0.83166038209020898</v>
      </c>
      <c r="K71" s="97"/>
      <c r="L71" s="97"/>
    </row>
    <row r="72" spans="1:12" x14ac:dyDescent="0.25">
      <c r="A72" s="57" t="s">
        <v>320</v>
      </c>
      <c r="B72" s="58">
        <v>26949428.734871496</v>
      </c>
      <c r="C72" s="66">
        <v>26949428.734871496</v>
      </c>
      <c r="D72" s="76">
        <v>28595925.1717753</v>
      </c>
      <c r="E72" s="66"/>
      <c r="F72" s="80">
        <v>0.86670000000000003</v>
      </c>
      <c r="G72" s="66">
        <v>45137.714412408997</v>
      </c>
      <c r="H72" s="62">
        <v>4.5137714412408998E-2</v>
      </c>
      <c r="I72" s="63">
        <v>0.94242199100000001</v>
      </c>
      <c r="K72" s="97"/>
    </row>
    <row r="73" spans="1:12" x14ac:dyDescent="0.25">
      <c r="A73" s="57" t="s">
        <v>321</v>
      </c>
      <c r="B73" s="58">
        <v>26664354.295994278</v>
      </c>
      <c r="C73" s="66">
        <v>26664354.295994278</v>
      </c>
      <c r="D73" s="59">
        <v>28293433.886979699</v>
      </c>
      <c r="E73" s="82"/>
      <c r="F73" s="80">
        <v>0.48798697000000002</v>
      </c>
      <c r="G73" s="61">
        <v>45137.714412408997</v>
      </c>
      <c r="H73" s="62">
        <v>4.5137714412408998E-2</v>
      </c>
      <c r="I73" s="63">
        <v>0.94242199100000001</v>
      </c>
    </row>
    <row r="74" spans="1:12" ht="12.6" customHeight="1" x14ac:dyDescent="0.25">
      <c r="A74" s="57" t="s">
        <v>322</v>
      </c>
      <c r="B74" s="58">
        <v>24599421.97472629</v>
      </c>
      <c r="C74" s="76">
        <v>24599421.97472629</v>
      </c>
      <c r="D74" s="76">
        <v>25679670</v>
      </c>
      <c r="E74" s="82"/>
      <c r="F74" s="80">
        <v>0.747</v>
      </c>
      <c r="G74" s="61">
        <v>11800</v>
      </c>
      <c r="H74" s="62">
        <v>1.18E-2</v>
      </c>
      <c r="I74" s="63">
        <v>0.95793372635732044</v>
      </c>
      <c r="K74" s="99"/>
    </row>
    <row r="75" spans="1:12" x14ac:dyDescent="0.25">
      <c r="A75" s="57" t="s">
        <v>459</v>
      </c>
      <c r="B75" s="58">
        <v>28385750.368920002</v>
      </c>
      <c r="C75" s="76">
        <v>28385750.368920002</v>
      </c>
      <c r="D75" s="76">
        <v>30120000</v>
      </c>
      <c r="E75" s="66"/>
      <c r="F75" s="80">
        <v>0.8641323406231759</v>
      </c>
      <c r="G75" s="76">
        <v>45137.714412408997</v>
      </c>
      <c r="H75" s="62">
        <v>4.5137714412408998E-2</v>
      </c>
      <c r="I75" s="63">
        <v>0.94242199100000001</v>
      </c>
      <c r="K75" s="99"/>
    </row>
    <row r="76" spans="1:12" x14ac:dyDescent="0.25">
      <c r="A76" s="57" t="s">
        <v>323</v>
      </c>
      <c r="B76" s="58">
        <v>15396000</v>
      </c>
      <c r="C76" s="76">
        <v>15396000</v>
      </c>
      <c r="D76" s="59">
        <v>16524000</v>
      </c>
      <c r="E76" s="82"/>
      <c r="F76" s="60">
        <v>0.48699999999999999</v>
      </c>
      <c r="G76" s="61">
        <v>500</v>
      </c>
      <c r="H76" s="62">
        <v>5.0000000000000001E-4</v>
      </c>
      <c r="I76" s="63">
        <v>0.93173565722585328</v>
      </c>
    </row>
    <row r="77" spans="1:12" x14ac:dyDescent="0.25">
      <c r="A77" s="57" t="s">
        <v>324</v>
      </c>
      <c r="B77" s="58">
        <v>15929000</v>
      </c>
      <c r="C77" s="98">
        <v>15929000</v>
      </c>
      <c r="D77" s="59">
        <v>17062000</v>
      </c>
      <c r="E77" s="82"/>
      <c r="F77" s="60">
        <v>0.501</v>
      </c>
      <c r="G77" s="61">
        <v>200</v>
      </c>
      <c r="H77" s="62">
        <v>2.0000000000000001E-4</v>
      </c>
      <c r="I77" s="63">
        <v>0.93359512366662756</v>
      </c>
      <c r="K77" s="100"/>
    </row>
    <row r="78" spans="1:12" x14ac:dyDescent="0.25">
      <c r="A78" s="57" t="s">
        <v>325</v>
      </c>
      <c r="B78" s="58">
        <v>14447000</v>
      </c>
      <c r="C78" s="61">
        <v>14447000</v>
      </c>
      <c r="D78" s="61">
        <v>15583000</v>
      </c>
      <c r="E78" s="66"/>
      <c r="F78" s="77">
        <v>0.46600000000000003</v>
      </c>
      <c r="G78" s="61">
        <v>1100</v>
      </c>
      <c r="H78" s="62">
        <v>1.1000000000000001E-3</v>
      </c>
      <c r="I78" s="63">
        <v>0.92710004492074694</v>
      </c>
      <c r="K78" s="99"/>
    </row>
    <row r="79" spans="1:12" x14ac:dyDescent="0.25">
      <c r="A79" s="57" t="s">
        <v>326</v>
      </c>
      <c r="B79" s="58">
        <v>15342000</v>
      </c>
      <c r="C79" s="61">
        <v>15342000</v>
      </c>
      <c r="D79" s="61">
        <v>16377000</v>
      </c>
      <c r="E79" s="66"/>
      <c r="F79" s="77">
        <v>0.47599999999999998</v>
      </c>
      <c r="G79" s="61">
        <v>800</v>
      </c>
      <c r="H79" s="62">
        <v>8.0000000000000004E-4</v>
      </c>
      <c r="I79" s="63">
        <v>0.93680161201685286</v>
      </c>
    </row>
    <row r="80" spans="1:12" x14ac:dyDescent="0.25">
      <c r="A80" s="57" t="s">
        <v>327</v>
      </c>
      <c r="B80" s="58">
        <v>14716000</v>
      </c>
      <c r="C80" s="61">
        <v>14716000</v>
      </c>
      <c r="D80" s="66">
        <v>15774000</v>
      </c>
      <c r="E80" s="66"/>
      <c r="F80" s="77">
        <v>0.46700000000000003</v>
      </c>
      <c r="G80" s="61">
        <v>1000</v>
      </c>
      <c r="H80" s="62">
        <v>1E-3</v>
      </c>
      <c r="I80" s="63">
        <v>0.93292760238366934</v>
      </c>
    </row>
    <row r="81" spans="1:14" x14ac:dyDescent="0.25">
      <c r="A81" s="57" t="s">
        <v>328</v>
      </c>
      <c r="B81" s="58">
        <v>17289000</v>
      </c>
      <c r="C81" s="76">
        <v>17289000</v>
      </c>
      <c r="D81" s="66">
        <v>17906000</v>
      </c>
      <c r="E81" s="66"/>
      <c r="F81" s="77">
        <v>0.503</v>
      </c>
      <c r="G81" s="66">
        <v>400</v>
      </c>
      <c r="H81" s="62">
        <v>4.0000000000000002E-4</v>
      </c>
      <c r="I81" s="63">
        <v>0.96554227633195577</v>
      </c>
    </row>
    <row r="82" spans="1:14" x14ac:dyDescent="0.25">
      <c r="A82" s="57" t="s">
        <v>460</v>
      </c>
      <c r="B82" s="58">
        <v>15929000</v>
      </c>
      <c r="C82" s="61">
        <v>15929000</v>
      </c>
      <c r="D82" s="76">
        <v>17062000</v>
      </c>
      <c r="E82" s="66"/>
      <c r="F82" s="77">
        <v>0.501</v>
      </c>
      <c r="G82" s="66">
        <v>200</v>
      </c>
      <c r="H82" s="62">
        <v>2.0000000000000001E-4</v>
      </c>
      <c r="I82" s="63">
        <v>0.93359512366662756</v>
      </c>
    </row>
    <row r="83" spans="1:14" x14ac:dyDescent="0.25">
      <c r="A83" s="74" t="s">
        <v>329</v>
      </c>
      <c r="B83" s="58">
        <v>14999999.999999998</v>
      </c>
      <c r="C83" s="61">
        <v>14999999.999999998</v>
      </c>
      <c r="D83" s="61"/>
      <c r="E83" s="66"/>
      <c r="F83" s="101">
        <v>0.47799999999999998</v>
      </c>
      <c r="G83" s="61">
        <v>400</v>
      </c>
      <c r="H83" s="102">
        <v>4.0000000000000002E-4</v>
      </c>
      <c r="I83" s="103"/>
    </row>
    <row r="84" spans="1:14" x14ac:dyDescent="0.25">
      <c r="A84" s="104" t="s">
        <v>330</v>
      </c>
      <c r="B84" s="66">
        <v>13454048.892850777</v>
      </c>
      <c r="C84" s="76">
        <v>13454048.892850777</v>
      </c>
      <c r="D84" s="76">
        <v>15774000</v>
      </c>
      <c r="E84" s="66"/>
      <c r="F84" s="105">
        <v>0.5</v>
      </c>
      <c r="G84" s="61"/>
      <c r="H84" s="102"/>
      <c r="I84" s="103">
        <v>0.85292563033160751</v>
      </c>
    </row>
    <row r="85" spans="1:14" x14ac:dyDescent="0.25">
      <c r="A85" s="104" t="s">
        <v>331</v>
      </c>
      <c r="B85" s="66">
        <v>12381771.311916806</v>
      </c>
      <c r="C85" s="76">
        <v>12381771.311916806</v>
      </c>
      <c r="D85" s="76">
        <v>14062678</v>
      </c>
      <c r="E85" s="66"/>
      <c r="F85" s="105">
        <v>0.46300000000000002</v>
      </c>
      <c r="G85" s="61"/>
      <c r="H85" s="102"/>
      <c r="I85" s="103">
        <v>0.88047037071579148</v>
      </c>
    </row>
    <row r="86" spans="1:14" x14ac:dyDescent="0.25">
      <c r="A86" s="104" t="s">
        <v>332</v>
      </c>
      <c r="B86" s="66">
        <v>18916910.5715716</v>
      </c>
      <c r="C86" s="66">
        <v>18916910.5715716</v>
      </c>
      <c r="D86" s="66">
        <v>18916910.5715716</v>
      </c>
      <c r="E86" s="66"/>
      <c r="F86" s="106">
        <v>0.51200000000000001</v>
      </c>
      <c r="G86" s="76">
        <v>0</v>
      </c>
      <c r="H86" s="102">
        <v>0</v>
      </c>
      <c r="I86" s="103">
        <v>1</v>
      </c>
    </row>
    <row r="87" spans="1:14" x14ac:dyDescent="0.25">
      <c r="A87" s="107" t="s">
        <v>333</v>
      </c>
      <c r="B87" s="66">
        <v>12781599.343864119</v>
      </c>
      <c r="C87" s="76">
        <v>12781599.343864119</v>
      </c>
      <c r="D87" s="76">
        <v>14131556.354955051</v>
      </c>
      <c r="E87" s="66"/>
      <c r="F87" s="105">
        <v>0.39339999999999997</v>
      </c>
      <c r="G87" s="61">
        <v>0</v>
      </c>
      <c r="H87" s="102">
        <v>0</v>
      </c>
      <c r="I87" s="103">
        <v>0.90447216306662592</v>
      </c>
    </row>
    <row r="88" spans="1:14" x14ac:dyDescent="0.25">
      <c r="A88" s="108" t="s">
        <v>334</v>
      </c>
      <c r="B88" s="109">
        <v>14409931.248165678</v>
      </c>
      <c r="C88" s="110">
        <v>14409931.248165678</v>
      </c>
      <c r="D88" s="110">
        <v>15305245.093897162</v>
      </c>
      <c r="E88" s="109"/>
      <c r="F88" s="111">
        <v>0.41985</v>
      </c>
      <c r="G88" s="110">
        <v>0</v>
      </c>
      <c r="H88" s="112">
        <v>0</v>
      </c>
      <c r="I88" s="113">
        <v>0.94150280898876404</v>
      </c>
    </row>
    <row r="89" spans="1:14" x14ac:dyDescent="0.25">
      <c r="A89" t="s">
        <v>335</v>
      </c>
      <c r="B89" s="66">
        <v>14409931.248165678</v>
      </c>
      <c r="C89" s="114">
        <v>14409931.248165678</v>
      </c>
      <c r="D89" s="114">
        <v>15305245.093897162</v>
      </c>
      <c r="E89" s="115"/>
      <c r="F89" s="116">
        <v>0.41985</v>
      </c>
      <c r="G89" s="69">
        <v>0</v>
      </c>
      <c r="H89" s="102">
        <v>0</v>
      </c>
      <c r="I89" s="117">
        <v>0.94150280898876404</v>
      </c>
    </row>
    <row r="90" spans="1:14" x14ac:dyDescent="0.25">
      <c r="A90" s="36" t="s">
        <v>336</v>
      </c>
      <c r="B90" s="118">
        <v>11209638.734587256</v>
      </c>
      <c r="C90" s="118">
        <v>11209638.734587256</v>
      </c>
      <c r="D90" s="118">
        <v>13583444.58426456</v>
      </c>
      <c r="E90" s="118"/>
      <c r="F90" s="118">
        <v>0.49161518093556933</v>
      </c>
      <c r="G90">
        <v>1765.2250661959399</v>
      </c>
      <c r="H90">
        <v>1.7652250661959398E-3</v>
      </c>
      <c r="I90">
        <v>0.8252427184466018</v>
      </c>
    </row>
    <row r="91" spans="1:14" x14ac:dyDescent="0.25">
      <c r="A91" t="s">
        <v>337</v>
      </c>
      <c r="B91" s="118">
        <v>14155275.214870876</v>
      </c>
      <c r="C91" s="118">
        <v>14155275.214870876</v>
      </c>
      <c r="D91" s="118">
        <v>16144032.889687445</v>
      </c>
      <c r="E91" s="118"/>
      <c r="F91" s="118">
        <v>0.50491510277033058</v>
      </c>
      <c r="G91">
        <v>1787.3100983020554</v>
      </c>
      <c r="H91">
        <v>1.7873100983020554E-3</v>
      </c>
      <c r="I91">
        <v>0.87681159420289856</v>
      </c>
    </row>
    <row r="92" spans="1:14" x14ac:dyDescent="0.25">
      <c r="A92" s="119" t="s">
        <v>461</v>
      </c>
      <c r="B92" s="120">
        <v>152370.90134048002</v>
      </c>
      <c r="C92" s="121">
        <v>152370.90134048002</v>
      </c>
      <c r="D92" s="121">
        <v>162963.53084543315</v>
      </c>
      <c r="E92" s="121">
        <v>3839.6821254480283</v>
      </c>
      <c r="F92" s="121">
        <v>0.83</v>
      </c>
      <c r="G92" s="122">
        <v>48000</v>
      </c>
      <c r="H92" s="122">
        <v>4.8000000000000001E-2</v>
      </c>
      <c r="I92" s="122">
        <v>0.93500000000000016</v>
      </c>
      <c r="J92" s="122"/>
      <c r="K92" s="122"/>
      <c r="L92" s="122"/>
      <c r="M92" s="122"/>
      <c r="N92" s="123"/>
    </row>
    <row r="93" spans="1:14" x14ac:dyDescent="0.25">
      <c r="A93" s="124" t="s">
        <v>76</v>
      </c>
      <c r="B93" s="125">
        <v>144230</v>
      </c>
      <c r="C93" s="126"/>
      <c r="D93" s="126"/>
      <c r="E93" s="126">
        <v>3785.4109999999991</v>
      </c>
      <c r="F93" s="126">
        <v>0.80800504236780391</v>
      </c>
      <c r="G93" s="126">
        <v>3510</v>
      </c>
      <c r="H93" s="126"/>
      <c r="I93" s="126"/>
      <c r="J93" s="126"/>
      <c r="K93" s="126"/>
      <c r="L93" s="126"/>
      <c r="M93" s="126"/>
      <c r="N93" s="127"/>
    </row>
    <row r="94" spans="1:14" x14ac:dyDescent="0.25">
      <c r="A94" s="128"/>
      <c r="B94" s="129"/>
      <c r="N94" s="130"/>
    </row>
    <row r="95" spans="1:14" x14ac:dyDescent="0.25">
      <c r="A95" s="128" t="s">
        <v>338</v>
      </c>
      <c r="B95" s="129"/>
      <c r="N95" s="130"/>
    </row>
    <row r="96" spans="1:14" x14ac:dyDescent="0.25">
      <c r="A96" s="124" t="s">
        <v>339</v>
      </c>
      <c r="B96" s="131"/>
      <c r="C96" s="132"/>
      <c r="D96" s="132"/>
      <c r="E96" s="132"/>
      <c r="F96" s="132"/>
      <c r="G96" s="132"/>
      <c r="H96" s="132"/>
      <c r="I96" s="132"/>
      <c r="J96" s="132"/>
      <c r="K96" s="132"/>
      <c r="L96" s="132"/>
      <c r="M96" s="132"/>
      <c r="N96" s="133"/>
    </row>
    <row r="97" spans="1:14" x14ac:dyDescent="0.25">
      <c r="A97" s="18" t="s">
        <v>340</v>
      </c>
      <c r="B97" s="69" t="s">
        <v>341</v>
      </c>
      <c r="C97" t="s">
        <v>341</v>
      </c>
      <c r="D97" t="s">
        <v>341</v>
      </c>
      <c r="E97" t="s">
        <v>342</v>
      </c>
      <c r="F97" t="s">
        <v>342</v>
      </c>
      <c r="G97" t="s">
        <v>343</v>
      </c>
      <c r="H97" t="s">
        <v>343</v>
      </c>
      <c r="I97" t="s">
        <v>344</v>
      </c>
      <c r="J97" t="s">
        <v>344</v>
      </c>
      <c r="K97" t="s">
        <v>345</v>
      </c>
      <c r="L97" t="s">
        <v>345</v>
      </c>
      <c r="M97" t="s">
        <v>346</v>
      </c>
      <c r="N97" t="s">
        <v>346</v>
      </c>
    </row>
    <row r="98" spans="1:14" x14ac:dyDescent="0.25">
      <c r="A98" s="3" t="s">
        <v>347</v>
      </c>
      <c r="B98" s="69">
        <v>100</v>
      </c>
      <c r="C98">
        <v>100</v>
      </c>
      <c r="D98">
        <v>20</v>
      </c>
      <c r="E98">
        <v>100</v>
      </c>
      <c r="F98">
        <v>20</v>
      </c>
      <c r="G98">
        <v>100</v>
      </c>
      <c r="H98">
        <v>20</v>
      </c>
      <c r="I98">
        <v>100</v>
      </c>
      <c r="J98">
        <v>20</v>
      </c>
      <c r="K98">
        <v>100</v>
      </c>
      <c r="L98">
        <v>20</v>
      </c>
      <c r="M98">
        <v>100</v>
      </c>
      <c r="N98">
        <v>20</v>
      </c>
    </row>
    <row r="99" spans="1:14" x14ac:dyDescent="0.25">
      <c r="A99" s="134" t="s">
        <v>348</v>
      </c>
      <c r="B99" s="135">
        <v>1</v>
      </c>
      <c r="C99" s="136">
        <v>1</v>
      </c>
      <c r="D99" s="136">
        <v>1</v>
      </c>
      <c r="E99" s="136">
        <v>1</v>
      </c>
      <c r="F99" s="136">
        <v>1</v>
      </c>
      <c r="G99" s="137">
        <v>1</v>
      </c>
      <c r="H99">
        <v>1</v>
      </c>
      <c r="I99">
        <v>1</v>
      </c>
      <c r="J99">
        <v>1</v>
      </c>
      <c r="K99">
        <v>1</v>
      </c>
      <c r="L99">
        <v>1</v>
      </c>
      <c r="M99">
        <v>1</v>
      </c>
      <c r="N99">
        <v>1</v>
      </c>
    </row>
    <row r="100" spans="1:14" x14ac:dyDescent="0.25">
      <c r="A100" s="124" t="s">
        <v>349</v>
      </c>
      <c r="B100" s="125">
        <v>30</v>
      </c>
      <c r="C100" s="138">
        <v>30</v>
      </c>
      <c r="D100" s="138">
        <v>85</v>
      </c>
      <c r="E100" s="138">
        <v>6</v>
      </c>
      <c r="F100" s="138">
        <v>68</v>
      </c>
      <c r="G100" s="139">
        <v>25</v>
      </c>
      <c r="H100">
        <v>72</v>
      </c>
      <c r="I100">
        <v>23</v>
      </c>
      <c r="J100">
        <v>62</v>
      </c>
      <c r="K100">
        <v>21</v>
      </c>
      <c r="L100">
        <v>56</v>
      </c>
      <c r="M100">
        <v>21</v>
      </c>
      <c r="N100">
        <v>63</v>
      </c>
    </row>
    <row r="101" spans="1:14" x14ac:dyDescent="0.25">
      <c r="A101" s="128" t="s">
        <v>350</v>
      </c>
      <c r="B101" s="129">
        <v>265</v>
      </c>
      <c r="C101">
        <v>265</v>
      </c>
      <c r="D101">
        <v>264</v>
      </c>
      <c r="E101" s="69">
        <v>234</v>
      </c>
      <c r="F101">
        <v>277</v>
      </c>
      <c r="G101" s="130">
        <v>298</v>
      </c>
      <c r="H101">
        <v>289</v>
      </c>
      <c r="I101">
        <v>296</v>
      </c>
      <c r="J101">
        <v>275</v>
      </c>
      <c r="K101">
        <v>310</v>
      </c>
      <c r="L101">
        <v>280</v>
      </c>
      <c r="M101">
        <v>290</v>
      </c>
      <c r="N101">
        <v>270</v>
      </c>
    </row>
    <row r="102" spans="1:14" x14ac:dyDescent="0.25">
      <c r="A102" s="128"/>
      <c r="B102" s="129"/>
      <c r="G102" s="130"/>
    </row>
    <row r="103" spans="1:14" x14ac:dyDescent="0.25">
      <c r="A103" s="128" t="s">
        <v>351</v>
      </c>
      <c r="B103" s="129"/>
      <c r="G103" s="130"/>
    </row>
    <row r="104" spans="1:14" x14ac:dyDescent="0.25">
      <c r="A104" s="128" t="s">
        <v>352</v>
      </c>
      <c r="B104" s="129" t="s">
        <v>353</v>
      </c>
      <c r="C104" t="s">
        <v>353</v>
      </c>
      <c r="D104" s="140" t="s">
        <v>354</v>
      </c>
      <c r="E104" s="140" t="s">
        <v>354</v>
      </c>
      <c r="F104" s="140" t="s">
        <v>355</v>
      </c>
      <c r="G104" s="141" t="s">
        <v>355</v>
      </c>
    </row>
    <row r="105" spans="1:14" x14ac:dyDescent="0.25">
      <c r="A105" s="124" t="s">
        <v>347</v>
      </c>
      <c r="B105" s="131">
        <v>100</v>
      </c>
      <c r="C105" s="132"/>
      <c r="D105" s="132">
        <v>100</v>
      </c>
      <c r="E105" s="132">
        <v>20</v>
      </c>
      <c r="F105" s="132">
        <v>100</v>
      </c>
      <c r="G105" s="133">
        <v>20</v>
      </c>
    </row>
    <row r="106" spans="1:14" x14ac:dyDescent="0.25">
      <c r="A106" t="s">
        <v>356</v>
      </c>
      <c r="B106">
        <v>0</v>
      </c>
      <c r="C106">
        <v>0</v>
      </c>
      <c r="D106">
        <v>4.5</v>
      </c>
      <c r="E106">
        <v>14</v>
      </c>
      <c r="F106">
        <v>0.66</v>
      </c>
      <c r="G106">
        <v>7.5</v>
      </c>
    </row>
    <row r="107" spans="1:14" x14ac:dyDescent="0.25">
      <c r="A107" s="36" t="s">
        <v>357</v>
      </c>
      <c r="B107">
        <v>0</v>
      </c>
      <c r="C107">
        <v>0</v>
      </c>
      <c r="D107">
        <v>2.65</v>
      </c>
      <c r="E107">
        <v>7.65</v>
      </c>
      <c r="F107">
        <v>0.42</v>
      </c>
      <c r="G107">
        <v>4.9000000000000004</v>
      </c>
    </row>
    <row r="108" spans="1:14" x14ac:dyDescent="0.25">
      <c r="A108" s="119" t="s">
        <v>358</v>
      </c>
      <c r="B108" s="142">
        <v>0</v>
      </c>
      <c r="C108">
        <v>0</v>
      </c>
      <c r="D108">
        <v>-11</v>
      </c>
      <c r="E108">
        <v>19</v>
      </c>
      <c r="F108">
        <v>-2.9</v>
      </c>
      <c r="G108">
        <v>-87</v>
      </c>
    </row>
    <row r="109" spans="1:14" x14ac:dyDescent="0.25">
      <c r="A109" s="128" t="s">
        <v>359</v>
      </c>
      <c r="B109" s="143">
        <v>0</v>
      </c>
      <c r="C109">
        <v>0</v>
      </c>
      <c r="D109">
        <v>900</v>
      </c>
      <c r="E109">
        <v>3200</v>
      </c>
      <c r="F109">
        <v>130</v>
      </c>
      <c r="G109">
        <v>920</v>
      </c>
    </row>
    <row r="110" spans="1:14" x14ac:dyDescent="0.25">
      <c r="A110" s="128" t="s">
        <v>360</v>
      </c>
      <c r="B110" s="143">
        <v>0</v>
      </c>
      <c r="C110">
        <v>0</v>
      </c>
      <c r="D110">
        <v>-69</v>
      </c>
      <c r="E110">
        <v>-240</v>
      </c>
      <c r="F110">
        <v>-10</v>
      </c>
      <c r="G110">
        <v>-71</v>
      </c>
    </row>
    <row r="111" spans="1:14" x14ac:dyDescent="0.25">
      <c r="A111" s="128"/>
      <c r="B111" s="143"/>
    </row>
    <row r="112" spans="1:14" x14ac:dyDescent="0.25">
      <c r="A112" s="124" t="s">
        <v>361</v>
      </c>
      <c r="B112" s="144"/>
    </row>
    <row r="113" spans="1:24" x14ac:dyDescent="0.25">
      <c r="A113" t="s">
        <v>362</v>
      </c>
      <c r="B113">
        <v>0.85</v>
      </c>
    </row>
    <row r="114" spans="1:24" x14ac:dyDescent="0.25">
      <c r="A114" s="36" t="s">
        <v>363</v>
      </c>
      <c r="B114">
        <v>0.42857142857142855</v>
      </c>
    </row>
    <row r="115" spans="1:24" x14ac:dyDescent="0.25">
      <c r="A115" t="s">
        <v>364</v>
      </c>
      <c r="B115">
        <v>0.75</v>
      </c>
    </row>
    <row r="116" spans="1:24" x14ac:dyDescent="0.25">
      <c r="A116" t="s">
        <v>365</v>
      </c>
      <c r="B116" s="145">
        <v>0.27272727272727271</v>
      </c>
      <c r="F116" s="146"/>
      <c r="J116" s="146"/>
      <c r="N116" s="146"/>
      <c r="R116" s="147"/>
      <c r="V116" s="147"/>
    </row>
    <row r="117" spans="1:24" x14ac:dyDescent="0.25">
      <c r="A117" t="s">
        <v>366</v>
      </c>
      <c r="B117" s="148">
        <v>0.5</v>
      </c>
      <c r="F117" s="149"/>
      <c r="J117" s="149"/>
      <c r="N117" s="149"/>
      <c r="R117" s="150"/>
      <c r="V117" s="150"/>
    </row>
    <row r="118" spans="1:24" x14ac:dyDescent="0.25">
      <c r="B118" s="151"/>
      <c r="C118" s="152"/>
      <c r="D118" s="153"/>
      <c r="F118" s="151"/>
      <c r="G118" s="152"/>
      <c r="H118" s="153"/>
      <c r="J118" s="151"/>
      <c r="K118" s="154"/>
      <c r="L118" s="153"/>
      <c r="N118" s="151"/>
      <c r="O118" s="154"/>
      <c r="P118" s="153"/>
      <c r="R118" s="151"/>
      <c r="S118" s="154"/>
      <c r="T118" s="153"/>
      <c r="V118" s="151"/>
      <c r="W118" s="154"/>
      <c r="X118" s="153"/>
    </row>
    <row r="119" spans="1:24" x14ac:dyDescent="0.25">
      <c r="A119" t="s">
        <v>367</v>
      </c>
      <c r="B119" s="155"/>
      <c r="C119" s="156"/>
      <c r="D119" s="157"/>
      <c r="F119" s="155"/>
      <c r="G119" s="156"/>
      <c r="H119" s="157"/>
      <c r="J119" s="155"/>
      <c r="K119" s="156"/>
      <c r="L119" s="157"/>
      <c r="N119" s="155"/>
      <c r="O119" s="156"/>
      <c r="P119" s="157"/>
      <c r="R119" s="155"/>
      <c r="S119" s="156"/>
      <c r="T119" s="157"/>
      <c r="V119" s="155"/>
      <c r="W119" s="156"/>
      <c r="X119" s="157"/>
    </row>
    <row r="120" spans="1:24" x14ac:dyDescent="0.25">
      <c r="B120" s="158"/>
      <c r="C120" s="150"/>
      <c r="D120" s="159"/>
      <c r="F120" s="158"/>
      <c r="G120" s="150"/>
      <c r="H120" s="159"/>
      <c r="J120" s="158"/>
      <c r="K120" s="150"/>
      <c r="L120" s="159"/>
      <c r="N120" s="158"/>
      <c r="O120" s="150"/>
      <c r="P120" s="159"/>
      <c r="R120" s="158"/>
      <c r="S120" s="150"/>
      <c r="T120" s="159"/>
      <c r="V120" s="158"/>
      <c r="W120" s="150"/>
      <c r="X120" s="159"/>
    </row>
    <row r="121" spans="1:24" x14ac:dyDescent="0.25">
      <c r="B121" s="158">
        <v>10</v>
      </c>
      <c r="C121" s="150"/>
      <c r="D121" s="159"/>
      <c r="F121" s="158">
        <v>200</v>
      </c>
      <c r="G121" s="150"/>
      <c r="H121" s="159"/>
      <c r="J121" s="158">
        <v>11</v>
      </c>
      <c r="K121" s="150"/>
      <c r="L121" s="159"/>
      <c r="N121" s="158">
        <v>11</v>
      </c>
      <c r="O121" s="150"/>
      <c r="P121" s="159"/>
      <c r="R121" s="158">
        <v>27000</v>
      </c>
      <c r="S121" s="150"/>
      <c r="T121" s="159"/>
      <c r="V121" s="158">
        <v>1000</v>
      </c>
      <c r="W121" s="150"/>
      <c r="X121" s="159"/>
    </row>
    <row r="122" spans="1:24" x14ac:dyDescent="0.25">
      <c r="B122" s="158">
        <v>10</v>
      </c>
      <c r="C122" s="150"/>
      <c r="D122" s="159"/>
      <c r="F122" s="158">
        <v>200</v>
      </c>
      <c r="G122" s="150"/>
      <c r="H122" s="159"/>
      <c r="J122" s="158">
        <v>11</v>
      </c>
      <c r="K122" s="150"/>
      <c r="L122" s="159"/>
      <c r="N122" s="158">
        <v>11</v>
      </c>
      <c r="O122" s="150"/>
      <c r="P122" s="159"/>
      <c r="R122" s="158">
        <v>27000</v>
      </c>
      <c r="S122" s="150"/>
      <c r="T122" s="159"/>
      <c r="V122" s="158">
        <v>1000</v>
      </c>
      <c r="W122" s="150"/>
      <c r="X122" s="159"/>
    </row>
    <row r="123" spans="1:24" x14ac:dyDescent="0.25">
      <c r="B123" s="158" t="s">
        <v>368</v>
      </c>
      <c r="C123" s="150" t="s">
        <v>369</v>
      </c>
      <c r="D123" s="159" t="s">
        <v>370</v>
      </c>
      <c r="F123" s="160" t="s">
        <v>368</v>
      </c>
      <c r="G123" s="161" t="s">
        <v>371</v>
      </c>
      <c r="H123" s="162" t="s">
        <v>370</v>
      </c>
      <c r="J123" s="160" t="s">
        <v>368</v>
      </c>
      <c r="K123" s="161" t="s">
        <v>372</v>
      </c>
      <c r="L123" s="162" t="s">
        <v>370</v>
      </c>
      <c r="N123" s="160" t="s">
        <v>368</v>
      </c>
      <c r="O123" s="161" t="s">
        <v>373</v>
      </c>
      <c r="P123" s="162" t="s">
        <v>370</v>
      </c>
      <c r="R123" s="160" t="s">
        <v>368</v>
      </c>
      <c r="S123" s="161" t="s">
        <v>374</v>
      </c>
      <c r="T123" s="162" t="s">
        <v>370</v>
      </c>
      <c r="V123" s="160" t="s">
        <v>368</v>
      </c>
      <c r="W123" s="161" t="s">
        <v>375</v>
      </c>
      <c r="X123" s="162" t="s">
        <v>370</v>
      </c>
    </row>
    <row r="124" spans="1:24" x14ac:dyDescent="0.25">
      <c r="B124" s="158">
        <v>1990</v>
      </c>
      <c r="C124" s="150">
        <v>500</v>
      </c>
      <c r="D124" s="159">
        <v>19.607843137254903</v>
      </c>
      <c r="F124" s="158">
        <v>1990</v>
      </c>
      <c r="G124" s="150">
        <v>600</v>
      </c>
      <c r="H124" s="159">
        <v>3</v>
      </c>
      <c r="J124" s="158">
        <v>1990</v>
      </c>
      <c r="K124" s="150">
        <v>350</v>
      </c>
      <c r="L124" s="159">
        <v>31.818181818181817</v>
      </c>
      <c r="N124" s="158">
        <v>1990</v>
      </c>
      <c r="O124" s="150">
        <v>2283</v>
      </c>
      <c r="P124" s="159">
        <v>14.006134969325153</v>
      </c>
      <c r="R124" s="158">
        <v>1990</v>
      </c>
      <c r="S124" s="150">
        <v>27000</v>
      </c>
      <c r="T124" s="159">
        <v>1</v>
      </c>
      <c r="V124" s="158">
        <v>1990</v>
      </c>
      <c r="W124" s="150">
        <v>2000</v>
      </c>
      <c r="X124" s="159">
        <v>1</v>
      </c>
    </row>
    <row r="125" spans="1:24" x14ac:dyDescent="0.25">
      <c r="B125" s="158">
        <v>1995</v>
      </c>
      <c r="C125" s="150">
        <v>340</v>
      </c>
      <c r="D125" s="159">
        <v>13.333333333333334</v>
      </c>
      <c r="F125" s="163">
        <v>1995</v>
      </c>
      <c r="G125" s="164">
        <v>350</v>
      </c>
      <c r="H125" s="165">
        <v>1.75</v>
      </c>
      <c r="J125" s="163">
        <v>1995</v>
      </c>
      <c r="K125" s="164">
        <v>200</v>
      </c>
      <c r="L125" s="165">
        <v>18.181818181818183</v>
      </c>
      <c r="N125" s="163">
        <v>1995</v>
      </c>
      <c r="O125" s="164">
        <v>2283</v>
      </c>
      <c r="P125" s="165">
        <v>14.006134969325153</v>
      </c>
      <c r="R125" s="163">
        <v>1995</v>
      </c>
      <c r="S125" s="164">
        <v>27000</v>
      </c>
      <c r="T125" s="165">
        <v>1</v>
      </c>
      <c r="V125" s="163">
        <v>1995</v>
      </c>
      <c r="W125" s="164">
        <v>2000</v>
      </c>
      <c r="X125" s="165">
        <v>1</v>
      </c>
    </row>
    <row r="126" spans="1:24" x14ac:dyDescent="0.25">
      <c r="B126" s="163">
        <v>2000</v>
      </c>
      <c r="C126" s="164">
        <v>200</v>
      </c>
      <c r="D126" s="165">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25">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25">
      <c r="A128" s="36"/>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25">
      <c r="A129" s="166"/>
      <c r="B129" s="167">
        <v>2015</v>
      </c>
      <c r="C129" s="167">
        <v>25.5</v>
      </c>
      <c r="D129" s="167">
        <v>1</v>
      </c>
      <c r="E129" s="167"/>
      <c r="F129" s="168">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25">
      <c r="A130" s="169"/>
      <c r="B130" s="170">
        <v>2017</v>
      </c>
      <c r="C130" s="170">
        <v>10</v>
      </c>
      <c r="D130" s="170">
        <v>0.39215686274509803</v>
      </c>
      <c r="E130" s="171"/>
      <c r="F130" s="172">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25">
      <c r="A131" s="169"/>
      <c r="B131" s="173">
        <v>2020</v>
      </c>
      <c r="C131" s="170">
        <v>10</v>
      </c>
      <c r="D131" s="170">
        <v>0.39215686274509803</v>
      </c>
      <c r="E131" s="171"/>
      <c r="F131" s="174"/>
    </row>
    <row r="132" spans="1:24" x14ac:dyDescent="0.25">
      <c r="A132" s="169"/>
      <c r="B132" s="173"/>
      <c r="C132" s="173"/>
      <c r="D132" s="170"/>
      <c r="E132" s="173"/>
      <c r="F132" s="174"/>
    </row>
    <row r="133" spans="1:24" x14ac:dyDescent="0.25">
      <c r="A133" s="169" t="s">
        <v>376</v>
      </c>
      <c r="B133" s="173"/>
      <c r="C133" s="171"/>
      <c r="D133" s="170"/>
      <c r="E133" s="170"/>
      <c r="F133" s="172"/>
    </row>
    <row r="134" spans="1:24" x14ac:dyDescent="0.25">
      <c r="A134" s="175" t="s">
        <v>377</v>
      </c>
      <c r="B134" s="176" t="s">
        <v>378</v>
      </c>
      <c r="C134" s="176" t="s">
        <v>379</v>
      </c>
      <c r="D134" s="177" t="s">
        <v>380</v>
      </c>
      <c r="E134" s="176" t="s">
        <v>381</v>
      </c>
      <c r="F134" s="178" t="s">
        <v>382</v>
      </c>
    </row>
    <row r="135" spans="1:24" x14ac:dyDescent="0.25">
      <c r="A135" t="s">
        <v>383</v>
      </c>
      <c r="B135">
        <v>1</v>
      </c>
      <c r="C135">
        <v>1000</v>
      </c>
      <c r="D135">
        <v>1000000</v>
      </c>
      <c r="E135">
        <v>453.59237000000002</v>
      </c>
      <c r="F135">
        <v>907184.74</v>
      </c>
    </row>
    <row r="136" spans="1:24" x14ac:dyDescent="0.25">
      <c r="A136" s="166" t="s">
        <v>90</v>
      </c>
      <c r="B136" s="167">
        <v>1E-3</v>
      </c>
      <c r="C136" s="167">
        <v>1</v>
      </c>
      <c r="D136" s="167">
        <v>1000</v>
      </c>
      <c r="E136" s="167">
        <v>0.45359237000000002</v>
      </c>
      <c r="F136" s="168">
        <v>907.18474000000003</v>
      </c>
    </row>
    <row r="137" spans="1:24" x14ac:dyDescent="0.25">
      <c r="A137" s="169" t="s">
        <v>384</v>
      </c>
      <c r="B137" s="148">
        <v>9.9999999999999995E-7</v>
      </c>
      <c r="C137" s="179">
        <v>1E-3</v>
      </c>
      <c r="D137" s="180">
        <v>1</v>
      </c>
      <c r="E137" s="181">
        <v>4.5359237000000004E-4</v>
      </c>
      <c r="F137" s="182">
        <v>0.90718474000000004</v>
      </c>
    </row>
    <row r="138" spans="1:24" x14ac:dyDescent="0.25">
      <c r="A138" s="169" t="s">
        <v>385</v>
      </c>
      <c r="B138" s="170">
        <v>2.2046226218487759E-3</v>
      </c>
      <c r="C138" s="170">
        <v>2.2046226218487757</v>
      </c>
      <c r="D138" s="170">
        <v>2204.6226218487759</v>
      </c>
      <c r="E138" s="170">
        <v>1</v>
      </c>
      <c r="F138" s="172">
        <v>2000</v>
      </c>
    </row>
    <row r="139" spans="1:24" x14ac:dyDescent="0.25">
      <c r="A139" s="169" t="s">
        <v>386</v>
      </c>
      <c r="B139" s="170">
        <v>1.102311310924388E-6</v>
      </c>
      <c r="C139" s="171">
        <v>1.1023113109243879E-3</v>
      </c>
      <c r="D139" s="170">
        <v>1.1023113109243878</v>
      </c>
      <c r="E139" s="171">
        <v>5.0000000000000001E-4</v>
      </c>
      <c r="F139" s="174">
        <v>1</v>
      </c>
    </row>
    <row r="140" spans="1:24" x14ac:dyDescent="0.25">
      <c r="A140" s="169"/>
      <c r="B140" s="150"/>
      <c r="C140" s="173"/>
      <c r="D140" s="171"/>
      <c r="E140" s="170"/>
      <c r="F140" s="174"/>
    </row>
    <row r="141" spans="1:24" x14ac:dyDescent="0.25">
      <c r="A141" s="175" t="s">
        <v>387</v>
      </c>
      <c r="B141" s="164" t="s">
        <v>388</v>
      </c>
      <c r="C141" s="176" t="s">
        <v>389</v>
      </c>
      <c r="D141" s="177" t="s">
        <v>390</v>
      </c>
      <c r="E141" s="177" t="s">
        <v>391</v>
      </c>
      <c r="F141" s="178" t="s">
        <v>392</v>
      </c>
    </row>
    <row r="142" spans="1:24" x14ac:dyDescent="0.25">
      <c r="A142" t="s">
        <v>393</v>
      </c>
      <c r="B142">
        <v>1</v>
      </c>
      <c r="C142">
        <v>9.9999999999999995E-7</v>
      </c>
      <c r="D142">
        <v>1E-3</v>
      </c>
      <c r="E142">
        <v>3.7854109999999998E-3</v>
      </c>
      <c r="F142">
        <v>2.8316846999999999E-2</v>
      </c>
    </row>
    <row r="143" spans="1:24" x14ac:dyDescent="0.25">
      <c r="A143" s="166" t="s">
        <v>394</v>
      </c>
      <c r="B143" s="167">
        <v>1000000</v>
      </c>
      <c r="C143" s="167">
        <v>1</v>
      </c>
      <c r="D143" s="167">
        <v>1000.0000000000001</v>
      </c>
      <c r="E143" s="167">
        <v>3785.4110000000001</v>
      </c>
      <c r="F143" s="167">
        <v>28316.847000000002</v>
      </c>
      <c r="G143" s="167"/>
      <c r="H143" s="167"/>
      <c r="I143" s="168"/>
    </row>
    <row r="144" spans="1:24" x14ac:dyDescent="0.25">
      <c r="A144" s="169" t="s">
        <v>395</v>
      </c>
      <c r="B144" s="170">
        <v>1000</v>
      </c>
      <c r="C144" s="170">
        <v>1E-3</v>
      </c>
      <c r="D144" s="170">
        <v>1</v>
      </c>
      <c r="E144" s="170">
        <v>3.7854109999999999</v>
      </c>
      <c r="F144" s="170">
        <v>28.316846999999999</v>
      </c>
      <c r="G144" s="170"/>
      <c r="H144" s="170"/>
      <c r="I144" s="130"/>
    </row>
    <row r="145" spans="1:9" x14ac:dyDescent="0.25">
      <c r="A145" s="169" t="s">
        <v>396</v>
      </c>
      <c r="B145" s="171">
        <v>264.17210707106841</v>
      </c>
      <c r="C145" s="170">
        <v>2.6417210707106839E-4</v>
      </c>
      <c r="D145" s="170">
        <v>0.26417210707106842</v>
      </c>
      <c r="E145" s="150">
        <v>1</v>
      </c>
      <c r="F145" s="170">
        <v>7.4805211375990615</v>
      </c>
      <c r="G145" s="171"/>
      <c r="H145" s="170"/>
      <c r="I145" s="130"/>
    </row>
    <row r="146" spans="1:9" x14ac:dyDescent="0.25">
      <c r="A146" s="169" t="s">
        <v>397</v>
      </c>
      <c r="B146" s="173">
        <v>35.314666212661322</v>
      </c>
      <c r="C146" s="171">
        <v>3.5314666212661319E-5</v>
      </c>
      <c r="D146" s="170">
        <v>3.5314666212661321E-2</v>
      </c>
      <c r="E146" s="183">
        <v>0.13368052594273649</v>
      </c>
      <c r="F146" s="150">
        <v>1</v>
      </c>
      <c r="G146" s="173"/>
      <c r="H146" s="170"/>
      <c r="I146" s="130"/>
    </row>
    <row r="147" spans="1:9" x14ac:dyDescent="0.25">
      <c r="A147" s="169"/>
      <c r="B147" s="173"/>
      <c r="C147" s="171"/>
      <c r="D147" s="170"/>
      <c r="E147" s="170"/>
      <c r="F147" s="170"/>
      <c r="G147" s="171"/>
      <c r="H147" s="170"/>
      <c r="I147" s="130"/>
    </row>
    <row r="148" spans="1:9" x14ac:dyDescent="0.25">
      <c r="A148" s="169" t="s">
        <v>398</v>
      </c>
      <c r="B148" s="184" t="s">
        <v>399</v>
      </c>
      <c r="C148" s="173" t="s">
        <v>400</v>
      </c>
      <c r="D148" s="171" t="s">
        <v>401</v>
      </c>
      <c r="E148" s="171" t="s">
        <v>402</v>
      </c>
      <c r="F148" s="170" t="s">
        <v>403</v>
      </c>
      <c r="G148" s="173" t="s">
        <v>404</v>
      </c>
      <c r="H148" s="170" t="s">
        <v>405</v>
      </c>
      <c r="I148" s="130" t="s">
        <v>406</v>
      </c>
    </row>
    <row r="149" spans="1:9" x14ac:dyDescent="0.25">
      <c r="A149" s="169" t="s">
        <v>407</v>
      </c>
      <c r="B149" s="173">
        <v>1</v>
      </c>
      <c r="C149" s="171">
        <v>1000</v>
      </c>
      <c r="D149" s="170">
        <v>1000000</v>
      </c>
      <c r="E149" s="171">
        <v>3600</v>
      </c>
      <c r="F149" s="170">
        <v>3600000</v>
      </c>
      <c r="G149" s="170">
        <v>1055.05585</v>
      </c>
      <c r="H149" s="170">
        <v>1055055850</v>
      </c>
      <c r="I149" s="130">
        <v>2684519.5376862194</v>
      </c>
    </row>
    <row r="150" spans="1:9" x14ac:dyDescent="0.25">
      <c r="A150" s="169" t="s">
        <v>408</v>
      </c>
      <c r="B150" s="185">
        <v>1E-3</v>
      </c>
      <c r="C150" s="173">
        <v>1</v>
      </c>
      <c r="D150" s="173">
        <v>1000</v>
      </c>
      <c r="E150" s="186">
        <v>3.6</v>
      </c>
      <c r="F150" s="173">
        <v>3600</v>
      </c>
      <c r="G150" s="173">
        <v>1.05505585</v>
      </c>
      <c r="H150" s="170">
        <v>1055055.8500000001</v>
      </c>
      <c r="I150" s="130">
        <v>2684.5195376862198</v>
      </c>
    </row>
    <row r="151" spans="1:9" x14ac:dyDescent="0.25">
      <c r="A151" s="175" t="s">
        <v>409</v>
      </c>
      <c r="B151" s="132">
        <v>9.9999999999999995E-7</v>
      </c>
      <c r="C151" s="132">
        <v>1E-3</v>
      </c>
      <c r="D151" s="132">
        <v>1</v>
      </c>
      <c r="E151" s="132">
        <v>3.5999999999999999E-3</v>
      </c>
      <c r="F151" s="132">
        <v>3.6</v>
      </c>
      <c r="G151" s="132">
        <v>1.0550558499999999E-3</v>
      </c>
      <c r="H151" s="132">
        <v>1055.05585</v>
      </c>
      <c r="I151" s="133">
        <v>2.6845195376862194</v>
      </c>
    </row>
    <row r="152" spans="1:9" x14ac:dyDescent="0.25">
      <c r="A152" t="s">
        <v>410</v>
      </c>
      <c r="B152">
        <v>2.7777777777777778E-4</v>
      </c>
      <c r="C152">
        <v>0.27777777777777779</v>
      </c>
      <c r="D152">
        <v>277.77777777777777</v>
      </c>
      <c r="E152">
        <v>1</v>
      </c>
      <c r="F152">
        <v>1000</v>
      </c>
      <c r="G152">
        <v>0.29307106944444444</v>
      </c>
      <c r="H152">
        <v>293071.06944444444</v>
      </c>
      <c r="I152">
        <v>745.69987157950538</v>
      </c>
    </row>
    <row r="153" spans="1:9" x14ac:dyDescent="0.25">
      <c r="A153" t="s">
        <v>411</v>
      </c>
      <c r="B153">
        <v>2.7777777777777776E-7</v>
      </c>
      <c r="C153">
        <v>2.7777777777777778E-4</v>
      </c>
      <c r="D153">
        <v>0.27777777777777779</v>
      </c>
      <c r="E153">
        <v>1E-3</v>
      </c>
      <c r="F153">
        <v>1</v>
      </c>
      <c r="G153">
        <v>2.9307106944444444E-4</v>
      </c>
      <c r="H153">
        <v>293.07106944444445</v>
      </c>
      <c r="I153">
        <v>0.74569987157950535</v>
      </c>
    </row>
    <row r="154" spans="1:9" x14ac:dyDescent="0.25">
      <c r="A154" t="s">
        <v>412</v>
      </c>
      <c r="B154">
        <v>9.4781712266701337E-4</v>
      </c>
      <c r="C154">
        <v>0.94781712266701335</v>
      </c>
      <c r="D154">
        <v>947.81712266701334</v>
      </c>
      <c r="E154">
        <v>3.4121416416012482</v>
      </c>
      <c r="F154">
        <v>3412.141641601248</v>
      </c>
      <c r="G154">
        <v>1</v>
      </c>
      <c r="H154">
        <v>1000000</v>
      </c>
      <c r="I154">
        <v>2544.4335839531336</v>
      </c>
    </row>
    <row r="155" spans="1:9" x14ac:dyDescent="0.25">
      <c r="A155" t="s">
        <v>413</v>
      </c>
      <c r="B155">
        <v>9.4781712266701324E-10</v>
      </c>
      <c r="C155">
        <v>9.4781712266701326E-7</v>
      </c>
      <c r="D155">
        <v>9.4781712266701326E-4</v>
      </c>
      <c r="E155">
        <v>3.4121416416012478E-6</v>
      </c>
      <c r="F155">
        <v>3.4121416416012479E-3</v>
      </c>
      <c r="G155">
        <v>9.9999999999999995E-7</v>
      </c>
      <c r="H155">
        <v>1</v>
      </c>
      <c r="I155">
        <v>2.5444335839531337E-3</v>
      </c>
    </row>
    <row r="156" spans="1:9" x14ac:dyDescent="0.25">
      <c r="A156" t="s">
        <v>414</v>
      </c>
      <c r="B156">
        <v>3.72506136E-7</v>
      </c>
      <c r="C156">
        <v>3.7250613599999999E-4</v>
      </c>
      <c r="D156">
        <v>0.37250613599999999</v>
      </c>
      <c r="E156">
        <v>1.3410220896E-3</v>
      </c>
      <c r="F156">
        <v>1.3410220896</v>
      </c>
      <c r="G156">
        <v>3.9301477794769559E-4</v>
      </c>
      <c r="H156">
        <v>393.01477794769556</v>
      </c>
      <c r="I156">
        <v>1</v>
      </c>
    </row>
    <row r="158" spans="1:9" x14ac:dyDescent="0.25">
      <c r="A158" t="s">
        <v>462</v>
      </c>
      <c r="B158" t="s">
        <v>463</v>
      </c>
      <c r="C158" t="s">
        <v>464</v>
      </c>
      <c r="D158" t="s">
        <v>465</v>
      </c>
      <c r="E158" t="s">
        <v>466</v>
      </c>
      <c r="F158" t="s">
        <v>467</v>
      </c>
    </row>
    <row r="159" spans="1:9" x14ac:dyDescent="0.25">
      <c r="A159" t="s">
        <v>463</v>
      </c>
      <c r="B159">
        <v>1</v>
      </c>
      <c r="C159">
        <v>1000</v>
      </c>
      <c r="D159">
        <v>1000000</v>
      </c>
      <c r="E159">
        <v>304.8</v>
      </c>
      <c r="F159">
        <v>1609340</v>
      </c>
    </row>
    <row r="160" spans="1:9" x14ac:dyDescent="0.25">
      <c r="A160" t="s">
        <v>464</v>
      </c>
      <c r="B160">
        <v>1E-3</v>
      </c>
      <c r="C160">
        <v>1</v>
      </c>
      <c r="D160">
        <v>1000</v>
      </c>
      <c r="E160">
        <v>0.30480000000000002</v>
      </c>
      <c r="F160">
        <v>1609.34</v>
      </c>
    </row>
    <row r="161" spans="1:6" x14ac:dyDescent="0.25">
      <c r="A161" t="s">
        <v>465</v>
      </c>
      <c r="B161">
        <v>9.9999999999999995E-7</v>
      </c>
      <c r="C161">
        <v>1E-3</v>
      </c>
      <c r="D161">
        <v>1</v>
      </c>
      <c r="E161">
        <v>3.0480000000000004E-4</v>
      </c>
      <c r="F161">
        <v>1.60934</v>
      </c>
    </row>
    <row r="162" spans="1:6" x14ac:dyDescent="0.25">
      <c r="A162" t="s">
        <v>466</v>
      </c>
      <c r="B162">
        <v>3.2808398950131233E-3</v>
      </c>
      <c r="C162">
        <v>3.2808398950131235</v>
      </c>
      <c r="D162">
        <v>3280.8398950131236</v>
      </c>
      <c r="E162">
        <v>1</v>
      </c>
      <c r="F162">
        <v>5280</v>
      </c>
    </row>
    <row r="163" spans="1:6" x14ac:dyDescent="0.25">
      <c r="A163" t="s">
        <v>467</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2C65A-B143-4195-BC91-8B96F7038B38}">
  <sheetPr>
    <tabColor rgb="FF92D050"/>
  </sheetPr>
  <dimension ref="A1:J51"/>
  <sheetViews>
    <sheetView zoomScale="85" zoomScaleNormal="85" workbookViewId="0">
      <selection activeCell="F41" sqref="F41"/>
    </sheetView>
  </sheetViews>
  <sheetFormatPr defaultRowHeight="15" x14ac:dyDescent="0.25"/>
  <cols>
    <col min="1" max="1" width="44.5703125" customWidth="1"/>
    <col min="2" max="4" width="13.5703125" style="18" customWidth="1"/>
    <col min="5" max="5" width="16.28515625" style="18" customWidth="1"/>
    <col min="6" max="6" width="22.42578125" style="3" customWidth="1"/>
    <col min="8" max="8" width="14.140625" customWidth="1"/>
    <col min="9" max="9" width="8.85546875" customWidth="1"/>
    <col min="10" max="10" width="20.28515625" customWidth="1"/>
    <col min="11" max="11" width="14.42578125" customWidth="1"/>
  </cols>
  <sheetData>
    <row r="1" spans="1:7" x14ac:dyDescent="0.25">
      <c r="A1" s="31" t="s">
        <v>103</v>
      </c>
      <c r="B1" s="32" t="s">
        <v>96</v>
      </c>
      <c r="C1" s="32" t="s">
        <v>22</v>
      </c>
      <c r="D1" s="32" t="s">
        <v>27</v>
      </c>
      <c r="E1" s="33" t="s">
        <v>104</v>
      </c>
      <c r="F1" s="34" t="s">
        <v>89</v>
      </c>
      <c r="G1" s="20" t="s">
        <v>105</v>
      </c>
    </row>
    <row r="2" spans="1:7" x14ac:dyDescent="0.25">
      <c r="A2" s="30" t="s">
        <v>115</v>
      </c>
      <c r="B2" s="28"/>
      <c r="C2" s="28"/>
      <c r="D2" s="28"/>
      <c r="E2" s="28"/>
      <c r="F2" s="29"/>
    </row>
    <row r="3" spans="1:7" x14ac:dyDescent="0.25">
      <c r="A3" t="s">
        <v>116</v>
      </c>
      <c r="B3" s="21">
        <f>'Uranium, Coal, MSW, Hydrogen'!B20</f>
        <v>537.07851000000005</v>
      </c>
      <c r="C3" s="21">
        <f>'Uranium, Coal, MSW, Hydrogen'!C20</f>
        <v>4.0101240000000002</v>
      </c>
      <c r="D3" s="21">
        <f>'Uranium, Coal, MSW, Hydrogen'!D20</f>
        <v>100.208063</v>
      </c>
      <c r="E3" s="23">
        <f>B3+C3-D3</f>
        <v>440.88057100000009</v>
      </c>
      <c r="F3" t="s">
        <v>102</v>
      </c>
    </row>
    <row r="4" spans="1:7" x14ac:dyDescent="0.25">
      <c r="A4" t="s">
        <v>106</v>
      </c>
      <c r="B4" s="225">
        <f>'AEO 2023 Table 1'!G9</f>
        <v>37.835822999999998</v>
      </c>
      <c r="C4" s="225">
        <f>'AEO 2023 Table 1'!G20</f>
        <v>2.8084820000000001</v>
      </c>
      <c r="D4" s="225">
        <f>'AEO 2023 Table 1'!G25</f>
        <v>7.945881</v>
      </c>
      <c r="E4" s="23">
        <f t="shared" ref="E4:E5" si="0">B4+C4-D4</f>
        <v>32.698423999999996</v>
      </c>
      <c r="F4" s="3" t="s">
        <v>107</v>
      </c>
    </row>
    <row r="5" spans="1:7" x14ac:dyDescent="0.25">
      <c r="A5" t="s">
        <v>108</v>
      </c>
      <c r="B5" s="22">
        <f>'Uranium, Coal, MSW, Hydrogen'!B4</f>
        <v>0.05</v>
      </c>
      <c r="C5" s="18">
        <f>'Uranium, Coal, MSW, Hydrogen'!C4</f>
        <v>51.550000000000004</v>
      </c>
      <c r="D5" s="18">
        <f>'Uranium, Coal, MSW, Hydrogen'!D3</f>
        <v>0</v>
      </c>
      <c r="E5" s="18">
        <f t="shared" si="0"/>
        <v>51.6</v>
      </c>
      <c r="F5" s="3" t="s">
        <v>101</v>
      </c>
    </row>
    <row r="6" spans="1:7" x14ac:dyDescent="0.25">
      <c r="A6" s="7" t="s">
        <v>118</v>
      </c>
      <c r="B6" s="28"/>
      <c r="C6" s="28"/>
      <c r="D6" s="28"/>
      <c r="E6" s="28"/>
      <c r="F6" s="29"/>
    </row>
    <row r="7" spans="1:7" x14ac:dyDescent="0.25">
      <c r="A7" s="7" t="s">
        <v>119</v>
      </c>
      <c r="B7" s="28"/>
      <c r="C7" s="28"/>
      <c r="D7" s="28"/>
      <c r="E7" s="28"/>
      <c r="F7" s="29"/>
    </row>
    <row r="8" spans="1:7" x14ac:dyDescent="0.25">
      <c r="A8" s="7" t="s">
        <v>120</v>
      </c>
      <c r="B8" s="28"/>
      <c r="C8" s="28"/>
      <c r="D8" s="28"/>
      <c r="E8" s="28"/>
      <c r="F8" s="29"/>
    </row>
    <row r="9" spans="1:7" x14ac:dyDescent="0.25">
      <c r="A9" t="s">
        <v>109</v>
      </c>
      <c r="B9" s="18">
        <f>'Biomass Data'!A36</f>
        <v>12788534.5</v>
      </c>
      <c r="C9" s="23">
        <f>'Biomass Data'!A45</f>
        <v>0</v>
      </c>
      <c r="D9" s="18">
        <f>'Biomass Data'!A40</f>
        <v>8582749</v>
      </c>
      <c r="E9" s="23">
        <f t="shared" ref="E9:E14" si="1">B9+C9-D9</f>
        <v>4205785.5</v>
      </c>
      <c r="F9" s="3" t="s">
        <v>426</v>
      </c>
    </row>
    <row r="10" spans="1:7" x14ac:dyDescent="0.25">
      <c r="A10" t="s">
        <v>110</v>
      </c>
      <c r="B10" s="255">
        <f>SUM('Petroleum and Biofuels '!T37:U37)</f>
        <v>3523245</v>
      </c>
      <c r="C10" s="255">
        <f>'Petroleum and Biofuels '!V37</f>
        <v>43048</v>
      </c>
      <c r="D10" s="255">
        <f>'Petroleum and Biofuels '!AA37</f>
        <v>297981</v>
      </c>
      <c r="E10" s="256">
        <f t="shared" si="1"/>
        <v>3268312</v>
      </c>
      <c r="F10" s="3" t="s">
        <v>111</v>
      </c>
    </row>
    <row r="11" spans="1:7" x14ac:dyDescent="0.25">
      <c r="A11" t="s">
        <v>121</v>
      </c>
      <c r="B11" s="256">
        <f>SUM('Petroleum and Biofuels '!T43:U43)</f>
        <v>1786541</v>
      </c>
      <c r="C11" s="255">
        <f>'Petroleum and Biofuels '!V43</f>
        <v>61797</v>
      </c>
      <c r="D11" s="255">
        <f>'Petroleum and Biofuels '!AA43</f>
        <v>407365</v>
      </c>
      <c r="E11" s="256">
        <f t="shared" si="1"/>
        <v>1440973</v>
      </c>
      <c r="F11" s="3" t="s">
        <v>111</v>
      </c>
    </row>
    <row r="12" spans="1:7" x14ac:dyDescent="0.25">
      <c r="A12" t="s">
        <v>122</v>
      </c>
      <c r="B12" s="255">
        <f>SUM('Petroleum and Biofuels '!T25:U25)</f>
        <v>370957</v>
      </c>
      <c r="C12" s="256">
        <f>IF(ISNUMBER('Petroleum and Biofuels '!V25)=FALSE,0,'Petroleum and Biofuels '!V25)</f>
        <v>649</v>
      </c>
      <c r="D12" s="255">
        <f>'Petroleum and Biofuels '!AA25</f>
        <v>33544</v>
      </c>
      <c r="E12" s="256">
        <f>B12+C12-D12</f>
        <v>338062</v>
      </c>
      <c r="F12" s="3" t="s">
        <v>111</v>
      </c>
    </row>
    <row r="13" spans="1:7" x14ac:dyDescent="0.25">
      <c r="A13" t="s">
        <v>123</v>
      </c>
      <c r="B13" s="255">
        <f>SUM('Petroleum and Biofuels '!T26:U26)</f>
        <v>109354</v>
      </c>
      <c r="C13" s="255">
        <f>'Petroleum and Biofuels '!V26</f>
        <v>20651</v>
      </c>
      <c r="D13" s="255">
        <f>'Petroleum and Biofuels '!AA26</f>
        <v>6169</v>
      </c>
      <c r="E13" s="256">
        <f t="shared" si="1"/>
        <v>123836</v>
      </c>
      <c r="F13" s="3" t="s">
        <v>111</v>
      </c>
    </row>
    <row r="14" spans="1:7" x14ac:dyDescent="0.25">
      <c r="A14" t="s">
        <v>112</v>
      </c>
      <c r="B14" s="256">
        <f>SUM('Petroleum and Biofuels '!T41:U42)</f>
        <v>629815</v>
      </c>
      <c r="C14" s="255">
        <f>SUM('Petroleum and Biofuels '!V41:V42)</f>
        <v>46494</v>
      </c>
      <c r="D14" s="255">
        <f>SUM('Petroleum and Biofuels '!AA41:AA42)</f>
        <v>64515</v>
      </c>
      <c r="E14" s="256">
        <f t="shared" si="1"/>
        <v>611794</v>
      </c>
      <c r="F14" s="3" t="s">
        <v>111</v>
      </c>
    </row>
    <row r="15" spans="1:7" x14ac:dyDescent="0.25">
      <c r="A15" s="7" t="s">
        <v>148</v>
      </c>
      <c r="B15" s="28"/>
      <c r="C15" s="28"/>
      <c r="D15" s="28"/>
      <c r="E15" s="28"/>
      <c r="F15" s="29"/>
    </row>
    <row r="16" spans="1:7" x14ac:dyDescent="0.25">
      <c r="A16" s="7" t="s">
        <v>125</v>
      </c>
      <c r="B16" s="28"/>
      <c r="C16" s="28"/>
      <c r="D16" s="28"/>
      <c r="E16" s="28"/>
      <c r="F16" s="29"/>
    </row>
    <row r="17" spans="1:10" x14ac:dyDescent="0.25">
      <c r="A17" t="s">
        <v>126</v>
      </c>
      <c r="B17" s="23">
        <f>'Uranium, Coal, MSW, Hydrogen'!B21</f>
        <v>40.875506999999999</v>
      </c>
      <c r="C17" s="18">
        <f>'Uranium, Coal, MSW, Hydrogen'!C21</f>
        <v>0</v>
      </c>
      <c r="D17" s="18">
        <f>'Uranium, Coal, MSW, Hydrogen'!D21</f>
        <v>0</v>
      </c>
      <c r="E17" s="23">
        <f t="shared" ref="E17:E22" si="2">B17+C17-D17</f>
        <v>40.875506999999999</v>
      </c>
      <c r="F17" t="s">
        <v>102</v>
      </c>
    </row>
    <row r="18" spans="1:10" x14ac:dyDescent="0.25">
      <c r="A18" t="s">
        <v>113</v>
      </c>
      <c r="B18" s="257">
        <f>'Petroleum and Biofuels '!R6</f>
        <v>4724335</v>
      </c>
      <c r="C18" s="255">
        <f>'Petroleum and Biofuels '!V6</f>
        <v>2368436</v>
      </c>
      <c r="D18" s="255">
        <f>'Petroleum and Biofuels '!AA6</f>
        <v>1489794</v>
      </c>
      <c r="E18" s="256">
        <f t="shared" si="2"/>
        <v>5602977</v>
      </c>
      <c r="F18" s="3" t="s">
        <v>111</v>
      </c>
    </row>
    <row r="19" spans="1:10" x14ac:dyDescent="0.25">
      <c r="A19" t="s">
        <v>127</v>
      </c>
      <c r="B19" s="255">
        <f>SUM('Petroleum and Biofuels '!R47:U47)</f>
        <v>98927</v>
      </c>
      <c r="C19" s="255">
        <f>'Petroleum and Biofuels '!V47</f>
        <v>40184</v>
      </c>
      <c r="D19" s="255">
        <f>'Petroleum and Biofuels '!AA47</f>
        <v>45735</v>
      </c>
      <c r="E19" s="256">
        <f t="shared" si="2"/>
        <v>93376</v>
      </c>
      <c r="F19" s="3" t="s">
        <v>111</v>
      </c>
    </row>
    <row r="20" spans="1:10" x14ac:dyDescent="0.25">
      <c r="A20" t="s">
        <v>114</v>
      </c>
      <c r="B20" s="255">
        <f>SUM('Petroleum and Biofuels '!R9:T11)</f>
        <v>1927529</v>
      </c>
      <c r="C20" s="255">
        <f>SUM('Petroleum and Biofuels '!V9:V11)</f>
        <v>52285</v>
      </c>
      <c r="D20" s="255">
        <f>SUM('Petroleum and Biofuels '!AA9:AA11)</f>
        <v>922424</v>
      </c>
      <c r="E20" s="256">
        <f t="shared" si="2"/>
        <v>1057390</v>
      </c>
      <c r="F20" s="3" t="s">
        <v>111</v>
      </c>
    </row>
    <row r="21" spans="1:10" x14ac:dyDescent="0.25">
      <c r="A21" t="s">
        <v>128</v>
      </c>
      <c r="B21" s="18">
        <f>'Uranium, Coal, MSW, Hydrogen'!A25</f>
        <v>292</v>
      </c>
      <c r="C21" s="18">
        <v>0</v>
      </c>
      <c r="D21" s="18">
        <v>0</v>
      </c>
      <c r="E21" s="18">
        <f t="shared" si="2"/>
        <v>292</v>
      </c>
      <c r="F21" s="3" t="s">
        <v>102</v>
      </c>
      <c r="I21" s="193"/>
    </row>
    <row r="22" spans="1:10" x14ac:dyDescent="0.25">
      <c r="A22" t="s">
        <v>129</v>
      </c>
      <c r="B22" s="18">
        <f>'Uranium, Coal, MSW, Hydrogen'!A38</f>
        <v>5.74</v>
      </c>
      <c r="C22" s="18">
        <v>0</v>
      </c>
      <c r="D22" s="18">
        <v>0</v>
      </c>
      <c r="E22" s="18">
        <f t="shared" si="2"/>
        <v>5.74</v>
      </c>
      <c r="F22" s="3" t="s">
        <v>143</v>
      </c>
    </row>
    <row r="24" spans="1:10" x14ac:dyDescent="0.25">
      <c r="A24" s="187" t="s">
        <v>415</v>
      </c>
      <c r="B24" s="188"/>
      <c r="C24" s="188"/>
      <c r="D24" s="188"/>
      <c r="E24" s="188"/>
      <c r="F24" s="189"/>
    </row>
    <row r="25" spans="1:10" x14ac:dyDescent="0.25">
      <c r="A25" s="31" t="s">
        <v>103</v>
      </c>
      <c r="B25" s="32" t="s">
        <v>96</v>
      </c>
      <c r="C25" s="32" t="s">
        <v>22</v>
      </c>
      <c r="D25" s="32" t="s">
        <v>27</v>
      </c>
      <c r="E25" s="33" t="s">
        <v>104</v>
      </c>
      <c r="F25" s="34" t="s">
        <v>89</v>
      </c>
      <c r="H25" s="194" t="s">
        <v>428</v>
      </c>
      <c r="I25" s="6"/>
      <c r="J25" s="6"/>
    </row>
    <row r="26" spans="1:10" x14ac:dyDescent="0.25">
      <c r="A26" s="30" t="s">
        <v>115</v>
      </c>
      <c r="B26" s="28"/>
      <c r="C26" s="28"/>
      <c r="D26" s="28"/>
      <c r="E26" s="28"/>
      <c r="F26" s="29"/>
    </row>
    <row r="27" spans="1:10" x14ac:dyDescent="0.25">
      <c r="A27" t="s">
        <v>116</v>
      </c>
      <c r="B27" s="190">
        <f>B3*$H27</f>
        <v>1.0558119219182282E+16</v>
      </c>
      <c r="C27" s="190">
        <f>C3*$H27</f>
        <v>78832733925072</v>
      </c>
      <c r="D27" s="190">
        <f t="shared" ref="D27:E27" si="3">D3*$H27</f>
        <v>1969932991504964</v>
      </c>
      <c r="E27" s="190">
        <f t="shared" si="3"/>
        <v>8667018961602390</v>
      </c>
      <c r="F27" t="s">
        <v>412</v>
      </c>
      <c r="H27" s="226">
        <f>'AEO Conversion Factors'!$C66*10^12</f>
        <v>19658428000000</v>
      </c>
      <c r="I27" t="s">
        <v>427</v>
      </c>
      <c r="J27" t="s">
        <v>102</v>
      </c>
    </row>
    <row r="28" spans="1:10" x14ac:dyDescent="0.25">
      <c r="A28" t="s">
        <v>106</v>
      </c>
      <c r="B28" s="190">
        <f>B4*$H28</f>
        <v>3.7835823E+16</v>
      </c>
      <c r="C28" s="190">
        <f t="shared" ref="C28:E29" si="4">C4*$H28</f>
        <v>2808482000000000</v>
      </c>
      <c r="D28" s="190">
        <f t="shared" si="4"/>
        <v>7945881000000000</v>
      </c>
      <c r="E28" s="190">
        <f t="shared" si="4"/>
        <v>3.2698423999999996E+16</v>
      </c>
      <c r="F28" t="s">
        <v>412</v>
      </c>
      <c r="H28">
        <f>10^15</f>
        <v>1000000000000000</v>
      </c>
      <c r="I28" t="s">
        <v>427</v>
      </c>
      <c r="J28" s="3" t="s">
        <v>429</v>
      </c>
    </row>
    <row r="29" spans="1:10" x14ac:dyDescent="0.25">
      <c r="A29" t="s">
        <v>108</v>
      </c>
      <c r="B29" s="190">
        <f>B5*$H29</f>
        <v>9000000000000</v>
      </c>
      <c r="C29" s="190">
        <f t="shared" si="4"/>
        <v>9279000000000000</v>
      </c>
      <c r="D29" s="190">
        <f t="shared" si="4"/>
        <v>0</v>
      </c>
      <c r="E29" s="190">
        <f t="shared" si="4"/>
        <v>9288000000000000</v>
      </c>
      <c r="F29" t="s">
        <v>412</v>
      </c>
      <c r="H29">
        <f>10^6*1.8*10^8</f>
        <v>180000000000000</v>
      </c>
      <c r="I29" t="s">
        <v>427</v>
      </c>
      <c r="J29" s="3" t="s">
        <v>101</v>
      </c>
    </row>
    <row r="30" spans="1:10" x14ac:dyDescent="0.25">
      <c r="A30" s="7" t="s">
        <v>118</v>
      </c>
      <c r="B30" s="191"/>
      <c r="C30" s="191"/>
      <c r="D30" s="191"/>
      <c r="E30" s="191"/>
      <c r="F30" s="29"/>
    </row>
    <row r="31" spans="1:10" x14ac:dyDescent="0.25">
      <c r="A31" s="7" t="s">
        <v>119</v>
      </c>
      <c r="B31" s="191"/>
      <c r="C31" s="191"/>
      <c r="D31" s="191"/>
      <c r="E31" s="191"/>
      <c r="F31" s="29"/>
    </row>
    <row r="32" spans="1:10" x14ac:dyDescent="0.25">
      <c r="A32" s="7" t="s">
        <v>120</v>
      </c>
      <c r="B32" s="191"/>
      <c r="C32" s="191"/>
      <c r="D32" s="191"/>
      <c r="E32" s="191"/>
      <c r="F32" s="29"/>
    </row>
    <row r="33" spans="1:10" x14ac:dyDescent="0.25">
      <c r="A33" t="s">
        <v>109</v>
      </c>
      <c r="B33" s="190">
        <f t="shared" ref="B33:B38" si="5">B9*$H33</f>
        <v>228991498757000</v>
      </c>
      <c r="C33" s="190">
        <f t="shared" ref="C33:E33" si="6">C9*$H33</f>
        <v>0</v>
      </c>
      <c r="D33" s="190">
        <f t="shared" si="6"/>
        <v>153682703594000</v>
      </c>
      <c r="E33" s="190">
        <f t="shared" si="6"/>
        <v>75308795163000</v>
      </c>
      <c r="F33" t="s">
        <v>412</v>
      </c>
      <c r="H33" s="69">
        <f>'GREET1 Fuel_Specs'!$D$81</f>
        <v>17906000</v>
      </c>
      <c r="I33" t="s">
        <v>427</v>
      </c>
      <c r="J33" s="3" t="s">
        <v>386</v>
      </c>
    </row>
    <row r="34" spans="1:10" x14ac:dyDescent="0.25">
      <c r="A34" t="s">
        <v>110</v>
      </c>
      <c r="B34" s="190">
        <f t="shared" si="5"/>
        <v>1.7798415522195E+16</v>
      </c>
      <c r="C34" s="190">
        <f t="shared" ref="C34:E38" si="7">C10*$H34</f>
        <v>217466055128000</v>
      </c>
      <c r="D34" s="190">
        <f t="shared" si="7"/>
        <v>1505313895491000</v>
      </c>
      <c r="E34" s="190">
        <f t="shared" si="7"/>
        <v>1.6510567681832E+16</v>
      </c>
      <c r="F34" t="s">
        <v>412</v>
      </c>
      <c r="H34" s="226">
        <f>'AEO Conversion Factors'!$C32*10^9</f>
        <v>5051711000</v>
      </c>
      <c r="I34" t="s">
        <v>427</v>
      </c>
      <c r="J34" s="3" t="s">
        <v>111</v>
      </c>
    </row>
    <row r="35" spans="1:10" x14ac:dyDescent="0.25">
      <c r="A35" t="s">
        <v>121</v>
      </c>
      <c r="B35" s="190">
        <f t="shared" si="5"/>
        <v>1.0406601325E+16</v>
      </c>
      <c r="C35" s="190">
        <f t="shared" si="7"/>
        <v>359967525000000</v>
      </c>
      <c r="D35" s="190">
        <f t="shared" si="7"/>
        <v>2372901125000000</v>
      </c>
      <c r="E35" s="190">
        <f t="shared" si="7"/>
        <v>8393667725000000</v>
      </c>
      <c r="F35" t="s">
        <v>412</v>
      </c>
      <c r="H35" s="226">
        <f>'AEO Conversion Factors'!$C19*10^9</f>
        <v>5825000000</v>
      </c>
      <c r="I35" t="s">
        <v>427</v>
      </c>
      <c r="J35" s="3" t="s">
        <v>111</v>
      </c>
    </row>
    <row r="36" spans="1:10" x14ac:dyDescent="0.25">
      <c r="A36" t="s">
        <v>122</v>
      </c>
      <c r="B36" s="190">
        <f t="shared" si="5"/>
        <v>1481755463241000</v>
      </c>
      <c r="C36" s="190">
        <f t="shared" si="7"/>
        <v>2592374037000</v>
      </c>
      <c r="D36" s="190">
        <f t="shared" si="7"/>
        <v>133988589672000</v>
      </c>
      <c r="E36" s="190">
        <f t="shared" si="7"/>
        <v>1350359247606000</v>
      </c>
      <c r="F36" t="s">
        <v>412</v>
      </c>
      <c r="H36" s="226">
        <f>'AEO Conversion Factors'!$C29*10^9</f>
        <v>3994413000</v>
      </c>
      <c r="I36" t="s">
        <v>427</v>
      </c>
      <c r="J36" s="3" t="s">
        <v>111</v>
      </c>
    </row>
    <row r="37" spans="1:10" x14ac:dyDescent="0.25">
      <c r="A37" t="s">
        <v>123</v>
      </c>
      <c r="B37" s="190">
        <f t="shared" si="5"/>
        <v>586028086000000</v>
      </c>
      <c r="C37" s="190">
        <f t="shared" si="7"/>
        <v>110668709000000</v>
      </c>
      <c r="D37" s="190">
        <f t="shared" si="7"/>
        <v>33059671000000</v>
      </c>
      <c r="E37" s="190">
        <f t="shared" si="7"/>
        <v>663637124000000</v>
      </c>
      <c r="F37" t="s">
        <v>412</v>
      </c>
      <c r="H37" s="226">
        <f>'AEO Conversion Factors'!$C18*10^9</f>
        <v>5359000000</v>
      </c>
      <c r="I37" t="s">
        <v>427</v>
      </c>
      <c r="J37" s="3" t="s">
        <v>111</v>
      </c>
    </row>
    <row r="38" spans="1:10" x14ac:dyDescent="0.25">
      <c r="A38" t="s">
        <v>112</v>
      </c>
      <c r="B38" s="190">
        <f t="shared" si="5"/>
        <v>3571051050000000</v>
      </c>
      <c r="C38" s="190">
        <f t="shared" si="7"/>
        <v>263620980000000</v>
      </c>
      <c r="D38" s="190">
        <f t="shared" si="7"/>
        <v>365800050000000</v>
      </c>
      <c r="E38" s="190">
        <f t="shared" si="7"/>
        <v>3468871980000000</v>
      </c>
      <c r="F38" t="s">
        <v>412</v>
      </c>
      <c r="H38" s="226">
        <f>'AEO Conversion Factors'!$C30*10^9</f>
        <v>5670000000</v>
      </c>
      <c r="I38" t="s">
        <v>427</v>
      </c>
      <c r="J38" s="3" t="s">
        <v>111</v>
      </c>
    </row>
    <row r="39" spans="1:10" x14ac:dyDescent="0.25">
      <c r="A39" s="7" t="s">
        <v>148</v>
      </c>
      <c r="B39" s="191"/>
      <c r="C39" s="191"/>
      <c r="D39" s="191"/>
      <c r="E39" s="191"/>
      <c r="F39" s="29"/>
    </row>
    <row r="40" spans="1:10" x14ac:dyDescent="0.25">
      <c r="A40" s="7" t="s">
        <v>125</v>
      </c>
      <c r="B40" s="191"/>
      <c r="C40" s="191"/>
      <c r="D40" s="191"/>
      <c r="E40" s="191"/>
      <c r="F40" s="29"/>
    </row>
    <row r="41" spans="1:10" x14ac:dyDescent="0.25">
      <c r="A41" t="s">
        <v>126</v>
      </c>
      <c r="B41" s="190">
        <f t="shared" ref="B41:E42" si="8">B17*$H41</f>
        <v>531066930191138.31</v>
      </c>
      <c r="C41" s="190">
        <f t="shared" si="8"/>
        <v>0</v>
      </c>
      <c r="D41" s="190">
        <f t="shared" si="8"/>
        <v>0</v>
      </c>
      <c r="E41" s="190">
        <f t="shared" si="8"/>
        <v>531066930191138.31</v>
      </c>
      <c r="F41" t="s">
        <v>412</v>
      </c>
      <c r="H41">
        <f>'GREET1 Fuel_Specs'!$D$69*10^6</f>
        <v>12992301971719.6</v>
      </c>
      <c r="I41" t="s">
        <v>427</v>
      </c>
      <c r="J41" t="s">
        <v>102</v>
      </c>
    </row>
    <row r="42" spans="1:10" x14ac:dyDescent="0.25">
      <c r="A42" t="s">
        <v>113</v>
      </c>
      <c r="B42" s="206">
        <f>B18*$H42</f>
        <v>2.6904610667165E+16</v>
      </c>
      <c r="C42" s="190">
        <f t="shared" si="8"/>
        <v>1.3488003807964E+16</v>
      </c>
      <c r="D42" s="190">
        <f t="shared" si="8"/>
        <v>8484226360806000</v>
      </c>
      <c r="E42" s="190">
        <f t="shared" si="8"/>
        <v>3.1908388114323E+16</v>
      </c>
      <c r="F42" t="s">
        <v>412</v>
      </c>
      <c r="H42" s="227">
        <f>'AEO Conversion Factors'!C48*10^9</f>
        <v>5694899000</v>
      </c>
      <c r="I42" t="s">
        <v>427</v>
      </c>
      <c r="J42" s="3" t="s">
        <v>111</v>
      </c>
    </row>
    <row r="43" spans="1:10" x14ac:dyDescent="0.25">
      <c r="A43" t="s">
        <v>127</v>
      </c>
      <c r="B43" s="190">
        <f t="shared" ref="B43:E46" si="9">B19*$H43</f>
        <v>621954049000000</v>
      </c>
      <c r="C43" s="190">
        <f t="shared" si="9"/>
        <v>252636808000000</v>
      </c>
      <c r="D43" s="190">
        <f t="shared" si="9"/>
        <v>287535945000000</v>
      </c>
      <c r="E43" s="190">
        <f t="shared" si="9"/>
        <v>587054912000000</v>
      </c>
      <c r="F43" t="s">
        <v>412</v>
      </c>
      <c r="H43" s="226">
        <f>'AEO Conversion Factors'!$C41*10^9</f>
        <v>6287000000</v>
      </c>
      <c r="I43" t="s">
        <v>427</v>
      </c>
      <c r="J43" s="3" t="s">
        <v>111</v>
      </c>
    </row>
    <row r="44" spans="1:10" x14ac:dyDescent="0.25">
      <c r="A44" t="s">
        <v>114</v>
      </c>
      <c r="B44" s="190">
        <f t="shared" si="9"/>
        <v>7400207887380000</v>
      </c>
      <c r="C44" s="190">
        <f t="shared" si="9"/>
        <v>200733617700000</v>
      </c>
      <c r="D44" s="190">
        <f t="shared" si="9"/>
        <v>3541388669280000</v>
      </c>
      <c r="E44" s="190">
        <f t="shared" si="9"/>
        <v>4059552835800000</v>
      </c>
      <c r="F44" t="s">
        <v>412</v>
      </c>
      <c r="H44">
        <f>'GREET1 Fuel_Specs'!$D$36*10^3*42</f>
        <v>3839220000</v>
      </c>
      <c r="I44" t="s">
        <v>427</v>
      </c>
      <c r="J44" s="3" t="s">
        <v>111</v>
      </c>
    </row>
    <row r="45" spans="1:10" x14ac:dyDescent="0.25">
      <c r="A45" t="s">
        <v>128</v>
      </c>
      <c r="B45" s="190">
        <f t="shared" si="9"/>
        <v>3966365818605251.5</v>
      </c>
      <c r="C45" s="190">
        <f t="shared" si="9"/>
        <v>0</v>
      </c>
      <c r="D45" s="190">
        <f t="shared" si="9"/>
        <v>0</v>
      </c>
      <c r="E45" s="190">
        <f t="shared" si="9"/>
        <v>3966365818605251.5</v>
      </c>
      <c r="F45" t="s">
        <v>412</v>
      </c>
      <c r="H45">
        <f>'GREET1 Fuel_Specs'!$D$90*10^6</f>
        <v>13583444584264.561</v>
      </c>
      <c r="I45" t="s">
        <v>427</v>
      </c>
      <c r="J45" t="s">
        <v>102</v>
      </c>
    </row>
    <row r="46" spans="1:10" x14ac:dyDescent="0.25">
      <c r="A46" t="s">
        <v>129</v>
      </c>
      <c r="B46" s="190">
        <f t="shared" si="9"/>
        <v>772086274509804</v>
      </c>
      <c r="C46" s="190">
        <f t="shared" si="9"/>
        <v>0</v>
      </c>
      <c r="D46" s="190">
        <f t="shared" si="9"/>
        <v>0</v>
      </c>
      <c r="E46" s="190">
        <f t="shared" si="9"/>
        <v>772086274509804</v>
      </c>
      <c r="F46" t="s">
        <v>412</v>
      </c>
      <c r="H46">
        <f>'GREET1 Fuel_Specs'!$D$62/'GREET1 Fuel_Specs'!$E$62*10^12</f>
        <v>134509803921568.64</v>
      </c>
      <c r="I46" t="s">
        <v>427</v>
      </c>
      <c r="J46" s="3" t="s">
        <v>143</v>
      </c>
    </row>
    <row r="48" spans="1:10" x14ac:dyDescent="0.25">
      <c r="H48" s="226">
        <f>'AEO Conversion Factors'!C48</f>
        <v>5.6948990000000004</v>
      </c>
    </row>
    <row r="49" spans="8:8" x14ac:dyDescent="0.25">
      <c r="H49" s="205">
        <f>10^9</f>
        <v>1000000000</v>
      </c>
    </row>
    <row r="50" spans="8:8" x14ac:dyDescent="0.25">
      <c r="H50" s="210">
        <f>H48*H49</f>
        <v>5694899000</v>
      </c>
    </row>
    <row r="51" spans="8:8" x14ac:dyDescent="0.25">
      <c r="H51">
        <f>H50/H42</f>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J51"/>
  <sheetViews>
    <sheetView topLeftCell="A10" zoomScale="85" zoomScaleNormal="85" workbookViewId="0">
      <selection activeCell="D39" sqref="D39"/>
    </sheetView>
  </sheetViews>
  <sheetFormatPr defaultRowHeight="15" x14ac:dyDescent="0.25"/>
  <cols>
    <col min="1" max="1" width="44.5703125" customWidth="1"/>
    <col min="2" max="4" width="13.5703125" style="18" customWidth="1"/>
    <col min="5" max="5" width="16.28515625" style="18" customWidth="1"/>
    <col min="6" max="6" width="22.42578125" style="3" customWidth="1"/>
    <col min="8" max="8" width="14.140625" customWidth="1"/>
    <col min="9" max="9" width="8.85546875" customWidth="1"/>
    <col min="10" max="10" width="20.28515625" customWidth="1"/>
    <col min="11" max="11" width="14.42578125" customWidth="1"/>
  </cols>
  <sheetData>
    <row r="1" spans="1:7" x14ac:dyDescent="0.25">
      <c r="A1" s="31" t="s">
        <v>103</v>
      </c>
      <c r="B1" s="32" t="s">
        <v>96</v>
      </c>
      <c r="C1" s="32" t="s">
        <v>22</v>
      </c>
      <c r="D1" s="32" t="s">
        <v>27</v>
      </c>
      <c r="E1" s="33" t="s">
        <v>104</v>
      </c>
      <c r="F1" s="34" t="s">
        <v>89</v>
      </c>
      <c r="G1" s="20" t="s">
        <v>105</v>
      </c>
    </row>
    <row r="2" spans="1:7" x14ac:dyDescent="0.25">
      <c r="A2" s="30" t="s">
        <v>115</v>
      </c>
      <c r="B2" s="28"/>
      <c r="C2" s="28"/>
      <c r="D2" s="28"/>
      <c r="E2" s="28"/>
      <c r="F2" s="29"/>
    </row>
    <row r="3" spans="1:7" x14ac:dyDescent="0.25">
      <c r="A3" t="s">
        <v>116</v>
      </c>
      <c r="B3" s="21">
        <f>'Uranium, Coal, MSW, Hydrogen'!B18</f>
        <v>472.52336600000007</v>
      </c>
      <c r="C3" s="21">
        <f>'Uranium, Coal, MSW, Hydrogen'!C18</f>
        <v>1.997711</v>
      </c>
      <c r="D3" s="21">
        <f>'Uranium, Coal, MSW, Hydrogen'!D18</f>
        <v>108.32638300000001</v>
      </c>
      <c r="E3" s="23">
        <f>B3+C3-D3</f>
        <v>366.19469400000003</v>
      </c>
      <c r="F3" t="s">
        <v>102</v>
      </c>
    </row>
    <row r="4" spans="1:7" x14ac:dyDescent="0.25">
      <c r="A4" t="s">
        <v>106</v>
      </c>
      <c r="B4" s="225">
        <f>'AEO 2025 HZC Table 1'!F9</f>
        <v>39.777957999999998</v>
      </c>
      <c r="C4" s="225">
        <f>'AEO 2025 HZC Table 1'!F20</f>
        <v>3.0873529999999998</v>
      </c>
      <c r="D4" s="225">
        <f>'AEO 2025 HZC Table 1'!F25</f>
        <v>7.8187519999999999</v>
      </c>
      <c r="E4" s="23">
        <f t="shared" ref="E4:E5" si="0">B4+C4-D4</f>
        <v>35.046559000000002</v>
      </c>
      <c r="F4" s="3" t="s">
        <v>107</v>
      </c>
    </row>
    <row r="5" spans="1:7" x14ac:dyDescent="0.25">
      <c r="A5" t="s">
        <v>108</v>
      </c>
      <c r="B5" s="22">
        <f>'Uranium, Coal, MSW, Hydrogen'!B3</f>
        <v>0.67700000000000005</v>
      </c>
      <c r="C5" s="18">
        <f>'Uranium, Coal, MSW, Hydrogen'!C3</f>
        <v>55.222999999999999</v>
      </c>
      <c r="D5" s="18">
        <f>'Uranium, Coal, MSW, Hydrogen'!D3</f>
        <v>0</v>
      </c>
      <c r="E5" s="18">
        <f t="shared" si="0"/>
        <v>55.9</v>
      </c>
      <c r="F5" s="3" t="s">
        <v>101</v>
      </c>
    </row>
    <row r="6" spans="1:7" x14ac:dyDescent="0.25">
      <c r="A6" s="7" t="s">
        <v>118</v>
      </c>
      <c r="B6" s="28"/>
      <c r="C6" s="28"/>
      <c r="D6" s="28"/>
      <c r="E6" s="28"/>
      <c r="F6" s="29"/>
    </row>
    <row r="7" spans="1:7" x14ac:dyDescent="0.25">
      <c r="A7" s="7" t="s">
        <v>119</v>
      </c>
      <c r="B7" s="28"/>
      <c r="C7" s="28"/>
      <c r="D7" s="28"/>
      <c r="E7" s="28"/>
      <c r="F7" s="29"/>
    </row>
    <row r="8" spans="1:7" x14ac:dyDescent="0.25">
      <c r="A8" s="7" t="s">
        <v>120</v>
      </c>
      <c r="B8" s="28"/>
      <c r="C8" s="28"/>
      <c r="D8" s="28"/>
      <c r="E8" s="28"/>
      <c r="F8" s="29"/>
    </row>
    <row r="9" spans="1:7" x14ac:dyDescent="0.25">
      <c r="A9" t="s">
        <v>109</v>
      </c>
      <c r="B9" s="18">
        <f>'Biomass Data'!A35</f>
        <v>13341865</v>
      </c>
      <c r="C9" s="23">
        <f>'Biomass Data'!A45</f>
        <v>0</v>
      </c>
      <c r="D9" s="18">
        <f>'Biomass Data'!A39</f>
        <v>8871212</v>
      </c>
      <c r="E9" s="23">
        <f t="shared" ref="E9:E14" si="1">B9+C9-D9</f>
        <v>4470653</v>
      </c>
      <c r="F9" s="3" t="s">
        <v>426</v>
      </c>
    </row>
    <row r="10" spans="1:7" x14ac:dyDescent="0.25">
      <c r="A10" t="s">
        <v>110</v>
      </c>
      <c r="B10" s="255">
        <f>SUM('Petroleum and Biofuels '!E37:F37)</f>
        <v>3523246</v>
      </c>
      <c r="C10" s="255">
        <f>'Petroleum and Biofuels '!G37</f>
        <v>39911</v>
      </c>
      <c r="D10" s="255">
        <f>'Petroleum and Biofuels '!L37</f>
        <v>291546</v>
      </c>
      <c r="E10" s="256">
        <f t="shared" si="1"/>
        <v>3271611</v>
      </c>
      <c r="F10" s="3" t="s">
        <v>111</v>
      </c>
    </row>
    <row r="11" spans="1:7" x14ac:dyDescent="0.25">
      <c r="A11" t="s">
        <v>121</v>
      </c>
      <c r="B11" s="256">
        <f>SUM('Petroleum and Biofuels '!E43:F43)</f>
        <v>1806591</v>
      </c>
      <c r="C11" s="255">
        <f>'Petroleum and Biofuels '!G43</f>
        <v>53868</v>
      </c>
      <c r="D11" s="255">
        <f>'Petroleum and Biofuels '!L43</f>
        <v>472631</v>
      </c>
      <c r="E11" s="256">
        <f t="shared" si="1"/>
        <v>1387828</v>
      </c>
      <c r="F11" s="3" t="s">
        <v>111</v>
      </c>
    </row>
    <row r="12" spans="1:7" x14ac:dyDescent="0.25">
      <c r="A12" t="s">
        <v>122</v>
      </c>
      <c r="B12" s="255">
        <f>SUM('Petroleum and Biofuels '!E25:F25)</f>
        <v>386316</v>
      </c>
      <c r="C12" s="256">
        <f>IF(ISNUMBER('Petroleum and Biofuels '!G25)=FALSE,0,'Petroleum and Biofuels '!G25)</f>
        <v>0</v>
      </c>
      <c r="D12" s="255">
        <f>'Petroleum and Biofuels '!L25</f>
        <v>46223</v>
      </c>
      <c r="E12" s="256">
        <f>B12+C12-D12</f>
        <v>340093</v>
      </c>
      <c r="F12" s="3" t="s">
        <v>111</v>
      </c>
    </row>
    <row r="13" spans="1:7" x14ac:dyDescent="0.25">
      <c r="A13" t="s">
        <v>123</v>
      </c>
      <c r="B13" s="255">
        <f>SUM('Petroleum and Biofuels '!E26:F26)</f>
        <v>124142</v>
      </c>
      <c r="C13" s="255">
        <f>'Petroleum and Biofuels '!G26</f>
        <v>22625</v>
      </c>
      <c r="D13" s="255">
        <f>'Petroleum and Biofuels '!L26</f>
        <v>4303</v>
      </c>
      <c r="E13" s="256">
        <f t="shared" si="1"/>
        <v>142464</v>
      </c>
      <c r="F13" s="3" t="s">
        <v>111</v>
      </c>
    </row>
    <row r="14" spans="1:7" x14ac:dyDescent="0.25">
      <c r="A14" t="s">
        <v>112</v>
      </c>
      <c r="B14" s="256">
        <f>SUM('Petroleum and Biofuels '!E41:F42)</f>
        <v>665538</v>
      </c>
      <c r="C14" s="255">
        <f>SUM('Petroleum and Biofuels '!G41:G42)</f>
        <v>38457</v>
      </c>
      <c r="D14" s="255">
        <f>SUM('Petroleum and Biofuels '!L41:L42)</f>
        <v>78860</v>
      </c>
      <c r="E14" s="256">
        <f t="shared" si="1"/>
        <v>625135</v>
      </c>
      <c r="F14" s="3" t="s">
        <v>111</v>
      </c>
    </row>
    <row r="15" spans="1:7" x14ac:dyDescent="0.25">
      <c r="A15" s="7" t="s">
        <v>148</v>
      </c>
      <c r="B15" s="28"/>
      <c r="C15" s="28"/>
      <c r="D15" s="28"/>
      <c r="E15" s="28"/>
      <c r="F15" s="29"/>
    </row>
    <row r="16" spans="1:7" x14ac:dyDescent="0.25">
      <c r="A16" s="7" t="s">
        <v>125</v>
      </c>
      <c r="B16" s="28"/>
      <c r="C16" s="28"/>
      <c r="D16" s="28"/>
      <c r="E16" s="28"/>
      <c r="F16" s="29"/>
    </row>
    <row r="17" spans="1:10" x14ac:dyDescent="0.25">
      <c r="A17" t="s">
        <v>126</v>
      </c>
      <c r="B17" s="23">
        <f>'Uranium, Coal, MSW, Hydrogen'!B19</f>
        <v>40.016958000000002</v>
      </c>
      <c r="C17" s="18">
        <f>'Uranium, Coal, MSW, Hydrogen'!C19</f>
        <v>0</v>
      </c>
      <c r="D17" s="18">
        <f>'Uranium, Coal, MSW, Hydrogen'!D19</f>
        <v>0</v>
      </c>
      <c r="E17" s="23">
        <f t="shared" ref="E17:E22" si="2">B17+C17-D17</f>
        <v>40.016958000000002</v>
      </c>
      <c r="F17" t="s">
        <v>102</v>
      </c>
    </row>
    <row r="18" spans="1:10" x14ac:dyDescent="0.25">
      <c r="A18" t="s">
        <v>113</v>
      </c>
      <c r="B18" s="257">
        <f>'Petroleum and Biofuels '!C6</f>
        <v>4843858</v>
      </c>
      <c r="C18" s="255">
        <f>'Petroleum and Biofuels '!G6</f>
        <v>2411095</v>
      </c>
      <c r="D18" s="255">
        <f>'Petroleum and Biofuels '!L6</f>
        <v>1498096</v>
      </c>
      <c r="E18" s="256">
        <f t="shared" si="2"/>
        <v>5756857</v>
      </c>
      <c r="F18" s="3" t="s">
        <v>111</v>
      </c>
    </row>
    <row r="19" spans="1:10" x14ac:dyDescent="0.25">
      <c r="A19" t="s">
        <v>127</v>
      </c>
      <c r="B19" s="255">
        <f>SUM('Petroleum and Biofuels '!C47:F47)</f>
        <v>115747</v>
      </c>
      <c r="C19" s="255">
        <f>'Petroleum and Biofuels '!G47</f>
        <v>40046</v>
      </c>
      <c r="D19" s="255">
        <f>'Petroleum and Biofuels '!L47</f>
        <v>50003</v>
      </c>
      <c r="E19" s="256">
        <f t="shared" si="2"/>
        <v>105790</v>
      </c>
      <c r="F19" s="3" t="s">
        <v>111</v>
      </c>
    </row>
    <row r="20" spans="1:10" x14ac:dyDescent="0.25">
      <c r="A20" t="s">
        <v>114</v>
      </c>
      <c r="B20" s="255">
        <f>SUM('Petroleum and Biofuels '!C9:F11)</f>
        <v>2217544</v>
      </c>
      <c r="C20" s="255">
        <f>SUM('Petroleum and Biofuels '!G9:G11)</f>
        <v>55423</v>
      </c>
      <c r="D20" s="255">
        <f>SUM('Petroleum and Biofuels '!L9:L11)</f>
        <v>1004275</v>
      </c>
      <c r="E20" s="256">
        <f t="shared" si="2"/>
        <v>1268692</v>
      </c>
      <c r="F20" s="3" t="s">
        <v>111</v>
      </c>
    </row>
    <row r="21" spans="1:10" x14ac:dyDescent="0.25">
      <c r="A21" t="s">
        <v>128</v>
      </c>
      <c r="B21" s="18">
        <f>'Uranium, Coal, MSW, Hydrogen'!A25</f>
        <v>292</v>
      </c>
      <c r="C21" s="18">
        <v>0</v>
      </c>
      <c r="D21" s="18">
        <v>0</v>
      </c>
      <c r="E21" s="18">
        <f t="shared" si="2"/>
        <v>292</v>
      </c>
      <c r="F21" s="3" t="s">
        <v>102</v>
      </c>
      <c r="I21" s="193"/>
    </row>
    <row r="22" spans="1:10" x14ac:dyDescent="0.25">
      <c r="A22" t="s">
        <v>129</v>
      </c>
      <c r="B22" s="18">
        <f>'Uranium, Coal, MSW, Hydrogen'!A38</f>
        <v>5.74</v>
      </c>
      <c r="C22" s="18">
        <v>0</v>
      </c>
      <c r="D22" s="18">
        <v>0</v>
      </c>
      <c r="E22" s="18">
        <f t="shared" si="2"/>
        <v>5.74</v>
      </c>
      <c r="F22" s="3" t="s">
        <v>143</v>
      </c>
    </row>
    <row r="24" spans="1:10" x14ac:dyDescent="0.25">
      <c r="A24" s="187" t="s">
        <v>415</v>
      </c>
      <c r="B24" s="188"/>
      <c r="C24" s="188"/>
      <c r="D24" s="188"/>
      <c r="E24" s="188"/>
      <c r="F24" s="189"/>
    </row>
    <row r="25" spans="1:10" x14ac:dyDescent="0.25">
      <c r="A25" s="31" t="s">
        <v>103</v>
      </c>
      <c r="B25" s="32" t="s">
        <v>96</v>
      </c>
      <c r="C25" s="32" t="s">
        <v>22</v>
      </c>
      <c r="D25" s="32" t="s">
        <v>27</v>
      </c>
      <c r="E25" s="33" t="s">
        <v>104</v>
      </c>
      <c r="F25" s="34" t="s">
        <v>89</v>
      </c>
      <c r="H25" s="194" t="s">
        <v>428</v>
      </c>
      <c r="I25" s="6"/>
      <c r="J25" s="6"/>
    </row>
    <row r="26" spans="1:10" x14ac:dyDescent="0.25">
      <c r="A26" s="30" t="s">
        <v>115</v>
      </c>
      <c r="B26" s="28"/>
      <c r="C26" s="28"/>
      <c r="D26" s="28"/>
      <c r="E26" s="28"/>
      <c r="F26" s="29"/>
    </row>
    <row r="27" spans="1:10" x14ac:dyDescent="0.25">
      <c r="A27" t="s">
        <v>116</v>
      </c>
      <c r="B27" s="190">
        <f>B3*$H27</f>
        <v>9289066568828650</v>
      </c>
      <c r="C27" s="190">
        <f>C3*$H27</f>
        <v>39271857858308</v>
      </c>
      <c r="D27" s="190">
        <f t="shared" ref="D27:E27" si="3">D3*$H27</f>
        <v>2129526400705924.3</v>
      </c>
      <c r="E27" s="190">
        <f t="shared" si="3"/>
        <v>7198812025981033</v>
      </c>
      <c r="F27" t="s">
        <v>412</v>
      </c>
      <c r="H27" s="226">
        <f>'AEO Conversion Factors'!$C66*10^12</f>
        <v>19658428000000</v>
      </c>
      <c r="I27" t="s">
        <v>427</v>
      </c>
      <c r="J27" t="s">
        <v>102</v>
      </c>
    </row>
    <row r="28" spans="1:10" x14ac:dyDescent="0.25">
      <c r="A28" t="s">
        <v>106</v>
      </c>
      <c r="B28" s="190">
        <f>B4*$H28</f>
        <v>3.9777958E+16</v>
      </c>
      <c r="C28" s="190">
        <f t="shared" ref="B28:E29" si="4">C4*$H28</f>
        <v>3087353000000000</v>
      </c>
      <c r="D28" s="190">
        <f t="shared" si="4"/>
        <v>7818752000000000</v>
      </c>
      <c r="E28" s="190">
        <f t="shared" si="4"/>
        <v>3.5046559000000004E+16</v>
      </c>
      <c r="F28" t="s">
        <v>412</v>
      </c>
      <c r="H28">
        <f>10^15</f>
        <v>1000000000000000</v>
      </c>
      <c r="I28" t="s">
        <v>427</v>
      </c>
      <c r="J28" s="3" t="s">
        <v>429</v>
      </c>
    </row>
    <row r="29" spans="1:10" x14ac:dyDescent="0.25">
      <c r="A29" t="s">
        <v>108</v>
      </c>
      <c r="B29" s="190">
        <f t="shared" si="4"/>
        <v>121860000000000.02</v>
      </c>
      <c r="C29" s="190">
        <f t="shared" si="4"/>
        <v>9940140000000000</v>
      </c>
      <c r="D29" s="190">
        <f t="shared" si="4"/>
        <v>0</v>
      </c>
      <c r="E29" s="190">
        <f t="shared" si="4"/>
        <v>1.0062E+16</v>
      </c>
      <c r="F29" t="s">
        <v>412</v>
      </c>
      <c r="H29">
        <f>10^6*1.8*10^8</f>
        <v>180000000000000</v>
      </c>
      <c r="I29" t="s">
        <v>427</v>
      </c>
      <c r="J29" s="3" t="s">
        <v>101</v>
      </c>
    </row>
    <row r="30" spans="1:10" x14ac:dyDescent="0.25">
      <c r="A30" s="7" t="s">
        <v>118</v>
      </c>
      <c r="B30" s="191"/>
      <c r="C30" s="191"/>
      <c r="D30" s="191"/>
      <c r="E30" s="191"/>
      <c r="F30" s="29"/>
    </row>
    <row r="31" spans="1:10" x14ac:dyDescent="0.25">
      <c r="A31" s="7" t="s">
        <v>119</v>
      </c>
      <c r="B31" s="191"/>
      <c r="C31" s="191"/>
      <c r="D31" s="191"/>
      <c r="E31" s="191"/>
      <c r="F31" s="29"/>
    </row>
    <row r="32" spans="1:10" x14ac:dyDescent="0.25">
      <c r="A32" s="7" t="s">
        <v>120</v>
      </c>
      <c r="B32" s="191"/>
      <c r="C32" s="191"/>
      <c r="D32" s="191"/>
      <c r="E32" s="191"/>
      <c r="F32" s="29"/>
    </row>
    <row r="33" spans="1:10" x14ac:dyDescent="0.25">
      <c r="A33" t="s">
        <v>109</v>
      </c>
      <c r="B33" s="190">
        <f>B9*$H33</f>
        <v>238899434690000</v>
      </c>
      <c r="C33" s="190">
        <f t="shared" ref="C33:E33" si="5">C9*$H33</f>
        <v>0</v>
      </c>
      <c r="D33" s="190">
        <f t="shared" si="5"/>
        <v>158847922072000</v>
      </c>
      <c r="E33" s="190">
        <f t="shared" si="5"/>
        <v>80051512618000</v>
      </c>
      <c r="F33" t="s">
        <v>412</v>
      </c>
      <c r="H33" s="69">
        <f>'GREET1 Fuel_Specs'!$D$81</f>
        <v>17906000</v>
      </c>
      <c r="I33" t="s">
        <v>427</v>
      </c>
      <c r="J33" s="3" t="s">
        <v>386</v>
      </c>
    </row>
    <row r="34" spans="1:10" x14ac:dyDescent="0.25">
      <c r="A34" t="s">
        <v>110</v>
      </c>
      <c r="B34" s="190">
        <f t="shared" ref="B34:E38" si="6">B10*$H34</f>
        <v>1.7798420573906E+16</v>
      </c>
      <c r="C34" s="190">
        <f t="shared" si="6"/>
        <v>201618837721000</v>
      </c>
      <c r="D34" s="190">
        <f t="shared" si="6"/>
        <v>1472806135206000</v>
      </c>
      <c r="E34" s="190">
        <f t="shared" si="6"/>
        <v>1.6527233276421E+16</v>
      </c>
      <c r="F34" t="s">
        <v>412</v>
      </c>
      <c r="H34" s="226">
        <f>'AEO Conversion Factors'!$C32*10^9</f>
        <v>5051711000</v>
      </c>
      <c r="I34" t="s">
        <v>427</v>
      </c>
      <c r="J34" s="3" t="s">
        <v>111</v>
      </c>
    </row>
    <row r="35" spans="1:10" x14ac:dyDescent="0.25">
      <c r="A35" t="s">
        <v>121</v>
      </c>
      <c r="B35" s="190">
        <f t="shared" si="6"/>
        <v>1.0523392575E+16</v>
      </c>
      <c r="C35" s="190">
        <f t="shared" si="6"/>
        <v>313781100000000</v>
      </c>
      <c r="D35" s="190">
        <f t="shared" si="6"/>
        <v>2753075575000000</v>
      </c>
      <c r="E35" s="190">
        <f t="shared" si="6"/>
        <v>8084098100000000</v>
      </c>
      <c r="F35" t="s">
        <v>412</v>
      </c>
      <c r="H35" s="226">
        <f>'AEO Conversion Factors'!$C19*10^9</f>
        <v>5825000000</v>
      </c>
      <c r="I35" t="s">
        <v>427</v>
      </c>
      <c r="J35" s="3" t="s">
        <v>111</v>
      </c>
    </row>
    <row r="36" spans="1:10" x14ac:dyDescent="0.25">
      <c r="A36" t="s">
        <v>122</v>
      </c>
      <c r="B36" s="190">
        <f t="shared" si="6"/>
        <v>1543105652508000</v>
      </c>
      <c r="C36" s="190">
        <f t="shared" si="6"/>
        <v>0</v>
      </c>
      <c r="D36" s="190">
        <f t="shared" si="6"/>
        <v>184633752099000</v>
      </c>
      <c r="E36" s="190">
        <f t="shared" si="6"/>
        <v>1358471900409000</v>
      </c>
      <c r="F36" t="s">
        <v>412</v>
      </c>
      <c r="H36" s="226">
        <f>'AEO Conversion Factors'!$C29*10^9</f>
        <v>3994413000</v>
      </c>
      <c r="I36" t="s">
        <v>427</v>
      </c>
      <c r="J36" s="3" t="s">
        <v>111</v>
      </c>
    </row>
    <row r="37" spans="1:10" x14ac:dyDescent="0.25">
      <c r="A37" t="s">
        <v>123</v>
      </c>
      <c r="B37" s="190">
        <f t="shared" si="6"/>
        <v>665276978000000</v>
      </c>
      <c r="C37" s="190">
        <f t="shared" si="6"/>
        <v>121247375000000</v>
      </c>
      <c r="D37" s="190">
        <f t="shared" si="6"/>
        <v>23059777000000</v>
      </c>
      <c r="E37" s="190">
        <f t="shared" si="6"/>
        <v>763464576000000</v>
      </c>
      <c r="F37" t="s">
        <v>412</v>
      </c>
      <c r="H37" s="226">
        <f>'AEO Conversion Factors'!$C18*10^9</f>
        <v>5359000000</v>
      </c>
      <c r="I37" t="s">
        <v>427</v>
      </c>
      <c r="J37" s="3" t="s">
        <v>111</v>
      </c>
    </row>
    <row r="38" spans="1:10" x14ac:dyDescent="0.25">
      <c r="A38" t="s">
        <v>112</v>
      </c>
      <c r="B38" s="190">
        <f t="shared" si="6"/>
        <v>3773600460000000</v>
      </c>
      <c r="C38" s="190">
        <f t="shared" si="6"/>
        <v>218051190000000</v>
      </c>
      <c r="D38" s="190">
        <f t="shared" si="6"/>
        <v>447136200000000</v>
      </c>
      <c r="E38" s="190">
        <f t="shared" si="6"/>
        <v>3544515450000000</v>
      </c>
      <c r="F38" t="s">
        <v>412</v>
      </c>
      <c r="H38" s="226">
        <f>'AEO Conversion Factors'!$C30*10^9</f>
        <v>5670000000</v>
      </c>
      <c r="I38" t="s">
        <v>427</v>
      </c>
      <c r="J38" s="3" t="s">
        <v>111</v>
      </c>
    </row>
    <row r="39" spans="1:10" x14ac:dyDescent="0.25">
      <c r="A39" s="7" t="s">
        <v>148</v>
      </c>
      <c r="B39" s="191"/>
      <c r="C39" s="191"/>
      <c r="D39" s="191"/>
      <c r="E39" s="191"/>
      <c r="F39" s="29"/>
    </row>
    <row r="40" spans="1:10" x14ac:dyDescent="0.25">
      <c r="A40" s="7" t="s">
        <v>125</v>
      </c>
      <c r="B40" s="191"/>
      <c r="C40" s="191"/>
      <c r="D40" s="191"/>
      <c r="E40" s="191"/>
      <c r="F40" s="29"/>
    </row>
    <row r="41" spans="1:10" x14ac:dyDescent="0.25">
      <c r="A41" t="s">
        <v>126</v>
      </c>
      <c r="B41" s="190">
        <f t="shared" ref="B41:E42" si="7">B17*$H41</f>
        <v>519912402325620.44</v>
      </c>
      <c r="C41" s="190">
        <f t="shared" si="7"/>
        <v>0</v>
      </c>
      <c r="D41" s="190">
        <f t="shared" si="7"/>
        <v>0</v>
      </c>
      <c r="E41" s="190">
        <f t="shared" si="7"/>
        <v>519912402325620.44</v>
      </c>
      <c r="F41" t="s">
        <v>412</v>
      </c>
      <c r="H41">
        <f>'GREET1 Fuel_Specs'!$D$69*10^6</f>
        <v>12992301971719.6</v>
      </c>
      <c r="I41" t="s">
        <v>427</v>
      </c>
      <c r="J41" t="s">
        <v>102</v>
      </c>
    </row>
    <row r="42" spans="1:10" x14ac:dyDescent="0.25">
      <c r="A42" t="s">
        <v>113</v>
      </c>
      <c r="B42" s="206">
        <f>B18*$H42</f>
        <v>2.7585282080342E+16</v>
      </c>
      <c r="C42" s="190">
        <f t="shared" si="7"/>
        <v>1.3730942504405E+16</v>
      </c>
      <c r="D42" s="190">
        <f t="shared" si="7"/>
        <v>8531505412304000</v>
      </c>
      <c r="E42" s="190">
        <f t="shared" si="7"/>
        <v>3.2784719172443E+16</v>
      </c>
      <c r="F42" t="s">
        <v>412</v>
      </c>
      <c r="H42" s="227">
        <f>'AEO Conversion Factors'!C48*10^9</f>
        <v>5694899000</v>
      </c>
      <c r="I42" t="s">
        <v>427</v>
      </c>
      <c r="J42" s="3" t="s">
        <v>111</v>
      </c>
    </row>
    <row r="43" spans="1:10" x14ac:dyDescent="0.25">
      <c r="A43" t="s">
        <v>127</v>
      </c>
      <c r="B43" s="190">
        <f t="shared" ref="B43:E43" si="8">B19*$H43</f>
        <v>727701389000000</v>
      </c>
      <c r="C43" s="190">
        <f t="shared" si="8"/>
        <v>251769202000000</v>
      </c>
      <c r="D43" s="190">
        <f t="shared" si="8"/>
        <v>314368861000000</v>
      </c>
      <c r="E43" s="190">
        <f t="shared" si="8"/>
        <v>665101730000000</v>
      </c>
      <c r="F43" t="s">
        <v>412</v>
      </c>
      <c r="H43" s="226">
        <f>'AEO Conversion Factors'!$C41*10^9</f>
        <v>6287000000</v>
      </c>
      <c r="I43" t="s">
        <v>427</v>
      </c>
      <c r="J43" s="3" t="s">
        <v>111</v>
      </c>
    </row>
    <row r="44" spans="1:10" x14ac:dyDescent="0.25">
      <c r="A44" t="s">
        <v>114</v>
      </c>
      <c r="B44" s="190">
        <f t="shared" ref="B44:E44" si="9">B20*$H44</f>
        <v>8513639275680000</v>
      </c>
      <c r="C44" s="190">
        <f t="shared" si="9"/>
        <v>212781090060000</v>
      </c>
      <c r="D44" s="190">
        <f t="shared" si="9"/>
        <v>3855632665500000</v>
      </c>
      <c r="E44" s="190">
        <f t="shared" si="9"/>
        <v>4870787700240000</v>
      </c>
      <c r="F44" t="s">
        <v>412</v>
      </c>
      <c r="H44">
        <f>'GREET1 Fuel_Specs'!$D$36*10^3*42</f>
        <v>3839220000</v>
      </c>
      <c r="I44" t="s">
        <v>427</v>
      </c>
      <c r="J44" s="3" t="s">
        <v>111</v>
      </c>
    </row>
    <row r="45" spans="1:10" x14ac:dyDescent="0.25">
      <c r="A45" t="s">
        <v>128</v>
      </c>
      <c r="B45" s="190">
        <f t="shared" ref="B45:E45" si="10">B21*$H45</f>
        <v>3966365818605251.5</v>
      </c>
      <c r="C45" s="190">
        <f t="shared" si="10"/>
        <v>0</v>
      </c>
      <c r="D45" s="190">
        <f t="shared" si="10"/>
        <v>0</v>
      </c>
      <c r="E45" s="190">
        <f t="shared" si="10"/>
        <v>3966365818605251.5</v>
      </c>
      <c r="F45" t="s">
        <v>412</v>
      </c>
      <c r="H45">
        <f>'GREET1 Fuel_Specs'!$D$90*10^6</f>
        <v>13583444584264.561</v>
      </c>
      <c r="I45" t="s">
        <v>427</v>
      </c>
      <c r="J45" t="s">
        <v>102</v>
      </c>
    </row>
    <row r="46" spans="1:10" x14ac:dyDescent="0.25">
      <c r="A46" t="s">
        <v>129</v>
      </c>
      <c r="B46" s="190">
        <f t="shared" ref="B46:E46" si="11">B22*$H46</f>
        <v>772086274509804</v>
      </c>
      <c r="C46" s="190">
        <f t="shared" si="11"/>
        <v>0</v>
      </c>
      <c r="D46" s="190">
        <f t="shared" si="11"/>
        <v>0</v>
      </c>
      <c r="E46" s="190">
        <f t="shared" si="11"/>
        <v>772086274509804</v>
      </c>
      <c r="F46" t="s">
        <v>412</v>
      </c>
      <c r="H46">
        <f>'GREET1 Fuel_Specs'!$D$62/'GREET1 Fuel_Specs'!$E$62*10^12</f>
        <v>134509803921568.64</v>
      </c>
      <c r="I46" t="s">
        <v>427</v>
      </c>
      <c r="J46" s="3" t="s">
        <v>143</v>
      </c>
    </row>
    <row r="48" spans="1:10" x14ac:dyDescent="0.25">
      <c r="H48" s="226">
        <f>'AEO Conversion Factors'!C48</f>
        <v>5.6948990000000004</v>
      </c>
    </row>
    <row r="49" spans="8:8" x14ac:dyDescent="0.25">
      <c r="H49" s="205">
        <f>10^9</f>
        <v>1000000000</v>
      </c>
    </row>
    <row r="50" spans="8:8" x14ac:dyDescent="0.25">
      <c r="H50" s="210">
        <f>H48*H49</f>
        <v>5694899000</v>
      </c>
    </row>
    <row r="51" spans="8:8" x14ac:dyDescent="0.25">
      <c r="H51">
        <f>H50/H42</f>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D73"/>
  <sheetViews>
    <sheetView workbookViewId="0">
      <selection activeCell="D23" sqref="D23"/>
    </sheetView>
  </sheetViews>
  <sheetFormatPr defaultRowHeight="15" x14ac:dyDescent="0.25"/>
  <cols>
    <col min="1" max="1" width="21.42578125" customWidth="1"/>
  </cols>
  <sheetData>
    <row r="1" spans="1:30" x14ac:dyDescent="0.25">
      <c r="A1" s="195" t="s">
        <v>445</v>
      </c>
      <c r="B1" s="196"/>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row>
    <row r="2" spans="1:30" s="1" customFormat="1" x14ac:dyDescent="0.25">
      <c r="B2" s="1">
        <v>2024</v>
      </c>
      <c r="C2" s="1">
        <v>2025</v>
      </c>
      <c r="D2" s="1">
        <v>2026</v>
      </c>
      <c r="E2" s="1">
        <v>2027</v>
      </c>
      <c r="F2" s="1">
        <v>2028</v>
      </c>
      <c r="G2" s="1">
        <v>2029</v>
      </c>
      <c r="H2" s="1">
        <v>2030</v>
      </c>
      <c r="I2" s="1">
        <v>2031</v>
      </c>
      <c r="J2" s="1">
        <v>2032</v>
      </c>
      <c r="K2" s="1">
        <v>2033</v>
      </c>
      <c r="L2" s="1">
        <v>2034</v>
      </c>
      <c r="M2" s="1">
        <v>2035</v>
      </c>
      <c r="N2" s="1">
        <v>2036</v>
      </c>
      <c r="O2" s="1">
        <v>2037</v>
      </c>
      <c r="P2" s="1">
        <v>2038</v>
      </c>
      <c r="Q2" s="1">
        <v>2039</v>
      </c>
      <c r="R2" s="1">
        <v>2040</v>
      </c>
      <c r="S2" s="1">
        <v>2041</v>
      </c>
      <c r="T2" s="1">
        <v>2042</v>
      </c>
      <c r="U2" s="1">
        <v>2043</v>
      </c>
      <c r="V2" s="1">
        <v>2044</v>
      </c>
      <c r="W2" s="1">
        <v>2045</v>
      </c>
      <c r="X2" s="1">
        <v>2046</v>
      </c>
      <c r="Y2" s="1">
        <v>2047</v>
      </c>
      <c r="Z2" s="1">
        <v>2048</v>
      </c>
      <c r="AA2" s="1">
        <v>2049</v>
      </c>
      <c r="AB2" s="1">
        <v>2050</v>
      </c>
    </row>
    <row r="3" spans="1:30" ht="30" x14ac:dyDescent="0.25">
      <c r="A3" s="30" t="s">
        <v>115</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c r="AD3" s="7"/>
    </row>
    <row r="4" spans="1:30" x14ac:dyDescent="0.25">
      <c r="A4" t="s">
        <v>116</v>
      </c>
      <c r="B4" s="229">
        <f>'AEO 2025 HZC Table 1'!F$10/'AEO 2025 HZC Table 1'!$F$10</f>
        <v>1</v>
      </c>
      <c r="C4" s="229">
        <f>'AEO 2025 HZC Table 1'!G$10/'AEO 2025 HZC Table 1'!$F$10</f>
        <v>0.98700477844293888</v>
      </c>
      <c r="D4" s="229">
        <f>'AEO 2025 HZC Table 1'!H$10/'AEO 2025 HZC Table 1'!$F$10</f>
        <v>0.90537095037920678</v>
      </c>
      <c r="E4" s="229">
        <f>'AEO 2025 HZC Table 1'!I$10/'AEO 2025 HZC Table 1'!$F$10</f>
        <v>0.80633696546953926</v>
      </c>
      <c r="F4" s="229">
        <f>'AEO 2025 HZC Table 1'!J$10/'AEO 2025 HZC Table 1'!$F$10</f>
        <v>0.80224172783820513</v>
      </c>
      <c r="G4" s="229">
        <f>'AEO 2025 HZC Table 1'!K$10/'AEO 2025 HZC Table 1'!$F$10</f>
        <v>0.76872190046615396</v>
      </c>
      <c r="H4" s="229">
        <f>'AEO 2025 HZC Table 1'!L$10/'AEO 2025 HZC Table 1'!$F$10</f>
        <v>0.6901260125574169</v>
      </c>
      <c r="I4" s="229">
        <f>'AEO 2025 HZC Table 1'!M$10/'AEO 2025 HZC Table 1'!$F$10</f>
        <v>0.66121891698368707</v>
      </c>
      <c r="J4" s="229">
        <f>'AEO 2025 HZC Table 1'!N$10/'AEO 2025 HZC Table 1'!$F$10</f>
        <v>0.42021003716566729</v>
      </c>
      <c r="K4" s="229">
        <f>'AEO 2025 HZC Table 1'!O$10/'AEO 2025 HZC Table 1'!$F$10</f>
        <v>0.4201700950330497</v>
      </c>
      <c r="L4" s="229">
        <f>'AEO 2025 HZC Table 1'!P$10/'AEO 2025 HZC Table 1'!$F$10</f>
        <v>0.41575911971436513</v>
      </c>
      <c r="M4" s="229">
        <f>'AEO 2025 HZC Table 1'!Q$10/'AEO 2025 HZC Table 1'!$F$10</f>
        <v>0.41875146738627456</v>
      </c>
      <c r="N4" s="229">
        <f>'AEO 2025 HZC Table 1'!R$10/'AEO 2025 HZC Table 1'!$F$10</f>
        <v>0.41169905064370155</v>
      </c>
      <c r="O4" s="229">
        <f>'AEO 2025 HZC Table 1'!S$10/'AEO 2025 HZC Table 1'!$F$10</f>
        <v>0.41288776747833628</v>
      </c>
      <c r="P4" s="229">
        <f>'AEO 2025 HZC Table 1'!T$10/'AEO 2025 HZC Table 1'!$F$10</f>
        <v>0.40541576350360703</v>
      </c>
      <c r="Q4" s="229">
        <f>'AEO 2025 HZC Table 1'!U$10/'AEO 2025 HZC Table 1'!$F$10</f>
        <v>0.37580792705202709</v>
      </c>
      <c r="R4" s="229">
        <f>'AEO 2025 HZC Table 1'!V$10/'AEO 2025 HZC Table 1'!$F$10</f>
        <v>0.37923905366371646</v>
      </c>
      <c r="S4" s="229">
        <f>'AEO 2025 HZC Table 1'!W$10/'AEO 2025 HZC Table 1'!$F$10</f>
        <v>0.37499768627890329</v>
      </c>
      <c r="T4" s="229">
        <f>'AEO 2025 HZC Table 1'!X$10/'AEO 2025 HZC Table 1'!$F$10</f>
        <v>0.37542448257889793</v>
      </c>
      <c r="U4" s="229">
        <f>'AEO 2025 HZC Table 1'!Y$10/'AEO 2025 HZC Table 1'!$F$10</f>
        <v>0.37653584806402435</v>
      </c>
      <c r="V4" s="229">
        <f>'AEO 2025 HZC Table 1'!Z$10/'AEO 2025 HZC Table 1'!$F$10</f>
        <v>0.37757755836665907</v>
      </c>
      <c r="W4" s="229">
        <f>'AEO 2025 HZC Table 1'!AA$10/'AEO 2025 HZC Table 1'!$F$10</f>
        <v>0.38161551313462938</v>
      </c>
      <c r="X4" s="229">
        <f>'AEO 2025 HZC Table 1'!AB$10/'AEO 2025 HZC Table 1'!$F$10</f>
        <v>0.36835121799149528</v>
      </c>
      <c r="Y4" s="229">
        <f>'AEO 2025 HZC Table 1'!AC$10/'AEO 2025 HZC Table 1'!$F$10</f>
        <v>0.37167518278396666</v>
      </c>
      <c r="Z4" s="229">
        <f>'AEO 2025 HZC Table 1'!AD$10/'AEO 2025 HZC Table 1'!$F$10</f>
        <v>0.37260934158804077</v>
      </c>
      <c r="AA4" s="229">
        <f>'AEO 2025 HZC Table 1'!AE$10/'AEO 2025 HZC Table 1'!$F$10</f>
        <v>0.37435676118014388</v>
      </c>
      <c r="AB4" s="229">
        <f>'AEO 2025 HZC Table 1'!AF$10/'AEO 2025 HZC Table 1'!$F$10</f>
        <v>0.36992932190923394</v>
      </c>
    </row>
    <row r="5" spans="1:30" x14ac:dyDescent="0.25">
      <c r="A5" t="s">
        <v>106</v>
      </c>
      <c r="B5" s="229">
        <f>'AEO 2025 HZC Table 1'!F9/'AEO 2025 HZC Table 1'!$F$9</f>
        <v>1</v>
      </c>
      <c r="C5" s="229">
        <f>'AEO 2025 HZC Table 1'!G9/'AEO 2025 HZC Table 1'!$F$9</f>
        <v>1.0046849061482745</v>
      </c>
      <c r="D5" s="229">
        <f>'AEO 2025 HZC Table 1'!H9/'AEO 2025 HZC Table 1'!$F$9</f>
        <v>1.0150389067231658</v>
      </c>
      <c r="E5" s="229">
        <f>'AEO 2025 HZC Table 1'!I9/'AEO 2025 HZC Table 1'!$F$9</f>
        <v>1.0209780753451447</v>
      </c>
      <c r="F5" s="229">
        <f>'AEO 2025 HZC Table 1'!J9/'AEO 2025 HZC Table 1'!$F$9</f>
        <v>1.05123925667577</v>
      </c>
      <c r="G5" s="229">
        <f>'AEO 2025 HZC Table 1'!K9/'AEO 2025 HZC Table 1'!$F$9</f>
        <v>1.0722446587127474</v>
      </c>
      <c r="H5" s="229">
        <f>'AEO 2025 HZC Table 1'!L9/'AEO 2025 HZC Table 1'!$F$9</f>
        <v>1.0951613453863067</v>
      </c>
      <c r="I5" s="229">
        <f>'AEO 2025 HZC Table 1'!M9/'AEO 2025 HZC Table 1'!$F$9</f>
        <v>1.0974983180383469</v>
      </c>
      <c r="J5" s="229">
        <f>'AEO 2025 HZC Table 1'!N9/'AEO 2025 HZC Table 1'!$F$9</f>
        <v>1.1443821977990927</v>
      </c>
      <c r="K5" s="229">
        <f>'AEO 2025 HZC Table 1'!O9/'AEO 2025 HZC Table 1'!$F$9</f>
        <v>1.1438815939219404</v>
      </c>
      <c r="L5" s="229">
        <f>'AEO 2025 HZC Table 1'!P9/'AEO 2025 HZC Table 1'!$F$9</f>
        <v>1.1436321592978704</v>
      </c>
      <c r="M5" s="229">
        <f>'AEO 2025 HZC Table 1'!Q9/'AEO 2025 HZC Table 1'!$F$9</f>
        <v>1.1333347227125135</v>
      </c>
      <c r="N5" s="229">
        <f>'AEO 2025 HZC Table 1'!R9/'AEO 2025 HZC Table 1'!$F$9</f>
        <v>1.1242981854422995</v>
      </c>
      <c r="O5" s="229">
        <f>'AEO 2025 HZC Table 1'!S9/'AEO 2025 HZC Table 1'!$F$9</f>
        <v>1.1081234486697382</v>
      </c>
      <c r="P5" s="229">
        <f>'AEO 2025 HZC Table 1'!T9/'AEO 2025 HZC Table 1'!$F$9</f>
        <v>1.1023375307500702</v>
      </c>
      <c r="Q5" s="229">
        <f>'AEO 2025 HZC Table 1'!U9/'AEO 2025 HZC Table 1'!$F$9</f>
        <v>1.0926883677638757</v>
      </c>
      <c r="R5" s="229">
        <f>'AEO 2025 HZC Table 1'!V9/'AEO 2025 HZC Table 1'!$F$9</f>
        <v>1.0994662923622174</v>
      </c>
      <c r="S5" s="229">
        <f>'AEO 2025 HZC Table 1'!W9/'AEO 2025 HZC Table 1'!$F$9</f>
        <v>1.1137130518363965</v>
      </c>
      <c r="T5" s="229">
        <f>'AEO 2025 HZC Table 1'!X9/'AEO 2025 HZC Table 1'!$F$9</f>
        <v>1.1198861188399867</v>
      </c>
      <c r="U5" s="229">
        <f>'AEO 2025 HZC Table 1'!Y9/'AEO 2025 HZC Table 1'!$F$9</f>
        <v>1.1246233906727943</v>
      </c>
      <c r="V5" s="229">
        <f>'AEO 2025 HZC Table 1'!Z9/'AEO 2025 HZC Table 1'!$F$9</f>
        <v>1.1287940673073265</v>
      </c>
      <c r="W5" s="229">
        <f>'AEO 2025 HZC Table 1'!AA9/'AEO 2025 HZC Table 1'!$F$9</f>
        <v>1.135376531897389</v>
      </c>
      <c r="X5" s="229">
        <f>'AEO 2025 HZC Table 1'!AB9/'AEO 2025 HZC Table 1'!$F$9</f>
        <v>1.1451740433734683</v>
      </c>
      <c r="Y5" s="229">
        <f>'AEO 2025 HZC Table 1'!AC9/'AEO 2025 HZC Table 1'!$F$9</f>
        <v>1.152006219122661</v>
      </c>
      <c r="Z5" s="229">
        <f>'AEO 2025 HZC Table 1'!AD9/'AEO 2025 HZC Table 1'!$F$9</f>
        <v>1.1561104519241536</v>
      </c>
      <c r="AA5" s="229">
        <f>'AEO 2025 HZC Table 1'!AE9/'AEO 2025 HZC Table 1'!$F$9</f>
        <v>1.1615095978531629</v>
      </c>
      <c r="AB5" s="229">
        <f>'AEO 2025 HZC Table 1'!AF9/'AEO 2025 HZC Table 1'!$F$9</f>
        <v>1.1654769709395341</v>
      </c>
    </row>
    <row r="6" spans="1:30" x14ac:dyDescent="0.25">
      <c r="A6" t="s">
        <v>108</v>
      </c>
      <c r="B6" s="229">
        <f>'AEO 2025 HZC Table 1'!F11/'AEO 2025 HZC Table 1'!$F$11</f>
        <v>1</v>
      </c>
      <c r="C6" s="229">
        <f>'AEO 2025 HZC Table 1'!G11/'AEO 2025 HZC Table 1'!$F$11</f>
        <v>1.0195119374837951</v>
      </c>
      <c r="D6" s="229">
        <f>'AEO 2025 HZC Table 1'!H11/'AEO 2025 HZC Table 1'!$F$11</f>
        <v>1.0291884362650914</v>
      </c>
      <c r="E6" s="229">
        <f>'AEO 2025 HZC Table 1'!I11/'AEO 2025 HZC Table 1'!$F$11</f>
        <v>1.026847796619935</v>
      </c>
      <c r="F6" s="229">
        <f>'AEO 2025 HZC Table 1'!J11/'AEO 2025 HZC Table 1'!$F$11</f>
        <v>1.0268309300287619</v>
      </c>
      <c r="G6" s="229">
        <f>'AEO 2025 HZC Table 1'!K11/'AEO 2025 HZC Table 1'!$F$11</f>
        <v>1.0268170181688889</v>
      </c>
      <c r="H6" s="229">
        <f>'AEO 2025 HZC Table 1'!L11/'AEO 2025 HZC Table 1'!$F$11</f>
        <v>1.0153366559286807</v>
      </c>
      <c r="I6" s="229">
        <f>'AEO 2025 HZC Table 1'!M11/'AEO 2025 HZC Table 1'!$F$11</f>
        <v>1.0046512395220919</v>
      </c>
      <c r="J6" s="229">
        <f>'AEO 2025 HZC Table 1'!N11/'AEO 2025 HZC Table 1'!$F$11</f>
        <v>1.0046458225147077</v>
      </c>
      <c r="K6" s="229">
        <f>'AEO 2025 HZC Table 1'!O11/'AEO 2025 HZC Table 1'!$F$11</f>
        <v>1.004665397609573</v>
      </c>
      <c r="L6" s="229">
        <f>'AEO 2025 HZC Table 1'!P11/'AEO 2025 HZC Table 1'!$F$11</f>
        <v>1.004665397609573</v>
      </c>
      <c r="M6" s="229">
        <f>'AEO 2025 HZC Table 1'!Q11/'AEO 2025 HZC Table 1'!$F$11</f>
        <v>1.0020451665151133</v>
      </c>
      <c r="N6" s="229">
        <f>'AEO 2025 HZC Table 1'!R11/'AEO 2025 HZC Table 1'!$F$11</f>
        <v>0.99564583408740526</v>
      </c>
      <c r="O6" s="229">
        <f>'AEO 2025 HZC Table 1'!S11/'AEO 2025 HZC Table 1'!$F$11</f>
        <v>1.0006672768186802</v>
      </c>
      <c r="P6" s="229">
        <f>'AEO 2025 HZC Table 1'!T11/'AEO 2025 HZC Table 1'!$F$11</f>
        <v>1.0002935033091758</v>
      </c>
      <c r="Q6" s="229">
        <f>'AEO 2025 HZC Table 1'!U11/'AEO 2025 HZC Table 1'!$F$11</f>
        <v>0.9985391315995461</v>
      </c>
      <c r="R6" s="229">
        <f>'AEO 2025 HZC Table 1'!V11/'AEO 2025 HZC Table 1'!$F$11</f>
        <v>0.99837575958139324</v>
      </c>
      <c r="S6" s="229">
        <f>'AEO 2025 HZC Table 1'!W11/'AEO 2025 HZC Table 1'!$F$11</f>
        <v>0.99845775337498022</v>
      </c>
      <c r="T6" s="229">
        <f>'AEO 2025 HZC Table 1'!X11/'AEO 2025 HZC Table 1'!$F$11</f>
        <v>0.9985001045236197</v>
      </c>
      <c r="U6" s="229">
        <f>'AEO 2025 HZC Table 1'!Y11/'AEO 2025 HZC Table 1'!$F$11</f>
        <v>0.99854935004529344</v>
      </c>
      <c r="V6" s="229">
        <f>'AEO 2025 HZC Table 1'!Z11/'AEO 2025 HZC Table 1'!$F$11</f>
        <v>0.9982974592019318</v>
      </c>
      <c r="W6" s="229">
        <f>'AEO 2025 HZC Table 1'!AA11/'AEO 2025 HZC Table 1'!$F$11</f>
        <v>0.99847868272169149</v>
      </c>
      <c r="X6" s="229">
        <f>'AEO 2025 HZC Table 1'!AB11/'AEO 2025 HZC Table 1'!$F$11</f>
        <v>0.99802500835327157</v>
      </c>
      <c r="Y6" s="229">
        <f>'AEO 2025 HZC Table 1'!AC11/'AEO 2025 HZC Table 1'!$F$11</f>
        <v>0.99844605756358273</v>
      </c>
      <c r="Z6" s="229">
        <f>'AEO 2025 HZC Table 1'!AD11/'AEO 2025 HZC Table 1'!$F$11</f>
        <v>0.99832983813243248</v>
      </c>
      <c r="AA6" s="229">
        <f>'AEO 2025 HZC Table 1'!AE11/'AEO 2025 HZC Table 1'!$F$11</f>
        <v>0.99810343184653705</v>
      </c>
      <c r="AB6" s="229">
        <f>'AEO 2025 HZC Table 1'!AF11/'AEO 2025 HZC Table 1'!$F$11</f>
        <v>0.9981998299552135</v>
      </c>
    </row>
    <row r="7" spans="1:30" x14ac:dyDescent="0.25">
      <c r="A7" s="7" t="s">
        <v>118</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c r="AD7" s="7"/>
    </row>
    <row r="8" spans="1:30" x14ac:dyDescent="0.25">
      <c r="A8" s="7" t="s">
        <v>119</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c r="AD8" s="7"/>
    </row>
    <row r="9" spans="1:30" x14ac:dyDescent="0.25">
      <c r="A9" s="7" t="s">
        <v>120</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c r="AD9" s="7"/>
    </row>
    <row r="10" spans="1:30" x14ac:dyDescent="0.25">
      <c r="A10" t="s">
        <v>109</v>
      </c>
      <c r="B10" s="229">
        <f>'AEO 2025 HZC Table 1'!F13/'AEO 2025 HZC Table 1'!$F$13</f>
        <v>1</v>
      </c>
      <c r="C10" s="229">
        <f>'AEO 2025 HZC Table 1'!G13/'AEO 2025 HZC Table 1'!$F$13</f>
        <v>1.0185979674148653</v>
      </c>
      <c r="D10" s="229">
        <f>'AEO 2025 HZC Table 1'!H13/'AEO 2025 HZC Table 1'!$F$13</f>
        <v>1.0214897878879365</v>
      </c>
      <c r="E10" s="229">
        <f>'AEO 2025 HZC Table 1'!I13/'AEO 2025 HZC Table 1'!$F$13</f>
        <v>1.0058682330552888</v>
      </c>
      <c r="F10" s="229">
        <f>'AEO 2025 HZC Table 1'!J13/'AEO 2025 HZC Table 1'!$F$13</f>
        <v>0.97082780693154958</v>
      </c>
      <c r="G10" s="229">
        <f>'AEO 2025 HZC Table 1'!K13/'AEO 2025 HZC Table 1'!$F$13</f>
        <v>0.97492469394193304</v>
      </c>
      <c r="H10" s="229">
        <f>'AEO 2025 HZC Table 1'!L13/'AEO 2025 HZC Table 1'!$F$13</f>
        <v>0.98015201986451705</v>
      </c>
      <c r="I10" s="229">
        <f>'AEO 2025 HZC Table 1'!M13/'AEO 2025 HZC Table 1'!$F$13</f>
        <v>0.98172047205365054</v>
      </c>
      <c r="J10" s="229">
        <f>'AEO 2025 HZC Table 1'!N13/'AEO 2025 HZC Table 1'!$F$13</f>
        <v>0.98503186090767547</v>
      </c>
      <c r="K10" s="229">
        <f>'AEO 2025 HZC Table 1'!O13/'AEO 2025 HZC Table 1'!$F$13</f>
        <v>0.98283882637883024</v>
      </c>
      <c r="L10" s="229">
        <f>'AEO 2025 HZC Table 1'!P13/'AEO 2025 HZC Table 1'!$F$13</f>
        <v>0.98292765869394871</v>
      </c>
      <c r="M10" s="229">
        <f>'AEO 2025 HZC Table 1'!Q13/'AEO 2025 HZC Table 1'!$F$13</f>
        <v>0.98295182786799051</v>
      </c>
      <c r="N10" s="229">
        <f>'AEO 2025 HZC Table 1'!R13/'AEO 2025 HZC Table 1'!$F$13</f>
        <v>0.98825590151867226</v>
      </c>
      <c r="O10" s="229">
        <f>'AEO 2025 HZC Table 1'!S13/'AEO 2025 HZC Table 1'!$F$13</f>
        <v>0.98825250935389453</v>
      </c>
      <c r="P10" s="229">
        <f>'AEO 2025 HZC Table 1'!T13/'AEO 2025 HZC Table 1'!$F$13</f>
        <v>0.98761245026238409</v>
      </c>
      <c r="Q10" s="229">
        <f>'AEO 2025 HZC Table 1'!U13/'AEO 2025 HZC Table 1'!$F$13</f>
        <v>0.98928881569351113</v>
      </c>
      <c r="R10" s="229">
        <f>'AEO 2025 HZC Table 1'!V13/'AEO 2025 HZC Table 1'!$F$13</f>
        <v>0.99391657649161969</v>
      </c>
      <c r="S10" s="229">
        <f>'AEO 2025 HZC Table 1'!W13/'AEO 2025 HZC Table 1'!$F$13</f>
        <v>0.9910847549330557</v>
      </c>
      <c r="T10" s="229">
        <f>'AEO 2025 HZC Table 1'!X13/'AEO 2025 HZC Table 1'!$F$13</f>
        <v>0.98956379305081121</v>
      </c>
      <c r="U10" s="229">
        <f>'AEO 2025 HZC Table 1'!Y13/'AEO 2025 HZC Table 1'!$F$13</f>
        <v>0.98708772477331863</v>
      </c>
      <c r="V10" s="229">
        <f>'AEO 2025 HZC Table 1'!Z13/'AEO 2025 HZC Table 1'!$F$13</f>
        <v>0.98917008992628841</v>
      </c>
      <c r="W10" s="229">
        <f>'AEO 2025 HZC Table 1'!AA13/'AEO 2025 HZC Table 1'!$F$13</f>
        <v>0.99320697802216451</v>
      </c>
      <c r="X10" s="229">
        <f>'AEO 2025 HZC Table 1'!AB13/'AEO 2025 HZC Table 1'!$F$13</f>
        <v>0.99647596481646694</v>
      </c>
      <c r="Y10" s="229">
        <f>'AEO 2025 HZC Table 1'!AC13/'AEO 2025 HZC Table 1'!$F$13</f>
        <v>1.0015131175011958</v>
      </c>
      <c r="Z10" s="229">
        <f>'AEO 2025 HZC Table 1'!AD13/'AEO 2025 HZC Table 1'!$F$13</f>
        <v>1.0058302832118375</v>
      </c>
      <c r="AA10" s="229">
        <f>'AEO 2025 HZC Table 1'!AE13/'AEO 2025 HZC Table 1'!$F$13</f>
        <v>1.0118808451239327</v>
      </c>
      <c r="AB10" s="229">
        <f>'AEO 2025 HZC Table 1'!AF13/'AEO 2025 HZC Table 1'!$F$13</f>
        <v>1.0179515480143964</v>
      </c>
    </row>
    <row r="11" spans="1:30" x14ac:dyDescent="0.25">
      <c r="A11" t="s">
        <v>110</v>
      </c>
      <c r="B11" s="233">
        <f>'AEO 2025 Alt T Table 1'!F$7/'AEO 2025 Alt T Table 1'!$F$7</f>
        <v>1</v>
      </c>
      <c r="C11" s="233">
        <f>'AEO 2025 Alt T Table 1'!G$7/'AEO 2025 Alt T Table 1'!$F$7</f>
        <v>1.0290599038117523</v>
      </c>
      <c r="D11" s="233">
        <f>'AEO 2025 Alt T Table 1'!H$7/'AEO 2025 Alt T Table 1'!$F$7</f>
        <v>1.0395104336714649</v>
      </c>
      <c r="E11" s="233">
        <f>'AEO 2025 Alt T Table 1'!I$7/'AEO 2025 Alt T Table 1'!$F$7</f>
        <v>1.0539953266927522</v>
      </c>
      <c r="F11" s="233">
        <f>'AEO 2025 Alt T Table 1'!J$7/'AEO 2025 Alt T Table 1'!$F$7</f>
        <v>1.0518566408712593</v>
      </c>
      <c r="G11" s="233">
        <f>'AEO 2025 Alt T Table 1'!K$7/'AEO 2025 Alt T Table 1'!$F$7</f>
        <v>1.0522429275028582</v>
      </c>
      <c r="H11" s="233">
        <f>'AEO 2025 Alt T Table 1'!L$7/'AEO 2025 Alt T Table 1'!$F$7</f>
        <v>1.0466010818064713</v>
      </c>
      <c r="I11" s="233">
        <f>'AEO 2025 Alt T Table 1'!M$7/'AEO 2025 Alt T Table 1'!$F$7</f>
        <v>1.032544930899151</v>
      </c>
      <c r="J11" s="233">
        <f>'AEO 2025 Alt T Table 1'!N$7/'AEO 2025 Alt T Table 1'!$F$7</f>
        <v>1.0176563830943872</v>
      </c>
      <c r="K11" s="233">
        <f>'AEO 2025 Alt T Table 1'!O$7/'AEO 2025 Alt T Table 1'!$F$7</f>
        <v>1.0075980384838923</v>
      </c>
      <c r="L11" s="233">
        <f>'AEO 2025 Alt T Table 1'!P$7/'AEO 2025 Alt T Table 1'!$F$7</f>
        <v>1.0009117733567598</v>
      </c>
      <c r="M11" s="233">
        <f>'AEO 2025 Alt T Table 1'!Q$7/'AEO 2025 Alt T Table 1'!$F$7</f>
        <v>0.9846929052228327</v>
      </c>
      <c r="N11" s="233">
        <f>'AEO 2025 Alt T Table 1'!R$7/'AEO 2025 Alt T Table 1'!$F$7</f>
        <v>0.97028272802471838</v>
      </c>
      <c r="O11" s="233">
        <f>'AEO 2025 Alt T Table 1'!S$7/'AEO 2025 Alt T Table 1'!$F$7</f>
        <v>0.96253828002572961</v>
      </c>
      <c r="P11" s="233">
        <f>'AEO 2025 Alt T Table 1'!T$7/'AEO 2025 Alt T Table 1'!$F$7</f>
        <v>0.95584986663662497</v>
      </c>
      <c r="Q11" s="233">
        <f>'AEO 2025 Alt T Table 1'!U$7/'AEO 2025 Alt T Table 1'!$F$7</f>
        <v>0.94288583385807978</v>
      </c>
      <c r="R11" s="233">
        <f>'AEO 2025 Alt T Table 1'!V$7/'AEO 2025 Alt T Table 1'!$F$7</f>
        <v>0.93094681333008944</v>
      </c>
      <c r="S11" s="233">
        <f>'AEO 2025 Alt T Table 1'!W$7/'AEO 2025 Alt T Table 1'!$F$7</f>
        <v>0.93068257710749425</v>
      </c>
      <c r="T11" s="233">
        <f>'AEO 2025 Alt T Table 1'!X$7/'AEO 2025 Alt T Table 1'!$F$7</f>
        <v>0.93503910674247681</v>
      </c>
      <c r="U11" s="233">
        <f>'AEO 2025 Alt T Table 1'!Y$7/'AEO 2025 Alt T Table 1'!$F$7</f>
        <v>0.92858467185225557</v>
      </c>
      <c r="V11" s="233">
        <f>'AEO 2025 Alt T Table 1'!Z$7/'AEO 2025 Alt T Table 1'!$F$7</f>
        <v>0.9186882479365216</v>
      </c>
      <c r="W11" s="233">
        <f>'AEO 2025 Alt T Table 1'!AA$7/'AEO 2025 Alt T Table 1'!$F$7</f>
        <v>0.9101151533957359</v>
      </c>
      <c r="X11" s="233">
        <f>'AEO 2025 Alt T Table 1'!AB$7/'AEO 2025 Alt T Table 1'!$F$7</f>
        <v>0.90442222275787176</v>
      </c>
      <c r="Y11" s="233">
        <f>'AEO 2025 Alt T Table 1'!AC$7/'AEO 2025 Alt T Table 1'!$F$7</f>
        <v>0.91414281689285448</v>
      </c>
      <c r="Z11" s="233">
        <f>'AEO 2025 Alt T Table 1'!AD$7/'AEO 2025 Alt T Table 1'!$F$7</f>
        <v>0.91073192304911055</v>
      </c>
      <c r="AA11" s="233">
        <f>'AEO 2025 Alt T Table 1'!AE$7/'AEO 2025 Alt T Table 1'!$F$7</f>
        <v>0.90169669730573732</v>
      </c>
      <c r="AB11" s="233">
        <f>'AEO 2025 Alt T Table 1'!AF$7/'AEO 2025 Alt T Table 1'!$F$7</f>
        <v>0.88532111528149038</v>
      </c>
    </row>
    <row r="12" spans="1:30" x14ac:dyDescent="0.25">
      <c r="A12" t="s">
        <v>121</v>
      </c>
      <c r="B12" s="233">
        <f>'AEO 2025 Alt T Table 1'!F$7/'AEO 2025 Alt T Table 1'!$F$7</f>
        <v>1</v>
      </c>
      <c r="C12" s="233">
        <f>'AEO 2025 Alt T Table 1'!G$7/'AEO 2025 Alt T Table 1'!$F$7</f>
        <v>1.0290599038117523</v>
      </c>
      <c r="D12" s="233">
        <f>'AEO 2025 Alt T Table 1'!H$7/'AEO 2025 Alt T Table 1'!$F$7</f>
        <v>1.0395104336714649</v>
      </c>
      <c r="E12" s="233">
        <f>'AEO 2025 Alt T Table 1'!I$7/'AEO 2025 Alt T Table 1'!$F$7</f>
        <v>1.0539953266927522</v>
      </c>
      <c r="F12" s="233">
        <f>'AEO 2025 Alt T Table 1'!J$7/'AEO 2025 Alt T Table 1'!$F$7</f>
        <v>1.0518566408712593</v>
      </c>
      <c r="G12" s="233">
        <f>'AEO 2025 Alt T Table 1'!K$7/'AEO 2025 Alt T Table 1'!$F$7</f>
        <v>1.0522429275028582</v>
      </c>
      <c r="H12" s="233">
        <f>'AEO 2025 Alt T Table 1'!L$7/'AEO 2025 Alt T Table 1'!$F$7</f>
        <v>1.0466010818064713</v>
      </c>
      <c r="I12" s="233">
        <f>'AEO 2025 Alt T Table 1'!M$7/'AEO 2025 Alt T Table 1'!$F$7</f>
        <v>1.032544930899151</v>
      </c>
      <c r="J12" s="233">
        <f>'AEO 2025 Alt T Table 1'!N$7/'AEO 2025 Alt T Table 1'!$F$7</f>
        <v>1.0176563830943872</v>
      </c>
      <c r="K12" s="233">
        <f>'AEO 2025 Alt T Table 1'!O$7/'AEO 2025 Alt T Table 1'!$F$7</f>
        <v>1.0075980384838923</v>
      </c>
      <c r="L12" s="233">
        <f>'AEO 2025 Alt T Table 1'!P$7/'AEO 2025 Alt T Table 1'!$F$7</f>
        <v>1.0009117733567598</v>
      </c>
      <c r="M12" s="233">
        <f>'AEO 2025 Alt T Table 1'!Q$7/'AEO 2025 Alt T Table 1'!$F$7</f>
        <v>0.9846929052228327</v>
      </c>
      <c r="N12" s="233">
        <f>'AEO 2025 Alt T Table 1'!R$7/'AEO 2025 Alt T Table 1'!$F$7</f>
        <v>0.97028272802471838</v>
      </c>
      <c r="O12" s="233">
        <f>'AEO 2025 Alt T Table 1'!S$7/'AEO 2025 Alt T Table 1'!$F$7</f>
        <v>0.96253828002572961</v>
      </c>
      <c r="P12" s="233">
        <f>'AEO 2025 Alt T Table 1'!T$7/'AEO 2025 Alt T Table 1'!$F$7</f>
        <v>0.95584986663662497</v>
      </c>
      <c r="Q12" s="233">
        <f>'AEO 2025 Alt T Table 1'!U$7/'AEO 2025 Alt T Table 1'!$F$7</f>
        <v>0.94288583385807978</v>
      </c>
      <c r="R12" s="233">
        <f>'AEO 2025 Alt T Table 1'!V$7/'AEO 2025 Alt T Table 1'!$F$7</f>
        <v>0.93094681333008944</v>
      </c>
      <c r="S12" s="233">
        <f>'AEO 2025 Alt T Table 1'!W$7/'AEO 2025 Alt T Table 1'!$F$7</f>
        <v>0.93068257710749425</v>
      </c>
      <c r="T12" s="233">
        <f>'AEO 2025 Alt T Table 1'!X$7/'AEO 2025 Alt T Table 1'!$F$7</f>
        <v>0.93503910674247681</v>
      </c>
      <c r="U12" s="233">
        <f>'AEO 2025 Alt T Table 1'!Y$7/'AEO 2025 Alt T Table 1'!$F$7</f>
        <v>0.92858467185225557</v>
      </c>
      <c r="V12" s="233">
        <f>'AEO 2025 Alt T Table 1'!Z$7/'AEO 2025 Alt T Table 1'!$F$7</f>
        <v>0.9186882479365216</v>
      </c>
      <c r="W12" s="233">
        <f>'AEO 2025 Alt T Table 1'!AA$7/'AEO 2025 Alt T Table 1'!$F$7</f>
        <v>0.9101151533957359</v>
      </c>
      <c r="X12" s="233">
        <f>'AEO 2025 Alt T Table 1'!AB$7/'AEO 2025 Alt T Table 1'!$F$7</f>
        <v>0.90442222275787176</v>
      </c>
      <c r="Y12" s="233">
        <f>'AEO 2025 Alt T Table 1'!AC$7/'AEO 2025 Alt T Table 1'!$F$7</f>
        <v>0.91414281689285448</v>
      </c>
      <c r="Z12" s="233">
        <f>'AEO 2025 Alt T Table 1'!AD$7/'AEO 2025 Alt T Table 1'!$F$7</f>
        <v>0.91073192304911055</v>
      </c>
      <c r="AA12" s="233">
        <f>'AEO 2025 Alt T Table 1'!AE$7/'AEO 2025 Alt T Table 1'!$F$7</f>
        <v>0.90169669730573732</v>
      </c>
      <c r="AB12" s="233">
        <f>'AEO 2025 Alt T Table 1'!AF$7/'AEO 2025 Alt T Table 1'!$F$7</f>
        <v>0.88532111528149038</v>
      </c>
    </row>
    <row r="13" spans="1:30" x14ac:dyDescent="0.25">
      <c r="A13" t="s">
        <v>122</v>
      </c>
      <c r="B13" s="233">
        <f>'AEO 2025 Alt T Table 1'!F$7/'AEO 2025 Alt T Table 1'!$F$7</f>
        <v>1</v>
      </c>
      <c r="C13" s="233">
        <f>'AEO 2025 Alt T Table 1'!G$7/'AEO 2025 Alt T Table 1'!$F$7</f>
        <v>1.0290599038117523</v>
      </c>
      <c r="D13" s="233">
        <f>'AEO 2025 Alt T Table 1'!H$7/'AEO 2025 Alt T Table 1'!$F$7</f>
        <v>1.0395104336714649</v>
      </c>
      <c r="E13" s="233">
        <f>'AEO 2025 Alt T Table 1'!I$7/'AEO 2025 Alt T Table 1'!$F$7</f>
        <v>1.0539953266927522</v>
      </c>
      <c r="F13" s="233">
        <f>'AEO 2025 Alt T Table 1'!J$7/'AEO 2025 Alt T Table 1'!$F$7</f>
        <v>1.0518566408712593</v>
      </c>
      <c r="G13" s="233">
        <f>'AEO 2025 Alt T Table 1'!K$7/'AEO 2025 Alt T Table 1'!$F$7</f>
        <v>1.0522429275028582</v>
      </c>
      <c r="H13" s="233">
        <f>'AEO 2025 Alt T Table 1'!L$7/'AEO 2025 Alt T Table 1'!$F$7</f>
        <v>1.0466010818064713</v>
      </c>
      <c r="I13" s="233">
        <f>'AEO 2025 Alt T Table 1'!M$7/'AEO 2025 Alt T Table 1'!$F$7</f>
        <v>1.032544930899151</v>
      </c>
      <c r="J13" s="233">
        <f>'AEO 2025 Alt T Table 1'!N$7/'AEO 2025 Alt T Table 1'!$F$7</f>
        <v>1.0176563830943872</v>
      </c>
      <c r="K13" s="233">
        <f>'AEO 2025 Alt T Table 1'!O$7/'AEO 2025 Alt T Table 1'!$F$7</f>
        <v>1.0075980384838923</v>
      </c>
      <c r="L13" s="233">
        <f>'AEO 2025 Alt T Table 1'!P$7/'AEO 2025 Alt T Table 1'!$F$7</f>
        <v>1.0009117733567598</v>
      </c>
      <c r="M13" s="233">
        <f>'AEO 2025 Alt T Table 1'!Q$7/'AEO 2025 Alt T Table 1'!$F$7</f>
        <v>0.9846929052228327</v>
      </c>
      <c r="N13" s="233">
        <f>'AEO 2025 Alt T Table 1'!R$7/'AEO 2025 Alt T Table 1'!$F$7</f>
        <v>0.97028272802471838</v>
      </c>
      <c r="O13" s="233">
        <f>'AEO 2025 Alt T Table 1'!S$7/'AEO 2025 Alt T Table 1'!$F$7</f>
        <v>0.96253828002572961</v>
      </c>
      <c r="P13" s="233">
        <f>'AEO 2025 Alt T Table 1'!T$7/'AEO 2025 Alt T Table 1'!$F$7</f>
        <v>0.95584986663662497</v>
      </c>
      <c r="Q13" s="233">
        <f>'AEO 2025 Alt T Table 1'!U$7/'AEO 2025 Alt T Table 1'!$F$7</f>
        <v>0.94288583385807978</v>
      </c>
      <c r="R13" s="233">
        <f>'AEO 2025 Alt T Table 1'!V$7/'AEO 2025 Alt T Table 1'!$F$7</f>
        <v>0.93094681333008944</v>
      </c>
      <c r="S13" s="233">
        <f>'AEO 2025 Alt T Table 1'!W$7/'AEO 2025 Alt T Table 1'!$F$7</f>
        <v>0.93068257710749425</v>
      </c>
      <c r="T13" s="233">
        <f>'AEO 2025 Alt T Table 1'!X$7/'AEO 2025 Alt T Table 1'!$F$7</f>
        <v>0.93503910674247681</v>
      </c>
      <c r="U13" s="233">
        <f>'AEO 2025 Alt T Table 1'!Y$7/'AEO 2025 Alt T Table 1'!$F$7</f>
        <v>0.92858467185225557</v>
      </c>
      <c r="V13" s="233">
        <f>'AEO 2025 Alt T Table 1'!Z$7/'AEO 2025 Alt T Table 1'!$F$7</f>
        <v>0.9186882479365216</v>
      </c>
      <c r="W13" s="233">
        <f>'AEO 2025 Alt T Table 1'!AA$7/'AEO 2025 Alt T Table 1'!$F$7</f>
        <v>0.9101151533957359</v>
      </c>
      <c r="X13" s="233">
        <f>'AEO 2025 Alt T Table 1'!AB$7/'AEO 2025 Alt T Table 1'!$F$7</f>
        <v>0.90442222275787176</v>
      </c>
      <c r="Y13" s="233">
        <f>'AEO 2025 Alt T Table 1'!AC$7/'AEO 2025 Alt T Table 1'!$F$7</f>
        <v>0.91414281689285448</v>
      </c>
      <c r="Z13" s="233">
        <f>'AEO 2025 Alt T Table 1'!AD$7/'AEO 2025 Alt T Table 1'!$F$7</f>
        <v>0.91073192304911055</v>
      </c>
      <c r="AA13" s="233">
        <f>'AEO 2025 Alt T Table 1'!AE$7/'AEO 2025 Alt T Table 1'!$F$7</f>
        <v>0.90169669730573732</v>
      </c>
      <c r="AB13" s="233">
        <f>'AEO 2025 Alt T Table 1'!AF$7/'AEO 2025 Alt T Table 1'!$F$7</f>
        <v>0.88532111528149038</v>
      </c>
    </row>
    <row r="14" spans="1:30" x14ac:dyDescent="0.25">
      <c r="A14" t="s">
        <v>123</v>
      </c>
      <c r="B14" s="233">
        <f>'AEO 2025 Alt T Table 1'!F$7/'AEO 2025 Alt T Table 1'!$F$7</f>
        <v>1</v>
      </c>
      <c r="C14" s="233">
        <f>'AEO 2025 Alt T Table 1'!G$7/'AEO 2025 Alt T Table 1'!$F$7</f>
        <v>1.0290599038117523</v>
      </c>
      <c r="D14" s="233">
        <f>'AEO 2025 Alt T Table 1'!H$7/'AEO 2025 Alt T Table 1'!$F$7</f>
        <v>1.0395104336714649</v>
      </c>
      <c r="E14" s="233">
        <f>'AEO 2025 Alt T Table 1'!I$7/'AEO 2025 Alt T Table 1'!$F$7</f>
        <v>1.0539953266927522</v>
      </c>
      <c r="F14" s="233">
        <f>'AEO 2025 Alt T Table 1'!J$7/'AEO 2025 Alt T Table 1'!$F$7</f>
        <v>1.0518566408712593</v>
      </c>
      <c r="G14" s="233">
        <f>'AEO 2025 Alt T Table 1'!K$7/'AEO 2025 Alt T Table 1'!$F$7</f>
        <v>1.0522429275028582</v>
      </c>
      <c r="H14" s="233">
        <f>'AEO 2025 Alt T Table 1'!L$7/'AEO 2025 Alt T Table 1'!$F$7</f>
        <v>1.0466010818064713</v>
      </c>
      <c r="I14" s="233">
        <f>'AEO 2025 Alt T Table 1'!M$7/'AEO 2025 Alt T Table 1'!$F$7</f>
        <v>1.032544930899151</v>
      </c>
      <c r="J14" s="233">
        <f>'AEO 2025 Alt T Table 1'!N$7/'AEO 2025 Alt T Table 1'!$F$7</f>
        <v>1.0176563830943872</v>
      </c>
      <c r="K14" s="233">
        <f>'AEO 2025 Alt T Table 1'!O$7/'AEO 2025 Alt T Table 1'!$F$7</f>
        <v>1.0075980384838923</v>
      </c>
      <c r="L14" s="233">
        <f>'AEO 2025 Alt T Table 1'!P$7/'AEO 2025 Alt T Table 1'!$F$7</f>
        <v>1.0009117733567598</v>
      </c>
      <c r="M14" s="233">
        <f>'AEO 2025 Alt T Table 1'!Q$7/'AEO 2025 Alt T Table 1'!$F$7</f>
        <v>0.9846929052228327</v>
      </c>
      <c r="N14" s="233">
        <f>'AEO 2025 Alt T Table 1'!R$7/'AEO 2025 Alt T Table 1'!$F$7</f>
        <v>0.97028272802471838</v>
      </c>
      <c r="O14" s="233">
        <f>'AEO 2025 Alt T Table 1'!S$7/'AEO 2025 Alt T Table 1'!$F$7</f>
        <v>0.96253828002572961</v>
      </c>
      <c r="P14" s="233">
        <f>'AEO 2025 Alt T Table 1'!T$7/'AEO 2025 Alt T Table 1'!$F$7</f>
        <v>0.95584986663662497</v>
      </c>
      <c r="Q14" s="233">
        <f>'AEO 2025 Alt T Table 1'!U$7/'AEO 2025 Alt T Table 1'!$F$7</f>
        <v>0.94288583385807978</v>
      </c>
      <c r="R14" s="233">
        <f>'AEO 2025 Alt T Table 1'!V$7/'AEO 2025 Alt T Table 1'!$F$7</f>
        <v>0.93094681333008944</v>
      </c>
      <c r="S14" s="233">
        <f>'AEO 2025 Alt T Table 1'!W$7/'AEO 2025 Alt T Table 1'!$F$7</f>
        <v>0.93068257710749425</v>
      </c>
      <c r="T14" s="233">
        <f>'AEO 2025 Alt T Table 1'!X$7/'AEO 2025 Alt T Table 1'!$F$7</f>
        <v>0.93503910674247681</v>
      </c>
      <c r="U14" s="233">
        <f>'AEO 2025 Alt T Table 1'!Y$7/'AEO 2025 Alt T Table 1'!$F$7</f>
        <v>0.92858467185225557</v>
      </c>
      <c r="V14" s="233">
        <f>'AEO 2025 Alt T Table 1'!Z$7/'AEO 2025 Alt T Table 1'!$F$7</f>
        <v>0.9186882479365216</v>
      </c>
      <c r="W14" s="233">
        <f>'AEO 2025 Alt T Table 1'!AA$7/'AEO 2025 Alt T Table 1'!$F$7</f>
        <v>0.9101151533957359</v>
      </c>
      <c r="X14" s="233">
        <f>'AEO 2025 Alt T Table 1'!AB$7/'AEO 2025 Alt T Table 1'!$F$7</f>
        <v>0.90442222275787176</v>
      </c>
      <c r="Y14" s="233">
        <f>'AEO 2025 Alt T Table 1'!AC$7/'AEO 2025 Alt T Table 1'!$F$7</f>
        <v>0.91414281689285448</v>
      </c>
      <c r="Z14" s="233">
        <f>'AEO 2025 Alt T Table 1'!AD$7/'AEO 2025 Alt T Table 1'!$F$7</f>
        <v>0.91073192304911055</v>
      </c>
      <c r="AA14" s="233">
        <f>'AEO 2025 Alt T Table 1'!AE$7/'AEO 2025 Alt T Table 1'!$F$7</f>
        <v>0.90169669730573732</v>
      </c>
      <c r="AB14" s="233">
        <f>'AEO 2025 Alt T Table 1'!AF$7/'AEO 2025 Alt T Table 1'!$F$7</f>
        <v>0.88532111528149038</v>
      </c>
    </row>
    <row r="15" spans="1:30" x14ac:dyDescent="0.25">
      <c r="A15" t="s">
        <v>112</v>
      </c>
      <c r="B15" s="233">
        <f>'AEO 2025 Alt T Table 1'!F$7/'AEO 2025 Alt T Table 1'!$F$7</f>
        <v>1</v>
      </c>
      <c r="C15" s="233">
        <f>'AEO 2025 Alt T Table 1'!G$7/'AEO 2025 Alt T Table 1'!$F$7</f>
        <v>1.0290599038117523</v>
      </c>
      <c r="D15" s="233">
        <f>'AEO 2025 Alt T Table 1'!H$7/'AEO 2025 Alt T Table 1'!$F$7</f>
        <v>1.0395104336714649</v>
      </c>
      <c r="E15" s="233">
        <f>'AEO 2025 Alt T Table 1'!I$7/'AEO 2025 Alt T Table 1'!$F$7</f>
        <v>1.0539953266927522</v>
      </c>
      <c r="F15" s="233">
        <f>'AEO 2025 Alt T Table 1'!J$7/'AEO 2025 Alt T Table 1'!$F$7</f>
        <v>1.0518566408712593</v>
      </c>
      <c r="G15" s="233">
        <f>'AEO 2025 Alt T Table 1'!K$7/'AEO 2025 Alt T Table 1'!$F$7</f>
        <v>1.0522429275028582</v>
      </c>
      <c r="H15" s="233">
        <f>'AEO 2025 Alt T Table 1'!L$7/'AEO 2025 Alt T Table 1'!$F$7</f>
        <v>1.0466010818064713</v>
      </c>
      <c r="I15" s="233">
        <f>'AEO 2025 Alt T Table 1'!M$7/'AEO 2025 Alt T Table 1'!$F$7</f>
        <v>1.032544930899151</v>
      </c>
      <c r="J15" s="233">
        <f>'AEO 2025 Alt T Table 1'!N$7/'AEO 2025 Alt T Table 1'!$F$7</f>
        <v>1.0176563830943872</v>
      </c>
      <c r="K15" s="233">
        <f>'AEO 2025 Alt T Table 1'!O$7/'AEO 2025 Alt T Table 1'!$F$7</f>
        <v>1.0075980384838923</v>
      </c>
      <c r="L15" s="233">
        <f>'AEO 2025 Alt T Table 1'!P$7/'AEO 2025 Alt T Table 1'!$F$7</f>
        <v>1.0009117733567598</v>
      </c>
      <c r="M15" s="233">
        <f>'AEO 2025 Alt T Table 1'!Q$7/'AEO 2025 Alt T Table 1'!$F$7</f>
        <v>0.9846929052228327</v>
      </c>
      <c r="N15" s="233">
        <f>'AEO 2025 Alt T Table 1'!R$7/'AEO 2025 Alt T Table 1'!$F$7</f>
        <v>0.97028272802471838</v>
      </c>
      <c r="O15" s="233">
        <f>'AEO 2025 Alt T Table 1'!S$7/'AEO 2025 Alt T Table 1'!$F$7</f>
        <v>0.96253828002572961</v>
      </c>
      <c r="P15" s="233">
        <f>'AEO 2025 Alt T Table 1'!T$7/'AEO 2025 Alt T Table 1'!$F$7</f>
        <v>0.95584986663662497</v>
      </c>
      <c r="Q15" s="233">
        <f>'AEO 2025 Alt T Table 1'!U$7/'AEO 2025 Alt T Table 1'!$F$7</f>
        <v>0.94288583385807978</v>
      </c>
      <c r="R15" s="233">
        <f>'AEO 2025 Alt T Table 1'!V$7/'AEO 2025 Alt T Table 1'!$F$7</f>
        <v>0.93094681333008944</v>
      </c>
      <c r="S15" s="233">
        <f>'AEO 2025 Alt T Table 1'!W$7/'AEO 2025 Alt T Table 1'!$F$7</f>
        <v>0.93068257710749425</v>
      </c>
      <c r="T15" s="233">
        <f>'AEO 2025 Alt T Table 1'!X$7/'AEO 2025 Alt T Table 1'!$F$7</f>
        <v>0.93503910674247681</v>
      </c>
      <c r="U15" s="233">
        <f>'AEO 2025 Alt T Table 1'!Y$7/'AEO 2025 Alt T Table 1'!$F$7</f>
        <v>0.92858467185225557</v>
      </c>
      <c r="V15" s="233">
        <f>'AEO 2025 Alt T Table 1'!Z$7/'AEO 2025 Alt T Table 1'!$F$7</f>
        <v>0.9186882479365216</v>
      </c>
      <c r="W15" s="233">
        <f>'AEO 2025 Alt T Table 1'!AA$7/'AEO 2025 Alt T Table 1'!$F$7</f>
        <v>0.9101151533957359</v>
      </c>
      <c r="X15" s="233">
        <f>'AEO 2025 Alt T Table 1'!AB$7/'AEO 2025 Alt T Table 1'!$F$7</f>
        <v>0.90442222275787176</v>
      </c>
      <c r="Y15" s="233">
        <f>'AEO 2025 Alt T Table 1'!AC$7/'AEO 2025 Alt T Table 1'!$F$7</f>
        <v>0.91414281689285448</v>
      </c>
      <c r="Z15" s="233">
        <f>'AEO 2025 Alt T Table 1'!AD$7/'AEO 2025 Alt T Table 1'!$F$7</f>
        <v>0.91073192304911055</v>
      </c>
      <c r="AA15" s="233">
        <f>'AEO 2025 Alt T Table 1'!AE$7/'AEO 2025 Alt T Table 1'!$F$7</f>
        <v>0.90169669730573732</v>
      </c>
      <c r="AB15" s="233">
        <f>'AEO 2025 Alt T Table 1'!AF$7/'AEO 2025 Alt T Table 1'!$F$7</f>
        <v>0.88532111528149038</v>
      </c>
    </row>
    <row r="16" spans="1:30" x14ac:dyDescent="0.25">
      <c r="A16" s="7" t="s">
        <v>148</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c r="AD16" s="7"/>
    </row>
    <row r="17" spans="1:30" x14ac:dyDescent="0.25">
      <c r="A17" s="7" t="s">
        <v>125</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c r="AD17" s="7"/>
    </row>
    <row r="18" spans="1:30" x14ac:dyDescent="0.25">
      <c r="A18" t="s">
        <v>126</v>
      </c>
      <c r="B18" s="229">
        <f>'AEO 2025 HZC Table 1'!F$10/'AEO 2025 HZC Table 1'!$F$10</f>
        <v>1</v>
      </c>
      <c r="C18" s="229">
        <f>'AEO 2025 HZC Table 1'!G$10/'AEO 2025 HZC Table 1'!$F$10</f>
        <v>0.98700477844293888</v>
      </c>
      <c r="D18" s="229">
        <f>'AEO 2025 HZC Table 1'!H$10/'AEO 2025 HZC Table 1'!$F$10</f>
        <v>0.90537095037920678</v>
      </c>
      <c r="E18" s="229">
        <f>'AEO 2025 HZC Table 1'!I$10/'AEO 2025 HZC Table 1'!$F$10</f>
        <v>0.80633696546953926</v>
      </c>
      <c r="F18" s="229">
        <f>'AEO 2025 HZC Table 1'!J$10/'AEO 2025 HZC Table 1'!$F$10</f>
        <v>0.80224172783820513</v>
      </c>
      <c r="G18" s="229">
        <f>'AEO 2025 HZC Table 1'!K$10/'AEO 2025 HZC Table 1'!$F$10</f>
        <v>0.76872190046615396</v>
      </c>
      <c r="H18" s="229">
        <f>'AEO 2025 HZC Table 1'!L$10/'AEO 2025 HZC Table 1'!$F$10</f>
        <v>0.6901260125574169</v>
      </c>
      <c r="I18" s="229">
        <f>'AEO 2025 HZC Table 1'!M$10/'AEO 2025 HZC Table 1'!$F$10</f>
        <v>0.66121891698368707</v>
      </c>
      <c r="J18" s="229">
        <f>'AEO 2025 HZC Table 1'!N$10/'AEO 2025 HZC Table 1'!$F$10</f>
        <v>0.42021003716566729</v>
      </c>
      <c r="K18" s="229">
        <f>'AEO 2025 HZC Table 1'!O$10/'AEO 2025 HZC Table 1'!$F$10</f>
        <v>0.4201700950330497</v>
      </c>
      <c r="L18" s="229">
        <f>'AEO 2025 HZC Table 1'!P$10/'AEO 2025 HZC Table 1'!$F$10</f>
        <v>0.41575911971436513</v>
      </c>
      <c r="M18" s="229">
        <f>'AEO 2025 HZC Table 1'!Q$10/'AEO 2025 HZC Table 1'!$F$10</f>
        <v>0.41875146738627456</v>
      </c>
      <c r="N18" s="229">
        <f>'AEO 2025 HZC Table 1'!R$10/'AEO 2025 HZC Table 1'!$F$10</f>
        <v>0.41169905064370155</v>
      </c>
      <c r="O18" s="229">
        <f>'AEO 2025 HZC Table 1'!S$10/'AEO 2025 HZC Table 1'!$F$10</f>
        <v>0.41288776747833628</v>
      </c>
      <c r="P18" s="229">
        <f>'AEO 2025 HZC Table 1'!T$10/'AEO 2025 HZC Table 1'!$F$10</f>
        <v>0.40541576350360703</v>
      </c>
      <c r="Q18" s="229">
        <f>'AEO 2025 HZC Table 1'!U$10/'AEO 2025 HZC Table 1'!$F$10</f>
        <v>0.37580792705202709</v>
      </c>
      <c r="R18" s="229">
        <f>'AEO 2025 HZC Table 1'!V$10/'AEO 2025 HZC Table 1'!$F$10</f>
        <v>0.37923905366371646</v>
      </c>
      <c r="S18" s="229">
        <f>'AEO 2025 HZC Table 1'!W$10/'AEO 2025 HZC Table 1'!$F$10</f>
        <v>0.37499768627890329</v>
      </c>
      <c r="T18" s="229">
        <f>'AEO 2025 HZC Table 1'!X$10/'AEO 2025 HZC Table 1'!$F$10</f>
        <v>0.37542448257889793</v>
      </c>
      <c r="U18" s="229">
        <f>'AEO 2025 HZC Table 1'!Y$10/'AEO 2025 HZC Table 1'!$F$10</f>
        <v>0.37653584806402435</v>
      </c>
      <c r="V18" s="229">
        <f>'AEO 2025 HZC Table 1'!Z$10/'AEO 2025 HZC Table 1'!$F$10</f>
        <v>0.37757755836665907</v>
      </c>
      <c r="W18" s="229">
        <f>'AEO 2025 HZC Table 1'!AA$10/'AEO 2025 HZC Table 1'!$F$10</f>
        <v>0.38161551313462938</v>
      </c>
      <c r="X18" s="229">
        <f>'AEO 2025 HZC Table 1'!AB$10/'AEO 2025 HZC Table 1'!$F$10</f>
        <v>0.36835121799149528</v>
      </c>
      <c r="Y18" s="229">
        <f>'AEO 2025 HZC Table 1'!AC$10/'AEO 2025 HZC Table 1'!$F$10</f>
        <v>0.37167518278396666</v>
      </c>
      <c r="Z18" s="229">
        <f>'AEO 2025 HZC Table 1'!AD$10/'AEO 2025 HZC Table 1'!$F$10</f>
        <v>0.37260934158804077</v>
      </c>
      <c r="AA18" s="229">
        <f>'AEO 2025 HZC Table 1'!AE$10/'AEO 2025 HZC Table 1'!$F$10</f>
        <v>0.37435676118014388</v>
      </c>
      <c r="AB18" s="229">
        <f>'AEO 2025 HZC Table 1'!AF$10/'AEO 2025 HZC Table 1'!$F$10</f>
        <v>0.36992932190923394</v>
      </c>
    </row>
    <row r="19" spans="1:30" x14ac:dyDescent="0.25">
      <c r="A19" t="s">
        <v>113</v>
      </c>
      <c r="B19" s="233">
        <f>'AEO 2025 Alt T Table 1'!F$7/'AEO 2025 Alt T Table 1'!$F$7</f>
        <v>1</v>
      </c>
      <c r="C19" s="233">
        <f>'AEO 2025 Alt T Table 1'!G$7/'AEO 2025 Alt T Table 1'!$F$7</f>
        <v>1.0290599038117523</v>
      </c>
      <c r="D19" s="233">
        <f>'AEO 2025 Alt T Table 1'!H$7/'AEO 2025 Alt T Table 1'!$F$7</f>
        <v>1.0395104336714649</v>
      </c>
      <c r="E19" s="233">
        <f>'AEO 2025 Alt T Table 1'!I$7/'AEO 2025 Alt T Table 1'!$F$7</f>
        <v>1.0539953266927522</v>
      </c>
      <c r="F19" s="233">
        <f>'AEO 2025 Alt T Table 1'!J$7/'AEO 2025 Alt T Table 1'!$F$7</f>
        <v>1.0518566408712593</v>
      </c>
      <c r="G19" s="233">
        <f>'AEO 2025 Alt T Table 1'!K$7/'AEO 2025 Alt T Table 1'!$F$7</f>
        <v>1.0522429275028582</v>
      </c>
      <c r="H19" s="233">
        <f>'AEO 2025 Alt T Table 1'!L$7/'AEO 2025 Alt T Table 1'!$F$7</f>
        <v>1.0466010818064713</v>
      </c>
      <c r="I19" s="233">
        <f>'AEO 2025 Alt T Table 1'!M$7/'AEO 2025 Alt T Table 1'!$F$7</f>
        <v>1.032544930899151</v>
      </c>
      <c r="J19" s="233">
        <f>'AEO 2025 Alt T Table 1'!N$7/'AEO 2025 Alt T Table 1'!$F$7</f>
        <v>1.0176563830943872</v>
      </c>
      <c r="K19" s="233">
        <f>'AEO 2025 Alt T Table 1'!O$7/'AEO 2025 Alt T Table 1'!$F$7</f>
        <v>1.0075980384838923</v>
      </c>
      <c r="L19" s="233">
        <f>'AEO 2025 Alt T Table 1'!P$7/'AEO 2025 Alt T Table 1'!$F$7</f>
        <v>1.0009117733567598</v>
      </c>
      <c r="M19" s="233">
        <f>'AEO 2025 Alt T Table 1'!Q$7/'AEO 2025 Alt T Table 1'!$F$7</f>
        <v>0.9846929052228327</v>
      </c>
      <c r="N19" s="233">
        <f>'AEO 2025 Alt T Table 1'!R$7/'AEO 2025 Alt T Table 1'!$F$7</f>
        <v>0.97028272802471838</v>
      </c>
      <c r="O19" s="233">
        <f>'AEO 2025 Alt T Table 1'!S$7/'AEO 2025 Alt T Table 1'!$F$7</f>
        <v>0.96253828002572961</v>
      </c>
      <c r="P19" s="233">
        <f>'AEO 2025 Alt T Table 1'!T$7/'AEO 2025 Alt T Table 1'!$F$7</f>
        <v>0.95584986663662497</v>
      </c>
      <c r="Q19" s="233">
        <f>'AEO 2025 Alt T Table 1'!U$7/'AEO 2025 Alt T Table 1'!$F$7</f>
        <v>0.94288583385807978</v>
      </c>
      <c r="R19" s="233">
        <f>'AEO 2025 Alt T Table 1'!V$7/'AEO 2025 Alt T Table 1'!$F$7</f>
        <v>0.93094681333008944</v>
      </c>
      <c r="S19" s="233">
        <f>'AEO 2025 Alt T Table 1'!W$7/'AEO 2025 Alt T Table 1'!$F$7</f>
        <v>0.93068257710749425</v>
      </c>
      <c r="T19" s="233">
        <f>'AEO 2025 Alt T Table 1'!X$7/'AEO 2025 Alt T Table 1'!$F$7</f>
        <v>0.93503910674247681</v>
      </c>
      <c r="U19" s="233">
        <f>'AEO 2025 Alt T Table 1'!Y$7/'AEO 2025 Alt T Table 1'!$F$7</f>
        <v>0.92858467185225557</v>
      </c>
      <c r="V19" s="233">
        <f>'AEO 2025 Alt T Table 1'!Z$7/'AEO 2025 Alt T Table 1'!$F$7</f>
        <v>0.9186882479365216</v>
      </c>
      <c r="W19" s="233">
        <f>'AEO 2025 Alt T Table 1'!AA$7/'AEO 2025 Alt T Table 1'!$F$7</f>
        <v>0.9101151533957359</v>
      </c>
      <c r="X19" s="233">
        <f>'AEO 2025 Alt T Table 1'!AB$7/'AEO 2025 Alt T Table 1'!$F$7</f>
        <v>0.90442222275787176</v>
      </c>
      <c r="Y19" s="233">
        <f>'AEO 2025 Alt T Table 1'!AC$7/'AEO 2025 Alt T Table 1'!$F$7</f>
        <v>0.91414281689285448</v>
      </c>
      <c r="Z19" s="233">
        <f>'AEO 2025 Alt T Table 1'!AD$7/'AEO 2025 Alt T Table 1'!$F$7</f>
        <v>0.91073192304911055</v>
      </c>
      <c r="AA19" s="233">
        <f>'AEO 2025 Alt T Table 1'!AE$7/'AEO 2025 Alt T Table 1'!$F$7</f>
        <v>0.90169669730573732</v>
      </c>
      <c r="AB19" s="233">
        <f>'AEO 2025 Alt T Table 1'!AF$7/'AEO 2025 Alt T Table 1'!$F$7</f>
        <v>0.88532111528149038</v>
      </c>
    </row>
    <row r="20" spans="1:30" x14ac:dyDescent="0.25">
      <c r="A20" t="s">
        <v>127</v>
      </c>
      <c r="B20" s="233">
        <f>'AEO 2025 Alt T Table 1'!F$7/'AEO 2025 Alt T Table 1'!$F$7</f>
        <v>1</v>
      </c>
      <c r="C20" s="233">
        <f>'AEO 2025 Alt T Table 1'!G$7/'AEO 2025 Alt T Table 1'!$F$7</f>
        <v>1.0290599038117523</v>
      </c>
      <c r="D20" s="233">
        <f>'AEO 2025 Alt T Table 1'!H$7/'AEO 2025 Alt T Table 1'!$F$7</f>
        <v>1.0395104336714649</v>
      </c>
      <c r="E20" s="233">
        <f>'AEO 2025 Alt T Table 1'!I$7/'AEO 2025 Alt T Table 1'!$F$7</f>
        <v>1.0539953266927522</v>
      </c>
      <c r="F20" s="233">
        <f>'AEO 2025 Alt T Table 1'!J$7/'AEO 2025 Alt T Table 1'!$F$7</f>
        <v>1.0518566408712593</v>
      </c>
      <c r="G20" s="233">
        <f>'AEO 2025 Alt T Table 1'!K$7/'AEO 2025 Alt T Table 1'!$F$7</f>
        <v>1.0522429275028582</v>
      </c>
      <c r="H20" s="233">
        <f>'AEO 2025 Alt T Table 1'!L$7/'AEO 2025 Alt T Table 1'!$F$7</f>
        <v>1.0466010818064713</v>
      </c>
      <c r="I20" s="233">
        <f>'AEO 2025 Alt T Table 1'!M$7/'AEO 2025 Alt T Table 1'!$F$7</f>
        <v>1.032544930899151</v>
      </c>
      <c r="J20" s="233">
        <f>'AEO 2025 Alt T Table 1'!N$7/'AEO 2025 Alt T Table 1'!$F$7</f>
        <v>1.0176563830943872</v>
      </c>
      <c r="K20" s="233">
        <f>'AEO 2025 Alt T Table 1'!O$7/'AEO 2025 Alt T Table 1'!$F$7</f>
        <v>1.0075980384838923</v>
      </c>
      <c r="L20" s="233">
        <f>'AEO 2025 Alt T Table 1'!P$7/'AEO 2025 Alt T Table 1'!$F$7</f>
        <v>1.0009117733567598</v>
      </c>
      <c r="M20" s="233">
        <f>'AEO 2025 Alt T Table 1'!Q$7/'AEO 2025 Alt T Table 1'!$F$7</f>
        <v>0.9846929052228327</v>
      </c>
      <c r="N20" s="233">
        <f>'AEO 2025 Alt T Table 1'!R$7/'AEO 2025 Alt T Table 1'!$F$7</f>
        <v>0.97028272802471838</v>
      </c>
      <c r="O20" s="233">
        <f>'AEO 2025 Alt T Table 1'!S$7/'AEO 2025 Alt T Table 1'!$F$7</f>
        <v>0.96253828002572961</v>
      </c>
      <c r="P20" s="233">
        <f>'AEO 2025 Alt T Table 1'!T$7/'AEO 2025 Alt T Table 1'!$F$7</f>
        <v>0.95584986663662497</v>
      </c>
      <c r="Q20" s="233">
        <f>'AEO 2025 Alt T Table 1'!U$7/'AEO 2025 Alt T Table 1'!$F$7</f>
        <v>0.94288583385807978</v>
      </c>
      <c r="R20" s="233">
        <f>'AEO 2025 Alt T Table 1'!V$7/'AEO 2025 Alt T Table 1'!$F$7</f>
        <v>0.93094681333008944</v>
      </c>
      <c r="S20" s="233">
        <f>'AEO 2025 Alt T Table 1'!W$7/'AEO 2025 Alt T Table 1'!$F$7</f>
        <v>0.93068257710749425</v>
      </c>
      <c r="T20" s="233">
        <f>'AEO 2025 Alt T Table 1'!X$7/'AEO 2025 Alt T Table 1'!$F$7</f>
        <v>0.93503910674247681</v>
      </c>
      <c r="U20" s="233">
        <f>'AEO 2025 Alt T Table 1'!Y$7/'AEO 2025 Alt T Table 1'!$F$7</f>
        <v>0.92858467185225557</v>
      </c>
      <c r="V20" s="233">
        <f>'AEO 2025 Alt T Table 1'!Z$7/'AEO 2025 Alt T Table 1'!$F$7</f>
        <v>0.9186882479365216</v>
      </c>
      <c r="W20" s="233">
        <f>'AEO 2025 Alt T Table 1'!AA$7/'AEO 2025 Alt T Table 1'!$F$7</f>
        <v>0.9101151533957359</v>
      </c>
      <c r="X20" s="233">
        <f>'AEO 2025 Alt T Table 1'!AB$7/'AEO 2025 Alt T Table 1'!$F$7</f>
        <v>0.90442222275787176</v>
      </c>
      <c r="Y20" s="233">
        <f>'AEO 2025 Alt T Table 1'!AC$7/'AEO 2025 Alt T Table 1'!$F$7</f>
        <v>0.91414281689285448</v>
      </c>
      <c r="Z20" s="233">
        <f>'AEO 2025 Alt T Table 1'!AD$7/'AEO 2025 Alt T Table 1'!$F$7</f>
        <v>0.91073192304911055</v>
      </c>
      <c r="AA20" s="233">
        <f>'AEO 2025 Alt T Table 1'!AE$7/'AEO 2025 Alt T Table 1'!$F$7</f>
        <v>0.90169669730573732</v>
      </c>
      <c r="AB20" s="233">
        <f>'AEO 2025 Alt T Table 1'!AF$7/'AEO 2025 Alt T Table 1'!$F$7</f>
        <v>0.88532111528149038</v>
      </c>
    </row>
    <row r="21" spans="1:30" x14ac:dyDescent="0.25">
      <c r="A21" t="s">
        <v>114</v>
      </c>
      <c r="B21" s="233">
        <f>'AEO 2025 Alt T Table 1'!F8/'AEO 2025 Alt T Table 1'!$F$8</f>
        <v>1</v>
      </c>
      <c r="C21" s="233">
        <f>'AEO 2025 Alt T Table 1'!G8/'AEO 2025 Alt T Table 1'!$F$8</f>
        <v>1.0119668825433052</v>
      </c>
      <c r="D21" s="233">
        <f>'AEO 2025 Alt T Table 1'!H8/'AEO 2025 Alt T Table 1'!$F$8</f>
        <v>1.076305603867467</v>
      </c>
      <c r="E21" s="233">
        <f>'AEO 2025 Alt T Table 1'!I8/'AEO 2025 Alt T Table 1'!$F$8</f>
        <v>1.1053764496321816</v>
      </c>
      <c r="F21" s="233">
        <f>'AEO 2025 Alt T Table 1'!J8/'AEO 2025 Alt T Table 1'!$F$8</f>
        <v>1.1030291559234229</v>
      </c>
      <c r="G21" s="233">
        <f>'AEO 2025 Alt T Table 1'!K8/'AEO 2025 Alt T Table 1'!$F$8</f>
        <v>1.106001172305288</v>
      </c>
      <c r="H21" s="233">
        <f>'AEO 2025 Alt T Table 1'!L8/'AEO 2025 Alt T Table 1'!$F$8</f>
        <v>1.1139377663078833</v>
      </c>
      <c r="I21" s="233">
        <f>'AEO 2025 Alt T Table 1'!M8/'AEO 2025 Alt T Table 1'!$F$8</f>
        <v>1.1016751802086782</v>
      </c>
      <c r="J21" s="233">
        <f>'AEO 2025 Alt T Table 1'!N8/'AEO 2025 Alt T Table 1'!$F$8</f>
        <v>1.1161976346175067</v>
      </c>
      <c r="K21" s="233">
        <f>'AEO 2025 Alt T Table 1'!O8/'AEO 2025 Alt T Table 1'!$F$8</f>
        <v>1.1289495569980621</v>
      </c>
      <c r="L21" s="233">
        <f>'AEO 2025 Alt T Table 1'!P8/'AEO 2025 Alt T Table 1'!$F$8</f>
        <v>1.1357416832117184</v>
      </c>
      <c r="M21" s="233">
        <f>'AEO 2025 Alt T Table 1'!Q8/'AEO 2025 Alt T Table 1'!$F$8</f>
        <v>1.1624006164944001</v>
      </c>
      <c r="N21" s="233">
        <f>'AEO 2025 Alt T Table 1'!R8/'AEO 2025 Alt T Table 1'!$F$8</f>
        <v>1.1619606945690828</v>
      </c>
      <c r="O21" s="233">
        <f>'AEO 2025 Alt T Table 1'!S8/'AEO 2025 Alt T Table 1'!$F$8</f>
        <v>1.169627410165651</v>
      </c>
      <c r="P21" s="233">
        <f>'AEO 2025 Alt T Table 1'!T8/'AEO 2025 Alt T Table 1'!$F$8</f>
        <v>1.1833428006916666</v>
      </c>
      <c r="Q21" s="233">
        <f>'AEO 2025 Alt T Table 1'!U8/'AEO 2025 Alt T Table 1'!$F$8</f>
        <v>1.1806153965518842</v>
      </c>
      <c r="R21" s="233">
        <f>'AEO 2025 Alt T Table 1'!V8/'AEO 2025 Alt T Table 1'!$F$8</f>
        <v>1.1796647850827673</v>
      </c>
      <c r="S21" s="233">
        <f>'AEO 2025 Alt T Table 1'!W8/'AEO 2025 Alt T Table 1'!$F$8</f>
        <v>1.1835077015404196</v>
      </c>
      <c r="T21" s="233">
        <f>'AEO 2025 Alt T Table 1'!X8/'AEO 2025 Alt T Table 1'!$F$8</f>
        <v>1.1909980011781187</v>
      </c>
      <c r="U21" s="233">
        <f>'AEO 2025 Alt T Table 1'!Y8/'AEO 2025 Alt T Table 1'!$F$8</f>
        <v>1.1986903183301882</v>
      </c>
      <c r="V21" s="233">
        <f>'AEO 2025 Alt T Table 1'!Z8/'AEO 2025 Alt T Table 1'!$F$8</f>
        <v>1.2049774566565106</v>
      </c>
      <c r="W21" s="233">
        <f>'AEO 2025 Alt T Table 1'!AA8/'AEO 2025 Alt T Table 1'!$F$8</f>
        <v>1.213264534835947</v>
      </c>
      <c r="X21" s="233">
        <f>'AEO 2025 Alt T Table 1'!AB8/'AEO 2025 Alt T Table 1'!$F$8</f>
        <v>1.2252930176285155</v>
      </c>
      <c r="Y21" s="233">
        <f>'AEO 2025 Alt T Table 1'!AC8/'AEO 2025 Alt T Table 1'!$F$8</f>
        <v>1.2359917846956137</v>
      </c>
      <c r="Z21" s="233">
        <f>'AEO 2025 Alt T Table 1'!AD8/'AEO 2025 Alt T Table 1'!$F$8</f>
        <v>1.2400066452247116</v>
      </c>
      <c r="AA21" s="233">
        <f>'AEO 2025 Alt T Table 1'!AE8/'AEO 2025 Alt T Table 1'!$F$8</f>
        <v>1.2401036851818086</v>
      </c>
      <c r="AB21" s="233">
        <f>'AEO 2025 Alt T Table 1'!AF8/'AEO 2025 Alt T Table 1'!$F$8</f>
        <v>1.2363233751480891</v>
      </c>
    </row>
    <row r="22" spans="1:30" x14ac:dyDescent="0.25">
      <c r="A22" t="s">
        <v>128</v>
      </c>
      <c r="B22" s="233">
        <f>'AEO 2025 Alt T Table 1'!F15/'AEO 2025 Alt T Table 1'!$F$15</f>
        <v>1</v>
      </c>
      <c r="C22" s="233">
        <f>'AEO 2025 Alt T Table 1'!G15/'AEO 2025 Alt T Table 1'!$F$15</f>
        <v>1.0416938168217265</v>
      </c>
      <c r="D22" s="233">
        <f>'AEO 2025 Alt T Table 1'!H15/'AEO 2025 Alt T Table 1'!$F$15</f>
        <v>0.48459321814610506</v>
      </c>
      <c r="E22" s="233">
        <f>'AEO 2025 Alt T Table 1'!I15/'AEO 2025 Alt T Table 1'!$F$15</f>
        <v>0.48369638089413203</v>
      </c>
      <c r="F22" s="233">
        <f>'AEO 2025 Alt T Table 1'!J15/'AEO 2025 Alt T Table 1'!$F$15</f>
        <v>0.44046294444901846</v>
      </c>
      <c r="G22" s="233">
        <f>'AEO 2025 Alt T Table 1'!K15/'AEO 2025 Alt T Table 1'!$F$15</f>
        <v>0.42682219686900885</v>
      </c>
      <c r="H22" s="233">
        <f>'AEO 2025 Alt T Table 1'!L15/'AEO 2025 Alt T Table 1'!$F$15</f>
        <v>0.42854530057279966</v>
      </c>
      <c r="I22" s="233">
        <f>'AEO 2025 Alt T Table 1'!M15/'AEO 2025 Alt T Table 1'!$F$15</f>
        <v>0.42852883405276343</v>
      </c>
      <c r="J22" s="233">
        <f>'AEO 2025 Alt T Table 1'!N15/'AEO 2025 Alt T Table 1'!$F$15</f>
        <v>0.35578856988273488</v>
      </c>
      <c r="K22" s="233">
        <f>'AEO 2025 Alt T Table 1'!O15/'AEO 2025 Alt T Table 1'!$F$15</f>
        <v>0.35578856988273488</v>
      </c>
      <c r="L22" s="233">
        <f>'AEO 2025 Alt T Table 1'!P15/'AEO 2025 Alt T Table 1'!$F$15</f>
        <v>0.35578856988273488</v>
      </c>
      <c r="M22" s="233">
        <f>'AEO 2025 Alt T Table 1'!Q15/'AEO 2025 Alt T Table 1'!$F$15</f>
        <v>0.35578856988273488</v>
      </c>
      <c r="N22" s="233">
        <f>'AEO 2025 Alt T Table 1'!R15/'AEO 2025 Alt T Table 1'!$F$15</f>
        <v>0.35578856988273488</v>
      </c>
      <c r="O22" s="233">
        <f>'AEO 2025 Alt T Table 1'!S15/'AEO 2025 Alt T Table 1'!$F$15</f>
        <v>0.35578856988273488</v>
      </c>
      <c r="P22" s="233">
        <f>'AEO 2025 Alt T Table 1'!T15/'AEO 2025 Alt T Table 1'!$F$15</f>
        <v>0.35578856988273488</v>
      </c>
      <c r="Q22" s="233">
        <f>'AEO 2025 Alt T Table 1'!U15/'AEO 2025 Alt T Table 1'!$F$15</f>
        <v>0.35578856988273488</v>
      </c>
      <c r="R22" s="233">
        <f>'AEO 2025 Alt T Table 1'!V15/'AEO 2025 Alt T Table 1'!$F$15</f>
        <v>0.35578856988273488</v>
      </c>
      <c r="S22" s="233">
        <f>'AEO 2025 Alt T Table 1'!W15/'AEO 2025 Alt T Table 1'!$F$15</f>
        <v>0.35578856988273488</v>
      </c>
      <c r="T22" s="233">
        <f>'AEO 2025 Alt T Table 1'!X15/'AEO 2025 Alt T Table 1'!$F$15</f>
        <v>0.35578856988273488</v>
      </c>
      <c r="U22" s="233">
        <f>'AEO 2025 Alt T Table 1'!Y15/'AEO 2025 Alt T Table 1'!$F$15</f>
        <v>0.35578856988273488</v>
      </c>
      <c r="V22" s="233">
        <f>'AEO 2025 Alt T Table 1'!Z15/'AEO 2025 Alt T Table 1'!$F$15</f>
        <v>0.35578856988273488</v>
      </c>
      <c r="W22" s="233">
        <f>'AEO 2025 Alt T Table 1'!AA15/'AEO 2025 Alt T Table 1'!$F$15</f>
        <v>0.35578856988273488</v>
      </c>
      <c r="X22" s="233">
        <f>'AEO 2025 Alt T Table 1'!AB15/'AEO 2025 Alt T Table 1'!$F$15</f>
        <v>0.35578856988273488</v>
      </c>
      <c r="Y22" s="233">
        <f>'AEO 2025 Alt T Table 1'!AC15/'AEO 2025 Alt T Table 1'!$F$15</f>
        <v>0.35578856988273488</v>
      </c>
      <c r="Z22" s="233">
        <f>'AEO 2025 Alt T Table 1'!AD15/'AEO 2025 Alt T Table 1'!$F$15</f>
        <v>0.35578856988273488</v>
      </c>
      <c r="AA22" s="233">
        <f>'AEO 2025 Alt T Table 1'!AE15/'AEO 2025 Alt T Table 1'!$F$15</f>
        <v>0.35578856988273488</v>
      </c>
      <c r="AB22" s="233">
        <f>'AEO 2025 Alt T Table 1'!AF15/'AEO 2025 Alt T Table 1'!$F$15</f>
        <v>0.35578856988273488</v>
      </c>
    </row>
    <row r="23" spans="1:30" x14ac:dyDescent="0.25">
      <c r="A23" t="s">
        <v>129</v>
      </c>
      <c r="B23" s="233">
        <v>1</v>
      </c>
      <c r="C23" s="233">
        <f>SUM('AEO 2025 Alt T Table 19'!D14:D16)/SUM('AEO 2025 Alt T Table 19'!$C$14:$C$16)</f>
        <v>1.0146136354120956</v>
      </c>
      <c r="D23" s="233">
        <f>SUM('AEO 2025 Alt T Table 19'!E14:E16)/SUM('AEO 2025 Alt T Table 19'!$C$14:$C$16)</f>
        <v>1.0364845188700587</v>
      </c>
      <c r="E23" s="233">
        <f>SUM('AEO 2025 Alt T Table 19'!F14:F16)/SUM('AEO 2025 Alt T Table 19'!$C$14:$C$16)</f>
        <v>1.0432451640094531</v>
      </c>
      <c r="F23" s="233">
        <f>SUM('AEO 2025 Alt T Table 19'!G14:G16)/SUM('AEO 2025 Alt T Table 19'!$C$14:$C$16)</f>
        <v>1.0428686543853127</v>
      </c>
      <c r="G23" s="233">
        <f>SUM('AEO 2025 Alt T Table 19'!H14:H16)/SUM('AEO 2025 Alt T Table 19'!$C$14:$C$16)</f>
        <v>1.0464872378214618</v>
      </c>
      <c r="H23" s="233">
        <f>SUM('AEO 2025 Alt T Table 19'!I14:I16)/SUM('AEO 2025 Alt T Table 19'!$C$14:$C$16)</f>
        <v>1.0565418100896447</v>
      </c>
      <c r="I23" s="233">
        <f>SUM('AEO 2025 Alt T Table 19'!J14:J16)/SUM('AEO 2025 Alt T Table 19'!$C$14:$C$16)</f>
        <v>1.0657092562583463</v>
      </c>
      <c r="J23" s="233">
        <f>SUM('AEO 2025 Alt T Table 19'!K14:K16)/SUM('AEO 2025 Alt T Table 19'!$C$14:$C$16)</f>
        <v>1.0755892186842606</v>
      </c>
      <c r="K23" s="233">
        <f>SUM('AEO 2025 Alt T Table 19'!L14:L16)/SUM('AEO 2025 Alt T Table 19'!$C$14:$C$16)</f>
        <v>1.0814825217325659</v>
      </c>
      <c r="L23" s="233">
        <f>SUM('AEO 2025 Alt T Table 19'!M14:M16)/SUM('AEO 2025 Alt T Table 19'!$C$14:$C$16)</f>
        <v>1.0868863478182968</v>
      </c>
      <c r="M23" s="233">
        <f>SUM('AEO 2025 Alt T Table 19'!N14:N16)/SUM('AEO 2025 Alt T Table 19'!$C$14:$C$16)</f>
        <v>1.0921807738960487</v>
      </c>
      <c r="N23" s="233">
        <f>SUM('AEO 2025 Alt T Table 19'!O14:O16)/SUM('AEO 2025 Alt T Table 19'!$C$14:$C$16)</f>
        <v>1.1010936546020247</v>
      </c>
      <c r="O23" s="233">
        <f>SUM('AEO 2025 Alt T Table 19'!P14:P16)/SUM('AEO 2025 Alt T Table 19'!$C$14:$C$16)</f>
        <v>1.1071323988796422</v>
      </c>
      <c r="P23" s="233">
        <f>SUM('AEO 2025 Alt T Table 19'!Q14:Q16)/SUM('AEO 2025 Alt T Table 19'!$C$14:$C$16)</f>
        <v>1.1138739922539738</v>
      </c>
      <c r="Q23" s="233">
        <f>SUM('AEO 2025 Alt T Table 19'!R14:R16)/SUM('AEO 2025 Alt T Table 19'!$C$14:$C$16)</f>
        <v>1.1197437653613251</v>
      </c>
      <c r="R23" s="233">
        <f>SUM('AEO 2025 Alt T Table 19'!S14:S16)/SUM('AEO 2025 Alt T Table 19'!$C$14:$C$16)</f>
        <v>1.1209832323653628</v>
      </c>
      <c r="S23" s="233">
        <f>SUM('AEO 2025 Alt T Table 19'!T14:T16)/SUM('AEO 2025 Alt T Table 19'!$C$14:$C$16)</f>
        <v>1.1236681534269748</v>
      </c>
      <c r="T23" s="233">
        <f>SUM('AEO 2025 Alt T Table 19'!U14:U16)/SUM('AEO 2025 Alt T Table 19'!$C$14:$C$16)</f>
        <v>1.1251891600825505</v>
      </c>
      <c r="U23" s="233">
        <f>SUM('AEO 2025 Alt T Table 19'!V14:V16)/SUM('AEO 2025 Alt T Table 19'!$C$14:$C$16)</f>
        <v>1.1308334820022921</v>
      </c>
      <c r="V23" s="233">
        <f>SUM('AEO 2025 Alt T Table 19'!W14:W16)/SUM('AEO 2025 Alt T Table 19'!$C$14:$C$16)</f>
        <v>1.1362673128676368</v>
      </c>
      <c r="W23" s="233">
        <f>SUM('AEO 2025 Alt T Table 19'!X14:X16)/SUM('AEO 2025 Alt T Table 19'!$C$14:$C$16)</f>
        <v>1.1422178329069566</v>
      </c>
      <c r="X23" s="233">
        <f>SUM('AEO 2025 Alt T Table 19'!Y14:Y16)/SUM('AEO 2025 Alt T Table 19'!$C$14:$C$16)</f>
        <v>1.1468599164337068</v>
      </c>
      <c r="Y23" s="233">
        <f>SUM('AEO 2025 Alt T Table 19'!Z14:Z16)/SUM('AEO 2025 Alt T Table 19'!$C$14:$C$16)</f>
        <v>1.1483247092293682</v>
      </c>
      <c r="Z23" s="233">
        <f>SUM('AEO 2025 Alt T Table 19'!AA14:AA16)/SUM('AEO 2025 Alt T Table 19'!$C$14:$C$16)</f>
        <v>1.1499748661431561</v>
      </c>
      <c r="AA23" s="233">
        <f>SUM('AEO 2025 Alt T Table 19'!AB14:AB16)/SUM('AEO 2025 Alt T Table 19'!$C$14:$C$16)</f>
        <v>1.149863499563375</v>
      </c>
      <c r="AB23" s="233">
        <f>SUM('AEO 2025 Alt T Table 19'!AC14:AC16)/SUM('AEO 2025 Alt T Table 19'!$C$14:$C$16)</f>
        <v>1.1503307238435712</v>
      </c>
    </row>
    <row r="26" spans="1:30" x14ac:dyDescent="0.25">
      <c r="A26" s="195" t="s">
        <v>453</v>
      </c>
      <c r="B26" s="196"/>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c r="AA26" s="196"/>
      <c r="AB26" s="196"/>
      <c r="AC26" s="196"/>
      <c r="AD26" s="196"/>
    </row>
    <row r="27" spans="1:30" s="1" customFormat="1" x14ac:dyDescent="0.25">
      <c r="B27" s="1">
        <f t="shared" ref="B27:AB27" si="0">B2</f>
        <v>2024</v>
      </c>
      <c r="C27" s="1">
        <f t="shared" si="0"/>
        <v>2025</v>
      </c>
      <c r="D27" s="1">
        <f t="shared" si="0"/>
        <v>2026</v>
      </c>
      <c r="E27" s="1">
        <f t="shared" si="0"/>
        <v>2027</v>
      </c>
      <c r="F27" s="1">
        <f t="shared" si="0"/>
        <v>2028</v>
      </c>
      <c r="G27" s="1">
        <f t="shared" si="0"/>
        <v>2029</v>
      </c>
      <c r="H27" s="1">
        <f t="shared" si="0"/>
        <v>2030</v>
      </c>
      <c r="I27" s="1">
        <f t="shared" si="0"/>
        <v>2031</v>
      </c>
      <c r="J27" s="1">
        <f t="shared" si="0"/>
        <v>2032</v>
      </c>
      <c r="K27" s="1">
        <f t="shared" si="0"/>
        <v>2033</v>
      </c>
      <c r="L27" s="1">
        <f t="shared" si="0"/>
        <v>2034</v>
      </c>
      <c r="M27" s="1">
        <f t="shared" si="0"/>
        <v>2035</v>
      </c>
      <c r="N27" s="1">
        <f t="shared" si="0"/>
        <v>2036</v>
      </c>
      <c r="O27" s="1">
        <f t="shared" si="0"/>
        <v>2037</v>
      </c>
      <c r="P27" s="1">
        <f t="shared" si="0"/>
        <v>2038</v>
      </c>
      <c r="Q27" s="1">
        <f t="shared" si="0"/>
        <v>2039</v>
      </c>
      <c r="R27" s="1">
        <f t="shared" si="0"/>
        <v>2040</v>
      </c>
      <c r="S27" s="1">
        <f t="shared" si="0"/>
        <v>2041</v>
      </c>
      <c r="T27" s="1">
        <f t="shared" si="0"/>
        <v>2042</v>
      </c>
      <c r="U27" s="1">
        <f t="shared" si="0"/>
        <v>2043</v>
      </c>
      <c r="V27" s="1">
        <f t="shared" si="0"/>
        <v>2044</v>
      </c>
      <c r="W27" s="1">
        <f t="shared" si="0"/>
        <v>2045</v>
      </c>
      <c r="X27" s="1">
        <f t="shared" si="0"/>
        <v>2046</v>
      </c>
      <c r="Y27" s="1">
        <f t="shared" si="0"/>
        <v>2047</v>
      </c>
      <c r="Z27" s="1">
        <f t="shared" si="0"/>
        <v>2048</v>
      </c>
      <c r="AA27" s="1">
        <f t="shared" si="0"/>
        <v>2049</v>
      </c>
      <c r="AB27" s="1">
        <f t="shared" si="0"/>
        <v>2050</v>
      </c>
    </row>
    <row r="28" spans="1:30" ht="30" x14ac:dyDescent="0.25">
      <c r="A28" s="30" t="s">
        <v>115</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c r="AD28" s="7"/>
    </row>
    <row r="29" spans="1:30" x14ac:dyDescent="0.25">
      <c r="A29" t="s">
        <v>116</v>
      </c>
      <c r="B29" s="229">
        <f>'AEO 2025 HZC Table 1'!F$21/'AEO 2025 HZC Table 1'!$F$21</f>
        <v>1</v>
      </c>
      <c r="C29" s="229">
        <f>'AEO 2025 HZC Table 1'!G$21/'AEO 2025 HZC Table 1'!$F$21</f>
        <v>1.4563698495962387</v>
      </c>
      <c r="D29" s="229">
        <f>'AEO 2025 HZC Table 1'!H$21/'AEO 2025 HZC Table 1'!$F$21</f>
        <v>1.7354548026902901</v>
      </c>
      <c r="E29" s="229">
        <f>'AEO 2025 HZC Table 1'!I$21/'AEO 2025 HZC Table 1'!$F$21</f>
        <v>2.3388764338419348</v>
      </c>
      <c r="F29" s="229">
        <f>'AEO 2025 HZC Table 1'!J$21/'AEO 2025 HZC Table 1'!$F$21</f>
        <v>2.7881831835100019</v>
      </c>
      <c r="G29" s="229">
        <f>'AEO 2025 HZC Table 1'!K$21/'AEO 2025 HZC Table 1'!$F$21</f>
        <v>2.9909126526347865</v>
      </c>
      <c r="H29" s="229">
        <f>'AEO 2025 HZC Table 1'!L$21/'AEO 2025 HZC Table 1'!$F$21</f>
        <v>3.2783231395424766</v>
      </c>
      <c r="I29" s="229">
        <f>'AEO 2025 HZC Table 1'!M$21/'AEO 2025 HZC Table 1'!$F$21</f>
        <v>3.3549398167294258</v>
      </c>
      <c r="J29" s="229">
        <f>'AEO 2025 HZC Table 1'!N$21/'AEO 2025 HZC Table 1'!$F$21</f>
        <v>3.4315673769671116</v>
      </c>
      <c r="K29" s="229">
        <f>'AEO 2025 HZC Table 1'!O$21/'AEO 2025 HZC Table 1'!$F$21</f>
        <v>3.518011448969375</v>
      </c>
      <c r="L29" s="229">
        <f>'AEO 2025 HZC Table 1'!P$21/'AEO 2025 HZC Table 1'!$F$21</f>
        <v>3.5486363537426815</v>
      </c>
      <c r="M29" s="229">
        <f>'AEO 2025 HZC Table 1'!Q$21/'AEO 2025 HZC Table 1'!$F$21</f>
        <v>3.5950852142872693</v>
      </c>
      <c r="N29" s="229">
        <f>'AEO 2025 HZC Table 1'!R$21/'AEO 2025 HZC Table 1'!$F$21</f>
        <v>3.5106980388742572</v>
      </c>
      <c r="O29" s="229">
        <f>'AEO 2025 HZC Table 1'!S$21/'AEO 2025 HZC Table 1'!$F$21</f>
        <v>3.4701151426767951</v>
      </c>
      <c r="P29" s="229">
        <f>'AEO 2025 HZC Table 1'!T$21/'AEO 2025 HZC Table 1'!$F$21</f>
        <v>3.4510698038874263</v>
      </c>
      <c r="Q29" s="229">
        <f>'AEO 2025 HZC Table 1'!U$21/'AEO 2025 HZC Table 1'!$F$21</f>
        <v>3.3653004810308427</v>
      </c>
      <c r="R29" s="229">
        <f>'AEO 2025 HZC Table 1'!V$21/'AEO 2025 HZC Table 1'!$F$21</f>
        <v>3.4182247567638164</v>
      </c>
      <c r="S29" s="229">
        <f>'AEO 2025 HZC Table 1'!W$21/'AEO 2025 HZC Table 1'!$F$21</f>
        <v>3.4337439871144682</v>
      </c>
      <c r="T29" s="229">
        <f>'AEO 2025 HZC Table 1'!X$21/'AEO 2025 HZC Table 1'!$F$21</f>
        <v>3.4069390331497726</v>
      </c>
      <c r="U29" s="229">
        <f>'AEO 2025 HZC Table 1'!Y$21/'AEO 2025 HZC Table 1'!$F$21</f>
        <v>3.1902248438282217</v>
      </c>
      <c r="V29" s="229">
        <f>'AEO 2025 HZC Table 1'!Z$21/'AEO 2025 HZC Table 1'!$F$21</f>
        <v>3.1744879524628344</v>
      </c>
      <c r="W29" s="229">
        <f>'AEO 2025 HZC Table 1'!AA$21/'AEO 2025 HZC Table 1'!$F$21</f>
        <v>3.1485645256078185</v>
      </c>
      <c r="X29" s="229">
        <f>'AEO 2025 HZC Table 1'!AB$21/'AEO 2025 HZC Table 1'!$F$21</f>
        <v>2.9730426833249899</v>
      </c>
      <c r="Y29" s="229">
        <f>'AEO 2025 HZC Table 1'!AC$21/'AEO 2025 HZC Table 1'!$F$21</f>
        <v>2.8541235879241671</v>
      </c>
      <c r="Z29" s="229">
        <f>'AEO 2025 HZC Table 1'!AD$21/'AEO 2025 HZC Table 1'!$F$21</f>
        <v>2.781566288662038</v>
      </c>
      <c r="AA29" s="229">
        <f>'AEO 2025 HZC Table 1'!AE$21/'AEO 2025 HZC Table 1'!$F$21</f>
        <v>2.6720719151992687</v>
      </c>
      <c r="AB29" s="229">
        <f>'AEO 2025 HZC Table 1'!AF$21/'AEO 2025 HZC Table 1'!$F$21</f>
        <v>2.5732864636614936</v>
      </c>
    </row>
    <row r="30" spans="1:30" x14ac:dyDescent="0.25">
      <c r="A30" t="s">
        <v>106</v>
      </c>
      <c r="B30" s="229">
        <f>'AEO 2025 HZC Table 1'!F20/'AEO 2025 HZC Table 1'!$F$20</f>
        <v>1</v>
      </c>
      <c r="C30" s="229">
        <f>'AEO 2025 HZC Table 1'!G20/'AEO 2025 HZC Table 1'!$F$20</f>
        <v>0.94855236832328549</v>
      </c>
      <c r="D30" s="229">
        <f>'AEO 2025 HZC Table 1'!H20/'AEO 2025 HZC Table 1'!$F$20</f>
        <v>0.79310982579575451</v>
      </c>
      <c r="E30" s="229">
        <f>'AEO 2025 HZC Table 1'!I20/'AEO 2025 HZC Table 1'!$F$20</f>
        <v>0.87183648905713085</v>
      </c>
      <c r="F30" s="229">
        <f>'AEO 2025 HZC Table 1'!J20/'AEO 2025 HZC Table 1'!$F$20</f>
        <v>0.85356582159539263</v>
      </c>
      <c r="G30" s="229">
        <f>'AEO 2025 HZC Table 1'!K20/'AEO 2025 HZC Table 1'!$F$20</f>
        <v>0.86994878784512175</v>
      </c>
      <c r="H30" s="229">
        <f>'AEO 2025 HZC Table 1'!L20/'AEO 2025 HZC Table 1'!$F$20</f>
        <v>0.89246160060090318</v>
      </c>
      <c r="I30" s="229">
        <f>'AEO 2025 HZC Table 1'!M20/'AEO 2025 HZC Table 1'!$F$20</f>
        <v>0.89579358110329466</v>
      </c>
      <c r="J30" s="229">
        <f>'AEO 2025 HZC Table 1'!N20/'AEO 2025 HZC Table 1'!$F$20</f>
        <v>0.89432630476657515</v>
      </c>
      <c r="K30" s="229">
        <f>'AEO 2025 HZC Table 1'!O20/'AEO 2025 HZC Table 1'!$F$20</f>
        <v>0.85058171190660747</v>
      </c>
      <c r="L30" s="229">
        <f>'AEO 2025 HZC Table 1'!P20/'AEO 2025 HZC Table 1'!$F$20</f>
        <v>0.80259076302580246</v>
      </c>
      <c r="M30" s="229">
        <f>'AEO 2025 HZC Table 1'!Q20/'AEO 2025 HZC Table 1'!$F$20</f>
        <v>0.80212628747020509</v>
      </c>
      <c r="N30" s="229">
        <f>'AEO 2025 HZC Table 1'!R20/'AEO 2025 HZC Table 1'!$F$20</f>
        <v>0.81361736089135261</v>
      </c>
      <c r="O30" s="229">
        <f>'AEO 2025 HZC Table 1'!S20/'AEO 2025 HZC Table 1'!$F$20</f>
        <v>0.82319190581705437</v>
      </c>
      <c r="P30" s="229">
        <f>'AEO 2025 HZC Table 1'!T20/'AEO 2025 HZC Table 1'!$F$20</f>
        <v>0.83402027562121983</v>
      </c>
      <c r="Q30" s="229">
        <f>'AEO 2025 HZC Table 1'!U20/'AEO 2025 HZC Table 1'!$F$20</f>
        <v>0.84143180258298944</v>
      </c>
      <c r="R30" s="229">
        <f>'AEO 2025 HZC Table 1'!V20/'AEO 2025 HZC Table 1'!$F$20</f>
        <v>0.8276105777343894</v>
      </c>
      <c r="S30" s="229">
        <f>'AEO 2025 HZC Table 1'!W20/'AEO 2025 HZC Table 1'!$F$20</f>
        <v>0.78541132160786287</v>
      </c>
      <c r="T30" s="229">
        <f>'AEO 2025 HZC Table 1'!X20/'AEO 2025 HZC Table 1'!$F$20</f>
        <v>0.78664571236266156</v>
      </c>
      <c r="U30" s="229">
        <f>'AEO 2025 HZC Table 1'!Y20/'AEO 2025 HZC Table 1'!$F$20</f>
        <v>0.80815540043525969</v>
      </c>
      <c r="V30" s="229">
        <f>'AEO 2025 HZC Table 1'!Z20/'AEO 2025 HZC Table 1'!$F$20</f>
        <v>0.82971658893557032</v>
      </c>
      <c r="W30" s="229">
        <f>'AEO 2025 HZC Table 1'!AA20/'AEO 2025 HZC Table 1'!$F$20</f>
        <v>0.82564254881123089</v>
      </c>
      <c r="X30" s="229">
        <f>'AEO 2025 HZC Table 1'!AB20/'AEO 2025 HZC Table 1'!$F$20</f>
        <v>0.77127332054352071</v>
      </c>
      <c r="Y30" s="229">
        <f>'AEO 2025 HZC Table 1'!AC20/'AEO 2025 HZC Table 1'!$F$20</f>
        <v>0.7656523241754345</v>
      </c>
      <c r="Z30" s="229">
        <f>'AEO 2025 HZC Table 1'!AD20/'AEO 2025 HZC Table 1'!$F$20</f>
        <v>0.78631468445623165</v>
      </c>
      <c r="AA30" s="229">
        <f>'AEO 2025 HZC Table 1'!AE20/'AEO 2025 HZC Table 1'!$F$20</f>
        <v>0.8155426347424477</v>
      </c>
      <c r="AB30" s="229">
        <f>'AEO 2025 HZC Table 1'!AF20/'AEO 2025 HZC Table 1'!$F$20</f>
        <v>0.84458142622498966</v>
      </c>
    </row>
    <row r="31" spans="1:30" x14ac:dyDescent="0.25">
      <c r="A31" t="s">
        <v>108</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row>
    <row r="32" spans="1:30" x14ac:dyDescent="0.25">
      <c r="A32" s="7" t="s">
        <v>118</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c r="AD32" s="7"/>
    </row>
    <row r="33" spans="1:30" x14ac:dyDescent="0.25">
      <c r="A33" s="7" t="s">
        <v>119</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c r="AD33" s="7"/>
    </row>
    <row r="34" spans="1:30" x14ac:dyDescent="0.25">
      <c r="A34" s="7" t="s">
        <v>120</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c r="AD34" s="7"/>
    </row>
    <row r="35" spans="1:30" x14ac:dyDescent="0.25">
      <c r="A35" t="s">
        <v>109</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row>
    <row r="36" spans="1:30" x14ac:dyDescent="0.25">
      <c r="A36" t="s">
        <v>110</v>
      </c>
      <c r="B36" s="233">
        <f>'AEO 2025 Alt T Table 1'!F$19/'AEO 2025 Alt T Table 1'!$F$19</f>
        <v>1</v>
      </c>
      <c r="C36" s="233">
        <f>'AEO 2025 Alt T Table 1'!G$19/'AEO 2025 Alt T Table 1'!$F$19</f>
        <v>0.9742064055253018</v>
      </c>
      <c r="D36" s="233">
        <f>'AEO 2025 Alt T Table 1'!H$19/'AEO 2025 Alt T Table 1'!$F$19</f>
        <v>1.0145058424458673</v>
      </c>
      <c r="E36" s="233">
        <f>'AEO 2025 Alt T Table 1'!I$19/'AEO 2025 Alt T Table 1'!$F$19</f>
        <v>0.98818355111020162</v>
      </c>
      <c r="F36" s="233">
        <f>'AEO 2025 Alt T Table 1'!J$19/'AEO 2025 Alt T Table 1'!$F$19</f>
        <v>0.9637963593963772</v>
      </c>
      <c r="G36" s="233">
        <f>'AEO 2025 Alt T Table 1'!K$19/'AEO 2025 Alt T Table 1'!$F$19</f>
        <v>0.94566615434245971</v>
      </c>
      <c r="H36" s="233">
        <f>'AEO 2025 Alt T Table 1'!L$19/'AEO 2025 Alt T Table 1'!$F$19</f>
        <v>0.92936318685238017</v>
      </c>
      <c r="I36" s="233">
        <f>'AEO 2025 Alt T Table 1'!M$19/'AEO 2025 Alt T Table 1'!$F$19</f>
        <v>0.92787360442663913</v>
      </c>
      <c r="J36" s="233">
        <f>'AEO 2025 Alt T Table 1'!N$19/'AEO 2025 Alt T Table 1'!$F$19</f>
        <v>0.91062110527262807</v>
      </c>
      <c r="K36" s="233">
        <f>'AEO 2025 Alt T Table 1'!O$19/'AEO 2025 Alt T Table 1'!$F$19</f>
        <v>0.9011657741101935</v>
      </c>
      <c r="L36" s="233">
        <f>'AEO 2025 Alt T Table 1'!P$19/'AEO 2025 Alt T Table 1'!$F$19</f>
        <v>0.89559076197262666</v>
      </c>
      <c r="M36" s="233">
        <f>'AEO 2025 Alt T Table 1'!Q$19/'AEO 2025 Alt T Table 1'!$F$19</f>
        <v>0.88749987350273518</v>
      </c>
      <c r="N36" s="233">
        <f>'AEO 2025 Alt T Table 1'!R$19/'AEO 2025 Alt T Table 1'!$F$19</f>
        <v>0.88438569596080041</v>
      </c>
      <c r="O36" s="233">
        <f>'AEO 2025 Alt T Table 1'!S$19/'AEO 2025 Alt T Table 1'!$F$19</f>
        <v>0.88288204457097175</v>
      </c>
      <c r="P36" s="233">
        <f>'AEO 2025 Alt T Table 1'!T$19/'AEO 2025 Alt T Table 1'!$F$19</f>
        <v>0.88061027710675943</v>
      </c>
      <c r="Q36" s="233">
        <f>'AEO 2025 Alt T Table 1'!U$19/'AEO 2025 Alt T Table 1'!$F$19</f>
        <v>0.86822983553380972</v>
      </c>
      <c r="R36" s="233">
        <f>'AEO 2025 Alt T Table 1'!V$19/'AEO 2025 Alt T Table 1'!$F$19</f>
        <v>0.86574135665786567</v>
      </c>
      <c r="S36" s="233">
        <f>'AEO 2025 Alt T Table 1'!W$19/'AEO 2025 Alt T Table 1'!$F$19</f>
        <v>0.86645887382632125</v>
      </c>
      <c r="T36" s="233">
        <f>'AEO 2025 Alt T Table 1'!X$19/'AEO 2025 Alt T Table 1'!$F$19</f>
        <v>0.87312460091655597</v>
      </c>
      <c r="U36" s="233">
        <f>'AEO 2025 Alt T Table 1'!Y$19/'AEO 2025 Alt T Table 1'!$F$19</f>
        <v>0.87344794026663397</v>
      </c>
      <c r="V36" s="233">
        <f>'AEO 2025 Alt T Table 1'!Z$19/'AEO 2025 Alt T Table 1'!$F$19</f>
        <v>0.87307671707387258</v>
      </c>
      <c r="W36" s="233">
        <f>'AEO 2025 Alt T Table 1'!AA$19/'AEO 2025 Alt T Table 1'!$F$19</f>
        <v>0.86944544339574437</v>
      </c>
      <c r="X36" s="233">
        <f>'AEO 2025 Alt T Table 1'!AB$19/'AEO 2025 Alt T Table 1'!$F$19</f>
        <v>0.8689735160389892</v>
      </c>
      <c r="Y36" s="233">
        <f>'AEO 2025 Alt T Table 1'!AC$19/'AEO 2025 Alt T Table 1'!$F$19</f>
        <v>0.86965869927243711</v>
      </c>
      <c r="Z36" s="233">
        <f>'AEO 2025 Alt T Table 1'!AD$19/'AEO 2025 Alt T Table 1'!$F$19</f>
        <v>0.88635164857406112</v>
      </c>
      <c r="AA36" s="233">
        <f>'AEO 2025 Alt T Table 1'!AE$19/'AEO 2025 Alt T Table 1'!$F$19</f>
        <v>0.88717974286376478</v>
      </c>
      <c r="AB36" s="233">
        <f>'AEO 2025 Alt T Table 1'!AF$19/'AEO 2025 Alt T Table 1'!$F$19</f>
        <v>0.87030068831789731</v>
      </c>
    </row>
    <row r="37" spans="1:30" x14ac:dyDescent="0.25">
      <c r="A37" t="s">
        <v>121</v>
      </c>
      <c r="B37" s="233">
        <f>'AEO 2025 Alt T Table 1'!F$19/'AEO 2025 Alt T Table 1'!$F$19</f>
        <v>1</v>
      </c>
      <c r="C37" s="233">
        <f>'AEO 2025 Alt T Table 1'!G$19/'AEO 2025 Alt T Table 1'!$F$19</f>
        <v>0.9742064055253018</v>
      </c>
      <c r="D37" s="233">
        <f>'AEO 2025 Alt T Table 1'!H$19/'AEO 2025 Alt T Table 1'!$F$19</f>
        <v>1.0145058424458673</v>
      </c>
      <c r="E37" s="233">
        <f>'AEO 2025 Alt T Table 1'!I$19/'AEO 2025 Alt T Table 1'!$F$19</f>
        <v>0.98818355111020162</v>
      </c>
      <c r="F37" s="233">
        <f>'AEO 2025 Alt T Table 1'!J$19/'AEO 2025 Alt T Table 1'!$F$19</f>
        <v>0.9637963593963772</v>
      </c>
      <c r="G37" s="233">
        <f>'AEO 2025 Alt T Table 1'!K$19/'AEO 2025 Alt T Table 1'!$F$19</f>
        <v>0.94566615434245971</v>
      </c>
      <c r="H37" s="233">
        <f>'AEO 2025 Alt T Table 1'!L$19/'AEO 2025 Alt T Table 1'!$F$19</f>
        <v>0.92936318685238017</v>
      </c>
      <c r="I37" s="233">
        <f>'AEO 2025 Alt T Table 1'!M$19/'AEO 2025 Alt T Table 1'!$F$19</f>
        <v>0.92787360442663913</v>
      </c>
      <c r="J37" s="233">
        <f>'AEO 2025 Alt T Table 1'!N$19/'AEO 2025 Alt T Table 1'!$F$19</f>
        <v>0.91062110527262807</v>
      </c>
      <c r="K37" s="233">
        <f>'AEO 2025 Alt T Table 1'!O$19/'AEO 2025 Alt T Table 1'!$F$19</f>
        <v>0.9011657741101935</v>
      </c>
      <c r="L37" s="233">
        <f>'AEO 2025 Alt T Table 1'!P$19/'AEO 2025 Alt T Table 1'!$F$19</f>
        <v>0.89559076197262666</v>
      </c>
      <c r="M37" s="233">
        <f>'AEO 2025 Alt T Table 1'!Q$19/'AEO 2025 Alt T Table 1'!$F$19</f>
        <v>0.88749987350273518</v>
      </c>
      <c r="N37" s="233">
        <f>'AEO 2025 Alt T Table 1'!R$19/'AEO 2025 Alt T Table 1'!$F$19</f>
        <v>0.88438569596080041</v>
      </c>
      <c r="O37" s="233">
        <f>'AEO 2025 Alt T Table 1'!S$19/'AEO 2025 Alt T Table 1'!$F$19</f>
        <v>0.88288204457097175</v>
      </c>
      <c r="P37" s="233">
        <f>'AEO 2025 Alt T Table 1'!T$19/'AEO 2025 Alt T Table 1'!$F$19</f>
        <v>0.88061027710675943</v>
      </c>
      <c r="Q37" s="233">
        <f>'AEO 2025 Alt T Table 1'!U$19/'AEO 2025 Alt T Table 1'!$F$19</f>
        <v>0.86822983553380972</v>
      </c>
      <c r="R37" s="233">
        <f>'AEO 2025 Alt T Table 1'!V$19/'AEO 2025 Alt T Table 1'!$F$19</f>
        <v>0.86574135665786567</v>
      </c>
      <c r="S37" s="233">
        <f>'AEO 2025 Alt T Table 1'!W$19/'AEO 2025 Alt T Table 1'!$F$19</f>
        <v>0.86645887382632125</v>
      </c>
      <c r="T37" s="233">
        <f>'AEO 2025 Alt T Table 1'!X$19/'AEO 2025 Alt T Table 1'!$F$19</f>
        <v>0.87312460091655597</v>
      </c>
      <c r="U37" s="233">
        <f>'AEO 2025 Alt T Table 1'!Y$19/'AEO 2025 Alt T Table 1'!$F$19</f>
        <v>0.87344794026663397</v>
      </c>
      <c r="V37" s="233">
        <f>'AEO 2025 Alt T Table 1'!Z$19/'AEO 2025 Alt T Table 1'!$F$19</f>
        <v>0.87307671707387258</v>
      </c>
      <c r="W37" s="233">
        <f>'AEO 2025 Alt T Table 1'!AA$19/'AEO 2025 Alt T Table 1'!$F$19</f>
        <v>0.86944544339574437</v>
      </c>
      <c r="X37" s="233">
        <f>'AEO 2025 Alt T Table 1'!AB$19/'AEO 2025 Alt T Table 1'!$F$19</f>
        <v>0.8689735160389892</v>
      </c>
      <c r="Y37" s="233">
        <f>'AEO 2025 Alt T Table 1'!AC$19/'AEO 2025 Alt T Table 1'!$F$19</f>
        <v>0.86965869927243711</v>
      </c>
      <c r="Z37" s="233">
        <f>'AEO 2025 Alt T Table 1'!AD$19/'AEO 2025 Alt T Table 1'!$F$19</f>
        <v>0.88635164857406112</v>
      </c>
      <c r="AA37" s="233">
        <f>'AEO 2025 Alt T Table 1'!AE$19/'AEO 2025 Alt T Table 1'!$F$19</f>
        <v>0.88717974286376478</v>
      </c>
      <c r="AB37" s="233">
        <f>'AEO 2025 Alt T Table 1'!AF$19/'AEO 2025 Alt T Table 1'!$F$19</f>
        <v>0.87030068831789731</v>
      </c>
    </row>
    <row r="38" spans="1:30" x14ac:dyDescent="0.25">
      <c r="A38" t="s">
        <v>122</v>
      </c>
      <c r="B38" s="233">
        <f>'AEO 2025 Alt T Table 1'!F$19/'AEO 2025 Alt T Table 1'!$F$19</f>
        <v>1</v>
      </c>
      <c r="C38" s="233">
        <f>'AEO 2025 Alt T Table 1'!G$19/'AEO 2025 Alt T Table 1'!$F$19</f>
        <v>0.9742064055253018</v>
      </c>
      <c r="D38" s="233">
        <f>'AEO 2025 Alt T Table 1'!H$19/'AEO 2025 Alt T Table 1'!$F$19</f>
        <v>1.0145058424458673</v>
      </c>
      <c r="E38" s="233">
        <f>'AEO 2025 Alt T Table 1'!I$19/'AEO 2025 Alt T Table 1'!$F$19</f>
        <v>0.98818355111020162</v>
      </c>
      <c r="F38" s="233">
        <f>'AEO 2025 Alt T Table 1'!J$19/'AEO 2025 Alt T Table 1'!$F$19</f>
        <v>0.9637963593963772</v>
      </c>
      <c r="G38" s="233">
        <f>'AEO 2025 Alt T Table 1'!K$19/'AEO 2025 Alt T Table 1'!$F$19</f>
        <v>0.94566615434245971</v>
      </c>
      <c r="H38" s="233">
        <f>'AEO 2025 Alt T Table 1'!L$19/'AEO 2025 Alt T Table 1'!$F$19</f>
        <v>0.92936318685238017</v>
      </c>
      <c r="I38" s="233">
        <f>'AEO 2025 Alt T Table 1'!M$19/'AEO 2025 Alt T Table 1'!$F$19</f>
        <v>0.92787360442663913</v>
      </c>
      <c r="J38" s="233">
        <f>'AEO 2025 Alt T Table 1'!N$19/'AEO 2025 Alt T Table 1'!$F$19</f>
        <v>0.91062110527262807</v>
      </c>
      <c r="K38" s="233">
        <f>'AEO 2025 Alt T Table 1'!O$19/'AEO 2025 Alt T Table 1'!$F$19</f>
        <v>0.9011657741101935</v>
      </c>
      <c r="L38" s="233">
        <f>'AEO 2025 Alt T Table 1'!P$19/'AEO 2025 Alt T Table 1'!$F$19</f>
        <v>0.89559076197262666</v>
      </c>
      <c r="M38" s="233">
        <f>'AEO 2025 Alt T Table 1'!Q$19/'AEO 2025 Alt T Table 1'!$F$19</f>
        <v>0.88749987350273518</v>
      </c>
      <c r="N38" s="233">
        <f>'AEO 2025 Alt T Table 1'!R$19/'AEO 2025 Alt T Table 1'!$F$19</f>
        <v>0.88438569596080041</v>
      </c>
      <c r="O38" s="233">
        <f>'AEO 2025 Alt T Table 1'!S$19/'AEO 2025 Alt T Table 1'!$F$19</f>
        <v>0.88288204457097175</v>
      </c>
      <c r="P38" s="233">
        <f>'AEO 2025 Alt T Table 1'!T$19/'AEO 2025 Alt T Table 1'!$F$19</f>
        <v>0.88061027710675943</v>
      </c>
      <c r="Q38" s="233">
        <f>'AEO 2025 Alt T Table 1'!U$19/'AEO 2025 Alt T Table 1'!$F$19</f>
        <v>0.86822983553380972</v>
      </c>
      <c r="R38" s="233">
        <f>'AEO 2025 Alt T Table 1'!V$19/'AEO 2025 Alt T Table 1'!$F$19</f>
        <v>0.86574135665786567</v>
      </c>
      <c r="S38" s="233">
        <f>'AEO 2025 Alt T Table 1'!W$19/'AEO 2025 Alt T Table 1'!$F$19</f>
        <v>0.86645887382632125</v>
      </c>
      <c r="T38" s="233">
        <f>'AEO 2025 Alt T Table 1'!X$19/'AEO 2025 Alt T Table 1'!$F$19</f>
        <v>0.87312460091655597</v>
      </c>
      <c r="U38" s="233">
        <f>'AEO 2025 Alt T Table 1'!Y$19/'AEO 2025 Alt T Table 1'!$F$19</f>
        <v>0.87344794026663397</v>
      </c>
      <c r="V38" s="233">
        <f>'AEO 2025 Alt T Table 1'!Z$19/'AEO 2025 Alt T Table 1'!$F$19</f>
        <v>0.87307671707387258</v>
      </c>
      <c r="W38" s="233">
        <f>'AEO 2025 Alt T Table 1'!AA$19/'AEO 2025 Alt T Table 1'!$F$19</f>
        <v>0.86944544339574437</v>
      </c>
      <c r="X38" s="233">
        <f>'AEO 2025 Alt T Table 1'!AB$19/'AEO 2025 Alt T Table 1'!$F$19</f>
        <v>0.8689735160389892</v>
      </c>
      <c r="Y38" s="233">
        <f>'AEO 2025 Alt T Table 1'!AC$19/'AEO 2025 Alt T Table 1'!$F$19</f>
        <v>0.86965869927243711</v>
      </c>
      <c r="Z38" s="233">
        <f>'AEO 2025 Alt T Table 1'!AD$19/'AEO 2025 Alt T Table 1'!$F$19</f>
        <v>0.88635164857406112</v>
      </c>
      <c r="AA38" s="233">
        <f>'AEO 2025 Alt T Table 1'!AE$19/'AEO 2025 Alt T Table 1'!$F$19</f>
        <v>0.88717974286376478</v>
      </c>
      <c r="AB38" s="233">
        <f>'AEO 2025 Alt T Table 1'!AF$19/'AEO 2025 Alt T Table 1'!$F$19</f>
        <v>0.87030068831789731</v>
      </c>
    </row>
    <row r="39" spans="1:30" x14ac:dyDescent="0.25">
      <c r="A39" t="s">
        <v>123</v>
      </c>
      <c r="B39" s="233">
        <f>'AEO 2025 Alt T Table 1'!F$19/'AEO 2025 Alt T Table 1'!$F$19</f>
        <v>1</v>
      </c>
      <c r="C39" s="233">
        <f>'AEO 2025 Alt T Table 1'!G$19/'AEO 2025 Alt T Table 1'!$F$19</f>
        <v>0.9742064055253018</v>
      </c>
      <c r="D39" s="233">
        <f>'AEO 2025 Alt T Table 1'!H$19/'AEO 2025 Alt T Table 1'!$F$19</f>
        <v>1.0145058424458673</v>
      </c>
      <c r="E39" s="233">
        <f>'AEO 2025 Alt T Table 1'!I$19/'AEO 2025 Alt T Table 1'!$F$19</f>
        <v>0.98818355111020162</v>
      </c>
      <c r="F39" s="233">
        <f>'AEO 2025 Alt T Table 1'!J$19/'AEO 2025 Alt T Table 1'!$F$19</f>
        <v>0.9637963593963772</v>
      </c>
      <c r="G39" s="233">
        <f>'AEO 2025 Alt T Table 1'!K$19/'AEO 2025 Alt T Table 1'!$F$19</f>
        <v>0.94566615434245971</v>
      </c>
      <c r="H39" s="233">
        <f>'AEO 2025 Alt T Table 1'!L$19/'AEO 2025 Alt T Table 1'!$F$19</f>
        <v>0.92936318685238017</v>
      </c>
      <c r="I39" s="233">
        <f>'AEO 2025 Alt T Table 1'!M$19/'AEO 2025 Alt T Table 1'!$F$19</f>
        <v>0.92787360442663913</v>
      </c>
      <c r="J39" s="233">
        <f>'AEO 2025 Alt T Table 1'!N$19/'AEO 2025 Alt T Table 1'!$F$19</f>
        <v>0.91062110527262807</v>
      </c>
      <c r="K39" s="233">
        <f>'AEO 2025 Alt T Table 1'!O$19/'AEO 2025 Alt T Table 1'!$F$19</f>
        <v>0.9011657741101935</v>
      </c>
      <c r="L39" s="233">
        <f>'AEO 2025 Alt T Table 1'!P$19/'AEO 2025 Alt T Table 1'!$F$19</f>
        <v>0.89559076197262666</v>
      </c>
      <c r="M39" s="233">
        <f>'AEO 2025 Alt T Table 1'!Q$19/'AEO 2025 Alt T Table 1'!$F$19</f>
        <v>0.88749987350273518</v>
      </c>
      <c r="N39" s="233">
        <f>'AEO 2025 Alt T Table 1'!R$19/'AEO 2025 Alt T Table 1'!$F$19</f>
        <v>0.88438569596080041</v>
      </c>
      <c r="O39" s="233">
        <f>'AEO 2025 Alt T Table 1'!S$19/'AEO 2025 Alt T Table 1'!$F$19</f>
        <v>0.88288204457097175</v>
      </c>
      <c r="P39" s="233">
        <f>'AEO 2025 Alt T Table 1'!T$19/'AEO 2025 Alt T Table 1'!$F$19</f>
        <v>0.88061027710675943</v>
      </c>
      <c r="Q39" s="233">
        <f>'AEO 2025 Alt T Table 1'!U$19/'AEO 2025 Alt T Table 1'!$F$19</f>
        <v>0.86822983553380972</v>
      </c>
      <c r="R39" s="233">
        <f>'AEO 2025 Alt T Table 1'!V$19/'AEO 2025 Alt T Table 1'!$F$19</f>
        <v>0.86574135665786567</v>
      </c>
      <c r="S39" s="233">
        <f>'AEO 2025 Alt T Table 1'!W$19/'AEO 2025 Alt T Table 1'!$F$19</f>
        <v>0.86645887382632125</v>
      </c>
      <c r="T39" s="233">
        <f>'AEO 2025 Alt T Table 1'!X$19/'AEO 2025 Alt T Table 1'!$F$19</f>
        <v>0.87312460091655597</v>
      </c>
      <c r="U39" s="233">
        <f>'AEO 2025 Alt T Table 1'!Y$19/'AEO 2025 Alt T Table 1'!$F$19</f>
        <v>0.87344794026663397</v>
      </c>
      <c r="V39" s="233">
        <f>'AEO 2025 Alt T Table 1'!Z$19/'AEO 2025 Alt T Table 1'!$F$19</f>
        <v>0.87307671707387258</v>
      </c>
      <c r="W39" s="233">
        <f>'AEO 2025 Alt T Table 1'!AA$19/'AEO 2025 Alt T Table 1'!$F$19</f>
        <v>0.86944544339574437</v>
      </c>
      <c r="X39" s="233">
        <f>'AEO 2025 Alt T Table 1'!AB$19/'AEO 2025 Alt T Table 1'!$F$19</f>
        <v>0.8689735160389892</v>
      </c>
      <c r="Y39" s="233">
        <f>'AEO 2025 Alt T Table 1'!AC$19/'AEO 2025 Alt T Table 1'!$F$19</f>
        <v>0.86965869927243711</v>
      </c>
      <c r="Z39" s="233">
        <f>'AEO 2025 Alt T Table 1'!AD$19/'AEO 2025 Alt T Table 1'!$F$19</f>
        <v>0.88635164857406112</v>
      </c>
      <c r="AA39" s="233">
        <f>'AEO 2025 Alt T Table 1'!AE$19/'AEO 2025 Alt T Table 1'!$F$19</f>
        <v>0.88717974286376478</v>
      </c>
      <c r="AB39" s="233">
        <f>'AEO 2025 Alt T Table 1'!AF$19/'AEO 2025 Alt T Table 1'!$F$19</f>
        <v>0.87030068831789731</v>
      </c>
    </row>
    <row r="40" spans="1:30" x14ac:dyDescent="0.25">
      <c r="A40" t="s">
        <v>112</v>
      </c>
      <c r="B40" s="233">
        <f>'AEO 2025 Alt T Table 1'!F$19/'AEO 2025 Alt T Table 1'!$F$19</f>
        <v>1</v>
      </c>
      <c r="C40" s="233">
        <f>'AEO 2025 Alt T Table 1'!G$19/'AEO 2025 Alt T Table 1'!$F$19</f>
        <v>0.9742064055253018</v>
      </c>
      <c r="D40" s="233">
        <f>'AEO 2025 Alt T Table 1'!H$19/'AEO 2025 Alt T Table 1'!$F$19</f>
        <v>1.0145058424458673</v>
      </c>
      <c r="E40" s="233">
        <f>'AEO 2025 Alt T Table 1'!I$19/'AEO 2025 Alt T Table 1'!$F$19</f>
        <v>0.98818355111020162</v>
      </c>
      <c r="F40" s="233">
        <f>'AEO 2025 Alt T Table 1'!J$19/'AEO 2025 Alt T Table 1'!$F$19</f>
        <v>0.9637963593963772</v>
      </c>
      <c r="G40" s="233">
        <f>'AEO 2025 Alt T Table 1'!K$19/'AEO 2025 Alt T Table 1'!$F$19</f>
        <v>0.94566615434245971</v>
      </c>
      <c r="H40" s="233">
        <f>'AEO 2025 Alt T Table 1'!L$19/'AEO 2025 Alt T Table 1'!$F$19</f>
        <v>0.92936318685238017</v>
      </c>
      <c r="I40" s="233">
        <f>'AEO 2025 Alt T Table 1'!M$19/'AEO 2025 Alt T Table 1'!$F$19</f>
        <v>0.92787360442663913</v>
      </c>
      <c r="J40" s="233">
        <f>'AEO 2025 Alt T Table 1'!N$19/'AEO 2025 Alt T Table 1'!$F$19</f>
        <v>0.91062110527262807</v>
      </c>
      <c r="K40" s="233">
        <f>'AEO 2025 Alt T Table 1'!O$19/'AEO 2025 Alt T Table 1'!$F$19</f>
        <v>0.9011657741101935</v>
      </c>
      <c r="L40" s="233">
        <f>'AEO 2025 Alt T Table 1'!P$19/'AEO 2025 Alt T Table 1'!$F$19</f>
        <v>0.89559076197262666</v>
      </c>
      <c r="M40" s="233">
        <f>'AEO 2025 Alt T Table 1'!Q$19/'AEO 2025 Alt T Table 1'!$F$19</f>
        <v>0.88749987350273518</v>
      </c>
      <c r="N40" s="233">
        <f>'AEO 2025 Alt T Table 1'!R$19/'AEO 2025 Alt T Table 1'!$F$19</f>
        <v>0.88438569596080041</v>
      </c>
      <c r="O40" s="233">
        <f>'AEO 2025 Alt T Table 1'!S$19/'AEO 2025 Alt T Table 1'!$F$19</f>
        <v>0.88288204457097175</v>
      </c>
      <c r="P40" s="233">
        <f>'AEO 2025 Alt T Table 1'!T$19/'AEO 2025 Alt T Table 1'!$F$19</f>
        <v>0.88061027710675943</v>
      </c>
      <c r="Q40" s="233">
        <f>'AEO 2025 Alt T Table 1'!U$19/'AEO 2025 Alt T Table 1'!$F$19</f>
        <v>0.86822983553380972</v>
      </c>
      <c r="R40" s="233">
        <f>'AEO 2025 Alt T Table 1'!V$19/'AEO 2025 Alt T Table 1'!$F$19</f>
        <v>0.86574135665786567</v>
      </c>
      <c r="S40" s="233">
        <f>'AEO 2025 Alt T Table 1'!W$19/'AEO 2025 Alt T Table 1'!$F$19</f>
        <v>0.86645887382632125</v>
      </c>
      <c r="T40" s="233">
        <f>'AEO 2025 Alt T Table 1'!X$19/'AEO 2025 Alt T Table 1'!$F$19</f>
        <v>0.87312460091655597</v>
      </c>
      <c r="U40" s="233">
        <f>'AEO 2025 Alt T Table 1'!Y$19/'AEO 2025 Alt T Table 1'!$F$19</f>
        <v>0.87344794026663397</v>
      </c>
      <c r="V40" s="233">
        <f>'AEO 2025 Alt T Table 1'!Z$19/'AEO 2025 Alt T Table 1'!$F$19</f>
        <v>0.87307671707387258</v>
      </c>
      <c r="W40" s="233">
        <f>'AEO 2025 Alt T Table 1'!AA$19/'AEO 2025 Alt T Table 1'!$F$19</f>
        <v>0.86944544339574437</v>
      </c>
      <c r="X40" s="233">
        <f>'AEO 2025 Alt T Table 1'!AB$19/'AEO 2025 Alt T Table 1'!$F$19</f>
        <v>0.8689735160389892</v>
      </c>
      <c r="Y40" s="233">
        <f>'AEO 2025 Alt T Table 1'!AC$19/'AEO 2025 Alt T Table 1'!$F$19</f>
        <v>0.86965869927243711</v>
      </c>
      <c r="Z40" s="233">
        <f>'AEO 2025 Alt T Table 1'!AD$19/'AEO 2025 Alt T Table 1'!$F$19</f>
        <v>0.88635164857406112</v>
      </c>
      <c r="AA40" s="233">
        <f>'AEO 2025 Alt T Table 1'!AE$19/'AEO 2025 Alt T Table 1'!$F$19</f>
        <v>0.88717974286376478</v>
      </c>
      <c r="AB40" s="233">
        <f>'AEO 2025 Alt T Table 1'!AF$19/'AEO 2025 Alt T Table 1'!$F$19</f>
        <v>0.87030068831789731</v>
      </c>
    </row>
    <row r="41" spans="1:30" x14ac:dyDescent="0.25">
      <c r="A41" s="7" t="s">
        <v>148</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c r="AD41" s="7"/>
    </row>
    <row r="42" spans="1:30" x14ac:dyDescent="0.25">
      <c r="A42" s="7" t="s">
        <v>125</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c r="AD42" s="7"/>
    </row>
    <row r="43" spans="1:30" x14ac:dyDescent="0.25">
      <c r="A43" t="s">
        <v>126</v>
      </c>
      <c r="B43" s="229">
        <f>'AEO 2025 HZC Table 1'!F$21/'AEO 2025 HZC Table 1'!$F$21</f>
        <v>1</v>
      </c>
      <c r="C43" s="229">
        <f>'AEO 2025 HZC Table 1'!G$21/'AEO 2025 HZC Table 1'!$F$21</f>
        <v>1.4563698495962387</v>
      </c>
      <c r="D43" s="229">
        <f>'AEO 2025 HZC Table 1'!H$21/'AEO 2025 HZC Table 1'!$F$21</f>
        <v>1.7354548026902901</v>
      </c>
      <c r="E43" s="229">
        <f>'AEO 2025 HZC Table 1'!I$21/'AEO 2025 HZC Table 1'!$F$21</f>
        <v>2.3388764338419348</v>
      </c>
      <c r="F43" s="229">
        <f>'AEO 2025 HZC Table 1'!J$21/'AEO 2025 HZC Table 1'!$F$21</f>
        <v>2.7881831835100019</v>
      </c>
      <c r="G43" s="229">
        <f>'AEO 2025 HZC Table 1'!K$21/'AEO 2025 HZC Table 1'!$F$21</f>
        <v>2.9909126526347865</v>
      </c>
      <c r="H43" s="229">
        <f>'AEO 2025 HZC Table 1'!L$21/'AEO 2025 HZC Table 1'!$F$21</f>
        <v>3.2783231395424766</v>
      </c>
      <c r="I43" s="229">
        <f>'AEO 2025 HZC Table 1'!M$21/'AEO 2025 HZC Table 1'!$F$21</f>
        <v>3.3549398167294258</v>
      </c>
      <c r="J43" s="229">
        <f>'AEO 2025 HZC Table 1'!N$21/'AEO 2025 HZC Table 1'!$F$21</f>
        <v>3.4315673769671116</v>
      </c>
      <c r="K43" s="229">
        <f>'AEO 2025 HZC Table 1'!O$21/'AEO 2025 HZC Table 1'!$F$21</f>
        <v>3.518011448969375</v>
      </c>
      <c r="L43" s="229">
        <f>'AEO 2025 HZC Table 1'!P$21/'AEO 2025 HZC Table 1'!$F$21</f>
        <v>3.5486363537426815</v>
      </c>
      <c r="M43" s="229">
        <f>'AEO 2025 HZC Table 1'!Q$21/'AEO 2025 HZC Table 1'!$F$21</f>
        <v>3.5950852142872693</v>
      </c>
      <c r="N43" s="229">
        <f>'AEO 2025 HZC Table 1'!R$21/'AEO 2025 HZC Table 1'!$F$21</f>
        <v>3.5106980388742572</v>
      </c>
      <c r="O43" s="229">
        <f>'AEO 2025 HZC Table 1'!S$21/'AEO 2025 HZC Table 1'!$F$21</f>
        <v>3.4701151426767951</v>
      </c>
      <c r="P43" s="229">
        <f>'AEO 2025 HZC Table 1'!T$21/'AEO 2025 HZC Table 1'!$F$21</f>
        <v>3.4510698038874263</v>
      </c>
      <c r="Q43" s="229">
        <f>'AEO 2025 HZC Table 1'!U$21/'AEO 2025 HZC Table 1'!$F$21</f>
        <v>3.3653004810308427</v>
      </c>
      <c r="R43" s="229">
        <f>'AEO 2025 HZC Table 1'!V$21/'AEO 2025 HZC Table 1'!$F$21</f>
        <v>3.4182247567638164</v>
      </c>
      <c r="S43" s="229">
        <f>'AEO 2025 HZC Table 1'!W$21/'AEO 2025 HZC Table 1'!$F$21</f>
        <v>3.4337439871144682</v>
      </c>
      <c r="T43" s="229">
        <f>'AEO 2025 HZC Table 1'!X$21/'AEO 2025 HZC Table 1'!$F$21</f>
        <v>3.4069390331497726</v>
      </c>
      <c r="U43" s="229">
        <f>'AEO 2025 HZC Table 1'!Y$21/'AEO 2025 HZC Table 1'!$F$21</f>
        <v>3.1902248438282217</v>
      </c>
      <c r="V43" s="229">
        <f>'AEO 2025 HZC Table 1'!Z$21/'AEO 2025 HZC Table 1'!$F$21</f>
        <v>3.1744879524628344</v>
      </c>
      <c r="W43" s="229">
        <f>'AEO 2025 HZC Table 1'!AA$21/'AEO 2025 HZC Table 1'!$F$21</f>
        <v>3.1485645256078185</v>
      </c>
      <c r="X43" s="229">
        <f>'AEO 2025 HZC Table 1'!AB$21/'AEO 2025 HZC Table 1'!$F$21</f>
        <v>2.9730426833249899</v>
      </c>
      <c r="Y43" s="229">
        <f>'AEO 2025 HZC Table 1'!AC$21/'AEO 2025 HZC Table 1'!$F$21</f>
        <v>2.8541235879241671</v>
      </c>
      <c r="Z43" s="229">
        <f>'AEO 2025 HZC Table 1'!AD$21/'AEO 2025 HZC Table 1'!$F$21</f>
        <v>2.781566288662038</v>
      </c>
      <c r="AA43" s="229">
        <f>'AEO 2025 HZC Table 1'!AE$21/'AEO 2025 HZC Table 1'!$F$21</f>
        <v>2.6720719151992687</v>
      </c>
      <c r="AB43" s="229">
        <f>'AEO 2025 HZC Table 1'!AF$21/'AEO 2025 HZC Table 1'!$F$21</f>
        <v>2.5732864636614936</v>
      </c>
    </row>
    <row r="44" spans="1:30" x14ac:dyDescent="0.25">
      <c r="A44" t="s">
        <v>113</v>
      </c>
      <c r="B44" s="233">
        <f>'AEO 2025 Alt T Table 1'!F18/'AEO 2025 Alt T Table 1'!$F$18</f>
        <v>1</v>
      </c>
      <c r="C44" s="233">
        <f>'AEO 2025 Alt T Table 1'!G18/'AEO 2025 Alt T Table 1'!$F$18</f>
        <v>0.92470006194855692</v>
      </c>
      <c r="D44" s="233">
        <f>'AEO 2025 Alt T Table 1'!H18/'AEO 2025 Alt T Table 1'!$F$18</f>
        <v>0.96527175194018011</v>
      </c>
      <c r="E44" s="233">
        <f>'AEO 2025 Alt T Table 1'!I18/'AEO 2025 Alt T Table 1'!$F$18</f>
        <v>0.91258296829327656</v>
      </c>
      <c r="F44" s="233">
        <f>'AEO 2025 Alt T Table 1'!J18/'AEO 2025 Alt T Table 1'!$F$18</f>
        <v>0.95044983303369268</v>
      </c>
      <c r="G44" s="233">
        <f>'AEO 2025 Alt T Table 1'!K18/'AEO 2025 Alt T Table 1'!$F$18</f>
        <v>0.96716595614780543</v>
      </c>
      <c r="H44" s="233">
        <f>'AEO 2025 Alt T Table 1'!L18/'AEO 2025 Alt T Table 1'!$F$18</f>
        <v>0.96814195242510637</v>
      </c>
      <c r="I44" s="233">
        <f>'AEO 2025 Alt T Table 1'!M18/'AEO 2025 Alt T Table 1'!$F$18</f>
        <v>0.99579136905208798</v>
      </c>
      <c r="J44" s="233">
        <f>'AEO 2025 Alt T Table 1'!N18/'AEO 2025 Alt T Table 1'!$F$18</f>
        <v>1.0508192376373919</v>
      </c>
      <c r="K44" s="233">
        <f>'AEO 2025 Alt T Table 1'!O18/'AEO 2025 Alt T Table 1'!$F$18</f>
        <v>1.0506349899280214</v>
      </c>
      <c r="L44" s="233">
        <f>'AEO 2025 Alt T Table 1'!P18/'AEO 2025 Alt T Table 1'!$F$18</f>
        <v>1.0827646220704099</v>
      </c>
      <c r="M44" s="233">
        <f>'AEO 2025 Alt T Table 1'!Q18/'AEO 2025 Alt T Table 1'!$F$18</f>
        <v>1.0948416978119915</v>
      </c>
      <c r="N44" s="233">
        <f>'AEO 2025 Alt T Table 1'!R18/'AEO 2025 Alt T Table 1'!$F$18</f>
        <v>1.1107359039481908</v>
      </c>
      <c r="O44" s="233">
        <f>'AEO 2025 Alt T Table 1'!S18/'AEO 2025 Alt T Table 1'!$F$18</f>
        <v>1.0932893333731906</v>
      </c>
      <c r="P44" s="233">
        <f>'AEO 2025 Alt T Table 1'!T18/'AEO 2025 Alt T Table 1'!$F$18</f>
        <v>1.0944561207364563</v>
      </c>
      <c r="Q44" s="233">
        <f>'AEO 2025 Alt T Table 1'!U18/'AEO 2025 Alt T Table 1'!$F$18</f>
        <v>1.119526207187548</v>
      </c>
      <c r="R44" s="233">
        <f>'AEO 2025 Alt T Table 1'!V18/'AEO 2025 Alt T Table 1'!$F$18</f>
        <v>1.1303352454227704</v>
      </c>
      <c r="S44" s="233">
        <f>'AEO 2025 Alt T Table 1'!W18/'AEO 2025 Alt T Table 1'!$F$18</f>
        <v>1.1209100280208049</v>
      </c>
      <c r="T44" s="233">
        <f>'AEO 2025 Alt T Table 1'!X18/'AEO 2025 Alt T Table 1'!$F$18</f>
        <v>1.0986237694835927</v>
      </c>
      <c r="U44" s="233">
        <f>'AEO 2025 Alt T Table 1'!Y18/'AEO 2025 Alt T Table 1'!$F$18</f>
        <v>1.1103718855765934</v>
      </c>
      <c r="V44" s="233">
        <f>'AEO 2025 Alt T Table 1'!Z18/'AEO 2025 Alt T Table 1'!$F$18</f>
        <v>1.1262180151142358</v>
      </c>
      <c r="W44" s="233">
        <f>'AEO 2025 Alt T Table 1'!AA18/'AEO 2025 Alt T Table 1'!$F$18</f>
        <v>1.1376153373441249</v>
      </c>
      <c r="X44" s="233">
        <f>'AEO 2025 Alt T Table 1'!AB18/'AEO 2025 Alt T Table 1'!$F$18</f>
        <v>1.1018670113120517</v>
      </c>
      <c r="Y44" s="233">
        <f>'AEO 2025 Alt T Table 1'!AC18/'AEO 2025 Alt T Table 1'!$F$18</f>
        <v>1.0771052900926803</v>
      </c>
      <c r="Z44" s="233">
        <f>'AEO 2025 Alt T Table 1'!AD18/'AEO 2025 Alt T Table 1'!$F$18</f>
        <v>1.0758670766080622</v>
      </c>
      <c r="AA44" s="233">
        <f>'AEO 2025 Alt T Table 1'!AE18/'AEO 2025 Alt T Table 1'!$F$18</f>
        <v>1.1009468059299248</v>
      </c>
      <c r="AB44" s="233">
        <f>'AEO 2025 Alt T Table 1'!AF18/'AEO 2025 Alt T Table 1'!$F$18</f>
        <v>1.1351847828886983</v>
      </c>
    </row>
    <row r="45" spans="1:30" x14ac:dyDescent="0.25">
      <c r="A45" t="s">
        <v>127</v>
      </c>
      <c r="B45" s="233">
        <f>'AEO 2025 Alt T Table 1'!F$19/'AEO 2025 Alt T Table 1'!$F$19</f>
        <v>1</v>
      </c>
      <c r="C45" s="233">
        <f>'AEO 2025 Alt T Table 1'!G$19/'AEO 2025 Alt T Table 1'!$F$19</f>
        <v>0.9742064055253018</v>
      </c>
      <c r="D45" s="233">
        <f>'AEO 2025 Alt T Table 1'!H$19/'AEO 2025 Alt T Table 1'!$F$19</f>
        <v>1.0145058424458673</v>
      </c>
      <c r="E45" s="233">
        <f>'AEO 2025 Alt T Table 1'!I$19/'AEO 2025 Alt T Table 1'!$F$19</f>
        <v>0.98818355111020162</v>
      </c>
      <c r="F45" s="233">
        <f>'AEO 2025 Alt T Table 1'!J$19/'AEO 2025 Alt T Table 1'!$F$19</f>
        <v>0.9637963593963772</v>
      </c>
      <c r="G45" s="233">
        <f>'AEO 2025 Alt T Table 1'!K$19/'AEO 2025 Alt T Table 1'!$F$19</f>
        <v>0.94566615434245971</v>
      </c>
      <c r="H45" s="233">
        <f>'AEO 2025 Alt T Table 1'!L$19/'AEO 2025 Alt T Table 1'!$F$19</f>
        <v>0.92936318685238017</v>
      </c>
      <c r="I45" s="233">
        <f>'AEO 2025 Alt T Table 1'!M$19/'AEO 2025 Alt T Table 1'!$F$19</f>
        <v>0.92787360442663913</v>
      </c>
      <c r="J45" s="233">
        <f>'AEO 2025 Alt T Table 1'!N$19/'AEO 2025 Alt T Table 1'!$F$19</f>
        <v>0.91062110527262807</v>
      </c>
      <c r="K45" s="233">
        <f>'AEO 2025 Alt T Table 1'!O$19/'AEO 2025 Alt T Table 1'!$F$19</f>
        <v>0.9011657741101935</v>
      </c>
      <c r="L45" s="233">
        <f>'AEO 2025 Alt T Table 1'!P$19/'AEO 2025 Alt T Table 1'!$F$19</f>
        <v>0.89559076197262666</v>
      </c>
      <c r="M45" s="233">
        <f>'AEO 2025 Alt T Table 1'!Q$19/'AEO 2025 Alt T Table 1'!$F$19</f>
        <v>0.88749987350273518</v>
      </c>
      <c r="N45" s="233">
        <f>'AEO 2025 Alt T Table 1'!R$19/'AEO 2025 Alt T Table 1'!$F$19</f>
        <v>0.88438569596080041</v>
      </c>
      <c r="O45" s="233">
        <f>'AEO 2025 Alt T Table 1'!S$19/'AEO 2025 Alt T Table 1'!$F$19</f>
        <v>0.88288204457097175</v>
      </c>
      <c r="P45" s="233">
        <f>'AEO 2025 Alt T Table 1'!T$19/'AEO 2025 Alt T Table 1'!$F$19</f>
        <v>0.88061027710675943</v>
      </c>
      <c r="Q45" s="233">
        <f>'AEO 2025 Alt T Table 1'!U$19/'AEO 2025 Alt T Table 1'!$F$19</f>
        <v>0.86822983553380972</v>
      </c>
      <c r="R45" s="233">
        <f>'AEO 2025 Alt T Table 1'!V$19/'AEO 2025 Alt T Table 1'!$F$19</f>
        <v>0.86574135665786567</v>
      </c>
      <c r="S45" s="233">
        <f>'AEO 2025 Alt T Table 1'!W$19/'AEO 2025 Alt T Table 1'!$F$19</f>
        <v>0.86645887382632125</v>
      </c>
      <c r="T45" s="233">
        <f>'AEO 2025 Alt T Table 1'!X$19/'AEO 2025 Alt T Table 1'!$F$19</f>
        <v>0.87312460091655597</v>
      </c>
      <c r="U45" s="233">
        <f>'AEO 2025 Alt T Table 1'!Y$19/'AEO 2025 Alt T Table 1'!$F$19</f>
        <v>0.87344794026663397</v>
      </c>
      <c r="V45" s="233">
        <f>'AEO 2025 Alt T Table 1'!Z$19/'AEO 2025 Alt T Table 1'!$F$19</f>
        <v>0.87307671707387258</v>
      </c>
      <c r="W45" s="233">
        <f>'AEO 2025 Alt T Table 1'!AA$19/'AEO 2025 Alt T Table 1'!$F$19</f>
        <v>0.86944544339574437</v>
      </c>
      <c r="X45" s="233">
        <f>'AEO 2025 Alt T Table 1'!AB$19/'AEO 2025 Alt T Table 1'!$F$19</f>
        <v>0.8689735160389892</v>
      </c>
      <c r="Y45" s="233">
        <f>'AEO 2025 Alt T Table 1'!AC$19/'AEO 2025 Alt T Table 1'!$F$19</f>
        <v>0.86965869927243711</v>
      </c>
      <c r="Z45" s="233">
        <f>'AEO 2025 Alt T Table 1'!AD$19/'AEO 2025 Alt T Table 1'!$F$19</f>
        <v>0.88635164857406112</v>
      </c>
      <c r="AA45" s="233">
        <f>'AEO 2025 Alt T Table 1'!AE$19/'AEO 2025 Alt T Table 1'!$F$19</f>
        <v>0.88717974286376478</v>
      </c>
      <c r="AB45" s="233">
        <f>'AEO 2025 Alt T Table 1'!AF$19/'AEO 2025 Alt T Table 1'!$F$19</f>
        <v>0.87030068831789731</v>
      </c>
    </row>
    <row r="46" spans="1:30" x14ac:dyDescent="0.25">
      <c r="A46" t="s">
        <v>114</v>
      </c>
      <c r="B46" s="233">
        <f>'AEO 2025 Alt T Table 1'!F$19/'AEO 2025 Alt T Table 1'!$F$19</f>
        <v>1</v>
      </c>
      <c r="C46" s="233">
        <f>'AEO 2025 Alt T Table 1'!G$19/'AEO 2025 Alt T Table 1'!$F$19</f>
        <v>0.9742064055253018</v>
      </c>
      <c r="D46" s="233">
        <f>'AEO 2025 Alt T Table 1'!H$19/'AEO 2025 Alt T Table 1'!$F$19</f>
        <v>1.0145058424458673</v>
      </c>
      <c r="E46" s="233">
        <f>'AEO 2025 Alt T Table 1'!I$19/'AEO 2025 Alt T Table 1'!$F$19</f>
        <v>0.98818355111020162</v>
      </c>
      <c r="F46" s="233">
        <f>'AEO 2025 Alt T Table 1'!J$19/'AEO 2025 Alt T Table 1'!$F$19</f>
        <v>0.9637963593963772</v>
      </c>
      <c r="G46" s="233">
        <f>'AEO 2025 Alt T Table 1'!K$19/'AEO 2025 Alt T Table 1'!$F$19</f>
        <v>0.94566615434245971</v>
      </c>
      <c r="H46" s="233">
        <f>'AEO 2025 Alt T Table 1'!L$19/'AEO 2025 Alt T Table 1'!$F$19</f>
        <v>0.92936318685238017</v>
      </c>
      <c r="I46" s="233">
        <f>'AEO 2025 Alt T Table 1'!M$19/'AEO 2025 Alt T Table 1'!$F$19</f>
        <v>0.92787360442663913</v>
      </c>
      <c r="J46" s="233">
        <f>'AEO 2025 Alt T Table 1'!N$19/'AEO 2025 Alt T Table 1'!$F$19</f>
        <v>0.91062110527262807</v>
      </c>
      <c r="K46" s="233">
        <f>'AEO 2025 Alt T Table 1'!O$19/'AEO 2025 Alt T Table 1'!$F$19</f>
        <v>0.9011657741101935</v>
      </c>
      <c r="L46" s="233">
        <f>'AEO 2025 Alt T Table 1'!P$19/'AEO 2025 Alt T Table 1'!$F$19</f>
        <v>0.89559076197262666</v>
      </c>
      <c r="M46" s="233">
        <f>'AEO 2025 Alt T Table 1'!Q$19/'AEO 2025 Alt T Table 1'!$F$19</f>
        <v>0.88749987350273518</v>
      </c>
      <c r="N46" s="233">
        <f>'AEO 2025 Alt T Table 1'!R$19/'AEO 2025 Alt T Table 1'!$F$19</f>
        <v>0.88438569596080041</v>
      </c>
      <c r="O46" s="233">
        <f>'AEO 2025 Alt T Table 1'!S$19/'AEO 2025 Alt T Table 1'!$F$19</f>
        <v>0.88288204457097175</v>
      </c>
      <c r="P46" s="233">
        <f>'AEO 2025 Alt T Table 1'!T$19/'AEO 2025 Alt T Table 1'!$F$19</f>
        <v>0.88061027710675943</v>
      </c>
      <c r="Q46" s="233">
        <f>'AEO 2025 Alt T Table 1'!U$19/'AEO 2025 Alt T Table 1'!$F$19</f>
        <v>0.86822983553380972</v>
      </c>
      <c r="R46" s="233">
        <f>'AEO 2025 Alt T Table 1'!V$19/'AEO 2025 Alt T Table 1'!$F$19</f>
        <v>0.86574135665786567</v>
      </c>
      <c r="S46" s="233">
        <f>'AEO 2025 Alt T Table 1'!W$19/'AEO 2025 Alt T Table 1'!$F$19</f>
        <v>0.86645887382632125</v>
      </c>
      <c r="T46" s="233">
        <f>'AEO 2025 Alt T Table 1'!X$19/'AEO 2025 Alt T Table 1'!$F$19</f>
        <v>0.87312460091655597</v>
      </c>
      <c r="U46" s="233">
        <f>'AEO 2025 Alt T Table 1'!Y$19/'AEO 2025 Alt T Table 1'!$F$19</f>
        <v>0.87344794026663397</v>
      </c>
      <c r="V46" s="233">
        <f>'AEO 2025 Alt T Table 1'!Z$19/'AEO 2025 Alt T Table 1'!$F$19</f>
        <v>0.87307671707387258</v>
      </c>
      <c r="W46" s="233">
        <f>'AEO 2025 Alt T Table 1'!AA$19/'AEO 2025 Alt T Table 1'!$F$19</f>
        <v>0.86944544339574437</v>
      </c>
      <c r="X46" s="233">
        <f>'AEO 2025 Alt T Table 1'!AB$19/'AEO 2025 Alt T Table 1'!$F$19</f>
        <v>0.8689735160389892</v>
      </c>
      <c r="Y46" s="233">
        <f>'AEO 2025 Alt T Table 1'!AC$19/'AEO 2025 Alt T Table 1'!$F$19</f>
        <v>0.86965869927243711</v>
      </c>
      <c r="Z46" s="233">
        <f>'AEO 2025 Alt T Table 1'!AD$19/'AEO 2025 Alt T Table 1'!$F$19</f>
        <v>0.88635164857406112</v>
      </c>
      <c r="AA46" s="233">
        <f>'AEO 2025 Alt T Table 1'!AE$19/'AEO 2025 Alt T Table 1'!$F$19</f>
        <v>0.88717974286376478</v>
      </c>
      <c r="AB46" s="233">
        <f>'AEO 2025 Alt T Table 1'!AF$19/'AEO 2025 Alt T Table 1'!$F$19</f>
        <v>0.87030068831789731</v>
      </c>
    </row>
    <row r="47" spans="1:30" x14ac:dyDescent="0.25">
      <c r="A47" t="s">
        <v>128</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row>
    <row r="48" spans="1:30" x14ac:dyDescent="0.25">
      <c r="A48" t="s">
        <v>129</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row>
    <row r="51" spans="1:30" x14ac:dyDescent="0.25">
      <c r="A51" s="195" t="s">
        <v>446</v>
      </c>
      <c r="B51" s="196"/>
      <c r="C51" s="196"/>
      <c r="D51" s="196"/>
      <c r="E51" s="196"/>
      <c r="F51" s="196"/>
      <c r="G51" s="196"/>
      <c r="H51" s="196"/>
      <c r="I51" s="196"/>
      <c r="J51" s="196"/>
      <c r="K51" s="196"/>
      <c r="L51" s="196"/>
      <c r="M51" s="196"/>
      <c r="N51" s="196"/>
      <c r="O51" s="196"/>
      <c r="P51" s="196"/>
      <c r="Q51" s="196"/>
      <c r="R51" s="196"/>
      <c r="S51" s="196"/>
      <c r="T51" s="196"/>
      <c r="U51" s="196"/>
      <c r="V51" s="196"/>
      <c r="W51" s="196"/>
      <c r="X51" s="196"/>
      <c r="Y51" s="196"/>
      <c r="Z51" s="196"/>
      <c r="AA51" s="196"/>
      <c r="AB51" s="196"/>
      <c r="AC51" s="196"/>
      <c r="AD51" s="196"/>
    </row>
    <row r="52" spans="1:30" s="1" customFormat="1" x14ac:dyDescent="0.25">
      <c r="B52" s="1">
        <f t="shared" ref="B52:AB52" si="1">B2</f>
        <v>2024</v>
      </c>
      <c r="C52" s="1">
        <f t="shared" si="1"/>
        <v>2025</v>
      </c>
      <c r="D52" s="1">
        <f t="shared" si="1"/>
        <v>2026</v>
      </c>
      <c r="E52" s="1">
        <f t="shared" si="1"/>
        <v>2027</v>
      </c>
      <c r="F52" s="1">
        <f t="shared" si="1"/>
        <v>2028</v>
      </c>
      <c r="G52" s="1">
        <f t="shared" si="1"/>
        <v>2029</v>
      </c>
      <c r="H52" s="1">
        <f t="shared" si="1"/>
        <v>2030</v>
      </c>
      <c r="I52" s="1">
        <f t="shared" si="1"/>
        <v>2031</v>
      </c>
      <c r="J52" s="1">
        <f t="shared" si="1"/>
        <v>2032</v>
      </c>
      <c r="K52" s="1">
        <f t="shared" si="1"/>
        <v>2033</v>
      </c>
      <c r="L52" s="1">
        <f t="shared" si="1"/>
        <v>2034</v>
      </c>
      <c r="M52" s="1">
        <f t="shared" si="1"/>
        <v>2035</v>
      </c>
      <c r="N52" s="1">
        <f t="shared" si="1"/>
        <v>2036</v>
      </c>
      <c r="O52" s="1">
        <f t="shared" si="1"/>
        <v>2037</v>
      </c>
      <c r="P52" s="1">
        <f t="shared" si="1"/>
        <v>2038</v>
      </c>
      <c r="Q52" s="1">
        <f t="shared" si="1"/>
        <v>2039</v>
      </c>
      <c r="R52" s="1">
        <f t="shared" si="1"/>
        <v>2040</v>
      </c>
      <c r="S52" s="1">
        <f t="shared" si="1"/>
        <v>2041</v>
      </c>
      <c r="T52" s="1">
        <f t="shared" si="1"/>
        <v>2042</v>
      </c>
      <c r="U52" s="1">
        <f t="shared" si="1"/>
        <v>2043</v>
      </c>
      <c r="V52" s="1">
        <f t="shared" si="1"/>
        <v>2044</v>
      </c>
      <c r="W52" s="1">
        <f t="shared" si="1"/>
        <v>2045</v>
      </c>
      <c r="X52" s="1">
        <f t="shared" si="1"/>
        <v>2046</v>
      </c>
      <c r="Y52" s="1">
        <f t="shared" si="1"/>
        <v>2047</v>
      </c>
      <c r="Z52" s="1">
        <f t="shared" si="1"/>
        <v>2048</v>
      </c>
      <c r="AA52" s="1">
        <f t="shared" si="1"/>
        <v>2049</v>
      </c>
      <c r="AB52" s="1">
        <f t="shared" si="1"/>
        <v>2050</v>
      </c>
    </row>
    <row r="53" spans="1:30" ht="30" x14ac:dyDescent="0.25">
      <c r="A53" s="30" t="s">
        <v>115</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c r="AD53" s="7"/>
    </row>
    <row r="54" spans="1:30" x14ac:dyDescent="0.25">
      <c r="A54" t="s">
        <v>116</v>
      </c>
      <c r="B54" s="229">
        <f>'AEO 2025 HZC Table 1'!F$26/'AEO 2025 HZC Table 1'!$F$26</f>
        <v>1</v>
      </c>
      <c r="C54" s="229">
        <f>'AEO 2025 HZC Table 1'!G$26/'AEO 2025 HZC Table 1'!$F$26</f>
        <v>0.95609199409212253</v>
      </c>
      <c r="D54" s="229">
        <f>'AEO 2025 HZC Table 1'!H$26/'AEO 2025 HZC Table 1'!$F$26</f>
        <v>0.99462346454814821</v>
      </c>
      <c r="E54" s="229">
        <f>'AEO 2025 HZC Table 1'!I$26/'AEO 2025 HZC Table 1'!$F$26</f>
        <v>1.0312023998458815</v>
      </c>
      <c r="F54" s="229">
        <f>'AEO 2025 HZC Table 1'!J$26/'AEO 2025 HZC Table 1'!$F$26</f>
        <v>1.0801192583962498</v>
      </c>
      <c r="G54" s="229">
        <f>'AEO 2025 HZC Table 1'!K$26/'AEO 2025 HZC Table 1'!$F$26</f>
        <v>1.0573100810039722</v>
      </c>
      <c r="H54" s="229">
        <f>'AEO 2025 HZC Table 1'!L$26/'AEO 2025 HZC Table 1'!$F$26</f>
        <v>1.0349496821305053</v>
      </c>
      <c r="I54" s="229">
        <f>'AEO 2025 HZC Table 1'!M$26/'AEO 2025 HZC Table 1'!$F$26</f>
        <v>1.0288788793380241</v>
      </c>
      <c r="J54" s="229">
        <f>'AEO 2025 HZC Table 1'!N$26/'AEO 2025 HZC Table 1'!$F$26</f>
        <v>1.0369656994504939</v>
      </c>
      <c r="K54" s="229">
        <f>'AEO 2025 HZC Table 1'!O$26/'AEO 2025 HZC Table 1'!$F$26</f>
        <v>1.0341948682194722</v>
      </c>
      <c r="L54" s="229">
        <f>'AEO 2025 HZC Table 1'!P$26/'AEO 2025 HZC Table 1'!$F$26</f>
        <v>1.0275916225563495</v>
      </c>
      <c r="M54" s="229">
        <f>'AEO 2025 HZC Table 1'!Q$26/'AEO 2025 HZC Table 1'!$F$26</f>
        <v>1.0571240379058224</v>
      </c>
      <c r="N54" s="229">
        <f>'AEO 2025 HZC Table 1'!R$26/'AEO 2025 HZC Table 1'!$F$26</f>
        <v>1.0463317034685846</v>
      </c>
      <c r="O54" s="229">
        <f>'AEO 2025 HZC Table 1'!S$26/'AEO 2025 HZC Table 1'!$F$26</f>
        <v>1.0711312117570431</v>
      </c>
      <c r="P54" s="229">
        <f>'AEO 2025 HZC Table 1'!T$26/'AEO 2025 HZC Table 1'!$F$26</f>
        <v>1.0628077095966313</v>
      </c>
      <c r="Q54" s="229">
        <f>'AEO 2025 HZC Table 1'!U$26/'AEO 2025 HZC Table 1'!$F$26</f>
        <v>1.0905633583164385</v>
      </c>
      <c r="R54" s="229">
        <f>'AEO 2025 HZC Table 1'!V$26/'AEO 2025 HZC Table 1'!$F$26</f>
        <v>1.1063770216591593</v>
      </c>
      <c r="S54" s="229">
        <f>'AEO 2025 HZC Table 1'!W$26/'AEO 2025 HZC Table 1'!$F$26</f>
        <v>1.0933965708624216</v>
      </c>
      <c r="T54" s="229">
        <f>'AEO 2025 HZC Table 1'!X$26/'AEO 2025 HZC Table 1'!$F$26</f>
        <v>1.0990347408881997</v>
      </c>
      <c r="U54" s="229">
        <f>'AEO 2025 HZC Table 1'!Y$26/'AEO 2025 HZC Table 1'!$F$26</f>
        <v>1.1066922307741704</v>
      </c>
      <c r="V54" s="229">
        <f>'AEO 2025 HZC Table 1'!Z$26/'AEO 2025 HZC Table 1'!$F$26</f>
        <v>1.115826323080169</v>
      </c>
      <c r="W54" s="229">
        <f>'AEO 2025 HZC Table 1'!AA$26/'AEO 2025 HZC Table 1'!$F$26</f>
        <v>1.1424737860871319</v>
      </c>
      <c r="X54" s="229">
        <f>'AEO 2025 HZC Table 1'!AB$26/'AEO 2025 HZC Table 1'!$F$26</f>
        <v>1.1495724127808304</v>
      </c>
      <c r="Y54" s="229">
        <f>'AEO 2025 HZC Table 1'!AC$26/'AEO 2025 HZC Table 1'!$F$26</f>
        <v>1.1656036768280935</v>
      </c>
      <c r="Z54" s="229">
        <f>'AEO 2025 HZC Table 1'!AD$26/'AEO 2025 HZC Table 1'!$F$26</f>
        <v>1.1729099966057224</v>
      </c>
      <c r="AA54" s="229">
        <f>'AEO 2025 HZC Table 1'!AE$26/'AEO 2025 HZC Table 1'!$F$26</f>
        <v>1.184499711027732</v>
      </c>
      <c r="AB54" s="229">
        <f>'AEO 2025 HZC Table 1'!AF$26/'AEO 2025 HZC Table 1'!$F$26</f>
        <v>1.1721364683002009</v>
      </c>
    </row>
    <row r="55" spans="1:30" x14ac:dyDescent="0.25">
      <c r="A55" t="s">
        <v>106</v>
      </c>
      <c r="B55" s="229">
        <f>'AEO 2025 HZC Table 1'!F25/'AEO 2025 HZC Table 1'!$F$25</f>
        <v>1</v>
      </c>
      <c r="C55" s="229">
        <f>'AEO 2025 HZC Table 1'!G25/'AEO 2025 HZC Table 1'!$F$25</f>
        <v>1.0988593831854496</v>
      </c>
      <c r="D55" s="229">
        <f>'AEO 2025 HZC Table 1'!H25/'AEO 2025 HZC Table 1'!$F$25</f>
        <v>1.1649965365316615</v>
      </c>
      <c r="E55" s="229">
        <f>'AEO 2025 HZC Table 1'!I25/'AEO 2025 HZC Table 1'!$F$25</f>
        <v>1.1522942536097833</v>
      </c>
      <c r="F55" s="229">
        <f>'AEO 2025 HZC Table 1'!J25/'AEO 2025 HZC Table 1'!$F$25</f>
        <v>1.282785027584965</v>
      </c>
      <c r="G55" s="229">
        <f>'AEO 2025 HZC Table 1'!K25/'AEO 2025 HZC Table 1'!$F$25</f>
        <v>1.3631805945501279</v>
      </c>
      <c r="H55" s="229">
        <f>'AEO 2025 HZC Table 1'!L25/'AEO 2025 HZC Table 1'!$F$25</f>
        <v>1.4452002058640561</v>
      </c>
      <c r="I55" s="229">
        <f>'AEO 2025 HZC Table 1'!M25/'AEO 2025 HZC Table 1'!$F$25</f>
        <v>1.4787949534657194</v>
      </c>
      <c r="J55" s="229">
        <f>'AEO 2025 HZC Table 1'!N25/'AEO 2025 HZC Table 1'!$F$25</f>
        <v>1.5130355841955341</v>
      </c>
      <c r="K55" s="229">
        <f>'AEO 2025 HZC Table 1'!O25/'AEO 2025 HZC Table 1'!$F$25</f>
        <v>1.5473007712739832</v>
      </c>
      <c r="L55" s="229">
        <f>'AEO 2025 HZC Table 1'!P25/'AEO 2025 HZC Table 1'!$F$25</f>
        <v>1.582006437856067</v>
      </c>
      <c r="M55" s="229">
        <f>'AEO 2025 HZC Table 1'!Q25/'AEO 2025 HZC Table 1'!$F$25</f>
        <v>1.5999300144063913</v>
      </c>
      <c r="N55" s="229">
        <f>'AEO 2025 HZC Table 1'!R25/'AEO 2025 HZC Table 1'!$F$25</f>
        <v>1.6227605121635782</v>
      </c>
      <c r="O55" s="229">
        <f>'AEO 2025 HZC Table 1'!S25/'AEO 2025 HZC Table 1'!$F$25</f>
        <v>1.6398073503290551</v>
      </c>
      <c r="P55" s="229">
        <f>'AEO 2025 HZC Table 1'!T25/'AEO 2025 HZC Table 1'!$F$25</f>
        <v>1.6469890591235021</v>
      </c>
      <c r="Q55" s="229">
        <f>'AEO 2025 HZC Table 1'!U25/'AEO 2025 HZC Table 1'!$F$25</f>
        <v>1.6551397205078253</v>
      </c>
      <c r="R55" s="229">
        <f>'AEO 2025 HZC Table 1'!V25/'AEO 2025 HZC Table 1'!$F$25</f>
        <v>1.6687267993664463</v>
      </c>
      <c r="S55" s="229">
        <f>'AEO 2025 HZC Table 1'!W25/'AEO 2025 HZC Table 1'!$F$25</f>
        <v>1.6753738959874926</v>
      </c>
      <c r="T55" s="229">
        <f>'AEO 2025 HZC Table 1'!X25/'AEO 2025 HZC Table 1'!$F$25</f>
        <v>1.6796607693913301</v>
      </c>
      <c r="U55" s="229">
        <f>'AEO 2025 HZC Table 1'!Y25/'AEO 2025 HZC Table 1'!$F$25</f>
        <v>1.6777085396748741</v>
      </c>
      <c r="V55" s="229">
        <f>'AEO 2025 HZC Table 1'!Z25/'AEO 2025 HZC Table 1'!$F$25</f>
        <v>1.6767745031432126</v>
      </c>
      <c r="W55" s="229">
        <f>'AEO 2025 HZC Table 1'!AA25/'AEO 2025 HZC Table 1'!$F$25</f>
        <v>1.6791609453784953</v>
      </c>
      <c r="X55" s="229">
        <f>'AEO 2025 HZC Table 1'!AB25/'AEO 2025 HZC Table 1'!$F$25</f>
        <v>1.6829071954194226</v>
      </c>
      <c r="Y55" s="229">
        <f>'AEO 2025 HZC Table 1'!AC25/'AEO 2025 HZC Table 1'!$F$25</f>
        <v>1.6879792324913234</v>
      </c>
      <c r="Z55" s="229">
        <f>'AEO 2025 HZC Table 1'!AD25/'AEO 2025 HZC Table 1'!$F$25</f>
        <v>1.689813156882326</v>
      </c>
      <c r="AA55" s="229">
        <f>'AEO 2025 HZC Table 1'!AE25/'AEO 2025 HZC Table 1'!$F$25</f>
        <v>1.6881911588959466</v>
      </c>
      <c r="AB55" s="229">
        <f>'AEO 2025 HZC Table 1'!AF25/'AEO 2025 HZC Table 1'!$F$25</f>
        <v>1.6949225400677754</v>
      </c>
    </row>
    <row r="56" spans="1:30" x14ac:dyDescent="0.25">
      <c r="A56" t="s">
        <v>108</v>
      </c>
      <c r="B56" s="209">
        <v>1</v>
      </c>
      <c r="C56" s="209">
        <v>1</v>
      </c>
      <c r="D56" s="209">
        <v>1</v>
      </c>
      <c r="E56" s="209">
        <v>1</v>
      </c>
      <c r="F56" s="209">
        <v>1</v>
      </c>
      <c r="G56" s="209">
        <v>1</v>
      </c>
      <c r="H56" s="209">
        <v>1</v>
      </c>
      <c r="I56" s="209">
        <v>1</v>
      </c>
      <c r="J56" s="209">
        <v>1</v>
      </c>
      <c r="K56" s="209">
        <v>1</v>
      </c>
      <c r="L56" s="209">
        <v>1</v>
      </c>
      <c r="M56" s="209">
        <v>1</v>
      </c>
      <c r="N56" s="209">
        <v>1</v>
      </c>
      <c r="O56" s="209">
        <v>1</v>
      </c>
      <c r="P56" s="209">
        <v>1</v>
      </c>
      <c r="Q56" s="209">
        <v>1</v>
      </c>
      <c r="R56" s="209">
        <v>1</v>
      </c>
      <c r="S56" s="209">
        <v>1</v>
      </c>
      <c r="T56" s="209">
        <v>1</v>
      </c>
      <c r="U56" s="209">
        <v>1</v>
      </c>
      <c r="V56" s="209">
        <v>1</v>
      </c>
      <c r="W56" s="209">
        <v>1</v>
      </c>
      <c r="X56" s="209">
        <v>1</v>
      </c>
      <c r="Y56" s="209">
        <v>1</v>
      </c>
      <c r="Z56" s="209">
        <v>1</v>
      </c>
      <c r="AA56" s="209">
        <v>1</v>
      </c>
      <c r="AB56" s="209">
        <v>1</v>
      </c>
    </row>
    <row r="57" spans="1:30" x14ac:dyDescent="0.25">
      <c r="A57" s="7" t="s">
        <v>118</v>
      </c>
      <c r="B57" s="232">
        <v>0</v>
      </c>
      <c r="C57" s="232">
        <v>0</v>
      </c>
      <c r="D57" s="232">
        <v>0</v>
      </c>
      <c r="E57" s="232">
        <v>0</v>
      </c>
      <c r="F57" s="232">
        <v>0</v>
      </c>
      <c r="G57" s="232">
        <v>0</v>
      </c>
      <c r="H57" s="232">
        <v>0</v>
      </c>
      <c r="I57" s="232">
        <v>0</v>
      </c>
      <c r="J57" s="232">
        <v>0</v>
      </c>
      <c r="K57" s="232">
        <v>0</v>
      </c>
      <c r="L57" s="232">
        <v>0</v>
      </c>
      <c r="M57" s="232">
        <v>0</v>
      </c>
      <c r="N57" s="232">
        <v>0</v>
      </c>
      <c r="O57" s="232">
        <v>0</v>
      </c>
      <c r="P57" s="232">
        <v>0</v>
      </c>
      <c r="Q57" s="232">
        <v>0</v>
      </c>
      <c r="R57" s="232">
        <v>0</v>
      </c>
      <c r="S57" s="232">
        <v>0</v>
      </c>
      <c r="T57" s="232">
        <v>0</v>
      </c>
      <c r="U57" s="232">
        <v>0</v>
      </c>
      <c r="V57" s="232">
        <v>0</v>
      </c>
      <c r="W57" s="232">
        <v>0</v>
      </c>
      <c r="X57" s="232">
        <v>0</v>
      </c>
      <c r="Y57" s="232">
        <v>0</v>
      </c>
      <c r="Z57" s="232">
        <v>0</v>
      </c>
      <c r="AA57" s="232">
        <v>0</v>
      </c>
      <c r="AB57" s="232">
        <v>0</v>
      </c>
      <c r="AC57" s="7"/>
      <c r="AD57" s="7"/>
    </row>
    <row r="58" spans="1:30" x14ac:dyDescent="0.25">
      <c r="A58" s="7" t="s">
        <v>119</v>
      </c>
      <c r="B58" s="232">
        <v>0</v>
      </c>
      <c r="C58" s="232">
        <v>0</v>
      </c>
      <c r="D58" s="232">
        <v>0</v>
      </c>
      <c r="E58" s="232">
        <v>0</v>
      </c>
      <c r="F58" s="232">
        <v>0</v>
      </c>
      <c r="G58" s="232">
        <v>0</v>
      </c>
      <c r="H58" s="232">
        <v>0</v>
      </c>
      <c r="I58" s="232">
        <v>0</v>
      </c>
      <c r="J58" s="232">
        <v>0</v>
      </c>
      <c r="K58" s="232">
        <v>0</v>
      </c>
      <c r="L58" s="232">
        <v>0</v>
      </c>
      <c r="M58" s="232">
        <v>0</v>
      </c>
      <c r="N58" s="232">
        <v>0</v>
      </c>
      <c r="O58" s="232">
        <v>0</v>
      </c>
      <c r="P58" s="232">
        <v>0</v>
      </c>
      <c r="Q58" s="232">
        <v>0</v>
      </c>
      <c r="R58" s="232">
        <v>0</v>
      </c>
      <c r="S58" s="232">
        <v>0</v>
      </c>
      <c r="T58" s="232">
        <v>0</v>
      </c>
      <c r="U58" s="232">
        <v>0</v>
      </c>
      <c r="V58" s="232">
        <v>0</v>
      </c>
      <c r="W58" s="232">
        <v>0</v>
      </c>
      <c r="X58" s="232">
        <v>0</v>
      </c>
      <c r="Y58" s="232">
        <v>0</v>
      </c>
      <c r="Z58" s="232">
        <v>0</v>
      </c>
      <c r="AA58" s="232">
        <v>0</v>
      </c>
      <c r="AB58" s="232">
        <v>0</v>
      </c>
      <c r="AC58" s="7"/>
      <c r="AD58" s="7"/>
    </row>
    <row r="59" spans="1:30" x14ac:dyDescent="0.25">
      <c r="A59" s="7" t="s">
        <v>120</v>
      </c>
      <c r="B59" s="232">
        <v>0</v>
      </c>
      <c r="C59" s="232">
        <v>0</v>
      </c>
      <c r="D59" s="232">
        <v>0</v>
      </c>
      <c r="E59" s="232">
        <v>0</v>
      </c>
      <c r="F59" s="232">
        <v>0</v>
      </c>
      <c r="G59" s="232">
        <v>0</v>
      </c>
      <c r="H59" s="232">
        <v>0</v>
      </c>
      <c r="I59" s="232">
        <v>0</v>
      </c>
      <c r="J59" s="232">
        <v>0</v>
      </c>
      <c r="K59" s="232">
        <v>0</v>
      </c>
      <c r="L59" s="232">
        <v>0</v>
      </c>
      <c r="M59" s="232">
        <v>0</v>
      </c>
      <c r="N59" s="232">
        <v>0</v>
      </c>
      <c r="O59" s="232">
        <v>0</v>
      </c>
      <c r="P59" s="232">
        <v>0</v>
      </c>
      <c r="Q59" s="232">
        <v>0</v>
      </c>
      <c r="R59" s="232">
        <v>0</v>
      </c>
      <c r="S59" s="232">
        <v>0</v>
      </c>
      <c r="T59" s="232">
        <v>0</v>
      </c>
      <c r="U59" s="232">
        <v>0</v>
      </c>
      <c r="V59" s="232">
        <v>0</v>
      </c>
      <c r="W59" s="232">
        <v>0</v>
      </c>
      <c r="X59" s="232">
        <v>0</v>
      </c>
      <c r="Y59" s="232">
        <v>0</v>
      </c>
      <c r="Z59" s="232">
        <v>0</v>
      </c>
      <c r="AA59" s="232">
        <v>0</v>
      </c>
      <c r="AB59" s="232">
        <v>0</v>
      </c>
      <c r="AC59" s="7"/>
      <c r="AD59" s="7"/>
    </row>
    <row r="60" spans="1:30" x14ac:dyDescent="0.25">
      <c r="A60" t="s">
        <v>109</v>
      </c>
      <c r="B60" s="209">
        <v>1</v>
      </c>
      <c r="C60" s="209">
        <v>1</v>
      </c>
      <c r="D60" s="209">
        <v>1</v>
      </c>
      <c r="E60" s="209">
        <v>1</v>
      </c>
      <c r="F60" s="209">
        <v>1</v>
      </c>
      <c r="G60" s="209">
        <v>1</v>
      </c>
      <c r="H60" s="209">
        <v>1</v>
      </c>
      <c r="I60" s="209">
        <v>1</v>
      </c>
      <c r="J60" s="209">
        <v>1</v>
      </c>
      <c r="K60" s="209">
        <v>1</v>
      </c>
      <c r="L60" s="209">
        <v>1</v>
      </c>
      <c r="M60" s="209">
        <v>1</v>
      </c>
      <c r="N60" s="209">
        <v>1</v>
      </c>
      <c r="O60" s="209">
        <v>1</v>
      </c>
      <c r="P60" s="209">
        <v>1</v>
      </c>
      <c r="Q60" s="209">
        <v>1</v>
      </c>
      <c r="R60" s="209">
        <v>1</v>
      </c>
      <c r="S60" s="209">
        <v>1</v>
      </c>
      <c r="T60" s="209">
        <v>1</v>
      </c>
      <c r="U60" s="209">
        <v>1</v>
      </c>
      <c r="V60" s="209">
        <v>1</v>
      </c>
      <c r="W60" s="209">
        <v>1</v>
      </c>
      <c r="X60" s="209">
        <v>1</v>
      </c>
      <c r="Y60" s="209">
        <v>1</v>
      </c>
      <c r="Z60" s="209">
        <v>1</v>
      </c>
      <c r="AA60" s="209">
        <v>1</v>
      </c>
      <c r="AB60" s="209">
        <v>1</v>
      </c>
    </row>
    <row r="61" spans="1:30" x14ac:dyDescent="0.25">
      <c r="A61" s="230" t="s">
        <v>110</v>
      </c>
      <c r="B61" s="233">
        <f>'AEO 2025 Alt T Table 1'!F$24/'AEO 2025 Alt T Table 1'!$F$24</f>
        <v>1</v>
      </c>
      <c r="C61" s="233">
        <f>'AEO 2025 Alt T Table 1'!G$24/'AEO 2025 Alt T Table 1'!$F$24</f>
        <v>0.98472323023107156</v>
      </c>
      <c r="D61" s="233">
        <f>'AEO 2025 Alt T Table 1'!H$24/'AEO 2025 Alt T Table 1'!$F$24</f>
        <v>1.0435052719837674</v>
      </c>
      <c r="E61" s="233">
        <f>'AEO 2025 Alt T Table 1'!I$24/'AEO 2025 Alt T Table 1'!$F$24</f>
        <v>1.0409994344608473</v>
      </c>
      <c r="F61" s="233">
        <f>'AEO 2025 Alt T Table 1'!J$24/'AEO 2025 Alt T Table 1'!$F$24</f>
        <v>1.0544502432283065</v>
      </c>
      <c r="G61" s="233">
        <f>'AEO 2025 Alt T Table 1'!K$24/'AEO 2025 Alt T Table 1'!$F$24</f>
        <v>1.0712116561380605</v>
      </c>
      <c r="H61" s="233">
        <f>'AEO 2025 Alt T Table 1'!L$24/'AEO 2025 Alt T Table 1'!$F$24</f>
        <v>1.0786683210893437</v>
      </c>
      <c r="I61" s="233">
        <f>'AEO 2025 Alt T Table 1'!M$24/'AEO 2025 Alt T Table 1'!$F$24</f>
        <v>1.0810404584376647</v>
      </c>
      <c r="J61" s="233">
        <f>'AEO 2025 Alt T Table 1'!N$24/'AEO 2025 Alt T Table 1'!$F$24</f>
        <v>1.1076990727587928</v>
      </c>
      <c r="K61" s="233">
        <f>'AEO 2025 Alt T Table 1'!O$24/'AEO 2025 Alt T Table 1'!$F$24</f>
        <v>1.1104082681504643</v>
      </c>
      <c r="L61" s="233">
        <f>'AEO 2025 Alt T Table 1'!P$24/'AEO 2025 Alt T Table 1'!$F$24</f>
        <v>1.1349643237881317</v>
      </c>
      <c r="M61" s="233">
        <f>'AEO 2025 Alt T Table 1'!Q$24/'AEO 2025 Alt T Table 1'!$F$24</f>
        <v>1.1415632648459595</v>
      </c>
      <c r="N61" s="233">
        <f>'AEO 2025 Alt T Table 1'!R$24/'AEO 2025 Alt T Table 1'!$F$24</f>
        <v>1.1401093601594683</v>
      </c>
      <c r="O61" s="233">
        <f>'AEO 2025 Alt T Table 1'!S$24/'AEO 2025 Alt T Table 1'!$F$24</f>
        <v>1.1272482940520898</v>
      </c>
      <c r="P61" s="233">
        <f>'AEO 2025 Alt T Table 1'!T$24/'AEO 2025 Alt T Table 1'!$F$24</f>
        <v>1.1333243425371367</v>
      </c>
      <c r="Q61" s="233">
        <f>'AEO 2025 Alt T Table 1'!U$24/'AEO 2025 Alt T Table 1'!$F$24</f>
        <v>1.1354883781292655</v>
      </c>
      <c r="R61" s="233">
        <f>'AEO 2025 Alt T Table 1'!V$24/'AEO 2025 Alt T Table 1'!$F$24</f>
        <v>1.1294448591580966</v>
      </c>
      <c r="S61" s="233">
        <f>'AEO 2025 Alt T Table 1'!W$24/'AEO 2025 Alt T Table 1'!$F$24</f>
        <v>1.1274321923009321</v>
      </c>
      <c r="T61" s="233">
        <f>'AEO 2025 Alt T Table 1'!X$24/'AEO 2025 Alt T Table 1'!$F$24</f>
        <v>1.1260297926780809</v>
      </c>
      <c r="U61" s="233">
        <f>'AEO 2025 Alt T Table 1'!Y$24/'AEO 2025 Alt T Table 1'!$F$24</f>
        <v>1.1302523849773092</v>
      </c>
      <c r="V61" s="233">
        <f>'AEO 2025 Alt T Table 1'!Z$24/'AEO 2025 Alt T Table 1'!$F$24</f>
        <v>1.1338575458040487</v>
      </c>
      <c r="W61" s="233">
        <f>'AEO 2025 Alt T Table 1'!AA$24/'AEO 2025 Alt T Table 1'!$F$24</f>
        <v>1.1352120224823476</v>
      </c>
      <c r="X61" s="233">
        <f>'AEO 2025 Alt T Table 1'!AB$24/'AEO 2025 Alt T Table 1'!$F$24</f>
        <v>1.1135511903938409</v>
      </c>
      <c r="Y61" s="233">
        <f>'AEO 2025 Alt T Table 1'!AC$24/'AEO 2025 Alt T Table 1'!$F$24</f>
        <v>1.1137530960521513</v>
      </c>
      <c r="Z61" s="233">
        <f>'AEO 2025 Alt T Table 1'!AD$24/'AEO 2025 Alt T Table 1'!$F$24</f>
        <v>1.1121443373256374</v>
      </c>
      <c r="AA61" s="233">
        <f>'AEO 2025 Alt T Table 1'!AE$24/'AEO 2025 Alt T Table 1'!$F$24</f>
        <v>1.1162969330816106</v>
      </c>
      <c r="AB61" s="233">
        <f>'AEO 2025 Alt T Table 1'!AF$24/'AEO 2025 Alt T Table 1'!$F$24</f>
        <v>1.1112821115798148</v>
      </c>
    </row>
    <row r="62" spans="1:30" x14ac:dyDescent="0.25">
      <c r="A62" s="230" t="s">
        <v>121</v>
      </c>
      <c r="B62" s="233">
        <f>'AEO 2025 Alt T Table 1'!F$24/'AEO 2025 Alt T Table 1'!$F$24</f>
        <v>1</v>
      </c>
      <c r="C62" s="233">
        <f>'AEO 2025 Alt T Table 1'!G$24/'AEO 2025 Alt T Table 1'!$F$24</f>
        <v>0.98472323023107156</v>
      </c>
      <c r="D62" s="233">
        <f>'AEO 2025 Alt T Table 1'!H$24/'AEO 2025 Alt T Table 1'!$F$24</f>
        <v>1.0435052719837674</v>
      </c>
      <c r="E62" s="233">
        <f>'AEO 2025 Alt T Table 1'!I$24/'AEO 2025 Alt T Table 1'!$F$24</f>
        <v>1.0409994344608473</v>
      </c>
      <c r="F62" s="233">
        <f>'AEO 2025 Alt T Table 1'!J$24/'AEO 2025 Alt T Table 1'!$F$24</f>
        <v>1.0544502432283065</v>
      </c>
      <c r="G62" s="233">
        <f>'AEO 2025 Alt T Table 1'!K$24/'AEO 2025 Alt T Table 1'!$F$24</f>
        <v>1.0712116561380605</v>
      </c>
      <c r="H62" s="233">
        <f>'AEO 2025 Alt T Table 1'!L$24/'AEO 2025 Alt T Table 1'!$F$24</f>
        <v>1.0786683210893437</v>
      </c>
      <c r="I62" s="233">
        <f>'AEO 2025 Alt T Table 1'!M$24/'AEO 2025 Alt T Table 1'!$F$24</f>
        <v>1.0810404584376647</v>
      </c>
      <c r="J62" s="233">
        <f>'AEO 2025 Alt T Table 1'!N$24/'AEO 2025 Alt T Table 1'!$F$24</f>
        <v>1.1076990727587928</v>
      </c>
      <c r="K62" s="233">
        <f>'AEO 2025 Alt T Table 1'!O$24/'AEO 2025 Alt T Table 1'!$F$24</f>
        <v>1.1104082681504643</v>
      </c>
      <c r="L62" s="233">
        <f>'AEO 2025 Alt T Table 1'!P$24/'AEO 2025 Alt T Table 1'!$F$24</f>
        <v>1.1349643237881317</v>
      </c>
      <c r="M62" s="233">
        <f>'AEO 2025 Alt T Table 1'!Q$24/'AEO 2025 Alt T Table 1'!$F$24</f>
        <v>1.1415632648459595</v>
      </c>
      <c r="N62" s="233">
        <f>'AEO 2025 Alt T Table 1'!R$24/'AEO 2025 Alt T Table 1'!$F$24</f>
        <v>1.1401093601594683</v>
      </c>
      <c r="O62" s="233">
        <f>'AEO 2025 Alt T Table 1'!S$24/'AEO 2025 Alt T Table 1'!$F$24</f>
        <v>1.1272482940520898</v>
      </c>
      <c r="P62" s="233">
        <f>'AEO 2025 Alt T Table 1'!T$24/'AEO 2025 Alt T Table 1'!$F$24</f>
        <v>1.1333243425371367</v>
      </c>
      <c r="Q62" s="233">
        <f>'AEO 2025 Alt T Table 1'!U$24/'AEO 2025 Alt T Table 1'!$F$24</f>
        <v>1.1354883781292655</v>
      </c>
      <c r="R62" s="233">
        <f>'AEO 2025 Alt T Table 1'!V$24/'AEO 2025 Alt T Table 1'!$F$24</f>
        <v>1.1294448591580966</v>
      </c>
      <c r="S62" s="233">
        <f>'AEO 2025 Alt T Table 1'!W$24/'AEO 2025 Alt T Table 1'!$F$24</f>
        <v>1.1274321923009321</v>
      </c>
      <c r="T62" s="233">
        <f>'AEO 2025 Alt T Table 1'!X$24/'AEO 2025 Alt T Table 1'!$F$24</f>
        <v>1.1260297926780809</v>
      </c>
      <c r="U62" s="233">
        <f>'AEO 2025 Alt T Table 1'!Y$24/'AEO 2025 Alt T Table 1'!$F$24</f>
        <v>1.1302523849773092</v>
      </c>
      <c r="V62" s="233">
        <f>'AEO 2025 Alt T Table 1'!Z$24/'AEO 2025 Alt T Table 1'!$F$24</f>
        <v>1.1338575458040487</v>
      </c>
      <c r="W62" s="233">
        <f>'AEO 2025 Alt T Table 1'!AA$24/'AEO 2025 Alt T Table 1'!$F$24</f>
        <v>1.1352120224823476</v>
      </c>
      <c r="X62" s="233">
        <f>'AEO 2025 Alt T Table 1'!AB$24/'AEO 2025 Alt T Table 1'!$F$24</f>
        <v>1.1135511903938409</v>
      </c>
      <c r="Y62" s="233">
        <f>'AEO 2025 Alt T Table 1'!AC$24/'AEO 2025 Alt T Table 1'!$F$24</f>
        <v>1.1137530960521513</v>
      </c>
      <c r="Z62" s="233">
        <f>'AEO 2025 Alt T Table 1'!AD$24/'AEO 2025 Alt T Table 1'!$F$24</f>
        <v>1.1121443373256374</v>
      </c>
      <c r="AA62" s="233">
        <f>'AEO 2025 Alt T Table 1'!AE$24/'AEO 2025 Alt T Table 1'!$F$24</f>
        <v>1.1162969330816106</v>
      </c>
      <c r="AB62" s="233">
        <f>'AEO 2025 Alt T Table 1'!AF$24/'AEO 2025 Alt T Table 1'!$F$24</f>
        <v>1.1112821115798148</v>
      </c>
    </row>
    <row r="63" spans="1:30" x14ac:dyDescent="0.25">
      <c r="A63" t="s">
        <v>122</v>
      </c>
      <c r="B63" s="233">
        <f>'AEO 2025 Alt T Table 1'!F$24/'AEO 2025 Alt T Table 1'!$F$24</f>
        <v>1</v>
      </c>
      <c r="C63" s="233">
        <f>'AEO 2025 Alt T Table 1'!G$24/'AEO 2025 Alt T Table 1'!$F$24</f>
        <v>0.98472323023107156</v>
      </c>
      <c r="D63" s="233">
        <f>'AEO 2025 Alt T Table 1'!H$24/'AEO 2025 Alt T Table 1'!$F$24</f>
        <v>1.0435052719837674</v>
      </c>
      <c r="E63" s="233">
        <f>'AEO 2025 Alt T Table 1'!I$24/'AEO 2025 Alt T Table 1'!$F$24</f>
        <v>1.0409994344608473</v>
      </c>
      <c r="F63" s="233">
        <f>'AEO 2025 Alt T Table 1'!J$24/'AEO 2025 Alt T Table 1'!$F$24</f>
        <v>1.0544502432283065</v>
      </c>
      <c r="G63" s="233">
        <f>'AEO 2025 Alt T Table 1'!K$24/'AEO 2025 Alt T Table 1'!$F$24</f>
        <v>1.0712116561380605</v>
      </c>
      <c r="H63" s="233">
        <f>'AEO 2025 Alt T Table 1'!L$24/'AEO 2025 Alt T Table 1'!$F$24</f>
        <v>1.0786683210893437</v>
      </c>
      <c r="I63" s="233">
        <f>'AEO 2025 Alt T Table 1'!M$24/'AEO 2025 Alt T Table 1'!$F$24</f>
        <v>1.0810404584376647</v>
      </c>
      <c r="J63" s="233">
        <f>'AEO 2025 Alt T Table 1'!N$24/'AEO 2025 Alt T Table 1'!$F$24</f>
        <v>1.1076990727587928</v>
      </c>
      <c r="K63" s="233">
        <f>'AEO 2025 Alt T Table 1'!O$24/'AEO 2025 Alt T Table 1'!$F$24</f>
        <v>1.1104082681504643</v>
      </c>
      <c r="L63" s="233">
        <f>'AEO 2025 Alt T Table 1'!P$24/'AEO 2025 Alt T Table 1'!$F$24</f>
        <v>1.1349643237881317</v>
      </c>
      <c r="M63" s="233">
        <f>'AEO 2025 Alt T Table 1'!Q$24/'AEO 2025 Alt T Table 1'!$F$24</f>
        <v>1.1415632648459595</v>
      </c>
      <c r="N63" s="233">
        <f>'AEO 2025 Alt T Table 1'!R$24/'AEO 2025 Alt T Table 1'!$F$24</f>
        <v>1.1401093601594683</v>
      </c>
      <c r="O63" s="233">
        <f>'AEO 2025 Alt T Table 1'!S$24/'AEO 2025 Alt T Table 1'!$F$24</f>
        <v>1.1272482940520898</v>
      </c>
      <c r="P63" s="233">
        <f>'AEO 2025 Alt T Table 1'!T$24/'AEO 2025 Alt T Table 1'!$F$24</f>
        <v>1.1333243425371367</v>
      </c>
      <c r="Q63" s="233">
        <f>'AEO 2025 Alt T Table 1'!U$24/'AEO 2025 Alt T Table 1'!$F$24</f>
        <v>1.1354883781292655</v>
      </c>
      <c r="R63" s="233">
        <f>'AEO 2025 Alt T Table 1'!V$24/'AEO 2025 Alt T Table 1'!$F$24</f>
        <v>1.1294448591580966</v>
      </c>
      <c r="S63" s="233">
        <f>'AEO 2025 Alt T Table 1'!W$24/'AEO 2025 Alt T Table 1'!$F$24</f>
        <v>1.1274321923009321</v>
      </c>
      <c r="T63" s="233">
        <f>'AEO 2025 Alt T Table 1'!X$24/'AEO 2025 Alt T Table 1'!$F$24</f>
        <v>1.1260297926780809</v>
      </c>
      <c r="U63" s="233">
        <f>'AEO 2025 Alt T Table 1'!Y$24/'AEO 2025 Alt T Table 1'!$F$24</f>
        <v>1.1302523849773092</v>
      </c>
      <c r="V63" s="233">
        <f>'AEO 2025 Alt T Table 1'!Z$24/'AEO 2025 Alt T Table 1'!$F$24</f>
        <v>1.1338575458040487</v>
      </c>
      <c r="W63" s="233">
        <f>'AEO 2025 Alt T Table 1'!AA$24/'AEO 2025 Alt T Table 1'!$F$24</f>
        <v>1.1352120224823476</v>
      </c>
      <c r="X63" s="233">
        <f>'AEO 2025 Alt T Table 1'!AB$24/'AEO 2025 Alt T Table 1'!$F$24</f>
        <v>1.1135511903938409</v>
      </c>
      <c r="Y63" s="233">
        <f>'AEO 2025 Alt T Table 1'!AC$24/'AEO 2025 Alt T Table 1'!$F$24</f>
        <v>1.1137530960521513</v>
      </c>
      <c r="Z63" s="233">
        <f>'AEO 2025 Alt T Table 1'!AD$24/'AEO 2025 Alt T Table 1'!$F$24</f>
        <v>1.1121443373256374</v>
      </c>
      <c r="AA63" s="233">
        <f>'AEO 2025 Alt T Table 1'!AE$24/'AEO 2025 Alt T Table 1'!$F$24</f>
        <v>1.1162969330816106</v>
      </c>
      <c r="AB63" s="233">
        <f>'AEO 2025 Alt T Table 1'!AF$24/'AEO 2025 Alt T Table 1'!$F$24</f>
        <v>1.1112821115798148</v>
      </c>
    </row>
    <row r="64" spans="1:30" x14ac:dyDescent="0.25">
      <c r="A64" t="s">
        <v>123</v>
      </c>
      <c r="B64" s="233">
        <f>'AEO 2025 Alt T Table 1'!F$24/'AEO 2025 Alt T Table 1'!$F$24</f>
        <v>1</v>
      </c>
      <c r="C64" s="233">
        <f>'AEO 2025 Alt T Table 1'!G$24/'AEO 2025 Alt T Table 1'!$F$24</f>
        <v>0.98472323023107156</v>
      </c>
      <c r="D64" s="233">
        <f>'AEO 2025 Alt T Table 1'!H$24/'AEO 2025 Alt T Table 1'!$F$24</f>
        <v>1.0435052719837674</v>
      </c>
      <c r="E64" s="233">
        <f>'AEO 2025 Alt T Table 1'!I$24/'AEO 2025 Alt T Table 1'!$F$24</f>
        <v>1.0409994344608473</v>
      </c>
      <c r="F64" s="233">
        <f>'AEO 2025 Alt T Table 1'!J$24/'AEO 2025 Alt T Table 1'!$F$24</f>
        <v>1.0544502432283065</v>
      </c>
      <c r="G64" s="233">
        <f>'AEO 2025 Alt T Table 1'!K$24/'AEO 2025 Alt T Table 1'!$F$24</f>
        <v>1.0712116561380605</v>
      </c>
      <c r="H64" s="233">
        <f>'AEO 2025 Alt T Table 1'!L$24/'AEO 2025 Alt T Table 1'!$F$24</f>
        <v>1.0786683210893437</v>
      </c>
      <c r="I64" s="233">
        <f>'AEO 2025 Alt T Table 1'!M$24/'AEO 2025 Alt T Table 1'!$F$24</f>
        <v>1.0810404584376647</v>
      </c>
      <c r="J64" s="233">
        <f>'AEO 2025 Alt T Table 1'!N$24/'AEO 2025 Alt T Table 1'!$F$24</f>
        <v>1.1076990727587928</v>
      </c>
      <c r="K64" s="233">
        <f>'AEO 2025 Alt T Table 1'!O$24/'AEO 2025 Alt T Table 1'!$F$24</f>
        <v>1.1104082681504643</v>
      </c>
      <c r="L64" s="233">
        <f>'AEO 2025 Alt T Table 1'!P$24/'AEO 2025 Alt T Table 1'!$F$24</f>
        <v>1.1349643237881317</v>
      </c>
      <c r="M64" s="233">
        <f>'AEO 2025 Alt T Table 1'!Q$24/'AEO 2025 Alt T Table 1'!$F$24</f>
        <v>1.1415632648459595</v>
      </c>
      <c r="N64" s="233">
        <f>'AEO 2025 Alt T Table 1'!R$24/'AEO 2025 Alt T Table 1'!$F$24</f>
        <v>1.1401093601594683</v>
      </c>
      <c r="O64" s="233">
        <f>'AEO 2025 Alt T Table 1'!S$24/'AEO 2025 Alt T Table 1'!$F$24</f>
        <v>1.1272482940520898</v>
      </c>
      <c r="P64" s="233">
        <f>'AEO 2025 Alt T Table 1'!T$24/'AEO 2025 Alt T Table 1'!$F$24</f>
        <v>1.1333243425371367</v>
      </c>
      <c r="Q64" s="233">
        <f>'AEO 2025 Alt T Table 1'!U$24/'AEO 2025 Alt T Table 1'!$F$24</f>
        <v>1.1354883781292655</v>
      </c>
      <c r="R64" s="233">
        <f>'AEO 2025 Alt T Table 1'!V$24/'AEO 2025 Alt T Table 1'!$F$24</f>
        <v>1.1294448591580966</v>
      </c>
      <c r="S64" s="233">
        <f>'AEO 2025 Alt T Table 1'!W$24/'AEO 2025 Alt T Table 1'!$F$24</f>
        <v>1.1274321923009321</v>
      </c>
      <c r="T64" s="233">
        <f>'AEO 2025 Alt T Table 1'!X$24/'AEO 2025 Alt T Table 1'!$F$24</f>
        <v>1.1260297926780809</v>
      </c>
      <c r="U64" s="233">
        <f>'AEO 2025 Alt T Table 1'!Y$24/'AEO 2025 Alt T Table 1'!$F$24</f>
        <v>1.1302523849773092</v>
      </c>
      <c r="V64" s="233">
        <f>'AEO 2025 Alt T Table 1'!Z$24/'AEO 2025 Alt T Table 1'!$F$24</f>
        <v>1.1338575458040487</v>
      </c>
      <c r="W64" s="233">
        <f>'AEO 2025 Alt T Table 1'!AA$24/'AEO 2025 Alt T Table 1'!$F$24</f>
        <v>1.1352120224823476</v>
      </c>
      <c r="X64" s="233">
        <f>'AEO 2025 Alt T Table 1'!AB$24/'AEO 2025 Alt T Table 1'!$F$24</f>
        <v>1.1135511903938409</v>
      </c>
      <c r="Y64" s="233">
        <f>'AEO 2025 Alt T Table 1'!AC$24/'AEO 2025 Alt T Table 1'!$F$24</f>
        <v>1.1137530960521513</v>
      </c>
      <c r="Z64" s="233">
        <f>'AEO 2025 Alt T Table 1'!AD$24/'AEO 2025 Alt T Table 1'!$F$24</f>
        <v>1.1121443373256374</v>
      </c>
      <c r="AA64" s="233">
        <f>'AEO 2025 Alt T Table 1'!AE$24/'AEO 2025 Alt T Table 1'!$F$24</f>
        <v>1.1162969330816106</v>
      </c>
      <c r="AB64" s="233">
        <f>'AEO 2025 Alt T Table 1'!AF$24/'AEO 2025 Alt T Table 1'!$F$24</f>
        <v>1.1112821115798148</v>
      </c>
    </row>
    <row r="65" spans="1:30" x14ac:dyDescent="0.25">
      <c r="A65" t="s">
        <v>112</v>
      </c>
      <c r="B65" s="233">
        <f>'AEO 2025 Alt T Table 1'!F$24/'AEO 2025 Alt T Table 1'!$F$24</f>
        <v>1</v>
      </c>
      <c r="C65" s="233">
        <f>'AEO 2025 Alt T Table 1'!G$24/'AEO 2025 Alt T Table 1'!$F$24</f>
        <v>0.98472323023107156</v>
      </c>
      <c r="D65" s="233">
        <f>'AEO 2025 Alt T Table 1'!H$24/'AEO 2025 Alt T Table 1'!$F$24</f>
        <v>1.0435052719837674</v>
      </c>
      <c r="E65" s="233">
        <f>'AEO 2025 Alt T Table 1'!I$24/'AEO 2025 Alt T Table 1'!$F$24</f>
        <v>1.0409994344608473</v>
      </c>
      <c r="F65" s="233">
        <f>'AEO 2025 Alt T Table 1'!J$24/'AEO 2025 Alt T Table 1'!$F$24</f>
        <v>1.0544502432283065</v>
      </c>
      <c r="G65" s="233">
        <f>'AEO 2025 Alt T Table 1'!K$24/'AEO 2025 Alt T Table 1'!$F$24</f>
        <v>1.0712116561380605</v>
      </c>
      <c r="H65" s="233">
        <f>'AEO 2025 Alt T Table 1'!L$24/'AEO 2025 Alt T Table 1'!$F$24</f>
        <v>1.0786683210893437</v>
      </c>
      <c r="I65" s="233">
        <f>'AEO 2025 Alt T Table 1'!M$24/'AEO 2025 Alt T Table 1'!$F$24</f>
        <v>1.0810404584376647</v>
      </c>
      <c r="J65" s="233">
        <f>'AEO 2025 Alt T Table 1'!N$24/'AEO 2025 Alt T Table 1'!$F$24</f>
        <v>1.1076990727587928</v>
      </c>
      <c r="K65" s="233">
        <f>'AEO 2025 Alt T Table 1'!O$24/'AEO 2025 Alt T Table 1'!$F$24</f>
        <v>1.1104082681504643</v>
      </c>
      <c r="L65" s="233">
        <f>'AEO 2025 Alt T Table 1'!P$24/'AEO 2025 Alt T Table 1'!$F$24</f>
        <v>1.1349643237881317</v>
      </c>
      <c r="M65" s="233">
        <f>'AEO 2025 Alt T Table 1'!Q$24/'AEO 2025 Alt T Table 1'!$F$24</f>
        <v>1.1415632648459595</v>
      </c>
      <c r="N65" s="233">
        <f>'AEO 2025 Alt T Table 1'!R$24/'AEO 2025 Alt T Table 1'!$F$24</f>
        <v>1.1401093601594683</v>
      </c>
      <c r="O65" s="233">
        <f>'AEO 2025 Alt T Table 1'!S$24/'AEO 2025 Alt T Table 1'!$F$24</f>
        <v>1.1272482940520898</v>
      </c>
      <c r="P65" s="233">
        <f>'AEO 2025 Alt T Table 1'!T$24/'AEO 2025 Alt T Table 1'!$F$24</f>
        <v>1.1333243425371367</v>
      </c>
      <c r="Q65" s="233">
        <f>'AEO 2025 Alt T Table 1'!U$24/'AEO 2025 Alt T Table 1'!$F$24</f>
        <v>1.1354883781292655</v>
      </c>
      <c r="R65" s="233">
        <f>'AEO 2025 Alt T Table 1'!V$24/'AEO 2025 Alt T Table 1'!$F$24</f>
        <v>1.1294448591580966</v>
      </c>
      <c r="S65" s="233">
        <f>'AEO 2025 Alt T Table 1'!W$24/'AEO 2025 Alt T Table 1'!$F$24</f>
        <v>1.1274321923009321</v>
      </c>
      <c r="T65" s="233">
        <f>'AEO 2025 Alt T Table 1'!X$24/'AEO 2025 Alt T Table 1'!$F$24</f>
        <v>1.1260297926780809</v>
      </c>
      <c r="U65" s="233">
        <f>'AEO 2025 Alt T Table 1'!Y$24/'AEO 2025 Alt T Table 1'!$F$24</f>
        <v>1.1302523849773092</v>
      </c>
      <c r="V65" s="233">
        <f>'AEO 2025 Alt T Table 1'!Z$24/'AEO 2025 Alt T Table 1'!$F$24</f>
        <v>1.1338575458040487</v>
      </c>
      <c r="W65" s="233">
        <f>'AEO 2025 Alt T Table 1'!AA$24/'AEO 2025 Alt T Table 1'!$F$24</f>
        <v>1.1352120224823476</v>
      </c>
      <c r="X65" s="233">
        <f>'AEO 2025 Alt T Table 1'!AB$24/'AEO 2025 Alt T Table 1'!$F$24</f>
        <v>1.1135511903938409</v>
      </c>
      <c r="Y65" s="233">
        <f>'AEO 2025 Alt T Table 1'!AC$24/'AEO 2025 Alt T Table 1'!$F$24</f>
        <v>1.1137530960521513</v>
      </c>
      <c r="Z65" s="233">
        <f>'AEO 2025 Alt T Table 1'!AD$24/'AEO 2025 Alt T Table 1'!$F$24</f>
        <v>1.1121443373256374</v>
      </c>
      <c r="AA65" s="233">
        <f>'AEO 2025 Alt T Table 1'!AE$24/'AEO 2025 Alt T Table 1'!$F$24</f>
        <v>1.1162969330816106</v>
      </c>
      <c r="AB65" s="233">
        <f>'AEO 2025 Alt T Table 1'!AF$24/'AEO 2025 Alt T Table 1'!$F$24</f>
        <v>1.1112821115798148</v>
      </c>
    </row>
    <row r="66" spans="1:30" x14ac:dyDescent="0.25">
      <c r="A66" s="7" t="s">
        <v>148</v>
      </c>
      <c r="B66" s="232">
        <v>0</v>
      </c>
      <c r="C66" s="232">
        <v>0</v>
      </c>
      <c r="D66" s="232">
        <v>0</v>
      </c>
      <c r="E66" s="232">
        <v>0</v>
      </c>
      <c r="F66" s="232">
        <v>0</v>
      </c>
      <c r="G66" s="232">
        <v>0</v>
      </c>
      <c r="H66" s="232">
        <v>0</v>
      </c>
      <c r="I66" s="232">
        <v>0</v>
      </c>
      <c r="J66" s="232">
        <v>0</v>
      </c>
      <c r="K66" s="232">
        <v>0</v>
      </c>
      <c r="L66" s="232">
        <v>0</v>
      </c>
      <c r="M66" s="232">
        <v>0</v>
      </c>
      <c r="N66" s="232">
        <v>0</v>
      </c>
      <c r="O66" s="232">
        <v>0</v>
      </c>
      <c r="P66" s="232">
        <v>0</v>
      </c>
      <c r="Q66" s="232">
        <v>0</v>
      </c>
      <c r="R66" s="232">
        <v>0</v>
      </c>
      <c r="S66" s="232">
        <v>0</v>
      </c>
      <c r="T66" s="232">
        <v>0</v>
      </c>
      <c r="U66" s="232">
        <v>0</v>
      </c>
      <c r="V66" s="232">
        <v>0</v>
      </c>
      <c r="W66" s="232">
        <v>0</v>
      </c>
      <c r="X66" s="232">
        <v>0</v>
      </c>
      <c r="Y66" s="232">
        <v>0</v>
      </c>
      <c r="Z66" s="232">
        <v>0</v>
      </c>
      <c r="AA66" s="232">
        <v>0</v>
      </c>
      <c r="AB66" s="232">
        <v>0</v>
      </c>
      <c r="AC66" s="7"/>
      <c r="AD66" s="7"/>
    </row>
    <row r="67" spans="1:30" x14ac:dyDescent="0.25">
      <c r="A67" s="7" t="s">
        <v>125</v>
      </c>
      <c r="B67" s="232">
        <v>0</v>
      </c>
      <c r="C67" s="232">
        <v>0</v>
      </c>
      <c r="D67" s="232">
        <v>0</v>
      </c>
      <c r="E67" s="232">
        <v>0</v>
      </c>
      <c r="F67" s="232">
        <v>0</v>
      </c>
      <c r="G67" s="232">
        <v>0</v>
      </c>
      <c r="H67" s="232">
        <v>0</v>
      </c>
      <c r="I67" s="232">
        <v>0</v>
      </c>
      <c r="J67" s="232">
        <v>0</v>
      </c>
      <c r="K67" s="232">
        <v>0</v>
      </c>
      <c r="L67" s="232">
        <v>0</v>
      </c>
      <c r="M67" s="232">
        <v>0</v>
      </c>
      <c r="N67" s="232">
        <v>0</v>
      </c>
      <c r="O67" s="232">
        <v>0</v>
      </c>
      <c r="P67" s="232">
        <v>0</v>
      </c>
      <c r="Q67" s="232">
        <v>0</v>
      </c>
      <c r="R67" s="232">
        <v>0</v>
      </c>
      <c r="S67" s="232">
        <v>0</v>
      </c>
      <c r="T67" s="232">
        <v>0</v>
      </c>
      <c r="U67" s="232">
        <v>0</v>
      </c>
      <c r="V67" s="232">
        <v>0</v>
      </c>
      <c r="W67" s="232">
        <v>0</v>
      </c>
      <c r="X67" s="232">
        <v>0</v>
      </c>
      <c r="Y67" s="232">
        <v>0</v>
      </c>
      <c r="Z67" s="232">
        <v>0</v>
      </c>
      <c r="AA67" s="232">
        <v>0</v>
      </c>
      <c r="AB67" s="232">
        <v>0</v>
      </c>
      <c r="AC67" s="7"/>
      <c r="AD67" s="7"/>
    </row>
    <row r="68" spans="1:30" x14ac:dyDescent="0.25">
      <c r="A68" t="s">
        <v>126</v>
      </c>
      <c r="B68" s="229">
        <f>'AEO 2025 HZC Table 1'!F$26/'AEO 2025 HZC Table 1'!$F$26</f>
        <v>1</v>
      </c>
      <c r="C68" s="229">
        <f>'AEO 2025 HZC Table 1'!G$26/'AEO 2025 HZC Table 1'!$F$26</f>
        <v>0.95609199409212253</v>
      </c>
      <c r="D68" s="229">
        <f>'AEO 2025 HZC Table 1'!H$26/'AEO 2025 HZC Table 1'!$F$26</f>
        <v>0.99462346454814821</v>
      </c>
      <c r="E68" s="229">
        <f>'AEO 2025 HZC Table 1'!I$26/'AEO 2025 HZC Table 1'!$F$26</f>
        <v>1.0312023998458815</v>
      </c>
      <c r="F68" s="229">
        <f>'AEO 2025 HZC Table 1'!J$26/'AEO 2025 HZC Table 1'!$F$26</f>
        <v>1.0801192583962498</v>
      </c>
      <c r="G68" s="229">
        <f>'AEO 2025 HZC Table 1'!K$26/'AEO 2025 HZC Table 1'!$F$26</f>
        <v>1.0573100810039722</v>
      </c>
      <c r="H68" s="229">
        <f>'AEO 2025 HZC Table 1'!L$26/'AEO 2025 HZC Table 1'!$F$26</f>
        <v>1.0349496821305053</v>
      </c>
      <c r="I68" s="229">
        <f>'AEO 2025 HZC Table 1'!M$26/'AEO 2025 HZC Table 1'!$F$26</f>
        <v>1.0288788793380241</v>
      </c>
      <c r="J68" s="229">
        <f>'AEO 2025 HZC Table 1'!N$26/'AEO 2025 HZC Table 1'!$F$26</f>
        <v>1.0369656994504939</v>
      </c>
      <c r="K68" s="229">
        <f>'AEO 2025 HZC Table 1'!O$26/'AEO 2025 HZC Table 1'!$F$26</f>
        <v>1.0341948682194722</v>
      </c>
      <c r="L68" s="229">
        <f>'AEO 2025 HZC Table 1'!P$26/'AEO 2025 HZC Table 1'!$F$26</f>
        <v>1.0275916225563495</v>
      </c>
      <c r="M68" s="229">
        <f>'AEO 2025 HZC Table 1'!Q$26/'AEO 2025 HZC Table 1'!$F$26</f>
        <v>1.0571240379058224</v>
      </c>
      <c r="N68" s="229">
        <f>'AEO 2025 HZC Table 1'!R$26/'AEO 2025 HZC Table 1'!$F$26</f>
        <v>1.0463317034685846</v>
      </c>
      <c r="O68" s="229">
        <f>'AEO 2025 HZC Table 1'!S$26/'AEO 2025 HZC Table 1'!$F$26</f>
        <v>1.0711312117570431</v>
      </c>
      <c r="P68" s="229">
        <f>'AEO 2025 HZC Table 1'!T$26/'AEO 2025 HZC Table 1'!$F$26</f>
        <v>1.0628077095966313</v>
      </c>
      <c r="Q68" s="229">
        <f>'AEO 2025 HZC Table 1'!U$26/'AEO 2025 HZC Table 1'!$F$26</f>
        <v>1.0905633583164385</v>
      </c>
      <c r="R68" s="229">
        <f>'AEO 2025 HZC Table 1'!V$26/'AEO 2025 HZC Table 1'!$F$26</f>
        <v>1.1063770216591593</v>
      </c>
      <c r="S68" s="229">
        <f>'AEO 2025 HZC Table 1'!W$26/'AEO 2025 HZC Table 1'!$F$26</f>
        <v>1.0933965708624216</v>
      </c>
      <c r="T68" s="229">
        <f>'AEO 2025 HZC Table 1'!X$26/'AEO 2025 HZC Table 1'!$F$26</f>
        <v>1.0990347408881997</v>
      </c>
      <c r="U68" s="229">
        <f>'AEO 2025 HZC Table 1'!Y$26/'AEO 2025 HZC Table 1'!$F$26</f>
        <v>1.1066922307741704</v>
      </c>
      <c r="V68" s="229">
        <f>'AEO 2025 HZC Table 1'!Z$26/'AEO 2025 HZC Table 1'!$F$26</f>
        <v>1.115826323080169</v>
      </c>
      <c r="W68" s="229">
        <f>'AEO 2025 HZC Table 1'!AA$26/'AEO 2025 HZC Table 1'!$F$26</f>
        <v>1.1424737860871319</v>
      </c>
      <c r="X68" s="229">
        <f>'AEO 2025 HZC Table 1'!AB$26/'AEO 2025 HZC Table 1'!$F$26</f>
        <v>1.1495724127808304</v>
      </c>
      <c r="Y68" s="229">
        <f>'AEO 2025 HZC Table 1'!AC$26/'AEO 2025 HZC Table 1'!$F$26</f>
        <v>1.1656036768280935</v>
      </c>
      <c r="Z68" s="229">
        <f>'AEO 2025 HZC Table 1'!AD$26/'AEO 2025 HZC Table 1'!$F$26</f>
        <v>1.1729099966057224</v>
      </c>
      <c r="AA68" s="229">
        <f>'AEO 2025 HZC Table 1'!AE$26/'AEO 2025 HZC Table 1'!$F$26</f>
        <v>1.184499711027732</v>
      </c>
      <c r="AB68" s="229">
        <f>'AEO 2025 HZC Table 1'!AF$26/'AEO 2025 HZC Table 1'!$F$26</f>
        <v>1.1721364683002009</v>
      </c>
    </row>
    <row r="69" spans="1:30" x14ac:dyDescent="0.25">
      <c r="A69" t="s">
        <v>113</v>
      </c>
      <c r="B69" s="233">
        <f>'AEO 2025 Alt T Table 1'!F$24/'AEO 2025 Alt T Table 1'!$F$24</f>
        <v>1</v>
      </c>
      <c r="C69" s="233">
        <f>'AEO 2025 Alt T Table 1'!G$24/'AEO 2025 Alt T Table 1'!$F$24</f>
        <v>0.98472323023107156</v>
      </c>
      <c r="D69" s="233">
        <f>'AEO 2025 Alt T Table 1'!H$24/'AEO 2025 Alt T Table 1'!$F$24</f>
        <v>1.0435052719837674</v>
      </c>
      <c r="E69" s="233">
        <f>'AEO 2025 Alt T Table 1'!I$24/'AEO 2025 Alt T Table 1'!$F$24</f>
        <v>1.0409994344608473</v>
      </c>
      <c r="F69" s="233">
        <f>'AEO 2025 Alt T Table 1'!J$24/'AEO 2025 Alt T Table 1'!$F$24</f>
        <v>1.0544502432283065</v>
      </c>
      <c r="G69" s="233">
        <f>'AEO 2025 Alt T Table 1'!K$24/'AEO 2025 Alt T Table 1'!$F$24</f>
        <v>1.0712116561380605</v>
      </c>
      <c r="H69" s="233">
        <f>'AEO 2025 Alt T Table 1'!L$24/'AEO 2025 Alt T Table 1'!$F$24</f>
        <v>1.0786683210893437</v>
      </c>
      <c r="I69" s="233">
        <f>'AEO 2025 Alt T Table 1'!M$24/'AEO 2025 Alt T Table 1'!$F$24</f>
        <v>1.0810404584376647</v>
      </c>
      <c r="J69" s="233">
        <f>'AEO 2025 Alt T Table 1'!N$24/'AEO 2025 Alt T Table 1'!$F$24</f>
        <v>1.1076990727587928</v>
      </c>
      <c r="K69" s="233">
        <f>'AEO 2025 Alt T Table 1'!O$24/'AEO 2025 Alt T Table 1'!$F$24</f>
        <v>1.1104082681504643</v>
      </c>
      <c r="L69" s="233">
        <f>'AEO 2025 Alt T Table 1'!P$24/'AEO 2025 Alt T Table 1'!$F$24</f>
        <v>1.1349643237881317</v>
      </c>
      <c r="M69" s="233">
        <f>'AEO 2025 Alt T Table 1'!Q$24/'AEO 2025 Alt T Table 1'!$F$24</f>
        <v>1.1415632648459595</v>
      </c>
      <c r="N69" s="233">
        <f>'AEO 2025 Alt T Table 1'!R$24/'AEO 2025 Alt T Table 1'!$F$24</f>
        <v>1.1401093601594683</v>
      </c>
      <c r="O69" s="233">
        <f>'AEO 2025 Alt T Table 1'!S$24/'AEO 2025 Alt T Table 1'!$F$24</f>
        <v>1.1272482940520898</v>
      </c>
      <c r="P69" s="233">
        <f>'AEO 2025 Alt T Table 1'!T$24/'AEO 2025 Alt T Table 1'!$F$24</f>
        <v>1.1333243425371367</v>
      </c>
      <c r="Q69" s="233">
        <f>'AEO 2025 Alt T Table 1'!U$24/'AEO 2025 Alt T Table 1'!$F$24</f>
        <v>1.1354883781292655</v>
      </c>
      <c r="R69" s="233">
        <f>'AEO 2025 Alt T Table 1'!V$24/'AEO 2025 Alt T Table 1'!$F$24</f>
        <v>1.1294448591580966</v>
      </c>
      <c r="S69" s="233">
        <f>'AEO 2025 Alt T Table 1'!W$24/'AEO 2025 Alt T Table 1'!$F$24</f>
        <v>1.1274321923009321</v>
      </c>
      <c r="T69" s="233">
        <f>'AEO 2025 Alt T Table 1'!X$24/'AEO 2025 Alt T Table 1'!$F$24</f>
        <v>1.1260297926780809</v>
      </c>
      <c r="U69" s="233">
        <f>'AEO 2025 Alt T Table 1'!Y$24/'AEO 2025 Alt T Table 1'!$F$24</f>
        <v>1.1302523849773092</v>
      </c>
      <c r="V69" s="233">
        <f>'AEO 2025 Alt T Table 1'!Z$24/'AEO 2025 Alt T Table 1'!$F$24</f>
        <v>1.1338575458040487</v>
      </c>
      <c r="W69" s="233">
        <f>'AEO 2025 Alt T Table 1'!AA$24/'AEO 2025 Alt T Table 1'!$F$24</f>
        <v>1.1352120224823476</v>
      </c>
      <c r="X69" s="233">
        <f>'AEO 2025 Alt T Table 1'!AB$24/'AEO 2025 Alt T Table 1'!$F$24</f>
        <v>1.1135511903938409</v>
      </c>
      <c r="Y69" s="233">
        <f>'AEO 2025 Alt T Table 1'!AC$24/'AEO 2025 Alt T Table 1'!$F$24</f>
        <v>1.1137530960521513</v>
      </c>
      <c r="Z69" s="233">
        <f>'AEO 2025 Alt T Table 1'!AD$24/'AEO 2025 Alt T Table 1'!$F$24</f>
        <v>1.1121443373256374</v>
      </c>
      <c r="AA69" s="233">
        <f>'AEO 2025 Alt T Table 1'!AE$24/'AEO 2025 Alt T Table 1'!$F$24</f>
        <v>1.1162969330816106</v>
      </c>
      <c r="AB69" s="233">
        <f>'AEO 2025 Alt T Table 1'!AF$24/'AEO 2025 Alt T Table 1'!$F$24</f>
        <v>1.1112821115798148</v>
      </c>
    </row>
    <row r="70" spans="1:30" x14ac:dyDescent="0.25">
      <c r="A70" t="s">
        <v>127</v>
      </c>
      <c r="B70" s="233">
        <f>'AEO 2025 Alt T Table 1'!F$24/'AEO 2025 Alt T Table 1'!$F$24</f>
        <v>1</v>
      </c>
      <c r="C70" s="233">
        <f>'AEO 2025 Alt T Table 1'!G$24/'AEO 2025 Alt T Table 1'!$F$24</f>
        <v>0.98472323023107156</v>
      </c>
      <c r="D70" s="233">
        <f>'AEO 2025 Alt T Table 1'!H$24/'AEO 2025 Alt T Table 1'!$F$24</f>
        <v>1.0435052719837674</v>
      </c>
      <c r="E70" s="233">
        <f>'AEO 2025 Alt T Table 1'!I$24/'AEO 2025 Alt T Table 1'!$F$24</f>
        <v>1.0409994344608473</v>
      </c>
      <c r="F70" s="233">
        <f>'AEO 2025 Alt T Table 1'!J$24/'AEO 2025 Alt T Table 1'!$F$24</f>
        <v>1.0544502432283065</v>
      </c>
      <c r="G70" s="233">
        <f>'AEO 2025 Alt T Table 1'!K$24/'AEO 2025 Alt T Table 1'!$F$24</f>
        <v>1.0712116561380605</v>
      </c>
      <c r="H70" s="233">
        <f>'AEO 2025 Alt T Table 1'!L$24/'AEO 2025 Alt T Table 1'!$F$24</f>
        <v>1.0786683210893437</v>
      </c>
      <c r="I70" s="233">
        <f>'AEO 2025 Alt T Table 1'!M$24/'AEO 2025 Alt T Table 1'!$F$24</f>
        <v>1.0810404584376647</v>
      </c>
      <c r="J70" s="233">
        <f>'AEO 2025 Alt T Table 1'!N$24/'AEO 2025 Alt T Table 1'!$F$24</f>
        <v>1.1076990727587928</v>
      </c>
      <c r="K70" s="233">
        <f>'AEO 2025 Alt T Table 1'!O$24/'AEO 2025 Alt T Table 1'!$F$24</f>
        <v>1.1104082681504643</v>
      </c>
      <c r="L70" s="233">
        <f>'AEO 2025 Alt T Table 1'!P$24/'AEO 2025 Alt T Table 1'!$F$24</f>
        <v>1.1349643237881317</v>
      </c>
      <c r="M70" s="233">
        <f>'AEO 2025 Alt T Table 1'!Q$24/'AEO 2025 Alt T Table 1'!$F$24</f>
        <v>1.1415632648459595</v>
      </c>
      <c r="N70" s="233">
        <f>'AEO 2025 Alt T Table 1'!R$24/'AEO 2025 Alt T Table 1'!$F$24</f>
        <v>1.1401093601594683</v>
      </c>
      <c r="O70" s="233">
        <f>'AEO 2025 Alt T Table 1'!S$24/'AEO 2025 Alt T Table 1'!$F$24</f>
        <v>1.1272482940520898</v>
      </c>
      <c r="P70" s="233">
        <f>'AEO 2025 Alt T Table 1'!T$24/'AEO 2025 Alt T Table 1'!$F$24</f>
        <v>1.1333243425371367</v>
      </c>
      <c r="Q70" s="233">
        <f>'AEO 2025 Alt T Table 1'!U$24/'AEO 2025 Alt T Table 1'!$F$24</f>
        <v>1.1354883781292655</v>
      </c>
      <c r="R70" s="233">
        <f>'AEO 2025 Alt T Table 1'!V$24/'AEO 2025 Alt T Table 1'!$F$24</f>
        <v>1.1294448591580966</v>
      </c>
      <c r="S70" s="233">
        <f>'AEO 2025 Alt T Table 1'!W$24/'AEO 2025 Alt T Table 1'!$F$24</f>
        <v>1.1274321923009321</v>
      </c>
      <c r="T70" s="233">
        <f>'AEO 2025 Alt T Table 1'!X$24/'AEO 2025 Alt T Table 1'!$F$24</f>
        <v>1.1260297926780809</v>
      </c>
      <c r="U70" s="233">
        <f>'AEO 2025 Alt T Table 1'!Y$24/'AEO 2025 Alt T Table 1'!$F$24</f>
        <v>1.1302523849773092</v>
      </c>
      <c r="V70" s="233">
        <f>'AEO 2025 Alt T Table 1'!Z$24/'AEO 2025 Alt T Table 1'!$F$24</f>
        <v>1.1338575458040487</v>
      </c>
      <c r="W70" s="233">
        <f>'AEO 2025 Alt T Table 1'!AA$24/'AEO 2025 Alt T Table 1'!$F$24</f>
        <v>1.1352120224823476</v>
      </c>
      <c r="X70" s="233">
        <f>'AEO 2025 Alt T Table 1'!AB$24/'AEO 2025 Alt T Table 1'!$F$24</f>
        <v>1.1135511903938409</v>
      </c>
      <c r="Y70" s="233">
        <f>'AEO 2025 Alt T Table 1'!AC$24/'AEO 2025 Alt T Table 1'!$F$24</f>
        <v>1.1137530960521513</v>
      </c>
      <c r="Z70" s="233">
        <f>'AEO 2025 Alt T Table 1'!AD$24/'AEO 2025 Alt T Table 1'!$F$24</f>
        <v>1.1121443373256374</v>
      </c>
      <c r="AA70" s="233">
        <f>'AEO 2025 Alt T Table 1'!AE$24/'AEO 2025 Alt T Table 1'!$F$24</f>
        <v>1.1162969330816106</v>
      </c>
      <c r="AB70" s="233">
        <f>'AEO 2025 Alt T Table 1'!AF$24/'AEO 2025 Alt T Table 1'!$F$24</f>
        <v>1.1112821115798148</v>
      </c>
    </row>
    <row r="71" spans="1:30" x14ac:dyDescent="0.25">
      <c r="A71" t="s">
        <v>114</v>
      </c>
      <c r="B71" s="233">
        <f>'AEO 2025 Alt T Table 1'!F$24/'AEO 2025 Alt T Table 1'!$F$24</f>
        <v>1</v>
      </c>
      <c r="C71" s="233">
        <f>'AEO 2025 Alt T Table 1'!G$24/'AEO 2025 Alt T Table 1'!$F$24</f>
        <v>0.98472323023107156</v>
      </c>
      <c r="D71" s="233">
        <f>'AEO 2025 Alt T Table 1'!H$24/'AEO 2025 Alt T Table 1'!$F$24</f>
        <v>1.0435052719837674</v>
      </c>
      <c r="E71" s="233">
        <f>'AEO 2025 Alt T Table 1'!I$24/'AEO 2025 Alt T Table 1'!$F$24</f>
        <v>1.0409994344608473</v>
      </c>
      <c r="F71" s="233">
        <f>'AEO 2025 Alt T Table 1'!J$24/'AEO 2025 Alt T Table 1'!$F$24</f>
        <v>1.0544502432283065</v>
      </c>
      <c r="G71" s="233">
        <f>'AEO 2025 Alt T Table 1'!K$24/'AEO 2025 Alt T Table 1'!$F$24</f>
        <v>1.0712116561380605</v>
      </c>
      <c r="H71" s="233">
        <f>'AEO 2025 Alt T Table 1'!L$24/'AEO 2025 Alt T Table 1'!$F$24</f>
        <v>1.0786683210893437</v>
      </c>
      <c r="I71" s="233">
        <f>'AEO 2025 Alt T Table 1'!M$24/'AEO 2025 Alt T Table 1'!$F$24</f>
        <v>1.0810404584376647</v>
      </c>
      <c r="J71" s="233">
        <f>'AEO 2025 Alt T Table 1'!N$24/'AEO 2025 Alt T Table 1'!$F$24</f>
        <v>1.1076990727587928</v>
      </c>
      <c r="K71" s="233">
        <f>'AEO 2025 Alt T Table 1'!O$24/'AEO 2025 Alt T Table 1'!$F$24</f>
        <v>1.1104082681504643</v>
      </c>
      <c r="L71" s="233">
        <f>'AEO 2025 Alt T Table 1'!P$24/'AEO 2025 Alt T Table 1'!$F$24</f>
        <v>1.1349643237881317</v>
      </c>
      <c r="M71" s="233">
        <f>'AEO 2025 Alt T Table 1'!Q$24/'AEO 2025 Alt T Table 1'!$F$24</f>
        <v>1.1415632648459595</v>
      </c>
      <c r="N71" s="233">
        <f>'AEO 2025 Alt T Table 1'!R$24/'AEO 2025 Alt T Table 1'!$F$24</f>
        <v>1.1401093601594683</v>
      </c>
      <c r="O71" s="233">
        <f>'AEO 2025 Alt T Table 1'!S$24/'AEO 2025 Alt T Table 1'!$F$24</f>
        <v>1.1272482940520898</v>
      </c>
      <c r="P71" s="233">
        <f>'AEO 2025 Alt T Table 1'!T$24/'AEO 2025 Alt T Table 1'!$F$24</f>
        <v>1.1333243425371367</v>
      </c>
      <c r="Q71" s="233">
        <f>'AEO 2025 Alt T Table 1'!U$24/'AEO 2025 Alt T Table 1'!$F$24</f>
        <v>1.1354883781292655</v>
      </c>
      <c r="R71" s="233">
        <f>'AEO 2025 Alt T Table 1'!V$24/'AEO 2025 Alt T Table 1'!$F$24</f>
        <v>1.1294448591580966</v>
      </c>
      <c r="S71" s="233">
        <f>'AEO 2025 Alt T Table 1'!W$24/'AEO 2025 Alt T Table 1'!$F$24</f>
        <v>1.1274321923009321</v>
      </c>
      <c r="T71" s="233">
        <f>'AEO 2025 Alt T Table 1'!X$24/'AEO 2025 Alt T Table 1'!$F$24</f>
        <v>1.1260297926780809</v>
      </c>
      <c r="U71" s="233">
        <f>'AEO 2025 Alt T Table 1'!Y$24/'AEO 2025 Alt T Table 1'!$F$24</f>
        <v>1.1302523849773092</v>
      </c>
      <c r="V71" s="233">
        <f>'AEO 2025 Alt T Table 1'!Z$24/'AEO 2025 Alt T Table 1'!$F$24</f>
        <v>1.1338575458040487</v>
      </c>
      <c r="W71" s="233">
        <f>'AEO 2025 Alt T Table 1'!AA$24/'AEO 2025 Alt T Table 1'!$F$24</f>
        <v>1.1352120224823476</v>
      </c>
      <c r="X71" s="233">
        <f>'AEO 2025 Alt T Table 1'!AB$24/'AEO 2025 Alt T Table 1'!$F$24</f>
        <v>1.1135511903938409</v>
      </c>
      <c r="Y71" s="233">
        <f>'AEO 2025 Alt T Table 1'!AC$24/'AEO 2025 Alt T Table 1'!$F$24</f>
        <v>1.1137530960521513</v>
      </c>
      <c r="Z71" s="233">
        <f>'AEO 2025 Alt T Table 1'!AD$24/'AEO 2025 Alt T Table 1'!$F$24</f>
        <v>1.1121443373256374</v>
      </c>
      <c r="AA71" s="233">
        <f>'AEO 2025 Alt T Table 1'!AE$24/'AEO 2025 Alt T Table 1'!$F$24</f>
        <v>1.1162969330816106</v>
      </c>
      <c r="AB71" s="233">
        <f>'AEO 2025 Alt T Table 1'!AF$24/'AEO 2025 Alt T Table 1'!$F$24</f>
        <v>1.1112821115798148</v>
      </c>
    </row>
    <row r="72" spans="1:30" x14ac:dyDescent="0.25">
      <c r="A72" t="s">
        <v>128</v>
      </c>
      <c r="B72" s="209">
        <v>1</v>
      </c>
      <c r="C72" s="209">
        <v>1</v>
      </c>
      <c r="D72" s="209">
        <v>1</v>
      </c>
      <c r="E72" s="209">
        <v>1</v>
      </c>
      <c r="F72" s="209">
        <v>1</v>
      </c>
      <c r="G72" s="209">
        <v>1</v>
      </c>
      <c r="H72" s="209">
        <v>1</v>
      </c>
      <c r="I72" s="209">
        <v>1</v>
      </c>
      <c r="J72" s="209">
        <v>1</v>
      </c>
      <c r="K72" s="209">
        <v>1</v>
      </c>
      <c r="L72" s="209">
        <v>1</v>
      </c>
      <c r="M72" s="209">
        <v>1</v>
      </c>
      <c r="N72" s="209">
        <v>1</v>
      </c>
      <c r="O72" s="209">
        <v>1</v>
      </c>
      <c r="P72" s="209">
        <v>1</v>
      </c>
      <c r="Q72" s="209">
        <v>1</v>
      </c>
      <c r="R72" s="209">
        <v>1</v>
      </c>
      <c r="S72" s="209">
        <v>1</v>
      </c>
      <c r="T72" s="209">
        <v>1</v>
      </c>
      <c r="U72" s="209">
        <v>1</v>
      </c>
      <c r="V72" s="209">
        <v>1</v>
      </c>
      <c r="W72" s="209">
        <v>1</v>
      </c>
      <c r="X72" s="209">
        <v>1</v>
      </c>
      <c r="Y72" s="209">
        <v>1</v>
      </c>
      <c r="Z72" s="209">
        <v>1</v>
      </c>
      <c r="AA72" s="209">
        <v>1</v>
      </c>
      <c r="AB72" s="209">
        <v>1</v>
      </c>
    </row>
    <row r="73" spans="1:30" x14ac:dyDescent="0.25">
      <c r="A73" t="s">
        <v>129</v>
      </c>
      <c r="B73" s="209">
        <v>1</v>
      </c>
      <c r="C73" s="209">
        <v>1</v>
      </c>
      <c r="D73" s="209">
        <v>1</v>
      </c>
      <c r="E73" s="209">
        <v>1</v>
      </c>
      <c r="F73" s="209">
        <v>1</v>
      </c>
      <c r="G73" s="209">
        <v>1</v>
      </c>
      <c r="H73" s="209">
        <v>1</v>
      </c>
      <c r="I73" s="209">
        <v>1</v>
      </c>
      <c r="J73" s="209">
        <v>1</v>
      </c>
      <c r="K73" s="209">
        <v>1</v>
      </c>
      <c r="L73" s="209">
        <v>1</v>
      </c>
      <c r="M73" s="209">
        <v>1</v>
      </c>
      <c r="N73" s="209">
        <v>1</v>
      </c>
      <c r="O73" s="209">
        <v>1</v>
      </c>
      <c r="P73" s="209">
        <v>1</v>
      </c>
      <c r="Q73" s="209">
        <v>1</v>
      </c>
      <c r="R73" s="209">
        <v>1</v>
      </c>
      <c r="S73" s="209">
        <v>1</v>
      </c>
      <c r="T73" s="209">
        <v>1</v>
      </c>
      <c r="U73" s="209">
        <v>1</v>
      </c>
      <c r="V73" s="209">
        <v>1</v>
      </c>
      <c r="W73" s="209">
        <v>1</v>
      </c>
      <c r="X73" s="209">
        <v>1</v>
      </c>
      <c r="Y73" s="209">
        <v>1</v>
      </c>
      <c r="Z73" s="209">
        <v>1</v>
      </c>
      <c r="AA73" s="209">
        <v>1</v>
      </c>
      <c r="AB73" s="209">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22"/>
  <sheetViews>
    <sheetView workbookViewId="0">
      <selection activeCell="B18" sqref="B18"/>
    </sheetView>
  </sheetViews>
  <sheetFormatPr defaultRowHeight="15" x14ac:dyDescent="0.25"/>
  <cols>
    <col min="1" max="1" width="36.28515625" customWidth="1"/>
    <col min="2" max="30" width="13" customWidth="1"/>
  </cols>
  <sheetData>
    <row r="1" spans="1:29" x14ac:dyDescent="0.25">
      <c r="A1" s="24" t="s">
        <v>454</v>
      </c>
      <c r="B1" s="18">
        <v>2024</v>
      </c>
      <c r="C1" s="18">
        <v>2025</v>
      </c>
      <c r="D1" s="18">
        <v>2026</v>
      </c>
      <c r="E1" s="18">
        <v>2027</v>
      </c>
      <c r="F1" s="18">
        <v>2028</v>
      </c>
      <c r="G1" s="18">
        <v>2029</v>
      </c>
      <c r="H1" s="18">
        <v>2030</v>
      </c>
      <c r="I1" s="18">
        <v>2031</v>
      </c>
      <c r="J1" s="18">
        <v>2032</v>
      </c>
      <c r="K1" s="18">
        <v>2033</v>
      </c>
      <c r="L1" s="18">
        <v>2034</v>
      </c>
      <c r="M1" s="18">
        <v>2035</v>
      </c>
      <c r="N1" s="18">
        <v>2036</v>
      </c>
      <c r="O1" s="18">
        <v>2037</v>
      </c>
      <c r="P1" s="18">
        <v>2038</v>
      </c>
      <c r="Q1" s="18">
        <v>2039</v>
      </c>
      <c r="R1" s="18">
        <v>2040</v>
      </c>
      <c r="S1" s="18">
        <v>2041</v>
      </c>
      <c r="T1" s="18">
        <v>2042</v>
      </c>
      <c r="U1" s="18">
        <v>2043</v>
      </c>
      <c r="V1" s="18">
        <v>2044</v>
      </c>
      <c r="W1" s="18">
        <v>2045</v>
      </c>
      <c r="X1" s="18">
        <v>2046</v>
      </c>
      <c r="Y1" s="18">
        <v>2047</v>
      </c>
      <c r="Z1" s="18">
        <v>2048</v>
      </c>
      <c r="AA1" s="18">
        <v>2049</v>
      </c>
      <c r="AB1" s="18">
        <v>2050</v>
      </c>
      <c r="AC1" s="18"/>
    </row>
    <row r="2" spans="1:29" x14ac:dyDescent="0.25">
      <c r="A2" s="24" t="s">
        <v>115</v>
      </c>
      <c r="B2">
        <f>'First Year Data (2024)'!B26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c r="AB2">
        <f>$B2*'Time Series Scaling Factors'!AB3</f>
        <v>0</v>
      </c>
    </row>
    <row r="3" spans="1:29" x14ac:dyDescent="0.25">
      <c r="A3" s="1" t="s">
        <v>116</v>
      </c>
      <c r="B3">
        <f>'First Year Data (2024)'!B27</f>
        <v>9289066568828650</v>
      </c>
      <c r="C3">
        <f>$B3*'Time Series Scaling Factors'!C4</f>
        <v>9168353090708432</v>
      </c>
      <c r="D3">
        <f>$B3*'Time Series Scaling Factors'!D4</f>
        <v>8410051027556112</v>
      </c>
      <c r="E3">
        <f>$B3*'Time Series Scaling Factors'!E4</f>
        <v>7490117749153839</v>
      </c>
      <c r="F3">
        <f>$B3*'Time Series Scaling Factors'!F4</f>
        <v>7452076814181204</v>
      </c>
      <c r="G3">
        <f>$B3*'Time Series Scaling Factors'!G4</f>
        <v>7140708906346576</v>
      </c>
      <c r="H3">
        <f>$B3*'Time Series Scaling Factors'!H4</f>
        <v>6410626471526122</v>
      </c>
      <c r="I3">
        <f>$B3*'Time Series Scaling Factors'!I4</f>
        <v>6142106536430254</v>
      </c>
      <c r="J3">
        <f>$B3*'Time Series Scaling Factors'!J4</f>
        <v>3903359008121844.5</v>
      </c>
      <c r="K3">
        <f>$B3*'Time Series Scaling Factors'!K4</f>
        <v>3902987982993058.5</v>
      </c>
      <c r="L3">
        <f>$B3*'Time Series Scaling Factors'!L4</f>
        <v>3862014139624337.5</v>
      </c>
      <c r="M3">
        <f>$B3*'Time Series Scaling Factors'!M4</f>
        <v>3889810256345783.5</v>
      </c>
      <c r="N3">
        <f>$B3*'Time Series Scaling Factors'!N4</f>
        <v>3824299887752901.5</v>
      </c>
      <c r="O3">
        <f>$B3*'Time Series Scaling Factors'!O4</f>
        <v>3835341957561310.5</v>
      </c>
      <c r="P3">
        <f>$B3*'Time Series Scaling Factors'!P4</f>
        <v>3765934015237498.5</v>
      </c>
      <c r="Q3">
        <f>$B3*'Time Series Scaling Factors'!Q4</f>
        <v>3490904851479781</v>
      </c>
      <c r="R3">
        <f>$B3*'Time Series Scaling Factors'!R4</f>
        <v>3522776814981843</v>
      </c>
      <c r="S3">
        <f>$B3*'Time Series Scaling Factors'!S4</f>
        <v>3483378471001454.5</v>
      </c>
      <c r="T3">
        <f>$B3*'Time Series Scaling Factors'!T4</f>
        <v>3487343010243434.5</v>
      </c>
      <c r="U3">
        <f>$B3*'Time Series Scaling Factors'!U4</f>
        <v>3497666558217072.5</v>
      </c>
      <c r="V3">
        <f>$B3*'Time Series Scaling Factors'!V4</f>
        <v>3507343074563681</v>
      </c>
      <c r="W3">
        <f>$B3*'Time Series Scaling Factors'!W4</f>
        <v>3544851905205276.5</v>
      </c>
      <c r="X3">
        <f>$B3*'Time Series Scaling Factors'!X4</f>
        <v>3421638984632113</v>
      </c>
      <c r="Y3">
        <f>$B3*'Time Series Scaling Factors'!Y4</f>
        <v>3452515514861822.5</v>
      </c>
      <c r="Z3">
        <f>$B3*'Time Series Scaling Factors'!Z4</f>
        <v>3461192978178724</v>
      </c>
      <c r="AA3">
        <f>$B3*'Time Series Scaling Factors'!AA4</f>
        <v>3477424875093445.5</v>
      </c>
      <c r="AB3">
        <f>$B3*'Time Series Scaling Factors'!AB4</f>
        <v>3436298096976517</v>
      </c>
    </row>
    <row r="4" spans="1:29" x14ac:dyDescent="0.25">
      <c r="A4" s="1" t="s">
        <v>106</v>
      </c>
      <c r="B4">
        <f>'First Year Data (2024)'!B28</f>
        <v>3.9777958E+16</v>
      </c>
      <c r="C4">
        <f>$B4*'Time Series Scaling Factors'!C5</f>
        <v>3.9964314000000008E+16</v>
      </c>
      <c r="D4">
        <f>$B4*'Time Series Scaling Factors'!D5</f>
        <v>4.0376175000000008E+16</v>
      </c>
      <c r="E4">
        <f>$B4*'Time Series Scaling Factors'!E5</f>
        <v>4.0612423E+16</v>
      </c>
      <c r="F4">
        <f>$B4*'Time Series Scaling Factors'!F5</f>
        <v>4.1816151E+16</v>
      </c>
      <c r="G4">
        <f>$B4*'Time Series Scaling Factors'!G5</f>
        <v>4.2651703E+16</v>
      </c>
      <c r="H4">
        <f>$B4*'Time Series Scaling Factors'!H5</f>
        <v>4.3563282E+16</v>
      </c>
      <c r="I4">
        <f>$B4*'Time Series Scaling Factors'!I5</f>
        <v>4.3656242E+16</v>
      </c>
      <c r="J4">
        <f>$B4*'Time Series Scaling Factors'!J5</f>
        <v>4.5521187E+16</v>
      </c>
      <c r="K4">
        <f>$B4*'Time Series Scaling Factors'!K5</f>
        <v>4.5501274E+16</v>
      </c>
      <c r="L4">
        <f>$B4*'Time Series Scaling Factors'!L5</f>
        <v>4.5491352E+16</v>
      </c>
      <c r="M4">
        <f>$B4*'Time Series Scaling Factors'!M5</f>
        <v>4.5081741000000008E+16</v>
      </c>
      <c r="N4">
        <f>$B4*'Time Series Scaling Factors'!N5</f>
        <v>4.4722286E+16</v>
      </c>
      <c r="O4">
        <f>$B4*'Time Series Scaling Factors'!O5</f>
        <v>4.4078888E+16</v>
      </c>
      <c r="P4">
        <f>$B4*'Time Series Scaling Factors'!P5</f>
        <v>4.3848736E+16</v>
      </c>
      <c r="Q4">
        <f>$B4*'Time Series Scaling Factors'!Q5</f>
        <v>4.3464912E+16</v>
      </c>
      <c r="R4">
        <f>$B4*'Time Series Scaling Factors'!R5</f>
        <v>4.3734524E+16</v>
      </c>
      <c r="S4">
        <f>$B4*'Time Series Scaling Factors'!S5</f>
        <v>4.4301231E+16</v>
      </c>
      <c r="T4">
        <f>$B4*'Time Series Scaling Factors'!T5</f>
        <v>4.4546783E+16</v>
      </c>
      <c r="U4">
        <f>$B4*'Time Series Scaling Factors'!U5</f>
        <v>4.4735222E+16</v>
      </c>
      <c r="V4">
        <f>$B4*'Time Series Scaling Factors'!V5</f>
        <v>4.4901123000000008E+16</v>
      </c>
      <c r="W4">
        <f>$B4*'Time Series Scaling Factors'!W5</f>
        <v>4.516296E+16</v>
      </c>
      <c r="X4">
        <f>$B4*'Time Series Scaling Factors'!X5</f>
        <v>4.5552685E+16</v>
      </c>
      <c r="Y4">
        <f>$B4*'Time Series Scaling Factors'!Y5</f>
        <v>4.5824455000000008E+16</v>
      </c>
      <c r="Z4">
        <f>$B4*'Time Series Scaling Factors'!Z5</f>
        <v>4.5987713E+16</v>
      </c>
      <c r="AA4">
        <f>$B4*'Time Series Scaling Factors'!AA5</f>
        <v>4.620248E+16</v>
      </c>
      <c r="AB4">
        <f>$B4*'Time Series Scaling Factors'!AB5</f>
        <v>4.6360294000000008E+16</v>
      </c>
    </row>
    <row r="5" spans="1:29" x14ac:dyDescent="0.25">
      <c r="A5" s="1" t="s">
        <v>117</v>
      </c>
      <c r="B5">
        <f>'First Year Data (2024)'!B29</f>
        <v>121860000000000.02</v>
      </c>
      <c r="C5">
        <f>$B5*'Time Series Scaling Factors'!C6</f>
        <v>124237724701775.28</v>
      </c>
      <c r="D5">
        <f>$B5*'Time Series Scaling Factors'!D6</f>
        <v>125416902843264.05</v>
      </c>
      <c r="E5">
        <f>$B5*'Time Series Scaling Factors'!E6</f>
        <v>125131672496105.3</v>
      </c>
      <c r="F5">
        <f>$B5*'Time Series Scaling Factors'!F6</f>
        <v>125129617133304.94</v>
      </c>
      <c r="G5">
        <f>$B5*'Time Series Scaling Factors'!G6</f>
        <v>125127921834060.83</v>
      </c>
      <c r="H5">
        <f>$B5*'Time Series Scaling Factors'!H6</f>
        <v>123728924891469.05</v>
      </c>
      <c r="I5">
        <f>$B5*'Time Series Scaling Factors'!I6</f>
        <v>122426800048162.14</v>
      </c>
      <c r="J5">
        <f>$B5*'Time Series Scaling Factors'!J6</f>
        <v>122426139931642.3</v>
      </c>
      <c r="K5">
        <f>$B5*'Time Series Scaling Factors'!K6</f>
        <v>122428525352702.58</v>
      </c>
      <c r="L5">
        <f>$B5*'Time Series Scaling Factors'!L6</f>
        <v>122428525352702.58</v>
      </c>
      <c r="M5">
        <f>$B5*'Time Series Scaling Factors'!M6</f>
        <v>122109223991531.72</v>
      </c>
      <c r="N5">
        <f>$B5*'Time Series Scaling Factors'!N6</f>
        <v>121329401341891.22</v>
      </c>
      <c r="O5">
        <f>$B5*'Time Series Scaling Factors'!O6</f>
        <v>121941314353124.38</v>
      </c>
      <c r="P5">
        <f>$B5*'Time Series Scaling Factors'!P6</f>
        <v>121895766313256.17</v>
      </c>
      <c r="Q5">
        <f>$B5*'Time Series Scaling Factors'!Q6</f>
        <v>121681978576720.7</v>
      </c>
      <c r="R5">
        <f>$B5*'Time Series Scaling Factors'!R6</f>
        <v>121662070062588.59</v>
      </c>
      <c r="S5">
        <f>$B5*'Time Series Scaling Factors'!S6</f>
        <v>121672061826275.11</v>
      </c>
      <c r="T5">
        <f>$B5*'Time Series Scaling Factors'!T6</f>
        <v>121677222737248.31</v>
      </c>
      <c r="U5">
        <f>$B5*'Time Series Scaling Factors'!U6</f>
        <v>121683223796519.47</v>
      </c>
      <c r="V5">
        <f>$B5*'Time Series Scaling Factors'!V6</f>
        <v>121652528378347.42</v>
      </c>
      <c r="W5">
        <f>$B5*'Time Series Scaling Factors'!W6</f>
        <v>121674612276465.34</v>
      </c>
      <c r="X5">
        <f>$B5*'Time Series Scaling Factors'!X6</f>
        <v>121619327517929.69</v>
      </c>
      <c r="Y5">
        <f>$B5*'Time Series Scaling Factors'!Y6</f>
        <v>121670636574698.2</v>
      </c>
      <c r="Z5">
        <f>$B5*'Time Series Scaling Factors'!Z6</f>
        <v>121656474074818.23</v>
      </c>
      <c r="AA5">
        <f>$B5*'Time Series Scaling Factors'!AA6</f>
        <v>121628884204819.02</v>
      </c>
      <c r="AB5">
        <f>$B5*'Time Series Scaling Factors'!AB6</f>
        <v>121640631278342.33</v>
      </c>
    </row>
    <row r="6" spans="1:29" x14ac:dyDescent="0.25">
      <c r="A6" s="1" t="s">
        <v>118</v>
      </c>
      <c r="B6">
        <f>'First Year Data (2024)'!B30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c r="AB6">
        <f>$B6*'Time Series Scaling Factors'!AB7</f>
        <v>0</v>
      </c>
    </row>
    <row r="7" spans="1:29" x14ac:dyDescent="0.25">
      <c r="A7" s="1" t="s">
        <v>119</v>
      </c>
      <c r="B7">
        <f>'First Year Data (2024)'!B31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c r="AB7">
        <f>$B7*'Time Series Scaling Factors'!AB8</f>
        <v>0</v>
      </c>
    </row>
    <row r="8" spans="1:29" x14ac:dyDescent="0.25">
      <c r="A8" s="1" t="s">
        <v>120</v>
      </c>
      <c r="B8">
        <f>'First Year Data (2024)'!B32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c r="AB8">
        <f>$B8*'Time Series Scaling Factors'!AB9</f>
        <v>0</v>
      </c>
    </row>
    <row r="9" spans="1:29" x14ac:dyDescent="0.25">
      <c r="A9" s="1" t="s">
        <v>109</v>
      </c>
      <c r="B9">
        <f>'First Year Data (2024)'!B33</f>
        <v>238899434690000</v>
      </c>
      <c r="C9">
        <f>$B9*'Time Series Scaling Factors'!C10</f>
        <v>243342478591794.38</v>
      </c>
      <c r="D9">
        <f>$B9*'Time Series Scaling Factors'!D10</f>
        <v>244033332868036.06</v>
      </c>
      <c r="E9">
        <f>$B9*'Time Series Scaling Factors'!E10</f>
        <v>240301352249537.69</v>
      </c>
      <c r="F9">
        <f>$B9*'Time Series Scaling Factors'!F10</f>
        <v>231930214257279.66</v>
      </c>
      <c r="G9">
        <f>$B9*'Time Series Scaling Factors'!G10</f>
        <v>232908958248049.06</v>
      </c>
      <c r="H9">
        <f>$B9*'Time Series Scaling Factors'!H10</f>
        <v>234157763455894.78</v>
      </c>
      <c r="I9">
        <f>$B9*'Time Series Scaling Factors'!I10</f>
        <v>234532465797217.06</v>
      </c>
      <c r="J9">
        <f>$B9*'Time Series Scaling Factors'!J10</f>
        <v>235323554722482.38</v>
      </c>
      <c r="K9">
        <f>$B9*'Time Series Scaling Factors'!K10</f>
        <v>234799640013285.59</v>
      </c>
      <c r="L9">
        <f>$B9*'Time Series Scaling Factors'!L10</f>
        <v>234820862003149.63</v>
      </c>
      <c r="M9">
        <f>$B9*'Time Series Scaling Factors'!M10</f>
        <v>234826636005165.13</v>
      </c>
      <c r="N9">
        <f>$B9*'Time Series Scaling Factors'!N10</f>
        <v>236093776201867.13</v>
      </c>
      <c r="O9">
        <f>$B9*'Time Series Scaling Factors'!O10</f>
        <v>236092965815619.34</v>
      </c>
      <c r="P9">
        <f>$B9*'Time Series Scaling Factors'!P10</f>
        <v>235940056060489.31</v>
      </c>
      <c r="Q9">
        <f>$B9*'Time Series Scaling Factors'!Q10</f>
        <v>236340538814319.41</v>
      </c>
      <c r="R9">
        <f>$B9*'Time Series Scaling Factors'!R10</f>
        <v>237446108252868.09</v>
      </c>
      <c r="S9">
        <f>$B9*'Time Series Scaling Factors'!S10</f>
        <v>236769587683384.19</v>
      </c>
      <c r="T9">
        <f>$B9*'Time Series Scaling Factors'!T10</f>
        <v>236406230749530.94</v>
      </c>
      <c r="U9">
        <f>$B9*'Time Series Scaling Factors'!U10</f>
        <v>235814699437784.13</v>
      </c>
      <c r="V9">
        <f>$B9*'Time Series Scaling Factors'!V10</f>
        <v>236312175295646.75</v>
      </c>
      <c r="W9">
        <f>$B9*'Time Series Scaling Factors'!W10</f>
        <v>237276585579658.34</v>
      </c>
      <c r="X9">
        <f>$B9*'Time Series Scaling Factors'!X10</f>
        <v>238057544676826.28</v>
      </c>
      <c r="Y9">
        <f>$B9*'Time Series Scaling Factors'!Y10</f>
        <v>239260917605655.22</v>
      </c>
      <c r="Z9">
        <f>$B9*'Time Series Scaling Factors'!Z10</f>
        <v>240292286053390.59</v>
      </c>
      <c r="AA9">
        <f>$B9*'Time Series Scaling Factors'!AA10</f>
        <v>241737761873746.97</v>
      </c>
      <c r="AB9">
        <f>$B9*'Time Series Scaling Factors'!AB10</f>
        <v>243188049362449.69</v>
      </c>
    </row>
    <row r="10" spans="1:29" x14ac:dyDescent="0.25">
      <c r="A10" s="1" t="s">
        <v>110</v>
      </c>
      <c r="B10">
        <f>'First Year Data (2024)'!B34</f>
        <v>1.7798420573906E+16</v>
      </c>
      <c r="C10">
        <f>$B10*'Time Series Scaling Factors'!C11</f>
        <v>1.831564096378482E+16</v>
      </c>
      <c r="D10">
        <f>$B10*'Time Series Scaling Factors'!D11</f>
        <v>1.8501643889448148E+16</v>
      </c>
      <c r="E10">
        <f>$B10*'Time Series Scaling Factors'!E11</f>
        <v>1.8759452107409056E+16</v>
      </c>
      <c r="F10">
        <f>$B10*'Time Series Scaling Factors'!F11</f>
        <v>1.8721386877682676E+16</v>
      </c>
      <c r="G10">
        <f>$B10*'Time Series Scaling Factors'!G11</f>
        <v>1.8728262169613952E+16</v>
      </c>
      <c r="H10">
        <f>$B10*'Time Series Scaling Factors'!H11</f>
        <v>1.8627846227096576E+16</v>
      </c>
      <c r="I10">
        <f>$B10*'Time Series Scaling Factors'!I11</f>
        <v>1.83776689415978E+16</v>
      </c>
      <c r="J10">
        <f>$B10*'Time Series Scaling Factors'!J11</f>
        <v>1.8112676306033908E+16</v>
      </c>
      <c r="K10">
        <f>$B10*'Time Series Scaling Factors'!K11</f>
        <v>1.7933653658379038E+16</v>
      </c>
      <c r="L10">
        <f>$B10*'Time Series Scaling Factors'!L11</f>
        <v>1.7814648699577694E+16</v>
      </c>
      <c r="M10">
        <f>$B10*'Time Series Scaling Factors'!M11</f>
        <v>1.7525978463297336E+16</v>
      </c>
      <c r="N10">
        <f>$B10*'Time Series Scaling Factors'!N11</f>
        <v>1.7269500068980788E+16</v>
      </c>
      <c r="O10">
        <f>$B10*'Time Series Scaling Factors'!O11</f>
        <v>1.713166112638204E+16</v>
      </c>
      <c r="P10">
        <f>$B10*'Time Series Scaling Factors'!P11</f>
        <v>1.7012617931910612E+16</v>
      </c>
      <c r="Q10">
        <f>$B10*'Time Series Scaling Factors'!Q11</f>
        <v>1.6781878624184162E+16</v>
      </c>
      <c r="R10">
        <f>$B10*'Time Series Scaling Factors'!R11</f>
        <v>1.6569382915586492E+16</v>
      </c>
      <c r="S10">
        <f>$B10*'Time Series Scaling Factors'!S11</f>
        <v>1.6564679928165882E+16</v>
      </c>
      <c r="T10">
        <f>$B10*'Time Series Scaling Factors'!T11</f>
        <v>1.6642219274851988E+16</v>
      </c>
      <c r="U10">
        <f>$B10*'Time Series Scaling Factors'!U11</f>
        <v>1.6527340528108938E+16</v>
      </c>
      <c r="V10">
        <f>$B10*'Time Series Scaling Factors'!V11</f>
        <v>1.6351199813079042E+16</v>
      </c>
      <c r="W10">
        <f>$B10*'Time Series Scaling Factors'!W11</f>
        <v>1.619861227082228E+16</v>
      </c>
      <c r="X10">
        <f>$B10*'Time Series Scaling Factors'!X11</f>
        <v>1.60972870970315E+16</v>
      </c>
      <c r="Y10">
        <f>$B10*'Time Series Scaling Factors'!Y11</f>
        <v>1.6270298319674166E+16</v>
      </c>
      <c r="Z10">
        <f>$B10*'Time Series Scaling Factors'!Z11</f>
        <v>1.6209589796510266E+16</v>
      </c>
      <c r="AA10">
        <f>$B10*'Time Series Scaling Factors'!AA11</f>
        <v>1.6048777048749526E+16</v>
      </c>
      <c r="AB10">
        <f>$B10*'Time Series Scaling Factors'!AB11</f>
        <v>1.5757317552739484E+16</v>
      </c>
    </row>
    <row r="11" spans="1:29" x14ac:dyDescent="0.25">
      <c r="A11" s="1" t="s">
        <v>121</v>
      </c>
      <c r="B11">
        <f>'First Year Data (2024)'!B35</f>
        <v>1.0523392575E+16</v>
      </c>
      <c r="C11">
        <f>$B11*'Time Series Scaling Factors'!C12</f>
        <v>1.0829201351002808E+16</v>
      </c>
      <c r="D11">
        <f>$B11*'Time Series Scaling Factors'!D12</f>
        <v>1.0939176379333324E+16</v>
      </c>
      <c r="E11">
        <f>$B11*'Time Series Scaling Factors'!E12</f>
        <v>1.1091606595003208E+16</v>
      </c>
      <c r="F11">
        <f>$B11*'Time Series Scaling Factors'!F12</f>
        <v>1.1069100364509052E+16</v>
      </c>
      <c r="G11">
        <f>$B11*'Time Series Scaling Factors'!G12</f>
        <v>1.1073165410379842E+16</v>
      </c>
      <c r="H11">
        <f>$B11*'Time Series Scaling Factors'!H12</f>
        <v>1.1013794053269188E+16</v>
      </c>
      <c r="I11">
        <f>$B11*'Time Series Scaling Factors'!I12</f>
        <v>1.0865875659178014E+16</v>
      </c>
      <c r="J11">
        <f>$B11*'Time Series Scaling Factors'!J12</f>
        <v>1.070919762575683E+16</v>
      </c>
      <c r="K11">
        <f>$B11*'Time Series Scaling Factors'!K12</f>
        <v>1.0603349716765956E+16</v>
      </c>
      <c r="L11">
        <f>$B11*'Time Series Scaling Factors'!L12</f>
        <v>1.053298752397261E+16</v>
      </c>
      <c r="M11">
        <f>$B11*'Time Series Scaling Factors'!M12</f>
        <v>1.0362310007477136E+16</v>
      </c>
      <c r="N11">
        <f>$B11*'Time Series Scaling Factors'!N12</f>
        <v>1.0210666055746066E+16</v>
      </c>
      <c r="O11">
        <f>$B11*'Time Series Scaling Factors'!O12</f>
        <v>1.0129168189176034E+16</v>
      </c>
      <c r="P11">
        <f>$B11*'Time Series Scaling Factors'!P12</f>
        <v>1.00587833893786E+16</v>
      </c>
      <c r="Q11">
        <f>$B11*'Time Series Scaling Factors'!Q12</f>
        <v>9922357783094800</v>
      </c>
      <c r="R11">
        <f>$B11*'Time Series Scaling Factors'!R12</f>
        <v>9796718783117774</v>
      </c>
      <c r="S11">
        <f>$B11*'Time Series Scaling Factors'!S12</f>
        <v>9793938121614870</v>
      </c>
      <c r="T11">
        <f>$B11*'Time Series Scaling Factors'!T12</f>
        <v>9839783593228412</v>
      </c>
      <c r="U11">
        <f>$B11*'Time Series Scaling Factors'!U12</f>
        <v>9771861041028838</v>
      </c>
      <c r="V11">
        <f>$B11*'Time Series Scaling Factors'!V12</f>
        <v>9667717087074950</v>
      </c>
      <c r="W11">
        <f>$B11*'Time Series Scaling Factors'!W12</f>
        <v>9577499047639674</v>
      </c>
      <c r="X11">
        <f>$B11*'Time Series Scaling Factors'!X12</f>
        <v>9517590103635184</v>
      </c>
      <c r="Y11">
        <f>$B11*'Time Series Scaling Factors'!Y12</f>
        <v>9619883731779850</v>
      </c>
      <c r="Z11">
        <f>$B11*'Time Series Scaling Factors'!Z12</f>
        <v>9583989556830482</v>
      </c>
      <c r="AA11">
        <f>$B11*'Time Series Scaling Factors'!AA12</f>
        <v>9488908329329218</v>
      </c>
      <c r="AB11">
        <f>$B11*'Time Series Scaling Factors'!AB12</f>
        <v>9316581651043954</v>
      </c>
    </row>
    <row r="12" spans="1:29" x14ac:dyDescent="0.25">
      <c r="A12" s="1" t="s">
        <v>122</v>
      </c>
      <c r="B12">
        <f>'First Year Data (2024)'!B36</f>
        <v>1543105652508000</v>
      </c>
      <c r="C12">
        <f>$B12*'Time Series Scaling Factors'!C13</f>
        <v>1587948154341253.8</v>
      </c>
      <c r="D12">
        <f>$B12*'Time Series Scaling Factors'!D13</f>
        <v>1604074426039480</v>
      </c>
      <c r="E12">
        <f>$B12*'Time Series Scaling Factors'!E13</f>
        <v>1626426146336602</v>
      </c>
      <c r="F12">
        <f>$B12*'Time Series Scaling Factors'!F13</f>
        <v>1623125928156517.5</v>
      </c>
      <c r="G12">
        <f>$B12*'Time Series Scaling Factors'!G13</f>
        <v>1623722009241226.3</v>
      </c>
      <c r="H12">
        <f>$B12*'Time Series Scaling Factors'!H13</f>
        <v>1615016045256553.5</v>
      </c>
      <c r="I12">
        <f>$B12*'Time Series Scaling Factors'!I13</f>
        <v>1593325919338962.3</v>
      </c>
      <c r="J12">
        <f>$B12*'Time Series Scaling Factors'!J13</f>
        <v>1570351317063795.5</v>
      </c>
      <c r="K12">
        <f>$B12*'Time Series Scaling Factors'!K13</f>
        <v>1554830228640467.5</v>
      </c>
      <c r="L12">
        <f>$B12*'Time Series Scaling Factors'!L13</f>
        <v>1544512615128622.3</v>
      </c>
      <c r="M12">
        <f>$B12*'Time Series Scaling Factors'!M13</f>
        <v>1519485188033877.5</v>
      </c>
      <c r="N12">
        <f>$B12*'Time Series Scaling Factors'!N13</f>
        <v>1497248762145825.3</v>
      </c>
      <c r="O12">
        <f>$B12*'Time Series Scaling Factors'!O13</f>
        <v>1485298260663031.5</v>
      </c>
      <c r="P12">
        <f>$B12*'Time Series Scaling Factors'!P13</f>
        <v>1474977332155994</v>
      </c>
      <c r="Q12">
        <f>$B12*'Time Series Scaling Factors'!Q13</f>
        <v>1454972459896122</v>
      </c>
      <c r="R12">
        <f>$B12*'Time Series Scaling Factors'!R13</f>
        <v>1436549289833971</v>
      </c>
      <c r="S12">
        <f>$B12*'Time Series Scaling Factors'!S13</f>
        <v>1436141545425287</v>
      </c>
      <c r="T12">
        <f>$B12*'Time Series Scaling Factors'!T13</f>
        <v>1442864130930347.3</v>
      </c>
      <c r="U12">
        <f>$B12*'Time Series Scaling Factors'!U13</f>
        <v>1432904255967502</v>
      </c>
      <c r="V12">
        <f>$B12*'Time Series Scaling Factors'!V13</f>
        <v>1417633028283517.5</v>
      </c>
      <c r="W12">
        <f>$B12*'Time Series Scaling Factors'!W13</f>
        <v>1404403837638145.5</v>
      </c>
      <c r="X12">
        <f>$B12*'Time Series Scaling Factors'!X13</f>
        <v>1395619044191521.5</v>
      </c>
      <c r="Y12">
        <f>$B12*'Time Series Scaling Factors'!Y13</f>
        <v>1410618947946949.5</v>
      </c>
      <c r="Z12">
        <f>$B12*'Time Series Scaling Factors'!Z13</f>
        <v>1405355578376563.5</v>
      </c>
      <c r="AA12">
        <f>$B12*'Time Series Scaling Factors'!AA13</f>
        <v>1391413270460278.3</v>
      </c>
      <c r="AB12">
        <f>$B12*'Time Series Scaling Factors'!AB13</f>
        <v>1366144017275554.5</v>
      </c>
    </row>
    <row r="13" spans="1:29" x14ac:dyDescent="0.25">
      <c r="A13" s="1" t="s">
        <v>123</v>
      </c>
      <c r="B13">
        <f>'First Year Data (2024)'!B37</f>
        <v>665276978000000</v>
      </c>
      <c r="C13">
        <f>$B13*'Time Series Scaling Factors'!C14</f>
        <v>684609862988853.25</v>
      </c>
      <c r="D13">
        <f>$B13*'Time Series Scaling Factors'!D14</f>
        <v>691562359912421.63</v>
      </c>
      <c r="E13">
        <f>$B13*'Time Series Scaling Factors'!E14</f>
        <v>701198825768276.88</v>
      </c>
      <c r="F13">
        <f>$B13*'Time Series Scaling Factors'!F14</f>
        <v>699776007328062.63</v>
      </c>
      <c r="G13">
        <f>$B13*'Time Series Scaling Factors'!G14</f>
        <v>700032994930974.63</v>
      </c>
      <c r="H13">
        <f>$B13*'Time Series Scaling Factors'!H14</f>
        <v>696279604875740</v>
      </c>
      <c r="I13">
        <f>$B13*'Time Series Scaling Factors'!I14</f>
        <v>686928371277806</v>
      </c>
      <c r="J13">
        <f>$B13*'Time Series Scaling Factors'!J14</f>
        <v>677023363187444.25</v>
      </c>
      <c r="K13">
        <f>$B13*'Time Series Scaling Factors'!K14</f>
        <v>670331778081291.63</v>
      </c>
      <c r="L13">
        <f>$B13*'Time Series Scaling Factors'!L14</f>
        <v>665883559823406.13</v>
      </c>
      <c r="M13">
        <f>$B13*'Time Series Scaling Factors'!M14</f>
        <v>655093520244686.5</v>
      </c>
      <c r="N13">
        <f>$B13*'Time Series Scaling Factors'!N14</f>
        <v>645506761105880.5</v>
      </c>
      <c r="O13">
        <f>$B13*'Time Series Scaling Factors'!O14</f>
        <v>640354558144835.13</v>
      </c>
      <c r="P13">
        <f>$B13*'Time Series Scaling Factors'!P14</f>
        <v>635904910697716.88</v>
      </c>
      <c r="Q13">
        <f>$B13*'Time Series Scaling Factors'!Q14</f>
        <v>627280238148113.38</v>
      </c>
      <c r="R13">
        <f>$B13*'Time Series Scaling Factors'!R14</f>
        <v>619337482650972</v>
      </c>
      <c r="S13">
        <f>$B13*'Time Series Scaling Factors'!S14</f>
        <v>619161692375325.75</v>
      </c>
      <c r="T13">
        <f>$B13*'Time Series Scaling Factors'!T14</f>
        <v>622059991245454.38</v>
      </c>
      <c r="U13">
        <f>$B13*'Time Series Scaling Factors'!U14</f>
        <v>617766004306990.25</v>
      </c>
      <c r="V13">
        <f>$B13*'Time Series Scaling Factors'!V14</f>
        <v>611182141311323.88</v>
      </c>
      <c r="W13">
        <f>$B13*'Time Series Scaling Factors'!W14</f>
        <v>605478658883121.63</v>
      </c>
      <c r="X13">
        <f>$B13*'Time Series Scaling Factors'!X14</f>
        <v>601691283192399.75</v>
      </c>
      <c r="Y13">
        <f>$B13*'Time Series Scaling Factors'!Y14</f>
        <v>608158170682885.63</v>
      </c>
      <c r="Z13">
        <f>$B13*'Time Series Scaling Factors'!Z14</f>
        <v>605888981534240.75</v>
      </c>
      <c r="AA13">
        <f>$B13*'Time Series Scaling Factors'!AA14</f>
        <v>599878053856141.63</v>
      </c>
      <c r="AB13">
        <f>$B13*'Time Series Scaling Factors'!AB14</f>
        <v>588983756134059.5</v>
      </c>
    </row>
    <row r="14" spans="1:29" x14ac:dyDescent="0.25">
      <c r="A14" s="1" t="s">
        <v>112</v>
      </c>
      <c r="B14">
        <f>'First Year Data (2024)'!B38</f>
        <v>3773600460000000</v>
      </c>
      <c r="C14">
        <f>$B14*'Time Series Scaling Factors'!C15</f>
        <v>3883260926391584</v>
      </c>
      <c r="D14">
        <f>$B14*'Time Series Scaling Factors'!D15</f>
        <v>3922697050677439.5</v>
      </c>
      <c r="E14">
        <f>$B14*'Time Series Scaling Factors'!E15</f>
        <v>3977357249645620</v>
      </c>
      <c r="F14">
        <f>$B14*'Time Series Scaling Factors'!F15</f>
        <v>3969286703845839</v>
      </c>
      <c r="G14">
        <f>$B14*'Time Series Scaling Factors'!G15</f>
        <v>3970744395256532.5</v>
      </c>
      <c r="H14">
        <f>$B14*'Time Series Scaling Factors'!H15</f>
        <v>3949454323741397.5</v>
      </c>
      <c r="I14">
        <f>$B14*'Time Series Scaling Factors'!I15</f>
        <v>3896412026211704.5</v>
      </c>
      <c r="J14">
        <f>$B14*'Time Series Scaling Factors'!J15</f>
        <v>3840228595366916</v>
      </c>
      <c r="K14">
        <f>$B14*'Time Series Scaling Factors'!K15</f>
        <v>3802272421517913.5</v>
      </c>
      <c r="L14">
        <f>$B14*'Time Series Scaling Factors'!L15</f>
        <v>3777041128358484.5</v>
      </c>
      <c r="M14">
        <f>$B14*'Time Series Scaling Factors'!M15</f>
        <v>3715837600107618</v>
      </c>
      <c r="N14">
        <f>$B14*'Time Series Scaling Factors'!N15</f>
        <v>3661459348804132</v>
      </c>
      <c r="O14">
        <f>$B14*'Time Series Scaling Factors'!O15</f>
        <v>3632234896272702</v>
      </c>
      <c r="P14">
        <f>$B14*'Time Series Scaling Factors'!P15</f>
        <v>3606995496430906.5</v>
      </c>
      <c r="Q14">
        <f>$B14*'Time Series Scaling Factors'!Q15</f>
        <v>3558074416374333.5</v>
      </c>
      <c r="R14">
        <f>$B14*'Time Series Scaling Factors'!R15</f>
        <v>3513021323017959.5</v>
      </c>
      <c r="S14">
        <f>$B14*'Time Series Scaling Factors'!S15</f>
        <v>3512024201086826</v>
      </c>
      <c r="T14">
        <f>$B14*'Time Series Scaling Factors'!T15</f>
        <v>3528464003321399.5</v>
      </c>
      <c r="U14">
        <f>$B14*'Time Series Scaling Factors'!U15</f>
        <v>3504107544850620.5</v>
      </c>
      <c r="V14">
        <f>$B14*'Time Series Scaling Factors'!V15</f>
        <v>3466762395009852</v>
      </c>
      <c r="W14">
        <f>$B14*'Time Series Scaling Factors'!W15</f>
        <v>3434410961507119.5</v>
      </c>
      <c r="X14">
        <f>$B14*'Time Series Scaling Factors'!X15</f>
        <v>3412928115833327.5</v>
      </c>
      <c r="Y14">
        <f>$B14*'Time Series Scaling Factors'!Y15</f>
        <v>3449609754332571.5</v>
      </c>
      <c r="Z14">
        <f>$B14*'Time Series Scaling Factors'!Z15</f>
        <v>3436738403754808</v>
      </c>
      <c r="AA14">
        <f>$B14*'Time Series Scaling Factors'!AA15</f>
        <v>3402643071733411</v>
      </c>
      <c r="AB14">
        <f>$B14*'Time Series Scaling Factors'!AB15</f>
        <v>3340848167873945</v>
      </c>
    </row>
    <row r="15" spans="1:29" x14ac:dyDescent="0.25">
      <c r="A15" s="1" t="s">
        <v>148</v>
      </c>
      <c r="B15">
        <f>'First Year Data (2024)'!B39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c r="AB15">
        <f>$B15*'Time Series Scaling Factors'!AB16</f>
        <v>0</v>
      </c>
    </row>
    <row r="16" spans="1:29" x14ac:dyDescent="0.25">
      <c r="A16" s="1" t="s">
        <v>125</v>
      </c>
      <c r="B16">
        <f>'First Year Data (2024)'!B40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c r="AB16">
        <f>$B16*'Time Series Scaling Factors'!AB17</f>
        <v>0</v>
      </c>
    </row>
    <row r="17" spans="1:28" x14ac:dyDescent="0.25">
      <c r="A17" s="1" t="s">
        <v>126</v>
      </c>
      <c r="B17">
        <f>'First Year Data (2024)'!B41</f>
        <v>519912402325620.44</v>
      </c>
      <c r="C17">
        <f>$B17*'Time Series Scaling Factors'!C18</f>
        <v>513156025467135.13</v>
      </c>
      <c r="D17">
        <f>$B17*'Time Series Scaling Factors'!D18</f>
        <v>470713585807483.5</v>
      </c>
      <c r="E17">
        <f>$B17*'Time Series Scaling Factors'!E18</f>
        <v>419224588801219</v>
      </c>
      <c r="F17">
        <f>$B17*'Time Series Scaling Factors'!F18</f>
        <v>417095423966217.81</v>
      </c>
      <c r="G17">
        <f>$B17*'Time Series Scaling Factors'!G18</f>
        <v>399668049991674.56</v>
      </c>
      <c r="H17">
        <f>$B17*'Time Series Scaling Factors'!H18</f>
        <v>358805073096127.94</v>
      </c>
      <c r="I17">
        <f>$B17*'Time Series Scaling Factors'!I18</f>
        <v>343775915592133.75</v>
      </c>
      <c r="J17">
        <f>$B17*'Time Series Scaling Factors'!J18</f>
        <v>218472409904140.34</v>
      </c>
      <c r="K17">
        <f>$B17*'Time Series Scaling Factors'!K18</f>
        <v>218451643494017.09</v>
      </c>
      <c r="L17">
        <f>$B17*'Time Series Scaling Factors'!L18</f>
        <v>216158322719480.78</v>
      </c>
      <c r="M17">
        <f>$B17*'Time Series Scaling Factors'!M18</f>
        <v>217714081386176.69</v>
      </c>
      <c r="N17">
        <f>$B17*'Time Series Scaling Factors'!N18</f>
        <v>214047442455344.16</v>
      </c>
      <c r="O17">
        <f>$B17*'Time Series Scaling Factors'!O18</f>
        <v>214665471080524</v>
      </c>
      <c r="P17">
        <f>$B17*'Time Series Scaling Factors'!P18</f>
        <v>210780683543835.94</v>
      </c>
      <c r="Q17">
        <f>$B17*'Time Series Scaling Factors'!Q18</f>
        <v>195387202166630.94</v>
      </c>
      <c r="R17">
        <f>$B17*'Time Series Scaling Factors'!R18</f>
        <v>197171087445997.72</v>
      </c>
      <c r="S17">
        <f>$B17*'Time Series Scaling Factors'!S18</f>
        <v>194965947939813.97</v>
      </c>
      <c r="T17">
        <f>$B17*'Time Series Scaling Factors'!T18</f>
        <v>195187844629447.88</v>
      </c>
      <c r="U17">
        <f>$B17*'Time Series Scaling Factors'!U18</f>
        <v>195765657328681.72</v>
      </c>
      <c r="V17">
        <f>$B17*'Time Series Scaling Factors'!V18</f>
        <v>196307255434651.88</v>
      </c>
      <c r="W17">
        <f>$B17*'Time Series Scaling Factors'!W18</f>
        <v>198406638198549.53</v>
      </c>
      <c r="X17">
        <f>$B17*'Time Series Scaling Factors'!X18</f>
        <v>191510366645526.63</v>
      </c>
      <c r="Y17">
        <f>$B17*'Time Series Scaling Factors'!Y18</f>
        <v>193238537166026.19</v>
      </c>
      <c r="Z17">
        <f>$B17*'Time Series Scaling Factors'!Z18</f>
        <v>193724217914006</v>
      </c>
      <c r="AA17">
        <f>$B17*'Time Series Scaling Factors'!AA18</f>
        <v>194632723032007.19</v>
      </c>
      <c r="AB17">
        <f>$B17*'Time Series Scaling Factors'!AB18</f>
        <v>192330842444517.59</v>
      </c>
    </row>
    <row r="18" spans="1:28" x14ac:dyDescent="0.25">
      <c r="A18" s="1" t="s">
        <v>113</v>
      </c>
      <c r="B18">
        <f>'First Year Data (2024)'!B42</f>
        <v>2.7585282080342E+16</v>
      </c>
      <c r="C18">
        <f>$B18*'Time Series Scaling Factors'!C19</f>
        <v>2.8386907724216792E+16</v>
      </c>
      <c r="D18">
        <f>$B18*'Time Series Scaling Factors'!D19</f>
        <v>2.8675188538286E+16</v>
      </c>
      <c r="E18">
        <f>$B18*'Time Series Scaling Factors'!E19</f>
        <v>2.9074758398181788E+16</v>
      </c>
      <c r="F18">
        <f>$B18*'Time Series Scaling Factors'!F19</f>
        <v>2.901576214651468E+16</v>
      </c>
      <c r="G18">
        <f>$B18*'Time Series Scaling Factors'!G19</f>
        <v>2.90264179722112E+16</v>
      </c>
      <c r="H18">
        <f>$B18*'Time Series Scaling Factors'!H19</f>
        <v>2.8870786067222604E+16</v>
      </c>
      <c r="I18">
        <f>$B18*'Time Series Scaling Factors'!I19</f>
        <v>2.848304317948032E+16</v>
      </c>
      <c r="J18">
        <f>$B18*'Time Series Scaling Factors'!J19</f>
        <v>2.8072338388519252E+16</v>
      </c>
      <c r="K18">
        <f>$B18*'Time Series Scaling Factors'!K19</f>
        <v>2.7794876115177464E+16</v>
      </c>
      <c r="L18">
        <f>$B18*'Time Series Scaling Factors'!L19</f>
        <v>2.761043360558156E+16</v>
      </c>
      <c r="M18">
        <f>$B18*'Time Series Scaling Factors'!M19</f>
        <v>2.7163031553083312E+16</v>
      </c>
      <c r="N18">
        <f>$B18*'Time Series Scaling Factors'!N19</f>
        <v>2.6765522750245616E+16</v>
      </c>
      <c r="O18">
        <f>$B18*'Time Series Scaling Factors'!O19</f>
        <v>2.6551889967636968E+16</v>
      </c>
      <c r="P18">
        <f>$B18*'Time Series Scaling Factors'!P19</f>
        <v>2.636738819762858E+16</v>
      </c>
      <c r="Q18">
        <f>$B18*'Time Series Scaling Factors'!Q19</f>
        <v>2.6009771696533612E+16</v>
      </c>
      <c r="R18">
        <f>$B18*'Time Series Scaling Factors'!R19</f>
        <v>2.5680430447506004E+16</v>
      </c>
      <c r="S18">
        <f>$B18*'Time Series Scaling Factors'!S19</f>
        <v>2.5673141416769872E+16</v>
      </c>
      <c r="T18">
        <f>$B18*'Time Series Scaling Factors'!T19</f>
        <v>2.5793317515642236E+16</v>
      </c>
      <c r="U18">
        <f>$B18*'Time Series Scaling Factors'!U19</f>
        <v>2.561527010852628E+16</v>
      </c>
      <c r="V18">
        <f>$B18*'Time Series Scaling Factors'!V19</f>
        <v>2.5342274463224116E+16</v>
      </c>
      <c r="W18">
        <f>$B18*'Time Series Scaling Factors'!W19</f>
        <v>2.5105783232015104E+16</v>
      </c>
      <c r="X18">
        <f>$B18*'Time Series Scaling Factors'!X19</f>
        <v>2.49487421345058E+16</v>
      </c>
      <c r="Y18">
        <f>$B18*'Time Series Scaling Factors'!Y19</f>
        <v>2.5216887465707816E+16</v>
      </c>
      <c r="Z18">
        <f>$B18*'Time Series Scaling Factors'!Z19</f>
        <v>2.512279699688204E+16</v>
      </c>
      <c r="AA18">
        <f>$B18*'Time Series Scaling Factors'!AA19</f>
        <v>2.487355774609152E+16</v>
      </c>
      <c r="AB18">
        <f>$B18*'Time Series Scaling Factors'!AB19</f>
        <v>2.4421832696722892E+16</v>
      </c>
    </row>
    <row r="19" spans="1:28" x14ac:dyDescent="0.25">
      <c r="A19" s="1" t="s">
        <v>127</v>
      </c>
      <c r="B19">
        <f>'First Year Data (2024)'!B43</f>
        <v>727701389000000</v>
      </c>
      <c r="C19">
        <f>$B19*'Time Series Scaling Factors'!C20</f>
        <v>748848321368018.5</v>
      </c>
      <c r="D19">
        <f>$B19*'Time Series Scaling Factors'!D20</f>
        <v>756453186462717.38</v>
      </c>
      <c r="E19">
        <f>$B19*'Time Series Scaling Factors'!E20</f>
        <v>766993863233824.5</v>
      </c>
      <c r="F19">
        <f>$B19*'Time Series Scaling Factors'!F20</f>
        <v>765437538590889.5</v>
      </c>
      <c r="G19">
        <f>$B19*'Time Series Scaling Factors'!G20</f>
        <v>765718639909256.25</v>
      </c>
      <c r="H19">
        <f>$B19*'Time Series Scaling Factors'!H20</f>
        <v>761613060959471.75</v>
      </c>
      <c r="I19">
        <f>$B19*'Time Series Scaling Factors'!I20</f>
        <v>751384380420221.25</v>
      </c>
      <c r="J19">
        <f>$B19*'Time Series Scaling Factors'!J20</f>
        <v>740549963502501.75</v>
      </c>
      <c r="K19">
        <f>$B19*'Time Series Scaling Factors'!K20</f>
        <v>733230492158403.88</v>
      </c>
      <c r="L19">
        <f>$B19*'Time Series Scaling Factors'!L20</f>
        <v>728364887738167.38</v>
      </c>
      <c r="M19">
        <f>$B19*'Time Series Scaling Factors'!M20</f>
        <v>716562394869100.75</v>
      </c>
      <c r="N19">
        <f>$B19*'Time Series Scaling Factors'!N20</f>
        <v>706076088906296.75</v>
      </c>
      <c r="O19">
        <f>$B19*'Time Series Scaling Factors'!O20</f>
        <v>700440443340394.38</v>
      </c>
      <c r="P19">
        <f>$B19*'Time Series Scaling Factors'!P20</f>
        <v>695573275626936.75</v>
      </c>
      <c r="Q19">
        <f>$B19*'Time Series Scaling Factors'!Q20</f>
        <v>686139330966947.88</v>
      </c>
      <c r="R19">
        <f>$B19*'Time Series Scaling Factors'!R20</f>
        <v>677451289145429.75</v>
      </c>
      <c r="S19">
        <f>$B19*'Time Series Scaling Factors'!S20</f>
        <v>677259004079223.13</v>
      </c>
      <c r="T19">
        <f>$B19*'Time Series Scaling Factors'!T20</f>
        <v>680429256745819.63</v>
      </c>
      <c r="U19">
        <f>$B19*'Time Series Scaling Factors'!U20</f>
        <v>675732355510995.63</v>
      </c>
      <c r="V19">
        <f>$B19*'Time Series Scaling Factors'!V20</f>
        <v>668530714081383.13</v>
      </c>
      <c r="W19">
        <f>$B19*'Time Series Scaling Factors'!W20</f>
        <v>662292061276025.13</v>
      </c>
      <c r="X19">
        <f>$B19*'Time Series Scaling Factors'!X20</f>
        <v>658149307743370.75</v>
      </c>
      <c r="Y19">
        <f>$B19*'Time Series Scaling Factors'!Y20</f>
        <v>665222997597302.88</v>
      </c>
      <c r="Z19">
        <f>$B19*'Time Series Scaling Factors'!Z20</f>
        <v>662740885409478.88</v>
      </c>
      <c r="AA19">
        <f>$B19*'Time Series Scaling Factors'!AA20</f>
        <v>656165939086097.63</v>
      </c>
      <c r="AB19">
        <f>$B19*'Time Series Scaling Factors'!AB20</f>
        <v>644249405301369.63</v>
      </c>
    </row>
    <row r="20" spans="1:28" x14ac:dyDescent="0.25">
      <c r="A20" s="1" t="s">
        <v>114</v>
      </c>
      <c r="B20">
        <f>'First Year Data (2024)'!B44</f>
        <v>8513639275680000</v>
      </c>
      <c r="C20">
        <f>$B20*'Time Series Scaling Factors'!C21</f>
        <v>8615520996908133</v>
      </c>
      <c r="D20">
        <f>$B20*'Time Series Scaling Factors'!D21</f>
        <v>9163277661720546</v>
      </c>
      <c r="E20">
        <f>$B20*'Time Series Scaling Factors'!E21</f>
        <v>9410776356000256</v>
      </c>
      <c r="F20">
        <f>$B20*'Time Series Scaling Factors'!F21</f>
        <v>9390792344089812</v>
      </c>
      <c r="G20">
        <f>$B20*'Time Series Scaling Factors'!G21</f>
        <v>9416095019486424</v>
      </c>
      <c r="H20">
        <f>$B20*'Time Series Scaling Factors'!H21</f>
        <v>9483664317902044</v>
      </c>
      <c r="I20">
        <f>$B20*'Time Series Scaling Factors'!I21</f>
        <v>9379265083266444</v>
      </c>
      <c r="J20">
        <f>$B20*'Time Series Scaling Factors'!J21</f>
        <v>9502904021500718</v>
      </c>
      <c r="K20">
        <f>$B20*'Time Series Scaling Factors'!K21</f>
        <v>9611469288720238</v>
      </c>
      <c r="L20">
        <f>$B20*'Time Series Scaling Factors'!L21</f>
        <v>9669295001218198</v>
      </c>
      <c r="M20">
        <f>$B20*'Time Series Scaling Factors'!M21</f>
        <v>9896259542661370</v>
      </c>
      <c r="N20">
        <f>$B20*'Time Series Scaling Factors'!N21</f>
        <v>9892514206079756</v>
      </c>
      <c r="O20">
        <f>$B20*'Time Series Scaling Factors'!O21</f>
        <v>9957785857098168</v>
      </c>
      <c r="P20">
        <f>$B20*'Time Series Scaling Factors'!P21</f>
        <v>1.0074553744561744E+16</v>
      </c>
      <c r="Q20">
        <f>$B20*'Time Series Scaling Factors'!Q21</f>
        <v>1.005133360955664E+16</v>
      </c>
      <c r="R20">
        <f>$B20*'Time Series Scaling Factors'!R21</f>
        <v>1.0043240446417254E+16</v>
      </c>
      <c r="S20">
        <f>$B20*'Time Series Scaling Factors'!S21</f>
        <v>1.007595765090428E+16</v>
      </c>
      <c r="T20">
        <f>$B20*'Time Series Scaling Factors'!T21</f>
        <v>1.0139727360086406E+16</v>
      </c>
      <c r="U20">
        <f>$B20*'Time Series Scaling Factors'!U21</f>
        <v>1.0205216973513252E+16</v>
      </c>
      <c r="V20">
        <f>$B20*'Time Series Scaling Factors'!V21</f>
        <v>1.0258743401299864E+16</v>
      </c>
      <c r="W20">
        <f>$B20*'Time Series Scaling Factors'!W21</f>
        <v>1.0329296595568944E+16</v>
      </c>
      <c r="X20">
        <f>$B20*'Time Series Scaling Factors'!X21</f>
        <v>1.0431702759098596E+16</v>
      </c>
      <c r="Y20">
        <f>$B20*'Time Series Scaling Factors'!Y21</f>
        <v>1.0522788202602394E+16</v>
      </c>
      <c r="Z20">
        <f>$B20*'Time Series Scaling Factors'!Z21</f>
        <v>1.05569692768893E+16</v>
      </c>
      <c r="AA20">
        <f>$B20*'Time Series Scaling Factors'!AA21</f>
        <v>1.0557795440079352E+16</v>
      </c>
      <c r="AB20">
        <f>$B20*'Time Series Scaling Factors'!AB21</f>
        <v>1.052561124410203E+16</v>
      </c>
    </row>
    <row r="21" spans="1:28" x14ac:dyDescent="0.25">
      <c r="A21" s="1" t="s">
        <v>128</v>
      </c>
      <c r="B21">
        <f>'First Year Data (2024)'!B45</f>
        <v>3966365818605251.5</v>
      </c>
      <c r="C21">
        <f>$B21*'Time Series Scaling Factors'!C22</f>
        <v>4131738748494136</v>
      </c>
      <c r="D21">
        <f>$B21*'Time Series Scaling Factors'!D22</f>
        <v>1922073976382629.3</v>
      </c>
      <c r="E21">
        <f>$B21*'Time Series Scaling Factors'!E22</f>
        <v>1918516791761551.5</v>
      </c>
      <c r="F21">
        <f>$B21*'Time Series Scaling Factors'!F22</f>
        <v>1747037167224810.5</v>
      </c>
      <c r="G21">
        <f>$B21*'Time Series Scaling Factors'!G22</f>
        <v>1692932972283238</v>
      </c>
      <c r="H21">
        <f>$B21*'Time Series Scaling Factors'!H22</f>
        <v>1699767431915866</v>
      </c>
      <c r="I21">
        <f>$B21*'Time Series Scaling Factors'!I22</f>
        <v>1699702119673643</v>
      </c>
      <c r="J21">
        <f>$B21*'Time Series Scaling Factors'!J22</f>
        <v>1411187622233325.5</v>
      </c>
      <c r="K21">
        <f>$B21*'Time Series Scaling Factors'!K22</f>
        <v>1411187622233325.5</v>
      </c>
      <c r="L21">
        <f>$B21*'Time Series Scaling Factors'!L22</f>
        <v>1411187622233325.5</v>
      </c>
      <c r="M21">
        <f>$B21*'Time Series Scaling Factors'!M22</f>
        <v>1411187622233325.5</v>
      </c>
      <c r="N21">
        <f>$B21*'Time Series Scaling Factors'!N22</f>
        <v>1411187622233325.5</v>
      </c>
      <c r="O21">
        <f>$B21*'Time Series Scaling Factors'!O22</f>
        <v>1411187622233325.5</v>
      </c>
      <c r="P21">
        <f>$B21*'Time Series Scaling Factors'!P22</f>
        <v>1411187622233325.5</v>
      </c>
      <c r="Q21">
        <f>$B21*'Time Series Scaling Factors'!Q22</f>
        <v>1411187622233325.5</v>
      </c>
      <c r="R21">
        <f>$B21*'Time Series Scaling Factors'!R22</f>
        <v>1411187622233325.5</v>
      </c>
      <c r="S21">
        <f>$B21*'Time Series Scaling Factors'!S22</f>
        <v>1411187622233325.5</v>
      </c>
      <c r="T21">
        <f>$B21*'Time Series Scaling Factors'!T22</f>
        <v>1411187622233325.5</v>
      </c>
      <c r="U21">
        <f>$B21*'Time Series Scaling Factors'!U22</f>
        <v>1411187622233325.5</v>
      </c>
      <c r="V21">
        <f>$B21*'Time Series Scaling Factors'!V22</f>
        <v>1411187622233325.5</v>
      </c>
      <c r="W21">
        <f>$B21*'Time Series Scaling Factors'!W22</f>
        <v>1411187622233325.5</v>
      </c>
      <c r="X21">
        <f>$B21*'Time Series Scaling Factors'!X22</f>
        <v>1411187622233325.5</v>
      </c>
      <c r="Y21">
        <f>$B21*'Time Series Scaling Factors'!Y22</f>
        <v>1411187622233325.5</v>
      </c>
      <c r="Z21">
        <f>$B21*'Time Series Scaling Factors'!Z22</f>
        <v>1411187622233325.5</v>
      </c>
      <c r="AA21">
        <f>$B21*'Time Series Scaling Factors'!AA22</f>
        <v>1411187622233325.5</v>
      </c>
      <c r="AB21">
        <f>$B21*'Time Series Scaling Factors'!AB22</f>
        <v>1411187622233325.5</v>
      </c>
    </row>
    <row r="22" spans="1:28" x14ac:dyDescent="0.25">
      <c r="A22" s="1" t="s">
        <v>129</v>
      </c>
      <c r="B22">
        <f>'First Year Data (2024)'!B46</f>
        <v>772086274509804</v>
      </c>
      <c r="C22">
        <f>$B22*'Time Series Scaling Factors'!C23</f>
        <v>783369261832173.38</v>
      </c>
      <c r="D22">
        <f>$B22*'Time Series Scaling Factors'!D23</f>
        <v>800255470761470.25</v>
      </c>
      <c r="E22">
        <f>$B22*'Time Series Scaling Factors'!E23</f>
        <v>805475272080428.13</v>
      </c>
      <c r="F22">
        <f>$B22*'Time Series Scaling Factors'!F23</f>
        <v>805184574167408.5</v>
      </c>
      <c r="G22">
        <f>$B22*'Time Series Scaling Factors'!G23</f>
        <v>807978432771627.75</v>
      </c>
      <c r="H22">
        <f>$B22*'Time Series Scaling Factors'!H23</f>
        <v>815741430015958.63</v>
      </c>
      <c r="I22">
        <f>$B22*'Time Series Scaling Factors'!I23</f>
        <v>822819489375120.63</v>
      </c>
      <c r="J22">
        <f>$B22*'Time Series Scaling Factors'!J23</f>
        <v>830447672756841.63</v>
      </c>
      <c r="K22">
        <f>$B22*'Time Series Scaling Factors'!K23</f>
        <v>834997811151964.88</v>
      </c>
      <c r="L22">
        <f>$B22*'Time Series Scaling Factors'!L23</f>
        <v>839170031102595.88</v>
      </c>
      <c r="M22">
        <f>$B22*'Time Series Scaling Factors'!M23</f>
        <v>843257784808634.88</v>
      </c>
      <c r="N22">
        <f>$B22*'Time Series Scaling Factors'!N23</f>
        <v>850139297668062.13</v>
      </c>
      <c r="O22">
        <f>$B22*'Time Series Scaling Factors'!O23</f>
        <v>854801729240085.25</v>
      </c>
      <c r="P22">
        <f>$B22*'Time Series Scaling Factors'!P23</f>
        <v>860006820952732.88</v>
      </c>
      <c r="Q22">
        <f>$B22*'Time Series Scaling Factors'!Q23</f>
        <v>864538792203405.63</v>
      </c>
      <c r="R22">
        <f>$B22*'Time Series Scaling Factors'!R23</f>
        <v>865495767664930.88</v>
      </c>
      <c r="S22">
        <f>$B22*'Time Series Scaling Factors'!S23</f>
        <v>867568758364743.88</v>
      </c>
      <c r="T22">
        <f>$B22*'Time Series Scaling Factors'!T23</f>
        <v>868743106726951.88</v>
      </c>
      <c r="U22">
        <f>$B22*'Time Series Scaling Factors'!U23</f>
        <v>873101010210099.13</v>
      </c>
      <c r="V22">
        <f>$B22*'Time Series Scaling Factors'!V23</f>
        <v>877296396439239.63</v>
      </c>
      <c r="W22">
        <f>$B22*'Time Series Scaling Factors'!W23</f>
        <v>881890711287793.88</v>
      </c>
      <c r="X22">
        <f>$B22*'Time Series Scaling Factors'!X23</f>
        <v>885474800263925.75</v>
      </c>
      <c r="Y22">
        <f>$B22*'Time Series Scaling Factors'!Y23</f>
        <v>886605746676456.88</v>
      </c>
      <c r="Z22">
        <f>$B22*'Time Series Scaling Factors'!Z23</f>
        <v>887879810180380</v>
      </c>
      <c r="AA22">
        <f>$B22*'Time Series Scaling Factors'!AA23</f>
        <v>887793825572691.88</v>
      </c>
      <c r="AB22">
        <f>$B22*'Time Series Scaling Factors'!AB23</f>
        <v>888154563026549</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C22"/>
  <sheetViews>
    <sheetView workbookViewId="0">
      <selection activeCell="N37" sqref="N37"/>
    </sheetView>
  </sheetViews>
  <sheetFormatPr defaultRowHeight="15" x14ac:dyDescent="0.25"/>
  <cols>
    <col min="1" max="1" width="36.28515625" customWidth="1"/>
    <col min="2" max="30" width="13" customWidth="1"/>
  </cols>
  <sheetData>
    <row r="1" spans="1:29" x14ac:dyDescent="0.25">
      <c r="A1" s="24" t="s">
        <v>454</v>
      </c>
      <c r="B1" s="18">
        <v>2024</v>
      </c>
      <c r="C1" s="18">
        <v>2025</v>
      </c>
      <c r="D1" s="18">
        <v>2026</v>
      </c>
      <c r="E1" s="18">
        <v>2027</v>
      </c>
      <c r="F1" s="18">
        <v>2028</v>
      </c>
      <c r="G1" s="18">
        <v>2029</v>
      </c>
      <c r="H1" s="18">
        <v>2030</v>
      </c>
      <c r="I1" s="18">
        <v>2031</v>
      </c>
      <c r="J1" s="18">
        <v>2032</v>
      </c>
      <c r="K1" s="18">
        <v>2033</v>
      </c>
      <c r="L1" s="18">
        <v>2034</v>
      </c>
      <c r="M1" s="18">
        <v>2035</v>
      </c>
      <c r="N1" s="18">
        <v>2036</v>
      </c>
      <c r="O1" s="18">
        <v>2037</v>
      </c>
      <c r="P1" s="18">
        <v>2038</v>
      </c>
      <c r="Q1" s="18">
        <v>2039</v>
      </c>
      <c r="R1" s="18">
        <v>2040</v>
      </c>
      <c r="S1" s="18">
        <v>2041</v>
      </c>
      <c r="T1" s="18">
        <v>2042</v>
      </c>
      <c r="U1" s="18">
        <v>2043</v>
      </c>
      <c r="V1" s="18">
        <v>2044</v>
      </c>
      <c r="W1" s="18">
        <v>2045</v>
      </c>
      <c r="X1" s="18">
        <v>2046</v>
      </c>
      <c r="Y1" s="18">
        <v>2047</v>
      </c>
      <c r="Z1" s="18">
        <v>2048</v>
      </c>
      <c r="AA1" s="18">
        <v>2049</v>
      </c>
      <c r="AB1" s="18">
        <v>2050</v>
      </c>
      <c r="AC1" s="18"/>
    </row>
    <row r="2" spans="1:29" x14ac:dyDescent="0.25">
      <c r="A2" s="24" t="s">
        <v>115</v>
      </c>
      <c r="B2">
        <f>'First Year Data (2024)'!C26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c r="AB2">
        <f>$B2*'Time Series Scaling Factors'!AB28</f>
        <v>0</v>
      </c>
    </row>
    <row r="3" spans="1:29" x14ac:dyDescent="0.25">
      <c r="A3" s="1" t="s">
        <v>116</v>
      </c>
      <c r="B3">
        <f>'First Year Data (2024)'!C27</f>
        <v>39271857858308</v>
      </c>
      <c r="C3">
        <f>$B3*'Time Series Scaling Factors'!C29</f>
        <v>57194349722468.891</v>
      </c>
      <c r="D3">
        <f>$B3*'Time Series Scaling Factors'!D29</f>
        <v>68154534330771.031</v>
      </c>
      <c r="E3">
        <f>$B3*'Time Series Scaling Factors'!E29</f>
        <v>91852022857986.781</v>
      </c>
      <c r="F3">
        <f>$B3*'Time Series Scaling Factors'!F29</f>
        <v>109497133665729.48</v>
      </c>
      <c r="G3">
        <f>$B3*'Time Series Scaling Factors'!G29</f>
        <v>117458696560888.27</v>
      </c>
      <c r="H3">
        <f>$B3*'Time Series Scaling Factors'!H29</f>
        <v>128745840349714.16</v>
      </c>
      <c r="I3">
        <f>$B3*'Time Series Scaling Factors'!I29</f>
        <v>131754719605775.91</v>
      </c>
      <c r="J3">
        <f>$B3*'Time Series Scaling Factors'!J29</f>
        <v>134764026259459.23</v>
      </c>
      <c r="K3">
        <f>$B3*'Time Series Scaling Factors'!K29</f>
        <v>138158845567825.47</v>
      </c>
      <c r="L3">
        <f>$B3*'Time Series Scaling Factors'!L29</f>
        <v>139361542475006.97</v>
      </c>
      <c r="M3">
        <f>$B3*'Time Series Scaling Factors'!M29</f>
        <v>141185675523994.41</v>
      </c>
      <c r="N3">
        <f>$B3*'Time Series Scaling Factors'!N29</f>
        <v>137871634366110.48</v>
      </c>
      <c r="O3">
        <f>$B3*'Time Series Scaling Factors'!O29</f>
        <v>136277868635165.28</v>
      </c>
      <c r="P3">
        <f>$B3*'Time Series Scaling Factors'!P29</f>
        <v>135529922797365.88</v>
      </c>
      <c r="Q3">
        <f>$B3*'Time Series Scaling Factors'!Q29</f>
        <v>132161602141538.8</v>
      </c>
      <c r="R3">
        <f>$B3*'Time Series Scaling Factors'!R29</f>
        <v>134240036775378.03</v>
      </c>
      <c r="S3">
        <f>$B3*'Time Series Scaling Factors'!S29</f>
        <v>134849505783779.17</v>
      </c>
      <c r="T3">
        <f>$B3*'Time Series Scaling Factors'!T29</f>
        <v>133796825441779.16</v>
      </c>
      <c r="U3">
        <f>$B3*'Time Series Scaling Factors'!U29</f>
        <v>125286056602864.77</v>
      </c>
      <c r="V3">
        <f>$B3*'Time Series Scaling Factors'!V29</f>
        <v>124668039642031.64</v>
      </c>
      <c r="W3">
        <f>$B3*'Time Series Scaling Factors'!W29</f>
        <v>123649978507381.2</v>
      </c>
      <c r="X3">
        <f>$B3*'Time Series Scaling Factors'!X29</f>
        <v>116756909666221.61</v>
      </c>
      <c r="Y3">
        <f>$B3*'Time Series Scaling Factors'!Y29</f>
        <v>112086735855001.92</v>
      </c>
      <c r="Z3">
        <f>$B3*'Time Series Scaling Factors'!Z29</f>
        <v>109237275911796.88</v>
      </c>
      <c r="AA3">
        <f>$B3*'Time Series Scaling Factors'!AA29</f>
        <v>104937228440882.5</v>
      </c>
      <c r="AB3">
        <f>$B3*'Time Series Scaling Factors'!AB29</f>
        <v>101057740229622.23</v>
      </c>
    </row>
    <row r="4" spans="1:29" x14ac:dyDescent="0.25">
      <c r="A4" s="1" t="s">
        <v>106</v>
      </c>
      <c r="B4">
        <f>'First Year Data (2024)'!C28</f>
        <v>3087353000000000</v>
      </c>
      <c r="C4">
        <f>$B4*'Time Series Scaling Factors'!C30</f>
        <v>2928516000000000.5</v>
      </c>
      <c r="D4">
        <f>$B4*'Time Series Scaling Factors'!D30</f>
        <v>2448610000000000</v>
      </c>
      <c r="E4">
        <f>$B4*'Time Series Scaling Factors'!E30</f>
        <v>2691667000000000</v>
      </c>
      <c r="F4">
        <f>$B4*'Time Series Scaling Factors'!F30</f>
        <v>2635259000000000</v>
      </c>
      <c r="G4">
        <f>$B4*'Time Series Scaling Factors'!G30</f>
        <v>2685839000000000</v>
      </c>
      <c r="H4">
        <f>$B4*'Time Series Scaling Factors'!H30</f>
        <v>2755344000000000</v>
      </c>
      <c r="I4">
        <f>$B4*'Time Series Scaling Factors'!I30</f>
        <v>2765631000000000</v>
      </c>
      <c r="J4">
        <f>$B4*'Time Series Scaling Factors'!J30</f>
        <v>2761101000000000</v>
      </c>
      <c r="K4">
        <f>$B4*'Time Series Scaling Factors'!K30</f>
        <v>2626046000000000.5</v>
      </c>
      <c r="L4">
        <f>$B4*'Time Series Scaling Factors'!L30</f>
        <v>2477881000000000.5</v>
      </c>
      <c r="M4">
        <f>$B4*'Time Series Scaling Factors'!M30</f>
        <v>2476447000000000</v>
      </c>
      <c r="N4">
        <f>$B4*'Time Series Scaling Factors'!N30</f>
        <v>2511924000000000</v>
      </c>
      <c r="O4">
        <f>$B4*'Time Series Scaling Factors'!O30</f>
        <v>2541484000000000.5</v>
      </c>
      <c r="P4">
        <f>$B4*'Time Series Scaling Factors'!P30</f>
        <v>2574915000000000</v>
      </c>
      <c r="Q4">
        <f>$B4*'Time Series Scaling Factors'!Q30</f>
        <v>2597797000000000</v>
      </c>
      <c r="R4">
        <f>$B4*'Time Series Scaling Factors'!R30</f>
        <v>2555126000000000.5</v>
      </c>
      <c r="S4">
        <f>$B4*'Time Series Scaling Factors'!S30</f>
        <v>2424842000000000</v>
      </c>
      <c r="T4">
        <f>$B4*'Time Series Scaling Factors'!T30</f>
        <v>2428653000000000.5</v>
      </c>
      <c r="U4">
        <f>$B4*'Time Series Scaling Factors'!U30</f>
        <v>2495061000000000.5</v>
      </c>
      <c r="V4">
        <f>$B4*'Time Series Scaling Factors'!V30</f>
        <v>2561628000000000</v>
      </c>
      <c r="W4">
        <f>$B4*'Time Series Scaling Factors'!W30</f>
        <v>2549050000000000</v>
      </c>
      <c r="X4">
        <f>$B4*'Time Series Scaling Factors'!X30</f>
        <v>2381193000000000.5</v>
      </c>
      <c r="Y4">
        <f>$B4*'Time Series Scaling Factors'!Y30</f>
        <v>2363839000000000</v>
      </c>
      <c r="Z4">
        <f>$B4*'Time Series Scaling Factors'!Z30</f>
        <v>2427631000000000</v>
      </c>
      <c r="AA4">
        <f>$B4*'Time Series Scaling Factors'!AA30</f>
        <v>2517868000000000</v>
      </c>
      <c r="AB4">
        <f>$B4*'Time Series Scaling Factors'!AB30</f>
        <v>2607521000000000.5</v>
      </c>
    </row>
    <row r="5" spans="1:29" x14ac:dyDescent="0.25">
      <c r="A5" s="1" t="s">
        <v>117</v>
      </c>
      <c r="B5">
        <f>'First Year Data (2024)'!C29</f>
        <v>9940140000000000</v>
      </c>
      <c r="C5">
        <f>$B5*'Time Series Scaling Factors'!C31</f>
        <v>9940140000000000</v>
      </c>
      <c r="D5">
        <f>$B5*'Time Series Scaling Factors'!D31</f>
        <v>9940140000000000</v>
      </c>
      <c r="E5">
        <f>$B5*'Time Series Scaling Factors'!E31</f>
        <v>9940140000000000</v>
      </c>
      <c r="F5">
        <f>$B5*'Time Series Scaling Factors'!F31</f>
        <v>9940140000000000</v>
      </c>
      <c r="G5">
        <f>$B5*'Time Series Scaling Factors'!G31</f>
        <v>9940140000000000</v>
      </c>
      <c r="H5">
        <f>$B5*'Time Series Scaling Factors'!H31</f>
        <v>9940140000000000</v>
      </c>
      <c r="I5">
        <f>$B5*'Time Series Scaling Factors'!I31</f>
        <v>9940140000000000</v>
      </c>
      <c r="J5">
        <f>$B5*'Time Series Scaling Factors'!J31</f>
        <v>9940140000000000</v>
      </c>
      <c r="K5">
        <f>$B5*'Time Series Scaling Factors'!K31</f>
        <v>9940140000000000</v>
      </c>
      <c r="L5">
        <f>$B5*'Time Series Scaling Factors'!L31</f>
        <v>9940140000000000</v>
      </c>
      <c r="M5">
        <f>$B5*'Time Series Scaling Factors'!M31</f>
        <v>9940140000000000</v>
      </c>
      <c r="N5">
        <f>$B5*'Time Series Scaling Factors'!N31</f>
        <v>9940140000000000</v>
      </c>
      <c r="O5">
        <f>$B5*'Time Series Scaling Factors'!O31</f>
        <v>9940140000000000</v>
      </c>
      <c r="P5">
        <f>$B5*'Time Series Scaling Factors'!P31</f>
        <v>9940140000000000</v>
      </c>
      <c r="Q5">
        <f>$B5*'Time Series Scaling Factors'!Q31</f>
        <v>9940140000000000</v>
      </c>
      <c r="R5">
        <f>$B5*'Time Series Scaling Factors'!R31</f>
        <v>9940140000000000</v>
      </c>
      <c r="S5">
        <f>$B5*'Time Series Scaling Factors'!S31</f>
        <v>9940140000000000</v>
      </c>
      <c r="T5">
        <f>$B5*'Time Series Scaling Factors'!T31</f>
        <v>9940140000000000</v>
      </c>
      <c r="U5">
        <f>$B5*'Time Series Scaling Factors'!U31</f>
        <v>9940140000000000</v>
      </c>
      <c r="V5">
        <f>$B5*'Time Series Scaling Factors'!V31</f>
        <v>9940140000000000</v>
      </c>
      <c r="W5">
        <f>$B5*'Time Series Scaling Factors'!W31</f>
        <v>9940140000000000</v>
      </c>
      <c r="X5">
        <f>$B5*'Time Series Scaling Factors'!X31</f>
        <v>9940140000000000</v>
      </c>
      <c r="Y5">
        <f>$B5*'Time Series Scaling Factors'!Y31</f>
        <v>9940140000000000</v>
      </c>
      <c r="Z5">
        <f>$B5*'Time Series Scaling Factors'!Z31</f>
        <v>9940140000000000</v>
      </c>
      <c r="AA5">
        <f>$B5*'Time Series Scaling Factors'!AA31</f>
        <v>9940140000000000</v>
      </c>
      <c r="AB5">
        <f>$B5*'Time Series Scaling Factors'!AB31</f>
        <v>9940140000000000</v>
      </c>
    </row>
    <row r="6" spans="1:29" x14ac:dyDescent="0.25">
      <c r="A6" s="1" t="s">
        <v>118</v>
      </c>
      <c r="B6">
        <f>'First Year Data (2024)'!C30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c r="AB6">
        <f>$B6*'Time Series Scaling Factors'!AB32</f>
        <v>0</v>
      </c>
    </row>
    <row r="7" spans="1:29" x14ac:dyDescent="0.25">
      <c r="A7" s="1" t="s">
        <v>119</v>
      </c>
      <c r="B7">
        <f>'First Year Data (2024)'!C31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c r="AB7">
        <f>$B7*'Time Series Scaling Factors'!AB33</f>
        <v>0</v>
      </c>
    </row>
    <row r="8" spans="1:29" x14ac:dyDescent="0.25">
      <c r="A8" s="1" t="s">
        <v>120</v>
      </c>
      <c r="B8">
        <f>'First Year Data (2024)'!C32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c r="AB8">
        <f>$B8*'Time Series Scaling Factors'!AB34</f>
        <v>0</v>
      </c>
    </row>
    <row r="9" spans="1:29" x14ac:dyDescent="0.25">
      <c r="A9" s="1" t="s">
        <v>109</v>
      </c>
      <c r="B9">
        <f>'First Year Data (2024)'!C33</f>
        <v>0</v>
      </c>
      <c r="C9">
        <f>$B9*'Time Series Scaling Factors'!C35</f>
        <v>0</v>
      </c>
      <c r="D9">
        <f>$B9*'Time Series Scaling Factors'!D35</f>
        <v>0</v>
      </c>
      <c r="E9">
        <f>$B9*'Time Series Scaling Factors'!E35</f>
        <v>0</v>
      </c>
      <c r="F9">
        <f>$B9*'Time Series Scaling Factors'!F35</f>
        <v>0</v>
      </c>
      <c r="G9">
        <f>$B9*'Time Series Scaling Factors'!G35</f>
        <v>0</v>
      </c>
      <c r="H9">
        <f>$B9*'Time Series Scaling Factors'!H35</f>
        <v>0</v>
      </c>
      <c r="I9">
        <f>$B9*'Time Series Scaling Factors'!I35</f>
        <v>0</v>
      </c>
      <c r="J9">
        <f>$B9*'Time Series Scaling Factors'!J35</f>
        <v>0</v>
      </c>
      <c r="K9">
        <f>$B9*'Time Series Scaling Factors'!K35</f>
        <v>0</v>
      </c>
      <c r="L9">
        <f>$B9*'Time Series Scaling Factors'!L35</f>
        <v>0</v>
      </c>
      <c r="M9">
        <f>$B9*'Time Series Scaling Factors'!M35</f>
        <v>0</v>
      </c>
      <c r="N9">
        <f>$B9*'Time Series Scaling Factors'!N35</f>
        <v>0</v>
      </c>
      <c r="O9">
        <f>$B9*'Time Series Scaling Factors'!O35</f>
        <v>0</v>
      </c>
      <c r="P9">
        <f>$B9*'Time Series Scaling Factors'!P35</f>
        <v>0</v>
      </c>
      <c r="Q9">
        <f>$B9*'Time Series Scaling Factors'!Q35</f>
        <v>0</v>
      </c>
      <c r="R9">
        <f>$B9*'Time Series Scaling Factors'!R35</f>
        <v>0</v>
      </c>
      <c r="S9">
        <f>$B9*'Time Series Scaling Factors'!S35</f>
        <v>0</v>
      </c>
      <c r="T9">
        <f>$B9*'Time Series Scaling Factors'!T35</f>
        <v>0</v>
      </c>
      <c r="U9">
        <f>$B9*'Time Series Scaling Factors'!U35</f>
        <v>0</v>
      </c>
      <c r="V9">
        <f>$B9*'Time Series Scaling Factors'!V35</f>
        <v>0</v>
      </c>
      <c r="W9">
        <f>$B9*'Time Series Scaling Factors'!W35</f>
        <v>0</v>
      </c>
      <c r="X9">
        <f>$B9*'Time Series Scaling Factors'!X35</f>
        <v>0</v>
      </c>
      <c r="Y9">
        <f>$B9*'Time Series Scaling Factors'!Y35</f>
        <v>0</v>
      </c>
      <c r="Z9">
        <f>$B9*'Time Series Scaling Factors'!Z35</f>
        <v>0</v>
      </c>
      <c r="AA9">
        <f>$B9*'Time Series Scaling Factors'!AA35</f>
        <v>0</v>
      </c>
      <c r="AB9">
        <f>$B9*'Time Series Scaling Factors'!AB35</f>
        <v>0</v>
      </c>
    </row>
    <row r="10" spans="1:29" x14ac:dyDescent="0.25">
      <c r="A10" s="1" t="s">
        <v>110</v>
      </c>
      <c r="B10">
        <f>'First Year Data (2024)'!C34</f>
        <v>201618837721000</v>
      </c>
      <c r="C10">
        <f>$B10*'Time Series Scaling Factors'!C36</f>
        <v>196418363182364.53</v>
      </c>
      <c r="D10">
        <f>$B10*'Time Series Scaling Factors'!D36</f>
        <v>204543488815099.72</v>
      </c>
      <c r="E10">
        <f>$B10*'Time Series Scaling Factors'!E36</f>
        <v>199236419029849.25</v>
      </c>
      <c r="F10">
        <f>$B10*'Time Series Scaling Factors'!F36</f>
        <v>194319501781228.78</v>
      </c>
      <c r="G10">
        <f>$B10*'Time Series Scaling Factors'!G36</f>
        <v>190664110910614.53</v>
      </c>
      <c r="H10">
        <f>$B10*'Time Series Scaling Factors'!H36</f>
        <v>187377125553861.44</v>
      </c>
      <c r="I10">
        <f>$B10*'Time Series Scaling Factors'!I36</f>
        <v>187076797676493.91</v>
      </c>
      <c r="J10">
        <f>$B10*'Time Series Scaling Factors'!J36</f>
        <v>183598368849279.66</v>
      </c>
      <c r="K10">
        <f>$B10*'Time Series Scaling Factors'!K36</f>
        <v>181691995970042.44</v>
      </c>
      <c r="L10">
        <f>$B10*'Time Series Scaling Factors'!L36</f>
        <v>180567968502585.75</v>
      </c>
      <c r="M10">
        <f>$B10*'Time Series Scaling Factors'!M36</f>
        <v>178936692973156</v>
      </c>
      <c r="N10">
        <f>$B10*'Time Series Scaling Factors'!N36</f>
        <v>178308816116694.25</v>
      </c>
      <c r="O10">
        <f>$B10*'Time Series Scaling Factors'!O36</f>
        <v>178005651671139.44</v>
      </c>
      <c r="P10">
        <f>$B10*'Time Series Scaling Factors'!P36</f>
        <v>177547620555432.56</v>
      </c>
      <c r="Q10">
        <f>$B10*'Time Series Scaling Factors'!Q36</f>
        <v>175051490315021.69</v>
      </c>
      <c r="R10">
        <f>$B10*'Time Series Scaling Factors'!R36</f>
        <v>174549766096360.59</v>
      </c>
      <c r="S10">
        <f>$B10*'Time Series Scaling Factors'!S36</f>
        <v>174694431073909.47</v>
      </c>
      <c r="T10">
        <f>$B10*'Time Series Scaling Factors'!T36</f>
        <v>176038367222408</v>
      </c>
      <c r="U10">
        <f>$B10*'Time Series Scaling Factors'!U36</f>
        <v>176103558526360.19</v>
      </c>
      <c r="V10">
        <f>$B10*'Time Series Scaling Factors'!V36</f>
        <v>176028712937700.53</v>
      </c>
      <c r="W10">
        <f>$B10*'Time Series Scaling Factors'!W36</f>
        <v>175296579759269.47</v>
      </c>
      <c r="X10">
        <f>$B10*'Time Series Scaling Factors'!X36</f>
        <v>175201430314111.75</v>
      </c>
      <c r="Y10">
        <f>$B10*'Time Series Scaling Factors'!Y36</f>
        <v>175339576161265.44</v>
      </c>
      <c r="Z10">
        <f>$B10*'Time Series Scaling Factors'!Z36</f>
        <v>178705189197594.44</v>
      </c>
      <c r="AA10">
        <f>$B10*'Time Series Scaling Factors'!AA36</f>
        <v>178872148605807.91</v>
      </c>
      <c r="AB10">
        <f>$B10*'Time Series Scaling Factors'!AB36</f>
        <v>175469013246440.75</v>
      </c>
    </row>
    <row r="11" spans="1:29" x14ac:dyDescent="0.25">
      <c r="A11" s="1" t="s">
        <v>121</v>
      </c>
      <c r="B11">
        <f>'First Year Data (2024)'!C35</f>
        <v>313781100000000</v>
      </c>
      <c r="C11">
        <f>$B11*'Time Series Scaling Factors'!C37</f>
        <v>305687557552775.25</v>
      </c>
      <c r="D11">
        <f>$B11*'Time Series Scaling Factors'!D37</f>
        <v>318332759199090.94</v>
      </c>
      <c r="E11">
        <f>$B11*'Time Series Scaling Factors'!E37</f>
        <v>310073321669265.31</v>
      </c>
      <c r="F11">
        <f>$B11*'Time Series Scaling Factors'!F37</f>
        <v>302421081827390.56</v>
      </c>
      <c r="G11">
        <f>$B11*'Time Series Scaling Factors'!G37</f>
        <v>296732166142346.81</v>
      </c>
      <c r="H11">
        <f>$B11*'Time Series Scaling Factors'!H37</f>
        <v>291616603070045.38</v>
      </c>
      <c r="I11">
        <f>$B11*'Time Series Scaling Factors'!I37</f>
        <v>291149200257955.69</v>
      </c>
      <c r="J11">
        <f>$B11*'Time Series Scaling Factors'!J37</f>
        <v>285735692095661.06</v>
      </c>
      <c r="K11">
        <f>$B11*'Time Series Scaling Factors'!K37</f>
        <v>282768787882648.06</v>
      </c>
      <c r="L11">
        <f>$B11*'Time Series Scaling Factors'!L37</f>
        <v>281019454441608.97</v>
      </c>
      <c r="M11">
        <f>$B11*'Time Series Scaling Factors'!M37</f>
        <v>278480686557549.09</v>
      </c>
      <c r="N11">
        <f>$B11*'Time Series Scaling Factors'!N37</f>
        <v>277503516502845.5</v>
      </c>
      <c r="O11">
        <f>$B11*'Time Series Scaling Factors'!O37</f>
        <v>277031699115728.53</v>
      </c>
      <c r="P11">
        <f>$B11*'Time Series Scaling Factors'!P37</f>
        <v>276318861421863.78</v>
      </c>
      <c r="Q11">
        <f>$B11*'Time Series Scaling Factors'!Q37</f>
        <v>272434112846617.91</v>
      </c>
      <c r="R11">
        <f>$B11*'Time Series Scaling Factors'!R37</f>
        <v>271653275207597.41</v>
      </c>
      <c r="S11">
        <f>$B11*'Time Series Scaling Factors'!S37</f>
        <v>271878418533984.28</v>
      </c>
      <c r="T11">
        <f>$B11*'Time Series Scaling Factors'!T37</f>
        <v>273969997712657.94</v>
      </c>
      <c r="U11">
        <f>$B11*'Time Series Scaling Factors'!U37</f>
        <v>274071455489598.69</v>
      </c>
      <c r="V11">
        <f>$B11*'Time Series Scaling Factors'!V37</f>
        <v>273954972667828.53</v>
      </c>
      <c r="W11">
        <f>$B11*'Time Series Scaling Factors'!W37</f>
        <v>272815547618704.41</v>
      </c>
      <c r="X11">
        <f>$B11*'Time Series Scaling Factors'!X37</f>
        <v>272667465733581.69</v>
      </c>
      <c r="Y11">
        <f>$B11*'Time Series Scaling Factors'!Y37</f>
        <v>272882463282274.5</v>
      </c>
      <c r="Z11">
        <f>$B11*'Time Series Scaling Factors'!Z37</f>
        <v>278120395276382.34</v>
      </c>
      <c r="AA11">
        <f>$B11*'Time Series Scaling Factors'!AA37</f>
        <v>278380235613509.25</v>
      </c>
      <c r="AB11">
        <f>$B11*'Time Series Scaling Factors'!AB37</f>
        <v>273083907311146.97</v>
      </c>
    </row>
    <row r="12" spans="1:29" x14ac:dyDescent="0.25">
      <c r="A12" s="1" t="s">
        <v>122</v>
      </c>
      <c r="B12">
        <f>'First Year Data (2024)'!C36</f>
        <v>0</v>
      </c>
      <c r="C12">
        <f>$B12*'Time Series Scaling Factors'!C38</f>
        <v>0</v>
      </c>
      <c r="D12">
        <f>$B12*'Time Series Scaling Factors'!D38</f>
        <v>0</v>
      </c>
      <c r="E12">
        <f>$B12*'Time Series Scaling Factors'!E38</f>
        <v>0</v>
      </c>
      <c r="F12">
        <f>$B12*'Time Series Scaling Factors'!F38</f>
        <v>0</v>
      </c>
      <c r="G12">
        <f>$B12*'Time Series Scaling Factors'!G38</f>
        <v>0</v>
      </c>
      <c r="H12">
        <f>$B12*'Time Series Scaling Factors'!H38</f>
        <v>0</v>
      </c>
      <c r="I12">
        <f>$B12*'Time Series Scaling Factors'!I38</f>
        <v>0</v>
      </c>
      <c r="J12">
        <f>$B12*'Time Series Scaling Factors'!J38</f>
        <v>0</v>
      </c>
      <c r="K12">
        <f>$B12*'Time Series Scaling Factors'!K38</f>
        <v>0</v>
      </c>
      <c r="L12">
        <f>$B12*'Time Series Scaling Factors'!L38</f>
        <v>0</v>
      </c>
      <c r="M12">
        <f>$B12*'Time Series Scaling Factors'!M38</f>
        <v>0</v>
      </c>
      <c r="N12">
        <f>$B12*'Time Series Scaling Factors'!N38</f>
        <v>0</v>
      </c>
      <c r="O12">
        <f>$B12*'Time Series Scaling Factors'!O38</f>
        <v>0</v>
      </c>
      <c r="P12">
        <f>$B12*'Time Series Scaling Factors'!P38</f>
        <v>0</v>
      </c>
      <c r="Q12">
        <f>$B12*'Time Series Scaling Factors'!Q38</f>
        <v>0</v>
      </c>
      <c r="R12">
        <f>$B12*'Time Series Scaling Factors'!R38</f>
        <v>0</v>
      </c>
      <c r="S12">
        <f>$B12*'Time Series Scaling Factors'!S38</f>
        <v>0</v>
      </c>
      <c r="T12">
        <f>$B12*'Time Series Scaling Factors'!T38</f>
        <v>0</v>
      </c>
      <c r="U12">
        <f>$B12*'Time Series Scaling Factors'!U38</f>
        <v>0</v>
      </c>
      <c r="V12">
        <f>$B12*'Time Series Scaling Factors'!V38</f>
        <v>0</v>
      </c>
      <c r="W12">
        <f>$B12*'Time Series Scaling Factors'!W38</f>
        <v>0</v>
      </c>
      <c r="X12">
        <f>$B12*'Time Series Scaling Factors'!X38</f>
        <v>0</v>
      </c>
      <c r="Y12">
        <f>$B12*'Time Series Scaling Factors'!Y38</f>
        <v>0</v>
      </c>
      <c r="Z12">
        <f>$B12*'Time Series Scaling Factors'!Z38</f>
        <v>0</v>
      </c>
      <c r="AA12">
        <f>$B12*'Time Series Scaling Factors'!AA38</f>
        <v>0</v>
      </c>
      <c r="AB12">
        <f>$B12*'Time Series Scaling Factors'!AB38</f>
        <v>0</v>
      </c>
    </row>
    <row r="13" spans="1:29" x14ac:dyDescent="0.25">
      <c r="A13" s="1" t="s">
        <v>123</v>
      </c>
      <c r="B13">
        <f>'First Year Data (2024)'!C37</f>
        <v>121247375000000</v>
      </c>
      <c r="C13">
        <f>$B13*'Time Series Scaling Factors'!C39</f>
        <v>118119969378128.34</v>
      </c>
      <c r="D13">
        <f>$B13*'Time Series Scaling Factors'!D39</f>
        <v>123006170318724.98</v>
      </c>
      <c r="E13">
        <f>$B13*'Time Series Scaling Factors'!E39</f>
        <v>119814661590290.28</v>
      </c>
      <c r="F13">
        <f>$B13*'Time Series Scaling Factors'!F39</f>
        <v>116857778611367.31</v>
      </c>
      <c r="G13">
        <f>$B13*'Time Series Scaling Factors'!G39</f>
        <v>114659538840368.09</v>
      </c>
      <c r="H13">
        <f>$B13*'Time Series Scaling Factors'!H39</f>
        <v>112682846827485.61</v>
      </c>
      <c r="I13">
        <f>$B13*'Time Series Scaling Factors'!I39</f>
        <v>112502238868518.38</v>
      </c>
      <c r="J13">
        <f>$B13*'Time Series Scaling Factors'!J39</f>
        <v>110410418633904.81</v>
      </c>
      <c r="K13">
        <f>$B13*'Time Series Scaling Factors'!K39</f>
        <v>109263984550703.92</v>
      </c>
      <c r="L13">
        <f>$B13*'Time Series Scaling Factors'!L39</f>
        <v>108588028963430.8</v>
      </c>
      <c r="M13">
        <f>$B13*'Time Series Scaling Factors'!M39</f>
        <v>107607029975038.7</v>
      </c>
      <c r="N13">
        <f>$B13*'Time Series Scaling Factors'!N39</f>
        <v>107229444122795.16</v>
      </c>
      <c r="O13">
        <f>$B13*'Time Series Scaling Factors'!O39</f>
        <v>107047130338863.33</v>
      </c>
      <c r="P13">
        <f>$B13*'Time Series Scaling Factors'!P39</f>
        <v>106771684497217.17</v>
      </c>
      <c r="Q13">
        <f>$B13*'Time Series Scaling Factors'!Q39</f>
        <v>105270588455156.16</v>
      </c>
      <c r="R13">
        <f>$B13*'Time Series Scaling Factors'!R39</f>
        <v>104968866923704.98</v>
      </c>
      <c r="S13">
        <f>$B13*'Time Series Scaling Factors'!S39</f>
        <v>105055863996897.66</v>
      </c>
      <c r="T13">
        <f>$B13*'Time Series Scaling Factors'!T39</f>
        <v>105864065909055</v>
      </c>
      <c r="U13">
        <f>$B13*'Time Series Scaling Factors'!U39</f>
        <v>105903269956486.17</v>
      </c>
      <c r="V13">
        <f>$B13*'Time Series Scaling Factors'!V39</f>
        <v>105858260118824.73</v>
      </c>
      <c r="W13">
        <f>$B13*'Time Series Scaling Factors'!W39</f>
        <v>105417977717445.09</v>
      </c>
      <c r="X13">
        <f>$B13*'Time Series Scaling Factors'!X39</f>
        <v>105360757764247.84</v>
      </c>
      <c r="Y13">
        <f>$B13*'Time Series Scaling Factors'!Y39</f>
        <v>105443834432697.41</v>
      </c>
      <c r="Z13">
        <f>$B13*'Time Series Scaling Factors'!Z39</f>
        <v>107467810716527.41</v>
      </c>
      <c r="AA13">
        <f>$B13*'Time Series Scaling Factors'!AA39</f>
        <v>107568214975406.47</v>
      </c>
      <c r="AB13">
        <f>$B13*'Time Series Scaling Factors'!AB39</f>
        <v>105521673919238.22</v>
      </c>
    </row>
    <row r="14" spans="1:29" x14ac:dyDescent="0.25">
      <c r="A14" s="1" t="s">
        <v>112</v>
      </c>
      <c r="B14">
        <f>'First Year Data (2024)'!C38</f>
        <v>218051190000000</v>
      </c>
      <c r="C14">
        <f>$B14*'Time Series Scaling Factors'!C40</f>
        <v>212426866030414.63</v>
      </c>
      <c r="D14">
        <f>$B14*'Time Series Scaling Factors'!D40</f>
        <v>221214206207273.88</v>
      </c>
      <c r="E14">
        <f>$B14*'Time Series Scaling Factors'!E40</f>
        <v>215474599258005.28</v>
      </c>
      <c r="F14">
        <f>$B14*'Time Series Scaling Factors'!F40</f>
        <v>210156943084047.72</v>
      </c>
      <c r="G14">
        <f>$B14*'Time Series Scaling Factors'!G40</f>
        <v>206203630297097</v>
      </c>
      <c r="H14">
        <f>$B14*'Time Series Scaling Factors'!H40</f>
        <v>202648748835353.84</v>
      </c>
      <c r="I14">
        <f>$B14*'Time Series Scaling Factors'!I40</f>
        <v>202323943614817.94</v>
      </c>
      <c r="J14">
        <f>$B14*'Time Series Scaling Factors'!J40</f>
        <v>198562015643811.81</v>
      </c>
      <c r="K14">
        <f>$B14*'Time Series Scaling Factors'!K40</f>
        <v>196500269431998.88</v>
      </c>
      <c r="L14">
        <f>$B14*'Time Series Scaling Factors'!L40</f>
        <v>195284631401138</v>
      </c>
      <c r="M14">
        <f>$B14*'Time Series Scaling Factors'!M40</f>
        <v>193520403542120.88</v>
      </c>
      <c r="N14">
        <f>$B14*'Time Series Scaling Factors'!N40</f>
        <v>192841353423230.72</v>
      </c>
      <c r="O14">
        <f>$B14*'Time Series Scaling Factors'!O40</f>
        <v>192513480448333.44</v>
      </c>
      <c r="P14">
        <f>$B14*'Time Series Scaling Factors'!P40</f>
        <v>192018118849358.66</v>
      </c>
      <c r="Q14">
        <f>$B14*'Time Series Scaling Factors'!Q40</f>
        <v>189318548831651.5</v>
      </c>
      <c r="R14">
        <f>$B14*'Time Series Scaling Factors'!R40</f>
        <v>188775933051462.03</v>
      </c>
      <c r="S14">
        <f>$B14*'Time Series Scaling Factors'!S40</f>
        <v>188932388523889.19</v>
      </c>
      <c r="T14">
        <f>$B14*'Time Series Scaling Factors'!T40</f>
        <v>190385858248130.13</v>
      </c>
      <c r="U14">
        <f>$B14*'Time Series Scaling Factors'!U40</f>
        <v>190456362778188.47</v>
      </c>
      <c r="V14">
        <f>$B14*'Time Series Scaling Factors'!V40</f>
        <v>190375417119251.22</v>
      </c>
      <c r="W14">
        <f>$B14*'Time Series Scaling Factors'!W40</f>
        <v>189583613572519.69</v>
      </c>
      <c r="X14">
        <f>$B14*'Time Series Scaling Factors'!X40</f>
        <v>189480709250785.69</v>
      </c>
      <c r="Y14">
        <f>$B14*'Time Series Scaling Factors'!Y40</f>
        <v>189630114270207.03</v>
      </c>
      <c r="Z14">
        <f>$B14*'Time Series Scaling Factors'!Z40</f>
        <v>193270031730035.84</v>
      </c>
      <c r="AA14">
        <f>$B14*'Time Series Scaling Factors'!AA40</f>
        <v>193450598675337.91</v>
      </c>
      <c r="AB14">
        <f>$B14*'Time Series Scaling Factors'!AB40</f>
        <v>189770100745536.59</v>
      </c>
    </row>
    <row r="15" spans="1:29" x14ac:dyDescent="0.25">
      <c r="A15" s="1" t="s">
        <v>124</v>
      </c>
      <c r="B15">
        <f>'First Year Data (2024)'!C39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c r="AB15">
        <f>$B15*'Time Series Scaling Factors'!AB41</f>
        <v>0</v>
      </c>
    </row>
    <row r="16" spans="1:29" x14ac:dyDescent="0.25">
      <c r="A16" s="1" t="s">
        <v>125</v>
      </c>
      <c r="B16">
        <f>'First Year Data (2024)'!C40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c r="AB16">
        <f>$B16*'Time Series Scaling Factors'!AB42</f>
        <v>0</v>
      </c>
    </row>
    <row r="17" spans="1:28" x14ac:dyDescent="0.25">
      <c r="A17" s="1" t="s">
        <v>126</v>
      </c>
      <c r="B17">
        <f>'First Year Data (2024)'!C41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c r="AB17">
        <f>$B17*'Time Series Scaling Factors'!AB43</f>
        <v>0</v>
      </c>
    </row>
    <row r="18" spans="1:28" x14ac:dyDescent="0.25">
      <c r="A18" s="1" t="s">
        <v>113</v>
      </c>
      <c r="B18">
        <f>'First Year Data (2024)'!C42</f>
        <v>1.3730942504405E+16</v>
      </c>
      <c r="C18">
        <f>$B18*'Time Series Scaling Factors'!C44</f>
        <v>1.2697003384435376E+16</v>
      </c>
      <c r="D18">
        <f>$B18*'Time Series Scaling Factors'!D44</f>
        <v>1.3254090927016898E+16</v>
      </c>
      <c r="E18">
        <f>$B18*'Time Series Scaling Factors'!E44</f>
        <v>1.2530624268134232E+16</v>
      </c>
      <c r="F18">
        <f>$B18*'Time Series Scaling Factors'!F44</f>
        <v>1.3050572010706966E+16</v>
      </c>
      <c r="G18">
        <f>$B18*'Time Series Scaling Factors'!G44</f>
        <v>1.3280100136083404E+16</v>
      </c>
      <c r="H18">
        <f>$B18*'Time Series Scaling Factors'!H44</f>
        <v>1.3293501484851536E+16</v>
      </c>
      <c r="I18">
        <f>$B18*'Time Series Scaling Factors'!I44</f>
        <v>1.367315403483696E+16</v>
      </c>
      <c r="J18">
        <f>$B18*'Time Series Scaling Factors'!J44</f>
        <v>1.4428738534521724E+16</v>
      </c>
      <c r="K18">
        <f>$B18*'Time Series Scaling Factors'!K44</f>
        <v>1.4426208639817788E+16</v>
      </c>
      <c r="L18">
        <f>$B18*'Time Series Scaling Factors'!L44</f>
        <v>1.4867378771452608E+16</v>
      </c>
      <c r="M18">
        <f>$B18*'Time Series Scaling Factors'!M44</f>
        <v>1.5033208404081608E+16</v>
      </c>
      <c r="N18">
        <f>$B18*'Time Series Scaling Factors'!N44</f>
        <v>1.5251450834690922E+16</v>
      </c>
      <c r="O18">
        <f>$B18*'Time Series Scaling Factors'!O44</f>
        <v>1.501189297722655E+16</v>
      </c>
      <c r="P18">
        <f>$B18*'Time Series Scaling Factors'!P44</f>
        <v>1.5027914067426418E+16</v>
      </c>
      <c r="Q18">
        <f>$B18*'Time Series Scaling Factors'!Q44</f>
        <v>1.5372149983066822E+16</v>
      </c>
      <c r="R18">
        <f>$B18*'Time Series Scaling Factors'!R44</f>
        <v>1.5520568265602576E+16</v>
      </c>
      <c r="S18">
        <f>$B18*'Time Series Scaling Factors'!S44</f>
        <v>1.539115114736467E+16</v>
      </c>
      <c r="T18">
        <f>$B18*'Time Series Scaling Factors'!T44</f>
        <v>1.5085139812751904E+16</v>
      </c>
      <c r="U18">
        <f>$B18*'Time Series Scaling Factors'!U44</f>
        <v>1.5246452519359972E+16</v>
      </c>
      <c r="V18">
        <f>$B18*'Time Series Scaling Factors'!V44</f>
        <v>1.5464034812958694E+16</v>
      </c>
      <c r="W18">
        <f>$B18*'Time Series Scaling Factors'!W44</f>
        <v>1.5620530789201478E+16</v>
      </c>
      <c r="X18">
        <f>$B18*'Time Series Scaling Factors'!X44</f>
        <v>1.5129672579826356E+16</v>
      </c>
      <c r="Y18">
        <f>$B18*'Time Series Scaling Factors'!Y44</f>
        <v>1.4789670809453062E+16</v>
      </c>
      <c r="Z18">
        <f>$B18*'Time Series Scaling Factors'!Z44</f>
        <v>1.4772668971287592E+16</v>
      </c>
      <c r="AA18">
        <f>$B18*'Time Series Scaling Factors'!AA44</f>
        <v>1.5117037292632126E+16</v>
      </c>
      <c r="AB18">
        <f>$B18*'Time Series Scaling Factors'!AB44</f>
        <v>1.558715698572019E+16</v>
      </c>
    </row>
    <row r="19" spans="1:28" x14ac:dyDescent="0.25">
      <c r="A19" s="1" t="s">
        <v>127</v>
      </c>
      <c r="B19">
        <f>'First Year Data (2024)'!C43</f>
        <v>251769202000000</v>
      </c>
      <c r="C19">
        <f>$B19*'Time Series Scaling Factors'!C45</f>
        <v>245275169302393.63</v>
      </c>
      <c r="D19">
        <f>$B19*'Time Series Scaling Factors'!D45</f>
        <v>255421326376933.72</v>
      </c>
      <c r="E19">
        <f>$B19*'Time Series Scaling Factors'!E45</f>
        <v>248794184092541.69</v>
      </c>
      <c r="F19">
        <f>$B19*'Time Series Scaling Factors'!F45</f>
        <v>242654240295731.09</v>
      </c>
      <c r="G19">
        <f>$B19*'Time Series Scaling Factors'!G45</f>
        <v>238089613037209.91</v>
      </c>
      <c r="H19">
        <f>$B19*'Time Series Scaling Factors'!H45</f>
        <v>233985027922000.66</v>
      </c>
      <c r="I19">
        <f>$B19*'Time Series Scaling Factors'!I45</f>
        <v>233609996943358.59</v>
      </c>
      <c r="J19">
        <f>$B19*'Time Series Scaling Factors'!J45</f>
        <v>229266348998847.56</v>
      </c>
      <c r="K19">
        <f>$B19*'Time Series Scaling Factors'!K45</f>
        <v>226885787817435.69</v>
      </c>
      <c r="L19">
        <f>$B19*'Time Series Scaling Factors'!L45</f>
        <v>225482171460420.16</v>
      </c>
      <c r="M19">
        <f>$B19*'Time Series Scaling Factors'!M45</f>
        <v>223445134926884.59</v>
      </c>
      <c r="N19">
        <f>$B19*'Time Series Scaling Factors'!N45</f>
        <v>222661080932265.34</v>
      </c>
      <c r="O19">
        <f>$B19*'Time Series Scaling Factors'!O45</f>
        <v>222282507821762</v>
      </c>
      <c r="P19">
        <f>$B19*'Time Series Scaling Factors'!P45</f>
        <v>221710546740167.69</v>
      </c>
      <c r="Q19">
        <f>$B19*'Time Series Scaling Factors'!Q45</f>
        <v>218593532844938.53</v>
      </c>
      <c r="R19">
        <f>$B19*'Time Series Scaling Factors'!R45</f>
        <v>217967010504148.22</v>
      </c>
      <c r="S19">
        <f>$B19*'Time Series Scaling Factors'!S45</f>
        <v>218147659229071.59</v>
      </c>
      <c r="T19">
        <f>$B19*'Time Series Scaling Factors'!T45</f>
        <v>219825884019329.75</v>
      </c>
      <c r="U19">
        <f>$B19*'Time Series Scaling Factors'!U45</f>
        <v>219907290909474.09</v>
      </c>
      <c r="V19">
        <f>$B19*'Time Series Scaling Factors'!V45</f>
        <v>219813828342468.69</v>
      </c>
      <c r="W19">
        <f>$B19*'Time Series Scaling Factors'!W45</f>
        <v>218899585466282.72</v>
      </c>
      <c r="X19">
        <f>$B19*'Time Series Scaling Factors'!X45</f>
        <v>218780768692270.5</v>
      </c>
      <c r="Y19">
        <f>$B19*'Time Series Scaling Factors'!Y45</f>
        <v>218953276728179.47</v>
      </c>
      <c r="Z19">
        <f>$B19*'Time Series Scaling Factors'!Z45</f>
        <v>223156047252875.81</v>
      </c>
      <c r="AA19">
        <f>$B19*'Time Series Scaling Factors'!AA45</f>
        <v>223364535891375.25</v>
      </c>
      <c r="AB19">
        <f>$B19*'Time Series Scaling Factors'!AB45</f>
        <v>219114909797847.72</v>
      </c>
    </row>
    <row r="20" spans="1:28" x14ac:dyDescent="0.25">
      <c r="A20" s="1" t="s">
        <v>114</v>
      </c>
      <c r="B20">
        <f>'First Year Data (2024)'!C44</f>
        <v>212781090060000</v>
      </c>
      <c r="C20">
        <f>$B20*'Time Series Scaling Factors'!C46</f>
        <v>207292700911108.13</v>
      </c>
      <c r="D20">
        <f>$B20*'Time Series Scaling Factors'!D46</f>
        <v>215867659027870.25</v>
      </c>
      <c r="E20">
        <f>$B20*'Time Series Scaling Factors'!E46</f>
        <v>210266773184590.44</v>
      </c>
      <c r="F20">
        <f>$B20*'Time Series Scaling Factors'!F46</f>
        <v>205077639948220.66</v>
      </c>
      <c r="G20">
        <f>$B20*'Time Series Scaling Factors'!G46</f>
        <v>201219875153836.78</v>
      </c>
      <c r="H20">
        <f>$B20*'Time Series Scaling Factors'!H46</f>
        <v>197750911960084.91</v>
      </c>
      <c r="I20">
        <f>$B20*'Time Series Scaling Factors'!I46</f>
        <v>197433956987801.53</v>
      </c>
      <c r="J20">
        <f>$B20*'Time Series Scaling Factors'!J46</f>
        <v>193762951411551.81</v>
      </c>
      <c r="K20">
        <f>$B20*'Time Series Scaling Factors'!K46</f>
        <v>191751035739930.69</v>
      </c>
      <c r="L20">
        <f>$B20*'Time Series Scaling Factors'!L46</f>
        <v>190564778580201.5</v>
      </c>
      <c r="M20">
        <f>$B20*'Time Series Scaling Factors'!M46</f>
        <v>188843190512024.09</v>
      </c>
      <c r="N20">
        <f>$B20*'Time Series Scaling Factors'!N46</f>
        <v>188180552420010.84</v>
      </c>
      <c r="O20">
        <f>$B20*'Time Series Scaling Factors'!O46</f>
        <v>187860603838212.88</v>
      </c>
      <c r="P20">
        <f>$B20*'Time Series Scaling Factors'!P46</f>
        <v>187377214680814.94</v>
      </c>
      <c r="Q20">
        <f>$B20*'Time Series Scaling Factors'!Q46</f>
        <v>184742890827498.56</v>
      </c>
      <c r="R20">
        <f>$B20*'Time Series Scaling Factors'!R46</f>
        <v>184213389579683.91</v>
      </c>
      <c r="S20">
        <f>$B20*'Time Series Scaling Factors'!S46</f>
        <v>184366063664924.63</v>
      </c>
      <c r="T20">
        <f>$B20*'Time Series Scaling Factors'!T46</f>
        <v>185784404341227.25</v>
      </c>
      <c r="U20">
        <f>$B20*'Time Series Scaling Factors'!U46</f>
        <v>185853204840596.16</v>
      </c>
      <c r="V20">
        <f>$B20*'Time Series Scaling Factors'!V46</f>
        <v>185774215564984.81</v>
      </c>
      <c r="W20">
        <f>$B20*'Time Series Scaling Factors'!W46</f>
        <v>185001549193446.5</v>
      </c>
      <c r="X20">
        <f>$B20*'Time Series Scaling Factors'!X46</f>
        <v>184901131976047.03</v>
      </c>
      <c r="Y20">
        <f>$B20*'Time Series Scaling Factors'!Y46</f>
        <v>185046926011350.91</v>
      </c>
      <c r="Z20">
        <f>$B20*'Time Series Scaling Factors'!Z46</f>
        <v>188598869960066.78</v>
      </c>
      <c r="AA20">
        <f>$B20*'Time Series Scaling Factors'!AA46</f>
        <v>188775072765702.38</v>
      </c>
      <c r="AB20">
        <f>$B20*'Time Series Scaling Factors'!AB46</f>
        <v>185183529140250.5</v>
      </c>
    </row>
    <row r="21" spans="1:28" x14ac:dyDescent="0.25">
      <c r="A21" s="1" t="s">
        <v>128</v>
      </c>
      <c r="B21">
        <f>'First Year Data (2024)'!C45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c r="AB21">
        <f>$B21*'Time Series Scaling Factors'!AB47</f>
        <v>0</v>
      </c>
    </row>
    <row r="22" spans="1:28" x14ac:dyDescent="0.25">
      <c r="A22" s="1" t="s">
        <v>129</v>
      </c>
      <c r="B22">
        <f>'First Year Data (2024)'!C46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c r="AB22">
        <f>$B22*'Time Series Scaling Factors'!AB48</f>
        <v>0</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C22"/>
  <sheetViews>
    <sheetView workbookViewId="0">
      <selection activeCell="K37" sqref="K37"/>
    </sheetView>
  </sheetViews>
  <sheetFormatPr defaultRowHeight="15" x14ac:dyDescent="0.25"/>
  <cols>
    <col min="1" max="1" width="36.28515625" customWidth="1"/>
    <col min="2" max="28" width="13" customWidth="1"/>
    <col min="29" max="29" width="16.28515625" customWidth="1"/>
    <col min="30" max="30" width="13" customWidth="1"/>
  </cols>
  <sheetData>
    <row r="1" spans="1:29" x14ac:dyDescent="0.25">
      <c r="A1" s="24" t="s">
        <v>454</v>
      </c>
      <c r="B1" s="18">
        <v>2024</v>
      </c>
      <c r="C1" s="18">
        <v>2025</v>
      </c>
      <c r="D1" s="18">
        <v>2026</v>
      </c>
      <c r="E1" s="18">
        <v>2027</v>
      </c>
      <c r="F1" s="18">
        <v>2028</v>
      </c>
      <c r="G1" s="18">
        <v>2029</v>
      </c>
      <c r="H1" s="18">
        <v>2030</v>
      </c>
      <c r="I1" s="18">
        <v>2031</v>
      </c>
      <c r="J1" s="18">
        <v>2032</v>
      </c>
      <c r="K1" s="18">
        <v>2033</v>
      </c>
      <c r="L1" s="18">
        <v>2034</v>
      </c>
      <c r="M1" s="18">
        <v>2035</v>
      </c>
      <c r="N1" s="18">
        <v>2036</v>
      </c>
      <c r="O1" s="18">
        <v>2037</v>
      </c>
      <c r="P1" s="18">
        <v>2038</v>
      </c>
      <c r="Q1" s="18">
        <v>2039</v>
      </c>
      <c r="R1" s="18">
        <v>2040</v>
      </c>
      <c r="S1" s="18">
        <v>2041</v>
      </c>
      <c r="T1" s="18">
        <v>2042</v>
      </c>
      <c r="U1" s="18">
        <v>2043</v>
      </c>
      <c r="V1" s="18">
        <v>2044</v>
      </c>
      <c r="W1" s="18">
        <v>2045</v>
      </c>
      <c r="X1" s="18">
        <v>2046</v>
      </c>
      <c r="Y1" s="18">
        <v>2047</v>
      </c>
      <c r="Z1" s="18">
        <v>2048</v>
      </c>
      <c r="AA1" s="18">
        <v>2049</v>
      </c>
      <c r="AB1" s="18">
        <v>2050</v>
      </c>
      <c r="AC1" s="18"/>
    </row>
    <row r="2" spans="1:29" x14ac:dyDescent="0.25">
      <c r="A2" s="24" t="s">
        <v>115</v>
      </c>
      <c r="B2">
        <f>'First Year Data (2024)'!$D26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c r="AB2">
        <f>$B2*'Time Series Scaling Factors'!AB53</f>
        <v>0</v>
      </c>
    </row>
    <row r="3" spans="1:29" x14ac:dyDescent="0.25">
      <c r="A3" s="1" t="s">
        <v>116</v>
      </c>
      <c r="B3">
        <f>'First Year Data (2024)'!$D$27</f>
        <v>2129526400705924.3</v>
      </c>
      <c r="C3">
        <f>$B3*'Time Series Scaling Factors'!C54</f>
        <v>2036023142922747.5</v>
      </c>
      <c r="D3">
        <f>$B3*'Time Series Scaling Factors'!D54</f>
        <v>2118076926516874.5</v>
      </c>
      <c r="E3">
        <f>$B3*'Time Series Scaling Factors'!E54</f>
        <v>2195972734943111.3</v>
      </c>
      <c r="F3">
        <f>$B3*'Time Series Scaling Factors'!F54</f>
        <v>2300142476665718</v>
      </c>
      <c r="G3">
        <f>$B3*'Time Series Scaling Factors'!G54</f>
        <v>2251569731230478</v>
      </c>
      <c r="H3">
        <f>$B3*'Time Series Scaling Factors'!H54</f>
        <v>2203952671499115.5</v>
      </c>
      <c r="I3">
        <f>$B3*'Time Series Scaling Factors'!I54</f>
        <v>2191024736679047.5</v>
      </c>
      <c r="J3">
        <f>$B3*'Time Series Scaling Factors'!J54</f>
        <v>2208245833606311.5</v>
      </c>
      <c r="K3">
        <f>$B3*'Time Series Scaling Factors'!K54</f>
        <v>2202345275347950.3</v>
      </c>
      <c r="L3">
        <f>$B3*'Time Series Scaling Factors'!L54</f>
        <v>2188283489377983.5</v>
      </c>
      <c r="M3">
        <f>$B3*'Time Series Scaling Factors'!M54</f>
        <v>2251173547541299</v>
      </c>
      <c r="N3">
        <f>$B3*'Time Series Scaling Factors'!N54</f>
        <v>2228190986431953.5</v>
      </c>
      <c r="O3">
        <f>$B3*'Time Series Scaling Factors'!O54</f>
        <v>2281002194056751</v>
      </c>
      <c r="P3">
        <f>$B3*'Time Series Scaling Factors'!P54</f>
        <v>2263277076459821.5</v>
      </c>
      <c r="Q3">
        <f>$B3*'Time Series Scaling Factors'!Q54</f>
        <v>2322383463177370.5</v>
      </c>
      <c r="R3">
        <f>$B3*'Time Series Scaling Factors'!R54</f>
        <v>2356059076757570</v>
      </c>
      <c r="S3">
        <f>$B3*'Time Series Scaling Factors'!S54</f>
        <v>2328416864092852.5</v>
      </c>
      <c r="T3">
        <f>$B3*'Time Series Scaling Factors'!T54</f>
        <v>2340423496014416</v>
      </c>
      <c r="U3">
        <f>$B3*'Time Series Scaling Factors'!U54</f>
        <v>2356730322889729.5</v>
      </c>
      <c r="V3">
        <f>$B3*'Time Series Scaling Factors'!V54</f>
        <v>2376181613601838</v>
      </c>
      <c r="W3">
        <f>$B3*'Time Series Scaling Factors'!W54</f>
        <v>2432928089587000</v>
      </c>
      <c r="X3">
        <f>$B3*'Time Series Scaling Factors'!X54</f>
        <v>2448044802539987</v>
      </c>
      <c r="Y3">
        <f>$B3*'Time Series Scaling Factors'!Y54</f>
        <v>2482183802565321.5</v>
      </c>
      <c r="Z3">
        <f>$B3*'Time Series Scaling Factors'!Z54</f>
        <v>2497742803423782</v>
      </c>
      <c r="AA3">
        <f>$B3*'Time Series Scaling Factors'!AA54</f>
        <v>2522423406262093.5</v>
      </c>
      <c r="AB3">
        <f>$B3*'Time Series Scaling Factors'!AB54</f>
        <v>2496095554475480.5</v>
      </c>
    </row>
    <row r="4" spans="1:29" x14ac:dyDescent="0.25">
      <c r="A4" s="1" t="s">
        <v>106</v>
      </c>
      <c r="B4">
        <f>'First Year Data (2024)'!$D$28</f>
        <v>7818752000000000</v>
      </c>
      <c r="C4">
        <f>$B4*'Time Series Scaling Factors'!C55</f>
        <v>8591709000000001</v>
      </c>
      <c r="D4">
        <f>$B4*'Time Series Scaling Factors'!D55</f>
        <v>9108819000000002</v>
      </c>
      <c r="E4">
        <f>$B4*'Time Series Scaling Factors'!E55</f>
        <v>9009503000000000</v>
      </c>
      <c r="F4">
        <f>$B4*'Time Series Scaling Factors'!F55</f>
        <v>1.0029778E+16</v>
      </c>
      <c r="G4">
        <f>$B4*'Time Series Scaling Factors'!G55</f>
        <v>1.0658371000000002E+16</v>
      </c>
      <c r="H4">
        <f>$B4*'Time Series Scaling Factors'!H55</f>
        <v>1.1299662E+16</v>
      </c>
      <c r="I4">
        <f>$B4*'Time Series Scaling Factors'!I55</f>
        <v>1.1562331E+16</v>
      </c>
      <c r="J4">
        <f>$B4*'Time Series Scaling Factors'!J55</f>
        <v>1.183005E+16</v>
      </c>
      <c r="K4">
        <f>$B4*'Time Series Scaling Factors'!K55</f>
        <v>1.2097961E+16</v>
      </c>
      <c r="L4">
        <f>$B4*'Time Series Scaling Factors'!L55</f>
        <v>1.2369316E+16</v>
      </c>
      <c r="M4">
        <f>$B4*'Time Series Scaling Factors'!M55</f>
        <v>1.2509456E+16</v>
      </c>
      <c r="N4">
        <f>$B4*'Time Series Scaling Factors'!N55</f>
        <v>1.2687962000000002E+16</v>
      </c>
      <c r="O4">
        <f>$B4*'Time Series Scaling Factors'!O55</f>
        <v>1.2821247E+16</v>
      </c>
      <c r="P4">
        <f>$B4*'Time Series Scaling Factors'!P55</f>
        <v>1.2877399E+16</v>
      </c>
      <c r="Q4">
        <f>$B4*'Time Series Scaling Factors'!Q55</f>
        <v>1.2941127E+16</v>
      </c>
      <c r="R4">
        <f>$B4*'Time Series Scaling Factors'!R55</f>
        <v>1.3047361E+16</v>
      </c>
      <c r="S4">
        <f>$B4*'Time Series Scaling Factors'!S55</f>
        <v>1.3099333E+16</v>
      </c>
      <c r="T4">
        <f>$B4*'Time Series Scaling Factors'!T55</f>
        <v>1.3132851000000002E+16</v>
      </c>
      <c r="U4">
        <f>$B4*'Time Series Scaling Factors'!U55</f>
        <v>1.3117587000000002E+16</v>
      </c>
      <c r="V4">
        <f>$B4*'Time Series Scaling Factors'!V55</f>
        <v>1.3110284E+16</v>
      </c>
      <c r="W4">
        <f>$B4*'Time Series Scaling Factors'!W55</f>
        <v>1.3128943E+16</v>
      </c>
      <c r="X4">
        <f>$B4*'Time Series Scaling Factors'!X55</f>
        <v>1.3158234000000002E+16</v>
      </c>
      <c r="Y4">
        <f>$B4*'Time Series Scaling Factors'!Y55</f>
        <v>1.3197891E+16</v>
      </c>
      <c r="Z4">
        <f>$B4*'Time Series Scaling Factors'!Z55</f>
        <v>1.321223E+16</v>
      </c>
      <c r="AA4">
        <f>$B4*'Time Series Scaling Factors'!AA55</f>
        <v>1.3199548E+16</v>
      </c>
      <c r="AB4">
        <f>$B4*'Time Series Scaling Factors'!AB55</f>
        <v>1.3252179E+16</v>
      </c>
    </row>
    <row r="5" spans="1:29" x14ac:dyDescent="0.25">
      <c r="A5" s="1" t="s">
        <v>117</v>
      </c>
      <c r="B5">
        <f>'First Year Data (2024)'!$D$29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c r="AB5">
        <f>$B5*'Time Series Scaling Factors'!AB56</f>
        <v>0</v>
      </c>
    </row>
    <row r="6" spans="1:29" x14ac:dyDescent="0.25">
      <c r="A6" s="1" t="s">
        <v>118</v>
      </c>
      <c r="B6">
        <f>'First Year Data (2024)'!$D$30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c r="AB6">
        <f>$B6*'Time Series Scaling Factors'!AB57</f>
        <v>0</v>
      </c>
    </row>
    <row r="7" spans="1:29" x14ac:dyDescent="0.25">
      <c r="A7" s="1" t="s">
        <v>119</v>
      </c>
      <c r="B7">
        <f>'First Year Data (2024)'!$D$31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c r="AB7">
        <f>$B7*'Time Series Scaling Factors'!AB58</f>
        <v>0</v>
      </c>
    </row>
    <row r="8" spans="1:29" x14ac:dyDescent="0.25">
      <c r="A8" s="1" t="s">
        <v>120</v>
      </c>
      <c r="B8">
        <f>'First Year Data (2024)'!$D$32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c r="AB8">
        <f>$B8*'Time Series Scaling Factors'!AB59</f>
        <v>0</v>
      </c>
    </row>
    <row r="9" spans="1:29" x14ac:dyDescent="0.25">
      <c r="A9" s="1" t="s">
        <v>109</v>
      </c>
      <c r="B9">
        <f>'First Year Data (2024)'!$D$33</f>
        <v>158847922072000</v>
      </c>
      <c r="C9">
        <f>$B9*'Time Series Scaling Factors'!C60</f>
        <v>158847922072000</v>
      </c>
      <c r="D9">
        <f>$B9*'Time Series Scaling Factors'!D60</f>
        <v>158847922072000</v>
      </c>
      <c r="E9">
        <f>$B9*'Time Series Scaling Factors'!E60</f>
        <v>158847922072000</v>
      </c>
      <c r="F9">
        <f>$B9*'Time Series Scaling Factors'!F60</f>
        <v>158847922072000</v>
      </c>
      <c r="G9">
        <f>$B9*'Time Series Scaling Factors'!G60</f>
        <v>158847922072000</v>
      </c>
      <c r="H9">
        <f>$B9*'Time Series Scaling Factors'!H60</f>
        <v>158847922072000</v>
      </c>
      <c r="I9">
        <f>$B9*'Time Series Scaling Factors'!I60</f>
        <v>158847922072000</v>
      </c>
      <c r="J9">
        <f>$B9*'Time Series Scaling Factors'!J60</f>
        <v>158847922072000</v>
      </c>
      <c r="K9">
        <f>$B9*'Time Series Scaling Factors'!K60</f>
        <v>158847922072000</v>
      </c>
      <c r="L9">
        <f>$B9*'Time Series Scaling Factors'!L60</f>
        <v>158847922072000</v>
      </c>
      <c r="M9">
        <f>$B9*'Time Series Scaling Factors'!M60</f>
        <v>158847922072000</v>
      </c>
      <c r="N9">
        <f>$B9*'Time Series Scaling Factors'!N60</f>
        <v>158847922072000</v>
      </c>
      <c r="O9">
        <f>$B9*'Time Series Scaling Factors'!O60</f>
        <v>158847922072000</v>
      </c>
      <c r="P9">
        <f>$B9*'Time Series Scaling Factors'!P60</f>
        <v>158847922072000</v>
      </c>
      <c r="Q9">
        <f>$B9*'Time Series Scaling Factors'!Q60</f>
        <v>158847922072000</v>
      </c>
      <c r="R9">
        <f>$B9*'Time Series Scaling Factors'!R60</f>
        <v>158847922072000</v>
      </c>
      <c r="S9">
        <f>$B9*'Time Series Scaling Factors'!S60</f>
        <v>158847922072000</v>
      </c>
      <c r="T9">
        <f>$B9*'Time Series Scaling Factors'!T60</f>
        <v>158847922072000</v>
      </c>
      <c r="U9">
        <f>$B9*'Time Series Scaling Factors'!U60</f>
        <v>158847922072000</v>
      </c>
      <c r="V9">
        <f>$B9*'Time Series Scaling Factors'!V60</f>
        <v>158847922072000</v>
      </c>
      <c r="W9">
        <f>$B9*'Time Series Scaling Factors'!W60</f>
        <v>158847922072000</v>
      </c>
      <c r="X9">
        <f>$B9*'Time Series Scaling Factors'!X60</f>
        <v>158847922072000</v>
      </c>
      <c r="Y9">
        <f>$B9*'Time Series Scaling Factors'!Y60</f>
        <v>158847922072000</v>
      </c>
      <c r="Z9">
        <f>$B9*'Time Series Scaling Factors'!Z60</f>
        <v>158847922072000</v>
      </c>
      <c r="AA9">
        <f>$B9*'Time Series Scaling Factors'!AA60</f>
        <v>158847922072000</v>
      </c>
      <c r="AB9">
        <f>$B9*'Time Series Scaling Factors'!AB60</f>
        <v>158847922072000</v>
      </c>
    </row>
    <row r="10" spans="1:29" x14ac:dyDescent="0.25">
      <c r="A10" s="1" t="s">
        <v>110</v>
      </c>
      <c r="B10">
        <f>'First Year Data (2024)'!$D$34</f>
        <v>1472806135206000</v>
      </c>
      <c r="C10">
        <f>$B10*'Time Series Scaling Factors'!C61</f>
        <v>1450306414964192.8</v>
      </c>
      <c r="D10">
        <f>$B10*'Time Series Scaling Factors'!D61</f>
        <v>1536880966697498.3</v>
      </c>
      <c r="E10">
        <f>$B10*'Time Series Scaling Factors'!E61</f>
        <v>1533190353819912.3</v>
      </c>
      <c r="F10">
        <f>$B10*'Time Series Scaling Factors'!F61</f>
        <v>1553000787496108.8</v>
      </c>
      <c r="G10">
        <f>$B10*'Time Series Scaling Factors'!G61</f>
        <v>1577687099264315.5</v>
      </c>
      <c r="H10">
        <f>$B10*'Time Series Scaling Factors'!H61</f>
        <v>1588669321152741</v>
      </c>
      <c r="I10">
        <f>$B10*'Time Series Scaling Factors'!I61</f>
        <v>1592163019592899.5</v>
      </c>
      <c r="J10">
        <f>$B10*'Time Series Scaling Factors'!J61</f>
        <v>1631425990321147.3</v>
      </c>
      <c r="K10">
        <f>$B10*'Time Series Scaling Factors'!K61</f>
        <v>1635416109915473</v>
      </c>
      <c r="L10">
        <f>$B10*'Time Series Scaling Factors'!L61</f>
        <v>1671582419315089.5</v>
      </c>
      <c r="M10">
        <f>$B10*'Time Series Scaling Factors'!M61</f>
        <v>1681301380190921</v>
      </c>
      <c r="N10">
        <f>$B10*'Time Series Scaling Factors'!N61</f>
        <v>1679160060448652</v>
      </c>
      <c r="O10">
        <f>$B10*'Time Series Scaling Factors'!O61</f>
        <v>1660218203380415</v>
      </c>
      <c r="P10">
        <f>$B10*'Time Series Scaling Factors'!P61</f>
        <v>1669167044867001.3</v>
      </c>
      <c r="Q10">
        <f>$B10*'Time Series Scaling Factors'!Q61</f>
        <v>1672354249763892.8</v>
      </c>
      <c r="R10">
        <f>$B10*'Time Series Scaling Factors'!R61</f>
        <v>1663453317944921.3</v>
      </c>
      <c r="S10">
        <f>$B10*'Time Series Scaling Factors'!S61</f>
        <v>1660489049849563.5</v>
      </c>
      <c r="T10">
        <f>$B10*'Time Series Scaling Factors'!T61</f>
        <v>1658423587081017.8</v>
      </c>
      <c r="U10">
        <f>$B10*'Time Series Scaling Factors'!U61</f>
        <v>1664642646925794.8</v>
      </c>
      <c r="V10">
        <f>$B10*'Time Series Scaling Factors'!V61</f>
        <v>1669952349909821.3</v>
      </c>
      <c r="W10">
        <f>$B10*'Time Series Scaling Factors'!W61</f>
        <v>1671947231471613.3</v>
      </c>
      <c r="X10">
        <f>$B10*'Time Series Scaling Factors'!X61</f>
        <v>1640045025077993.5</v>
      </c>
      <c r="Y10">
        <f>$B10*'Time Series Scaling Factors'!Y61</f>
        <v>1640342392970286</v>
      </c>
      <c r="Z10">
        <f>$B10*'Time Series Scaling Factors'!Z61</f>
        <v>1637973003247810</v>
      </c>
      <c r="AA10">
        <f>$B10*'Time Series Scaling Factors'!AA61</f>
        <v>1644088971754237.8</v>
      </c>
      <c r="AB10">
        <f>$B10*'Time Series Scaling Factors'!AB61</f>
        <v>1636703111879430</v>
      </c>
    </row>
    <row r="11" spans="1:29" x14ac:dyDescent="0.25">
      <c r="A11" s="1" t="s">
        <v>121</v>
      </c>
      <c r="B11">
        <f>'First Year Data (2024)'!$D$35</f>
        <v>2753075575000000</v>
      </c>
      <c r="C11">
        <f>$B11*'Time Series Scaling Factors'!C62</f>
        <v>2711017473284264.5</v>
      </c>
      <c r="D11">
        <f>$B11*'Time Series Scaling Factors'!D62</f>
        <v>2872848876682242</v>
      </c>
      <c r="E11">
        <f>$B11*'Time Series Scaling Factors'!E62</f>
        <v>2865950116602972</v>
      </c>
      <c r="F11">
        <f>$B11*'Time Series Scaling Factors'!F62</f>
        <v>2902981209684660</v>
      </c>
      <c r="G11">
        <f>$B11*'Time Series Scaling Factors'!G62</f>
        <v>2949126646168993</v>
      </c>
      <c r="H11">
        <f>$B11*'Time Series Scaling Factors'!H62</f>
        <v>2969655408317329.5</v>
      </c>
      <c r="I11">
        <f>$B11*'Time Series Scaling Factors'!I62</f>
        <v>2976186081711537.5</v>
      </c>
      <c r="J11">
        <f>$B11*'Time Series Scaling Factors'!J62</f>
        <v>3049579261662380</v>
      </c>
      <c r="K11">
        <f>$B11*'Time Series Scaling Factors'!K62</f>
        <v>3057037881323094</v>
      </c>
      <c r="L11">
        <f>$B11*'Time Series Scaling Factors'!L62</f>
        <v>3124642558317497</v>
      </c>
      <c r="M11">
        <f>$B11*'Time Series Scaling Factors'!M62</f>
        <v>3142809941764667</v>
      </c>
      <c r="N11">
        <f>$B11*'Time Series Scaling Factors'!N62</f>
        <v>3138807232283910</v>
      </c>
      <c r="O11">
        <f>$B11*'Time Series Scaling Factors'!O62</f>
        <v>3103399745315226.5</v>
      </c>
      <c r="P11">
        <f>$B11*'Time Series Scaling Factors'!P62</f>
        <v>3120127565991924.5</v>
      </c>
      <c r="Q11">
        <f>$B11*'Time Series Scaling Factors'!Q62</f>
        <v>3126085319524045</v>
      </c>
      <c r="R11">
        <f>$B11*'Time Series Scaling Factors'!R62</f>
        <v>3109447055057470.5</v>
      </c>
      <c r="S11">
        <f>$B11*'Time Series Scaling Factors'!S62</f>
        <v>3103906031092399</v>
      </c>
      <c r="T11">
        <f>$B11*'Time Series Scaling Factors'!T62</f>
        <v>3100045118944338.5</v>
      </c>
      <c r="U11">
        <f>$B11*'Time Series Scaling Factors'!U62</f>
        <v>3111670234666527</v>
      </c>
      <c r="V11">
        <f>$B11*'Time Series Scaling Factors'!V62</f>
        <v>3121595514882570.5</v>
      </c>
      <c r="W11">
        <f>$B11*'Time Series Scaling Factors'!W62</f>
        <v>3125324491542502</v>
      </c>
      <c r="X11">
        <f>$B11*'Time Series Scaling Factors'!X62</f>
        <v>3065690583785458</v>
      </c>
      <c r="Y11">
        <f>$B11*'Time Series Scaling Factors'!Y62</f>
        <v>3066246445321807</v>
      </c>
      <c r="Z11">
        <f>$B11*'Time Series Scaling Factors'!Z62</f>
        <v>3061817410965773.5</v>
      </c>
      <c r="AA11">
        <f>$B11*'Time Series Scaling Factors'!AA62</f>
        <v>3073249820914391.5</v>
      </c>
      <c r="AB11">
        <f>$B11*'Time Series Scaling Factors'!AB62</f>
        <v>3059443638324813</v>
      </c>
    </row>
    <row r="12" spans="1:29" x14ac:dyDescent="0.25">
      <c r="A12" s="1" t="s">
        <v>122</v>
      </c>
      <c r="B12">
        <f>'First Year Data (2024)'!$D$36</f>
        <v>184633752099000</v>
      </c>
      <c r="C12">
        <f>$B12*'Time Series Scaling Factors'!C63</f>
        <v>181813144776610.16</v>
      </c>
      <c r="D12">
        <f>$B12*'Time Series Scaling Factors'!D63</f>
        <v>192666293701450.47</v>
      </c>
      <c r="E12">
        <f>$B12*'Time Series Scaling Factors'!E63</f>
        <v>192203631517443.28</v>
      </c>
      <c r="F12">
        <f>$B12*'Time Series Scaling Factors'!F63</f>
        <v>194687104808945.41</v>
      </c>
      <c r="G12">
        <f>$B12*'Time Series Scaling Factors'!G63</f>
        <v>197781827364953.88</v>
      </c>
      <c r="H12">
        <f>$B12*'Time Series Scaling Factors'!H63</f>
        <v>199158579393054.44</v>
      </c>
      <c r="I12">
        <f>$B12*'Time Series Scaling Factors'!I63</f>
        <v>199596556012169.09</v>
      </c>
      <c r="J12">
        <f>$B12*'Time Series Scaling Factors'!J63</f>
        <v>204518636000039.09</v>
      </c>
      <c r="K12">
        <f>$B12*'Time Series Scaling Factors'!K63</f>
        <v>205018844910372.75</v>
      </c>
      <c r="L12">
        <f>$B12*'Time Series Scaling Factors'!L63</f>
        <v>209552721599507.09</v>
      </c>
      <c r="M12">
        <f>$B12*'Time Series Scaling Factors'!M63</f>
        <v>210771108846893.97</v>
      </c>
      <c r="N12">
        <f>$B12*'Time Series Scaling Factors'!N63</f>
        <v>210502668969432.78</v>
      </c>
      <c r="O12">
        <f>$B12*'Time Series Scaling Factors'!O63</f>
        <v>208128082078034.22</v>
      </c>
      <c r="P12">
        <f>$B12*'Time Series Scaling Factors'!P63</f>
        <v>209249925707763.84</v>
      </c>
      <c r="Q12">
        <f>$B12*'Time Series Scaling Factors'!Q63</f>
        <v>209649479718814.38</v>
      </c>
      <c r="R12">
        <f>$B12*'Time Series Scaling Factors'!R63</f>
        <v>208533642135285.97</v>
      </c>
      <c r="S12">
        <f>$B12*'Time Series Scaling Factors'!S63</f>
        <v>208162035901722.38</v>
      </c>
      <c r="T12">
        <f>$B12*'Time Series Scaling Factors'!T63</f>
        <v>207903105597413.16</v>
      </c>
      <c r="U12">
        <f>$B12*'Time Series Scaling Factors'!U63</f>
        <v>208682738657204</v>
      </c>
      <c r="V12">
        <f>$B12*'Time Series Scaling Factors'!V63</f>
        <v>209348373027565.28</v>
      </c>
      <c r="W12">
        <f>$B12*'Time Series Scaling Factors'!W63</f>
        <v>209598455138810.19</v>
      </c>
      <c r="X12">
        <f>$B12*'Time Series Scaling Factors'!X63</f>
        <v>205599134436722.78</v>
      </c>
      <c r="Y12">
        <f>$B12*'Time Series Scaling Factors'!Y63</f>
        <v>205636413035986.66</v>
      </c>
      <c r="Z12">
        <f>$B12*'Time Series Scaling Factors'!Z63</f>
        <v>205339381876088.38</v>
      </c>
      <c r="AA12">
        <f>$B12*'Time Series Scaling Factors'!AA63</f>
        <v>206106091211464.09</v>
      </c>
      <c r="AB12">
        <f>$B12*'Time Series Scaling Factors'!AB63</f>
        <v>205180185901480.78</v>
      </c>
    </row>
    <row r="13" spans="1:29" x14ac:dyDescent="0.25">
      <c r="A13" s="1" t="s">
        <v>123</v>
      </c>
      <c r="B13">
        <f>'First Year Data (2024)'!$D$37</f>
        <v>23059777000000</v>
      </c>
      <c r="C13">
        <f>$B13*'Time Series Scaling Factors'!C64</f>
        <v>22707498095848.168</v>
      </c>
      <c r="D13">
        <f>$B13*'Time Series Scaling Factors'!D64</f>
        <v>24062998870270.023</v>
      </c>
      <c r="E13">
        <f>$B13*'Time Series Scaling Factors'!E64</f>
        <v>24005214815793.254</v>
      </c>
      <c r="F13">
        <f>$B13*'Time Series Scaling Factors'!F64</f>
        <v>24315387466440.508</v>
      </c>
      <c r="G13">
        <f>$B13*'Time Series Scaling Factors'!G64</f>
        <v>24701901910344.355</v>
      </c>
      <c r="H13">
        <f>$B13*'Time Series Scaling Factors'!H64</f>
        <v>24873850941284.664</v>
      </c>
      <c r="I13">
        <f>$B13*'Time Series Scaling Factors'!I64</f>
        <v>24928551899550.316</v>
      </c>
      <c r="J13">
        <f>$B13*'Time Series Scaling Factors'!J64</f>
        <v>25543293600924.535</v>
      </c>
      <c r="K13">
        <f>$B13*'Time Series Scaling Factors'!K64</f>
        <v>25605767042505.91</v>
      </c>
      <c r="L13">
        <f>$B13*'Time Series Scaling Factors'!L64</f>
        <v>26172024209510.113</v>
      </c>
      <c r="M13">
        <f>$B13*'Time Series Scaling Factors'!M64</f>
        <v>26324194318739.766</v>
      </c>
      <c r="N13">
        <f>$B13*'Time Series Scaling Factors'!N64</f>
        <v>26290667600890.023</v>
      </c>
      <c r="O13">
        <f>$B13*'Time Series Scaling Factors'!O64</f>
        <v>25994094284471.617</v>
      </c>
      <c r="P13">
        <f>$B13*'Time Series Scaling Factors'!P64</f>
        <v>26134206607577.984</v>
      </c>
      <c r="Q13">
        <f>$B13*'Time Series Scaling Factors'!Q64</f>
        <v>26184108785752.539</v>
      </c>
      <c r="R13">
        <f>$B13*'Time Series Scaling Factors'!R64</f>
        <v>26044746585982.113</v>
      </c>
      <c r="S13">
        <f>$B13*'Time Series Scaling Factors'!S64</f>
        <v>25998334937080.609</v>
      </c>
      <c r="T13">
        <f>$B13*'Time Series Scaling Factors'!T64</f>
        <v>25965995914512.777</v>
      </c>
      <c r="U13">
        <f>$B13*'Time Series Scaling Factors'!U64</f>
        <v>26063367951294.898</v>
      </c>
      <c r="V13">
        <f>$B13*'Time Series Scaling Factors'!V64</f>
        <v>26146502156008.648</v>
      </c>
      <c r="W13">
        <f>$B13*'Time Series Scaling Factors'!W64</f>
        <v>26177736086161.922</v>
      </c>
      <c r="X13">
        <f>$B13*'Time Series Scaling Factors'!X64</f>
        <v>25678242128566.512</v>
      </c>
      <c r="Y13">
        <f>$B13*'Time Series Scaling Factors'!Y64</f>
        <v>25682898028022.191</v>
      </c>
      <c r="Z13">
        <f>$B13*'Time Series Scaling Factors'!Z64</f>
        <v>25645800410541.977</v>
      </c>
      <c r="AA13">
        <f>$B13*'Time Series Scaling Factors'!AA64</f>
        <v>25741558342645.863</v>
      </c>
      <c r="AB13">
        <f>$B13*'Time Series Scaling Factors'!AB64</f>
        <v>25625917677119.648</v>
      </c>
    </row>
    <row r="14" spans="1:29" x14ac:dyDescent="0.25">
      <c r="A14" s="1" t="s">
        <v>112</v>
      </c>
      <c r="B14">
        <f>'First Year Data (2024)'!$D$38</f>
        <v>447136200000000</v>
      </c>
      <c r="C14">
        <f>$B14*'Time Series Scaling Factors'!C65</f>
        <v>440305403217246.44</v>
      </c>
      <c r="D14">
        <f>$B14*'Time Series Scaling Factors'!D65</f>
        <v>466588981994788.25</v>
      </c>
      <c r="E14">
        <f>$B14*'Time Series Scaling Factors'!E65</f>
        <v>465468531326972.31</v>
      </c>
      <c r="F14">
        <f>$B14*'Time Series Scaling Factors'!F65</f>
        <v>471482874846180.69</v>
      </c>
      <c r="G14">
        <f>$B14*'Time Series Scaling Factors'!G65</f>
        <v>478977509321279</v>
      </c>
      <c r="H14">
        <f>$B14*'Time Series Scaling Factors'!H65</f>
        <v>482311654152269</v>
      </c>
      <c r="I14">
        <f>$B14*'Time Series Scaling Factors'!I65</f>
        <v>483372322632075.31</v>
      </c>
      <c r="J14">
        <f>$B14*'Time Series Scaling Factors'!J65</f>
        <v>495292354136890.13</v>
      </c>
      <c r="K14">
        <f>$B14*'Time Series Scaling Factors'!K65</f>
        <v>496503733469379.63</v>
      </c>
      <c r="L14">
        <f>$B14*'Time Series Scaling Factors'!L65</f>
        <v>507483634874194.81</v>
      </c>
      <c r="M14">
        <f>$B14*'Time Series Scaling Factors'!M65</f>
        <v>510434260302815.94</v>
      </c>
      <c r="N14">
        <f>$B14*'Time Series Scaling Factors'!N65</f>
        <v>509784166886136.06</v>
      </c>
      <c r="O14">
        <f>$B14*'Time Series Scaling Factors'!O65</f>
        <v>504033518658934.06</v>
      </c>
      <c r="P14">
        <f>$B14*'Time Series Scaling Factors'!P65</f>
        <v>506750339889553.63</v>
      </c>
      <c r="Q14">
        <f>$B14*'Time Series Scaling Factors'!Q65</f>
        <v>507717958540882.88</v>
      </c>
      <c r="R14">
        <f>$B14*'Time Series Scaling Factors'!R65</f>
        <v>505015682433486.5</v>
      </c>
      <c r="S14">
        <f>$B14*'Time Series Scaling Factors'!S65</f>
        <v>504115746223108</v>
      </c>
      <c r="T14">
        <f>$B14*'Time Series Scaling Factors'!T65</f>
        <v>503488682584864.94</v>
      </c>
      <c r="U14">
        <f>$B14*'Time Series Scaling Factors'!U65</f>
        <v>505376756459691.13</v>
      </c>
      <c r="V14">
        <f>$B14*'Time Series Scaling Factors'!V65</f>
        <v>506988754372148.31</v>
      </c>
      <c r="W14">
        <f>$B14*'Time Series Scaling Factors'!W65</f>
        <v>507594389927071.5</v>
      </c>
      <c r="X14">
        <f>$B14*'Time Series Scaling Factors'!X65</f>
        <v>497909047778178.5</v>
      </c>
      <c r="Y14">
        <f>$B14*'Time Series Scaling Factors'!Y65</f>
        <v>497999327106993.94</v>
      </c>
      <c r="Z14">
        <f>$B14*'Time Series Scaling Factors'!Z65</f>
        <v>497279992843303.69</v>
      </c>
      <c r="AA14">
        <f>$B14*'Time Series Scaling Factors'!AA65</f>
        <v>499136768729765.63</v>
      </c>
      <c r="AB14">
        <f>$B14*'Time Series Scaling Factors'!AB65</f>
        <v>496894460499774.38</v>
      </c>
    </row>
    <row r="15" spans="1:29" x14ac:dyDescent="0.25">
      <c r="A15" s="1" t="s">
        <v>124</v>
      </c>
      <c r="B15">
        <f>'First Year Data (2024)'!$D$39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c r="AB15">
        <f>$B15*'Time Series Scaling Factors'!AB66</f>
        <v>0</v>
      </c>
    </row>
    <row r="16" spans="1:29" x14ac:dyDescent="0.25">
      <c r="A16" s="1" t="s">
        <v>125</v>
      </c>
      <c r="B16">
        <f>'First Year Data (2024)'!$D$40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c r="AB16">
        <f>$B16*'Time Series Scaling Factors'!AB67</f>
        <v>0</v>
      </c>
    </row>
    <row r="17" spans="1:28" x14ac:dyDescent="0.25">
      <c r="A17" s="1" t="s">
        <v>126</v>
      </c>
      <c r="B17">
        <f>'First Year Data (2024)'!$D$41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c r="AB17">
        <f>$B17*'Time Series Scaling Factors'!AB68</f>
        <v>0</v>
      </c>
    </row>
    <row r="18" spans="1:28" x14ac:dyDescent="0.25">
      <c r="A18" s="1" t="s">
        <v>113</v>
      </c>
      <c r="B18">
        <f>'First Year Data (2024)'!$D$42</f>
        <v>8531505412304000</v>
      </c>
      <c r="C18">
        <f>$B18*'Time Series Scaling Factors'!C69</f>
        <v>8401171568337865</v>
      </c>
      <c r="D18">
        <f>$B18*'Time Series Scaling Factors'!D69</f>
        <v>8902670875697269</v>
      </c>
      <c r="E18">
        <f>$B18*'Time Series Scaling Factors'!E69</f>
        <v>8881292309308122</v>
      </c>
      <c r="F18">
        <f>$B18*'Time Series Scaling Factors'!F69</f>
        <v>8996047957107566</v>
      </c>
      <c r="G18">
        <f>$B18*'Time Series Scaling Factors'!G69</f>
        <v>9139048042064994</v>
      </c>
      <c r="H18">
        <f>$B18*'Time Series Scaling Factors'!H69</f>
        <v>9202664619454606</v>
      </c>
      <c r="I18">
        <f>$B18*'Time Series Scaling Factors'!I69</f>
        <v>9222902522080534</v>
      </c>
      <c r="J18">
        <f>$B18*'Time Series Scaling Factors'!J69</f>
        <v>9450340634445762</v>
      </c>
      <c r="K18">
        <f>$B18*'Time Series Scaling Factors'!K69</f>
        <v>9473454149592798</v>
      </c>
      <c r="L18">
        <f>$B18*'Time Series Scaling Factors'!L69</f>
        <v>9682954271170396</v>
      </c>
      <c r="M18">
        <f>$B18*'Time Series Scaling Factors'!M69</f>
        <v>9739253172520728</v>
      </c>
      <c r="N18">
        <f>$B18*'Time Series Scaling Factors'!N69</f>
        <v>9726849176818954</v>
      </c>
      <c r="O18">
        <f>$B18*'Time Series Scaling Factors'!O69</f>
        <v>9617124921715856</v>
      </c>
      <c r="P18">
        <f>$B18*'Time Series Scaling Factors'!P69</f>
        <v>9668962762251454</v>
      </c>
      <c r="Q18">
        <f>$B18*'Time Series Scaling Factors'!Q69</f>
        <v>9687425243618120</v>
      </c>
      <c r="R18">
        <f>$B18*'Time Series Scaling Factors'!R69</f>
        <v>9635864928806230</v>
      </c>
      <c r="S18">
        <f>$B18*'Time Series Scaling Factors'!S69</f>
        <v>9618693850621166</v>
      </c>
      <c r="T18">
        <f>$B18*'Time Series Scaling Factors'!T69</f>
        <v>9606729270648598</v>
      </c>
      <c r="U18">
        <f>$B18*'Time Series Scaling Factors'!U69</f>
        <v>9642754339703418</v>
      </c>
      <c r="V18">
        <f>$B18*'Time Series Scaling Factors'!V69</f>
        <v>9673511788808972</v>
      </c>
      <c r="W18">
        <f>$B18*'Time Series Scaling Factors'!W69</f>
        <v>9685067513920720</v>
      </c>
      <c r="X18">
        <f>$B18*'Time Series Scaling Factors'!X69</f>
        <v>9500268007722616</v>
      </c>
      <c r="Y18">
        <f>$B18*'Time Series Scaling Factors'!Y69</f>
        <v>9501990566939266</v>
      </c>
      <c r="Z18">
        <f>$B18*'Time Series Scaling Factors'!Z69</f>
        <v>9488265433156922</v>
      </c>
      <c r="AA18">
        <f>$B18*'Time Series Scaling Factors'!AA69</f>
        <v>9523693326324116</v>
      </c>
      <c r="AB18">
        <f>$B18*'Time Series Scaling Factors'!AB69</f>
        <v>9480909349539808</v>
      </c>
    </row>
    <row r="19" spans="1:28" x14ac:dyDescent="0.25">
      <c r="A19" s="1" t="s">
        <v>127</v>
      </c>
      <c r="B19">
        <f>'First Year Data (2024)'!$D$43</f>
        <v>314368861000000</v>
      </c>
      <c r="C19">
        <f>$B19*'Time Series Scaling Factors'!C70</f>
        <v>309566320287982.75</v>
      </c>
      <c r="D19">
        <f>$B19*'Time Series Scaling Factors'!D70</f>
        <v>328045563801032.19</v>
      </c>
      <c r="E19">
        <f>$B19*'Time Series Scaling Factors'!E70</f>
        <v>327257806513100.69</v>
      </c>
      <c r="F19">
        <f>$B19*'Time Series Scaling Factors'!F70</f>
        <v>331486321944855.69</v>
      </c>
      <c r="G19">
        <f>$B19*'Time Series Scaling Factors'!G70</f>
        <v>336755588230045.75</v>
      </c>
      <c r="H19">
        <f>$B19*'Time Series Scaling Factors'!H70</f>
        <v>339099731497639.25</v>
      </c>
      <c r="I19">
        <f>$B19*'Time Series Scaling Factors'!I70</f>
        <v>339845457613966.5</v>
      </c>
      <c r="J19">
        <f>$B19*'Time Series Scaling Factors'!J70</f>
        <v>348226095833937.81</v>
      </c>
      <c r="K19">
        <f>$B19*'Time Series Scaling Factors'!K70</f>
        <v>349077782503444.06</v>
      </c>
      <c r="L19">
        <f>$B19*'Time Series Scaling Factors'!L70</f>
        <v>356797441744910.19</v>
      </c>
      <c r="M19">
        <f>$B19*'Time Series Scaling Factors'!M70</f>
        <v>358871943329065.63</v>
      </c>
      <c r="N19">
        <f>$B19*'Time Series Scaling Factors'!N70</f>
        <v>358414880968770.81</v>
      </c>
      <c r="O19">
        <f>$B19*'Time Series Scaling Factors'!O70</f>
        <v>354371762265348.56</v>
      </c>
      <c r="P19">
        <f>$B19*'Time Series Scaling Factors'!P70</f>
        <v>356281882706973.5</v>
      </c>
      <c r="Q19">
        <f>$B19*'Time Series Scaling Factors'!Q70</f>
        <v>356962188111234.5</v>
      </c>
      <c r="R19">
        <f>$B19*'Time Series Scaling Factors'!R70</f>
        <v>355062293935836.25</v>
      </c>
      <c r="S19">
        <f>$B19*'Time Series Scaling Factors'!S70</f>
        <v>354429574148377</v>
      </c>
      <c r="T19">
        <f>$B19*'Time Series Scaling Factors'!T70</f>
        <v>353988703376274.44</v>
      </c>
      <c r="U19">
        <f>$B19*'Time Series Scaling Factors'!U70</f>
        <v>355316154907850.19</v>
      </c>
      <c r="V19">
        <f>$B19*'Time Series Scaling Factors'!V70</f>
        <v>356449505210674.13</v>
      </c>
      <c r="W19">
        <f>$B19*'Time Series Scaling Factors'!W70</f>
        <v>356875310501282</v>
      </c>
      <c r="X19">
        <f>$B19*'Time Series Scaling Factors'!X70</f>
        <v>350065819389305.88</v>
      </c>
      <c r="Y19">
        <f>$B19*'Time Series Scaling Factors'!Y70</f>
        <v>350129292241138.44</v>
      </c>
      <c r="Z19">
        <f>$B19*'Time Series Scaling Factors'!Z70</f>
        <v>349623548592660.44</v>
      </c>
      <c r="AA19">
        <f>$B19*'Time Series Scaling Factors'!AA70</f>
        <v>350928995390659.13</v>
      </c>
      <c r="AB19">
        <f>$B19*'Time Series Scaling Factors'!AB70</f>
        <v>349352491667021.31</v>
      </c>
    </row>
    <row r="20" spans="1:28" x14ac:dyDescent="0.25">
      <c r="A20" s="1" t="s">
        <v>114</v>
      </c>
      <c r="B20">
        <f>'First Year Data (2024)'!$D$44</f>
        <v>3855632665500000</v>
      </c>
      <c r="C20">
        <f>$B20*'Time Series Scaling Factors'!C71</f>
        <v>3796731052955596.5</v>
      </c>
      <c r="D20">
        <f>$B20*'Time Series Scaling Factors'!D71</f>
        <v>4023373013282075.5</v>
      </c>
      <c r="E20">
        <f>$B20*'Time Series Scaling Factors'!E71</f>
        <v>4013711424274269.5</v>
      </c>
      <c r="F20">
        <f>$B20*'Time Series Scaling Factors'!F71</f>
        <v>4065572801935478.5</v>
      </c>
      <c r="G20">
        <f>$B20*'Time Series Scaling Factors'!G71</f>
        <v>4130198653070259.5</v>
      </c>
      <c r="H20">
        <f>$B20*'Time Series Scaling Factors'!H71</f>
        <v>4158948814032116.5</v>
      </c>
      <c r="I20">
        <f>$B20*'Time Series Scaling Factors'!I71</f>
        <v>4168094904279355</v>
      </c>
      <c r="J20">
        <f>$B20*'Time Series Scaling Factors'!J71</f>
        <v>4270880728472862.5</v>
      </c>
      <c r="K20">
        <f>$B20*'Time Series Scaling Factors'!K71</f>
        <v>4281326390722213.5</v>
      </c>
      <c r="L20">
        <f>$B20*'Time Series Scaling Factors'!L71</f>
        <v>4376005520974639.5</v>
      </c>
      <c r="M20">
        <f>$B20*'Time Series Scaling Factors'!M71</f>
        <v>4401448613674909</v>
      </c>
      <c r="N20">
        <f>$B20*'Time Series Scaling Factors'!N71</f>
        <v>4395842891273150</v>
      </c>
      <c r="O20">
        <f>$B20*'Time Series Scaling Factors'!O71</f>
        <v>4346255344676387</v>
      </c>
      <c r="P20">
        <f>$B20*'Time Series Scaling Factors'!P71</f>
        <v>4369682355692495</v>
      </c>
      <c r="Q20">
        <f>$B20*'Time Series Scaling Factors'!Q71</f>
        <v>4378026082010812</v>
      </c>
      <c r="R20">
        <f>$B20*'Time Series Scaling Factors'!R71</f>
        <v>4354724492851004</v>
      </c>
      <c r="S20">
        <f>$B20*'Time Series Scaling Factors'!S71</f>
        <v>4346964388771751</v>
      </c>
      <c r="T20">
        <f>$B20*'Time Series Scaling Factors'!T71</f>
        <v>4341557250975801.5</v>
      </c>
      <c r="U20">
        <f>$B20*'Time Series Scaling Factors'!U71</f>
        <v>4357838015777794.5</v>
      </c>
      <c r="V20">
        <f>$B20*'Time Series Scaling Factors'!V71</f>
        <v>4371738191625753</v>
      </c>
      <c r="W20">
        <f>$B20*'Time Series Scaling Factors'!W71</f>
        <v>4376960556151260</v>
      </c>
      <c r="X20">
        <f>$B20*'Time Series Scaling Factors'!X71</f>
        <v>4293444344388902.5</v>
      </c>
      <c r="Y20">
        <f>$B20*'Time Series Scaling Factors'!Y71</f>
        <v>4294222818440434</v>
      </c>
      <c r="Z20">
        <f>$B20*'Time Series Scaling Factors'!Z71</f>
        <v>4288020035743578.5</v>
      </c>
      <c r="AA20">
        <f>$B20*'Time Series Scaling Factors'!AA71</f>
        <v>4304030919586925.5</v>
      </c>
      <c r="AB20">
        <f>$B20*'Time Series Scaling Factors'!AB71</f>
        <v>4284695609992950</v>
      </c>
    </row>
    <row r="21" spans="1:28" x14ac:dyDescent="0.25">
      <c r="A21" s="1" t="s">
        <v>128</v>
      </c>
      <c r="B21">
        <f>'First Year Data (2024)'!$D$45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c r="AB21">
        <f>$B21*'Time Series Scaling Factors'!AB72</f>
        <v>0</v>
      </c>
    </row>
    <row r="22" spans="1:28" x14ac:dyDescent="0.25">
      <c r="A22" s="1" t="s">
        <v>129</v>
      </c>
      <c r="B22">
        <f>'First Year Data (2024)'!$D$46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c r="AB22">
        <f>$B22*'Time Series Scaling Factors'!AB73</f>
        <v>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75BE1-FDAA-401B-918B-820E03BB1DBC}">
  <sheetPr>
    <tabColor theme="3"/>
  </sheetPr>
  <dimension ref="A1:B22"/>
  <sheetViews>
    <sheetView workbookViewId="0">
      <selection activeCell="I28" sqref="I28"/>
    </sheetView>
  </sheetViews>
  <sheetFormatPr defaultRowHeight="15" x14ac:dyDescent="0.25"/>
  <cols>
    <col min="1" max="1" width="36.28515625" customWidth="1"/>
    <col min="2" max="33" width="13" customWidth="1"/>
  </cols>
  <sheetData>
    <row r="1" spans="1:2" x14ac:dyDescent="0.25">
      <c r="A1" s="24" t="s">
        <v>454</v>
      </c>
      <c r="B1" s="18">
        <v>2023</v>
      </c>
    </row>
    <row r="2" spans="1:2" x14ac:dyDescent="0.25">
      <c r="A2" s="24" t="s">
        <v>115</v>
      </c>
      <c r="B2">
        <f>'First Year Data (2024)'!B26</f>
        <v>0</v>
      </c>
    </row>
    <row r="3" spans="1:2" x14ac:dyDescent="0.25">
      <c r="A3" s="1" t="s">
        <v>116</v>
      </c>
      <c r="B3">
        <f>'Start Year Data (2023)'!B27</f>
        <v>1.0558119219182282E+16</v>
      </c>
    </row>
    <row r="4" spans="1:2" x14ac:dyDescent="0.25">
      <c r="A4" s="1" t="s">
        <v>106</v>
      </c>
      <c r="B4">
        <f>'Start Year Data (2023)'!B28</f>
        <v>3.7835823E+16</v>
      </c>
    </row>
    <row r="5" spans="1:2" x14ac:dyDescent="0.25">
      <c r="A5" s="1" t="s">
        <v>117</v>
      </c>
      <c r="B5">
        <f>'Start Year Data (2023)'!B29</f>
        <v>9000000000000</v>
      </c>
    </row>
    <row r="6" spans="1:2" x14ac:dyDescent="0.25">
      <c r="A6" s="1" t="s">
        <v>118</v>
      </c>
      <c r="B6">
        <f>'Start Year Data (2023)'!B30</f>
        <v>0</v>
      </c>
    </row>
    <row r="7" spans="1:2" x14ac:dyDescent="0.25">
      <c r="A7" s="1" t="s">
        <v>119</v>
      </c>
      <c r="B7">
        <f>'Start Year Data (2023)'!B31</f>
        <v>0</v>
      </c>
    </row>
    <row r="8" spans="1:2" x14ac:dyDescent="0.25">
      <c r="A8" s="1" t="s">
        <v>120</v>
      </c>
      <c r="B8">
        <f>'Start Year Data (2023)'!B32</f>
        <v>0</v>
      </c>
    </row>
    <row r="9" spans="1:2" x14ac:dyDescent="0.25">
      <c r="A9" s="1" t="s">
        <v>109</v>
      </c>
      <c r="B9">
        <f>'Start Year Data (2023)'!B33</f>
        <v>228991498757000</v>
      </c>
    </row>
    <row r="10" spans="1:2" x14ac:dyDescent="0.25">
      <c r="A10" s="1" t="s">
        <v>110</v>
      </c>
      <c r="B10">
        <f>'Start Year Data (2023)'!B34</f>
        <v>1.7798415522195E+16</v>
      </c>
    </row>
    <row r="11" spans="1:2" x14ac:dyDescent="0.25">
      <c r="A11" s="1" t="s">
        <v>121</v>
      </c>
      <c r="B11">
        <f>'Start Year Data (2023)'!B35</f>
        <v>1.0406601325E+16</v>
      </c>
    </row>
    <row r="12" spans="1:2" x14ac:dyDescent="0.25">
      <c r="A12" s="1" t="s">
        <v>122</v>
      </c>
      <c r="B12">
        <f>'Start Year Data (2023)'!B36</f>
        <v>1481755463241000</v>
      </c>
    </row>
    <row r="13" spans="1:2" x14ac:dyDescent="0.25">
      <c r="A13" s="1" t="s">
        <v>123</v>
      </c>
      <c r="B13">
        <f>'Start Year Data (2023)'!B37</f>
        <v>586028086000000</v>
      </c>
    </row>
    <row r="14" spans="1:2" x14ac:dyDescent="0.25">
      <c r="A14" s="1" t="s">
        <v>112</v>
      </c>
      <c r="B14">
        <f>'Start Year Data (2023)'!B38</f>
        <v>3571051050000000</v>
      </c>
    </row>
    <row r="15" spans="1:2" x14ac:dyDescent="0.25">
      <c r="A15" s="1" t="s">
        <v>148</v>
      </c>
      <c r="B15">
        <f>'Start Year Data (2023)'!B39</f>
        <v>0</v>
      </c>
    </row>
    <row r="16" spans="1:2" x14ac:dyDescent="0.25">
      <c r="A16" s="1" t="s">
        <v>125</v>
      </c>
      <c r="B16">
        <f>'Start Year Data (2023)'!B40</f>
        <v>0</v>
      </c>
    </row>
    <row r="17" spans="1:2" x14ac:dyDescent="0.25">
      <c r="A17" s="1" t="s">
        <v>126</v>
      </c>
      <c r="B17">
        <f>'Start Year Data (2023)'!B41</f>
        <v>531066930191138.31</v>
      </c>
    </row>
    <row r="18" spans="1:2" x14ac:dyDescent="0.25">
      <c r="A18" s="1" t="s">
        <v>113</v>
      </c>
      <c r="B18" s="272">
        <f>'Start Year Data (2023)'!B42</f>
        <v>2.6904610667165E+16</v>
      </c>
    </row>
    <row r="19" spans="1:2" x14ac:dyDescent="0.25">
      <c r="A19" s="1" t="s">
        <v>127</v>
      </c>
      <c r="B19">
        <f>'Start Year Data (2023)'!B43</f>
        <v>621954049000000</v>
      </c>
    </row>
    <row r="20" spans="1:2" x14ac:dyDescent="0.25">
      <c r="A20" s="1" t="s">
        <v>114</v>
      </c>
      <c r="B20">
        <f>'Start Year Data (2023)'!B44</f>
        <v>7400207887380000</v>
      </c>
    </row>
    <row r="21" spans="1:2" x14ac:dyDescent="0.25">
      <c r="A21" s="1" t="s">
        <v>128</v>
      </c>
      <c r="B21">
        <f>'Start Year Data (2023)'!B45</f>
        <v>3966365818605251.5</v>
      </c>
    </row>
    <row r="22" spans="1:2" x14ac:dyDescent="0.25">
      <c r="A22" s="1" t="s">
        <v>129</v>
      </c>
      <c r="B22">
        <f>'Start Year Data (2023)'!B46</f>
        <v>772086274509804</v>
      </c>
    </row>
  </sheetData>
  <conditionalFormatting sqref="C3:C22">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17387-3076-447A-A6C6-9CAB103EE3D5}">
  <sheetPr>
    <tabColor theme="3"/>
  </sheetPr>
  <dimension ref="A1:B22"/>
  <sheetViews>
    <sheetView tabSelected="1" workbookViewId="0">
      <selection activeCell="D26" sqref="D26"/>
    </sheetView>
  </sheetViews>
  <sheetFormatPr defaultRowHeight="15" x14ac:dyDescent="0.25"/>
  <cols>
    <col min="1" max="1" width="36.28515625" customWidth="1"/>
    <col min="2" max="33" width="13" customWidth="1"/>
  </cols>
  <sheetData>
    <row r="1" spans="1:2" x14ac:dyDescent="0.25">
      <c r="A1" s="24" t="s">
        <v>454</v>
      </c>
      <c r="B1" s="18">
        <v>2023</v>
      </c>
    </row>
    <row r="2" spans="1:2" x14ac:dyDescent="0.25">
      <c r="A2" s="24" t="s">
        <v>115</v>
      </c>
      <c r="B2">
        <f>'Start Year Data (2023)'!D26</f>
        <v>0</v>
      </c>
    </row>
    <row r="3" spans="1:2" x14ac:dyDescent="0.25">
      <c r="A3" s="1" t="s">
        <v>116</v>
      </c>
      <c r="B3">
        <f>'Start Year Data (2023)'!D27</f>
        <v>1969932991504964</v>
      </c>
    </row>
    <row r="4" spans="1:2" x14ac:dyDescent="0.25">
      <c r="A4" s="1" t="s">
        <v>106</v>
      </c>
      <c r="B4">
        <f>'Start Year Data (2023)'!D28</f>
        <v>7945881000000000</v>
      </c>
    </row>
    <row r="5" spans="1:2" x14ac:dyDescent="0.25">
      <c r="A5" s="1" t="s">
        <v>117</v>
      </c>
      <c r="B5">
        <f>'Start Year Data (2023)'!D29</f>
        <v>0</v>
      </c>
    </row>
    <row r="6" spans="1:2" x14ac:dyDescent="0.25">
      <c r="A6" s="1" t="s">
        <v>118</v>
      </c>
      <c r="B6">
        <f>'Start Year Data (2023)'!D30</f>
        <v>0</v>
      </c>
    </row>
    <row r="7" spans="1:2" x14ac:dyDescent="0.25">
      <c r="A7" s="1" t="s">
        <v>119</v>
      </c>
      <c r="B7">
        <f>'Start Year Data (2023)'!D31</f>
        <v>0</v>
      </c>
    </row>
    <row r="8" spans="1:2" x14ac:dyDescent="0.25">
      <c r="A8" s="1" t="s">
        <v>120</v>
      </c>
      <c r="B8">
        <f>'Start Year Data (2023)'!D32</f>
        <v>0</v>
      </c>
    </row>
    <row r="9" spans="1:2" x14ac:dyDescent="0.25">
      <c r="A9" s="1" t="s">
        <v>109</v>
      </c>
      <c r="B9">
        <f>'Start Year Data (2023)'!D33</f>
        <v>153682703594000</v>
      </c>
    </row>
    <row r="10" spans="1:2" x14ac:dyDescent="0.25">
      <c r="A10" s="1" t="s">
        <v>110</v>
      </c>
      <c r="B10">
        <f>'Start Year Data (2023)'!D34</f>
        <v>1505313895491000</v>
      </c>
    </row>
    <row r="11" spans="1:2" x14ac:dyDescent="0.25">
      <c r="A11" s="1" t="s">
        <v>121</v>
      </c>
      <c r="B11">
        <f>'Start Year Data (2023)'!D35</f>
        <v>2372901125000000</v>
      </c>
    </row>
    <row r="12" spans="1:2" x14ac:dyDescent="0.25">
      <c r="A12" s="1" t="s">
        <v>122</v>
      </c>
      <c r="B12">
        <f>'Start Year Data (2023)'!D36</f>
        <v>133988589672000</v>
      </c>
    </row>
    <row r="13" spans="1:2" x14ac:dyDescent="0.25">
      <c r="A13" s="1" t="s">
        <v>123</v>
      </c>
      <c r="B13">
        <f>'Start Year Data (2023)'!D37</f>
        <v>33059671000000</v>
      </c>
    </row>
    <row r="14" spans="1:2" x14ac:dyDescent="0.25">
      <c r="A14" s="1" t="s">
        <v>112</v>
      </c>
      <c r="B14">
        <f>'Start Year Data (2023)'!D38</f>
        <v>365800050000000</v>
      </c>
    </row>
    <row r="15" spans="1:2" x14ac:dyDescent="0.25">
      <c r="A15" s="1" t="s">
        <v>148</v>
      </c>
      <c r="B15">
        <f>'Start Year Data (2023)'!D39</f>
        <v>0</v>
      </c>
    </row>
    <row r="16" spans="1:2" x14ac:dyDescent="0.25">
      <c r="A16" s="1" t="s">
        <v>125</v>
      </c>
      <c r="B16">
        <f>'Start Year Data (2023)'!D40</f>
        <v>0</v>
      </c>
    </row>
    <row r="17" spans="1:2" x14ac:dyDescent="0.25">
      <c r="A17" s="1" t="s">
        <v>126</v>
      </c>
      <c r="B17">
        <f>'Start Year Data (2023)'!D41</f>
        <v>0</v>
      </c>
    </row>
    <row r="18" spans="1:2" x14ac:dyDescent="0.25">
      <c r="A18" s="1" t="s">
        <v>113</v>
      </c>
      <c r="B18">
        <f>'Start Year Data (2023)'!D42</f>
        <v>8484226360806000</v>
      </c>
    </row>
    <row r="19" spans="1:2" x14ac:dyDescent="0.25">
      <c r="A19" s="1" t="s">
        <v>127</v>
      </c>
      <c r="B19">
        <f>'Start Year Data (2023)'!D43</f>
        <v>287535945000000</v>
      </c>
    </row>
    <row r="20" spans="1:2" x14ac:dyDescent="0.25">
      <c r="A20" s="1" t="s">
        <v>114</v>
      </c>
      <c r="B20">
        <f>'Start Year Data (2023)'!D44</f>
        <v>3541388669280000</v>
      </c>
    </row>
    <row r="21" spans="1:2" x14ac:dyDescent="0.25">
      <c r="A21" s="1" t="s">
        <v>128</v>
      </c>
      <c r="B21">
        <f>'Start Year Data (2023)'!D45</f>
        <v>0</v>
      </c>
    </row>
    <row r="22" spans="1:2" x14ac:dyDescent="0.25">
      <c r="A22" s="1" t="s">
        <v>129</v>
      </c>
      <c r="B22">
        <f>'Start Year Data (2023)'!D46</f>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About</vt:lpstr>
      <vt:lpstr>Petroleum and Biofuel Data</vt:lpstr>
      <vt:lpstr>Petroleum and Biofuels </vt:lpstr>
      <vt:lpstr>Biomass Data</vt:lpstr>
      <vt:lpstr>Uranium, Coal, MSW, Hydrogen</vt:lpstr>
      <vt:lpstr>AEO 2023 Table 1</vt:lpstr>
      <vt:lpstr>AEO 2025 HZC Table 1</vt:lpstr>
      <vt:lpstr>AEO 2025 Alt T Table 1</vt:lpstr>
      <vt:lpstr>AEO 2025 Alt T Table 19</vt:lpstr>
      <vt:lpstr>AEO Conversion Factors</vt:lpstr>
      <vt:lpstr>GREET1 Fuel_Specs</vt:lpstr>
      <vt:lpstr>Start Year Data (2023)</vt:lpstr>
      <vt:lpstr>First Year Data (2024)</vt:lpstr>
      <vt:lpstr>Time Series Scaling Factors</vt:lpstr>
      <vt:lpstr>BFPIaE-production</vt:lpstr>
      <vt:lpstr>BFPIaE-imports</vt:lpstr>
      <vt:lpstr>BFPIaE-exports</vt:lpstr>
      <vt:lpstr>BFPIaE-SYFP</vt:lpstr>
      <vt:lpstr>BFPIaE-SYFE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2019-07-26T21:45:06Z</dcterms:created>
  <dcterms:modified xsi:type="dcterms:W3CDTF">2026-03-11T18:05:26Z</dcterms:modified>
</cp:coreProperties>
</file>